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DSN\Atlas2025\R_codes\Prueba_4\Input_indicadores\"/>
    </mc:Choice>
  </mc:AlternateContent>
  <xr:revisionPtr revIDLastSave="0" documentId="13_ncr:1_{94826695-738C-4ED3-8257-36B6FC36B612}" xr6:coauthVersionLast="47" xr6:coauthVersionMax="47" xr10:uidLastSave="{00000000-0000-0000-0000-000000000000}"/>
  <bookViews>
    <workbookView minimized="1" xWindow="11880" yWindow="1752" windowWidth="11160" windowHeight="10488" firstSheet="2" activeTab="5" xr2:uid="{00000000-000D-0000-FFFF-FFFF00000000}"/>
  </bookViews>
  <sheets>
    <sheet name="Datos originales" sheetId="14" r:id="rId1"/>
    <sheet name="Datos Procesados" sheetId="15" r:id="rId2"/>
    <sheet name="Indicador_MUN" sheetId="2" r:id="rId3"/>
    <sheet name="Absoluto_MUN" sheetId="8" r:id="rId4"/>
    <sheet name="Indicador_DEP" sheetId="9" r:id="rId5"/>
    <sheet name="Absoluto_DEP " sheetId="10" r:id="rId6"/>
    <sheet name="Umbral" sheetId="11" r:id="rId7"/>
    <sheet name="Clasificación 2024" sheetId="12" r:id="rId8"/>
    <sheet name="Mapa" sheetId="16" r:id="rId9"/>
  </sheets>
  <externalReferences>
    <externalReference r:id="rId10"/>
  </externalReferences>
  <definedNames>
    <definedName name="_xlnm._FilterDatabase" localSheetId="7" hidden="1">'Clasificación 2024'!$A$1:$F$344</definedName>
    <definedName name="_xlnm._FilterDatabase" localSheetId="0" hidden="1">'Datos originales'!$B$6:$G$9</definedName>
    <definedName name="_xlnm._FilterDatabase">[1]Índice!$A$9:$J$26</definedName>
  </definedNames>
  <calcPr calcId="191029"/>
</workbook>
</file>

<file path=xl/calcChain.xml><?xml version="1.0" encoding="utf-8"?>
<calcChain xmlns="http://schemas.openxmlformats.org/spreadsheetml/2006/main">
  <c r="G14" i="10" l="1"/>
  <c r="C14" i="10"/>
  <c r="J345" i="15" l="1"/>
  <c r="G345" i="15"/>
  <c r="H345" i="15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151" i="12"/>
  <c r="F152" i="12"/>
  <c r="F153" i="12"/>
  <c r="F154" i="12"/>
  <c r="F155" i="12"/>
  <c r="F156" i="12"/>
  <c r="F157" i="12"/>
  <c r="F158" i="12"/>
  <c r="F159" i="12"/>
  <c r="F160" i="12"/>
  <c r="F161" i="12"/>
  <c r="F162" i="12"/>
  <c r="F163" i="12"/>
  <c r="F164" i="12"/>
  <c r="F165" i="12"/>
  <c r="F166" i="12"/>
  <c r="F167" i="12"/>
  <c r="F168" i="12"/>
  <c r="F169" i="12"/>
  <c r="F170" i="12"/>
  <c r="F171" i="12"/>
  <c r="F172" i="12"/>
  <c r="F173" i="12"/>
  <c r="F174" i="12"/>
  <c r="F175" i="12"/>
  <c r="F176" i="12"/>
  <c r="F177" i="12"/>
  <c r="F178" i="12"/>
  <c r="F179" i="12"/>
  <c r="F180" i="12"/>
  <c r="F181" i="12"/>
  <c r="F182" i="12"/>
  <c r="F183" i="12"/>
  <c r="F184" i="12"/>
  <c r="F185" i="12"/>
  <c r="F186" i="12"/>
  <c r="F187" i="12"/>
  <c r="F188" i="12"/>
  <c r="F189" i="12"/>
  <c r="F190" i="12"/>
  <c r="F191" i="12"/>
  <c r="F192" i="12"/>
  <c r="F193" i="12"/>
  <c r="F194" i="12"/>
  <c r="F195" i="12"/>
  <c r="F196" i="12"/>
  <c r="F197" i="12"/>
  <c r="F198" i="12"/>
  <c r="F199" i="12"/>
  <c r="F200" i="12"/>
  <c r="F201" i="12"/>
  <c r="F202" i="12"/>
  <c r="F203" i="12"/>
  <c r="F204" i="12"/>
  <c r="F205" i="12"/>
  <c r="F206" i="12"/>
  <c r="F207" i="12"/>
  <c r="F208" i="12"/>
  <c r="F209" i="12"/>
  <c r="F210" i="12"/>
  <c r="F211" i="12"/>
  <c r="F212" i="12"/>
  <c r="F213" i="12"/>
  <c r="F214" i="12"/>
  <c r="F215" i="12"/>
  <c r="F216" i="12"/>
  <c r="F217" i="12"/>
  <c r="F218" i="12"/>
  <c r="F219" i="12"/>
  <c r="F220" i="12"/>
  <c r="F221" i="12"/>
  <c r="F222" i="12"/>
  <c r="F223" i="12"/>
  <c r="F224" i="12"/>
  <c r="F225" i="12"/>
  <c r="F226" i="12"/>
  <c r="F227" i="12"/>
  <c r="F228" i="12"/>
  <c r="F229" i="12"/>
  <c r="F230" i="12"/>
  <c r="F231" i="12"/>
  <c r="F232" i="12"/>
  <c r="F233" i="12"/>
  <c r="F234" i="12"/>
  <c r="F235" i="12"/>
  <c r="F236" i="12"/>
  <c r="F237" i="12"/>
  <c r="F238" i="12"/>
  <c r="F239" i="12"/>
  <c r="F240" i="12"/>
  <c r="F241" i="12"/>
  <c r="F242" i="12"/>
  <c r="F243" i="12"/>
  <c r="F244" i="12"/>
  <c r="F245" i="12"/>
  <c r="F246" i="12"/>
  <c r="F247" i="12"/>
  <c r="F248" i="12"/>
  <c r="F249" i="12"/>
  <c r="F250" i="12"/>
  <c r="F251" i="12"/>
  <c r="F252" i="12"/>
  <c r="F253" i="12"/>
  <c r="F254" i="12"/>
  <c r="F255" i="12"/>
  <c r="F256" i="12"/>
  <c r="F257" i="12"/>
  <c r="F258" i="12"/>
  <c r="F259" i="12"/>
  <c r="F260" i="12"/>
  <c r="F261" i="12"/>
  <c r="F262" i="12"/>
  <c r="F263" i="12"/>
  <c r="F264" i="12"/>
  <c r="F265" i="12"/>
  <c r="F266" i="12"/>
  <c r="F267" i="12"/>
  <c r="F268" i="12"/>
  <c r="F269" i="12"/>
  <c r="F270" i="12"/>
  <c r="F271" i="12"/>
  <c r="F272" i="12"/>
  <c r="F273" i="12"/>
  <c r="F274" i="12"/>
  <c r="F275" i="12"/>
  <c r="F276" i="12"/>
  <c r="F277" i="12"/>
  <c r="F278" i="12"/>
  <c r="F279" i="12"/>
  <c r="F280" i="12"/>
  <c r="F281" i="12"/>
  <c r="F282" i="12"/>
  <c r="F283" i="12"/>
  <c r="F284" i="12"/>
  <c r="F285" i="12"/>
  <c r="F286" i="12"/>
  <c r="F287" i="12"/>
  <c r="F288" i="12"/>
  <c r="F289" i="12"/>
  <c r="F290" i="12"/>
  <c r="F291" i="12"/>
  <c r="F292" i="12"/>
  <c r="F293" i="12"/>
  <c r="F294" i="12"/>
  <c r="F295" i="12"/>
  <c r="F296" i="12"/>
  <c r="F297" i="12"/>
  <c r="F298" i="12"/>
  <c r="F299" i="12"/>
  <c r="F300" i="12"/>
  <c r="F301" i="12"/>
  <c r="F302" i="12"/>
  <c r="F303" i="12"/>
  <c r="F304" i="12"/>
  <c r="F305" i="12"/>
  <c r="F306" i="12"/>
  <c r="F307" i="12"/>
  <c r="F308" i="12"/>
  <c r="F309" i="12"/>
  <c r="F310" i="12"/>
  <c r="F311" i="12"/>
  <c r="F312" i="12"/>
  <c r="F313" i="12"/>
  <c r="F314" i="12"/>
  <c r="F315" i="12"/>
  <c r="F316" i="12"/>
  <c r="F317" i="12"/>
  <c r="F318" i="12"/>
  <c r="F319" i="12"/>
  <c r="F320" i="12"/>
  <c r="F321" i="12"/>
  <c r="F322" i="12"/>
  <c r="F323" i="12"/>
  <c r="F324" i="12"/>
  <c r="F325" i="12"/>
  <c r="F326" i="12"/>
  <c r="F327" i="12"/>
  <c r="F328" i="12"/>
  <c r="F329" i="12"/>
  <c r="F330" i="12"/>
  <c r="F331" i="12"/>
  <c r="F332" i="12"/>
  <c r="F333" i="12"/>
  <c r="F334" i="12"/>
  <c r="F335" i="12"/>
  <c r="F336" i="12"/>
  <c r="F337" i="12"/>
  <c r="F338" i="12"/>
  <c r="F339" i="12"/>
  <c r="F340" i="12"/>
  <c r="F341" i="12"/>
  <c r="F342" i="12"/>
  <c r="F343" i="12"/>
  <c r="F344" i="12"/>
  <c r="F2" i="12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D176" i="12"/>
  <c r="D177" i="12"/>
  <c r="D178" i="12"/>
  <c r="D179" i="12"/>
  <c r="D180" i="12"/>
  <c r="D181" i="12"/>
  <c r="D182" i="12"/>
  <c r="D183" i="12"/>
  <c r="D184" i="12"/>
  <c r="D185" i="12"/>
  <c r="D186" i="12"/>
  <c r="D187" i="12"/>
  <c r="D188" i="12"/>
  <c r="D189" i="12"/>
  <c r="D190" i="12"/>
  <c r="D191" i="12"/>
  <c r="D192" i="12"/>
  <c r="D193" i="12"/>
  <c r="D194" i="12"/>
  <c r="D195" i="12"/>
  <c r="D196" i="12"/>
  <c r="D197" i="12"/>
  <c r="D198" i="12"/>
  <c r="D199" i="12"/>
  <c r="D200" i="12"/>
  <c r="D201" i="12"/>
  <c r="D202" i="12"/>
  <c r="D203" i="12"/>
  <c r="D204" i="12"/>
  <c r="D205" i="12"/>
  <c r="D206" i="12"/>
  <c r="D207" i="12"/>
  <c r="D208" i="12"/>
  <c r="D209" i="12"/>
  <c r="D210" i="12"/>
  <c r="D211" i="12"/>
  <c r="D212" i="12"/>
  <c r="D213" i="12"/>
  <c r="D214" i="12"/>
  <c r="D215" i="12"/>
  <c r="D216" i="12"/>
  <c r="D217" i="12"/>
  <c r="D218" i="12"/>
  <c r="D219" i="12"/>
  <c r="D220" i="12"/>
  <c r="D221" i="12"/>
  <c r="D222" i="12"/>
  <c r="D223" i="12"/>
  <c r="D224" i="12"/>
  <c r="D225" i="12"/>
  <c r="D226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D242" i="12"/>
  <c r="D243" i="12"/>
  <c r="D244" i="12"/>
  <c r="D245" i="12"/>
  <c r="D246" i="12"/>
  <c r="D247" i="12"/>
  <c r="D248" i="12"/>
  <c r="D249" i="12"/>
  <c r="D250" i="12"/>
  <c r="D251" i="12"/>
  <c r="D252" i="12"/>
  <c r="D253" i="12"/>
  <c r="D254" i="12"/>
  <c r="D255" i="12"/>
  <c r="D256" i="12"/>
  <c r="D257" i="12"/>
  <c r="D258" i="12"/>
  <c r="D259" i="12"/>
  <c r="D260" i="12"/>
  <c r="D261" i="12"/>
  <c r="D262" i="12"/>
  <c r="D263" i="12"/>
  <c r="D264" i="12"/>
  <c r="D265" i="12"/>
  <c r="D266" i="12"/>
  <c r="D267" i="12"/>
  <c r="D268" i="12"/>
  <c r="D269" i="12"/>
  <c r="D270" i="12"/>
  <c r="D271" i="12"/>
  <c r="D272" i="12"/>
  <c r="D273" i="12"/>
  <c r="D274" i="12"/>
  <c r="D275" i="12"/>
  <c r="D276" i="12"/>
  <c r="D277" i="12"/>
  <c r="D278" i="12"/>
  <c r="D279" i="12"/>
  <c r="D280" i="12"/>
  <c r="D281" i="12"/>
  <c r="D282" i="12"/>
  <c r="D283" i="12"/>
  <c r="D284" i="12"/>
  <c r="D285" i="12"/>
  <c r="D286" i="12"/>
  <c r="D287" i="12"/>
  <c r="D288" i="12"/>
  <c r="D289" i="12"/>
  <c r="D290" i="12"/>
  <c r="D291" i="12"/>
  <c r="D292" i="12"/>
  <c r="D293" i="12"/>
  <c r="D294" i="12"/>
  <c r="D295" i="12"/>
  <c r="D296" i="12"/>
  <c r="D297" i="12"/>
  <c r="D298" i="12"/>
  <c r="D299" i="12"/>
  <c r="D300" i="12"/>
  <c r="D301" i="12"/>
  <c r="D302" i="12"/>
  <c r="D303" i="12"/>
  <c r="D304" i="12"/>
  <c r="D305" i="12"/>
  <c r="D306" i="12"/>
  <c r="D307" i="12"/>
  <c r="D308" i="12"/>
  <c r="D309" i="12"/>
  <c r="D310" i="12"/>
  <c r="D311" i="12"/>
  <c r="D312" i="12"/>
  <c r="D313" i="12"/>
  <c r="D314" i="12"/>
  <c r="D315" i="12"/>
  <c r="D316" i="12"/>
  <c r="D317" i="12"/>
  <c r="D318" i="12"/>
  <c r="D319" i="12"/>
  <c r="D320" i="12"/>
  <c r="D321" i="12"/>
  <c r="D322" i="12"/>
  <c r="D323" i="12"/>
  <c r="D324" i="12"/>
  <c r="D325" i="12"/>
  <c r="D326" i="12"/>
  <c r="D327" i="12"/>
  <c r="D328" i="12"/>
  <c r="D329" i="12"/>
  <c r="D330" i="12"/>
  <c r="D331" i="12"/>
  <c r="D332" i="12"/>
  <c r="D333" i="12"/>
  <c r="D334" i="12"/>
  <c r="D335" i="12"/>
  <c r="D336" i="12"/>
  <c r="D337" i="12"/>
  <c r="D338" i="12"/>
  <c r="D339" i="12"/>
  <c r="D340" i="12"/>
  <c r="D341" i="12"/>
  <c r="D342" i="12"/>
  <c r="D343" i="12"/>
  <c r="D344" i="12"/>
  <c r="D2" i="12"/>
  <c r="Q11" i="15"/>
  <c r="Q12" i="15"/>
  <c r="Q10" i="15"/>
  <c r="P10" i="15"/>
  <c r="N11" i="15"/>
  <c r="N12" i="15"/>
  <c r="M12" i="15"/>
  <c r="F344" i="15"/>
  <c r="E345" i="15"/>
  <c r="F345" i="15" s="1"/>
  <c r="N9" i="15"/>
  <c r="P9" i="15"/>
  <c r="Q9" i="15" s="1"/>
  <c r="P8" i="15"/>
  <c r="Q8" i="15" s="1"/>
  <c r="P7" i="15"/>
  <c r="Q7" i="15" s="1"/>
  <c r="P6" i="15"/>
  <c r="Q6" i="15" s="1"/>
  <c r="P5" i="15"/>
  <c r="Q5" i="15" s="1"/>
  <c r="P4" i="15"/>
  <c r="Q4" i="15" s="1"/>
  <c r="P3" i="15"/>
  <c r="Q3" i="15" s="1"/>
  <c r="P2" i="15"/>
  <c r="Q2" i="15" s="1"/>
  <c r="M10" i="15"/>
  <c r="N10" i="15" s="1"/>
  <c r="M9" i="15"/>
  <c r="M8" i="15"/>
  <c r="N8" i="15" s="1"/>
  <c r="M7" i="15"/>
  <c r="N7" i="15" s="1"/>
  <c r="M6" i="15"/>
  <c r="N6" i="15" s="1"/>
  <c r="M5" i="15"/>
  <c r="N5" i="15" s="1"/>
  <c r="M4" i="15"/>
  <c r="N4" i="15" s="1"/>
  <c r="M3" i="15"/>
  <c r="N3" i="15" s="1"/>
  <c r="M2" i="15"/>
  <c r="N2" i="15" s="1"/>
  <c r="I3" i="15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4" i="15"/>
  <c r="I55" i="15"/>
  <c r="I56" i="15"/>
  <c r="I57" i="15"/>
  <c r="I58" i="15"/>
  <c r="I59" i="15"/>
  <c r="I60" i="15"/>
  <c r="I61" i="15"/>
  <c r="I62" i="15"/>
  <c r="I63" i="15"/>
  <c r="I64" i="15"/>
  <c r="I65" i="15"/>
  <c r="I66" i="15"/>
  <c r="I67" i="15"/>
  <c r="I68" i="15"/>
  <c r="I69" i="15"/>
  <c r="I70" i="15"/>
  <c r="I71" i="15"/>
  <c r="I72" i="15"/>
  <c r="I73" i="15"/>
  <c r="I74" i="15"/>
  <c r="I75" i="15"/>
  <c r="I76" i="15"/>
  <c r="I77" i="15"/>
  <c r="I78" i="15"/>
  <c r="I79" i="15"/>
  <c r="I80" i="15"/>
  <c r="I81" i="15"/>
  <c r="I82" i="15"/>
  <c r="I83" i="15"/>
  <c r="I84" i="15"/>
  <c r="I85" i="15"/>
  <c r="I86" i="15"/>
  <c r="I87" i="15"/>
  <c r="I88" i="15"/>
  <c r="I89" i="15"/>
  <c r="I90" i="15"/>
  <c r="I91" i="15"/>
  <c r="I92" i="15"/>
  <c r="I93" i="15"/>
  <c r="I94" i="15"/>
  <c r="I95" i="15"/>
  <c r="I96" i="15"/>
  <c r="I97" i="15"/>
  <c r="I98" i="15"/>
  <c r="I99" i="15"/>
  <c r="I100" i="15"/>
  <c r="I101" i="15"/>
  <c r="I102" i="15"/>
  <c r="I103" i="15"/>
  <c r="I104" i="15"/>
  <c r="I105" i="15"/>
  <c r="I106" i="15"/>
  <c r="I107" i="15"/>
  <c r="I108" i="15"/>
  <c r="I109" i="15"/>
  <c r="I110" i="15"/>
  <c r="I111" i="15"/>
  <c r="I112" i="15"/>
  <c r="I113" i="15"/>
  <c r="I114" i="15"/>
  <c r="I115" i="15"/>
  <c r="I116" i="15"/>
  <c r="I117" i="15"/>
  <c r="I118" i="15"/>
  <c r="I119" i="15"/>
  <c r="I120" i="15"/>
  <c r="I121" i="15"/>
  <c r="I122" i="15"/>
  <c r="I123" i="15"/>
  <c r="I124" i="15"/>
  <c r="I125" i="15"/>
  <c r="I126" i="15"/>
  <c r="I127" i="15"/>
  <c r="I128" i="15"/>
  <c r="I129" i="15"/>
  <c r="I130" i="15"/>
  <c r="I131" i="15"/>
  <c r="I132" i="15"/>
  <c r="I133" i="15"/>
  <c r="I134" i="15"/>
  <c r="I135" i="15"/>
  <c r="I136" i="15"/>
  <c r="I137" i="15"/>
  <c r="I138" i="15"/>
  <c r="I139" i="15"/>
  <c r="I140" i="15"/>
  <c r="I141" i="15"/>
  <c r="I142" i="15"/>
  <c r="I143" i="15"/>
  <c r="I144" i="15"/>
  <c r="I145" i="15"/>
  <c r="I146" i="15"/>
  <c r="I147" i="15"/>
  <c r="I148" i="15"/>
  <c r="I149" i="15"/>
  <c r="I150" i="15"/>
  <c r="I151" i="15"/>
  <c r="I152" i="15"/>
  <c r="I153" i="15"/>
  <c r="I154" i="15"/>
  <c r="I155" i="15"/>
  <c r="I156" i="15"/>
  <c r="I157" i="15"/>
  <c r="I158" i="15"/>
  <c r="I159" i="15"/>
  <c r="I160" i="15"/>
  <c r="I161" i="15"/>
  <c r="I162" i="15"/>
  <c r="I163" i="15"/>
  <c r="I164" i="15"/>
  <c r="I165" i="15"/>
  <c r="I166" i="15"/>
  <c r="I167" i="15"/>
  <c r="I168" i="15"/>
  <c r="I169" i="15"/>
  <c r="I170" i="15"/>
  <c r="I171" i="15"/>
  <c r="I172" i="15"/>
  <c r="I173" i="15"/>
  <c r="I174" i="15"/>
  <c r="I175" i="15"/>
  <c r="I176" i="15"/>
  <c r="I177" i="15"/>
  <c r="I178" i="15"/>
  <c r="I179" i="15"/>
  <c r="I180" i="15"/>
  <c r="I181" i="15"/>
  <c r="I182" i="15"/>
  <c r="I183" i="15"/>
  <c r="I184" i="15"/>
  <c r="I185" i="15"/>
  <c r="I186" i="15"/>
  <c r="I187" i="15"/>
  <c r="I188" i="15"/>
  <c r="I189" i="15"/>
  <c r="I190" i="15"/>
  <c r="I191" i="15"/>
  <c r="I192" i="15"/>
  <c r="I193" i="15"/>
  <c r="I194" i="15"/>
  <c r="I195" i="15"/>
  <c r="I196" i="15"/>
  <c r="I197" i="15"/>
  <c r="I198" i="15"/>
  <c r="I199" i="15"/>
  <c r="I200" i="15"/>
  <c r="I201" i="15"/>
  <c r="I202" i="15"/>
  <c r="I203" i="15"/>
  <c r="I204" i="15"/>
  <c r="I205" i="15"/>
  <c r="I206" i="15"/>
  <c r="I207" i="15"/>
  <c r="I208" i="15"/>
  <c r="I209" i="15"/>
  <c r="I210" i="15"/>
  <c r="I211" i="15"/>
  <c r="I212" i="15"/>
  <c r="I213" i="15"/>
  <c r="I214" i="15"/>
  <c r="I215" i="15"/>
  <c r="I216" i="15"/>
  <c r="I217" i="15"/>
  <c r="I218" i="15"/>
  <c r="I219" i="15"/>
  <c r="I220" i="15"/>
  <c r="I221" i="15"/>
  <c r="I222" i="15"/>
  <c r="I223" i="15"/>
  <c r="I224" i="15"/>
  <c r="I225" i="15"/>
  <c r="I226" i="15"/>
  <c r="I227" i="15"/>
  <c r="I228" i="15"/>
  <c r="I229" i="15"/>
  <c r="I230" i="15"/>
  <c r="I231" i="15"/>
  <c r="I232" i="15"/>
  <c r="I233" i="15"/>
  <c r="I234" i="15"/>
  <c r="I235" i="15"/>
  <c r="I236" i="15"/>
  <c r="I237" i="15"/>
  <c r="I238" i="15"/>
  <c r="I239" i="15"/>
  <c r="I240" i="15"/>
  <c r="I241" i="15"/>
  <c r="I242" i="15"/>
  <c r="I243" i="15"/>
  <c r="I244" i="15"/>
  <c r="I245" i="15"/>
  <c r="I246" i="15"/>
  <c r="I247" i="15"/>
  <c r="I248" i="15"/>
  <c r="I249" i="15"/>
  <c r="I250" i="15"/>
  <c r="I251" i="15"/>
  <c r="I252" i="15"/>
  <c r="I253" i="15"/>
  <c r="I254" i="15"/>
  <c r="I255" i="15"/>
  <c r="I256" i="15"/>
  <c r="I257" i="15"/>
  <c r="I258" i="15"/>
  <c r="I259" i="15"/>
  <c r="I260" i="15"/>
  <c r="I261" i="15"/>
  <c r="I262" i="15"/>
  <c r="I263" i="15"/>
  <c r="I264" i="15"/>
  <c r="I265" i="15"/>
  <c r="I266" i="15"/>
  <c r="I267" i="15"/>
  <c r="I268" i="15"/>
  <c r="I269" i="15"/>
  <c r="I270" i="15"/>
  <c r="I271" i="15"/>
  <c r="I272" i="15"/>
  <c r="I273" i="15"/>
  <c r="I274" i="15"/>
  <c r="I275" i="15"/>
  <c r="I276" i="15"/>
  <c r="I277" i="15"/>
  <c r="I278" i="15"/>
  <c r="I279" i="15"/>
  <c r="I280" i="15"/>
  <c r="I281" i="15"/>
  <c r="I282" i="15"/>
  <c r="I283" i="15"/>
  <c r="I284" i="15"/>
  <c r="I285" i="15"/>
  <c r="I286" i="15"/>
  <c r="I287" i="15"/>
  <c r="I288" i="15"/>
  <c r="I289" i="15"/>
  <c r="I290" i="15"/>
  <c r="I291" i="15"/>
  <c r="I292" i="15"/>
  <c r="I293" i="15"/>
  <c r="I294" i="15"/>
  <c r="I295" i="15"/>
  <c r="I296" i="15"/>
  <c r="I297" i="15"/>
  <c r="I298" i="15"/>
  <c r="I299" i="15"/>
  <c r="I300" i="15"/>
  <c r="I301" i="15"/>
  <c r="I302" i="15"/>
  <c r="I303" i="15"/>
  <c r="I304" i="15"/>
  <c r="I305" i="15"/>
  <c r="I306" i="15"/>
  <c r="I307" i="15"/>
  <c r="I308" i="15"/>
  <c r="I309" i="15"/>
  <c r="I310" i="15"/>
  <c r="I311" i="15"/>
  <c r="I312" i="15"/>
  <c r="I313" i="15"/>
  <c r="I314" i="15"/>
  <c r="I315" i="15"/>
  <c r="I316" i="15"/>
  <c r="I317" i="15"/>
  <c r="I318" i="15"/>
  <c r="I319" i="15"/>
  <c r="I320" i="15"/>
  <c r="I321" i="15"/>
  <c r="I322" i="15"/>
  <c r="I323" i="15"/>
  <c r="I324" i="15"/>
  <c r="I325" i="15"/>
  <c r="I326" i="15"/>
  <c r="I327" i="15"/>
  <c r="I328" i="15"/>
  <c r="I329" i="15"/>
  <c r="I330" i="15"/>
  <c r="I331" i="15"/>
  <c r="I332" i="15"/>
  <c r="I333" i="15"/>
  <c r="I334" i="15"/>
  <c r="I335" i="15"/>
  <c r="I336" i="15"/>
  <c r="I337" i="15"/>
  <c r="I338" i="15"/>
  <c r="I339" i="15"/>
  <c r="I340" i="15"/>
  <c r="I341" i="15"/>
  <c r="I342" i="15"/>
  <c r="I343" i="15"/>
  <c r="I344" i="15"/>
  <c r="I2" i="15"/>
  <c r="F3" i="15"/>
  <c r="F4" i="15"/>
  <c r="F5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F81" i="15"/>
  <c r="F82" i="15"/>
  <c r="F83" i="15"/>
  <c r="F84" i="15"/>
  <c r="F85" i="15"/>
  <c r="F86" i="15"/>
  <c r="F87" i="15"/>
  <c r="F88" i="15"/>
  <c r="F89" i="15"/>
  <c r="F90" i="15"/>
  <c r="F91" i="15"/>
  <c r="F92" i="15"/>
  <c r="F93" i="15"/>
  <c r="F94" i="15"/>
  <c r="F95" i="15"/>
  <c r="F96" i="15"/>
  <c r="F97" i="15"/>
  <c r="F98" i="15"/>
  <c r="F99" i="15"/>
  <c r="F100" i="15"/>
  <c r="F101" i="15"/>
  <c r="F102" i="15"/>
  <c r="F103" i="15"/>
  <c r="F104" i="15"/>
  <c r="F105" i="15"/>
  <c r="F106" i="15"/>
  <c r="F107" i="15"/>
  <c r="F108" i="15"/>
  <c r="F109" i="15"/>
  <c r="F110" i="15"/>
  <c r="F111" i="15"/>
  <c r="F112" i="15"/>
  <c r="F113" i="15"/>
  <c r="F114" i="15"/>
  <c r="F115" i="15"/>
  <c r="F116" i="15"/>
  <c r="F117" i="15"/>
  <c r="F118" i="15"/>
  <c r="F119" i="15"/>
  <c r="F120" i="15"/>
  <c r="F121" i="15"/>
  <c r="F122" i="15"/>
  <c r="F123" i="15"/>
  <c r="F124" i="15"/>
  <c r="F125" i="15"/>
  <c r="F126" i="15"/>
  <c r="F127" i="15"/>
  <c r="F128" i="15"/>
  <c r="F129" i="15"/>
  <c r="F130" i="15"/>
  <c r="F131" i="15"/>
  <c r="F132" i="15"/>
  <c r="F133" i="15"/>
  <c r="F134" i="15"/>
  <c r="F135" i="15"/>
  <c r="F136" i="15"/>
  <c r="F137" i="15"/>
  <c r="F138" i="15"/>
  <c r="F139" i="15"/>
  <c r="F140" i="15"/>
  <c r="F141" i="15"/>
  <c r="F142" i="15"/>
  <c r="F143" i="15"/>
  <c r="F144" i="15"/>
  <c r="F145" i="15"/>
  <c r="F146" i="15"/>
  <c r="F147" i="15"/>
  <c r="F148" i="15"/>
  <c r="F149" i="15"/>
  <c r="F150" i="15"/>
  <c r="F151" i="15"/>
  <c r="F152" i="15"/>
  <c r="F153" i="15"/>
  <c r="F154" i="15"/>
  <c r="F155" i="15"/>
  <c r="F156" i="15"/>
  <c r="F157" i="15"/>
  <c r="F158" i="15"/>
  <c r="F159" i="15"/>
  <c r="F160" i="15"/>
  <c r="F161" i="15"/>
  <c r="F162" i="15"/>
  <c r="F163" i="15"/>
  <c r="F164" i="15"/>
  <c r="F165" i="15"/>
  <c r="F166" i="15"/>
  <c r="F167" i="15"/>
  <c r="F168" i="15"/>
  <c r="F169" i="15"/>
  <c r="F170" i="15"/>
  <c r="F171" i="15"/>
  <c r="F172" i="15"/>
  <c r="F173" i="15"/>
  <c r="F174" i="15"/>
  <c r="F175" i="15"/>
  <c r="F176" i="15"/>
  <c r="F177" i="15"/>
  <c r="F178" i="15"/>
  <c r="F179" i="15"/>
  <c r="F180" i="15"/>
  <c r="F181" i="15"/>
  <c r="F182" i="15"/>
  <c r="F183" i="15"/>
  <c r="F184" i="15"/>
  <c r="F185" i="15"/>
  <c r="F186" i="15"/>
  <c r="F187" i="15"/>
  <c r="F188" i="15"/>
  <c r="F189" i="15"/>
  <c r="F190" i="15"/>
  <c r="F191" i="15"/>
  <c r="F192" i="15"/>
  <c r="F193" i="15"/>
  <c r="F194" i="15"/>
  <c r="F195" i="15"/>
  <c r="F196" i="15"/>
  <c r="F197" i="15"/>
  <c r="F198" i="15"/>
  <c r="F199" i="15"/>
  <c r="F200" i="15"/>
  <c r="F201" i="15"/>
  <c r="F202" i="15"/>
  <c r="F203" i="15"/>
  <c r="F204" i="15"/>
  <c r="F205" i="15"/>
  <c r="F206" i="15"/>
  <c r="F207" i="15"/>
  <c r="F208" i="15"/>
  <c r="F209" i="15"/>
  <c r="F210" i="15"/>
  <c r="F211" i="15"/>
  <c r="F212" i="15"/>
  <c r="F213" i="15"/>
  <c r="F214" i="15"/>
  <c r="F215" i="15"/>
  <c r="F216" i="15"/>
  <c r="F217" i="15"/>
  <c r="F218" i="15"/>
  <c r="F219" i="15"/>
  <c r="F220" i="15"/>
  <c r="F221" i="15"/>
  <c r="F222" i="15"/>
  <c r="F223" i="15"/>
  <c r="F224" i="15"/>
  <c r="F225" i="15"/>
  <c r="F226" i="15"/>
  <c r="F227" i="15"/>
  <c r="F228" i="15"/>
  <c r="F229" i="15"/>
  <c r="F230" i="15"/>
  <c r="F231" i="15"/>
  <c r="F232" i="15"/>
  <c r="F233" i="15"/>
  <c r="F234" i="15"/>
  <c r="F235" i="15"/>
  <c r="F236" i="15"/>
  <c r="F237" i="15"/>
  <c r="F238" i="15"/>
  <c r="F239" i="15"/>
  <c r="F240" i="15"/>
  <c r="F241" i="15"/>
  <c r="F242" i="15"/>
  <c r="F243" i="15"/>
  <c r="F244" i="15"/>
  <c r="F245" i="15"/>
  <c r="F246" i="15"/>
  <c r="F247" i="15"/>
  <c r="F248" i="15"/>
  <c r="F249" i="15"/>
  <c r="F250" i="15"/>
  <c r="F251" i="15"/>
  <c r="F252" i="15"/>
  <c r="F253" i="15"/>
  <c r="F254" i="15"/>
  <c r="F255" i="15"/>
  <c r="F256" i="15"/>
  <c r="F257" i="15"/>
  <c r="F258" i="15"/>
  <c r="F259" i="15"/>
  <c r="F260" i="15"/>
  <c r="F261" i="15"/>
  <c r="F262" i="15"/>
  <c r="F263" i="15"/>
  <c r="F264" i="15"/>
  <c r="F265" i="15"/>
  <c r="F266" i="15"/>
  <c r="F267" i="15"/>
  <c r="F268" i="15"/>
  <c r="F269" i="15"/>
  <c r="F270" i="15"/>
  <c r="F271" i="15"/>
  <c r="F272" i="15"/>
  <c r="F273" i="15"/>
  <c r="F274" i="15"/>
  <c r="F275" i="15"/>
  <c r="F276" i="15"/>
  <c r="F277" i="15"/>
  <c r="F278" i="15"/>
  <c r="F279" i="15"/>
  <c r="F280" i="15"/>
  <c r="F281" i="15"/>
  <c r="F282" i="15"/>
  <c r="F283" i="15"/>
  <c r="F284" i="15"/>
  <c r="F285" i="15"/>
  <c r="F286" i="15"/>
  <c r="F287" i="15"/>
  <c r="F288" i="15"/>
  <c r="F289" i="15"/>
  <c r="F290" i="15"/>
  <c r="F291" i="15"/>
  <c r="F292" i="15"/>
  <c r="F293" i="15"/>
  <c r="F294" i="15"/>
  <c r="F295" i="15"/>
  <c r="F296" i="15"/>
  <c r="F297" i="15"/>
  <c r="F298" i="15"/>
  <c r="F299" i="15"/>
  <c r="F300" i="15"/>
  <c r="F301" i="15"/>
  <c r="F302" i="15"/>
  <c r="F303" i="15"/>
  <c r="F304" i="15"/>
  <c r="F305" i="15"/>
  <c r="F306" i="15"/>
  <c r="F307" i="15"/>
  <c r="F308" i="15"/>
  <c r="F309" i="15"/>
  <c r="F310" i="15"/>
  <c r="F311" i="15"/>
  <c r="F312" i="15"/>
  <c r="F313" i="15"/>
  <c r="F314" i="15"/>
  <c r="F315" i="15"/>
  <c r="F316" i="15"/>
  <c r="F317" i="15"/>
  <c r="F318" i="15"/>
  <c r="F319" i="15"/>
  <c r="F320" i="15"/>
  <c r="F321" i="15"/>
  <c r="F322" i="15"/>
  <c r="F323" i="15"/>
  <c r="F324" i="15"/>
  <c r="F325" i="15"/>
  <c r="F326" i="15"/>
  <c r="F327" i="15"/>
  <c r="F328" i="15"/>
  <c r="F329" i="15"/>
  <c r="F330" i="15"/>
  <c r="F331" i="15"/>
  <c r="F332" i="15"/>
  <c r="F333" i="15"/>
  <c r="F334" i="15"/>
  <c r="F335" i="15"/>
  <c r="F336" i="15"/>
  <c r="F337" i="15"/>
  <c r="F338" i="15"/>
  <c r="F339" i="15"/>
  <c r="F340" i="15"/>
  <c r="F341" i="15"/>
  <c r="F342" i="15"/>
  <c r="F343" i="15"/>
  <c r="F2" i="15"/>
  <c r="M1" i="14"/>
  <c r="I345" i="15" l="1"/>
  <c r="P12" i="15"/>
</calcChain>
</file>

<file path=xl/sharedStrings.xml><?xml version="1.0" encoding="utf-8"?>
<sst xmlns="http://schemas.openxmlformats.org/spreadsheetml/2006/main" count="8825" uniqueCount="552">
  <si>
    <t>Coipasa</t>
  </si>
  <si>
    <t>La Rivera</t>
  </si>
  <si>
    <t>Puerto Siles</t>
  </si>
  <si>
    <t>Departamento</t>
  </si>
  <si>
    <t>Bolpebra</t>
  </si>
  <si>
    <t>Todos Santos</t>
  </si>
  <si>
    <t>Huachacalla</t>
  </si>
  <si>
    <t>Tacachi</t>
  </si>
  <si>
    <t>Carangas</t>
  </si>
  <si>
    <t>San Pedro</t>
  </si>
  <si>
    <t>Trigal</t>
  </si>
  <si>
    <t>Sucre</t>
  </si>
  <si>
    <t>Nazacara de Pacajes</t>
  </si>
  <si>
    <t>San Pedro de Quemes</t>
  </si>
  <si>
    <t>Ingavi</t>
  </si>
  <si>
    <t>Tacobamba</t>
  </si>
  <si>
    <t>Mojinete</t>
  </si>
  <si>
    <t>Huacaraje</t>
  </si>
  <si>
    <t>Poroma</t>
  </si>
  <si>
    <t>Tolata</t>
  </si>
  <si>
    <t>Quirusillas</t>
  </si>
  <si>
    <t>Alalay</t>
  </si>
  <si>
    <t>Esmeralda</t>
  </si>
  <si>
    <t>Chipaya</t>
  </si>
  <si>
    <t>Santos Mercado</t>
  </si>
  <si>
    <t>Tahua</t>
  </si>
  <si>
    <t>Nueva Esperanza</t>
  </si>
  <si>
    <t>Chuquisaca</t>
  </si>
  <si>
    <t>Catacora</t>
  </si>
  <si>
    <t>San Agustín</t>
  </si>
  <si>
    <t>Calacoto</t>
  </si>
  <si>
    <t>Azurduy</t>
  </si>
  <si>
    <t>El Choro</t>
  </si>
  <si>
    <t>Huacaya</t>
  </si>
  <si>
    <t>Tinguipaya</t>
  </si>
  <si>
    <t>Santa Rosa</t>
  </si>
  <si>
    <t>Moro Moro</t>
  </si>
  <si>
    <t>Filadelfia</t>
  </si>
  <si>
    <t>Vila Vila</t>
  </si>
  <si>
    <t>Yotala</t>
  </si>
  <si>
    <t>Cruz de Machacamarca</t>
  </si>
  <si>
    <t>Pelechuco</t>
  </si>
  <si>
    <t>Ocurí</t>
  </si>
  <si>
    <t>La Paz</t>
  </si>
  <si>
    <t>San Ramón</t>
  </si>
  <si>
    <t>Antequera</t>
  </si>
  <si>
    <t>Ravelo</t>
  </si>
  <si>
    <t>Machacamarca</t>
  </si>
  <si>
    <t>Tacopaya</t>
  </si>
  <si>
    <t>Chacarilla</t>
  </si>
  <si>
    <t>Santiago de Machaca</t>
  </si>
  <si>
    <t>Cochabamba</t>
  </si>
  <si>
    <t>Pocoata</t>
  </si>
  <si>
    <t>Boyuibe</t>
  </si>
  <si>
    <t>Quiabaya</t>
  </si>
  <si>
    <t>Belén de Andamarca</t>
  </si>
  <si>
    <t>Omereque</t>
  </si>
  <si>
    <t>Oruro</t>
  </si>
  <si>
    <t>Saipina</t>
  </si>
  <si>
    <t>San Lorenzo</t>
  </si>
  <si>
    <t>San Antonio de Esmoruco</t>
  </si>
  <si>
    <t>Toro Toro</t>
  </si>
  <si>
    <t>Combaya</t>
  </si>
  <si>
    <t>Tapacarí</t>
  </si>
  <si>
    <t>San Joaquín</t>
  </si>
  <si>
    <t>Tarvita</t>
  </si>
  <si>
    <t>Cocapata</t>
  </si>
  <si>
    <t>Villa Libertad Licoma</t>
  </si>
  <si>
    <t>Potosi</t>
  </si>
  <si>
    <t>Pampa Aullagas</t>
  </si>
  <si>
    <t>La Asunta</t>
  </si>
  <si>
    <t>Villa Abecia</t>
  </si>
  <si>
    <t>Zudañez</t>
  </si>
  <si>
    <t>Cuevo</t>
  </si>
  <si>
    <t>Lagunillas</t>
  </si>
  <si>
    <t>San Javier</t>
  </si>
  <si>
    <t>Tarija</t>
  </si>
  <si>
    <t>Urubichá</t>
  </si>
  <si>
    <t>Caripuyo</t>
  </si>
  <si>
    <t>San Rafael</t>
  </si>
  <si>
    <t>Presto</t>
  </si>
  <si>
    <t>Bella Flor</t>
  </si>
  <si>
    <t>Caquiaviri</t>
  </si>
  <si>
    <t>Loreto</t>
  </si>
  <si>
    <t>Villa Alcalá</t>
  </si>
  <si>
    <t>Santa Cruz</t>
  </si>
  <si>
    <t>San Pablo de Lipez</t>
  </si>
  <si>
    <t>Incahuasi</t>
  </si>
  <si>
    <t>El Puente</t>
  </si>
  <si>
    <t>Las Carreras</t>
  </si>
  <si>
    <t>San Andrés de Machaca</t>
  </si>
  <si>
    <t>Okinawa Uno</t>
  </si>
  <si>
    <t>Beni</t>
  </si>
  <si>
    <t>Charaña</t>
  </si>
  <si>
    <t>Yanacachi</t>
  </si>
  <si>
    <t>Charagua</t>
  </si>
  <si>
    <t>Sicaya</t>
  </si>
  <si>
    <t>Waldo Ballivian</t>
  </si>
  <si>
    <t>Exaltación</t>
  </si>
  <si>
    <t>Icla</t>
  </si>
  <si>
    <t>Collana</t>
  </si>
  <si>
    <t>Ayata</t>
  </si>
  <si>
    <t>Pando</t>
  </si>
  <si>
    <t>Huatajata</t>
  </si>
  <si>
    <t>Arampampa</t>
  </si>
  <si>
    <t>Yunchará</t>
  </si>
  <si>
    <t>Padilla</t>
  </si>
  <si>
    <t>Malla</t>
  </si>
  <si>
    <t>Curva</t>
  </si>
  <si>
    <t>Bolivia</t>
  </si>
  <si>
    <t>Curahuara de Carangas</t>
  </si>
  <si>
    <t>Escara</t>
  </si>
  <si>
    <t>Mocomoco</t>
  </si>
  <si>
    <t>Desaguadero</t>
  </si>
  <si>
    <t>Cotagaita</t>
  </si>
  <si>
    <t>Porvenir</t>
  </si>
  <si>
    <t>Humanata</t>
  </si>
  <si>
    <t>Tomina</t>
  </si>
  <si>
    <t>Baures</t>
  </si>
  <si>
    <t>Colquechaca</t>
  </si>
  <si>
    <t>Atocha</t>
  </si>
  <si>
    <t>Sopachuy</t>
  </si>
  <si>
    <t>Mairana</t>
  </si>
  <si>
    <t>Taraco</t>
  </si>
  <si>
    <t>Puerto Acosta</t>
  </si>
  <si>
    <t>Toledo</t>
  </si>
  <si>
    <t>El Villar</t>
  </si>
  <si>
    <t>Eucaliptus</t>
  </si>
  <si>
    <t>Arque</t>
  </si>
  <si>
    <t>Monteagudo</t>
  </si>
  <si>
    <t>Tomave</t>
  </si>
  <si>
    <t>Puerto Rico</t>
  </si>
  <si>
    <t>Ichoca</t>
  </si>
  <si>
    <t>San Buenaventura</t>
  </si>
  <si>
    <t>San Pedro de Totora</t>
  </si>
  <si>
    <t>Tito Yupanqui</t>
  </si>
  <si>
    <t>Tarabuco</t>
  </si>
  <si>
    <t>Pazña</t>
  </si>
  <si>
    <t>Inquisivi</t>
  </si>
  <si>
    <t>Yamparáez</t>
  </si>
  <si>
    <t>Tipuani</t>
  </si>
  <si>
    <t>Gutiérrez</t>
  </si>
  <si>
    <t>Magdalena</t>
  </si>
  <si>
    <t>Camargo</t>
  </si>
  <si>
    <t>Turco</t>
  </si>
  <si>
    <t>Pasorapa</t>
  </si>
  <si>
    <t>Macharetí</t>
  </si>
  <si>
    <t>San Lucas</t>
  </si>
  <si>
    <t>Comanche</t>
  </si>
  <si>
    <t>Cajuata</t>
  </si>
  <si>
    <t>Villa Charcas</t>
  </si>
  <si>
    <t>Llica</t>
  </si>
  <si>
    <t>Santiago de Andamarca</t>
  </si>
  <si>
    <t>Anzaldo</t>
  </si>
  <si>
    <t>Villa Serrano</t>
  </si>
  <si>
    <t>Sacabamba</t>
  </si>
  <si>
    <t>San Benito</t>
  </si>
  <si>
    <t>Culpina</t>
  </si>
  <si>
    <t>Portachuelo</t>
  </si>
  <si>
    <t>Chua Cocani</t>
  </si>
  <si>
    <t>Pampa Grande</t>
  </si>
  <si>
    <t>Fernández Alonso</t>
  </si>
  <si>
    <t>Roboré</t>
  </si>
  <si>
    <t>Villa Rivero</t>
  </si>
  <si>
    <t>Buena Vista</t>
  </si>
  <si>
    <t>Puerto Quijarro</t>
  </si>
  <si>
    <t>Porco</t>
  </si>
  <si>
    <t>Mapiri</t>
  </si>
  <si>
    <t>Palca</t>
  </si>
  <si>
    <t>Acasio</t>
  </si>
  <si>
    <t>Mecapaca</t>
  </si>
  <si>
    <t>Tarata</t>
  </si>
  <si>
    <t>Sapahaqui</t>
  </si>
  <si>
    <t>Sabaya</t>
  </si>
  <si>
    <t>Achocalla</t>
  </si>
  <si>
    <t>Ckochas</t>
  </si>
  <si>
    <t>Santivañez</t>
  </si>
  <si>
    <t>Morochata</t>
  </si>
  <si>
    <t>El Alto</t>
  </si>
  <si>
    <t>Arani</t>
  </si>
  <si>
    <t>Totora</t>
  </si>
  <si>
    <t>Achacachi</t>
  </si>
  <si>
    <t>Aucapata</t>
  </si>
  <si>
    <t>Ancoraimes</t>
  </si>
  <si>
    <t>San Pedro de Tiquina</t>
  </si>
  <si>
    <t>Alto Beni</t>
  </si>
  <si>
    <t>Guaqui</t>
  </si>
  <si>
    <t>Huarina</t>
  </si>
  <si>
    <t>Porongo</t>
  </si>
  <si>
    <t>Santiago de Huata</t>
  </si>
  <si>
    <t>Corque</t>
  </si>
  <si>
    <t>Cairoma</t>
  </si>
  <si>
    <t>Samaipata</t>
  </si>
  <si>
    <t>Caraparí</t>
  </si>
  <si>
    <t>Ixiamas</t>
  </si>
  <si>
    <t>Villa Tunari</t>
  </si>
  <si>
    <t>Coro Coro</t>
  </si>
  <si>
    <t>Papel Pampa</t>
  </si>
  <si>
    <t>Yaco</t>
  </si>
  <si>
    <t>Puerto Pérez</t>
  </si>
  <si>
    <t>Teoponte</t>
  </si>
  <si>
    <t>San Miguel de Velasco</t>
  </si>
  <si>
    <t>Cliza</t>
  </si>
  <si>
    <t>Tacacoma</t>
  </si>
  <si>
    <t>Santa Ana de Yacuma</t>
  </si>
  <si>
    <t>Pojo</t>
  </si>
  <si>
    <t>Puerto Suarez</t>
  </si>
  <si>
    <t>Yocalla</t>
  </si>
  <si>
    <t>Poopó</t>
  </si>
  <si>
    <t>Comarapa</t>
  </si>
  <si>
    <t>Jesús de Machaca</t>
  </si>
  <si>
    <t>Independencia</t>
  </si>
  <si>
    <t>San Matías</t>
  </si>
  <si>
    <t>Colcapirhua</t>
  </si>
  <si>
    <t>San Andrés</t>
  </si>
  <si>
    <t>Huanuni</t>
  </si>
  <si>
    <t>Reyes</t>
  </si>
  <si>
    <t>Tiahuanacu</t>
  </si>
  <si>
    <t>Ayo Ayo</t>
  </si>
  <si>
    <t>Chaquí</t>
  </si>
  <si>
    <t>Coripata</t>
  </si>
  <si>
    <t>Camiri</t>
  </si>
  <si>
    <t>Escoma</t>
  </si>
  <si>
    <t>Entre Ríos</t>
  </si>
  <si>
    <t>Mizque</t>
  </si>
  <si>
    <t>San Carlos</t>
  </si>
  <si>
    <t>Chuma</t>
  </si>
  <si>
    <t>Soracachi</t>
  </si>
  <si>
    <t>Chayanta</t>
  </si>
  <si>
    <t>Colquencha</t>
  </si>
  <si>
    <t>Mineros</t>
  </si>
  <si>
    <t>Quime</t>
  </si>
  <si>
    <t>Umala</t>
  </si>
  <si>
    <t>Sorata</t>
  </si>
  <si>
    <t>Vitichi</t>
  </si>
  <si>
    <t>Uriondo</t>
  </si>
  <si>
    <t>Guanay</t>
  </si>
  <si>
    <t>Chimoré</t>
  </si>
  <si>
    <t>Vacas</t>
  </si>
  <si>
    <t>Cuatro Cañadas</t>
  </si>
  <si>
    <t>Punata</t>
  </si>
  <si>
    <t>Apolo</t>
  </si>
  <si>
    <t>Pocona</t>
  </si>
  <si>
    <t>Shinahota</t>
  </si>
  <si>
    <t>Viacha</t>
  </si>
  <si>
    <t>Chulumani</t>
  </si>
  <si>
    <t>Rurrenabaque</t>
  </si>
  <si>
    <t>Challapata</t>
  </si>
  <si>
    <t>Concepción</t>
  </si>
  <si>
    <t>Calamarca</t>
  </si>
  <si>
    <t>Cabezas</t>
  </si>
  <si>
    <t>Copacabana</t>
  </si>
  <si>
    <t>Aiquile</t>
  </si>
  <si>
    <t>Luribay</t>
  </si>
  <si>
    <t>Bermejo</t>
  </si>
  <si>
    <t>Pucarani</t>
  </si>
  <si>
    <t>Santa Rosa del Sara</t>
  </si>
  <si>
    <t>Vallegrande</t>
  </si>
  <si>
    <t>Palos Blancos</t>
  </si>
  <si>
    <t>Arbieto</t>
  </si>
  <si>
    <t>Caranavi</t>
  </si>
  <si>
    <t>Sica Sica</t>
  </si>
  <si>
    <t>San Ignacio</t>
  </si>
  <si>
    <t>Cotoca</t>
  </si>
  <si>
    <t>Uncía</t>
  </si>
  <si>
    <t>Puna</t>
  </si>
  <si>
    <t>Betanzos</t>
  </si>
  <si>
    <t>Laja</t>
  </si>
  <si>
    <t>Colquiri</t>
  </si>
  <si>
    <t>Capinota</t>
  </si>
  <si>
    <t>Puerto Villarroel</t>
  </si>
  <si>
    <t>Villa San Lorenzo</t>
  </si>
  <si>
    <t>Pailón</t>
  </si>
  <si>
    <t>Irupana</t>
  </si>
  <si>
    <t>Padcaya</t>
  </si>
  <si>
    <t>Colomi</t>
  </si>
  <si>
    <t>San Borja</t>
  </si>
  <si>
    <t>Batallas</t>
  </si>
  <si>
    <t>Yapacaní</t>
  </si>
  <si>
    <t>San Ignacio de Velasco</t>
  </si>
  <si>
    <t>Patacamaya</t>
  </si>
  <si>
    <t>Cobija</t>
  </si>
  <si>
    <t>Tiraque</t>
  </si>
  <si>
    <t>Tiquipaya</t>
  </si>
  <si>
    <t>Coroico</t>
  </si>
  <si>
    <t>San Julián</t>
  </si>
  <si>
    <t>Caracollo</t>
  </si>
  <si>
    <t>Guayaramerín</t>
  </si>
  <si>
    <t>Vinto</t>
  </si>
  <si>
    <t>Uyuni</t>
  </si>
  <si>
    <t>Tupiza</t>
  </si>
  <si>
    <t>El Torno</t>
  </si>
  <si>
    <t>Sipe Sipe</t>
  </si>
  <si>
    <t>Villazón</t>
  </si>
  <si>
    <t>La Guardia</t>
  </si>
  <si>
    <t>Llallagua</t>
  </si>
  <si>
    <t>Riberalta</t>
  </si>
  <si>
    <t>Yacuiba</t>
  </si>
  <si>
    <t>Warnes</t>
  </si>
  <si>
    <t>Quillacollo</t>
  </si>
  <si>
    <t>Montero</t>
  </si>
  <si>
    <t>Trinidad</t>
  </si>
  <si>
    <t>Potosí</t>
  </si>
  <si>
    <t>Sacaba</t>
  </si>
  <si>
    <t>Santa Cruz de la Sierra</t>
  </si>
  <si>
    <t>ODS</t>
  </si>
  <si>
    <t>id</t>
  </si>
  <si>
    <t>Villa Azurduy</t>
  </si>
  <si>
    <t>Villa Mojocoya</t>
  </si>
  <si>
    <t>San Pablo de Huacareta</t>
  </si>
  <si>
    <t>Nuestra Señora de La Paz</t>
  </si>
  <si>
    <t>Santiago de Callapa</t>
  </si>
  <si>
    <t>Puerto Mayor de Carabuco</t>
  </si>
  <si>
    <t>General Juan José Pérez (Charazani)</t>
  </si>
  <si>
    <t>San Pedro de Curahuara</t>
  </si>
  <si>
    <t>Toco</t>
  </si>
  <si>
    <t>TIOC-Raqaypampa</t>
  </si>
  <si>
    <t>Cuchumuela (Villa Gualberto Villarroel)</t>
  </si>
  <si>
    <t>Bolivar</t>
  </si>
  <si>
    <t>Santuario de Quillacas</t>
  </si>
  <si>
    <t>Choquecota</t>
  </si>
  <si>
    <t>Yunguyo del Litoral</t>
  </si>
  <si>
    <t>Salinas de Garcí Mendoza</t>
  </si>
  <si>
    <t>Santiago de Huari</t>
  </si>
  <si>
    <t>San Pedro de Macha</t>
  </si>
  <si>
    <t>Caiza "D"</t>
  </si>
  <si>
    <t>Villa Montes</t>
  </si>
  <si>
    <t>San Juan</t>
  </si>
  <si>
    <t>San José de Chiquitos</t>
  </si>
  <si>
    <t>Colpa Bélgica</t>
  </si>
  <si>
    <t>Postrervalle</t>
  </si>
  <si>
    <t>Pucará</t>
  </si>
  <si>
    <t>General Saavedra</t>
  </si>
  <si>
    <t>San Antonio de Lomerio</t>
  </si>
  <si>
    <t>El Carmen Rivero Tórrez</t>
  </si>
  <si>
    <t>Ascención de Guarayos</t>
  </si>
  <si>
    <t>Puerto Gonzalo Moreno</t>
  </si>
  <si>
    <t>Sena</t>
  </si>
  <si>
    <t>DEPARTAMENTO</t>
  </si>
  <si>
    <t>PROVINCIA</t>
  </si>
  <si>
    <t>MUNICIPIO</t>
  </si>
  <si>
    <t>Oropeza</t>
  </si>
  <si>
    <t>Zudáñez</t>
  </si>
  <si>
    <t>Hernando Siles</t>
  </si>
  <si>
    <t>Nor Cinti</t>
  </si>
  <si>
    <t>Belisario Boeto</t>
  </si>
  <si>
    <t>Sur Cinti</t>
  </si>
  <si>
    <t>Luis Calvo</t>
  </si>
  <si>
    <t>Villa Vaca Guzman</t>
  </si>
  <si>
    <t>Murillo</t>
  </si>
  <si>
    <t>Omasuyos</t>
  </si>
  <si>
    <t>Pacajes</t>
  </si>
  <si>
    <t>Camacho</t>
  </si>
  <si>
    <t>Muñecas</t>
  </si>
  <si>
    <t>Larecaja</t>
  </si>
  <si>
    <t>Franz Tamayo</t>
  </si>
  <si>
    <t>Loayza</t>
  </si>
  <si>
    <t>Sud Yungas</t>
  </si>
  <si>
    <t>Los Andes</t>
  </si>
  <si>
    <t>Aroma</t>
  </si>
  <si>
    <t>Nor Yungas</t>
  </si>
  <si>
    <t>Abel Iturralde</t>
  </si>
  <si>
    <t>Bautista Saavedra</t>
  </si>
  <si>
    <t>Manco Kapac</t>
  </si>
  <si>
    <t>Gualberto Villarroel</t>
  </si>
  <si>
    <t>Gualberto Villarroe</t>
  </si>
  <si>
    <t>General José Manuel Pando</t>
  </si>
  <si>
    <t>Cercado</t>
  </si>
  <si>
    <t>Campero</t>
  </si>
  <si>
    <t>Ayopaya</t>
  </si>
  <si>
    <t>Esteban Arze</t>
  </si>
  <si>
    <t>Germán Jordán</t>
  </si>
  <si>
    <t>Chapare</t>
  </si>
  <si>
    <t>Carrasco</t>
  </si>
  <si>
    <t>Abaroa</t>
  </si>
  <si>
    <t>Sajama</t>
  </si>
  <si>
    <t>Litoral</t>
  </si>
  <si>
    <t>Pantaleón Dalence</t>
  </si>
  <si>
    <t>Ladislao Cabrera</t>
  </si>
  <si>
    <t>Saucarí</t>
  </si>
  <si>
    <t>Tomás Barrón</t>
  </si>
  <si>
    <t>Sur Carangas</t>
  </si>
  <si>
    <t>Sebastián Pagador</t>
  </si>
  <si>
    <t>Mejillones</t>
  </si>
  <si>
    <t>Nor Carangas</t>
  </si>
  <si>
    <t>Huayllamarca (Santiago de Huayllamarca)</t>
  </si>
  <si>
    <t>Tomás Frías</t>
  </si>
  <si>
    <t>Belén de Urmiri</t>
  </si>
  <si>
    <t>Rafael Bustillo</t>
  </si>
  <si>
    <t>Chuquihuta - Ayllu Jucumani</t>
  </si>
  <si>
    <t>Cornelio Saavedra</t>
  </si>
  <si>
    <t>Chárcas</t>
  </si>
  <si>
    <t>San Pedro de Buena Vista</t>
  </si>
  <si>
    <t>Nor Chichas</t>
  </si>
  <si>
    <t>Alonso de Ibáñez</t>
  </si>
  <si>
    <t>Sacaca (Villa de Sacaca)</t>
  </si>
  <si>
    <t>Sur Chichas</t>
  </si>
  <si>
    <t>Nor Lipez</t>
  </si>
  <si>
    <t>Colcha ''K'' (Villa Martin)</t>
  </si>
  <si>
    <t>Sur Lipez</t>
  </si>
  <si>
    <t>José María Linares</t>
  </si>
  <si>
    <t>Antonio Quijarro</t>
  </si>
  <si>
    <t>TIOC-Jatun Ayllu Yura</t>
  </si>
  <si>
    <t>General Bilbao</t>
  </si>
  <si>
    <t>Daniel Campos</t>
  </si>
  <si>
    <t>Modesto Omiste</t>
  </si>
  <si>
    <t>Enrique Baldivieso</t>
  </si>
  <si>
    <t>Arce</t>
  </si>
  <si>
    <t>Gran Chaco</t>
  </si>
  <si>
    <t>Avilés</t>
  </si>
  <si>
    <t>Méndez</t>
  </si>
  <si>
    <t>O'Connor</t>
  </si>
  <si>
    <t>Andrés Ibáñez</t>
  </si>
  <si>
    <t>Velasco</t>
  </si>
  <si>
    <t>Ichilo</t>
  </si>
  <si>
    <t>Chiquitos</t>
  </si>
  <si>
    <t>Sara</t>
  </si>
  <si>
    <t>Cordillera</t>
  </si>
  <si>
    <t>Florida</t>
  </si>
  <si>
    <t>Obispo Santistéban</t>
  </si>
  <si>
    <t>Ñuflo De Chávez</t>
  </si>
  <si>
    <t>Angel Sandoval</t>
  </si>
  <si>
    <t>Manuel María Caballero</t>
  </si>
  <si>
    <t>Germán Busch</t>
  </si>
  <si>
    <t>Guarayos</t>
  </si>
  <si>
    <t>Vaca Diez</t>
  </si>
  <si>
    <t>General José Ballivián</t>
  </si>
  <si>
    <t>Yacuma</t>
  </si>
  <si>
    <t>Moxos</t>
  </si>
  <si>
    <t>Marbán</t>
  </si>
  <si>
    <t>Mamoré</t>
  </si>
  <si>
    <t>Iténez</t>
  </si>
  <si>
    <t>TIOC-Territorio Indigena Multiétnico</t>
  </si>
  <si>
    <t>Nicolás Suárez</t>
  </si>
  <si>
    <t>Manuripi</t>
  </si>
  <si>
    <t>Madre de Dios</t>
  </si>
  <si>
    <t>Abuná</t>
  </si>
  <si>
    <t>Santa Rosa del Abuná</t>
  </si>
  <si>
    <t>Federico Román</t>
  </si>
  <si>
    <t>Villa Nueva (Loma Alta)</t>
  </si>
  <si>
    <t>id_departamento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</si>
  <si>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</si>
  <si>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</si>
  <si>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</si>
  <si>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</si>
  <si>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</si>
  <si>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</si>
  <si>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</si>
  <si>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</si>
  <si>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</si>
  <si>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Codigo</t>
  </si>
  <si>
    <t>Municipio</t>
  </si>
  <si>
    <t>Umbral 2012</t>
  </si>
  <si>
    <t>Mojocoya</t>
  </si>
  <si>
    <t>Alcalá</t>
  </si>
  <si>
    <t>Huacareta</t>
  </si>
  <si>
    <t>Villa Vaca Guzmán</t>
  </si>
  <si>
    <t>Huacaya (Autonomía Guaraní Chaqueño de Huacaya)</t>
  </si>
  <si>
    <t>Villa Ancoraimes</t>
  </si>
  <si>
    <t>Corocoro</t>
  </si>
  <si>
    <t>Waldo Ballivián</t>
  </si>
  <si>
    <t>Puerto Mayor de Guaqui</t>
  </si>
  <si>
    <t>La (Marka) San Andrés de Machaca</t>
  </si>
  <si>
    <t>Jesús de Machaka</t>
  </si>
  <si>
    <t>Sicasica</t>
  </si>
  <si>
    <t>Charazani</t>
  </si>
  <si>
    <t>Santiváñez</t>
  </si>
  <si>
    <t>Sipesipe</t>
  </si>
  <si>
    <t>Villa Gualberto Villarroel</t>
  </si>
  <si>
    <t>Bolívar</t>
  </si>
  <si>
    <t>Paria</t>
  </si>
  <si>
    <t>Salinas de Garci Mendoza (Autonomía Indígena Originario Campesina de Salinas)</t>
  </si>
  <si>
    <t>Uru Chipaya (Nación Originaria Uru Chipaya)</t>
  </si>
  <si>
    <t>Andamarca</t>
  </si>
  <si>
    <t>Santiago de Huayllamarca</t>
  </si>
  <si>
    <t>Urmiri</t>
  </si>
  <si>
    <t>Chuquihuta Ayllu Jucumani</t>
  </si>
  <si>
    <t>Sacaca</t>
  </si>
  <si>
    <t>Colcha "K"</t>
  </si>
  <si>
    <t>San Pablo</t>
  </si>
  <si>
    <t>San Miguel</t>
  </si>
  <si>
    <t>San José</t>
  </si>
  <si>
    <t>Charagua (Autonomía Guaraní Charagua Iyambae)</t>
  </si>
  <si>
    <t>Gutiérrez (Autonomía Indígena Kereimba Iyaambae)</t>
  </si>
  <si>
    <t>Moromoro</t>
  </si>
  <si>
    <t>Pampagrande</t>
  </si>
  <si>
    <t>Puerto Suárez</t>
  </si>
  <si>
    <t>Puerto Menor de Rurrenabaque</t>
  </si>
  <si>
    <t>Santa Ana</t>
  </si>
  <si>
    <t>TIOC-Territorio Indígena Multiétnico</t>
  </si>
  <si>
    <t>Villa Nueva</t>
  </si>
  <si>
    <t>sdg9_comunicación 2012</t>
  </si>
  <si>
    <t>sdg9_comunicación 2024</t>
  </si>
  <si>
    <t>(En número y porcentaje)</t>
  </si>
  <si>
    <t>N°</t>
  </si>
  <si>
    <t>NIVEL</t>
  </si>
  <si>
    <t>MUNICIPIO/TIOC</t>
  </si>
  <si>
    <t>ÁREA</t>
  </si>
  <si>
    <t>Total</t>
  </si>
  <si>
    <t>Sin especificar</t>
  </si>
  <si>
    <t>País</t>
  </si>
  <si>
    <t>Urbana</t>
  </si>
  <si>
    <t>Rural</t>
  </si>
  <si>
    <t>Provincia</t>
  </si>
  <si>
    <t>Municipio/TIOC</t>
  </si>
  <si>
    <t>Sud Cinti</t>
  </si>
  <si>
    <t>Sur Yungas</t>
  </si>
  <si>
    <t>Charcas</t>
  </si>
  <si>
    <t>Nor Lípez</t>
  </si>
  <si>
    <t>Sur Lípez</t>
  </si>
  <si>
    <t>General Bernardino Bilbao</t>
  </si>
  <si>
    <t>Avilez</t>
  </si>
  <si>
    <t>Valle Grande</t>
  </si>
  <si>
    <t>Obispo Santisteban</t>
  </si>
  <si>
    <t>Ñuflo de Chávez</t>
  </si>
  <si>
    <t>Ángel Sandoval</t>
  </si>
  <si>
    <t>Territorio Indígena Multiétnico</t>
  </si>
  <si>
    <t>Índice</t>
  </si>
  <si>
    <t>Cuadro N° 11. INDICADOR COMPLEMENTARIO ODS 8.9.2</t>
  </si>
  <si>
    <t>BOLIVIA: POBLACIÓN OCUPADA DE 14 O MÁS AÑOS DE EDAD Y PORCENTAJE DE POBLACIÓN OCUPADA EN ACTIVIDADES ECONÓMICAS RELACIONADAS CON EL TURISMO POR CATEGORÍAS SELECCIONADAS, SEGÚN DEPARTAMENTO, PROVINCIA, MUNICIPIO O TERRITORIO INDÍGENA ORIGINARIO CAMPESINO (TIOC) Y ÁREA, CENSOS 2012 Y 2024</t>
  </si>
  <si>
    <t>POBLACIÓN OCUPADA DE 14 O MÁS AÑOS DE EDAD</t>
  </si>
  <si>
    <t>PORCENTAJE DE POBLACIÓN OCUPADA DE 14 O MÁS AÑOS DE EDAD EN ACTIVIDADES ECONÓMICAS RELACIONADAS CON EL TURISMO</t>
  </si>
  <si>
    <t>Sexo</t>
  </si>
  <si>
    <t>Grupo de edad</t>
  </si>
  <si>
    <t>Lugar de nacimiento</t>
  </si>
  <si>
    <t>Declaración de autoidentificación con alguna nación pueblo indígena originario campesino y afroboliviano</t>
  </si>
  <si>
    <r>
      <t>Condición de discapacidad</t>
    </r>
    <r>
      <rPr>
        <b/>
        <vertAlign val="superscript"/>
        <sz val="10"/>
        <color theme="1"/>
        <rFont val="Arial"/>
        <family val="2"/>
      </rPr>
      <t>(2)(3)</t>
    </r>
  </si>
  <si>
    <t>Hombres</t>
  </si>
  <si>
    <t>Mujeres</t>
  </si>
  <si>
    <t>Adolescentes 
(14 a 17 años)</t>
  </si>
  <si>
    <t>Jóvenes 
(18 a 29 años)</t>
  </si>
  <si>
    <t>Adultos 
(30 a 59 años)</t>
  </si>
  <si>
    <t>Adultos mayores
(60 o más años)</t>
  </si>
  <si>
    <t>Nacidos en el país</t>
  </si>
  <si>
    <r>
      <t>Nacidos en otro país</t>
    </r>
    <r>
      <rPr>
        <b/>
        <vertAlign val="superscript"/>
        <sz val="10"/>
        <color theme="1"/>
        <rFont val="Arial"/>
        <family val="2"/>
      </rPr>
      <t>(1)</t>
    </r>
  </si>
  <si>
    <t>Se autoidentifica</t>
  </si>
  <si>
    <t>No se autoidentifica</t>
  </si>
  <si>
    <t>Tiene discapacidad</t>
  </si>
  <si>
    <t>No tiene discapacidad</t>
  </si>
  <si>
    <t>Fuente: Instituto Nacional de Estadística</t>
  </si>
  <si>
    <r>
      <t>Para efectos comparativos con el Censo 2012, los resultados del Censo 2024 están de acuerdo con las definiciones de la décimo tercera Conferencia  Internacional de Estadísticos del Trabajo (13.</t>
    </r>
    <r>
      <rPr>
        <vertAlign val="superscript"/>
        <sz val="8"/>
        <rFont val="Arial"/>
        <family val="2"/>
      </rPr>
      <t>a</t>
    </r>
    <r>
      <rPr>
        <sz val="8"/>
        <rFont val="Arial"/>
        <family val="2"/>
      </rPr>
      <t xml:space="preserve"> CIET). 
 No incluye personas que residen habitualmente en el exterior o no especifican residencia habitual y que no especifican su condición de actividad.</t>
    </r>
  </si>
  <si>
    <t>(1) Corresponde a personas que declararon haber nacido en otro país que no sea Bolivia.</t>
  </si>
  <si>
    <t>(2) Condición de discapacidad según la metodología del Grupo de Washington, es la clasificación de personas de 5 o más años de edad con alguna dificultad permanente con categorías de respuesta "mucha" o "total dificultad" en alguno de sus cuatro dominios(ver glosario).</t>
  </si>
  <si>
    <t>(3) Corresponde a la población de 5 o más años de edad, residente habitual y que no declararon en la pregunta.</t>
  </si>
  <si>
    <t>2012 poblacion</t>
  </si>
  <si>
    <t>2024 poblacion</t>
  </si>
  <si>
    <t>Porcentaje de población ocupada de 14 o más años de edad en actividades económicas relacionadas con el turismo</t>
  </si>
  <si>
    <t>Porcentaje de población ocupada de 14 o más años de edad en actividades económicas relacionadas con el turismo 2012</t>
  </si>
  <si>
    <t>Porcentaje de población ocupada de 14 o más años de edad en actividades económicas relacionadas con el turismo 2024</t>
  </si>
  <si>
    <t xml:space="preserve"> Población ocupada de 14 o más años de edad en actividades económicas relacionadas con el turismo 2012</t>
  </si>
  <si>
    <t xml:space="preserve"> Población ocupada de 14 o más años de edad en actividades económicas relacionadas con el turismo 2024</t>
  </si>
  <si>
    <t>Población ocupada / Turismo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</si>
</sst>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??_);_(@_)"/>
    <numFmt numFmtId="165" formatCode="0.0"/>
    <numFmt numFmtId="166" formatCode="#,##0.0"/>
    <numFmt numFmtId="167" formatCode="0.000"/>
  </numFmts>
  <fonts count="38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9"/>
      <name val="Aptos Display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b/>
      <sz val="10"/>
      <color rgb="FF17223D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  <scheme val="minor"/>
    </font>
    <font>
      <b/>
      <vertAlign val="superscript"/>
      <sz val="10"/>
      <color theme="1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0"/>
      <color rgb="FF000000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u/>
      <sz val="8"/>
      <color theme="10"/>
      <name val="Arial"/>
      <family val="2"/>
    </font>
    <font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D8CAF"/>
        <bgColor indexed="64"/>
      </patternFill>
    </fill>
    <fill>
      <patternFill patternType="solid">
        <fgColor rgb="FF729CB7"/>
        <bgColor indexed="64"/>
      </patternFill>
    </fill>
    <fill>
      <patternFill patternType="solid">
        <fgColor rgb="FF9CC2D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8ECEF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5">
    <xf numFmtId="0" fontId="0" fillId="0" borderId="0"/>
    <xf numFmtId="0" fontId="8" fillId="0" borderId="0"/>
    <xf numFmtId="0" fontId="12" fillId="0" borderId="0"/>
    <xf numFmtId="0" fontId="13" fillId="0" borderId="0"/>
    <xf numFmtId="0" fontId="16" fillId="0" borderId="0"/>
    <xf numFmtId="0" fontId="4" fillId="0" borderId="0"/>
    <xf numFmtId="0" fontId="3" fillId="0" borderId="0"/>
    <xf numFmtId="0" fontId="19" fillId="0" borderId="0"/>
    <xf numFmtId="0" fontId="20" fillId="0" borderId="0" applyNumberFormat="0" applyFill="0" applyBorder="0" applyAlignment="0" applyProtection="0"/>
    <xf numFmtId="0" fontId="3" fillId="0" borderId="0"/>
    <xf numFmtId="0" fontId="25" fillId="0" borderId="0"/>
    <xf numFmtId="0" fontId="3" fillId="0" borderId="0"/>
    <xf numFmtId="0" fontId="31" fillId="0" borderId="0"/>
    <xf numFmtId="0" fontId="2" fillId="0" borderId="0"/>
    <xf numFmtId="0" fontId="19" fillId="0" borderId="0"/>
    <xf numFmtId="0" fontId="20" fillId="0" borderId="0" applyNumberFormat="0" applyFill="0" applyBorder="0" applyAlignment="0" applyProtection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7" fillId="0" borderId="0"/>
    <xf numFmtId="0" fontId="1" fillId="0" borderId="0"/>
  </cellStyleXfs>
  <cellXfs count="170">
    <xf numFmtId="0" fontId="0" fillId="0" borderId="0" xfId="0"/>
    <xf numFmtId="165" fontId="6" fillId="0" borderId="1" xfId="0" applyNumberFormat="1" applyFont="1" applyBorder="1"/>
    <xf numFmtId="0" fontId="7" fillId="0" borderId="0" xfId="0" applyFont="1"/>
    <xf numFmtId="0" fontId="6" fillId="0" borderId="0" xfId="0" applyFont="1"/>
    <xf numFmtId="165" fontId="6" fillId="0" borderId="0" xfId="0" applyNumberFormat="1" applyFont="1"/>
    <xf numFmtId="2" fontId="6" fillId="0" borderId="1" xfId="0" applyNumberFormat="1" applyFont="1" applyBorder="1"/>
    <xf numFmtId="164" fontId="6" fillId="0" borderId="2" xfId="0" applyNumberFormat="1" applyFont="1" applyBorder="1"/>
    <xf numFmtId="0" fontId="7" fillId="0" borderId="2" xfId="0" applyFont="1" applyBorder="1"/>
    <xf numFmtId="49" fontId="9" fillId="0" borderId="2" xfId="1" applyNumberFormat="1" applyFont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 wrapText="1"/>
    </xf>
    <xf numFmtId="0" fontId="6" fillId="0" borderId="2" xfId="1" applyFont="1" applyBorder="1"/>
    <xf numFmtId="0" fontId="0" fillId="0" borderId="0" xfId="0" applyAlignment="1">
      <alignment horizontal="center" vertical="center"/>
    </xf>
    <xf numFmtId="0" fontId="10" fillId="0" borderId="0" xfId="0" applyFont="1"/>
    <xf numFmtId="0" fontId="11" fillId="0" borderId="0" xfId="0" applyFont="1"/>
    <xf numFmtId="1" fontId="6" fillId="0" borderId="1" xfId="0" applyNumberFormat="1" applyFont="1" applyBorder="1"/>
    <xf numFmtId="0" fontId="12" fillId="0" borderId="0" xfId="2"/>
    <xf numFmtId="0" fontId="12" fillId="0" borderId="2" xfId="2" applyBorder="1"/>
    <xf numFmtId="2" fontId="12" fillId="0" borderId="2" xfId="2" applyNumberFormat="1" applyBorder="1"/>
    <xf numFmtId="0" fontId="14" fillId="2" borderId="2" xfId="3" applyFont="1" applyFill="1" applyBorder="1"/>
    <xf numFmtId="0" fontId="15" fillId="3" borderId="2" xfId="3" applyFont="1" applyFill="1" applyBorder="1" applyAlignment="1">
      <alignment horizontal="center" vertical="center" wrapText="1"/>
    </xf>
    <xf numFmtId="0" fontId="15" fillId="4" borderId="2" xfId="3" applyFont="1" applyFill="1" applyBorder="1" applyAlignment="1">
      <alignment horizontal="center" vertical="center" wrapText="1"/>
    </xf>
    <xf numFmtId="0" fontId="15" fillId="5" borderId="2" xfId="3" applyFont="1" applyFill="1" applyBorder="1" applyAlignment="1">
      <alignment horizontal="center" vertical="center" wrapText="1"/>
    </xf>
    <xf numFmtId="0" fontId="15" fillId="6" borderId="2" xfId="3" applyFont="1" applyFill="1" applyBorder="1" applyAlignment="1">
      <alignment horizontal="center" vertical="center" wrapText="1"/>
    </xf>
    <xf numFmtId="0" fontId="14" fillId="0" borderId="0" xfId="3" applyFont="1"/>
    <xf numFmtId="0" fontId="13" fillId="0" borderId="0" xfId="3"/>
    <xf numFmtId="0" fontId="5" fillId="0" borderId="0" xfId="4" applyFont="1" applyAlignment="1">
      <alignment horizontal="center" wrapText="1"/>
    </xf>
    <xf numFmtId="0" fontId="16" fillId="0" borderId="0" xfId="4" applyAlignment="1">
      <alignment vertical="center" wrapText="1"/>
    </xf>
    <xf numFmtId="0" fontId="16" fillId="0" borderId="0" xfId="4"/>
    <xf numFmtId="0" fontId="16" fillId="0" borderId="0" xfId="4" applyAlignment="1">
      <alignment horizontal="center"/>
    </xf>
    <xf numFmtId="2" fontId="4" fillId="0" borderId="2" xfId="5" applyNumberFormat="1" applyBorder="1"/>
    <xf numFmtId="2" fontId="0" fillId="0" borderId="0" xfId="0" applyNumberFormat="1"/>
    <xf numFmtId="0" fontId="6" fillId="7" borderId="2" xfId="1" applyFont="1" applyFill="1" applyBorder="1"/>
    <xf numFmtId="0" fontId="21" fillId="8" borderId="0" xfId="8" applyFont="1" applyFill="1"/>
    <xf numFmtId="0" fontId="6" fillId="0" borderId="2" xfId="1" applyFont="1" applyBorder="1" applyAlignment="1">
      <alignment horizontal="center" vertical="center"/>
    </xf>
    <xf numFmtId="0" fontId="6" fillId="7" borderId="2" xfId="1" applyFont="1" applyFill="1" applyBorder="1" applyAlignment="1">
      <alignment horizontal="center" vertical="center"/>
    </xf>
    <xf numFmtId="0" fontId="13" fillId="0" borderId="2" xfId="3" applyBorder="1" applyAlignment="1">
      <alignment horizontal="center" vertical="center"/>
    </xf>
    <xf numFmtId="0" fontId="17" fillId="0" borderId="2" xfId="4" applyFont="1" applyBorder="1" applyAlignment="1">
      <alignment horizontal="center" vertical="center" wrapText="1"/>
    </xf>
    <xf numFmtId="0" fontId="5" fillId="0" borderId="2" xfId="4" applyFont="1" applyBorder="1" applyAlignment="1">
      <alignment horizontal="center" wrapText="1"/>
    </xf>
    <xf numFmtId="0" fontId="5" fillId="0" borderId="2" xfId="4" applyFont="1" applyBorder="1" applyAlignment="1">
      <alignment horizontal="center" vertical="center" wrapText="1"/>
    </xf>
    <xf numFmtId="0" fontId="16" fillId="0" borderId="2" xfId="4" applyBorder="1" applyAlignment="1">
      <alignment horizontal="center"/>
    </xf>
    <xf numFmtId="166" fontId="16" fillId="0" borderId="2" xfId="4" applyNumberFormat="1" applyBorder="1" applyAlignment="1">
      <alignment horizontal="center"/>
    </xf>
    <xf numFmtId="2" fontId="0" fillId="0" borderId="2" xfId="0" applyNumberFormat="1" applyBorder="1"/>
    <xf numFmtId="1" fontId="16" fillId="0" borderId="2" xfId="4" applyNumberFormat="1" applyBorder="1" applyAlignment="1">
      <alignment horizontal="center"/>
    </xf>
    <xf numFmtId="0" fontId="18" fillId="0" borderId="0" xfId="13" applyFont="1"/>
    <xf numFmtId="0" fontId="18" fillId="8" borderId="0" xfId="13" applyFont="1" applyFill="1" applyAlignment="1">
      <alignment horizontal="left" vertical="center"/>
    </xf>
    <xf numFmtId="0" fontId="18" fillId="8" borderId="0" xfId="13" applyFont="1" applyFill="1"/>
    <xf numFmtId="0" fontId="19" fillId="0" borderId="0" xfId="14"/>
    <xf numFmtId="166" fontId="18" fillId="0" borderId="0" xfId="13" applyNumberFormat="1" applyFont="1"/>
    <xf numFmtId="0" fontId="22" fillId="8" borderId="0" xfId="13" applyFont="1" applyFill="1" applyAlignment="1">
      <alignment horizontal="left" indent="1"/>
    </xf>
    <xf numFmtId="0" fontId="21" fillId="8" borderId="0" xfId="15" applyFont="1" applyFill="1" applyAlignment="1">
      <alignment horizontal="left" vertical="center"/>
    </xf>
    <xf numFmtId="0" fontId="21" fillId="8" borderId="0" xfId="15" applyFont="1" applyFill="1"/>
    <xf numFmtId="0" fontId="22" fillId="8" borderId="0" xfId="13" applyFont="1" applyFill="1"/>
    <xf numFmtId="3" fontId="18" fillId="8" borderId="0" xfId="13" applyNumberFormat="1" applyFont="1" applyFill="1"/>
    <xf numFmtId="166" fontId="18" fillId="8" borderId="0" xfId="13" applyNumberFormat="1" applyFont="1" applyFill="1"/>
    <xf numFmtId="0" fontId="24" fillId="0" borderId="0" xfId="16" applyFont="1" applyAlignment="1">
      <alignment horizontal="left" indent="1"/>
    </xf>
    <xf numFmtId="0" fontId="33" fillId="8" borderId="0" xfId="13" applyFont="1" applyFill="1" applyAlignment="1">
      <alignment horizontal="left"/>
    </xf>
    <xf numFmtId="0" fontId="18" fillId="8" borderId="0" xfId="13" applyFont="1" applyFill="1" applyAlignment="1">
      <alignment horizontal="left" indent="1"/>
    </xf>
    <xf numFmtId="0" fontId="19" fillId="0" borderId="0" xfId="17" applyFont="1"/>
    <xf numFmtId="0" fontId="18" fillId="8" borderId="0" xfId="18" applyFont="1" applyFill="1"/>
    <xf numFmtId="0" fontId="21" fillId="0" borderId="0" xfId="15" applyFont="1" applyAlignment="1">
      <alignment horizontal="left" vertical="center" indent="1"/>
    </xf>
    <xf numFmtId="0" fontId="18" fillId="8" borderId="0" xfId="18" applyFont="1" applyFill="1" applyAlignment="1">
      <alignment horizontal="left" indent="1"/>
    </xf>
    <xf numFmtId="165" fontId="2" fillId="0" borderId="0" xfId="18" applyNumberFormat="1" applyAlignment="1">
      <alignment horizontal="right" vertical="center"/>
    </xf>
    <xf numFmtId="165" fontId="18" fillId="0" borderId="0" xfId="18" applyNumberFormat="1" applyFont="1" applyAlignment="1">
      <alignment horizontal="left" indent="1"/>
    </xf>
    <xf numFmtId="3" fontId="2" fillId="0" borderId="0" xfId="18" applyNumberFormat="1" applyAlignment="1">
      <alignment horizontal="right" vertical="center"/>
    </xf>
    <xf numFmtId="3" fontId="18" fillId="0" borderId="0" xfId="18" applyNumberFormat="1" applyFont="1" applyAlignment="1">
      <alignment horizontal="left" vertical="center" indent="1"/>
    </xf>
    <xf numFmtId="0" fontId="2" fillId="0" borderId="0" xfId="18"/>
    <xf numFmtId="166" fontId="24" fillId="9" borderId="2" xfId="13" applyNumberFormat="1" applyFont="1" applyFill="1" applyBorder="1" applyAlignment="1">
      <alignment horizontal="center" vertical="center" wrapText="1"/>
    </xf>
    <xf numFmtId="2" fontId="23" fillId="9" borderId="2" xfId="16" applyNumberFormat="1" applyFont="1" applyFill="1" applyBorder="1" applyAlignment="1">
      <alignment horizontal="center" vertical="center" wrapText="1"/>
    </xf>
    <xf numFmtId="3" fontId="24" fillId="9" borderId="2" xfId="13" applyNumberFormat="1" applyFont="1" applyFill="1" applyBorder="1" applyAlignment="1">
      <alignment horizontal="center" vertical="center" wrapText="1"/>
    </xf>
    <xf numFmtId="2" fontId="23" fillId="9" borderId="5" xfId="16" applyNumberFormat="1" applyFont="1" applyFill="1" applyBorder="1" applyAlignment="1">
      <alignment horizontal="center" vertical="center" wrapText="1"/>
    </xf>
    <xf numFmtId="0" fontId="27" fillId="0" borderId="3" xfId="13" applyFont="1" applyBorder="1"/>
    <xf numFmtId="0" fontId="27" fillId="0" borderId="3" xfId="13" applyFont="1" applyBorder="1" applyAlignment="1">
      <alignment horizontal="left" vertical="center"/>
    </xf>
    <xf numFmtId="1" fontId="27" fillId="8" borderId="3" xfId="13" applyNumberFormat="1" applyFont="1" applyFill="1" applyBorder="1" applyAlignment="1">
      <alignment horizontal="left" indent="3"/>
    </xf>
    <xf numFmtId="3" fontId="27" fillId="8" borderId="3" xfId="13" applyNumberFormat="1" applyFont="1" applyFill="1" applyBorder="1" applyAlignment="1">
      <alignment horizontal="left" indent="3"/>
    </xf>
    <xf numFmtId="166" fontId="27" fillId="8" borderId="3" xfId="13" applyNumberFormat="1" applyFont="1" applyFill="1" applyBorder="1" applyAlignment="1">
      <alignment horizontal="left" indent="3"/>
    </xf>
    <xf numFmtId="0" fontId="27" fillId="8" borderId="0" xfId="13" applyFont="1" applyFill="1"/>
    <xf numFmtId="0" fontId="28" fillId="10" borderId="3" xfId="13" applyFont="1" applyFill="1" applyBorder="1" applyAlignment="1">
      <alignment horizontal="right" vertical="center"/>
    </xf>
    <xf numFmtId="0" fontId="28" fillId="10" borderId="3" xfId="13" applyFont="1" applyFill="1" applyBorder="1" applyAlignment="1">
      <alignment horizontal="left" vertical="center"/>
    </xf>
    <xf numFmtId="0" fontId="28" fillId="10" borderId="3" xfId="13" applyFont="1" applyFill="1" applyBorder="1" applyAlignment="1">
      <alignment horizontal="left" vertical="center" indent="1"/>
    </xf>
    <xf numFmtId="3" fontId="28" fillId="10" borderId="3" xfId="13" applyNumberFormat="1" applyFont="1" applyFill="1" applyBorder="1" applyAlignment="1">
      <alignment horizontal="right" vertical="center"/>
    </xf>
    <xf numFmtId="166" fontId="28" fillId="10" borderId="3" xfId="13" applyNumberFormat="1" applyFont="1" applyFill="1" applyBorder="1" applyAlignment="1">
      <alignment vertical="center"/>
    </xf>
    <xf numFmtId="0" fontId="28" fillId="8" borderId="4" xfId="13" applyFont="1" applyFill="1" applyBorder="1" applyAlignment="1">
      <alignment horizontal="right" vertical="center"/>
    </xf>
    <xf numFmtId="0" fontId="28" fillId="8" borderId="4" xfId="13" applyFont="1" applyFill="1" applyBorder="1" applyAlignment="1">
      <alignment horizontal="left" vertical="center"/>
    </xf>
    <xf numFmtId="0" fontId="28" fillId="8" borderId="4" xfId="13" applyFont="1" applyFill="1" applyBorder="1" applyAlignment="1">
      <alignment horizontal="left" vertical="center" indent="2"/>
    </xf>
    <xf numFmtId="3" fontId="28" fillId="8" borderId="4" xfId="13" applyNumberFormat="1" applyFont="1" applyFill="1" applyBorder="1" applyAlignment="1">
      <alignment horizontal="right" vertical="center"/>
    </xf>
    <xf numFmtId="166" fontId="28" fillId="8" borderId="4" xfId="13" applyNumberFormat="1" applyFont="1" applyFill="1" applyBorder="1" applyAlignment="1">
      <alignment vertical="center"/>
    </xf>
    <xf numFmtId="0" fontId="34" fillId="11" borderId="4" xfId="13" applyFont="1" applyFill="1" applyBorder="1" applyAlignment="1">
      <alignment horizontal="right" vertical="center"/>
    </xf>
    <xf numFmtId="0" fontId="34" fillId="11" borderId="4" xfId="13" applyFont="1" applyFill="1" applyBorder="1" applyAlignment="1">
      <alignment horizontal="left" vertical="center"/>
    </xf>
    <xf numFmtId="0" fontId="34" fillId="11" borderId="4" xfId="13" applyFont="1" applyFill="1" applyBorder="1" applyAlignment="1">
      <alignment horizontal="left" vertical="center" indent="2"/>
    </xf>
    <xf numFmtId="3" fontId="34" fillId="11" borderId="4" xfId="13" applyNumberFormat="1" applyFont="1" applyFill="1" applyBorder="1" applyAlignment="1">
      <alignment horizontal="right" vertical="center"/>
    </xf>
    <xf numFmtId="166" fontId="34" fillId="11" borderId="4" xfId="13" applyNumberFormat="1" applyFont="1" applyFill="1" applyBorder="1" applyAlignment="1">
      <alignment vertical="center"/>
    </xf>
    <xf numFmtId="0" fontId="27" fillId="0" borderId="4" xfId="13" applyFont="1" applyBorder="1" applyAlignment="1">
      <alignment horizontal="right" vertical="center"/>
    </xf>
    <xf numFmtId="0" fontId="27" fillId="0" borderId="4" xfId="13" applyFont="1" applyBorder="1" applyAlignment="1">
      <alignment vertical="center"/>
    </xf>
    <xf numFmtId="0" fontId="27" fillId="12" borderId="4" xfId="13" applyFont="1" applyFill="1" applyBorder="1" applyAlignment="1">
      <alignment horizontal="left" vertical="center" indent="3"/>
    </xf>
    <xf numFmtId="3" fontId="27" fillId="12" borderId="4" xfId="13" applyNumberFormat="1" applyFont="1" applyFill="1" applyBorder="1" applyAlignment="1">
      <alignment horizontal="right" vertical="center"/>
    </xf>
    <xf numFmtId="166" fontId="27" fillId="12" borderId="4" xfId="13" applyNumberFormat="1" applyFont="1" applyFill="1" applyBorder="1" applyAlignment="1">
      <alignment vertical="center"/>
    </xf>
    <xf numFmtId="0" fontId="27" fillId="13" borderId="4" xfId="13" applyFont="1" applyFill="1" applyBorder="1" applyAlignment="1">
      <alignment horizontal="right" vertical="center"/>
    </xf>
    <xf numFmtId="0" fontId="27" fillId="13" borderId="4" xfId="13" applyFont="1" applyFill="1" applyBorder="1" applyAlignment="1">
      <alignment horizontal="left" vertical="center"/>
    </xf>
    <xf numFmtId="0" fontId="27" fillId="13" borderId="4" xfId="13" applyFont="1" applyFill="1" applyBorder="1" applyAlignment="1">
      <alignment horizontal="left" vertical="center" indent="3"/>
    </xf>
    <xf numFmtId="3" fontId="27" fillId="13" borderId="4" xfId="13" applyNumberFormat="1" applyFont="1" applyFill="1" applyBorder="1" applyAlignment="1">
      <alignment horizontal="right" vertical="center"/>
    </xf>
    <xf numFmtId="166" fontId="27" fillId="13" borderId="4" xfId="13" applyNumberFormat="1" applyFont="1" applyFill="1" applyBorder="1" applyAlignment="1">
      <alignment vertical="center"/>
    </xf>
    <xf numFmtId="0" fontId="27" fillId="12" borderId="4" xfId="13" applyFont="1" applyFill="1" applyBorder="1" applyAlignment="1">
      <alignment horizontal="left" vertical="center" indent="4"/>
    </xf>
    <xf numFmtId="0" fontId="28" fillId="8" borderId="4" xfId="13" applyFont="1" applyFill="1" applyBorder="1" applyAlignment="1">
      <alignment vertical="center"/>
    </xf>
    <xf numFmtId="0" fontId="34" fillId="11" borderId="4" xfId="13" applyFont="1" applyFill="1" applyBorder="1" applyAlignment="1">
      <alignment vertical="center"/>
    </xf>
    <xf numFmtId="1" fontId="27" fillId="13" borderId="4" xfId="20" applyNumberFormat="1" applyFont="1" applyFill="1" applyBorder="1" applyAlignment="1">
      <alignment vertical="center"/>
    </xf>
    <xf numFmtId="1" fontId="27" fillId="13" borderId="4" xfId="20" applyNumberFormat="1" applyFont="1" applyFill="1" applyBorder="1" applyAlignment="1">
      <alignment horizontal="left" vertical="center" indent="3"/>
    </xf>
    <xf numFmtId="3" fontId="27" fillId="13" borderId="4" xfId="20" applyNumberFormat="1" applyFont="1" applyFill="1" applyBorder="1" applyAlignment="1">
      <alignment horizontal="right" vertical="center"/>
    </xf>
    <xf numFmtId="166" fontId="27" fillId="13" borderId="4" xfId="20" applyNumberFormat="1" applyFont="1" applyFill="1" applyBorder="1" applyAlignment="1">
      <alignment vertical="center"/>
    </xf>
    <xf numFmtId="0" fontId="27" fillId="0" borderId="5" xfId="13" applyFont="1" applyBorder="1" applyAlignment="1">
      <alignment horizontal="right" vertical="center"/>
    </xf>
    <xf numFmtId="0" fontId="27" fillId="0" borderId="5" xfId="13" applyFont="1" applyBorder="1" applyAlignment="1">
      <alignment vertical="center"/>
    </xf>
    <xf numFmtId="0" fontId="27" fillId="12" borderId="5" xfId="13" applyFont="1" applyFill="1" applyBorder="1" applyAlignment="1">
      <alignment horizontal="left" vertical="center" indent="4"/>
    </xf>
    <xf numFmtId="3" fontId="27" fillId="12" borderId="5" xfId="13" applyNumberFormat="1" applyFont="1" applyFill="1" applyBorder="1" applyAlignment="1">
      <alignment horizontal="right" vertical="center"/>
    </xf>
    <xf numFmtId="166" fontId="27" fillId="12" borderId="5" xfId="13" applyNumberFormat="1" applyFont="1" applyFill="1" applyBorder="1" applyAlignment="1">
      <alignment vertical="center"/>
    </xf>
    <xf numFmtId="0" fontId="31" fillId="8" borderId="0" xfId="21" applyFont="1" applyFill="1"/>
    <xf numFmtId="0" fontId="35" fillId="8" borderId="0" xfId="21" applyFont="1" applyFill="1" applyAlignment="1">
      <alignment horizontal="left"/>
    </xf>
    <xf numFmtId="0" fontId="31" fillId="8" borderId="0" xfId="21" applyFont="1" applyFill="1" applyAlignment="1">
      <alignment horizontal="left" vertical="center"/>
    </xf>
    <xf numFmtId="0" fontId="2" fillId="0" borderId="0" xfId="21"/>
    <xf numFmtId="0" fontId="25" fillId="0" borderId="0" xfId="16"/>
    <xf numFmtId="2" fontId="25" fillId="0" borderId="0" xfId="16" applyNumberFormat="1" applyAlignment="1">
      <alignment horizontal="right" vertical="center"/>
    </xf>
    <xf numFmtId="0" fontId="35" fillId="0" borderId="0" xfId="21" applyFont="1" applyAlignment="1">
      <alignment horizontal="left" vertical="center" wrapText="1" indent="4"/>
    </xf>
    <xf numFmtId="0" fontId="31" fillId="8" borderId="0" xfId="22" applyFont="1" applyFill="1"/>
    <xf numFmtId="0" fontId="2" fillId="0" borderId="0" xfId="22"/>
    <xf numFmtId="165" fontId="2" fillId="0" borderId="0" xfId="22" applyNumberFormat="1" applyAlignment="1">
      <alignment horizontal="right" vertical="center"/>
    </xf>
    <xf numFmtId="0" fontId="29" fillId="0" borderId="0" xfId="18" applyFont="1" applyAlignment="1">
      <alignment horizontal="left" vertical="top" indent="4"/>
    </xf>
    <xf numFmtId="0" fontId="29" fillId="0" borderId="0" xfId="22" applyFont="1" applyAlignment="1">
      <alignment horizontal="left" vertical="top" indent="4"/>
    </xf>
    <xf numFmtId="0" fontId="31" fillId="8" borderId="0" xfId="18" applyFont="1" applyFill="1"/>
    <xf numFmtId="0" fontId="36" fillId="0" borderId="0" xfId="15" applyFont="1" applyAlignment="1">
      <alignment vertical="center"/>
    </xf>
    <xf numFmtId="0" fontId="27" fillId="8" borderId="0" xfId="13" applyFont="1" applyFill="1" applyAlignment="1">
      <alignment horizontal="left" vertical="center"/>
    </xf>
    <xf numFmtId="0" fontId="27" fillId="0" borderId="0" xfId="13" applyFont="1"/>
    <xf numFmtId="3" fontId="27" fillId="8" borderId="0" xfId="13" applyNumberFormat="1" applyFont="1" applyFill="1"/>
    <xf numFmtId="166" fontId="27" fillId="8" borderId="0" xfId="13" applyNumberFormat="1" applyFont="1" applyFill="1"/>
    <xf numFmtId="3" fontId="18" fillId="0" borderId="0" xfId="13" applyNumberFormat="1" applyFont="1"/>
    <xf numFmtId="0" fontId="37" fillId="0" borderId="0" xfId="23"/>
    <xf numFmtId="167" fontId="37" fillId="0" borderId="0" xfId="23" applyNumberFormat="1"/>
    <xf numFmtId="0" fontId="37" fillId="0" borderId="2" xfId="23" applyBorder="1"/>
    <xf numFmtId="1" fontId="37" fillId="0" borderId="2" xfId="23" applyNumberFormat="1" applyBorder="1"/>
    <xf numFmtId="167" fontId="37" fillId="0" borderId="2" xfId="23" applyNumberFormat="1" applyBorder="1"/>
    <xf numFmtId="3" fontId="27" fillId="13" borderId="2" xfId="24" applyNumberFormat="1" applyFont="1" applyFill="1" applyBorder="1" applyAlignment="1">
      <alignment horizontal="right" vertical="center"/>
    </xf>
    <xf numFmtId="166" fontId="27" fillId="13" borderId="2" xfId="24" applyNumberFormat="1" applyFont="1" applyFill="1" applyBorder="1" applyAlignment="1">
      <alignment vertical="center"/>
    </xf>
    <xf numFmtId="0" fontId="5" fillId="0" borderId="2" xfId="23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" fontId="32" fillId="8" borderId="2" xfId="0" applyNumberFormat="1" applyFont="1" applyFill="1" applyBorder="1"/>
    <xf numFmtId="2" fontId="32" fillId="8" borderId="2" xfId="0" applyNumberFormat="1" applyFont="1" applyFill="1" applyBorder="1"/>
    <xf numFmtId="2" fontId="6" fillId="0" borderId="2" xfId="0" applyNumberFormat="1" applyFont="1" applyBorder="1"/>
    <xf numFmtId="0" fontId="14" fillId="0" borderId="2" xfId="2" applyFont="1" applyBorder="1" applyAlignment="1">
      <alignment horizontal="center" vertical="center" wrapText="1"/>
    </xf>
    <xf numFmtId="0" fontId="6" fillId="0" borderId="2" xfId="23" applyFont="1" applyBorder="1"/>
    <xf numFmtId="2" fontId="6" fillId="0" borderId="8" xfId="0" applyNumberFormat="1" applyFont="1" applyBorder="1"/>
    <xf numFmtId="2" fontId="37" fillId="0" borderId="2" xfId="23" applyNumberFormat="1" applyBorder="1"/>
    <xf numFmtId="0" fontId="29" fillId="0" borderId="0" xfId="22" applyFont="1" applyAlignment="1">
      <alignment horizontal="left" vertical="top" wrapText="1" indent="4"/>
    </xf>
    <xf numFmtId="2" fontId="23" fillId="9" borderId="6" xfId="16" applyNumberFormat="1" applyFont="1" applyFill="1" applyBorder="1" applyAlignment="1">
      <alignment horizontal="center" vertical="center" wrapText="1"/>
    </xf>
    <xf numFmtId="2" fontId="23" fillId="9" borderId="7" xfId="16" applyNumberFormat="1" applyFont="1" applyFill="1" applyBorder="1" applyAlignment="1">
      <alignment horizontal="center" vertical="center" wrapText="1"/>
    </xf>
    <xf numFmtId="2" fontId="23" fillId="9" borderId="8" xfId="16" applyNumberFormat="1" applyFont="1" applyFill="1" applyBorder="1" applyAlignment="1">
      <alignment horizontal="center" vertical="center" wrapText="1"/>
    </xf>
    <xf numFmtId="0" fontId="24" fillId="9" borderId="2" xfId="13" applyFont="1" applyFill="1" applyBorder="1" applyAlignment="1">
      <alignment horizontal="center" vertical="center" wrapText="1"/>
    </xf>
    <xf numFmtId="3" fontId="24" fillId="9" borderId="3" xfId="13" applyNumberFormat="1" applyFont="1" applyFill="1" applyBorder="1" applyAlignment="1">
      <alignment horizontal="center" vertical="center" wrapText="1"/>
    </xf>
    <xf numFmtId="3" fontId="24" fillId="9" borderId="5" xfId="13" applyNumberFormat="1" applyFont="1" applyFill="1" applyBorder="1" applyAlignment="1">
      <alignment horizontal="center" vertical="center" wrapText="1"/>
    </xf>
    <xf numFmtId="3" fontId="24" fillId="9" borderId="6" xfId="13" applyNumberFormat="1" applyFont="1" applyFill="1" applyBorder="1" applyAlignment="1">
      <alignment horizontal="center" vertical="center" wrapText="1"/>
    </xf>
    <xf numFmtId="3" fontId="24" fillId="9" borderId="7" xfId="13" applyNumberFormat="1" applyFont="1" applyFill="1" applyBorder="1" applyAlignment="1">
      <alignment horizontal="center" vertical="center" wrapText="1"/>
    </xf>
    <xf numFmtId="3" fontId="24" fillId="9" borderId="8" xfId="13" applyNumberFormat="1" applyFont="1" applyFill="1" applyBorder="1" applyAlignment="1">
      <alignment horizontal="center" vertical="center" wrapText="1"/>
    </xf>
    <xf numFmtId="2" fontId="23" fillId="9" borderId="2" xfId="16" applyNumberFormat="1" applyFont="1" applyFill="1" applyBorder="1" applyAlignment="1">
      <alignment horizontal="center" vertical="center" wrapText="1"/>
    </xf>
    <xf numFmtId="0" fontId="24" fillId="9" borderId="2" xfId="19" applyFont="1" applyFill="1" applyBorder="1" applyAlignment="1">
      <alignment horizontal="center" vertical="center" wrapText="1"/>
    </xf>
    <xf numFmtId="0" fontId="24" fillId="9" borderId="6" xfId="13" applyFont="1" applyFill="1" applyBorder="1" applyAlignment="1">
      <alignment horizontal="center" vertical="center" wrapText="1"/>
    </xf>
    <xf numFmtId="0" fontId="24" fillId="9" borderId="7" xfId="13" applyFont="1" applyFill="1" applyBorder="1" applyAlignment="1">
      <alignment horizontal="center" vertical="center" wrapText="1"/>
    </xf>
    <xf numFmtId="0" fontId="24" fillId="9" borderId="8" xfId="13" applyFont="1" applyFill="1" applyBorder="1" applyAlignment="1">
      <alignment horizontal="center" vertical="center" wrapText="1"/>
    </xf>
    <xf numFmtId="3" fontId="12" fillId="0" borderId="2" xfId="2" applyNumberFormat="1" applyBorder="1"/>
    <xf numFmtId="0" fontId="5" fillId="0" borderId="9" xfId="0" applyFont="1" applyBorder="1" applyAlignment="1">
      <alignment vertical="top" wrapText="1"/>
    </xf>
    <xf numFmtId="0" fontId="5" fillId="0" borderId="10" xfId="0" applyFont="1" applyBorder="1" applyAlignment="1">
      <alignment vertical="top" wrapText="1"/>
    </xf>
    <xf numFmtId="0" fontId="6" fillId="0" borderId="11" xfId="0" applyFont="1" applyBorder="1" applyAlignment="1">
      <alignment wrapText="1"/>
    </xf>
    <xf numFmtId="3" fontId="6" fillId="0" borderId="12" xfId="0" applyNumberFormat="1" applyFont="1" applyBorder="1" applyAlignment="1">
      <alignment horizontal="right" wrapText="1"/>
    </xf>
  </cellXfs>
  <cellStyles count="25">
    <cellStyle name="Hipervínculo 2" xfId="8" xr:uid="{28FC412C-CE92-4F59-B2C7-968D802DCB91}"/>
    <cellStyle name="Hipervínculo 2 3" xfId="15" xr:uid="{53F9D827-3B1F-4C13-893C-A73F5EE70579}"/>
    <cellStyle name="Normal" xfId="0" builtinId="0"/>
    <cellStyle name="Normal 10" xfId="7" xr:uid="{D7BC16D8-A936-4593-9B51-BBE6068CEA82}"/>
    <cellStyle name="Normal 10 2" xfId="14" xr:uid="{02D21A70-5CA3-4E8B-A741-7CB5CD421560}"/>
    <cellStyle name="Normal 10 3 2" xfId="21" xr:uid="{37238064-62CB-4725-B5FA-8A66B30D5F8B}"/>
    <cellStyle name="Normal 10 6 2" xfId="17" xr:uid="{5A41C249-C54D-43CA-914E-9C8D90CC976F}"/>
    <cellStyle name="Normal 11 2 2" xfId="22" xr:uid="{B8936F1D-45CF-4FE0-801A-6D15C47BD08F}"/>
    <cellStyle name="Normal 11 5 2" xfId="18" xr:uid="{2E3077AB-9939-4605-AFCC-97364DBE3F0B}"/>
    <cellStyle name="Normal 12 2 2" xfId="13" xr:uid="{22D1DC53-69C1-4E30-86AE-A9F4B77F0F5A}"/>
    <cellStyle name="Normal 2" xfId="3" xr:uid="{9CF6B41A-6E56-4436-83D1-F2AA80A083C3}"/>
    <cellStyle name="Normal 2 2" xfId="4" xr:uid="{14BBE0BA-06FB-4ED2-9B39-8FCD5C417EA7}"/>
    <cellStyle name="Normal 3" xfId="1" xr:uid="{48D2FD1A-FB61-48EB-902A-C032017A9E2D}"/>
    <cellStyle name="Normal 3 2" xfId="9" xr:uid="{2AE236E4-AD16-45B6-8119-3C61D44B576A}"/>
    <cellStyle name="Normal 3 2 2" xfId="16" xr:uid="{07E45088-A9E9-4E05-A31C-9EED6A866E7B}"/>
    <cellStyle name="Normal 3 2 4 2 2" xfId="19" xr:uid="{9D1F881F-6AB7-4B04-A7CB-C47BFB5DCCF6}"/>
    <cellStyle name="Normal 3 3" xfId="10" xr:uid="{526EA533-1CC1-4ECE-BA73-F1D8CE76C0E2}"/>
    <cellStyle name="Normal 4" xfId="5" xr:uid="{FF2609E8-F576-4F8B-A9B4-2F97ED181307}"/>
    <cellStyle name="Normal 5" xfId="2" xr:uid="{F8E27D19-F470-41AC-B28A-CA4F26C3DC3D}"/>
    <cellStyle name="Normal 5 2" xfId="11" xr:uid="{479BFB1E-755B-4FC4-982C-471C603BD969}"/>
    <cellStyle name="Normal 5 4 2 2" xfId="20" xr:uid="{6DBBC31A-92BD-4E9A-9CE6-E50E9794C45A}"/>
    <cellStyle name="Normal 5 4 2 2 2" xfId="24" xr:uid="{C01CE7F6-F5EB-4DBD-8FCA-7C403258F733}"/>
    <cellStyle name="Normal 6" xfId="6" xr:uid="{C05B27E9-85B9-40FB-B5E7-238EF8AF6B6F}"/>
    <cellStyle name="Normal 7" xfId="12" xr:uid="{0A46CF35-032E-4790-812F-3F28A6CA4680}"/>
    <cellStyle name="Normal 8" xfId="23" xr:uid="{A36EE5FD-3799-45A3-92FC-E4F85651A353}"/>
  </cellStyles>
  <dxfs count="8">
    <dxf>
      <fill>
        <patternFill patternType="solid">
          <fgColor rgb="FFEA9999"/>
          <bgColor rgb="FFEA9999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1819275</xdr:colOff>
      <xdr:row>0</xdr:row>
      <xdr:rowOff>0</xdr:rowOff>
    </xdr:from>
    <xdr:to>
      <xdr:col>10</xdr:col>
      <xdr:colOff>76813</xdr:colOff>
      <xdr:row>5</xdr:row>
      <xdr:rowOff>161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5D72030-3C9E-4FB2-B504-FBE924138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1400" y="0"/>
          <a:ext cx="4391638" cy="1152686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0</xdr:row>
      <xdr:rowOff>0</xdr:rowOff>
    </xdr:from>
    <xdr:ext cx="2176798" cy="1250523"/>
    <xdr:pic>
      <xdr:nvPicPr>
        <xdr:cNvPr id="3" name="Imagen 2">
          <a:extLst>
            <a:ext uri="{FF2B5EF4-FFF2-40B4-BE49-F238E27FC236}">
              <a16:creationId xmlns:a16="http://schemas.microsoft.com/office/drawing/2014/main" id="{894DC26E-9D22-432C-914F-C76F3AE16C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0"/>
          <a:ext cx="2176798" cy="125052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0</xdr:row>
      <xdr:rowOff>84650</xdr:rowOff>
    </xdr:from>
    <xdr:to>
      <xdr:col>7</xdr:col>
      <xdr:colOff>457200</xdr:colOff>
      <xdr:row>23</xdr:row>
      <xdr:rowOff>19843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3F299C-92CE-A804-4D87-EF6FB2F91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84650"/>
          <a:ext cx="6067425" cy="409761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05;ndi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Índi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785C7-00E2-4470-B167-ACA3F5675192}">
  <dimension ref="A1:BI1414"/>
  <sheetViews>
    <sheetView showGridLines="0" zoomScaleNormal="100" workbookViewId="0">
      <pane xSplit="7" ySplit="10" topLeftCell="O11" activePane="bottomRight" state="frozen"/>
      <selection activeCell="B1414" sqref="B1414"/>
      <selection pane="topRight" activeCell="B1414" sqref="B1414"/>
      <selection pane="bottomLeft" activeCell="B1414" sqref="B1414"/>
      <selection pane="bottomRight" activeCell="E10" sqref="E10"/>
    </sheetView>
  </sheetViews>
  <sheetFormatPr baseColWidth="10" defaultColWidth="10" defaultRowHeight="13.2" x14ac:dyDescent="0.25"/>
  <cols>
    <col min="1" max="1" width="6.09765625" style="45" bestFit="1" customWidth="1"/>
    <col min="2" max="2" width="5.8984375" style="75" customWidth="1"/>
    <col min="3" max="3" width="12.8984375" style="127" customWidth="1"/>
    <col min="4" max="4" width="15.5" style="75" customWidth="1"/>
    <col min="5" max="5" width="6.59765625" style="127" customWidth="1"/>
    <col min="6" max="6" width="8.09765625" style="127" customWidth="1"/>
    <col min="7" max="7" width="11" style="128" customWidth="1"/>
    <col min="8" max="10" width="12.5" style="129" customWidth="1"/>
    <col min="11" max="11" width="13.59765625" style="129" customWidth="1"/>
    <col min="12" max="13" width="12.5" style="129" customWidth="1"/>
    <col min="14" max="14" width="14.5" style="129" customWidth="1"/>
    <col min="15" max="17" width="12.5" style="129" customWidth="1"/>
    <col min="18" max="19" width="12.5" style="130" customWidth="1"/>
    <col min="20" max="22" width="12.5" style="129" customWidth="1"/>
    <col min="23" max="23" width="14.3984375" style="129" customWidth="1"/>
    <col min="24" max="24" width="12.5" style="130" customWidth="1"/>
    <col min="25" max="31" width="12.5" style="129" customWidth="1"/>
    <col min="32" max="32" width="15" style="129" customWidth="1"/>
    <col min="33" max="42" width="12.5" style="129" customWidth="1"/>
    <col min="43" max="44" width="12.5" style="130" customWidth="1"/>
    <col min="45" max="47" width="12.5" style="129" customWidth="1"/>
    <col min="48" max="48" width="14.59765625" style="129" customWidth="1"/>
    <col min="49" max="50" width="12.5" style="130" customWidth="1"/>
    <col min="51" max="51" width="12.5" style="129" customWidth="1"/>
    <col min="52" max="53" width="12.5" style="130" customWidth="1"/>
    <col min="54" max="54" width="12.5" style="129" customWidth="1"/>
    <col min="55" max="56" width="12.5" style="130" customWidth="1"/>
    <col min="57" max="57" width="12.5" style="129" customWidth="1"/>
    <col min="58" max="16384" width="10" style="75"/>
  </cols>
  <sheetData>
    <row r="1" spans="1:61" s="43" customFormat="1" ht="30.75" customHeight="1" x14ac:dyDescent="0.25">
      <c r="C1" s="44"/>
      <c r="D1" s="45"/>
      <c r="E1" s="44"/>
      <c r="F1" s="44"/>
      <c r="G1" s="46"/>
      <c r="M1" s="131">
        <f>SUM(I11:J11)</f>
        <v>4575789</v>
      </c>
      <c r="AM1" s="47"/>
      <c r="AN1" s="47"/>
      <c r="AO1" s="47"/>
    </row>
    <row r="2" spans="1:61" s="45" customFormat="1" ht="15" customHeight="1" x14ac:dyDescent="0.25">
      <c r="A2" s="32" t="s">
        <v>517</v>
      </c>
      <c r="B2" s="48" t="s">
        <v>518</v>
      </c>
      <c r="C2" s="49"/>
      <c r="D2" s="50"/>
      <c r="E2" s="49"/>
      <c r="F2" s="49"/>
      <c r="G2" s="51"/>
      <c r="H2" s="52"/>
      <c r="I2" s="52"/>
      <c r="J2" s="52"/>
      <c r="K2" s="52"/>
      <c r="L2" s="52"/>
      <c r="M2" s="52"/>
      <c r="N2" s="52"/>
      <c r="O2" s="52"/>
      <c r="P2" s="52"/>
      <c r="Q2" s="52"/>
      <c r="R2" s="53"/>
      <c r="S2" s="53"/>
      <c r="T2" s="52"/>
      <c r="U2" s="52"/>
      <c r="V2" s="52"/>
      <c r="W2" s="52"/>
      <c r="X2" s="53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3"/>
      <c r="AR2" s="53"/>
      <c r="AS2" s="52"/>
      <c r="AT2" s="52"/>
      <c r="AU2" s="52"/>
      <c r="AV2" s="52"/>
      <c r="AW2" s="53"/>
      <c r="AX2" s="53"/>
      <c r="AY2" s="52"/>
      <c r="AZ2" s="53"/>
      <c r="BA2" s="53"/>
      <c r="BB2" s="52"/>
      <c r="BC2" s="53"/>
      <c r="BD2" s="53"/>
      <c r="BE2" s="52"/>
    </row>
    <row r="3" spans="1:61" s="45" customFormat="1" ht="15" customHeight="1" x14ac:dyDescent="0.25">
      <c r="B3" s="54" t="s">
        <v>519</v>
      </c>
      <c r="C3" s="44"/>
      <c r="E3" s="44"/>
      <c r="F3" s="44"/>
      <c r="G3" s="55"/>
      <c r="H3" s="52"/>
      <c r="I3" s="52"/>
      <c r="J3" s="52"/>
      <c r="K3" s="52"/>
      <c r="L3" s="52"/>
      <c r="M3" s="52"/>
      <c r="N3" s="52"/>
      <c r="O3" s="52"/>
      <c r="P3" s="52"/>
      <c r="Q3" s="52"/>
      <c r="R3" s="53"/>
      <c r="S3" s="53"/>
      <c r="T3" s="52"/>
      <c r="U3" s="52"/>
      <c r="V3" s="52"/>
      <c r="W3" s="52"/>
      <c r="X3" s="53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3"/>
      <c r="AR3" s="53"/>
      <c r="AS3" s="52"/>
      <c r="AT3" s="52"/>
      <c r="AU3" s="52"/>
      <c r="AV3" s="52"/>
      <c r="AW3" s="53"/>
      <c r="AX3" s="53"/>
      <c r="AY3" s="52"/>
      <c r="AZ3" s="53"/>
      <c r="BA3" s="53"/>
      <c r="BB3" s="52"/>
      <c r="BC3" s="53"/>
      <c r="BD3" s="53"/>
      <c r="BE3" s="52"/>
    </row>
    <row r="4" spans="1:61" s="45" customFormat="1" ht="15" customHeight="1" x14ac:dyDescent="0.25">
      <c r="B4" s="56" t="s">
        <v>493</v>
      </c>
      <c r="C4" s="44"/>
      <c r="E4" s="57"/>
      <c r="F4" s="44"/>
      <c r="H4" s="52"/>
      <c r="I4" s="52"/>
      <c r="J4" s="52"/>
      <c r="K4" s="52"/>
      <c r="L4" s="52"/>
      <c r="M4" s="52"/>
      <c r="N4" s="52"/>
      <c r="O4" s="52"/>
      <c r="P4" s="52"/>
      <c r="Q4" s="52"/>
      <c r="R4" s="53"/>
      <c r="S4" s="53"/>
      <c r="T4" s="52"/>
      <c r="U4" s="52"/>
      <c r="V4" s="52"/>
      <c r="W4" s="52"/>
      <c r="X4" s="53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3"/>
      <c r="AR4" s="53"/>
      <c r="AS4" s="52"/>
      <c r="AT4" s="52"/>
      <c r="AU4" s="52"/>
      <c r="AV4" s="52"/>
      <c r="AW4" s="53"/>
      <c r="AX4" s="53"/>
      <c r="AY4" s="52"/>
      <c r="AZ4" s="53"/>
      <c r="BA4" s="53"/>
      <c r="BB4" s="52"/>
      <c r="BC4" s="53"/>
      <c r="BD4" s="53"/>
      <c r="BE4" s="52"/>
    </row>
    <row r="5" spans="1:61" s="65" customFormat="1" ht="14.4" x14ac:dyDescent="0.3">
      <c r="A5" s="58"/>
      <c r="B5" s="59"/>
      <c r="C5" s="60"/>
      <c r="D5" s="60"/>
      <c r="E5" s="60"/>
      <c r="F5" s="60"/>
      <c r="G5" s="60"/>
      <c r="H5" s="61"/>
      <c r="I5" s="61"/>
      <c r="J5" s="61"/>
      <c r="K5" s="61"/>
      <c r="L5" s="61"/>
      <c r="M5" s="61"/>
      <c r="N5" s="61"/>
      <c r="O5" s="61"/>
      <c r="P5" s="61"/>
      <c r="Q5" s="61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3"/>
      <c r="AT5" s="63"/>
      <c r="AU5" s="63"/>
      <c r="AV5" s="63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</row>
    <row r="6" spans="1:61" s="45" customFormat="1" ht="30" customHeight="1" x14ac:dyDescent="0.25">
      <c r="B6" s="154" t="s">
        <v>494</v>
      </c>
      <c r="C6" s="154" t="s">
        <v>495</v>
      </c>
      <c r="D6" s="154" t="s">
        <v>338</v>
      </c>
      <c r="E6" s="154" t="s">
        <v>339</v>
      </c>
      <c r="F6" s="154" t="s">
        <v>496</v>
      </c>
      <c r="G6" s="161" t="s">
        <v>497</v>
      </c>
      <c r="H6" s="162">
        <v>2012</v>
      </c>
      <c r="I6" s="163"/>
      <c r="J6" s="163"/>
      <c r="K6" s="163"/>
      <c r="L6" s="163"/>
      <c r="M6" s="163"/>
      <c r="N6" s="163"/>
      <c r="O6" s="163"/>
      <c r="P6" s="163"/>
      <c r="Q6" s="163"/>
      <c r="R6" s="163"/>
      <c r="S6" s="163"/>
      <c r="T6" s="163"/>
      <c r="U6" s="163"/>
      <c r="V6" s="163"/>
      <c r="W6" s="163"/>
      <c r="X6" s="163"/>
      <c r="Y6" s="164"/>
      <c r="Z6" s="162">
        <v>2024</v>
      </c>
      <c r="AA6" s="163"/>
      <c r="AB6" s="163"/>
      <c r="AC6" s="163"/>
      <c r="AD6" s="163"/>
      <c r="AE6" s="163"/>
      <c r="AF6" s="163"/>
      <c r="AG6" s="163"/>
      <c r="AH6" s="163"/>
      <c r="AI6" s="163"/>
      <c r="AJ6" s="163"/>
      <c r="AK6" s="163"/>
      <c r="AL6" s="163"/>
      <c r="AM6" s="163"/>
      <c r="AN6" s="163"/>
      <c r="AO6" s="163"/>
      <c r="AP6" s="163"/>
      <c r="AQ6" s="163"/>
      <c r="AR6" s="163"/>
      <c r="AS6" s="163"/>
      <c r="AT6" s="163"/>
      <c r="AU6" s="163"/>
      <c r="AV6" s="163"/>
      <c r="AW6" s="163"/>
      <c r="AX6" s="163"/>
      <c r="AY6" s="163"/>
      <c r="AZ6" s="163"/>
      <c r="BA6" s="163"/>
      <c r="BB6" s="163"/>
      <c r="BC6" s="163"/>
      <c r="BD6" s="163"/>
      <c r="BE6" s="164"/>
    </row>
    <row r="7" spans="1:61" s="45" customFormat="1" ht="30" customHeight="1" x14ac:dyDescent="0.25">
      <c r="B7" s="154"/>
      <c r="C7" s="154"/>
      <c r="D7" s="154"/>
      <c r="E7" s="154"/>
      <c r="F7" s="154"/>
      <c r="G7" s="161"/>
      <c r="H7" s="162" t="s">
        <v>520</v>
      </c>
      <c r="I7" s="163"/>
      <c r="J7" s="163"/>
      <c r="K7" s="163"/>
      <c r="L7" s="163"/>
      <c r="M7" s="163"/>
      <c r="N7" s="163"/>
      <c r="O7" s="163"/>
      <c r="P7" s="163"/>
      <c r="Q7" s="162" t="s">
        <v>521</v>
      </c>
      <c r="R7" s="163"/>
      <c r="S7" s="163"/>
      <c r="T7" s="163"/>
      <c r="U7" s="163"/>
      <c r="V7" s="163"/>
      <c r="W7" s="163"/>
      <c r="X7" s="163"/>
      <c r="Y7" s="163"/>
      <c r="Z7" s="162" t="s">
        <v>520</v>
      </c>
      <c r="AA7" s="163"/>
      <c r="AB7" s="163"/>
      <c r="AC7" s="163"/>
      <c r="AD7" s="163"/>
      <c r="AE7" s="163"/>
      <c r="AF7" s="163"/>
      <c r="AG7" s="163"/>
      <c r="AH7" s="163"/>
      <c r="AI7" s="163"/>
      <c r="AJ7" s="163"/>
      <c r="AK7" s="163"/>
      <c r="AL7" s="163"/>
      <c r="AM7" s="163"/>
      <c r="AN7" s="163"/>
      <c r="AO7" s="164"/>
      <c r="AP7" s="162" t="s">
        <v>521</v>
      </c>
      <c r="AQ7" s="163"/>
      <c r="AR7" s="163"/>
      <c r="AS7" s="163"/>
      <c r="AT7" s="163"/>
      <c r="AU7" s="163"/>
      <c r="AV7" s="163"/>
      <c r="AW7" s="163"/>
      <c r="AX7" s="163"/>
      <c r="AY7" s="163"/>
      <c r="AZ7" s="163"/>
      <c r="BA7" s="163"/>
      <c r="BB7" s="163"/>
      <c r="BC7" s="163"/>
      <c r="BD7" s="163"/>
      <c r="BE7" s="164"/>
    </row>
    <row r="8" spans="1:61" s="45" customFormat="1" ht="39.9" customHeight="1" x14ac:dyDescent="0.25">
      <c r="B8" s="154"/>
      <c r="C8" s="154"/>
      <c r="D8" s="154"/>
      <c r="E8" s="154"/>
      <c r="F8" s="154"/>
      <c r="G8" s="161"/>
      <c r="H8" s="155" t="s">
        <v>498</v>
      </c>
      <c r="I8" s="157" t="s">
        <v>522</v>
      </c>
      <c r="J8" s="158"/>
      <c r="K8" s="157" t="s">
        <v>523</v>
      </c>
      <c r="L8" s="158"/>
      <c r="M8" s="158"/>
      <c r="N8" s="159"/>
      <c r="O8" s="160" t="s">
        <v>524</v>
      </c>
      <c r="P8" s="160"/>
      <c r="Q8" s="155" t="s">
        <v>498</v>
      </c>
      <c r="R8" s="157" t="s">
        <v>522</v>
      </c>
      <c r="S8" s="158"/>
      <c r="T8" s="157" t="s">
        <v>523</v>
      </c>
      <c r="U8" s="158"/>
      <c r="V8" s="158"/>
      <c r="W8" s="159"/>
      <c r="X8" s="160" t="s">
        <v>524</v>
      </c>
      <c r="Y8" s="160"/>
      <c r="Z8" s="155" t="s">
        <v>498</v>
      </c>
      <c r="AA8" s="157" t="s">
        <v>522</v>
      </c>
      <c r="AB8" s="158"/>
      <c r="AC8" s="157" t="s">
        <v>523</v>
      </c>
      <c r="AD8" s="158"/>
      <c r="AE8" s="158"/>
      <c r="AF8" s="159"/>
      <c r="AG8" s="157" t="s">
        <v>525</v>
      </c>
      <c r="AH8" s="158"/>
      <c r="AI8" s="158"/>
      <c r="AJ8" s="151" t="s">
        <v>524</v>
      </c>
      <c r="AK8" s="152"/>
      <c r="AL8" s="153"/>
      <c r="AM8" s="151" t="s">
        <v>526</v>
      </c>
      <c r="AN8" s="152"/>
      <c r="AO8" s="153"/>
      <c r="AP8" s="155" t="s">
        <v>498</v>
      </c>
      <c r="AQ8" s="157" t="s">
        <v>522</v>
      </c>
      <c r="AR8" s="158"/>
      <c r="AS8" s="157" t="s">
        <v>523</v>
      </c>
      <c r="AT8" s="158"/>
      <c r="AU8" s="158"/>
      <c r="AV8" s="159"/>
      <c r="AW8" s="157" t="s">
        <v>525</v>
      </c>
      <c r="AX8" s="158"/>
      <c r="AY8" s="158"/>
      <c r="AZ8" s="160" t="s">
        <v>524</v>
      </c>
      <c r="BA8" s="160"/>
      <c r="BB8" s="160"/>
      <c r="BC8" s="151" t="s">
        <v>526</v>
      </c>
      <c r="BD8" s="152"/>
      <c r="BE8" s="153"/>
    </row>
    <row r="9" spans="1:61" s="45" customFormat="1" ht="41.25" customHeight="1" x14ac:dyDescent="0.25">
      <c r="B9" s="154"/>
      <c r="C9" s="154"/>
      <c r="D9" s="154"/>
      <c r="E9" s="154"/>
      <c r="F9" s="154"/>
      <c r="G9" s="161"/>
      <c r="H9" s="156"/>
      <c r="I9" s="66" t="s">
        <v>527</v>
      </c>
      <c r="J9" s="66" t="s">
        <v>528</v>
      </c>
      <c r="K9" s="67" t="s">
        <v>529</v>
      </c>
      <c r="L9" s="67" t="s">
        <v>530</v>
      </c>
      <c r="M9" s="67" t="s">
        <v>531</v>
      </c>
      <c r="N9" s="67" t="s">
        <v>532</v>
      </c>
      <c r="O9" s="67" t="s">
        <v>533</v>
      </c>
      <c r="P9" s="67" t="s">
        <v>534</v>
      </c>
      <c r="Q9" s="156"/>
      <c r="R9" s="66" t="s">
        <v>527</v>
      </c>
      <c r="S9" s="66" t="s">
        <v>528</v>
      </c>
      <c r="T9" s="67" t="s">
        <v>529</v>
      </c>
      <c r="U9" s="67" t="s">
        <v>530</v>
      </c>
      <c r="V9" s="67" t="s">
        <v>531</v>
      </c>
      <c r="W9" s="67" t="s">
        <v>532</v>
      </c>
      <c r="X9" s="67" t="s">
        <v>533</v>
      </c>
      <c r="Y9" s="67" t="s">
        <v>534</v>
      </c>
      <c r="Z9" s="156"/>
      <c r="AA9" s="66" t="s">
        <v>527</v>
      </c>
      <c r="AB9" s="66" t="s">
        <v>528</v>
      </c>
      <c r="AC9" s="67" t="s">
        <v>529</v>
      </c>
      <c r="AD9" s="67" t="s">
        <v>530</v>
      </c>
      <c r="AE9" s="67" t="s">
        <v>531</v>
      </c>
      <c r="AF9" s="67" t="s">
        <v>532</v>
      </c>
      <c r="AG9" s="66" t="s">
        <v>535</v>
      </c>
      <c r="AH9" s="66" t="s">
        <v>536</v>
      </c>
      <c r="AI9" s="68" t="s">
        <v>499</v>
      </c>
      <c r="AJ9" s="67" t="s">
        <v>533</v>
      </c>
      <c r="AK9" s="67" t="s">
        <v>534</v>
      </c>
      <c r="AL9" s="68" t="s">
        <v>499</v>
      </c>
      <c r="AM9" s="69" t="s">
        <v>537</v>
      </c>
      <c r="AN9" s="69" t="s">
        <v>538</v>
      </c>
      <c r="AO9" s="68" t="s">
        <v>499</v>
      </c>
      <c r="AP9" s="156"/>
      <c r="AQ9" s="66" t="s">
        <v>527</v>
      </c>
      <c r="AR9" s="66" t="s">
        <v>528</v>
      </c>
      <c r="AS9" s="67" t="s">
        <v>529</v>
      </c>
      <c r="AT9" s="67" t="s">
        <v>530</v>
      </c>
      <c r="AU9" s="67" t="s">
        <v>531</v>
      </c>
      <c r="AV9" s="67" t="s">
        <v>532</v>
      </c>
      <c r="AW9" s="66" t="s">
        <v>535</v>
      </c>
      <c r="AX9" s="66" t="s">
        <v>536</v>
      </c>
      <c r="AY9" s="68" t="s">
        <v>499</v>
      </c>
      <c r="AZ9" s="67" t="s">
        <v>533</v>
      </c>
      <c r="BA9" s="67" t="s">
        <v>534</v>
      </c>
      <c r="BB9" s="67" t="s">
        <v>499</v>
      </c>
      <c r="BC9" s="67" t="s">
        <v>537</v>
      </c>
      <c r="BD9" s="67" t="s">
        <v>538</v>
      </c>
      <c r="BE9" s="67" t="s">
        <v>499</v>
      </c>
    </row>
    <row r="10" spans="1:61" ht="15" customHeight="1" x14ac:dyDescent="0.25">
      <c r="B10" s="70"/>
      <c r="C10" s="71"/>
      <c r="D10" s="70"/>
      <c r="E10" s="71"/>
      <c r="F10" s="71"/>
      <c r="G10" s="72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4"/>
      <c r="S10" s="74"/>
      <c r="T10" s="73"/>
      <c r="U10" s="73"/>
      <c r="V10" s="73"/>
      <c r="W10" s="73"/>
      <c r="X10" s="74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4"/>
      <c r="AR10" s="74"/>
      <c r="AS10" s="73"/>
      <c r="AT10" s="73"/>
      <c r="AU10" s="73"/>
      <c r="AV10" s="73"/>
      <c r="AW10" s="74"/>
      <c r="AX10" s="74"/>
      <c r="AY10" s="73"/>
      <c r="AZ10" s="74"/>
      <c r="BA10" s="74"/>
      <c r="BB10" s="73"/>
      <c r="BC10" s="74"/>
      <c r="BD10" s="74"/>
      <c r="BE10" s="73"/>
    </row>
    <row r="11" spans="1:61" ht="15" customHeight="1" x14ac:dyDescent="0.25">
      <c r="B11" s="76">
        <v>1</v>
      </c>
      <c r="C11" s="77" t="s">
        <v>500</v>
      </c>
      <c r="D11" s="77"/>
      <c r="E11" s="77"/>
      <c r="F11" s="77"/>
      <c r="G11" s="78" t="s">
        <v>109</v>
      </c>
      <c r="H11" s="79">
        <v>4575789</v>
      </c>
      <c r="I11" s="79">
        <v>2660609</v>
      </c>
      <c r="J11" s="79">
        <v>1915180</v>
      </c>
      <c r="K11" s="79">
        <v>257640</v>
      </c>
      <c r="L11" s="79">
        <v>1378869</v>
      </c>
      <c r="M11" s="79">
        <v>2454953</v>
      </c>
      <c r="N11" s="79">
        <v>484327</v>
      </c>
      <c r="O11" s="79">
        <v>4532090</v>
      </c>
      <c r="P11" s="79">
        <v>43699</v>
      </c>
      <c r="Q11" s="80">
        <v>1.6189470667785599</v>
      </c>
      <c r="R11" s="80">
        <v>1.1466929866136399</v>
      </c>
      <c r="S11" s="80">
        <v>2.28336424869932</v>
      </c>
      <c r="T11" s="80">
        <v>2.55517095008249</v>
      </c>
      <c r="U11" s="80">
        <v>2.1715312840877301</v>
      </c>
      <c r="V11" s="80">
        <v>1.3819903794950299</v>
      </c>
      <c r="W11" s="80">
        <v>0.80792770753282905</v>
      </c>
      <c r="X11" s="80">
        <v>1.6046626763691301</v>
      </c>
      <c r="Y11" s="80">
        <v>3.1584125093846298</v>
      </c>
      <c r="Z11" s="79">
        <v>5818999</v>
      </c>
      <c r="AA11" s="79">
        <v>3202561</v>
      </c>
      <c r="AB11" s="79">
        <v>2616438</v>
      </c>
      <c r="AC11" s="79">
        <v>243756</v>
      </c>
      <c r="AD11" s="79">
        <v>1571822</v>
      </c>
      <c r="AE11" s="79">
        <v>3258421</v>
      </c>
      <c r="AF11" s="79">
        <v>745000</v>
      </c>
      <c r="AG11" s="79">
        <v>2647420</v>
      </c>
      <c r="AH11" s="79">
        <v>3111457</v>
      </c>
      <c r="AI11" s="79">
        <v>60122</v>
      </c>
      <c r="AJ11" s="79">
        <v>5731177</v>
      </c>
      <c r="AK11" s="79">
        <v>71875</v>
      </c>
      <c r="AL11" s="79">
        <v>15947</v>
      </c>
      <c r="AM11" s="79">
        <v>345603</v>
      </c>
      <c r="AN11" s="79">
        <v>5419458</v>
      </c>
      <c r="AO11" s="79">
        <v>53938</v>
      </c>
      <c r="AP11" s="80">
        <v>4.9800577446618304</v>
      </c>
      <c r="AQ11" s="80">
        <v>2.6091432287047001</v>
      </c>
      <c r="AR11" s="80">
        <v>7.9124318231312403</v>
      </c>
      <c r="AS11" s="80">
        <v>7.8692393779856404</v>
      </c>
      <c r="AT11" s="80">
        <v>6.7834175203084204</v>
      </c>
      <c r="AU11" s="80">
        <v>4.4237210955662603</v>
      </c>
      <c r="AV11" s="80">
        <v>2.7690708157423098</v>
      </c>
      <c r="AW11" s="80">
        <v>3.59386216267092</v>
      </c>
      <c r="AX11" s="80">
        <v>6.2102657571201396</v>
      </c>
      <c r="AY11" s="80">
        <v>4.0746998019873901</v>
      </c>
      <c r="AZ11" s="80">
        <v>4.9589917994701498</v>
      </c>
      <c r="BA11" s="80">
        <v>7.0365646258503398</v>
      </c>
      <c r="BB11" s="80">
        <v>3.5229803603968399</v>
      </c>
      <c r="BC11" s="80">
        <v>4.3283210606511302</v>
      </c>
      <c r="BD11" s="80">
        <v>5.0361035474382199</v>
      </c>
      <c r="BE11" s="80">
        <v>3.5576980538236298</v>
      </c>
    </row>
    <row r="12" spans="1:61" ht="15" customHeight="1" x14ac:dyDescent="0.25">
      <c r="B12" s="81">
        <v>2</v>
      </c>
      <c r="C12" s="82" t="s">
        <v>500</v>
      </c>
      <c r="D12" s="82"/>
      <c r="E12" s="82"/>
      <c r="F12" s="82"/>
      <c r="G12" s="83" t="s">
        <v>501</v>
      </c>
      <c r="H12" s="84">
        <v>2987476</v>
      </c>
      <c r="I12" s="84">
        <v>1687936</v>
      </c>
      <c r="J12" s="84">
        <v>1299540</v>
      </c>
      <c r="K12" s="84">
        <v>142659</v>
      </c>
      <c r="L12" s="84">
        <v>957250</v>
      </c>
      <c r="M12" s="84">
        <v>1660654</v>
      </c>
      <c r="N12" s="84">
        <v>226913</v>
      </c>
      <c r="O12" s="84">
        <v>2955675</v>
      </c>
      <c r="P12" s="84">
        <v>31801</v>
      </c>
      <c r="Q12" s="85">
        <v>2.32132424681321</v>
      </c>
      <c r="R12" s="85">
        <v>1.68734946578653</v>
      </c>
      <c r="S12" s="85">
        <v>3.15355787330425</v>
      </c>
      <c r="T12" s="85">
        <v>4.2886568192929504</v>
      </c>
      <c r="U12" s="85">
        <v>2.9492914517076998</v>
      </c>
      <c r="V12" s="85">
        <v>1.9052569589977599</v>
      </c>
      <c r="W12" s="85">
        <v>1.58454810495627</v>
      </c>
      <c r="X12" s="85">
        <v>2.3025430777618099</v>
      </c>
      <c r="Y12" s="85">
        <v>4.1168706075416504</v>
      </c>
      <c r="Z12" s="84">
        <v>3859866</v>
      </c>
      <c r="AA12" s="84">
        <v>2076739</v>
      </c>
      <c r="AB12" s="84">
        <v>1783127</v>
      </c>
      <c r="AC12" s="84">
        <v>132500</v>
      </c>
      <c r="AD12" s="84">
        <v>1082150</v>
      </c>
      <c r="AE12" s="84">
        <v>2253852</v>
      </c>
      <c r="AF12" s="84">
        <v>391364</v>
      </c>
      <c r="AG12" s="84">
        <v>1213988</v>
      </c>
      <c r="AH12" s="84">
        <v>2609669</v>
      </c>
      <c r="AI12" s="84">
        <v>36209</v>
      </c>
      <c r="AJ12" s="84">
        <v>3796361</v>
      </c>
      <c r="AK12" s="84">
        <v>54854</v>
      </c>
      <c r="AL12" s="84">
        <v>8651</v>
      </c>
      <c r="AM12" s="84">
        <v>211267</v>
      </c>
      <c r="AN12" s="84">
        <v>3620225</v>
      </c>
      <c r="AO12" s="84">
        <v>28374</v>
      </c>
      <c r="AP12" s="85">
        <v>6.7152123963431096</v>
      </c>
      <c r="AQ12" s="85">
        <v>3.71841075438945</v>
      </c>
      <c r="AR12" s="85">
        <v>10.2208755407338</v>
      </c>
      <c r="AS12" s="85">
        <v>12.6737890825218</v>
      </c>
      <c r="AT12" s="85">
        <v>8.8671108896248008</v>
      </c>
      <c r="AU12" s="85">
        <v>5.7103382257286404</v>
      </c>
      <c r="AV12" s="85">
        <v>4.6679630976948197</v>
      </c>
      <c r="AW12" s="85">
        <v>6.1856009281345097</v>
      </c>
      <c r="AX12" s="85">
        <v>6.9775185142497902</v>
      </c>
      <c r="AY12" s="85">
        <v>6.0040964813059796</v>
      </c>
      <c r="AZ12" s="85">
        <v>6.6901767452445204</v>
      </c>
      <c r="BA12" s="85">
        <v>8.6651334866513405</v>
      </c>
      <c r="BB12" s="85">
        <v>5.6218274111675104</v>
      </c>
      <c r="BC12" s="85">
        <v>6.4604048607381497</v>
      </c>
      <c r="BD12" s="85">
        <v>6.7362989415354297</v>
      </c>
      <c r="BE12" s="85">
        <v>5.9205190592051897</v>
      </c>
    </row>
    <row r="13" spans="1:61" ht="15" customHeight="1" x14ac:dyDescent="0.25">
      <c r="B13" s="81">
        <v>3</v>
      </c>
      <c r="C13" s="82" t="s">
        <v>500</v>
      </c>
      <c r="D13" s="82"/>
      <c r="E13" s="82"/>
      <c r="F13" s="82"/>
      <c r="G13" s="83" t="s">
        <v>502</v>
      </c>
      <c r="H13" s="84">
        <v>1588313</v>
      </c>
      <c r="I13" s="84">
        <v>972673</v>
      </c>
      <c r="J13" s="84">
        <v>615640</v>
      </c>
      <c r="K13" s="84">
        <v>114981</v>
      </c>
      <c r="L13" s="84">
        <v>421619</v>
      </c>
      <c r="M13" s="84">
        <v>794299</v>
      </c>
      <c r="N13" s="84">
        <v>257414</v>
      </c>
      <c r="O13" s="84">
        <v>1576415</v>
      </c>
      <c r="P13" s="84">
        <v>11898</v>
      </c>
      <c r="Q13" s="85">
        <v>0.34559311866658099</v>
      </c>
      <c r="R13" s="85">
        <v>0.24235340720378401</v>
      </c>
      <c r="S13" s="85">
        <v>0.51064969952571304</v>
      </c>
      <c r="T13" s="85">
        <v>0.47037958089950499</v>
      </c>
      <c r="U13" s="85">
        <v>0.47014706445070797</v>
      </c>
      <c r="V13" s="85">
        <v>0.32507791370683198</v>
      </c>
      <c r="W13" s="85">
        <v>0.156836865218064</v>
      </c>
      <c r="X13" s="85">
        <v>0.34361202588148299</v>
      </c>
      <c r="Y13" s="85">
        <v>0.62287655719139301</v>
      </c>
      <c r="Z13" s="84">
        <v>1959133</v>
      </c>
      <c r="AA13" s="84">
        <v>1125822</v>
      </c>
      <c r="AB13" s="84">
        <v>833311</v>
      </c>
      <c r="AC13" s="84">
        <v>111256</v>
      </c>
      <c r="AD13" s="84">
        <v>489672</v>
      </c>
      <c r="AE13" s="84">
        <v>1004569</v>
      </c>
      <c r="AF13" s="84">
        <v>353636</v>
      </c>
      <c r="AG13" s="84">
        <v>1433432</v>
      </c>
      <c r="AH13" s="84">
        <v>501788</v>
      </c>
      <c r="AI13" s="84">
        <v>23913</v>
      </c>
      <c r="AJ13" s="84">
        <v>1934816</v>
      </c>
      <c r="AK13" s="84">
        <v>17021</v>
      </c>
      <c r="AL13" s="84">
        <v>7296</v>
      </c>
      <c r="AM13" s="84">
        <v>134336</v>
      </c>
      <c r="AN13" s="84">
        <v>1799233</v>
      </c>
      <c r="AO13" s="84">
        <v>25564</v>
      </c>
      <c r="AP13" s="85">
        <v>1.6432914432133201</v>
      </c>
      <c r="AQ13" s="85">
        <v>0.62454189378465397</v>
      </c>
      <c r="AR13" s="85">
        <v>3.0471700504397599</v>
      </c>
      <c r="AS13" s="85">
        <v>2.1436002176050102</v>
      </c>
      <c r="AT13" s="85">
        <v>2.3038408868037799</v>
      </c>
      <c r="AU13" s="85">
        <v>1.5983614204063701</v>
      </c>
      <c r="AV13" s="85">
        <v>0.72775167473018199</v>
      </c>
      <c r="AW13" s="85">
        <v>1.42307876389975</v>
      </c>
      <c r="AX13" s="85">
        <v>2.3009941085963099</v>
      </c>
      <c r="AY13" s="85">
        <v>1.24910458452722</v>
      </c>
      <c r="AZ13" s="85">
        <v>1.6429932850640601</v>
      </c>
      <c r="BA13" s="85">
        <v>1.89893382121002</v>
      </c>
      <c r="BB13" s="85">
        <v>1.13882081591466</v>
      </c>
      <c r="BC13" s="85">
        <v>1.06658271199195</v>
      </c>
      <c r="BD13" s="85">
        <v>1.69541431458638</v>
      </c>
      <c r="BE13" s="85">
        <v>1.04080961000494</v>
      </c>
    </row>
    <row r="14" spans="1:61" ht="15" customHeight="1" x14ac:dyDescent="0.25">
      <c r="B14" s="76">
        <v>4</v>
      </c>
      <c r="C14" s="77" t="s">
        <v>3</v>
      </c>
      <c r="D14" s="77" t="s">
        <v>27</v>
      </c>
      <c r="E14" s="77"/>
      <c r="F14" s="77"/>
      <c r="G14" s="78" t="s">
        <v>27</v>
      </c>
      <c r="H14" s="79">
        <v>236745</v>
      </c>
      <c r="I14" s="79">
        <v>141399</v>
      </c>
      <c r="J14" s="79">
        <v>95346</v>
      </c>
      <c r="K14" s="79">
        <v>16284</v>
      </c>
      <c r="L14" s="79">
        <v>66245</v>
      </c>
      <c r="M14" s="79">
        <v>122889</v>
      </c>
      <c r="N14" s="79">
        <v>31327</v>
      </c>
      <c r="O14" s="79">
        <v>235801</v>
      </c>
      <c r="P14" s="79">
        <v>944</v>
      </c>
      <c r="Q14" s="80">
        <v>1.3906441828554901</v>
      </c>
      <c r="R14" s="80">
        <v>0.85219428835807098</v>
      </c>
      <c r="S14" s="80">
        <v>2.2148609286652601</v>
      </c>
      <c r="T14" s="80">
        <v>1.9489247311828</v>
      </c>
      <c r="U14" s="80">
        <v>2.1952647326655401</v>
      </c>
      <c r="V14" s="80">
        <v>1.0953641696516601</v>
      </c>
      <c r="W14" s="80">
        <v>0.59125616595715902</v>
      </c>
      <c r="X14" s="80">
        <v>1.37471058128418</v>
      </c>
      <c r="Y14" s="80">
        <v>5.52291421856639</v>
      </c>
      <c r="Z14" s="79">
        <v>313972</v>
      </c>
      <c r="AA14" s="79">
        <v>169964</v>
      </c>
      <c r="AB14" s="79">
        <v>144008</v>
      </c>
      <c r="AC14" s="79">
        <v>16661</v>
      </c>
      <c r="AD14" s="79">
        <v>83904</v>
      </c>
      <c r="AE14" s="79">
        <v>165207</v>
      </c>
      <c r="AF14" s="79">
        <v>48200</v>
      </c>
      <c r="AG14" s="79">
        <v>154227</v>
      </c>
      <c r="AH14" s="79">
        <v>155896</v>
      </c>
      <c r="AI14" s="79">
        <v>3849</v>
      </c>
      <c r="AJ14" s="79">
        <v>310872</v>
      </c>
      <c r="AK14" s="79">
        <v>2155</v>
      </c>
      <c r="AL14" s="79">
        <v>945</v>
      </c>
      <c r="AM14" s="79">
        <v>26148</v>
      </c>
      <c r="AN14" s="79">
        <v>284856</v>
      </c>
      <c r="AO14" s="79">
        <v>2968</v>
      </c>
      <c r="AP14" s="80">
        <v>3.8183320577338602</v>
      </c>
      <c r="AQ14" s="80">
        <v>1.8410103920029199</v>
      </c>
      <c r="AR14" s="80">
        <v>6.2137245650692403</v>
      </c>
      <c r="AS14" s="80">
        <v>4.9685893774985699</v>
      </c>
      <c r="AT14" s="80">
        <v>5.8601768768962597</v>
      </c>
      <c r="AU14" s="80">
        <v>3.3362418518708599</v>
      </c>
      <c r="AV14" s="80">
        <v>1.6295879501385</v>
      </c>
      <c r="AW14" s="80">
        <v>2.6750889994622602</v>
      </c>
      <c r="AX14" s="80">
        <v>5.0095301234772496</v>
      </c>
      <c r="AY14" s="80">
        <v>2.5483057966956002</v>
      </c>
      <c r="AZ14" s="80">
        <v>3.7977020927369698</v>
      </c>
      <c r="BA14" s="80">
        <v>7.5942915392456696</v>
      </c>
      <c r="BB14" s="80">
        <v>2.2624434389140302</v>
      </c>
      <c r="BC14" s="80">
        <v>2.7665452216038799</v>
      </c>
      <c r="BD14" s="80">
        <v>3.9332605574829498</v>
      </c>
      <c r="BE14" s="80">
        <v>2.2332506203473899</v>
      </c>
    </row>
    <row r="15" spans="1:61" ht="15" customHeight="1" x14ac:dyDescent="0.25">
      <c r="B15" s="81">
        <v>5</v>
      </c>
      <c r="C15" s="82" t="s">
        <v>3</v>
      </c>
      <c r="D15" s="82" t="s">
        <v>27</v>
      </c>
      <c r="E15" s="82"/>
      <c r="F15" s="82"/>
      <c r="G15" s="83" t="s">
        <v>501</v>
      </c>
      <c r="H15" s="84">
        <v>112549</v>
      </c>
      <c r="I15" s="84">
        <v>61993</v>
      </c>
      <c r="J15" s="84">
        <v>50556</v>
      </c>
      <c r="K15" s="84">
        <v>6512</v>
      </c>
      <c r="L15" s="84">
        <v>35825</v>
      </c>
      <c r="M15" s="84">
        <v>60867</v>
      </c>
      <c r="N15" s="84">
        <v>9345</v>
      </c>
      <c r="O15" s="84">
        <v>111786</v>
      </c>
      <c r="P15" s="84">
        <v>763</v>
      </c>
      <c r="Q15" s="85">
        <v>2.5891459467765299</v>
      </c>
      <c r="R15" s="85">
        <v>1.74649057518218</v>
      </c>
      <c r="S15" s="85">
        <v>3.6393838719420102</v>
      </c>
      <c r="T15" s="85">
        <v>4.0727027936721596</v>
      </c>
      <c r="U15" s="85">
        <v>3.6779655873516801</v>
      </c>
      <c r="V15" s="85">
        <v>1.92991456015284</v>
      </c>
      <c r="W15" s="85">
        <v>1.73543270888404</v>
      </c>
      <c r="X15" s="85">
        <v>2.56373075026826</v>
      </c>
      <c r="Y15" s="85">
        <v>6.4327485380117002</v>
      </c>
      <c r="Z15" s="84">
        <v>161864</v>
      </c>
      <c r="AA15" s="84">
        <v>84714</v>
      </c>
      <c r="AB15" s="84">
        <v>77150</v>
      </c>
      <c r="AC15" s="84">
        <v>6538</v>
      </c>
      <c r="AD15" s="84">
        <v>46971</v>
      </c>
      <c r="AE15" s="84">
        <v>91335</v>
      </c>
      <c r="AF15" s="84">
        <v>17020</v>
      </c>
      <c r="AG15" s="84">
        <v>52974</v>
      </c>
      <c r="AH15" s="84">
        <v>107561</v>
      </c>
      <c r="AI15" s="84">
        <v>1329</v>
      </c>
      <c r="AJ15" s="84">
        <v>159939</v>
      </c>
      <c r="AK15" s="84">
        <v>1597</v>
      </c>
      <c r="AL15" s="84">
        <v>328</v>
      </c>
      <c r="AM15" s="84">
        <v>10131</v>
      </c>
      <c r="AN15" s="84">
        <v>150690</v>
      </c>
      <c r="AO15" s="84">
        <v>1043</v>
      </c>
      <c r="AP15" s="85">
        <v>6.2701831716460097</v>
      </c>
      <c r="AQ15" s="85">
        <v>3.3898090301978101</v>
      </c>
      <c r="AR15" s="85">
        <v>9.45926985997699</v>
      </c>
      <c r="AS15" s="85">
        <v>10.153194263363799</v>
      </c>
      <c r="AT15" s="85">
        <v>9.0386233984849902</v>
      </c>
      <c r="AU15" s="85">
        <v>5.0586897125904402</v>
      </c>
      <c r="AV15" s="85">
        <v>3.8374999999999999</v>
      </c>
      <c r="AW15" s="85">
        <v>5.6071778270687203</v>
      </c>
      <c r="AX15" s="85">
        <v>6.6081788594877597</v>
      </c>
      <c r="AY15" s="85">
        <v>6.0530679933664997</v>
      </c>
      <c r="AZ15" s="85">
        <v>6.2420004580790298</v>
      </c>
      <c r="BA15" s="85">
        <v>9.2975206611570194</v>
      </c>
      <c r="BB15" s="85">
        <v>5.5363321799307998</v>
      </c>
      <c r="BC15" s="85">
        <v>6.13451589061345</v>
      </c>
      <c r="BD15" s="85">
        <v>6.2911490238735901</v>
      </c>
      <c r="BE15" s="85">
        <v>4.5918367346938798</v>
      </c>
    </row>
    <row r="16" spans="1:61" ht="15" customHeight="1" x14ac:dyDescent="0.25">
      <c r="B16" s="81">
        <v>6</v>
      </c>
      <c r="C16" s="82" t="s">
        <v>3</v>
      </c>
      <c r="D16" s="82" t="s">
        <v>27</v>
      </c>
      <c r="E16" s="82"/>
      <c r="F16" s="82"/>
      <c r="G16" s="83" t="s">
        <v>502</v>
      </c>
      <c r="H16" s="84">
        <v>124196</v>
      </c>
      <c r="I16" s="84">
        <v>79406</v>
      </c>
      <c r="J16" s="84">
        <v>44790</v>
      </c>
      <c r="K16" s="84">
        <v>9772</v>
      </c>
      <c r="L16" s="84">
        <v>30420</v>
      </c>
      <c r="M16" s="84">
        <v>62022</v>
      </c>
      <c r="N16" s="84">
        <v>21982</v>
      </c>
      <c r="O16" s="84">
        <v>124015</v>
      </c>
      <c r="P16" s="84">
        <v>181</v>
      </c>
      <c r="Q16" s="85">
        <v>0.32786885245901598</v>
      </c>
      <c r="R16" s="85">
        <v>0.174462838103733</v>
      </c>
      <c r="S16" s="85">
        <v>0.61178412760068901</v>
      </c>
      <c r="T16" s="85">
        <v>0.53703289326471204</v>
      </c>
      <c r="U16" s="85">
        <v>0.48348106365833998</v>
      </c>
      <c r="V16" s="85">
        <v>0.29637407488949502</v>
      </c>
      <c r="W16" s="85">
        <v>0.11484902139063</v>
      </c>
      <c r="X16" s="85">
        <v>0.32577734568217098</v>
      </c>
      <c r="Y16" s="85">
        <v>1.79640718562874</v>
      </c>
      <c r="Z16" s="84">
        <v>152108</v>
      </c>
      <c r="AA16" s="84">
        <v>85250</v>
      </c>
      <c r="AB16" s="84">
        <v>66858</v>
      </c>
      <c r="AC16" s="84">
        <v>10123</v>
      </c>
      <c r="AD16" s="84">
        <v>36933</v>
      </c>
      <c r="AE16" s="84">
        <v>73872</v>
      </c>
      <c r="AF16" s="84">
        <v>31180</v>
      </c>
      <c r="AG16" s="84">
        <v>101253</v>
      </c>
      <c r="AH16" s="84">
        <v>48335</v>
      </c>
      <c r="AI16" s="84">
        <v>2520</v>
      </c>
      <c r="AJ16" s="84">
        <v>150933</v>
      </c>
      <c r="AK16" s="84">
        <v>558</v>
      </c>
      <c r="AL16" s="84">
        <v>617</v>
      </c>
      <c r="AM16" s="84">
        <v>16017</v>
      </c>
      <c r="AN16" s="84">
        <v>134166</v>
      </c>
      <c r="AO16" s="84">
        <v>1925</v>
      </c>
      <c r="AP16" s="85">
        <v>1.2805050344936899</v>
      </c>
      <c r="AQ16" s="85">
        <v>0.36573884074065099</v>
      </c>
      <c r="AR16" s="85">
        <v>2.4978715885178202</v>
      </c>
      <c r="AS16" s="85">
        <v>1.6626831549412899</v>
      </c>
      <c r="AT16" s="85">
        <v>1.9404319118876701</v>
      </c>
      <c r="AU16" s="85">
        <v>1.2552241977757299</v>
      </c>
      <c r="AV16" s="85">
        <v>0.46014300847457601</v>
      </c>
      <c r="AW16" s="85">
        <v>1.16034190857662</v>
      </c>
      <c r="AX16" s="85">
        <v>1.5610692015872301</v>
      </c>
      <c r="AY16" s="85">
        <v>0.76109936575052906</v>
      </c>
      <c r="AZ16" s="85">
        <v>1.2778310207369801</v>
      </c>
      <c r="BA16" s="85">
        <v>2.7450980392156898</v>
      </c>
      <c r="BB16" s="85">
        <v>0.67226890756302504</v>
      </c>
      <c r="BC16" s="85">
        <v>0.70940281181478104</v>
      </c>
      <c r="BD16" s="85">
        <v>1.3541862358319201</v>
      </c>
      <c r="BE16" s="85">
        <v>0.97772949483976102</v>
      </c>
    </row>
    <row r="17" spans="2:57" ht="15" customHeight="1" x14ac:dyDescent="0.25">
      <c r="B17" s="86">
        <v>7</v>
      </c>
      <c r="C17" s="87" t="s">
        <v>503</v>
      </c>
      <c r="D17" s="87" t="s">
        <v>27</v>
      </c>
      <c r="E17" s="87" t="s">
        <v>341</v>
      </c>
      <c r="F17" s="87"/>
      <c r="G17" s="88" t="s">
        <v>341</v>
      </c>
      <c r="H17" s="89">
        <v>114088</v>
      </c>
      <c r="I17" s="89">
        <v>63868</v>
      </c>
      <c r="J17" s="89">
        <v>50220</v>
      </c>
      <c r="K17" s="89">
        <v>6891</v>
      </c>
      <c r="L17" s="89">
        <v>35344</v>
      </c>
      <c r="M17" s="89">
        <v>60918</v>
      </c>
      <c r="N17" s="89">
        <v>10935</v>
      </c>
      <c r="O17" s="89">
        <v>113378</v>
      </c>
      <c r="P17" s="89">
        <v>710</v>
      </c>
      <c r="Q17" s="90">
        <v>2.3464373464373498</v>
      </c>
      <c r="R17" s="90">
        <v>1.5811400940318201</v>
      </c>
      <c r="S17" s="90">
        <v>3.3396304258137399</v>
      </c>
      <c r="T17" s="90">
        <v>3.60031720856463</v>
      </c>
      <c r="U17" s="90">
        <v>3.50079842771158</v>
      </c>
      <c r="V17" s="90">
        <v>1.7526536657615399</v>
      </c>
      <c r="W17" s="90">
        <v>1.19175539708899</v>
      </c>
      <c r="X17" s="90">
        <v>2.31872759941818</v>
      </c>
      <c r="Y17" s="90">
        <v>6.9510268562401301</v>
      </c>
      <c r="Z17" s="89">
        <v>155884</v>
      </c>
      <c r="AA17" s="89">
        <v>81720</v>
      </c>
      <c r="AB17" s="89">
        <v>74164</v>
      </c>
      <c r="AC17" s="89">
        <v>6640</v>
      </c>
      <c r="AD17" s="89">
        <v>44602</v>
      </c>
      <c r="AE17" s="89">
        <v>86013</v>
      </c>
      <c r="AF17" s="89">
        <v>18629</v>
      </c>
      <c r="AG17" s="89">
        <v>61772</v>
      </c>
      <c r="AH17" s="89">
        <v>92730</v>
      </c>
      <c r="AI17" s="89">
        <v>1382</v>
      </c>
      <c r="AJ17" s="89">
        <v>154044</v>
      </c>
      <c r="AK17" s="89">
        <v>1486</v>
      </c>
      <c r="AL17" s="89">
        <v>354</v>
      </c>
      <c r="AM17" s="89">
        <v>10820</v>
      </c>
      <c r="AN17" s="89">
        <v>144025</v>
      </c>
      <c r="AO17" s="89">
        <v>1039</v>
      </c>
      <c r="AP17" s="90">
        <v>5.9114386061566</v>
      </c>
      <c r="AQ17" s="90">
        <v>3.30527746556186</v>
      </c>
      <c r="AR17" s="90">
        <v>8.8141958774892295</v>
      </c>
      <c r="AS17" s="90">
        <v>8.7985922252439597</v>
      </c>
      <c r="AT17" s="90">
        <v>8.9120825147347702</v>
      </c>
      <c r="AU17" s="90">
        <v>4.7900848593121896</v>
      </c>
      <c r="AV17" s="90">
        <v>3.0847745959739199</v>
      </c>
      <c r="AW17" s="90">
        <v>4.65147978395325</v>
      </c>
      <c r="AX17" s="90">
        <v>6.7806154171016999</v>
      </c>
      <c r="AY17" s="90">
        <v>5.7993730407523501</v>
      </c>
      <c r="AZ17" s="90">
        <v>5.8816153369232804</v>
      </c>
      <c r="BA17" s="90">
        <v>9.1722595078299793</v>
      </c>
      <c r="BB17" s="90">
        <v>5.625</v>
      </c>
      <c r="BC17" s="90">
        <v>5.0441609421000999</v>
      </c>
      <c r="BD17" s="90">
        <v>5.9929871680095497</v>
      </c>
      <c r="BE17" s="90">
        <v>3.77551020408163</v>
      </c>
    </row>
    <row r="18" spans="2:57" ht="15" customHeight="1" x14ac:dyDescent="0.25">
      <c r="B18" s="91">
        <v>8</v>
      </c>
      <c r="C18" s="92" t="s">
        <v>503</v>
      </c>
      <c r="D18" s="92" t="s">
        <v>27</v>
      </c>
      <c r="E18" s="92" t="s">
        <v>341</v>
      </c>
      <c r="F18" s="92"/>
      <c r="G18" s="93" t="s">
        <v>501</v>
      </c>
      <c r="H18" s="94">
        <v>93838</v>
      </c>
      <c r="I18" s="94">
        <v>51337</v>
      </c>
      <c r="J18" s="94">
        <v>42501</v>
      </c>
      <c r="K18" s="94">
        <v>5432</v>
      </c>
      <c r="L18" s="94">
        <v>30764</v>
      </c>
      <c r="M18" s="94">
        <v>50466</v>
      </c>
      <c r="N18" s="94">
        <v>7176</v>
      </c>
      <c r="O18" s="94">
        <v>93158</v>
      </c>
      <c r="P18" s="94">
        <v>680</v>
      </c>
      <c r="Q18" s="95">
        <v>2.7788347342811299</v>
      </c>
      <c r="R18" s="95">
        <v>1.9305584605731001</v>
      </c>
      <c r="S18" s="95">
        <v>3.82095228306396</v>
      </c>
      <c r="T18" s="95">
        <v>4.3766311985545103</v>
      </c>
      <c r="U18" s="95">
        <v>3.9380656108597298</v>
      </c>
      <c r="V18" s="95">
        <v>2.0550286251388501</v>
      </c>
      <c r="W18" s="95">
        <v>1.7454107733975299</v>
      </c>
      <c r="X18" s="95">
        <v>2.7496835773754902</v>
      </c>
      <c r="Y18" s="95">
        <v>6.9078947368421098</v>
      </c>
      <c r="Z18" s="94">
        <v>130897</v>
      </c>
      <c r="AA18" s="94">
        <v>68018</v>
      </c>
      <c r="AB18" s="94">
        <v>62879</v>
      </c>
      <c r="AC18" s="94">
        <v>5080</v>
      </c>
      <c r="AD18" s="94">
        <v>39022</v>
      </c>
      <c r="AE18" s="94">
        <v>73869</v>
      </c>
      <c r="AF18" s="94">
        <v>12926</v>
      </c>
      <c r="AG18" s="94">
        <v>41850</v>
      </c>
      <c r="AH18" s="94">
        <v>88030</v>
      </c>
      <c r="AI18" s="94">
        <v>1017</v>
      </c>
      <c r="AJ18" s="94">
        <v>129273</v>
      </c>
      <c r="AK18" s="94">
        <v>1378</v>
      </c>
      <c r="AL18" s="94">
        <v>246</v>
      </c>
      <c r="AM18" s="94">
        <v>8022</v>
      </c>
      <c r="AN18" s="94">
        <v>122121</v>
      </c>
      <c r="AO18" s="94">
        <v>754</v>
      </c>
      <c r="AP18" s="95">
        <v>6.6885748171575399</v>
      </c>
      <c r="AQ18" s="95">
        <v>3.8532023128692798</v>
      </c>
      <c r="AR18" s="95">
        <v>9.7766612753363802</v>
      </c>
      <c r="AS18" s="95">
        <v>10.653854188426999</v>
      </c>
      <c r="AT18" s="95">
        <v>9.7404425426496299</v>
      </c>
      <c r="AU18" s="95">
        <v>5.2913732649453804</v>
      </c>
      <c r="AV18" s="95">
        <v>4.1277194143436198</v>
      </c>
      <c r="AW18" s="95">
        <v>6.08125157708806</v>
      </c>
      <c r="AX18" s="95">
        <v>6.9812884156371</v>
      </c>
      <c r="AY18" s="95">
        <v>7.11974110032362</v>
      </c>
      <c r="AZ18" s="95">
        <v>6.6569403918299299</v>
      </c>
      <c r="BA18" s="95">
        <v>9.6076861489191394</v>
      </c>
      <c r="BB18" s="95">
        <v>7.3732718894009199</v>
      </c>
      <c r="BC18" s="95">
        <v>6.3778580024067404</v>
      </c>
      <c r="BD18" s="95">
        <v>6.7192454096637704</v>
      </c>
      <c r="BE18" s="95">
        <v>5.0704225352112697</v>
      </c>
    </row>
    <row r="19" spans="2:57" ht="15" customHeight="1" x14ac:dyDescent="0.25">
      <c r="B19" s="91">
        <v>9</v>
      </c>
      <c r="C19" s="92" t="s">
        <v>503</v>
      </c>
      <c r="D19" s="92" t="s">
        <v>27</v>
      </c>
      <c r="E19" s="92" t="s">
        <v>341</v>
      </c>
      <c r="F19" s="92"/>
      <c r="G19" s="93" t="s">
        <v>502</v>
      </c>
      <c r="H19" s="94">
        <v>20250</v>
      </c>
      <c r="I19" s="94">
        <v>12531</v>
      </c>
      <c r="J19" s="94">
        <v>7719</v>
      </c>
      <c r="K19" s="94">
        <v>1459</v>
      </c>
      <c r="L19" s="94">
        <v>4580</v>
      </c>
      <c r="M19" s="94">
        <v>10452</v>
      </c>
      <c r="N19" s="94">
        <v>3759</v>
      </c>
      <c r="O19" s="94">
        <v>20220</v>
      </c>
      <c r="P19" s="94">
        <v>30</v>
      </c>
      <c r="Q19" s="95">
        <v>0.38233907714869297</v>
      </c>
      <c r="R19" s="95">
        <v>0.183992640294388</v>
      </c>
      <c r="S19" s="95">
        <v>0.714686098654709</v>
      </c>
      <c r="T19" s="95">
        <v>0.67975830815710003</v>
      </c>
      <c r="U19" s="95">
        <v>0.60804490177736203</v>
      </c>
      <c r="V19" s="95">
        <v>0.32316703696222998</v>
      </c>
      <c r="W19" s="95">
        <v>0.167084377610693</v>
      </c>
      <c r="X19" s="95">
        <v>0.37235158380532801</v>
      </c>
      <c r="Y19" s="95">
        <v>8</v>
      </c>
      <c r="Z19" s="94">
        <v>24987</v>
      </c>
      <c r="AA19" s="94">
        <v>13702</v>
      </c>
      <c r="AB19" s="94">
        <v>11285</v>
      </c>
      <c r="AC19" s="94">
        <v>1560</v>
      </c>
      <c r="AD19" s="94">
        <v>5580</v>
      </c>
      <c r="AE19" s="94">
        <v>12144</v>
      </c>
      <c r="AF19" s="94">
        <v>5703</v>
      </c>
      <c r="AG19" s="94">
        <v>19922</v>
      </c>
      <c r="AH19" s="94">
        <v>4700</v>
      </c>
      <c r="AI19" s="94">
        <v>365</v>
      </c>
      <c r="AJ19" s="94">
        <v>24771</v>
      </c>
      <c r="AK19" s="94">
        <v>108</v>
      </c>
      <c r="AL19" s="94">
        <v>108</v>
      </c>
      <c r="AM19" s="94">
        <v>2798</v>
      </c>
      <c r="AN19" s="94">
        <v>21904</v>
      </c>
      <c r="AO19" s="94">
        <v>285</v>
      </c>
      <c r="AP19" s="95">
        <v>1.9458687063965701</v>
      </c>
      <c r="AQ19" s="95">
        <v>0.68099273607748201</v>
      </c>
      <c r="AR19" s="95">
        <v>3.5261864246549401</v>
      </c>
      <c r="AS19" s="95">
        <v>2.7322404371584699</v>
      </c>
      <c r="AT19" s="95">
        <v>3.25125048095421</v>
      </c>
      <c r="AU19" s="95">
        <v>1.8039012601415501</v>
      </c>
      <c r="AV19" s="95">
        <v>0.81139560043274395</v>
      </c>
      <c r="AW19" s="95">
        <v>1.6788206285084699</v>
      </c>
      <c r="AX19" s="95">
        <v>3.0793795620437998</v>
      </c>
      <c r="AY19" s="95">
        <v>2.2922636103151901</v>
      </c>
      <c r="AZ19" s="95">
        <v>1.94076020170346</v>
      </c>
      <c r="BA19" s="95">
        <v>3.2608695652173898</v>
      </c>
      <c r="BB19" s="95">
        <v>1.94174757281553</v>
      </c>
      <c r="BC19" s="95">
        <v>1.3648100331980799</v>
      </c>
      <c r="BD19" s="95">
        <v>2.0419929851535099</v>
      </c>
      <c r="BE19" s="95">
        <v>0.37037037037037002</v>
      </c>
    </row>
    <row r="20" spans="2:57" ht="15" customHeight="1" x14ac:dyDescent="0.25">
      <c r="B20" s="96">
        <v>10</v>
      </c>
      <c r="C20" s="97" t="s">
        <v>504</v>
      </c>
      <c r="D20" s="97" t="s">
        <v>27</v>
      </c>
      <c r="E20" s="97" t="s">
        <v>341</v>
      </c>
      <c r="F20" s="97" t="s">
        <v>11</v>
      </c>
      <c r="G20" s="98" t="s">
        <v>11</v>
      </c>
      <c r="H20" s="99">
        <v>103479</v>
      </c>
      <c r="I20" s="99">
        <v>57340</v>
      </c>
      <c r="J20" s="99">
        <v>46139</v>
      </c>
      <c r="K20" s="99">
        <v>6095</v>
      </c>
      <c r="L20" s="99">
        <v>32984</v>
      </c>
      <c r="M20" s="99">
        <v>55437</v>
      </c>
      <c r="N20" s="99">
        <v>8963</v>
      </c>
      <c r="O20" s="99">
        <v>102792</v>
      </c>
      <c r="P20" s="99">
        <v>687</v>
      </c>
      <c r="Q20" s="100">
        <v>2.5452039921493301</v>
      </c>
      <c r="R20" s="100">
        <v>1.7388868135973099</v>
      </c>
      <c r="S20" s="100">
        <v>3.5670327589471702</v>
      </c>
      <c r="T20" s="100">
        <v>3.9971321025273299</v>
      </c>
      <c r="U20" s="100">
        <v>3.7185995912177798</v>
      </c>
      <c r="V20" s="100">
        <v>1.8824716658903899</v>
      </c>
      <c r="W20" s="100">
        <v>1.4017012100155699</v>
      </c>
      <c r="X20" s="100">
        <v>2.5174942736461601</v>
      </c>
      <c r="Y20" s="100">
        <v>6.8403908794788304</v>
      </c>
      <c r="Z20" s="99">
        <v>142905</v>
      </c>
      <c r="AA20" s="99">
        <v>74657</v>
      </c>
      <c r="AB20" s="99">
        <v>68248</v>
      </c>
      <c r="AC20" s="99">
        <v>5710</v>
      </c>
      <c r="AD20" s="99">
        <v>41651</v>
      </c>
      <c r="AE20" s="99">
        <v>79978</v>
      </c>
      <c r="AF20" s="99">
        <v>15566</v>
      </c>
      <c r="AG20" s="99">
        <v>51287</v>
      </c>
      <c r="AH20" s="99">
        <v>90372</v>
      </c>
      <c r="AI20" s="99">
        <v>1246</v>
      </c>
      <c r="AJ20" s="99">
        <v>141192</v>
      </c>
      <c r="AK20" s="99">
        <v>1416</v>
      </c>
      <c r="AL20" s="99">
        <v>297</v>
      </c>
      <c r="AM20" s="99">
        <v>9253</v>
      </c>
      <c r="AN20" s="99">
        <v>132742</v>
      </c>
      <c r="AO20" s="99">
        <v>910</v>
      </c>
      <c r="AP20" s="100">
        <v>6.3049698795180698</v>
      </c>
      <c r="AQ20" s="100">
        <v>3.5673782282260702</v>
      </c>
      <c r="AR20" s="100">
        <v>9.32516114727356</v>
      </c>
      <c r="AS20" s="100">
        <v>9.7915115413253897</v>
      </c>
      <c r="AT20" s="100">
        <v>9.3395157678425598</v>
      </c>
      <c r="AU20" s="100">
        <v>5.0592811409781699</v>
      </c>
      <c r="AV20" s="100">
        <v>3.52708418610997</v>
      </c>
      <c r="AW20" s="100">
        <v>5.3184490769293999</v>
      </c>
      <c r="AX20" s="100">
        <v>6.8844638791514603</v>
      </c>
      <c r="AY20" s="100">
        <v>6.20087336244542</v>
      </c>
      <c r="AZ20" s="100">
        <v>6.2740467029827398</v>
      </c>
      <c r="BA20" s="100">
        <v>9.453125</v>
      </c>
      <c r="BB20" s="100">
        <v>6.4150943396226401</v>
      </c>
      <c r="BC20" s="100">
        <v>5.6836522942125898</v>
      </c>
      <c r="BD20" s="100">
        <v>6.3626628591825796</v>
      </c>
      <c r="BE20" s="100">
        <v>4.3023255813953503</v>
      </c>
    </row>
    <row r="21" spans="2:57" ht="15" customHeight="1" x14ac:dyDescent="0.25">
      <c r="B21" s="91">
        <v>11</v>
      </c>
      <c r="C21" s="92" t="s">
        <v>504</v>
      </c>
      <c r="D21" s="92" t="s">
        <v>27</v>
      </c>
      <c r="E21" s="92" t="s">
        <v>341</v>
      </c>
      <c r="F21" s="92" t="s">
        <v>11</v>
      </c>
      <c r="G21" s="101" t="s">
        <v>501</v>
      </c>
      <c r="H21" s="94">
        <v>93838</v>
      </c>
      <c r="I21" s="94">
        <v>51337</v>
      </c>
      <c r="J21" s="94">
        <v>42501</v>
      </c>
      <c r="K21" s="94">
        <v>5432</v>
      </c>
      <c r="L21" s="94">
        <v>30764</v>
      </c>
      <c r="M21" s="94">
        <v>50466</v>
      </c>
      <c r="N21" s="94">
        <v>7176</v>
      </c>
      <c r="O21" s="94">
        <v>93158</v>
      </c>
      <c r="P21" s="94">
        <v>680</v>
      </c>
      <c r="Q21" s="95">
        <v>2.7788347342811299</v>
      </c>
      <c r="R21" s="95">
        <v>1.9305584605731001</v>
      </c>
      <c r="S21" s="95">
        <v>3.82095228306396</v>
      </c>
      <c r="T21" s="95">
        <v>4.3766311985545103</v>
      </c>
      <c r="U21" s="95">
        <v>3.9380656108597298</v>
      </c>
      <c r="V21" s="95">
        <v>2.0550286251388501</v>
      </c>
      <c r="W21" s="95">
        <v>1.7454107733975299</v>
      </c>
      <c r="X21" s="95">
        <v>2.7496835773754902</v>
      </c>
      <c r="Y21" s="95">
        <v>6.9078947368421098</v>
      </c>
      <c r="Z21" s="94">
        <v>130897</v>
      </c>
      <c r="AA21" s="94">
        <v>68018</v>
      </c>
      <c r="AB21" s="94">
        <v>62879</v>
      </c>
      <c r="AC21" s="94">
        <v>5080</v>
      </c>
      <c r="AD21" s="94">
        <v>39022</v>
      </c>
      <c r="AE21" s="94">
        <v>73869</v>
      </c>
      <c r="AF21" s="94">
        <v>12926</v>
      </c>
      <c r="AG21" s="94">
        <v>41850</v>
      </c>
      <c r="AH21" s="94">
        <v>88030</v>
      </c>
      <c r="AI21" s="94">
        <v>1017</v>
      </c>
      <c r="AJ21" s="94">
        <v>129273</v>
      </c>
      <c r="AK21" s="94">
        <v>1378</v>
      </c>
      <c r="AL21" s="94">
        <v>246</v>
      </c>
      <c r="AM21" s="94">
        <v>8022</v>
      </c>
      <c r="AN21" s="94">
        <v>122121</v>
      </c>
      <c r="AO21" s="94">
        <v>754</v>
      </c>
      <c r="AP21" s="95">
        <v>6.6885748171575399</v>
      </c>
      <c r="AQ21" s="95">
        <v>3.8532023128692798</v>
      </c>
      <c r="AR21" s="95">
        <v>9.7766612753363802</v>
      </c>
      <c r="AS21" s="95">
        <v>10.653854188426999</v>
      </c>
      <c r="AT21" s="95">
        <v>9.7404425426496299</v>
      </c>
      <c r="AU21" s="95">
        <v>5.2913732649453804</v>
      </c>
      <c r="AV21" s="95">
        <v>4.1277194143436198</v>
      </c>
      <c r="AW21" s="95">
        <v>6.08125157708806</v>
      </c>
      <c r="AX21" s="95">
        <v>6.9812884156371</v>
      </c>
      <c r="AY21" s="95">
        <v>7.11974110032362</v>
      </c>
      <c r="AZ21" s="95">
        <v>6.6569403918299299</v>
      </c>
      <c r="BA21" s="95">
        <v>9.6076861489191394</v>
      </c>
      <c r="BB21" s="95">
        <v>7.3732718894009199</v>
      </c>
      <c r="BC21" s="95">
        <v>6.3778580024067404</v>
      </c>
      <c r="BD21" s="95">
        <v>6.7192454096637704</v>
      </c>
      <c r="BE21" s="95">
        <v>5.0704225352112697</v>
      </c>
    </row>
    <row r="22" spans="2:57" ht="15" customHeight="1" x14ac:dyDescent="0.25">
      <c r="B22" s="91">
        <v>12</v>
      </c>
      <c r="C22" s="92" t="s">
        <v>504</v>
      </c>
      <c r="D22" s="92" t="s">
        <v>27</v>
      </c>
      <c r="E22" s="92" t="s">
        <v>341</v>
      </c>
      <c r="F22" s="92" t="s">
        <v>11</v>
      </c>
      <c r="G22" s="101" t="s">
        <v>502</v>
      </c>
      <c r="H22" s="94">
        <v>9641</v>
      </c>
      <c r="I22" s="94">
        <v>6003</v>
      </c>
      <c r="J22" s="94">
        <v>3638</v>
      </c>
      <c r="K22" s="94">
        <v>663</v>
      </c>
      <c r="L22" s="94">
        <v>2220</v>
      </c>
      <c r="M22" s="94">
        <v>4971</v>
      </c>
      <c r="N22" s="94">
        <v>1787</v>
      </c>
      <c r="O22" s="94">
        <v>9634</v>
      </c>
      <c r="P22" s="94">
        <v>7</v>
      </c>
      <c r="Q22" s="95">
        <v>0.30901666482728202</v>
      </c>
      <c r="R22" s="95">
        <v>0.139616055846422</v>
      </c>
      <c r="S22" s="95">
        <v>0.60042029420594401</v>
      </c>
      <c r="T22" s="95">
        <v>0.83612040133779297</v>
      </c>
      <c r="U22" s="95">
        <v>0.68426197458455496</v>
      </c>
      <c r="V22" s="95">
        <v>0.16963528413910101</v>
      </c>
      <c r="W22" s="95">
        <v>5.87889476778366E-2</v>
      </c>
      <c r="X22" s="95">
        <v>0.30922142462727797</v>
      </c>
      <c r="Y22" s="95">
        <v>0</v>
      </c>
      <c r="Z22" s="94">
        <v>12008</v>
      </c>
      <c r="AA22" s="94">
        <v>6639</v>
      </c>
      <c r="AB22" s="94">
        <v>5369</v>
      </c>
      <c r="AC22" s="94">
        <v>630</v>
      </c>
      <c r="AD22" s="94">
        <v>2629</v>
      </c>
      <c r="AE22" s="94">
        <v>6109</v>
      </c>
      <c r="AF22" s="94">
        <v>2640</v>
      </c>
      <c r="AG22" s="94">
        <v>9437</v>
      </c>
      <c r="AH22" s="94">
        <v>2342</v>
      </c>
      <c r="AI22" s="94">
        <v>229</v>
      </c>
      <c r="AJ22" s="94">
        <v>11919</v>
      </c>
      <c r="AK22" s="94">
        <v>38</v>
      </c>
      <c r="AL22" s="94">
        <v>51</v>
      </c>
      <c r="AM22" s="94">
        <v>1231</v>
      </c>
      <c r="AN22" s="94">
        <v>10621</v>
      </c>
      <c r="AO22" s="94">
        <v>156</v>
      </c>
      <c r="AP22" s="95">
        <v>2.2136331693605098</v>
      </c>
      <c r="AQ22" s="95">
        <v>0.72315673636220701</v>
      </c>
      <c r="AR22" s="95">
        <v>4.1011347800119502</v>
      </c>
      <c r="AS22" s="95">
        <v>2.73504273504274</v>
      </c>
      <c r="AT22" s="95">
        <v>3.49075975359343</v>
      </c>
      <c r="AU22" s="95">
        <v>2.2950819672131102</v>
      </c>
      <c r="AV22" s="95">
        <v>0.700661736084079</v>
      </c>
      <c r="AW22" s="95">
        <v>1.9640479360852201</v>
      </c>
      <c r="AX22" s="95">
        <v>3.24976787372331</v>
      </c>
      <c r="AY22" s="95">
        <v>2.2935779816513802</v>
      </c>
      <c r="AZ22" s="95">
        <v>2.2114108801415302</v>
      </c>
      <c r="BA22" s="95">
        <v>3.2258064516128999</v>
      </c>
      <c r="BB22" s="95">
        <v>2.0833333333333299</v>
      </c>
      <c r="BC22" s="95">
        <v>1.33891213389121</v>
      </c>
      <c r="BD22" s="95">
        <v>2.3408706046418999</v>
      </c>
      <c r="BE22" s="95">
        <v>0.66666666666666696</v>
      </c>
    </row>
    <row r="23" spans="2:57" ht="15" customHeight="1" x14ac:dyDescent="0.25">
      <c r="B23" s="96">
        <v>13</v>
      </c>
      <c r="C23" s="97" t="s">
        <v>504</v>
      </c>
      <c r="D23" s="97" t="s">
        <v>27</v>
      </c>
      <c r="E23" s="97" t="s">
        <v>341</v>
      </c>
      <c r="F23" s="97" t="s">
        <v>39</v>
      </c>
      <c r="G23" s="98" t="s">
        <v>39</v>
      </c>
      <c r="H23" s="99">
        <v>3995</v>
      </c>
      <c r="I23" s="99">
        <v>2397</v>
      </c>
      <c r="J23" s="99">
        <v>1598</v>
      </c>
      <c r="K23" s="99">
        <v>279</v>
      </c>
      <c r="L23" s="99">
        <v>959</v>
      </c>
      <c r="M23" s="99">
        <v>2061</v>
      </c>
      <c r="N23" s="99">
        <v>696</v>
      </c>
      <c r="O23" s="99">
        <v>3975</v>
      </c>
      <c r="P23" s="99">
        <v>20</v>
      </c>
      <c r="Q23" s="100">
        <v>1.0074231177094399</v>
      </c>
      <c r="R23" s="100">
        <v>0.52333187963366801</v>
      </c>
      <c r="S23" s="100">
        <v>1.7579445571332</v>
      </c>
      <c r="T23" s="100">
        <v>0.79051383399209496</v>
      </c>
      <c r="U23" s="100">
        <v>1.10132158590308</v>
      </c>
      <c r="V23" s="100">
        <v>1.0802469135802499</v>
      </c>
      <c r="W23" s="100">
        <v>0.74962518740629702</v>
      </c>
      <c r="X23" s="100">
        <v>0.95846645367412098</v>
      </c>
      <c r="Y23" s="100">
        <v>12.5</v>
      </c>
      <c r="Z23" s="99">
        <v>5320</v>
      </c>
      <c r="AA23" s="99">
        <v>2874</v>
      </c>
      <c r="AB23" s="99">
        <v>2446</v>
      </c>
      <c r="AC23" s="99">
        <v>277</v>
      </c>
      <c r="AD23" s="99">
        <v>1294</v>
      </c>
      <c r="AE23" s="99">
        <v>2603</v>
      </c>
      <c r="AF23" s="99">
        <v>1146</v>
      </c>
      <c r="AG23" s="99">
        <v>3878</v>
      </c>
      <c r="AH23" s="99">
        <v>1398</v>
      </c>
      <c r="AI23" s="99">
        <v>44</v>
      </c>
      <c r="AJ23" s="99">
        <v>5228</v>
      </c>
      <c r="AK23" s="99">
        <v>69</v>
      </c>
      <c r="AL23" s="99">
        <v>23</v>
      </c>
      <c r="AM23" s="99">
        <v>541</v>
      </c>
      <c r="AN23" s="99">
        <v>4745</v>
      </c>
      <c r="AO23" s="99">
        <v>34</v>
      </c>
      <c r="AP23" s="100">
        <v>2.85318010699425</v>
      </c>
      <c r="AQ23" s="100">
        <v>1.2363636363636401</v>
      </c>
      <c r="AR23" s="100">
        <v>4.78885502829778</v>
      </c>
      <c r="AS23" s="100">
        <v>4.2635658914728696</v>
      </c>
      <c r="AT23" s="100">
        <v>4.3874172185430496</v>
      </c>
      <c r="AU23" s="100">
        <v>2.3838383838383801</v>
      </c>
      <c r="AV23" s="100">
        <v>1.89873417721519</v>
      </c>
      <c r="AW23" s="100">
        <v>2.4080086580086602</v>
      </c>
      <c r="AX23" s="100">
        <v>4.0519877675840998</v>
      </c>
      <c r="AY23" s="100">
        <v>4.6511627906976702</v>
      </c>
      <c r="AZ23" s="100">
        <v>2.8404512489927498</v>
      </c>
      <c r="BA23" s="100">
        <v>3.3333333333333299</v>
      </c>
      <c r="BB23" s="100">
        <v>4.3478260869565197</v>
      </c>
      <c r="BC23" s="100">
        <v>3.2818532818532802</v>
      </c>
      <c r="BD23" s="100">
        <v>2.8241049588614602</v>
      </c>
      <c r="BE23" s="100">
        <v>0</v>
      </c>
    </row>
    <row r="24" spans="2:57" ht="15" customHeight="1" x14ac:dyDescent="0.25">
      <c r="B24" s="91">
        <v>14</v>
      </c>
      <c r="C24" s="92" t="s">
        <v>504</v>
      </c>
      <c r="D24" s="92" t="s">
        <v>27</v>
      </c>
      <c r="E24" s="92" t="s">
        <v>341</v>
      </c>
      <c r="F24" s="92" t="s">
        <v>39</v>
      </c>
      <c r="G24" s="101" t="s">
        <v>501</v>
      </c>
      <c r="H24" s="94">
        <v>0</v>
      </c>
      <c r="I24" s="94">
        <v>0</v>
      </c>
      <c r="J24" s="94">
        <v>0</v>
      </c>
      <c r="K24" s="94">
        <v>0</v>
      </c>
      <c r="L24" s="94">
        <v>0</v>
      </c>
      <c r="M24" s="94">
        <v>0</v>
      </c>
      <c r="N24" s="94">
        <v>0</v>
      </c>
      <c r="O24" s="94">
        <v>0</v>
      </c>
      <c r="P24" s="94">
        <v>0</v>
      </c>
      <c r="Q24" s="95">
        <v>0</v>
      </c>
      <c r="R24" s="95">
        <v>0</v>
      </c>
      <c r="S24" s="95">
        <v>0</v>
      </c>
      <c r="T24" s="95">
        <v>0</v>
      </c>
      <c r="U24" s="95">
        <v>0</v>
      </c>
      <c r="V24" s="95">
        <v>0</v>
      </c>
      <c r="W24" s="95">
        <v>0</v>
      </c>
      <c r="X24" s="95">
        <v>0</v>
      </c>
      <c r="Y24" s="95">
        <v>0</v>
      </c>
      <c r="Z24" s="94">
        <v>0</v>
      </c>
      <c r="AA24" s="94">
        <v>0</v>
      </c>
      <c r="AB24" s="94">
        <v>0</v>
      </c>
      <c r="AC24" s="94">
        <v>0</v>
      </c>
      <c r="AD24" s="94">
        <v>0</v>
      </c>
      <c r="AE24" s="94">
        <v>0</v>
      </c>
      <c r="AF24" s="94">
        <v>0</v>
      </c>
      <c r="AG24" s="94">
        <v>0</v>
      </c>
      <c r="AH24" s="94">
        <v>0</v>
      </c>
      <c r="AI24" s="94">
        <v>0</v>
      </c>
      <c r="AJ24" s="94">
        <v>0</v>
      </c>
      <c r="AK24" s="94">
        <v>0</v>
      </c>
      <c r="AL24" s="94">
        <v>0</v>
      </c>
      <c r="AM24" s="94">
        <v>0</v>
      </c>
      <c r="AN24" s="94">
        <v>0</v>
      </c>
      <c r="AO24" s="94">
        <v>0</v>
      </c>
      <c r="AP24" s="95">
        <v>0</v>
      </c>
      <c r="AQ24" s="95">
        <v>0</v>
      </c>
      <c r="AR24" s="95">
        <v>0</v>
      </c>
      <c r="AS24" s="95">
        <v>0</v>
      </c>
      <c r="AT24" s="95">
        <v>0</v>
      </c>
      <c r="AU24" s="95">
        <v>0</v>
      </c>
      <c r="AV24" s="95">
        <v>0</v>
      </c>
      <c r="AW24" s="95">
        <v>0</v>
      </c>
      <c r="AX24" s="95">
        <v>0</v>
      </c>
      <c r="AY24" s="95">
        <v>0</v>
      </c>
      <c r="AZ24" s="95">
        <v>0</v>
      </c>
      <c r="BA24" s="95">
        <v>0</v>
      </c>
      <c r="BB24" s="95">
        <v>0</v>
      </c>
      <c r="BC24" s="95">
        <v>0</v>
      </c>
      <c r="BD24" s="95">
        <v>0</v>
      </c>
      <c r="BE24" s="95">
        <v>0</v>
      </c>
    </row>
    <row r="25" spans="2:57" ht="15" customHeight="1" x14ac:dyDescent="0.25">
      <c r="B25" s="91">
        <v>15</v>
      </c>
      <c r="C25" s="92" t="s">
        <v>504</v>
      </c>
      <c r="D25" s="92" t="s">
        <v>27</v>
      </c>
      <c r="E25" s="92" t="s">
        <v>341</v>
      </c>
      <c r="F25" s="92" t="s">
        <v>39</v>
      </c>
      <c r="G25" s="101" t="s">
        <v>502</v>
      </c>
      <c r="H25" s="94">
        <v>3995</v>
      </c>
      <c r="I25" s="94">
        <v>2397</v>
      </c>
      <c r="J25" s="94">
        <v>1598</v>
      </c>
      <c r="K25" s="94">
        <v>279</v>
      </c>
      <c r="L25" s="94">
        <v>959</v>
      </c>
      <c r="M25" s="94">
        <v>2061</v>
      </c>
      <c r="N25" s="94">
        <v>696</v>
      </c>
      <c r="O25" s="94">
        <v>3975</v>
      </c>
      <c r="P25" s="94">
        <v>20</v>
      </c>
      <c r="Q25" s="95">
        <v>1.0074231177094399</v>
      </c>
      <c r="R25" s="95">
        <v>0.52333187963366801</v>
      </c>
      <c r="S25" s="95">
        <v>1.7579445571332</v>
      </c>
      <c r="T25" s="95">
        <v>0.79051383399209496</v>
      </c>
      <c r="U25" s="95">
        <v>1.10132158590308</v>
      </c>
      <c r="V25" s="95">
        <v>1.0802469135802499</v>
      </c>
      <c r="W25" s="95">
        <v>0.74962518740629702</v>
      </c>
      <c r="X25" s="95">
        <v>0.95846645367412098</v>
      </c>
      <c r="Y25" s="95">
        <v>12.5</v>
      </c>
      <c r="Z25" s="94">
        <v>5320</v>
      </c>
      <c r="AA25" s="94">
        <v>2874</v>
      </c>
      <c r="AB25" s="94">
        <v>2446</v>
      </c>
      <c r="AC25" s="94">
        <v>277</v>
      </c>
      <c r="AD25" s="94">
        <v>1294</v>
      </c>
      <c r="AE25" s="94">
        <v>2603</v>
      </c>
      <c r="AF25" s="94">
        <v>1146</v>
      </c>
      <c r="AG25" s="94">
        <v>3878</v>
      </c>
      <c r="AH25" s="94">
        <v>1398</v>
      </c>
      <c r="AI25" s="94">
        <v>44</v>
      </c>
      <c r="AJ25" s="94">
        <v>5228</v>
      </c>
      <c r="AK25" s="94">
        <v>69</v>
      </c>
      <c r="AL25" s="94">
        <v>23</v>
      </c>
      <c r="AM25" s="94">
        <v>541</v>
      </c>
      <c r="AN25" s="94">
        <v>4745</v>
      </c>
      <c r="AO25" s="94">
        <v>34</v>
      </c>
      <c r="AP25" s="95">
        <v>2.85318010699425</v>
      </c>
      <c r="AQ25" s="95">
        <v>1.2363636363636401</v>
      </c>
      <c r="AR25" s="95">
        <v>4.78885502829778</v>
      </c>
      <c r="AS25" s="95">
        <v>4.2635658914728696</v>
      </c>
      <c r="AT25" s="95">
        <v>4.3874172185430496</v>
      </c>
      <c r="AU25" s="95">
        <v>2.3838383838383801</v>
      </c>
      <c r="AV25" s="95">
        <v>1.89873417721519</v>
      </c>
      <c r="AW25" s="95">
        <v>2.4080086580086602</v>
      </c>
      <c r="AX25" s="95">
        <v>4.0519877675840998</v>
      </c>
      <c r="AY25" s="95">
        <v>4.6511627906976702</v>
      </c>
      <c r="AZ25" s="95">
        <v>2.8404512489927498</v>
      </c>
      <c r="BA25" s="95">
        <v>3.3333333333333299</v>
      </c>
      <c r="BB25" s="95">
        <v>4.3478260869565197</v>
      </c>
      <c r="BC25" s="95">
        <v>3.2818532818532802</v>
      </c>
      <c r="BD25" s="95">
        <v>2.8241049588614602</v>
      </c>
      <c r="BE25" s="95">
        <v>0</v>
      </c>
    </row>
    <row r="26" spans="2:57" ht="15" customHeight="1" x14ac:dyDescent="0.25">
      <c r="B26" s="96">
        <v>16</v>
      </c>
      <c r="C26" s="97" t="s">
        <v>504</v>
      </c>
      <c r="D26" s="97" t="s">
        <v>27</v>
      </c>
      <c r="E26" s="97" t="s">
        <v>341</v>
      </c>
      <c r="F26" s="97" t="s">
        <v>18</v>
      </c>
      <c r="G26" s="98" t="s">
        <v>18</v>
      </c>
      <c r="H26" s="99">
        <v>6614</v>
      </c>
      <c r="I26" s="99">
        <v>4131</v>
      </c>
      <c r="J26" s="99">
        <v>2483</v>
      </c>
      <c r="K26" s="99">
        <v>517</v>
      </c>
      <c r="L26" s="99">
        <v>1401</v>
      </c>
      <c r="M26" s="99">
        <v>3420</v>
      </c>
      <c r="N26" s="99">
        <v>1276</v>
      </c>
      <c r="O26" s="99">
        <v>6611</v>
      </c>
      <c r="P26" s="99">
        <v>3</v>
      </c>
      <c r="Q26" s="100">
        <v>0.11182108626198101</v>
      </c>
      <c r="R26" s="100">
        <v>5.0838840874428103E-2</v>
      </c>
      <c r="S26" s="100">
        <v>0.214961306964746</v>
      </c>
      <c r="T26" s="100">
        <v>0.42283298097251598</v>
      </c>
      <c r="U26" s="100">
        <v>0.15128593040847199</v>
      </c>
      <c r="V26" s="100">
        <v>9.2535471930906804E-2</v>
      </c>
      <c r="W26" s="100">
        <v>0</v>
      </c>
      <c r="X26" s="100">
        <v>0.11187470033562399</v>
      </c>
      <c r="Y26" s="100">
        <v>0</v>
      </c>
      <c r="Z26" s="99">
        <v>7659</v>
      </c>
      <c r="AA26" s="99">
        <v>4189</v>
      </c>
      <c r="AB26" s="99">
        <v>3470</v>
      </c>
      <c r="AC26" s="99">
        <v>653</v>
      </c>
      <c r="AD26" s="99">
        <v>1657</v>
      </c>
      <c r="AE26" s="99">
        <v>3432</v>
      </c>
      <c r="AF26" s="99">
        <v>1917</v>
      </c>
      <c r="AG26" s="99">
        <v>6607</v>
      </c>
      <c r="AH26" s="99">
        <v>960</v>
      </c>
      <c r="AI26" s="99">
        <v>92</v>
      </c>
      <c r="AJ26" s="99">
        <v>7624</v>
      </c>
      <c r="AK26" s="99">
        <v>1</v>
      </c>
      <c r="AL26" s="99">
        <v>34</v>
      </c>
      <c r="AM26" s="99">
        <v>1026</v>
      </c>
      <c r="AN26" s="99">
        <v>6538</v>
      </c>
      <c r="AO26" s="99">
        <v>95</v>
      </c>
      <c r="AP26" s="100">
        <v>0.90995518131196496</v>
      </c>
      <c r="AQ26" s="100">
        <v>0.243605359317905</v>
      </c>
      <c r="AR26" s="100">
        <v>1.74953959484346</v>
      </c>
      <c r="AS26" s="100">
        <v>2.0933977455716599</v>
      </c>
      <c r="AT26" s="100">
        <v>1.9935691318327999</v>
      </c>
      <c r="AU26" s="100">
        <v>0.51266586248492196</v>
      </c>
      <c r="AV26" s="100">
        <v>0.32068412613575598</v>
      </c>
      <c r="AW26" s="100">
        <v>0.84999212970250304</v>
      </c>
      <c r="AX26" s="100">
        <v>1.3015184381778699</v>
      </c>
      <c r="AY26" s="100">
        <v>1.13636363636364</v>
      </c>
      <c r="AZ26" s="100">
        <v>0.91405184174624798</v>
      </c>
      <c r="BA26" s="100">
        <v>0</v>
      </c>
      <c r="BB26" s="100">
        <v>0</v>
      </c>
      <c r="BC26" s="100">
        <v>0.400801603206413</v>
      </c>
      <c r="BD26" s="100">
        <v>1.00366417078222</v>
      </c>
      <c r="BE26" s="100">
        <v>0</v>
      </c>
    </row>
    <row r="27" spans="2:57" ht="15" customHeight="1" x14ac:dyDescent="0.25">
      <c r="B27" s="91">
        <v>17</v>
      </c>
      <c r="C27" s="92" t="s">
        <v>504</v>
      </c>
      <c r="D27" s="92" t="s">
        <v>27</v>
      </c>
      <c r="E27" s="92" t="s">
        <v>341</v>
      </c>
      <c r="F27" s="92" t="s">
        <v>18</v>
      </c>
      <c r="G27" s="101" t="s">
        <v>501</v>
      </c>
      <c r="H27" s="94">
        <v>0</v>
      </c>
      <c r="I27" s="94">
        <v>0</v>
      </c>
      <c r="J27" s="94">
        <v>0</v>
      </c>
      <c r="K27" s="94">
        <v>0</v>
      </c>
      <c r="L27" s="94">
        <v>0</v>
      </c>
      <c r="M27" s="94">
        <v>0</v>
      </c>
      <c r="N27" s="94">
        <v>0</v>
      </c>
      <c r="O27" s="94">
        <v>0</v>
      </c>
      <c r="P27" s="94">
        <v>0</v>
      </c>
      <c r="Q27" s="95">
        <v>0</v>
      </c>
      <c r="R27" s="95">
        <v>0</v>
      </c>
      <c r="S27" s="95">
        <v>0</v>
      </c>
      <c r="T27" s="95">
        <v>0</v>
      </c>
      <c r="U27" s="95">
        <v>0</v>
      </c>
      <c r="V27" s="95">
        <v>0</v>
      </c>
      <c r="W27" s="95">
        <v>0</v>
      </c>
      <c r="X27" s="95">
        <v>0</v>
      </c>
      <c r="Y27" s="95">
        <v>0</v>
      </c>
      <c r="Z27" s="94">
        <v>0</v>
      </c>
      <c r="AA27" s="94">
        <v>0</v>
      </c>
      <c r="AB27" s="94">
        <v>0</v>
      </c>
      <c r="AC27" s="94">
        <v>0</v>
      </c>
      <c r="AD27" s="94">
        <v>0</v>
      </c>
      <c r="AE27" s="94">
        <v>0</v>
      </c>
      <c r="AF27" s="94">
        <v>0</v>
      </c>
      <c r="AG27" s="94">
        <v>0</v>
      </c>
      <c r="AH27" s="94">
        <v>0</v>
      </c>
      <c r="AI27" s="94">
        <v>0</v>
      </c>
      <c r="AJ27" s="94">
        <v>0</v>
      </c>
      <c r="AK27" s="94">
        <v>0</v>
      </c>
      <c r="AL27" s="94">
        <v>0</v>
      </c>
      <c r="AM27" s="94">
        <v>0</v>
      </c>
      <c r="AN27" s="94">
        <v>0</v>
      </c>
      <c r="AO27" s="94">
        <v>0</v>
      </c>
      <c r="AP27" s="95">
        <v>0</v>
      </c>
      <c r="AQ27" s="95">
        <v>0</v>
      </c>
      <c r="AR27" s="95">
        <v>0</v>
      </c>
      <c r="AS27" s="95">
        <v>0</v>
      </c>
      <c r="AT27" s="95">
        <v>0</v>
      </c>
      <c r="AU27" s="95">
        <v>0</v>
      </c>
      <c r="AV27" s="95">
        <v>0</v>
      </c>
      <c r="AW27" s="95">
        <v>0</v>
      </c>
      <c r="AX27" s="95">
        <v>0</v>
      </c>
      <c r="AY27" s="95">
        <v>0</v>
      </c>
      <c r="AZ27" s="95">
        <v>0</v>
      </c>
      <c r="BA27" s="95">
        <v>0</v>
      </c>
      <c r="BB27" s="95">
        <v>0</v>
      </c>
      <c r="BC27" s="95">
        <v>0</v>
      </c>
      <c r="BD27" s="95">
        <v>0</v>
      </c>
      <c r="BE27" s="95">
        <v>0</v>
      </c>
    </row>
    <row r="28" spans="2:57" ht="15" customHeight="1" x14ac:dyDescent="0.25">
      <c r="B28" s="91">
        <v>18</v>
      </c>
      <c r="C28" s="92" t="s">
        <v>504</v>
      </c>
      <c r="D28" s="92" t="s">
        <v>27</v>
      </c>
      <c r="E28" s="92" t="s">
        <v>341</v>
      </c>
      <c r="F28" s="92" t="s">
        <v>18</v>
      </c>
      <c r="G28" s="101" t="s">
        <v>502</v>
      </c>
      <c r="H28" s="94">
        <v>6614</v>
      </c>
      <c r="I28" s="94">
        <v>4131</v>
      </c>
      <c r="J28" s="94">
        <v>2483</v>
      </c>
      <c r="K28" s="94">
        <v>517</v>
      </c>
      <c r="L28" s="94">
        <v>1401</v>
      </c>
      <c r="M28" s="94">
        <v>3420</v>
      </c>
      <c r="N28" s="94">
        <v>1276</v>
      </c>
      <c r="O28" s="94">
        <v>6611</v>
      </c>
      <c r="P28" s="94">
        <v>3</v>
      </c>
      <c r="Q28" s="95">
        <v>0.11182108626198101</v>
      </c>
      <c r="R28" s="95">
        <v>5.0838840874428103E-2</v>
      </c>
      <c r="S28" s="95">
        <v>0.214961306964746</v>
      </c>
      <c r="T28" s="95">
        <v>0.42283298097251598</v>
      </c>
      <c r="U28" s="95">
        <v>0.15128593040847199</v>
      </c>
      <c r="V28" s="95">
        <v>9.2535471930906804E-2</v>
      </c>
      <c r="W28" s="95">
        <v>0</v>
      </c>
      <c r="X28" s="95">
        <v>0.11187470033562399</v>
      </c>
      <c r="Y28" s="95">
        <v>0</v>
      </c>
      <c r="Z28" s="94">
        <v>7659</v>
      </c>
      <c r="AA28" s="94">
        <v>4189</v>
      </c>
      <c r="AB28" s="94">
        <v>3470</v>
      </c>
      <c r="AC28" s="94">
        <v>653</v>
      </c>
      <c r="AD28" s="94">
        <v>1657</v>
      </c>
      <c r="AE28" s="94">
        <v>3432</v>
      </c>
      <c r="AF28" s="94">
        <v>1917</v>
      </c>
      <c r="AG28" s="94">
        <v>6607</v>
      </c>
      <c r="AH28" s="94">
        <v>960</v>
      </c>
      <c r="AI28" s="94">
        <v>92</v>
      </c>
      <c r="AJ28" s="94">
        <v>7624</v>
      </c>
      <c r="AK28" s="94">
        <v>1</v>
      </c>
      <c r="AL28" s="94">
        <v>34</v>
      </c>
      <c r="AM28" s="94">
        <v>1026</v>
      </c>
      <c r="AN28" s="94">
        <v>6538</v>
      </c>
      <c r="AO28" s="94">
        <v>95</v>
      </c>
      <c r="AP28" s="95">
        <v>0.90995518131196496</v>
      </c>
      <c r="AQ28" s="95">
        <v>0.243605359317905</v>
      </c>
      <c r="AR28" s="95">
        <v>1.74953959484346</v>
      </c>
      <c r="AS28" s="95">
        <v>2.0933977455716599</v>
      </c>
      <c r="AT28" s="95">
        <v>1.9935691318327999</v>
      </c>
      <c r="AU28" s="95">
        <v>0.51266586248492196</v>
      </c>
      <c r="AV28" s="95">
        <v>0.32068412613575598</v>
      </c>
      <c r="AW28" s="95">
        <v>0.84999212970250304</v>
      </c>
      <c r="AX28" s="95">
        <v>1.3015184381778699</v>
      </c>
      <c r="AY28" s="95">
        <v>1.13636363636364</v>
      </c>
      <c r="AZ28" s="95">
        <v>0.91405184174624798</v>
      </c>
      <c r="BA28" s="95">
        <v>0</v>
      </c>
      <c r="BB28" s="95">
        <v>0</v>
      </c>
      <c r="BC28" s="95">
        <v>0.400801603206413</v>
      </c>
      <c r="BD28" s="95">
        <v>1.00366417078222</v>
      </c>
      <c r="BE28" s="95">
        <v>0</v>
      </c>
    </row>
    <row r="29" spans="2:57" ht="15" customHeight="1" x14ac:dyDescent="0.25">
      <c r="B29" s="86">
        <v>19</v>
      </c>
      <c r="C29" s="87" t="s">
        <v>503</v>
      </c>
      <c r="D29" s="87" t="s">
        <v>27</v>
      </c>
      <c r="E29" s="87" t="s">
        <v>31</v>
      </c>
      <c r="F29" s="87"/>
      <c r="G29" s="88" t="s">
        <v>31</v>
      </c>
      <c r="H29" s="89">
        <v>9552</v>
      </c>
      <c r="I29" s="89">
        <v>6247</v>
      </c>
      <c r="J29" s="89">
        <v>3305</v>
      </c>
      <c r="K29" s="89">
        <v>793</v>
      </c>
      <c r="L29" s="89">
        <v>2100</v>
      </c>
      <c r="M29" s="89">
        <v>4827</v>
      </c>
      <c r="N29" s="89">
        <v>1832</v>
      </c>
      <c r="O29" s="89">
        <v>9551</v>
      </c>
      <c r="P29" s="89">
        <v>1</v>
      </c>
      <c r="Q29" s="90">
        <v>0.299933348144857</v>
      </c>
      <c r="R29" s="90">
        <v>0.24883875248838799</v>
      </c>
      <c r="S29" s="90">
        <v>0.403496973772697</v>
      </c>
      <c r="T29" s="90">
        <v>0.28248587570621497</v>
      </c>
      <c r="U29" s="90">
        <v>0.60575466935890998</v>
      </c>
      <c r="V29" s="90">
        <v>0.26223776223776202</v>
      </c>
      <c r="W29" s="90">
        <v>5.7570523891767401E-2</v>
      </c>
      <c r="X29" s="90">
        <v>0.299966670369959</v>
      </c>
      <c r="Y29" s="90">
        <v>0</v>
      </c>
      <c r="Z29" s="89">
        <v>13156</v>
      </c>
      <c r="AA29" s="89">
        <v>7178</v>
      </c>
      <c r="AB29" s="89">
        <v>5978</v>
      </c>
      <c r="AC29" s="89">
        <v>988</v>
      </c>
      <c r="AD29" s="89">
        <v>3226</v>
      </c>
      <c r="AE29" s="89">
        <v>6234</v>
      </c>
      <c r="AF29" s="89">
        <v>2708</v>
      </c>
      <c r="AG29" s="89">
        <v>9685</v>
      </c>
      <c r="AH29" s="89">
        <v>3332</v>
      </c>
      <c r="AI29" s="89">
        <v>139</v>
      </c>
      <c r="AJ29" s="89">
        <v>13078</v>
      </c>
      <c r="AK29" s="89">
        <v>10</v>
      </c>
      <c r="AL29" s="89">
        <v>68</v>
      </c>
      <c r="AM29" s="89">
        <v>1550</v>
      </c>
      <c r="AN29" s="89">
        <v>11424</v>
      </c>
      <c r="AO29" s="89">
        <v>182</v>
      </c>
      <c r="AP29" s="90">
        <v>1.0423246999368301</v>
      </c>
      <c r="AQ29" s="90">
        <v>0.22837567799029401</v>
      </c>
      <c r="AR29" s="90">
        <v>2.0501944149876299</v>
      </c>
      <c r="AS29" s="90">
        <v>1.58394931362196</v>
      </c>
      <c r="AT29" s="90">
        <v>1.8615284128020899</v>
      </c>
      <c r="AU29" s="90">
        <v>0.86407444333665695</v>
      </c>
      <c r="AV29" s="90">
        <v>0.30337504740235099</v>
      </c>
      <c r="AW29" s="90">
        <v>0.99582396402184403</v>
      </c>
      <c r="AX29" s="90">
        <v>1.1595111250391701</v>
      </c>
      <c r="AY29" s="90">
        <v>1.4925373134328399</v>
      </c>
      <c r="AZ29" s="90">
        <v>1.0406736574515401</v>
      </c>
      <c r="BA29" s="90">
        <v>0</v>
      </c>
      <c r="BB29" s="90">
        <v>1.4925373134328399</v>
      </c>
      <c r="BC29" s="90">
        <v>0.40026684456304201</v>
      </c>
      <c r="BD29" s="90">
        <v>1.09229929000546</v>
      </c>
      <c r="BE29" s="90">
        <v>3.3519553072625698</v>
      </c>
    </row>
    <row r="30" spans="2:57" ht="15" customHeight="1" x14ac:dyDescent="0.25">
      <c r="B30" s="91">
        <v>20</v>
      </c>
      <c r="C30" s="92" t="s">
        <v>503</v>
      </c>
      <c r="D30" s="92" t="s">
        <v>27</v>
      </c>
      <c r="E30" s="92" t="s">
        <v>31</v>
      </c>
      <c r="F30" s="92"/>
      <c r="G30" s="93" t="s">
        <v>501</v>
      </c>
      <c r="H30" s="94">
        <v>0</v>
      </c>
      <c r="I30" s="94">
        <v>0</v>
      </c>
      <c r="J30" s="94">
        <v>0</v>
      </c>
      <c r="K30" s="94">
        <v>0</v>
      </c>
      <c r="L30" s="94">
        <v>0</v>
      </c>
      <c r="M30" s="94">
        <v>0</v>
      </c>
      <c r="N30" s="94">
        <v>0</v>
      </c>
      <c r="O30" s="94">
        <v>0</v>
      </c>
      <c r="P30" s="94">
        <v>0</v>
      </c>
      <c r="Q30" s="95">
        <v>0</v>
      </c>
      <c r="R30" s="95">
        <v>0</v>
      </c>
      <c r="S30" s="95">
        <v>0</v>
      </c>
      <c r="T30" s="95">
        <v>0</v>
      </c>
      <c r="U30" s="95">
        <v>0</v>
      </c>
      <c r="V30" s="95">
        <v>0</v>
      </c>
      <c r="W30" s="95">
        <v>0</v>
      </c>
      <c r="X30" s="95">
        <v>0</v>
      </c>
      <c r="Y30" s="95">
        <v>0</v>
      </c>
      <c r="Z30" s="94">
        <v>0</v>
      </c>
      <c r="AA30" s="94">
        <v>0</v>
      </c>
      <c r="AB30" s="94">
        <v>0</v>
      </c>
      <c r="AC30" s="94">
        <v>0</v>
      </c>
      <c r="AD30" s="94">
        <v>0</v>
      </c>
      <c r="AE30" s="94">
        <v>0</v>
      </c>
      <c r="AF30" s="94">
        <v>0</v>
      </c>
      <c r="AG30" s="94">
        <v>0</v>
      </c>
      <c r="AH30" s="94">
        <v>0</v>
      </c>
      <c r="AI30" s="94">
        <v>0</v>
      </c>
      <c r="AJ30" s="94">
        <v>0</v>
      </c>
      <c r="AK30" s="94">
        <v>0</v>
      </c>
      <c r="AL30" s="94">
        <v>0</v>
      </c>
      <c r="AM30" s="94">
        <v>0</v>
      </c>
      <c r="AN30" s="94">
        <v>0</v>
      </c>
      <c r="AO30" s="94">
        <v>0</v>
      </c>
      <c r="AP30" s="95">
        <v>0</v>
      </c>
      <c r="AQ30" s="95">
        <v>0</v>
      </c>
      <c r="AR30" s="95">
        <v>0</v>
      </c>
      <c r="AS30" s="95">
        <v>0</v>
      </c>
      <c r="AT30" s="95">
        <v>0</v>
      </c>
      <c r="AU30" s="95">
        <v>0</v>
      </c>
      <c r="AV30" s="95">
        <v>0</v>
      </c>
      <c r="AW30" s="95">
        <v>0</v>
      </c>
      <c r="AX30" s="95">
        <v>0</v>
      </c>
      <c r="AY30" s="95">
        <v>0</v>
      </c>
      <c r="AZ30" s="95">
        <v>0</v>
      </c>
      <c r="BA30" s="95">
        <v>0</v>
      </c>
      <c r="BB30" s="95">
        <v>0</v>
      </c>
      <c r="BC30" s="95">
        <v>0</v>
      </c>
      <c r="BD30" s="95">
        <v>0</v>
      </c>
      <c r="BE30" s="95">
        <v>0</v>
      </c>
    </row>
    <row r="31" spans="2:57" ht="15" customHeight="1" x14ac:dyDescent="0.25">
      <c r="B31" s="91">
        <v>21</v>
      </c>
      <c r="C31" s="92" t="s">
        <v>503</v>
      </c>
      <c r="D31" s="92" t="s">
        <v>27</v>
      </c>
      <c r="E31" s="92" t="s">
        <v>31</v>
      </c>
      <c r="F31" s="92"/>
      <c r="G31" s="93" t="s">
        <v>502</v>
      </c>
      <c r="H31" s="94">
        <v>9552</v>
      </c>
      <c r="I31" s="94">
        <v>6247</v>
      </c>
      <c r="J31" s="94">
        <v>3305</v>
      </c>
      <c r="K31" s="94">
        <v>793</v>
      </c>
      <c r="L31" s="94">
        <v>2100</v>
      </c>
      <c r="M31" s="94">
        <v>4827</v>
      </c>
      <c r="N31" s="94">
        <v>1832</v>
      </c>
      <c r="O31" s="94">
        <v>9551</v>
      </c>
      <c r="P31" s="94">
        <v>1</v>
      </c>
      <c r="Q31" s="95">
        <v>0.299933348144857</v>
      </c>
      <c r="R31" s="95">
        <v>0.24883875248838799</v>
      </c>
      <c r="S31" s="95">
        <v>0.403496973772697</v>
      </c>
      <c r="T31" s="95">
        <v>0.28248587570621497</v>
      </c>
      <c r="U31" s="95">
        <v>0.60575466935890998</v>
      </c>
      <c r="V31" s="95">
        <v>0.26223776223776202</v>
      </c>
      <c r="W31" s="95">
        <v>5.7570523891767401E-2</v>
      </c>
      <c r="X31" s="95">
        <v>0.299966670369959</v>
      </c>
      <c r="Y31" s="95">
        <v>0</v>
      </c>
      <c r="Z31" s="94">
        <v>13156</v>
      </c>
      <c r="AA31" s="94">
        <v>7178</v>
      </c>
      <c r="AB31" s="94">
        <v>5978</v>
      </c>
      <c r="AC31" s="94">
        <v>988</v>
      </c>
      <c r="AD31" s="94">
        <v>3226</v>
      </c>
      <c r="AE31" s="94">
        <v>6234</v>
      </c>
      <c r="AF31" s="94">
        <v>2708</v>
      </c>
      <c r="AG31" s="94">
        <v>9685</v>
      </c>
      <c r="AH31" s="94">
        <v>3332</v>
      </c>
      <c r="AI31" s="94">
        <v>139</v>
      </c>
      <c r="AJ31" s="94">
        <v>13078</v>
      </c>
      <c r="AK31" s="94">
        <v>10</v>
      </c>
      <c r="AL31" s="94">
        <v>68</v>
      </c>
      <c r="AM31" s="94">
        <v>1550</v>
      </c>
      <c r="AN31" s="94">
        <v>11424</v>
      </c>
      <c r="AO31" s="94">
        <v>182</v>
      </c>
      <c r="AP31" s="95">
        <v>1.0423246999368301</v>
      </c>
      <c r="AQ31" s="95">
        <v>0.22837567799029401</v>
      </c>
      <c r="AR31" s="95">
        <v>2.0501944149876299</v>
      </c>
      <c r="AS31" s="95">
        <v>1.58394931362196</v>
      </c>
      <c r="AT31" s="95">
        <v>1.8615284128020899</v>
      </c>
      <c r="AU31" s="95">
        <v>0.86407444333665695</v>
      </c>
      <c r="AV31" s="95">
        <v>0.30337504740235099</v>
      </c>
      <c r="AW31" s="95">
        <v>0.99582396402184403</v>
      </c>
      <c r="AX31" s="95">
        <v>1.1595111250391701</v>
      </c>
      <c r="AY31" s="95">
        <v>1.4925373134328399</v>
      </c>
      <c r="AZ31" s="95">
        <v>1.0406736574515401</v>
      </c>
      <c r="BA31" s="95">
        <v>0</v>
      </c>
      <c r="BB31" s="95">
        <v>1.4925373134328399</v>
      </c>
      <c r="BC31" s="95">
        <v>0.40026684456304201</v>
      </c>
      <c r="BD31" s="95">
        <v>1.09229929000546</v>
      </c>
      <c r="BE31" s="95">
        <v>3.3519553072625698</v>
      </c>
    </row>
    <row r="32" spans="2:57" ht="15" customHeight="1" x14ac:dyDescent="0.25">
      <c r="B32" s="96">
        <v>22</v>
      </c>
      <c r="C32" s="97" t="s">
        <v>504</v>
      </c>
      <c r="D32" s="97" t="s">
        <v>27</v>
      </c>
      <c r="E32" s="97" t="s">
        <v>31</v>
      </c>
      <c r="F32" s="97" t="s">
        <v>31</v>
      </c>
      <c r="G32" s="98" t="s">
        <v>31</v>
      </c>
      <c r="H32" s="99">
        <v>3782</v>
      </c>
      <c r="I32" s="99">
        <v>2675</v>
      </c>
      <c r="J32" s="99">
        <v>1107</v>
      </c>
      <c r="K32" s="99">
        <v>323</v>
      </c>
      <c r="L32" s="99">
        <v>942</v>
      </c>
      <c r="M32" s="99">
        <v>1841</v>
      </c>
      <c r="N32" s="99">
        <v>676</v>
      </c>
      <c r="O32" s="99">
        <v>3781</v>
      </c>
      <c r="P32" s="99">
        <v>1</v>
      </c>
      <c r="Q32" s="100">
        <v>0.56785917092561</v>
      </c>
      <c r="R32" s="100">
        <v>0.46314164415283698</v>
      </c>
      <c r="S32" s="100">
        <v>0.85929108485499495</v>
      </c>
      <c r="T32" s="100">
        <v>0</v>
      </c>
      <c r="U32" s="100">
        <v>1.24575311438279</v>
      </c>
      <c r="V32" s="100">
        <v>0.464306442251886</v>
      </c>
      <c r="W32" s="100">
        <v>0.157728706624606</v>
      </c>
      <c r="X32" s="100">
        <v>0.56802044873615398</v>
      </c>
      <c r="Y32" s="100">
        <v>0</v>
      </c>
      <c r="Z32" s="99">
        <v>4206</v>
      </c>
      <c r="AA32" s="99">
        <v>2272</v>
      </c>
      <c r="AB32" s="99">
        <v>1934</v>
      </c>
      <c r="AC32" s="99">
        <v>340</v>
      </c>
      <c r="AD32" s="99">
        <v>862</v>
      </c>
      <c r="AE32" s="99">
        <v>2014</v>
      </c>
      <c r="AF32" s="99">
        <v>990</v>
      </c>
      <c r="AG32" s="99">
        <v>2293</v>
      </c>
      <c r="AH32" s="99">
        <v>1867</v>
      </c>
      <c r="AI32" s="99">
        <v>46</v>
      </c>
      <c r="AJ32" s="99">
        <v>4179</v>
      </c>
      <c r="AK32" s="99">
        <v>4</v>
      </c>
      <c r="AL32" s="99">
        <v>23</v>
      </c>
      <c r="AM32" s="99">
        <v>613</v>
      </c>
      <c r="AN32" s="99">
        <v>3508</v>
      </c>
      <c r="AO32" s="99">
        <v>85</v>
      </c>
      <c r="AP32" s="100">
        <v>1.15706548498277</v>
      </c>
      <c r="AQ32" s="100">
        <v>0.36036036036036001</v>
      </c>
      <c r="AR32" s="100">
        <v>2.1172638436482099</v>
      </c>
      <c r="AS32" s="100">
        <v>1.8404907975460101</v>
      </c>
      <c r="AT32" s="100">
        <v>1.9512195121951199</v>
      </c>
      <c r="AU32" s="100">
        <v>1.0251153254741201</v>
      </c>
      <c r="AV32" s="100">
        <v>0.51813471502590702</v>
      </c>
      <c r="AW32" s="100">
        <v>0.983899821109123</v>
      </c>
      <c r="AX32" s="100">
        <v>1.4037057832678299</v>
      </c>
      <c r="AY32" s="100">
        <v>0</v>
      </c>
      <c r="AZ32" s="100">
        <v>1.1648079306071899</v>
      </c>
      <c r="BA32" s="100">
        <v>0</v>
      </c>
      <c r="BB32" s="100">
        <v>0</v>
      </c>
      <c r="BC32" s="100">
        <v>0.67567567567567599</v>
      </c>
      <c r="BD32" s="100">
        <v>1.2108682811577101</v>
      </c>
      <c r="BE32" s="100">
        <v>2.38095238095238</v>
      </c>
    </row>
    <row r="33" spans="2:57" ht="15" customHeight="1" x14ac:dyDescent="0.25">
      <c r="B33" s="91">
        <v>23</v>
      </c>
      <c r="C33" s="92" t="s">
        <v>504</v>
      </c>
      <c r="D33" s="92" t="s">
        <v>27</v>
      </c>
      <c r="E33" s="92" t="s">
        <v>31</v>
      </c>
      <c r="F33" s="92" t="s">
        <v>31</v>
      </c>
      <c r="G33" s="101" t="s">
        <v>501</v>
      </c>
      <c r="H33" s="94">
        <v>0</v>
      </c>
      <c r="I33" s="94">
        <v>0</v>
      </c>
      <c r="J33" s="94">
        <v>0</v>
      </c>
      <c r="K33" s="94">
        <v>0</v>
      </c>
      <c r="L33" s="94">
        <v>0</v>
      </c>
      <c r="M33" s="94">
        <v>0</v>
      </c>
      <c r="N33" s="94">
        <v>0</v>
      </c>
      <c r="O33" s="94">
        <v>0</v>
      </c>
      <c r="P33" s="94">
        <v>0</v>
      </c>
      <c r="Q33" s="95">
        <v>0</v>
      </c>
      <c r="R33" s="95">
        <v>0</v>
      </c>
      <c r="S33" s="95">
        <v>0</v>
      </c>
      <c r="T33" s="95">
        <v>0</v>
      </c>
      <c r="U33" s="95">
        <v>0</v>
      </c>
      <c r="V33" s="95">
        <v>0</v>
      </c>
      <c r="W33" s="95">
        <v>0</v>
      </c>
      <c r="X33" s="95">
        <v>0</v>
      </c>
      <c r="Y33" s="95">
        <v>0</v>
      </c>
      <c r="Z33" s="94">
        <v>0</v>
      </c>
      <c r="AA33" s="94">
        <v>0</v>
      </c>
      <c r="AB33" s="94">
        <v>0</v>
      </c>
      <c r="AC33" s="94">
        <v>0</v>
      </c>
      <c r="AD33" s="94">
        <v>0</v>
      </c>
      <c r="AE33" s="94">
        <v>0</v>
      </c>
      <c r="AF33" s="94">
        <v>0</v>
      </c>
      <c r="AG33" s="94">
        <v>0</v>
      </c>
      <c r="AH33" s="94">
        <v>0</v>
      </c>
      <c r="AI33" s="94">
        <v>0</v>
      </c>
      <c r="AJ33" s="94">
        <v>0</v>
      </c>
      <c r="AK33" s="94">
        <v>0</v>
      </c>
      <c r="AL33" s="94">
        <v>0</v>
      </c>
      <c r="AM33" s="94">
        <v>0</v>
      </c>
      <c r="AN33" s="94">
        <v>0</v>
      </c>
      <c r="AO33" s="94">
        <v>0</v>
      </c>
      <c r="AP33" s="95">
        <v>0</v>
      </c>
      <c r="AQ33" s="95">
        <v>0</v>
      </c>
      <c r="AR33" s="95">
        <v>0</v>
      </c>
      <c r="AS33" s="95">
        <v>0</v>
      </c>
      <c r="AT33" s="95">
        <v>0</v>
      </c>
      <c r="AU33" s="95">
        <v>0</v>
      </c>
      <c r="AV33" s="95">
        <v>0</v>
      </c>
      <c r="AW33" s="95">
        <v>0</v>
      </c>
      <c r="AX33" s="95">
        <v>0</v>
      </c>
      <c r="AY33" s="95">
        <v>0</v>
      </c>
      <c r="AZ33" s="95">
        <v>0</v>
      </c>
      <c r="BA33" s="95">
        <v>0</v>
      </c>
      <c r="BB33" s="95">
        <v>0</v>
      </c>
      <c r="BC33" s="95">
        <v>0</v>
      </c>
      <c r="BD33" s="95">
        <v>0</v>
      </c>
      <c r="BE33" s="95">
        <v>0</v>
      </c>
    </row>
    <row r="34" spans="2:57" ht="15" customHeight="1" x14ac:dyDescent="0.25">
      <c r="B34" s="91">
        <v>24</v>
      </c>
      <c r="C34" s="92" t="s">
        <v>504</v>
      </c>
      <c r="D34" s="92" t="s">
        <v>27</v>
      </c>
      <c r="E34" s="92" t="s">
        <v>31</v>
      </c>
      <c r="F34" s="92" t="s">
        <v>31</v>
      </c>
      <c r="G34" s="101" t="s">
        <v>502</v>
      </c>
      <c r="H34" s="94">
        <v>3782</v>
      </c>
      <c r="I34" s="94">
        <v>2675</v>
      </c>
      <c r="J34" s="94">
        <v>1107</v>
      </c>
      <c r="K34" s="94">
        <v>323</v>
      </c>
      <c r="L34" s="94">
        <v>942</v>
      </c>
      <c r="M34" s="94">
        <v>1841</v>
      </c>
      <c r="N34" s="94">
        <v>676</v>
      </c>
      <c r="O34" s="94">
        <v>3781</v>
      </c>
      <c r="P34" s="94">
        <v>1</v>
      </c>
      <c r="Q34" s="95">
        <v>0.56785917092561</v>
      </c>
      <c r="R34" s="95">
        <v>0.46314164415283698</v>
      </c>
      <c r="S34" s="95">
        <v>0.85929108485499495</v>
      </c>
      <c r="T34" s="95">
        <v>0</v>
      </c>
      <c r="U34" s="95">
        <v>1.24575311438279</v>
      </c>
      <c r="V34" s="95">
        <v>0.464306442251886</v>
      </c>
      <c r="W34" s="95">
        <v>0.157728706624606</v>
      </c>
      <c r="X34" s="95">
        <v>0.56802044873615398</v>
      </c>
      <c r="Y34" s="95">
        <v>0</v>
      </c>
      <c r="Z34" s="94">
        <v>4206</v>
      </c>
      <c r="AA34" s="94">
        <v>2272</v>
      </c>
      <c r="AB34" s="94">
        <v>1934</v>
      </c>
      <c r="AC34" s="94">
        <v>340</v>
      </c>
      <c r="AD34" s="94">
        <v>862</v>
      </c>
      <c r="AE34" s="94">
        <v>2014</v>
      </c>
      <c r="AF34" s="94">
        <v>990</v>
      </c>
      <c r="AG34" s="94">
        <v>2293</v>
      </c>
      <c r="AH34" s="94">
        <v>1867</v>
      </c>
      <c r="AI34" s="94">
        <v>46</v>
      </c>
      <c r="AJ34" s="94">
        <v>4179</v>
      </c>
      <c r="AK34" s="94">
        <v>4</v>
      </c>
      <c r="AL34" s="94">
        <v>23</v>
      </c>
      <c r="AM34" s="94">
        <v>613</v>
      </c>
      <c r="AN34" s="94">
        <v>3508</v>
      </c>
      <c r="AO34" s="94">
        <v>85</v>
      </c>
      <c r="AP34" s="95">
        <v>1.15706548498277</v>
      </c>
      <c r="AQ34" s="95">
        <v>0.36036036036036001</v>
      </c>
      <c r="AR34" s="95">
        <v>2.1172638436482099</v>
      </c>
      <c r="AS34" s="95">
        <v>1.8404907975460101</v>
      </c>
      <c r="AT34" s="95">
        <v>1.9512195121951199</v>
      </c>
      <c r="AU34" s="95">
        <v>1.0251153254741201</v>
      </c>
      <c r="AV34" s="95">
        <v>0.51813471502590702</v>
      </c>
      <c r="AW34" s="95">
        <v>0.983899821109123</v>
      </c>
      <c r="AX34" s="95">
        <v>1.4037057832678299</v>
      </c>
      <c r="AY34" s="95">
        <v>0</v>
      </c>
      <c r="AZ34" s="95">
        <v>1.1648079306071899</v>
      </c>
      <c r="BA34" s="95">
        <v>0</v>
      </c>
      <c r="BB34" s="95">
        <v>0</v>
      </c>
      <c r="BC34" s="95">
        <v>0.67567567567567599</v>
      </c>
      <c r="BD34" s="95">
        <v>1.2108682811577101</v>
      </c>
      <c r="BE34" s="95">
        <v>2.38095238095238</v>
      </c>
    </row>
    <row r="35" spans="2:57" ht="15" customHeight="1" x14ac:dyDescent="0.25">
      <c r="B35" s="96">
        <v>25</v>
      </c>
      <c r="C35" s="97" t="s">
        <v>504</v>
      </c>
      <c r="D35" s="97" t="s">
        <v>27</v>
      </c>
      <c r="E35" s="97" t="s">
        <v>31</v>
      </c>
      <c r="F35" s="97" t="s">
        <v>65</v>
      </c>
      <c r="G35" s="98" t="s">
        <v>65</v>
      </c>
      <c r="H35" s="99">
        <v>5770</v>
      </c>
      <c r="I35" s="99">
        <v>3572</v>
      </c>
      <c r="J35" s="99">
        <v>2198</v>
      </c>
      <c r="K35" s="99">
        <v>470</v>
      </c>
      <c r="L35" s="99">
        <v>1158</v>
      </c>
      <c r="M35" s="99">
        <v>2986</v>
      </c>
      <c r="N35" s="99">
        <v>1156</v>
      </c>
      <c r="O35" s="99">
        <v>5770</v>
      </c>
      <c r="P35" s="99">
        <v>0</v>
      </c>
      <c r="Q35" s="100">
        <v>0.127737226277372</v>
      </c>
      <c r="R35" s="100">
        <v>8.7285423334303197E-2</v>
      </c>
      <c r="S35" s="100">
        <v>0.195790504160548</v>
      </c>
      <c r="T35" s="100">
        <v>0.46948356807511699</v>
      </c>
      <c r="U35" s="100">
        <v>9.1074681238615701E-2</v>
      </c>
      <c r="V35" s="100">
        <v>0.14020329477742699</v>
      </c>
      <c r="W35" s="100">
        <v>0</v>
      </c>
      <c r="X35" s="100">
        <v>0.127737226277372</v>
      </c>
      <c r="Y35" s="100">
        <v>0</v>
      </c>
      <c r="Z35" s="99">
        <v>8950</v>
      </c>
      <c r="AA35" s="99">
        <v>4906</v>
      </c>
      <c r="AB35" s="99">
        <v>4044</v>
      </c>
      <c r="AC35" s="99">
        <v>648</v>
      </c>
      <c r="AD35" s="99">
        <v>2364</v>
      </c>
      <c r="AE35" s="99">
        <v>4220</v>
      </c>
      <c r="AF35" s="99">
        <v>1718</v>
      </c>
      <c r="AG35" s="99">
        <v>7392</v>
      </c>
      <c r="AH35" s="99">
        <v>1465</v>
      </c>
      <c r="AI35" s="99">
        <v>93</v>
      </c>
      <c r="AJ35" s="99">
        <v>8899</v>
      </c>
      <c r="AK35" s="99">
        <v>6</v>
      </c>
      <c r="AL35" s="99">
        <v>45</v>
      </c>
      <c r="AM35" s="99">
        <v>937</v>
      </c>
      <c r="AN35" s="99">
        <v>7916</v>
      </c>
      <c r="AO35" s="99">
        <v>97</v>
      </c>
      <c r="AP35" s="100">
        <v>0.98814229249011898</v>
      </c>
      <c r="AQ35" s="100">
        <v>0.16715419974926901</v>
      </c>
      <c r="AR35" s="100">
        <v>2.0178197064989498</v>
      </c>
      <c r="AS35" s="100">
        <v>1.4492753623188399</v>
      </c>
      <c r="AT35" s="100">
        <v>1.82872435325602</v>
      </c>
      <c r="AU35" s="100">
        <v>0.78682075239734495</v>
      </c>
      <c r="AV35" s="100">
        <v>0.17942583732057399</v>
      </c>
      <c r="AW35" s="100">
        <v>0.99957764324933096</v>
      </c>
      <c r="AX35" s="100">
        <v>0.85106382978723405</v>
      </c>
      <c r="AY35" s="100">
        <v>2.2471910112359601</v>
      </c>
      <c r="AZ35" s="100">
        <v>0.98211153981059296</v>
      </c>
      <c r="BA35" s="100">
        <v>0</v>
      </c>
      <c r="BB35" s="100">
        <v>2.2727272727272698</v>
      </c>
      <c r="BC35" s="100">
        <v>0.22050716648291099</v>
      </c>
      <c r="BD35" s="100">
        <v>1.0394736842105301</v>
      </c>
      <c r="BE35" s="100">
        <v>4.2105263157894699</v>
      </c>
    </row>
    <row r="36" spans="2:57" ht="15" customHeight="1" x14ac:dyDescent="0.25">
      <c r="B36" s="91">
        <v>26</v>
      </c>
      <c r="C36" s="92" t="s">
        <v>504</v>
      </c>
      <c r="D36" s="92" t="s">
        <v>27</v>
      </c>
      <c r="E36" s="92" t="s">
        <v>31</v>
      </c>
      <c r="F36" s="92" t="s">
        <v>65</v>
      </c>
      <c r="G36" s="101" t="s">
        <v>501</v>
      </c>
      <c r="H36" s="94">
        <v>0</v>
      </c>
      <c r="I36" s="94">
        <v>0</v>
      </c>
      <c r="J36" s="94">
        <v>0</v>
      </c>
      <c r="K36" s="94">
        <v>0</v>
      </c>
      <c r="L36" s="94">
        <v>0</v>
      </c>
      <c r="M36" s="94">
        <v>0</v>
      </c>
      <c r="N36" s="94">
        <v>0</v>
      </c>
      <c r="O36" s="94">
        <v>0</v>
      </c>
      <c r="P36" s="94">
        <v>0</v>
      </c>
      <c r="Q36" s="95">
        <v>0</v>
      </c>
      <c r="R36" s="95">
        <v>0</v>
      </c>
      <c r="S36" s="95">
        <v>0</v>
      </c>
      <c r="T36" s="95">
        <v>0</v>
      </c>
      <c r="U36" s="95">
        <v>0</v>
      </c>
      <c r="V36" s="95">
        <v>0</v>
      </c>
      <c r="W36" s="95">
        <v>0</v>
      </c>
      <c r="X36" s="95">
        <v>0</v>
      </c>
      <c r="Y36" s="95">
        <v>0</v>
      </c>
      <c r="Z36" s="94">
        <v>0</v>
      </c>
      <c r="AA36" s="94">
        <v>0</v>
      </c>
      <c r="AB36" s="94">
        <v>0</v>
      </c>
      <c r="AC36" s="94">
        <v>0</v>
      </c>
      <c r="AD36" s="94">
        <v>0</v>
      </c>
      <c r="AE36" s="94">
        <v>0</v>
      </c>
      <c r="AF36" s="94">
        <v>0</v>
      </c>
      <c r="AG36" s="94">
        <v>0</v>
      </c>
      <c r="AH36" s="94">
        <v>0</v>
      </c>
      <c r="AI36" s="94">
        <v>0</v>
      </c>
      <c r="AJ36" s="94">
        <v>0</v>
      </c>
      <c r="AK36" s="94">
        <v>0</v>
      </c>
      <c r="AL36" s="94">
        <v>0</v>
      </c>
      <c r="AM36" s="94">
        <v>0</v>
      </c>
      <c r="AN36" s="94">
        <v>0</v>
      </c>
      <c r="AO36" s="94">
        <v>0</v>
      </c>
      <c r="AP36" s="95">
        <v>0</v>
      </c>
      <c r="AQ36" s="95">
        <v>0</v>
      </c>
      <c r="AR36" s="95">
        <v>0</v>
      </c>
      <c r="AS36" s="95">
        <v>0</v>
      </c>
      <c r="AT36" s="95">
        <v>0</v>
      </c>
      <c r="AU36" s="95">
        <v>0</v>
      </c>
      <c r="AV36" s="95">
        <v>0</v>
      </c>
      <c r="AW36" s="95">
        <v>0</v>
      </c>
      <c r="AX36" s="95">
        <v>0</v>
      </c>
      <c r="AY36" s="95">
        <v>0</v>
      </c>
      <c r="AZ36" s="95">
        <v>0</v>
      </c>
      <c r="BA36" s="95">
        <v>0</v>
      </c>
      <c r="BB36" s="95">
        <v>0</v>
      </c>
      <c r="BC36" s="95">
        <v>0</v>
      </c>
      <c r="BD36" s="95">
        <v>0</v>
      </c>
      <c r="BE36" s="95">
        <v>0</v>
      </c>
    </row>
    <row r="37" spans="2:57" ht="15" customHeight="1" x14ac:dyDescent="0.25">
      <c r="B37" s="91">
        <v>27</v>
      </c>
      <c r="C37" s="92" t="s">
        <v>504</v>
      </c>
      <c r="D37" s="92" t="s">
        <v>27</v>
      </c>
      <c r="E37" s="92" t="s">
        <v>31</v>
      </c>
      <c r="F37" s="92" t="s">
        <v>65</v>
      </c>
      <c r="G37" s="101" t="s">
        <v>502</v>
      </c>
      <c r="H37" s="94">
        <v>5770</v>
      </c>
      <c r="I37" s="94">
        <v>3572</v>
      </c>
      <c r="J37" s="94">
        <v>2198</v>
      </c>
      <c r="K37" s="94">
        <v>470</v>
      </c>
      <c r="L37" s="94">
        <v>1158</v>
      </c>
      <c r="M37" s="94">
        <v>2986</v>
      </c>
      <c r="N37" s="94">
        <v>1156</v>
      </c>
      <c r="O37" s="94">
        <v>5770</v>
      </c>
      <c r="P37" s="94">
        <v>0</v>
      </c>
      <c r="Q37" s="95">
        <v>0.127737226277372</v>
      </c>
      <c r="R37" s="95">
        <v>8.7285423334303197E-2</v>
      </c>
      <c r="S37" s="95">
        <v>0.195790504160548</v>
      </c>
      <c r="T37" s="95">
        <v>0.46948356807511699</v>
      </c>
      <c r="U37" s="95">
        <v>9.1074681238615701E-2</v>
      </c>
      <c r="V37" s="95">
        <v>0.14020329477742699</v>
      </c>
      <c r="W37" s="95">
        <v>0</v>
      </c>
      <c r="X37" s="95">
        <v>0.127737226277372</v>
      </c>
      <c r="Y37" s="95">
        <v>0</v>
      </c>
      <c r="Z37" s="94">
        <v>8950</v>
      </c>
      <c r="AA37" s="94">
        <v>4906</v>
      </c>
      <c r="AB37" s="94">
        <v>4044</v>
      </c>
      <c r="AC37" s="94">
        <v>648</v>
      </c>
      <c r="AD37" s="94">
        <v>2364</v>
      </c>
      <c r="AE37" s="94">
        <v>4220</v>
      </c>
      <c r="AF37" s="94">
        <v>1718</v>
      </c>
      <c r="AG37" s="94">
        <v>7392</v>
      </c>
      <c r="AH37" s="94">
        <v>1465</v>
      </c>
      <c r="AI37" s="94">
        <v>93</v>
      </c>
      <c r="AJ37" s="94">
        <v>8899</v>
      </c>
      <c r="AK37" s="94">
        <v>6</v>
      </c>
      <c r="AL37" s="94">
        <v>45</v>
      </c>
      <c r="AM37" s="94">
        <v>937</v>
      </c>
      <c r="AN37" s="94">
        <v>7916</v>
      </c>
      <c r="AO37" s="94">
        <v>97</v>
      </c>
      <c r="AP37" s="95">
        <v>0.98814229249011898</v>
      </c>
      <c r="AQ37" s="95">
        <v>0.16715419974926901</v>
      </c>
      <c r="AR37" s="95">
        <v>2.0178197064989498</v>
      </c>
      <c r="AS37" s="95">
        <v>1.4492753623188399</v>
      </c>
      <c r="AT37" s="95">
        <v>1.82872435325602</v>
      </c>
      <c r="AU37" s="95">
        <v>0.78682075239734495</v>
      </c>
      <c r="AV37" s="95">
        <v>0.17942583732057399</v>
      </c>
      <c r="AW37" s="95">
        <v>0.99957764324933096</v>
      </c>
      <c r="AX37" s="95">
        <v>0.85106382978723405</v>
      </c>
      <c r="AY37" s="95">
        <v>2.2471910112359601</v>
      </c>
      <c r="AZ37" s="95">
        <v>0.98211153981059296</v>
      </c>
      <c r="BA37" s="95">
        <v>0</v>
      </c>
      <c r="BB37" s="95">
        <v>2.2727272727272698</v>
      </c>
      <c r="BC37" s="95">
        <v>0.22050716648291099</v>
      </c>
      <c r="BD37" s="95">
        <v>1.0394736842105301</v>
      </c>
      <c r="BE37" s="95">
        <v>4.2105263157894699</v>
      </c>
    </row>
    <row r="38" spans="2:57" ht="15" customHeight="1" x14ac:dyDescent="0.25">
      <c r="B38" s="86">
        <v>28</v>
      </c>
      <c r="C38" s="87" t="s">
        <v>503</v>
      </c>
      <c r="D38" s="87" t="s">
        <v>27</v>
      </c>
      <c r="E38" s="87" t="s">
        <v>342</v>
      </c>
      <c r="F38" s="87"/>
      <c r="G38" s="88" t="s">
        <v>342</v>
      </c>
      <c r="H38" s="89">
        <v>16013</v>
      </c>
      <c r="I38" s="89">
        <v>10339</v>
      </c>
      <c r="J38" s="89">
        <v>5674</v>
      </c>
      <c r="K38" s="89">
        <v>1207</v>
      </c>
      <c r="L38" s="89">
        <v>4265</v>
      </c>
      <c r="M38" s="89">
        <v>8113</v>
      </c>
      <c r="N38" s="89">
        <v>2428</v>
      </c>
      <c r="O38" s="89">
        <v>16000</v>
      </c>
      <c r="P38" s="89">
        <v>13</v>
      </c>
      <c r="Q38" s="90">
        <v>0.633080101292816</v>
      </c>
      <c r="R38" s="90">
        <v>0.39489671931956299</v>
      </c>
      <c r="S38" s="90">
        <v>1.0916179337231999</v>
      </c>
      <c r="T38" s="90">
        <v>0.92421441774491697</v>
      </c>
      <c r="U38" s="90">
        <v>0.93789607097591898</v>
      </c>
      <c r="V38" s="90">
        <v>0.54644808743169404</v>
      </c>
      <c r="W38" s="90">
        <v>0.261665939816834</v>
      </c>
      <c r="X38" s="90">
        <v>0.62691743364012298</v>
      </c>
      <c r="Y38" s="90">
        <v>8.3333333333333304</v>
      </c>
      <c r="Z38" s="89">
        <v>24828</v>
      </c>
      <c r="AA38" s="89">
        <v>14248</v>
      </c>
      <c r="AB38" s="89">
        <v>10580</v>
      </c>
      <c r="AC38" s="89">
        <v>1607</v>
      </c>
      <c r="AD38" s="89">
        <v>7149</v>
      </c>
      <c r="AE38" s="89">
        <v>12165</v>
      </c>
      <c r="AF38" s="89">
        <v>3907</v>
      </c>
      <c r="AG38" s="89">
        <v>19937</v>
      </c>
      <c r="AH38" s="89">
        <v>4521</v>
      </c>
      <c r="AI38" s="89">
        <v>370</v>
      </c>
      <c r="AJ38" s="89">
        <v>24721</v>
      </c>
      <c r="AK38" s="89">
        <v>28</v>
      </c>
      <c r="AL38" s="89">
        <v>79</v>
      </c>
      <c r="AM38" s="89">
        <v>2069</v>
      </c>
      <c r="AN38" s="89">
        <v>22491</v>
      </c>
      <c r="AO38" s="89">
        <v>268</v>
      </c>
      <c r="AP38" s="90">
        <v>1.62127385803131</v>
      </c>
      <c r="AQ38" s="90">
        <v>0.43446777697320799</v>
      </c>
      <c r="AR38" s="90">
        <v>3.3456075749605501</v>
      </c>
      <c r="AS38" s="90">
        <v>1.64257555847569</v>
      </c>
      <c r="AT38" s="90">
        <v>2.2095295355478699</v>
      </c>
      <c r="AU38" s="90">
        <v>1.6649141254819499</v>
      </c>
      <c r="AV38" s="90">
        <v>0.42918454935622302</v>
      </c>
      <c r="AW38" s="90">
        <v>1.4591127739176899</v>
      </c>
      <c r="AX38" s="90">
        <v>2.3736780258519401</v>
      </c>
      <c r="AY38" s="90">
        <v>1.1428571428571399</v>
      </c>
      <c r="AZ38" s="90">
        <v>1.6112355678097501</v>
      </c>
      <c r="BA38" s="90">
        <v>14.285714285714301</v>
      </c>
      <c r="BB38" s="90">
        <v>0</v>
      </c>
      <c r="BC38" s="90">
        <v>1.0152284263959399</v>
      </c>
      <c r="BD38" s="90">
        <v>1.6874437123761701</v>
      </c>
      <c r="BE38" s="90">
        <v>0.80645161290322598</v>
      </c>
    </row>
    <row r="39" spans="2:57" ht="15" customHeight="1" x14ac:dyDescent="0.25">
      <c r="B39" s="91">
        <v>29</v>
      </c>
      <c r="C39" s="92" t="s">
        <v>503</v>
      </c>
      <c r="D39" s="92" t="s">
        <v>27</v>
      </c>
      <c r="E39" s="92" t="s">
        <v>342</v>
      </c>
      <c r="F39" s="92"/>
      <c r="G39" s="93" t="s">
        <v>501</v>
      </c>
      <c r="H39" s="94">
        <v>2981</v>
      </c>
      <c r="I39" s="94">
        <v>1797</v>
      </c>
      <c r="J39" s="94">
        <v>1184</v>
      </c>
      <c r="K39" s="94">
        <v>150</v>
      </c>
      <c r="L39" s="94">
        <v>874</v>
      </c>
      <c r="M39" s="94">
        <v>1667</v>
      </c>
      <c r="N39" s="94">
        <v>290</v>
      </c>
      <c r="O39" s="94">
        <v>2977</v>
      </c>
      <c r="P39" s="94">
        <v>4</v>
      </c>
      <c r="Q39" s="95">
        <v>1.9666048237476801</v>
      </c>
      <c r="R39" s="95">
        <v>1.15361262902247</v>
      </c>
      <c r="S39" s="95">
        <v>3.2442748091603102</v>
      </c>
      <c r="T39" s="95">
        <v>3.2</v>
      </c>
      <c r="U39" s="95">
        <v>2.8132992327365698</v>
      </c>
      <c r="V39" s="95">
        <v>1.57687253613666</v>
      </c>
      <c r="W39" s="95">
        <v>1.1278195488721801</v>
      </c>
      <c r="X39" s="95">
        <v>1.9687964338781601</v>
      </c>
      <c r="Y39" s="95">
        <v>0</v>
      </c>
      <c r="Z39" s="94">
        <v>4962</v>
      </c>
      <c r="AA39" s="94">
        <v>2780</v>
      </c>
      <c r="AB39" s="94">
        <v>2182</v>
      </c>
      <c r="AC39" s="94">
        <v>230</v>
      </c>
      <c r="AD39" s="94">
        <v>1314</v>
      </c>
      <c r="AE39" s="94">
        <v>2743</v>
      </c>
      <c r="AF39" s="94">
        <v>675</v>
      </c>
      <c r="AG39" s="94">
        <v>3235</v>
      </c>
      <c r="AH39" s="94">
        <v>1683</v>
      </c>
      <c r="AI39" s="94">
        <v>44</v>
      </c>
      <c r="AJ39" s="94">
        <v>4935</v>
      </c>
      <c r="AK39" s="94">
        <v>13</v>
      </c>
      <c r="AL39" s="94">
        <v>14</v>
      </c>
      <c r="AM39" s="94">
        <v>329</v>
      </c>
      <c r="AN39" s="94">
        <v>4599</v>
      </c>
      <c r="AO39" s="94">
        <v>34</v>
      </c>
      <c r="AP39" s="95">
        <v>3.52263023057216</v>
      </c>
      <c r="AQ39" s="95">
        <v>0.98150245375613399</v>
      </c>
      <c r="AR39" s="95">
        <v>6.8304668304668299</v>
      </c>
      <c r="AS39" s="95">
        <v>4.0723981900452504</v>
      </c>
      <c r="AT39" s="95">
        <v>4.22420796100731</v>
      </c>
      <c r="AU39" s="95">
        <v>3.6778939217963602</v>
      </c>
      <c r="AV39" s="95">
        <v>1.3867488443759599</v>
      </c>
      <c r="AW39" s="95">
        <v>3.5749426041325001</v>
      </c>
      <c r="AX39" s="95">
        <v>3.45477386934673</v>
      </c>
      <c r="AY39" s="95">
        <v>2.32558139534884</v>
      </c>
      <c r="AZ39" s="95">
        <v>3.4778875053671099</v>
      </c>
      <c r="BA39" s="95">
        <v>23.076923076923102</v>
      </c>
      <c r="BB39" s="95">
        <v>0</v>
      </c>
      <c r="BC39" s="95">
        <v>4.8543689320388301</v>
      </c>
      <c r="BD39" s="95">
        <v>3.4315983417779798</v>
      </c>
      <c r="BE39" s="95">
        <v>3.0303030303030298</v>
      </c>
    </row>
    <row r="40" spans="2:57" ht="15" customHeight="1" x14ac:dyDescent="0.25">
      <c r="B40" s="91">
        <v>30</v>
      </c>
      <c r="C40" s="92" t="s">
        <v>503</v>
      </c>
      <c r="D40" s="92" t="s">
        <v>27</v>
      </c>
      <c r="E40" s="92" t="s">
        <v>342</v>
      </c>
      <c r="F40" s="92"/>
      <c r="G40" s="93" t="s">
        <v>502</v>
      </c>
      <c r="H40" s="94">
        <v>13032</v>
      </c>
      <c r="I40" s="94">
        <v>8542</v>
      </c>
      <c r="J40" s="94">
        <v>4490</v>
      </c>
      <c r="K40" s="94">
        <v>1057</v>
      </c>
      <c r="L40" s="94">
        <v>3391</v>
      </c>
      <c r="M40" s="94">
        <v>6446</v>
      </c>
      <c r="N40" s="94">
        <v>2138</v>
      </c>
      <c r="O40" s="94">
        <v>13023</v>
      </c>
      <c r="P40" s="94">
        <v>9</v>
      </c>
      <c r="Q40" s="95">
        <v>0.341158313703192</v>
      </c>
      <c r="R40" s="95">
        <v>0.243042897071333</v>
      </c>
      <c r="S40" s="95">
        <v>0.53895149436550704</v>
      </c>
      <c r="T40" s="95">
        <v>0.62695924764890298</v>
      </c>
      <c r="U40" s="95">
        <v>0.474233322794815</v>
      </c>
      <c r="V40" s="95">
        <v>0.292018170019468</v>
      </c>
      <c r="W40" s="95">
        <v>0.14800197335964499</v>
      </c>
      <c r="X40" s="95">
        <v>0.33327914160299099</v>
      </c>
      <c r="Y40" s="95">
        <v>11.1111111111111</v>
      </c>
      <c r="Z40" s="94">
        <v>19866</v>
      </c>
      <c r="AA40" s="94">
        <v>11468</v>
      </c>
      <c r="AB40" s="94">
        <v>8398</v>
      </c>
      <c r="AC40" s="94">
        <v>1377</v>
      </c>
      <c r="AD40" s="94">
        <v>5835</v>
      </c>
      <c r="AE40" s="94">
        <v>9422</v>
      </c>
      <c r="AF40" s="94">
        <v>3232</v>
      </c>
      <c r="AG40" s="94">
        <v>16702</v>
      </c>
      <c r="AH40" s="94">
        <v>2838</v>
      </c>
      <c r="AI40" s="94">
        <v>326</v>
      </c>
      <c r="AJ40" s="94">
        <v>19786</v>
      </c>
      <c r="AK40" s="94">
        <v>15</v>
      </c>
      <c r="AL40" s="94">
        <v>65</v>
      </c>
      <c r="AM40" s="94">
        <v>1740</v>
      </c>
      <c r="AN40" s="94">
        <v>17892</v>
      </c>
      <c r="AO40" s="94">
        <v>234</v>
      </c>
      <c r="AP40" s="95">
        <v>1.1432558638827801</v>
      </c>
      <c r="AQ40" s="95">
        <v>0.30463220141564401</v>
      </c>
      <c r="AR40" s="95">
        <v>2.3962516733601098</v>
      </c>
      <c r="AS40" s="95">
        <v>1.2298232129131399</v>
      </c>
      <c r="AT40" s="95">
        <v>1.7521209885651099</v>
      </c>
      <c r="AU40" s="95">
        <v>1.0759995469475601</v>
      </c>
      <c r="AV40" s="95">
        <v>0.22734654108476801</v>
      </c>
      <c r="AW40" s="95">
        <v>1.0471872805057101</v>
      </c>
      <c r="AX40" s="95">
        <v>1.72737514081863</v>
      </c>
      <c r="AY40" s="95">
        <v>0.97719869706840401</v>
      </c>
      <c r="AZ40" s="95">
        <v>1.14261075778808</v>
      </c>
      <c r="BA40" s="95">
        <v>6.6666666666666696</v>
      </c>
      <c r="BB40" s="95">
        <v>0</v>
      </c>
      <c r="BC40" s="95">
        <v>0.30102347983142702</v>
      </c>
      <c r="BD40" s="95">
        <v>1.2354521038496</v>
      </c>
      <c r="BE40" s="95">
        <v>0.46511627906976699</v>
      </c>
    </row>
    <row r="41" spans="2:57" ht="15" customHeight="1" x14ac:dyDescent="0.25">
      <c r="B41" s="96">
        <v>31</v>
      </c>
      <c r="C41" s="97" t="s">
        <v>504</v>
      </c>
      <c r="D41" s="97" t="s">
        <v>27</v>
      </c>
      <c r="E41" s="97" t="s">
        <v>342</v>
      </c>
      <c r="F41" s="97" t="s">
        <v>342</v>
      </c>
      <c r="G41" s="98" t="s">
        <v>342</v>
      </c>
      <c r="H41" s="99">
        <v>4908</v>
      </c>
      <c r="I41" s="99">
        <v>3236</v>
      </c>
      <c r="J41" s="99">
        <v>1672</v>
      </c>
      <c r="K41" s="99">
        <v>340</v>
      </c>
      <c r="L41" s="99">
        <v>1376</v>
      </c>
      <c r="M41" s="99">
        <v>2551</v>
      </c>
      <c r="N41" s="99">
        <v>641</v>
      </c>
      <c r="O41" s="99">
        <v>4903</v>
      </c>
      <c r="P41" s="99">
        <v>5</v>
      </c>
      <c r="Q41" s="100">
        <v>1.14035087719298</v>
      </c>
      <c r="R41" s="100">
        <v>0.55356561380657798</v>
      </c>
      <c r="S41" s="100">
        <v>2.35057085292142</v>
      </c>
      <c r="T41" s="100">
        <v>1.6949152542372901</v>
      </c>
      <c r="U41" s="100">
        <v>1.7377567140600301</v>
      </c>
      <c r="V41" s="100">
        <v>0.96033402922755695</v>
      </c>
      <c r="W41" s="100">
        <v>0.33112582781457001</v>
      </c>
      <c r="X41" s="100">
        <v>1.14160263446762</v>
      </c>
      <c r="Y41" s="100">
        <v>0</v>
      </c>
      <c r="Z41" s="99">
        <v>7772</v>
      </c>
      <c r="AA41" s="99">
        <v>4563</v>
      </c>
      <c r="AB41" s="99">
        <v>3209</v>
      </c>
      <c r="AC41" s="99">
        <v>415</v>
      </c>
      <c r="AD41" s="99">
        <v>2247</v>
      </c>
      <c r="AE41" s="99">
        <v>4038</v>
      </c>
      <c r="AF41" s="99">
        <v>1072</v>
      </c>
      <c r="AG41" s="99">
        <v>6151</v>
      </c>
      <c r="AH41" s="99">
        <v>1474</v>
      </c>
      <c r="AI41" s="99">
        <v>147</v>
      </c>
      <c r="AJ41" s="99">
        <v>7734</v>
      </c>
      <c r="AK41" s="99">
        <v>4</v>
      </c>
      <c r="AL41" s="99">
        <v>34</v>
      </c>
      <c r="AM41" s="99">
        <v>547</v>
      </c>
      <c r="AN41" s="99">
        <v>7135</v>
      </c>
      <c r="AO41" s="99">
        <v>90</v>
      </c>
      <c r="AP41" s="100">
        <v>1.9108280254777099</v>
      </c>
      <c r="AQ41" s="100">
        <v>0.499545867393279</v>
      </c>
      <c r="AR41" s="100">
        <v>4.1163946061036203</v>
      </c>
      <c r="AS41" s="100">
        <v>2.0356234096692098</v>
      </c>
      <c r="AT41" s="100">
        <v>2.31996133397777</v>
      </c>
      <c r="AU41" s="100">
        <v>2.0811099252934899</v>
      </c>
      <c r="AV41" s="100">
        <v>0.39525691699604698</v>
      </c>
      <c r="AW41" s="100">
        <v>1.6652059596844899</v>
      </c>
      <c r="AX41" s="100">
        <v>2.90486564996369</v>
      </c>
      <c r="AY41" s="100">
        <v>2.1428571428571401</v>
      </c>
      <c r="AZ41" s="100">
        <v>1.892832289492</v>
      </c>
      <c r="BA41" s="100">
        <v>50</v>
      </c>
      <c r="BB41" s="100">
        <v>0</v>
      </c>
      <c r="BC41" s="100">
        <v>2.13592233009709</v>
      </c>
      <c r="BD41" s="100">
        <v>1.88736222255775</v>
      </c>
      <c r="BE41" s="100">
        <v>2.38095238095238</v>
      </c>
    </row>
    <row r="42" spans="2:57" ht="15" customHeight="1" x14ac:dyDescent="0.25">
      <c r="B42" s="91">
        <v>32</v>
      </c>
      <c r="C42" s="92" t="s">
        <v>504</v>
      </c>
      <c r="D42" s="92" t="s">
        <v>27</v>
      </c>
      <c r="E42" s="92" t="s">
        <v>342</v>
      </c>
      <c r="F42" s="92" t="s">
        <v>342</v>
      </c>
      <c r="G42" s="101" t="s">
        <v>501</v>
      </c>
      <c r="H42" s="94">
        <v>1797</v>
      </c>
      <c r="I42" s="94">
        <v>1079</v>
      </c>
      <c r="J42" s="94">
        <v>718</v>
      </c>
      <c r="K42" s="94">
        <v>89</v>
      </c>
      <c r="L42" s="94">
        <v>514</v>
      </c>
      <c r="M42" s="94">
        <v>1020</v>
      </c>
      <c r="N42" s="94">
        <v>174</v>
      </c>
      <c r="O42" s="94">
        <v>1795</v>
      </c>
      <c r="P42" s="94">
        <v>2</v>
      </c>
      <c r="Q42" s="95">
        <v>2.5934861278649</v>
      </c>
      <c r="R42" s="95">
        <v>1.4940239043824699</v>
      </c>
      <c r="S42" s="95">
        <v>4.2813455657492296</v>
      </c>
      <c r="T42" s="95">
        <v>5.0632911392405102</v>
      </c>
      <c r="U42" s="95">
        <v>3.6170212765957399</v>
      </c>
      <c r="V42" s="95">
        <v>2.1164021164021198</v>
      </c>
      <c r="W42" s="95">
        <v>1.2195121951219501</v>
      </c>
      <c r="X42" s="95">
        <v>2.59661835748792</v>
      </c>
      <c r="Y42" s="95">
        <v>0</v>
      </c>
      <c r="Z42" s="94">
        <v>2451</v>
      </c>
      <c r="AA42" s="94">
        <v>1404</v>
      </c>
      <c r="AB42" s="94">
        <v>1047</v>
      </c>
      <c r="AC42" s="94">
        <v>100</v>
      </c>
      <c r="AD42" s="94">
        <v>664</v>
      </c>
      <c r="AE42" s="94">
        <v>1387</v>
      </c>
      <c r="AF42" s="94">
        <v>300</v>
      </c>
      <c r="AG42" s="94">
        <v>1595</v>
      </c>
      <c r="AH42" s="94">
        <v>838</v>
      </c>
      <c r="AI42" s="94">
        <v>18</v>
      </c>
      <c r="AJ42" s="94">
        <v>2439</v>
      </c>
      <c r="AK42" s="94">
        <v>4</v>
      </c>
      <c r="AL42" s="94">
        <v>8</v>
      </c>
      <c r="AM42" s="94">
        <v>168</v>
      </c>
      <c r="AN42" s="94">
        <v>2260</v>
      </c>
      <c r="AO42" s="94">
        <v>23</v>
      </c>
      <c r="AP42" s="95">
        <v>3.40314136125654</v>
      </c>
      <c r="AQ42" s="95">
        <v>1.06463878326996</v>
      </c>
      <c r="AR42" s="95">
        <v>6.5506653019447301</v>
      </c>
      <c r="AS42" s="95">
        <v>5.2083333333333304</v>
      </c>
      <c r="AT42" s="95">
        <v>3.56564019448947</v>
      </c>
      <c r="AU42" s="95">
        <v>3.6293436293436301</v>
      </c>
      <c r="AV42" s="95">
        <v>1.40845070422535</v>
      </c>
      <c r="AW42" s="95">
        <v>3.2366824005394501</v>
      </c>
      <c r="AX42" s="95">
        <v>3.6662452591656098</v>
      </c>
      <c r="AY42" s="95">
        <v>5.5555555555555598</v>
      </c>
      <c r="AZ42" s="95">
        <v>3.3318719859710701</v>
      </c>
      <c r="BA42" s="95">
        <v>50</v>
      </c>
      <c r="BB42" s="95">
        <v>0</v>
      </c>
      <c r="BC42" s="95">
        <v>6.6225165562913899</v>
      </c>
      <c r="BD42" s="95">
        <v>3.1633616619452298</v>
      </c>
      <c r="BE42" s="95">
        <v>4.3478260869565197</v>
      </c>
    </row>
    <row r="43" spans="2:57" ht="15" customHeight="1" x14ac:dyDescent="0.25">
      <c r="B43" s="91">
        <v>33</v>
      </c>
      <c r="C43" s="92" t="s">
        <v>504</v>
      </c>
      <c r="D43" s="92" t="s">
        <v>27</v>
      </c>
      <c r="E43" s="92" t="s">
        <v>342</v>
      </c>
      <c r="F43" s="92" t="s">
        <v>342</v>
      </c>
      <c r="G43" s="101" t="s">
        <v>502</v>
      </c>
      <c r="H43" s="94">
        <v>3111</v>
      </c>
      <c r="I43" s="94">
        <v>2157</v>
      </c>
      <c r="J43" s="94">
        <v>954</v>
      </c>
      <c r="K43" s="94">
        <v>251</v>
      </c>
      <c r="L43" s="94">
        <v>862</v>
      </c>
      <c r="M43" s="94">
        <v>1531</v>
      </c>
      <c r="N43" s="94">
        <v>467</v>
      </c>
      <c r="O43" s="94">
        <v>3108</v>
      </c>
      <c r="P43" s="94">
        <v>3</v>
      </c>
      <c r="Q43" s="95">
        <v>0.31013094417643</v>
      </c>
      <c r="R43" s="95">
        <v>9.6758587324625098E-2</v>
      </c>
      <c r="S43" s="95">
        <v>0.83832335329341301</v>
      </c>
      <c r="T43" s="95">
        <v>0.46296296296296302</v>
      </c>
      <c r="U43" s="95">
        <v>0.62814070351758799</v>
      </c>
      <c r="V43" s="95">
        <v>0.20689655172413801</v>
      </c>
      <c r="W43" s="95">
        <v>0</v>
      </c>
      <c r="X43" s="95">
        <v>0.31045187995860601</v>
      </c>
      <c r="Y43" s="95">
        <v>0</v>
      </c>
      <c r="Z43" s="94">
        <v>5321</v>
      </c>
      <c r="AA43" s="94">
        <v>3159</v>
      </c>
      <c r="AB43" s="94">
        <v>2162</v>
      </c>
      <c r="AC43" s="94">
        <v>315</v>
      </c>
      <c r="AD43" s="94">
        <v>1583</v>
      </c>
      <c r="AE43" s="94">
        <v>2651</v>
      </c>
      <c r="AF43" s="94">
        <v>772</v>
      </c>
      <c r="AG43" s="94">
        <v>4556</v>
      </c>
      <c r="AH43" s="94">
        <v>636</v>
      </c>
      <c r="AI43" s="94">
        <v>129</v>
      </c>
      <c r="AJ43" s="94">
        <v>5295</v>
      </c>
      <c r="AK43" s="94">
        <v>0</v>
      </c>
      <c r="AL43" s="94">
        <v>26</v>
      </c>
      <c r="AM43" s="94">
        <v>379</v>
      </c>
      <c r="AN43" s="94">
        <v>4875</v>
      </c>
      <c r="AO43" s="94">
        <v>67</v>
      </c>
      <c r="AP43" s="95">
        <v>1.21703853955375</v>
      </c>
      <c r="AQ43" s="95">
        <v>0.258983489802525</v>
      </c>
      <c r="AR43" s="95">
        <v>2.8245518739815298</v>
      </c>
      <c r="AS43" s="95">
        <v>1.0101010101010099</v>
      </c>
      <c r="AT43" s="95">
        <v>1.79063360881543</v>
      </c>
      <c r="AU43" s="95">
        <v>1.2637586628618001</v>
      </c>
      <c r="AV43" s="95">
        <v>0</v>
      </c>
      <c r="AW43" s="95">
        <v>1.1132164850781601</v>
      </c>
      <c r="AX43" s="95">
        <v>1.87713310580205</v>
      </c>
      <c r="AY43" s="95">
        <v>1.63934426229508</v>
      </c>
      <c r="AZ43" s="95">
        <v>1.22349102773246</v>
      </c>
      <c r="BA43" s="95">
        <v>0</v>
      </c>
      <c r="BB43" s="95">
        <v>0</v>
      </c>
      <c r="BC43" s="95">
        <v>0.27472527472527503</v>
      </c>
      <c r="BD43" s="95">
        <v>1.2874583795782499</v>
      </c>
      <c r="BE43" s="95">
        <v>1.63934426229508</v>
      </c>
    </row>
    <row r="44" spans="2:57" ht="15" customHeight="1" x14ac:dyDescent="0.25">
      <c r="B44" s="96">
        <v>34</v>
      </c>
      <c r="C44" s="97" t="s">
        <v>504</v>
      </c>
      <c r="D44" s="97" t="s">
        <v>27</v>
      </c>
      <c r="E44" s="97" t="s">
        <v>342</v>
      </c>
      <c r="F44" s="97" t="s">
        <v>80</v>
      </c>
      <c r="G44" s="98" t="s">
        <v>80</v>
      </c>
      <c r="H44" s="99">
        <v>5014</v>
      </c>
      <c r="I44" s="99">
        <v>3289</v>
      </c>
      <c r="J44" s="99">
        <v>1725</v>
      </c>
      <c r="K44" s="99">
        <v>387</v>
      </c>
      <c r="L44" s="99">
        <v>1462</v>
      </c>
      <c r="M44" s="99">
        <v>2474</v>
      </c>
      <c r="N44" s="99">
        <v>691</v>
      </c>
      <c r="O44" s="99">
        <v>5012</v>
      </c>
      <c r="P44" s="99">
        <v>2</v>
      </c>
      <c r="Q44" s="100">
        <v>0.45464386230785903</v>
      </c>
      <c r="R44" s="100">
        <v>0.38473869830073698</v>
      </c>
      <c r="S44" s="100">
        <v>0.6</v>
      </c>
      <c r="T44" s="100">
        <v>0.60060060060060105</v>
      </c>
      <c r="U44" s="100">
        <v>0.81723625557206503</v>
      </c>
      <c r="V44" s="100">
        <v>0.303951367781155</v>
      </c>
      <c r="W44" s="100">
        <v>0.156985871271586</v>
      </c>
      <c r="X44" s="100">
        <v>0.45474231268947601</v>
      </c>
      <c r="Y44" s="100">
        <v>0</v>
      </c>
      <c r="Z44" s="99">
        <v>6838</v>
      </c>
      <c r="AA44" s="99">
        <v>3945</v>
      </c>
      <c r="AB44" s="99">
        <v>2893</v>
      </c>
      <c r="AC44" s="99">
        <v>519</v>
      </c>
      <c r="AD44" s="99">
        <v>2095</v>
      </c>
      <c r="AE44" s="99">
        <v>3181</v>
      </c>
      <c r="AF44" s="99">
        <v>1043</v>
      </c>
      <c r="AG44" s="99">
        <v>5381</v>
      </c>
      <c r="AH44" s="99">
        <v>1320</v>
      </c>
      <c r="AI44" s="99">
        <v>137</v>
      </c>
      <c r="AJ44" s="99">
        <v>6806</v>
      </c>
      <c r="AK44" s="99">
        <v>8</v>
      </c>
      <c r="AL44" s="99">
        <v>24</v>
      </c>
      <c r="AM44" s="99">
        <v>549</v>
      </c>
      <c r="AN44" s="99">
        <v>6204</v>
      </c>
      <c r="AO44" s="99">
        <v>85</v>
      </c>
      <c r="AP44" s="100">
        <v>1.6235258079338299</v>
      </c>
      <c r="AQ44" s="100">
        <v>0.34120734908136502</v>
      </c>
      <c r="AR44" s="100">
        <v>3.42037513791835</v>
      </c>
      <c r="AS44" s="100">
        <v>1.2195121951219501</v>
      </c>
      <c r="AT44" s="100">
        <v>2.1255060728744901</v>
      </c>
      <c r="AU44" s="100">
        <v>1.6748768472906399</v>
      </c>
      <c r="AV44" s="100">
        <v>0.68897637795275601</v>
      </c>
      <c r="AW44" s="100">
        <v>1.42578125</v>
      </c>
      <c r="AX44" s="100">
        <v>2.5039123630672901</v>
      </c>
      <c r="AY44" s="100">
        <v>0.76335877862595403</v>
      </c>
      <c r="AZ44" s="100">
        <v>1.6161305217792801</v>
      </c>
      <c r="BA44" s="100">
        <v>12.5</v>
      </c>
      <c r="BB44" s="100">
        <v>0</v>
      </c>
      <c r="BC44" s="100">
        <v>0.56074766355140204</v>
      </c>
      <c r="BD44" s="100">
        <v>1.7413355874894301</v>
      </c>
      <c r="BE44" s="100">
        <v>0</v>
      </c>
    </row>
    <row r="45" spans="2:57" ht="15" customHeight="1" x14ac:dyDescent="0.25">
      <c r="B45" s="91">
        <v>35</v>
      </c>
      <c r="C45" s="92" t="s">
        <v>504</v>
      </c>
      <c r="D45" s="92" t="s">
        <v>27</v>
      </c>
      <c r="E45" s="92" t="s">
        <v>342</v>
      </c>
      <c r="F45" s="92" t="s">
        <v>80</v>
      </c>
      <c r="G45" s="101" t="s">
        <v>501</v>
      </c>
      <c r="H45" s="94">
        <v>1184</v>
      </c>
      <c r="I45" s="94">
        <v>718</v>
      </c>
      <c r="J45" s="94">
        <v>466</v>
      </c>
      <c r="K45" s="94">
        <v>61</v>
      </c>
      <c r="L45" s="94">
        <v>360</v>
      </c>
      <c r="M45" s="94">
        <v>647</v>
      </c>
      <c r="N45" s="94">
        <v>116</v>
      </c>
      <c r="O45" s="94">
        <v>1182</v>
      </c>
      <c r="P45" s="94">
        <v>2</v>
      </c>
      <c r="Q45" s="95">
        <v>0.96432015429122497</v>
      </c>
      <c r="R45" s="95">
        <v>0.622083981337481</v>
      </c>
      <c r="S45" s="95">
        <v>1.5228426395939101</v>
      </c>
      <c r="T45" s="95">
        <v>0</v>
      </c>
      <c r="U45" s="95">
        <v>1.6025641025641</v>
      </c>
      <c r="V45" s="95">
        <v>0.69324090121317195</v>
      </c>
      <c r="W45" s="95">
        <v>0.98039215686274495</v>
      </c>
      <c r="X45" s="95">
        <v>0.96525096525096499</v>
      </c>
      <c r="Y45" s="95">
        <v>0</v>
      </c>
      <c r="Z45" s="94">
        <v>1070</v>
      </c>
      <c r="AA45" s="94">
        <v>604</v>
      </c>
      <c r="AB45" s="94">
        <v>466</v>
      </c>
      <c r="AC45" s="94">
        <v>48</v>
      </c>
      <c r="AD45" s="94">
        <v>291</v>
      </c>
      <c r="AE45" s="94">
        <v>557</v>
      </c>
      <c r="AF45" s="94">
        <v>174</v>
      </c>
      <c r="AG45" s="94">
        <v>608</v>
      </c>
      <c r="AH45" s="94">
        <v>445</v>
      </c>
      <c r="AI45" s="94">
        <v>17</v>
      </c>
      <c r="AJ45" s="94">
        <v>1058</v>
      </c>
      <c r="AK45" s="94">
        <v>7</v>
      </c>
      <c r="AL45" s="94">
        <v>5</v>
      </c>
      <c r="AM45" s="94">
        <v>75</v>
      </c>
      <c r="AN45" s="94">
        <v>990</v>
      </c>
      <c r="AO45" s="94">
        <v>5</v>
      </c>
      <c r="AP45" s="95">
        <v>4.48780487804878</v>
      </c>
      <c r="AQ45" s="95">
        <v>0.68965517241379304</v>
      </c>
      <c r="AR45" s="95">
        <v>9.4382022471910094</v>
      </c>
      <c r="AS45" s="95">
        <v>4.3478260869565197</v>
      </c>
      <c r="AT45" s="95">
        <v>5.10948905109489</v>
      </c>
      <c r="AU45" s="95">
        <v>4.6904315196998096</v>
      </c>
      <c r="AV45" s="95">
        <v>2.9069767441860499</v>
      </c>
      <c r="AW45" s="95">
        <v>5.1282051282051304</v>
      </c>
      <c r="AX45" s="95">
        <v>3.7825059101654799</v>
      </c>
      <c r="AY45" s="95">
        <v>0</v>
      </c>
      <c r="AZ45" s="95">
        <v>4.4422507403751199</v>
      </c>
      <c r="BA45" s="95">
        <v>14.285714285714301</v>
      </c>
      <c r="BB45" s="95">
        <v>0</v>
      </c>
      <c r="BC45" s="95">
        <v>4.0540540540540499</v>
      </c>
      <c r="BD45" s="95">
        <v>4.5454545454545503</v>
      </c>
      <c r="BE45" s="95">
        <v>0</v>
      </c>
    </row>
    <row r="46" spans="2:57" ht="15" customHeight="1" x14ac:dyDescent="0.25">
      <c r="B46" s="91">
        <v>36</v>
      </c>
      <c r="C46" s="92" t="s">
        <v>504</v>
      </c>
      <c r="D46" s="92" t="s">
        <v>27</v>
      </c>
      <c r="E46" s="92" t="s">
        <v>342</v>
      </c>
      <c r="F46" s="92" t="s">
        <v>80</v>
      </c>
      <c r="G46" s="101" t="s">
        <v>502</v>
      </c>
      <c r="H46" s="94">
        <v>3830</v>
      </c>
      <c r="I46" s="94">
        <v>2571</v>
      </c>
      <c r="J46" s="94">
        <v>1259</v>
      </c>
      <c r="K46" s="94">
        <v>326</v>
      </c>
      <c r="L46" s="94">
        <v>1102</v>
      </c>
      <c r="M46" s="94">
        <v>1827</v>
      </c>
      <c r="N46" s="94">
        <v>575</v>
      </c>
      <c r="O46" s="94">
        <v>3830</v>
      </c>
      <c r="P46" s="94">
        <v>0</v>
      </c>
      <c r="Q46" s="95">
        <v>0.307091010608599</v>
      </c>
      <c r="R46" s="95">
        <v>0.323101777059774</v>
      </c>
      <c r="S46" s="95">
        <v>0.27124773960217002</v>
      </c>
      <c r="T46" s="95">
        <v>0.696864111498258</v>
      </c>
      <c r="U46" s="95">
        <v>0.580270793036751</v>
      </c>
      <c r="V46" s="95">
        <v>0.17381228273464699</v>
      </c>
      <c r="W46" s="95">
        <v>0</v>
      </c>
      <c r="X46" s="95">
        <v>0.307091010608599</v>
      </c>
      <c r="Y46" s="95">
        <v>0</v>
      </c>
      <c r="Z46" s="94">
        <v>5768</v>
      </c>
      <c r="AA46" s="94">
        <v>3341</v>
      </c>
      <c r="AB46" s="94">
        <v>2427</v>
      </c>
      <c r="AC46" s="94">
        <v>471</v>
      </c>
      <c r="AD46" s="94">
        <v>1804</v>
      </c>
      <c r="AE46" s="94">
        <v>2624</v>
      </c>
      <c r="AF46" s="94">
        <v>869</v>
      </c>
      <c r="AG46" s="94">
        <v>4773</v>
      </c>
      <c r="AH46" s="94">
        <v>875</v>
      </c>
      <c r="AI46" s="94">
        <v>120</v>
      </c>
      <c r="AJ46" s="94">
        <v>5748</v>
      </c>
      <c r="AK46" s="94">
        <v>1</v>
      </c>
      <c r="AL46" s="94">
        <v>19</v>
      </c>
      <c r="AM46" s="94">
        <v>474</v>
      </c>
      <c r="AN46" s="94">
        <v>5214</v>
      </c>
      <c r="AO46" s="94">
        <v>80</v>
      </c>
      <c r="AP46" s="95">
        <v>1.09011627906977</v>
      </c>
      <c r="AQ46" s="95">
        <v>0.27863777089783298</v>
      </c>
      <c r="AR46" s="95">
        <v>2.2427440633245399</v>
      </c>
      <c r="AS46" s="95">
        <v>0.89686098654708502</v>
      </c>
      <c r="AT46" s="95">
        <v>1.64512338425382</v>
      </c>
      <c r="AU46" s="95">
        <v>1.0350318471337601</v>
      </c>
      <c r="AV46" s="95">
        <v>0.23696682464454999</v>
      </c>
      <c r="AW46" s="95">
        <v>0.94818081587651604</v>
      </c>
      <c r="AX46" s="95">
        <v>1.87134502923977</v>
      </c>
      <c r="AY46" s="95">
        <v>0.87719298245613997</v>
      </c>
      <c r="AZ46" s="95">
        <v>1.0940919037199099</v>
      </c>
      <c r="BA46" s="95">
        <v>0</v>
      </c>
      <c r="BB46" s="95">
        <v>0</v>
      </c>
      <c r="BC46" s="95">
        <v>0</v>
      </c>
      <c r="BD46" s="95">
        <v>1.20748641577782</v>
      </c>
      <c r="BE46" s="95">
        <v>0</v>
      </c>
    </row>
    <row r="47" spans="2:57" ht="15" customHeight="1" x14ac:dyDescent="0.25">
      <c r="B47" s="96">
        <v>37</v>
      </c>
      <c r="C47" s="97" t="s">
        <v>504</v>
      </c>
      <c r="D47" s="97" t="s">
        <v>27</v>
      </c>
      <c r="E47" s="97" t="s">
        <v>342</v>
      </c>
      <c r="F47" s="97" t="s">
        <v>453</v>
      </c>
      <c r="G47" s="98" t="s">
        <v>453</v>
      </c>
      <c r="H47" s="99">
        <v>3265</v>
      </c>
      <c r="I47" s="99">
        <v>1997</v>
      </c>
      <c r="J47" s="99">
        <v>1268</v>
      </c>
      <c r="K47" s="99">
        <v>250</v>
      </c>
      <c r="L47" s="99">
        <v>758</v>
      </c>
      <c r="M47" s="99">
        <v>1677</v>
      </c>
      <c r="N47" s="99">
        <v>580</v>
      </c>
      <c r="O47" s="99">
        <v>3262</v>
      </c>
      <c r="P47" s="99">
        <v>3</v>
      </c>
      <c r="Q47" s="100">
        <v>0.35518243461414301</v>
      </c>
      <c r="R47" s="100">
        <v>0.31479538300104898</v>
      </c>
      <c r="S47" s="100">
        <v>0.41981528127623802</v>
      </c>
      <c r="T47" s="100">
        <v>0</v>
      </c>
      <c r="U47" s="100">
        <v>0.57306590257879697</v>
      </c>
      <c r="V47" s="100">
        <v>0.37220843672456599</v>
      </c>
      <c r="W47" s="100">
        <v>0.18083182640144699</v>
      </c>
      <c r="X47" s="100">
        <v>0.35552682611506098</v>
      </c>
      <c r="Y47" s="100">
        <v>0</v>
      </c>
      <c r="Z47" s="99">
        <v>4981</v>
      </c>
      <c r="AA47" s="99">
        <v>2757</v>
      </c>
      <c r="AB47" s="99">
        <v>2224</v>
      </c>
      <c r="AC47" s="99">
        <v>277</v>
      </c>
      <c r="AD47" s="99">
        <v>1286</v>
      </c>
      <c r="AE47" s="99">
        <v>2543</v>
      </c>
      <c r="AF47" s="99">
        <v>875</v>
      </c>
      <c r="AG47" s="99">
        <v>3620</v>
      </c>
      <c r="AH47" s="99">
        <v>1324</v>
      </c>
      <c r="AI47" s="99">
        <v>37</v>
      </c>
      <c r="AJ47" s="99">
        <v>4968</v>
      </c>
      <c r="AK47" s="99">
        <v>4</v>
      </c>
      <c r="AL47" s="99">
        <v>9</v>
      </c>
      <c r="AM47" s="99">
        <v>391</v>
      </c>
      <c r="AN47" s="99">
        <v>4552</v>
      </c>
      <c r="AO47" s="99">
        <v>38</v>
      </c>
      <c r="AP47" s="100">
        <v>1.46330966214762</v>
      </c>
      <c r="AQ47" s="100">
        <v>0.37105751391465702</v>
      </c>
      <c r="AR47" s="100">
        <v>2.97131147540984</v>
      </c>
      <c r="AS47" s="100">
        <v>0.77220077220077199</v>
      </c>
      <c r="AT47" s="100">
        <v>2.2481265611989998</v>
      </c>
      <c r="AU47" s="100">
        <v>1.60608622147084</v>
      </c>
      <c r="AV47" s="100">
        <v>0.121802679658952</v>
      </c>
      <c r="AW47" s="100">
        <v>1.4130114807182801</v>
      </c>
      <c r="AX47" s="100">
        <v>1.64338537387017</v>
      </c>
      <c r="AY47" s="100">
        <v>0</v>
      </c>
      <c r="AZ47" s="100">
        <v>1.46678170836928</v>
      </c>
      <c r="BA47" s="100">
        <v>0</v>
      </c>
      <c r="BB47" s="100">
        <v>0</v>
      </c>
      <c r="BC47" s="100">
        <v>0.54644808743169404</v>
      </c>
      <c r="BD47" s="100">
        <v>1.55440414507772</v>
      </c>
      <c r="BE47" s="100">
        <v>0</v>
      </c>
    </row>
    <row r="48" spans="2:57" ht="15" customHeight="1" x14ac:dyDescent="0.25">
      <c r="B48" s="91">
        <v>38</v>
      </c>
      <c r="C48" s="92" t="s">
        <v>504</v>
      </c>
      <c r="D48" s="92" t="s">
        <v>27</v>
      </c>
      <c r="E48" s="92" t="s">
        <v>342</v>
      </c>
      <c r="F48" s="92" t="s">
        <v>453</v>
      </c>
      <c r="G48" s="101" t="s">
        <v>501</v>
      </c>
      <c r="H48" s="94">
        <v>0</v>
      </c>
      <c r="I48" s="94">
        <v>0</v>
      </c>
      <c r="J48" s="94">
        <v>0</v>
      </c>
      <c r="K48" s="94">
        <v>0</v>
      </c>
      <c r="L48" s="94">
        <v>0</v>
      </c>
      <c r="M48" s="94">
        <v>0</v>
      </c>
      <c r="N48" s="94">
        <v>0</v>
      </c>
      <c r="O48" s="94">
        <v>0</v>
      </c>
      <c r="P48" s="94">
        <v>0</v>
      </c>
      <c r="Q48" s="95">
        <v>0</v>
      </c>
      <c r="R48" s="95">
        <v>0</v>
      </c>
      <c r="S48" s="95">
        <v>0</v>
      </c>
      <c r="T48" s="95">
        <v>0</v>
      </c>
      <c r="U48" s="95">
        <v>0</v>
      </c>
      <c r="V48" s="95">
        <v>0</v>
      </c>
      <c r="W48" s="95">
        <v>0</v>
      </c>
      <c r="X48" s="95">
        <v>0</v>
      </c>
      <c r="Y48" s="95">
        <v>0</v>
      </c>
      <c r="Z48" s="94">
        <v>1441</v>
      </c>
      <c r="AA48" s="94">
        <v>772</v>
      </c>
      <c r="AB48" s="94">
        <v>669</v>
      </c>
      <c r="AC48" s="94">
        <v>82</v>
      </c>
      <c r="AD48" s="94">
        <v>359</v>
      </c>
      <c r="AE48" s="94">
        <v>799</v>
      </c>
      <c r="AF48" s="94">
        <v>201</v>
      </c>
      <c r="AG48" s="94">
        <v>1032</v>
      </c>
      <c r="AH48" s="94">
        <v>400</v>
      </c>
      <c r="AI48" s="94">
        <v>9</v>
      </c>
      <c r="AJ48" s="94">
        <v>1438</v>
      </c>
      <c r="AK48" s="94">
        <v>2</v>
      </c>
      <c r="AL48" s="94">
        <v>1</v>
      </c>
      <c r="AM48" s="94">
        <v>86</v>
      </c>
      <c r="AN48" s="94">
        <v>1349</v>
      </c>
      <c r="AO48" s="94">
        <v>6</v>
      </c>
      <c r="AP48" s="95">
        <v>2.9992684711046098</v>
      </c>
      <c r="AQ48" s="95">
        <v>1.06100795755968</v>
      </c>
      <c r="AR48" s="95">
        <v>5.3833605220228398</v>
      </c>
      <c r="AS48" s="95">
        <v>2.5316455696202498</v>
      </c>
      <c r="AT48" s="95">
        <v>4.7058823529411802</v>
      </c>
      <c r="AU48" s="95">
        <v>3.0463576158940402</v>
      </c>
      <c r="AV48" s="95">
        <v>0</v>
      </c>
      <c r="AW48" s="95">
        <v>3.1600407747196702</v>
      </c>
      <c r="AX48" s="95">
        <v>2.64550264550265</v>
      </c>
      <c r="AY48" s="95">
        <v>0</v>
      </c>
      <c r="AZ48" s="95">
        <v>3.0058651026393002</v>
      </c>
      <c r="BA48" s="95">
        <v>0</v>
      </c>
      <c r="BB48" s="95">
        <v>0</v>
      </c>
      <c r="BC48" s="95">
        <v>2.38095238095238</v>
      </c>
      <c r="BD48" s="95">
        <v>3.0516431924882599</v>
      </c>
      <c r="BE48" s="95">
        <v>0</v>
      </c>
    </row>
    <row r="49" spans="2:57" ht="15" customHeight="1" x14ac:dyDescent="0.25">
      <c r="B49" s="91">
        <v>39</v>
      </c>
      <c r="C49" s="92" t="s">
        <v>504</v>
      </c>
      <c r="D49" s="92" t="s">
        <v>27</v>
      </c>
      <c r="E49" s="92" t="s">
        <v>342</v>
      </c>
      <c r="F49" s="92" t="s">
        <v>453</v>
      </c>
      <c r="G49" s="101" t="s">
        <v>502</v>
      </c>
      <c r="H49" s="94">
        <v>3265</v>
      </c>
      <c r="I49" s="94">
        <v>1997</v>
      </c>
      <c r="J49" s="94">
        <v>1268</v>
      </c>
      <c r="K49" s="94">
        <v>250</v>
      </c>
      <c r="L49" s="94">
        <v>758</v>
      </c>
      <c r="M49" s="94">
        <v>1677</v>
      </c>
      <c r="N49" s="94">
        <v>580</v>
      </c>
      <c r="O49" s="94">
        <v>3262</v>
      </c>
      <c r="P49" s="94">
        <v>3</v>
      </c>
      <c r="Q49" s="95">
        <v>0.35518243461414301</v>
      </c>
      <c r="R49" s="95">
        <v>0.31479538300104898</v>
      </c>
      <c r="S49" s="95">
        <v>0.41981528127623802</v>
      </c>
      <c r="T49" s="95">
        <v>0</v>
      </c>
      <c r="U49" s="95">
        <v>0.57306590257879697</v>
      </c>
      <c r="V49" s="95">
        <v>0.37220843672456599</v>
      </c>
      <c r="W49" s="95">
        <v>0.18083182640144699</v>
      </c>
      <c r="X49" s="95">
        <v>0.35552682611506098</v>
      </c>
      <c r="Y49" s="95">
        <v>0</v>
      </c>
      <c r="Z49" s="94">
        <v>3540</v>
      </c>
      <c r="AA49" s="94">
        <v>1985</v>
      </c>
      <c r="AB49" s="94">
        <v>1555</v>
      </c>
      <c r="AC49" s="94">
        <v>195</v>
      </c>
      <c r="AD49" s="94">
        <v>927</v>
      </c>
      <c r="AE49" s="94">
        <v>1744</v>
      </c>
      <c r="AF49" s="94">
        <v>674</v>
      </c>
      <c r="AG49" s="94">
        <v>2588</v>
      </c>
      <c r="AH49" s="94">
        <v>924</v>
      </c>
      <c r="AI49" s="94">
        <v>28</v>
      </c>
      <c r="AJ49" s="94">
        <v>3530</v>
      </c>
      <c r="AK49" s="94">
        <v>2</v>
      </c>
      <c r="AL49" s="94">
        <v>8</v>
      </c>
      <c r="AM49" s="94">
        <v>305</v>
      </c>
      <c r="AN49" s="94">
        <v>3203</v>
      </c>
      <c r="AO49" s="94">
        <v>32</v>
      </c>
      <c r="AP49" s="95">
        <v>0.82317073170731703</v>
      </c>
      <c r="AQ49" s="95">
        <v>0.103039670273055</v>
      </c>
      <c r="AR49" s="95">
        <v>1.86706497386109</v>
      </c>
      <c r="AS49" s="95">
        <v>0</v>
      </c>
      <c r="AT49" s="95">
        <v>1.27758420441347</v>
      </c>
      <c r="AU49" s="95">
        <v>0.93109869646182497</v>
      </c>
      <c r="AV49" s="95">
        <v>0.15923566878980899</v>
      </c>
      <c r="AW49" s="95">
        <v>0.70364238410596003</v>
      </c>
      <c r="AX49" s="95">
        <v>1.1918951132300399</v>
      </c>
      <c r="AY49" s="95">
        <v>0</v>
      </c>
      <c r="AZ49" s="95">
        <v>0.82518337408313003</v>
      </c>
      <c r="BA49" s="95">
        <v>0</v>
      </c>
      <c r="BB49" s="95">
        <v>0</v>
      </c>
      <c r="BC49" s="95">
        <v>0</v>
      </c>
      <c r="BD49" s="95">
        <v>0.90970350404312705</v>
      </c>
      <c r="BE49" s="95">
        <v>0</v>
      </c>
    </row>
    <row r="50" spans="2:57" ht="15" customHeight="1" x14ac:dyDescent="0.25">
      <c r="B50" s="96">
        <v>40</v>
      </c>
      <c r="C50" s="97" t="s">
        <v>504</v>
      </c>
      <c r="D50" s="97" t="s">
        <v>27</v>
      </c>
      <c r="E50" s="97" t="s">
        <v>342</v>
      </c>
      <c r="F50" s="97" t="s">
        <v>99</v>
      </c>
      <c r="G50" s="98" t="s">
        <v>99</v>
      </c>
      <c r="H50" s="99">
        <v>2826</v>
      </c>
      <c r="I50" s="99">
        <v>1817</v>
      </c>
      <c r="J50" s="99">
        <v>1009</v>
      </c>
      <c r="K50" s="99">
        <v>230</v>
      </c>
      <c r="L50" s="99">
        <v>669</v>
      </c>
      <c r="M50" s="99">
        <v>1411</v>
      </c>
      <c r="N50" s="99">
        <v>516</v>
      </c>
      <c r="O50" s="99">
        <v>2823</v>
      </c>
      <c r="P50" s="99">
        <v>3</v>
      </c>
      <c r="Q50" s="100">
        <v>0.402930402930403</v>
      </c>
      <c r="R50" s="100">
        <v>0.224719101123596</v>
      </c>
      <c r="S50" s="100">
        <v>0.73684210526315796</v>
      </c>
      <c r="T50" s="100">
        <v>1.36363636363636</v>
      </c>
      <c r="U50" s="100">
        <v>0</v>
      </c>
      <c r="V50" s="100">
        <v>0.43604651162790697</v>
      </c>
      <c r="W50" s="100">
        <v>0.400801603206413</v>
      </c>
      <c r="X50" s="100">
        <v>0.366703337000367</v>
      </c>
      <c r="Y50" s="100">
        <v>33.3333333333333</v>
      </c>
      <c r="Z50" s="99">
        <v>5237</v>
      </c>
      <c r="AA50" s="99">
        <v>2983</v>
      </c>
      <c r="AB50" s="99">
        <v>2254</v>
      </c>
      <c r="AC50" s="99">
        <v>396</v>
      </c>
      <c r="AD50" s="99">
        <v>1521</v>
      </c>
      <c r="AE50" s="99">
        <v>2403</v>
      </c>
      <c r="AF50" s="99">
        <v>917</v>
      </c>
      <c r="AG50" s="99">
        <v>4785</v>
      </c>
      <c r="AH50" s="99">
        <v>403</v>
      </c>
      <c r="AI50" s="99">
        <v>49</v>
      </c>
      <c r="AJ50" s="99">
        <v>5213</v>
      </c>
      <c r="AK50" s="99">
        <v>12</v>
      </c>
      <c r="AL50" s="99">
        <v>12</v>
      </c>
      <c r="AM50" s="99">
        <v>582</v>
      </c>
      <c r="AN50" s="99">
        <v>4600</v>
      </c>
      <c r="AO50" s="99">
        <v>55</v>
      </c>
      <c r="AP50" s="100">
        <v>1.34228187919463</v>
      </c>
      <c r="AQ50" s="100">
        <v>0.51706308169596704</v>
      </c>
      <c r="AR50" s="100">
        <v>2.5297619047619002</v>
      </c>
      <c r="AS50" s="100">
        <v>2.38095238095238</v>
      </c>
      <c r="AT50" s="100">
        <v>2.1321961620469101</v>
      </c>
      <c r="AU50" s="100">
        <v>1.0208610741233901</v>
      </c>
      <c r="AV50" s="100">
        <v>0.45506257110352699</v>
      </c>
      <c r="AW50" s="100">
        <v>1.27005347593583</v>
      </c>
      <c r="AX50" s="100">
        <v>2.3498694516971299</v>
      </c>
      <c r="AY50" s="100">
        <v>0</v>
      </c>
      <c r="AZ50" s="100">
        <v>1.3281569268491999</v>
      </c>
      <c r="BA50" s="100">
        <v>8.3333333333333304</v>
      </c>
      <c r="BB50" s="100">
        <v>0</v>
      </c>
      <c r="BC50" s="100">
        <v>0.72202166064981999</v>
      </c>
      <c r="BD50" s="100">
        <v>1.4375144910735</v>
      </c>
      <c r="BE50" s="100">
        <v>0</v>
      </c>
    </row>
    <row r="51" spans="2:57" ht="15" customHeight="1" x14ac:dyDescent="0.25">
      <c r="B51" s="91">
        <v>41</v>
      </c>
      <c r="C51" s="92" t="s">
        <v>504</v>
      </c>
      <c r="D51" s="92" t="s">
        <v>27</v>
      </c>
      <c r="E51" s="92" t="s">
        <v>342</v>
      </c>
      <c r="F51" s="92" t="s">
        <v>99</v>
      </c>
      <c r="G51" s="101" t="s">
        <v>501</v>
      </c>
      <c r="H51" s="94">
        <v>0</v>
      </c>
      <c r="I51" s="94">
        <v>0</v>
      </c>
      <c r="J51" s="94">
        <v>0</v>
      </c>
      <c r="K51" s="94">
        <v>0</v>
      </c>
      <c r="L51" s="94">
        <v>0</v>
      </c>
      <c r="M51" s="94">
        <v>0</v>
      </c>
      <c r="N51" s="94">
        <v>0</v>
      </c>
      <c r="O51" s="94">
        <v>0</v>
      </c>
      <c r="P51" s="94">
        <v>0</v>
      </c>
      <c r="Q51" s="95">
        <v>0</v>
      </c>
      <c r="R51" s="95">
        <v>0</v>
      </c>
      <c r="S51" s="95">
        <v>0</v>
      </c>
      <c r="T51" s="95">
        <v>0</v>
      </c>
      <c r="U51" s="95">
        <v>0</v>
      </c>
      <c r="V51" s="95">
        <v>0</v>
      </c>
      <c r="W51" s="95">
        <v>0</v>
      </c>
      <c r="X51" s="95">
        <v>0</v>
      </c>
      <c r="Y51" s="95">
        <v>0</v>
      </c>
      <c r="Z51" s="94">
        <v>0</v>
      </c>
      <c r="AA51" s="94">
        <v>0</v>
      </c>
      <c r="AB51" s="94">
        <v>0</v>
      </c>
      <c r="AC51" s="94">
        <v>0</v>
      </c>
      <c r="AD51" s="94">
        <v>0</v>
      </c>
      <c r="AE51" s="94">
        <v>0</v>
      </c>
      <c r="AF51" s="94">
        <v>0</v>
      </c>
      <c r="AG51" s="94">
        <v>0</v>
      </c>
      <c r="AH51" s="94">
        <v>0</v>
      </c>
      <c r="AI51" s="94">
        <v>0</v>
      </c>
      <c r="AJ51" s="94">
        <v>0</v>
      </c>
      <c r="AK51" s="94">
        <v>0</v>
      </c>
      <c r="AL51" s="94">
        <v>0</v>
      </c>
      <c r="AM51" s="94">
        <v>0</v>
      </c>
      <c r="AN51" s="94">
        <v>0</v>
      </c>
      <c r="AO51" s="94">
        <v>0</v>
      </c>
      <c r="AP51" s="95">
        <v>0</v>
      </c>
      <c r="AQ51" s="95">
        <v>0</v>
      </c>
      <c r="AR51" s="95">
        <v>0</v>
      </c>
      <c r="AS51" s="95">
        <v>0</v>
      </c>
      <c r="AT51" s="95">
        <v>0</v>
      </c>
      <c r="AU51" s="95">
        <v>0</v>
      </c>
      <c r="AV51" s="95">
        <v>0</v>
      </c>
      <c r="AW51" s="95">
        <v>0</v>
      </c>
      <c r="AX51" s="95">
        <v>0</v>
      </c>
      <c r="AY51" s="95">
        <v>0</v>
      </c>
      <c r="AZ51" s="95">
        <v>0</v>
      </c>
      <c r="BA51" s="95">
        <v>0</v>
      </c>
      <c r="BB51" s="95">
        <v>0</v>
      </c>
      <c r="BC51" s="95">
        <v>0</v>
      </c>
      <c r="BD51" s="95">
        <v>0</v>
      </c>
      <c r="BE51" s="95">
        <v>0</v>
      </c>
    </row>
    <row r="52" spans="2:57" ht="15" customHeight="1" x14ac:dyDescent="0.25">
      <c r="B52" s="91">
        <v>42</v>
      </c>
      <c r="C52" s="92" t="s">
        <v>504</v>
      </c>
      <c r="D52" s="92" t="s">
        <v>27</v>
      </c>
      <c r="E52" s="92" t="s">
        <v>342</v>
      </c>
      <c r="F52" s="92" t="s">
        <v>99</v>
      </c>
      <c r="G52" s="101" t="s">
        <v>502</v>
      </c>
      <c r="H52" s="94">
        <v>2826</v>
      </c>
      <c r="I52" s="94">
        <v>1817</v>
      </c>
      <c r="J52" s="94">
        <v>1009</v>
      </c>
      <c r="K52" s="94">
        <v>230</v>
      </c>
      <c r="L52" s="94">
        <v>669</v>
      </c>
      <c r="M52" s="94">
        <v>1411</v>
      </c>
      <c r="N52" s="94">
        <v>516</v>
      </c>
      <c r="O52" s="94">
        <v>2823</v>
      </c>
      <c r="P52" s="94">
        <v>3</v>
      </c>
      <c r="Q52" s="95">
        <v>0.402930402930403</v>
      </c>
      <c r="R52" s="95">
        <v>0.224719101123596</v>
      </c>
      <c r="S52" s="95">
        <v>0.73684210526315796</v>
      </c>
      <c r="T52" s="95">
        <v>1.36363636363636</v>
      </c>
      <c r="U52" s="95">
        <v>0</v>
      </c>
      <c r="V52" s="95">
        <v>0.43604651162790697</v>
      </c>
      <c r="W52" s="95">
        <v>0.400801603206413</v>
      </c>
      <c r="X52" s="95">
        <v>0.366703337000367</v>
      </c>
      <c r="Y52" s="95">
        <v>33.3333333333333</v>
      </c>
      <c r="Z52" s="94">
        <v>5237</v>
      </c>
      <c r="AA52" s="94">
        <v>2983</v>
      </c>
      <c r="AB52" s="94">
        <v>2254</v>
      </c>
      <c r="AC52" s="94">
        <v>396</v>
      </c>
      <c r="AD52" s="94">
        <v>1521</v>
      </c>
      <c r="AE52" s="94">
        <v>2403</v>
      </c>
      <c r="AF52" s="94">
        <v>917</v>
      </c>
      <c r="AG52" s="94">
        <v>4785</v>
      </c>
      <c r="AH52" s="94">
        <v>403</v>
      </c>
      <c r="AI52" s="94">
        <v>49</v>
      </c>
      <c r="AJ52" s="94">
        <v>5213</v>
      </c>
      <c r="AK52" s="94">
        <v>12</v>
      </c>
      <c r="AL52" s="94">
        <v>12</v>
      </c>
      <c r="AM52" s="94">
        <v>582</v>
      </c>
      <c r="AN52" s="94">
        <v>4600</v>
      </c>
      <c r="AO52" s="94">
        <v>55</v>
      </c>
      <c r="AP52" s="95">
        <v>1.34228187919463</v>
      </c>
      <c r="AQ52" s="95">
        <v>0.51706308169596704</v>
      </c>
      <c r="AR52" s="95">
        <v>2.5297619047619002</v>
      </c>
      <c r="AS52" s="95">
        <v>2.38095238095238</v>
      </c>
      <c r="AT52" s="95">
        <v>2.1321961620469101</v>
      </c>
      <c r="AU52" s="95">
        <v>1.0208610741233901</v>
      </c>
      <c r="AV52" s="95">
        <v>0.45506257110352699</v>
      </c>
      <c r="AW52" s="95">
        <v>1.27005347593583</v>
      </c>
      <c r="AX52" s="95">
        <v>2.3498694516971299</v>
      </c>
      <c r="AY52" s="95">
        <v>0</v>
      </c>
      <c r="AZ52" s="95">
        <v>1.3281569268491999</v>
      </c>
      <c r="BA52" s="95">
        <v>8.3333333333333304</v>
      </c>
      <c r="BB52" s="95">
        <v>0</v>
      </c>
      <c r="BC52" s="95">
        <v>0.72202166064981999</v>
      </c>
      <c r="BD52" s="95">
        <v>1.4375144910735</v>
      </c>
      <c r="BE52" s="95">
        <v>0</v>
      </c>
    </row>
    <row r="53" spans="2:57" ht="15" customHeight="1" x14ac:dyDescent="0.25">
      <c r="B53" s="86">
        <v>43</v>
      </c>
      <c r="C53" s="87" t="s">
        <v>503</v>
      </c>
      <c r="D53" s="87" t="s">
        <v>27</v>
      </c>
      <c r="E53" s="87" t="s">
        <v>117</v>
      </c>
      <c r="F53" s="87"/>
      <c r="G53" s="88" t="s">
        <v>117</v>
      </c>
      <c r="H53" s="89">
        <v>15735</v>
      </c>
      <c r="I53" s="89">
        <v>10189</v>
      </c>
      <c r="J53" s="89">
        <v>5546</v>
      </c>
      <c r="K53" s="89">
        <v>1195</v>
      </c>
      <c r="L53" s="89">
        <v>3972</v>
      </c>
      <c r="M53" s="89">
        <v>8073</v>
      </c>
      <c r="N53" s="89">
        <v>2495</v>
      </c>
      <c r="O53" s="89">
        <v>15712</v>
      </c>
      <c r="P53" s="89">
        <v>23</v>
      </c>
      <c r="Q53" s="90">
        <v>0.64412238325281801</v>
      </c>
      <c r="R53" s="90">
        <v>0.29619037891941602</v>
      </c>
      <c r="S53" s="90">
        <v>1.3103852923919399</v>
      </c>
      <c r="T53" s="90">
        <v>1.07238605898123</v>
      </c>
      <c r="U53" s="90">
        <v>0.80775444264943497</v>
      </c>
      <c r="V53" s="90">
        <v>0.54587990642058704</v>
      </c>
      <c r="W53" s="90">
        <v>0.50483803113167902</v>
      </c>
      <c r="X53" s="90">
        <v>0.64503124370086695</v>
      </c>
      <c r="Y53" s="90">
        <v>0</v>
      </c>
      <c r="Z53" s="89">
        <v>19226</v>
      </c>
      <c r="AA53" s="89">
        <v>10778</v>
      </c>
      <c r="AB53" s="89">
        <v>8448</v>
      </c>
      <c r="AC53" s="89">
        <v>1059</v>
      </c>
      <c r="AD53" s="89">
        <v>4801</v>
      </c>
      <c r="AE53" s="89">
        <v>9788</v>
      </c>
      <c r="AF53" s="89">
        <v>3578</v>
      </c>
      <c r="AG53" s="89">
        <v>10538</v>
      </c>
      <c r="AH53" s="89">
        <v>8274</v>
      </c>
      <c r="AI53" s="89">
        <v>414</v>
      </c>
      <c r="AJ53" s="89">
        <v>19133</v>
      </c>
      <c r="AK53" s="89">
        <v>41</v>
      </c>
      <c r="AL53" s="89">
        <v>52</v>
      </c>
      <c r="AM53" s="89">
        <v>2038</v>
      </c>
      <c r="AN53" s="89">
        <v>17021</v>
      </c>
      <c r="AO53" s="89">
        <v>167</v>
      </c>
      <c r="AP53" s="90">
        <v>2.0575681295830099</v>
      </c>
      <c r="AQ53" s="90">
        <v>0.52813520261186897</v>
      </c>
      <c r="AR53" s="90">
        <v>4.0839694656488499</v>
      </c>
      <c r="AS53" s="90">
        <v>2.3785926660059502</v>
      </c>
      <c r="AT53" s="90">
        <v>3.2358848471323398</v>
      </c>
      <c r="AU53" s="90">
        <v>1.8518518518518501</v>
      </c>
      <c r="AV53" s="90">
        <v>0.98779779198140605</v>
      </c>
      <c r="AW53" s="90">
        <v>1.52511961722488</v>
      </c>
      <c r="AX53" s="90">
        <v>2.8389560789306199</v>
      </c>
      <c r="AY53" s="90">
        <v>0</v>
      </c>
      <c r="AZ53" s="90">
        <v>2.0504645154197099</v>
      </c>
      <c r="BA53" s="90">
        <v>9.375</v>
      </c>
      <c r="BB53" s="90">
        <v>0</v>
      </c>
      <c r="BC53" s="90">
        <v>1.01163378856854</v>
      </c>
      <c r="BD53" s="90">
        <v>2.1934444513290798</v>
      </c>
      <c r="BE53" s="90">
        <v>1.26582278481013</v>
      </c>
    </row>
    <row r="54" spans="2:57" ht="15" customHeight="1" x14ac:dyDescent="0.25">
      <c r="B54" s="91">
        <v>44</v>
      </c>
      <c r="C54" s="92" t="s">
        <v>503</v>
      </c>
      <c r="D54" s="92" t="s">
        <v>27</v>
      </c>
      <c r="E54" s="92" t="s">
        <v>117</v>
      </c>
      <c r="F54" s="92"/>
      <c r="G54" s="93" t="s">
        <v>501</v>
      </c>
      <c r="H54" s="94">
        <v>2332</v>
      </c>
      <c r="I54" s="94">
        <v>1297</v>
      </c>
      <c r="J54" s="94">
        <v>1035</v>
      </c>
      <c r="K54" s="94">
        <v>133</v>
      </c>
      <c r="L54" s="94">
        <v>614</v>
      </c>
      <c r="M54" s="94">
        <v>1265</v>
      </c>
      <c r="N54" s="94">
        <v>320</v>
      </c>
      <c r="O54" s="94">
        <v>2322</v>
      </c>
      <c r="P54" s="94">
        <v>10</v>
      </c>
      <c r="Q54" s="95">
        <v>2.0054694621695499</v>
      </c>
      <c r="R54" s="95">
        <v>1.3809910641754699</v>
      </c>
      <c r="S54" s="95">
        <v>2.8037383177570101</v>
      </c>
      <c r="T54" s="95">
        <v>2.4793388429752099</v>
      </c>
      <c r="U54" s="95">
        <v>2.6132404181184699</v>
      </c>
      <c r="V54" s="95">
        <v>1.4249790444258199</v>
      </c>
      <c r="W54" s="95">
        <v>2.9411764705882399</v>
      </c>
      <c r="X54" s="95">
        <v>2.0146520146520102</v>
      </c>
      <c r="Y54" s="95">
        <v>0</v>
      </c>
      <c r="Z54" s="94">
        <v>3138</v>
      </c>
      <c r="AA54" s="94">
        <v>1692</v>
      </c>
      <c r="AB54" s="94">
        <v>1446</v>
      </c>
      <c r="AC54" s="94">
        <v>138</v>
      </c>
      <c r="AD54" s="94">
        <v>783</v>
      </c>
      <c r="AE54" s="94">
        <v>1760</v>
      </c>
      <c r="AF54" s="94">
        <v>457</v>
      </c>
      <c r="AG54" s="94">
        <v>1067</v>
      </c>
      <c r="AH54" s="94">
        <v>2061</v>
      </c>
      <c r="AI54" s="94">
        <v>10</v>
      </c>
      <c r="AJ54" s="94">
        <v>3113</v>
      </c>
      <c r="AK54" s="94">
        <v>19</v>
      </c>
      <c r="AL54" s="94">
        <v>6</v>
      </c>
      <c r="AM54" s="94">
        <v>223</v>
      </c>
      <c r="AN54" s="94">
        <v>2891</v>
      </c>
      <c r="AO54" s="94">
        <v>24</v>
      </c>
      <c r="AP54" s="95">
        <v>4.9146757679180899</v>
      </c>
      <c r="AQ54" s="95">
        <v>1.5713387806411101</v>
      </c>
      <c r="AR54" s="95">
        <v>8.8872292755787896</v>
      </c>
      <c r="AS54" s="95">
        <v>6.2992125984251999</v>
      </c>
      <c r="AT54" s="95">
        <v>7.703081232493</v>
      </c>
      <c r="AU54" s="95">
        <v>3.92038600723764</v>
      </c>
      <c r="AV54" s="95">
        <v>3.7122969837587001</v>
      </c>
      <c r="AW54" s="95">
        <v>4.0322580645161299</v>
      </c>
      <c r="AX54" s="95">
        <v>5.3941908713692897</v>
      </c>
      <c r="AY54" s="95">
        <v>0</v>
      </c>
      <c r="AZ54" s="95">
        <v>4.9157786180818102</v>
      </c>
      <c r="BA54" s="95">
        <v>6.6666666666666696</v>
      </c>
      <c r="BB54" s="95">
        <v>0</v>
      </c>
      <c r="BC54" s="95">
        <v>4.7393364928909998</v>
      </c>
      <c r="BD54" s="95">
        <v>4.96848350018539</v>
      </c>
      <c r="BE54" s="95">
        <v>0</v>
      </c>
    </row>
    <row r="55" spans="2:57" ht="15" customHeight="1" x14ac:dyDescent="0.25">
      <c r="B55" s="91">
        <v>45</v>
      </c>
      <c r="C55" s="92" t="s">
        <v>503</v>
      </c>
      <c r="D55" s="92" t="s">
        <v>27</v>
      </c>
      <c r="E55" s="92" t="s">
        <v>117</v>
      </c>
      <c r="F55" s="92"/>
      <c r="G55" s="93" t="s">
        <v>502</v>
      </c>
      <c r="H55" s="94">
        <v>13403</v>
      </c>
      <c r="I55" s="94">
        <v>8892</v>
      </c>
      <c r="J55" s="94">
        <v>4511</v>
      </c>
      <c r="K55" s="94">
        <v>1062</v>
      </c>
      <c r="L55" s="94">
        <v>3358</v>
      </c>
      <c r="M55" s="94">
        <v>6808</v>
      </c>
      <c r="N55" s="94">
        <v>2175</v>
      </c>
      <c r="O55" s="94">
        <v>13390</v>
      </c>
      <c r="P55" s="94">
        <v>13</v>
      </c>
      <c r="Q55" s="95">
        <v>0.40912667191188001</v>
      </c>
      <c r="R55" s="95">
        <v>0.14018691588785001</v>
      </c>
      <c r="S55" s="95">
        <v>0.96385542168674698</v>
      </c>
      <c r="T55" s="95">
        <v>0.90180360721442898</v>
      </c>
      <c r="U55" s="95">
        <v>0.47770700636942698</v>
      </c>
      <c r="V55" s="95">
        <v>0.384556222119674</v>
      </c>
      <c r="W55" s="95">
        <v>0.144857556735876</v>
      </c>
      <c r="X55" s="95">
        <v>0.40948106150090602</v>
      </c>
      <c r="Y55" s="95">
        <v>0</v>
      </c>
      <c r="Z55" s="94">
        <v>16088</v>
      </c>
      <c r="AA55" s="94">
        <v>9086</v>
      </c>
      <c r="AB55" s="94">
        <v>7002</v>
      </c>
      <c r="AC55" s="94">
        <v>921</v>
      </c>
      <c r="AD55" s="94">
        <v>4018</v>
      </c>
      <c r="AE55" s="94">
        <v>8028</v>
      </c>
      <c r="AF55" s="94">
        <v>3121</v>
      </c>
      <c r="AG55" s="94">
        <v>9471</v>
      </c>
      <c r="AH55" s="94">
        <v>6213</v>
      </c>
      <c r="AI55" s="94">
        <v>404</v>
      </c>
      <c r="AJ55" s="94">
        <v>16020</v>
      </c>
      <c r="AK55" s="94">
        <v>22</v>
      </c>
      <c r="AL55" s="94">
        <v>46</v>
      </c>
      <c r="AM55" s="94">
        <v>1815</v>
      </c>
      <c r="AN55" s="94">
        <v>14130</v>
      </c>
      <c r="AO55" s="94">
        <v>143</v>
      </c>
      <c r="AP55" s="95">
        <v>1.51199165797706</v>
      </c>
      <c r="AQ55" s="95">
        <v>0.34002040122407301</v>
      </c>
      <c r="AR55" s="95">
        <v>3.09768440423248</v>
      </c>
      <c r="AS55" s="95">
        <v>1.8140589569161001</v>
      </c>
      <c r="AT55" s="95">
        <v>2.38916910007964</v>
      </c>
      <c r="AU55" s="95">
        <v>1.40551795939615</v>
      </c>
      <c r="AV55" s="95">
        <v>0.59780803719694497</v>
      </c>
      <c r="AW55" s="95">
        <v>1.25</v>
      </c>
      <c r="AX55" s="95">
        <v>2.0077610933018399</v>
      </c>
      <c r="AY55" s="95">
        <v>0</v>
      </c>
      <c r="AZ55" s="95">
        <v>1.50503860751211</v>
      </c>
      <c r="BA55" s="95">
        <v>11.764705882352899</v>
      </c>
      <c r="BB55" s="95">
        <v>0</v>
      </c>
      <c r="BC55" s="95">
        <v>0.56625141562853898</v>
      </c>
      <c r="BD55" s="95">
        <v>1.6366612111293</v>
      </c>
      <c r="BE55" s="95">
        <v>1.47058823529412</v>
      </c>
    </row>
    <row r="56" spans="2:57" ht="15" customHeight="1" x14ac:dyDescent="0.25">
      <c r="B56" s="96">
        <v>46</v>
      </c>
      <c r="C56" s="97" t="s">
        <v>504</v>
      </c>
      <c r="D56" s="97" t="s">
        <v>27</v>
      </c>
      <c r="E56" s="97" t="s">
        <v>117</v>
      </c>
      <c r="F56" s="97" t="s">
        <v>106</v>
      </c>
      <c r="G56" s="98" t="s">
        <v>106</v>
      </c>
      <c r="H56" s="99">
        <v>5012</v>
      </c>
      <c r="I56" s="99">
        <v>3134</v>
      </c>
      <c r="J56" s="99">
        <v>1878</v>
      </c>
      <c r="K56" s="99">
        <v>383</v>
      </c>
      <c r="L56" s="99">
        <v>1151</v>
      </c>
      <c r="M56" s="99">
        <v>2594</v>
      </c>
      <c r="N56" s="99">
        <v>884</v>
      </c>
      <c r="O56" s="99">
        <v>5006</v>
      </c>
      <c r="P56" s="99">
        <v>6</v>
      </c>
      <c r="Q56" s="100">
        <v>0.729470612755315</v>
      </c>
      <c r="R56" s="100">
        <v>0.427913100724161</v>
      </c>
      <c r="S56" s="100">
        <v>1.25</v>
      </c>
      <c r="T56" s="100">
        <v>0.26809651474530799</v>
      </c>
      <c r="U56" s="100">
        <v>1.0128913443830601</v>
      </c>
      <c r="V56" s="100">
        <v>0.64282844515869797</v>
      </c>
      <c r="W56" s="100">
        <v>0.82352941176470595</v>
      </c>
      <c r="X56" s="100">
        <v>0.73038397328881499</v>
      </c>
      <c r="Y56" s="100">
        <v>0</v>
      </c>
      <c r="Z56" s="99">
        <v>5269</v>
      </c>
      <c r="AA56" s="99">
        <v>2993</v>
      </c>
      <c r="AB56" s="99">
        <v>2276</v>
      </c>
      <c r="AC56" s="99">
        <v>214</v>
      </c>
      <c r="AD56" s="99">
        <v>1088</v>
      </c>
      <c r="AE56" s="99">
        <v>2821</v>
      </c>
      <c r="AF56" s="99">
        <v>1146</v>
      </c>
      <c r="AG56" s="99">
        <v>1237</v>
      </c>
      <c r="AH56" s="99">
        <v>3923</v>
      </c>
      <c r="AI56" s="99">
        <v>109</v>
      </c>
      <c r="AJ56" s="99">
        <v>5241</v>
      </c>
      <c r="AK56" s="99">
        <v>9</v>
      </c>
      <c r="AL56" s="99">
        <v>19</v>
      </c>
      <c r="AM56" s="99">
        <v>627</v>
      </c>
      <c r="AN56" s="99">
        <v>4597</v>
      </c>
      <c r="AO56" s="99">
        <v>45</v>
      </c>
      <c r="AP56" s="100">
        <v>2.48657250845435</v>
      </c>
      <c r="AQ56" s="100">
        <v>0.69348127600554799</v>
      </c>
      <c r="AR56" s="100">
        <v>4.8996733551096598</v>
      </c>
      <c r="AS56" s="100">
        <v>4.0201005025125598</v>
      </c>
      <c r="AT56" s="100">
        <v>5.2580331061343699</v>
      </c>
      <c r="AU56" s="100">
        <v>1.96587537091988</v>
      </c>
      <c r="AV56" s="100">
        <v>0.90497737556561098</v>
      </c>
      <c r="AW56" s="100">
        <v>1.8612521150592201</v>
      </c>
      <c r="AX56" s="100">
        <v>2.7547472586252999</v>
      </c>
      <c r="AY56" s="100">
        <v>0</v>
      </c>
      <c r="AZ56" s="100">
        <v>2.4995000999800001</v>
      </c>
      <c r="BA56" s="100">
        <v>0</v>
      </c>
      <c r="BB56" s="100">
        <v>0</v>
      </c>
      <c r="BC56" s="100">
        <v>1.32231404958678</v>
      </c>
      <c r="BD56" s="100">
        <v>2.64719306252853</v>
      </c>
      <c r="BE56" s="100">
        <v>2.5</v>
      </c>
    </row>
    <row r="57" spans="2:57" ht="15" customHeight="1" x14ac:dyDescent="0.25">
      <c r="B57" s="91">
        <v>47</v>
      </c>
      <c r="C57" s="92" t="s">
        <v>504</v>
      </c>
      <c r="D57" s="92" t="s">
        <v>27</v>
      </c>
      <c r="E57" s="92" t="s">
        <v>117</v>
      </c>
      <c r="F57" s="92" t="s">
        <v>106</v>
      </c>
      <c r="G57" s="101" t="s">
        <v>501</v>
      </c>
      <c r="H57" s="94">
        <v>1435</v>
      </c>
      <c r="I57" s="94">
        <v>781</v>
      </c>
      <c r="J57" s="94">
        <v>654</v>
      </c>
      <c r="K57" s="94">
        <v>66</v>
      </c>
      <c r="L57" s="94">
        <v>367</v>
      </c>
      <c r="M57" s="94">
        <v>789</v>
      </c>
      <c r="N57" s="94">
        <v>213</v>
      </c>
      <c r="O57" s="94">
        <v>1431</v>
      </c>
      <c r="P57" s="94">
        <v>4</v>
      </c>
      <c r="Q57" s="95">
        <v>2.2042615723732601</v>
      </c>
      <c r="R57" s="95">
        <v>1.47255689424364</v>
      </c>
      <c r="S57" s="95">
        <v>3.0944625407166102</v>
      </c>
      <c r="T57" s="95">
        <v>1.5873015873015901</v>
      </c>
      <c r="U57" s="95">
        <v>2.8901734104046199</v>
      </c>
      <c r="V57" s="95">
        <v>1.6042780748663099</v>
      </c>
      <c r="W57" s="95">
        <v>3.4313725490196099</v>
      </c>
      <c r="X57" s="95">
        <v>2.2107590272660298</v>
      </c>
      <c r="Y57" s="95">
        <v>0</v>
      </c>
      <c r="Z57" s="94">
        <v>2156</v>
      </c>
      <c r="AA57" s="94">
        <v>1173</v>
      </c>
      <c r="AB57" s="94">
        <v>983</v>
      </c>
      <c r="AC57" s="94">
        <v>74</v>
      </c>
      <c r="AD57" s="94">
        <v>509</v>
      </c>
      <c r="AE57" s="94">
        <v>1213</v>
      </c>
      <c r="AF57" s="94">
        <v>360</v>
      </c>
      <c r="AG57" s="94">
        <v>442</v>
      </c>
      <c r="AH57" s="94">
        <v>1706</v>
      </c>
      <c r="AI57" s="94">
        <v>8</v>
      </c>
      <c r="AJ57" s="94">
        <v>2143</v>
      </c>
      <c r="AK57" s="94">
        <v>8</v>
      </c>
      <c r="AL57" s="94">
        <v>5</v>
      </c>
      <c r="AM57" s="94">
        <v>164</v>
      </c>
      <c r="AN57" s="94">
        <v>1976</v>
      </c>
      <c r="AO57" s="94">
        <v>16</v>
      </c>
      <c r="AP57" s="95">
        <v>5.2683896620278299</v>
      </c>
      <c r="AQ57" s="95">
        <v>1.7225747960108799</v>
      </c>
      <c r="AR57" s="95">
        <v>9.57095709570957</v>
      </c>
      <c r="AS57" s="95">
        <v>8.9552238805970106</v>
      </c>
      <c r="AT57" s="95">
        <v>9.6566523605150199</v>
      </c>
      <c r="AU57" s="95">
        <v>4.0350877192982502</v>
      </c>
      <c r="AV57" s="95">
        <v>2.65486725663717</v>
      </c>
      <c r="AW57" s="95">
        <v>4.1666666666666696</v>
      </c>
      <c r="AX57" s="95">
        <v>5.5764411027568901</v>
      </c>
      <c r="AY57" s="95">
        <v>0</v>
      </c>
      <c r="AZ57" s="95">
        <v>5.3</v>
      </c>
      <c r="BA57" s="95">
        <v>0</v>
      </c>
      <c r="BB57" s="95">
        <v>0</v>
      </c>
      <c r="BC57" s="95">
        <v>5.1612903225806503</v>
      </c>
      <c r="BD57" s="95">
        <v>5.3174172544763998</v>
      </c>
      <c r="BE57" s="95">
        <v>0</v>
      </c>
    </row>
    <row r="58" spans="2:57" ht="15" customHeight="1" x14ac:dyDescent="0.25">
      <c r="B58" s="91">
        <v>48</v>
      </c>
      <c r="C58" s="92" t="s">
        <v>504</v>
      </c>
      <c r="D58" s="92" t="s">
        <v>27</v>
      </c>
      <c r="E58" s="92" t="s">
        <v>117</v>
      </c>
      <c r="F58" s="92" t="s">
        <v>106</v>
      </c>
      <c r="G58" s="101" t="s">
        <v>502</v>
      </c>
      <c r="H58" s="94">
        <v>3577</v>
      </c>
      <c r="I58" s="94">
        <v>2353</v>
      </c>
      <c r="J58" s="94">
        <v>1224</v>
      </c>
      <c r="K58" s="94">
        <v>317</v>
      </c>
      <c r="L58" s="94">
        <v>784</v>
      </c>
      <c r="M58" s="94">
        <v>1805</v>
      </c>
      <c r="N58" s="94">
        <v>671</v>
      </c>
      <c r="O58" s="94">
        <v>3575</v>
      </c>
      <c r="P58" s="94">
        <v>2</v>
      </c>
      <c r="Q58" s="95">
        <v>0.14547570555717201</v>
      </c>
      <c r="R58" s="95">
        <v>8.7298123090353494E-2</v>
      </c>
      <c r="S58" s="95">
        <v>0.26178010471204199</v>
      </c>
      <c r="T58" s="95">
        <v>0</v>
      </c>
      <c r="U58" s="95">
        <v>0.135135135135135</v>
      </c>
      <c r="V58" s="95">
        <v>0.22975301550832899</v>
      </c>
      <c r="W58" s="95">
        <v>0</v>
      </c>
      <c r="X58" s="95">
        <v>0.14556040756914099</v>
      </c>
      <c r="Y58" s="95">
        <v>0</v>
      </c>
      <c r="Z58" s="94">
        <v>3113</v>
      </c>
      <c r="AA58" s="94">
        <v>1820</v>
      </c>
      <c r="AB58" s="94">
        <v>1293</v>
      </c>
      <c r="AC58" s="94">
        <v>140</v>
      </c>
      <c r="AD58" s="94">
        <v>579</v>
      </c>
      <c r="AE58" s="94">
        <v>1608</v>
      </c>
      <c r="AF58" s="94">
        <v>786</v>
      </c>
      <c r="AG58" s="94">
        <v>795</v>
      </c>
      <c r="AH58" s="94">
        <v>2217</v>
      </c>
      <c r="AI58" s="94">
        <v>101</v>
      </c>
      <c r="AJ58" s="94">
        <v>3098</v>
      </c>
      <c r="AK58" s="94">
        <v>1</v>
      </c>
      <c r="AL58" s="94">
        <v>14</v>
      </c>
      <c r="AM58" s="94">
        <v>463</v>
      </c>
      <c r="AN58" s="94">
        <v>2621</v>
      </c>
      <c r="AO58" s="94">
        <v>29</v>
      </c>
      <c r="AP58" s="95">
        <v>0.63018242122719703</v>
      </c>
      <c r="AQ58" s="95">
        <v>5.6148231330713103E-2</v>
      </c>
      <c r="AR58" s="95">
        <v>1.45867098865478</v>
      </c>
      <c r="AS58" s="95">
        <v>1.51515151515152</v>
      </c>
      <c r="AT58" s="95">
        <v>1.6042780748663099</v>
      </c>
      <c r="AU58" s="95">
        <v>0.44987146529562999</v>
      </c>
      <c r="AV58" s="95">
        <v>0.13054830287206301</v>
      </c>
      <c r="AW58" s="95">
        <v>0.645994832041344</v>
      </c>
      <c r="AX58" s="95">
        <v>0.65328978068128796</v>
      </c>
      <c r="AY58" s="95">
        <v>0</v>
      </c>
      <c r="AZ58" s="95">
        <v>0.63312229256914399</v>
      </c>
      <c r="BA58" s="95">
        <v>0</v>
      </c>
      <c r="BB58" s="95">
        <v>0</v>
      </c>
      <c r="BC58" s="95">
        <v>0</v>
      </c>
      <c r="BD58" s="95">
        <v>0.70894052776683703</v>
      </c>
      <c r="BE58" s="95">
        <v>3.8461538461538498</v>
      </c>
    </row>
    <row r="59" spans="2:57" ht="15" customHeight="1" x14ac:dyDescent="0.25">
      <c r="B59" s="96">
        <v>49</v>
      </c>
      <c r="C59" s="97" t="s">
        <v>504</v>
      </c>
      <c r="D59" s="97" t="s">
        <v>27</v>
      </c>
      <c r="E59" s="97" t="s">
        <v>117</v>
      </c>
      <c r="F59" s="97" t="s">
        <v>117</v>
      </c>
      <c r="G59" s="98" t="s">
        <v>117</v>
      </c>
      <c r="H59" s="99">
        <v>3608</v>
      </c>
      <c r="I59" s="99">
        <v>2405</v>
      </c>
      <c r="J59" s="99">
        <v>1203</v>
      </c>
      <c r="K59" s="99">
        <v>349</v>
      </c>
      <c r="L59" s="99">
        <v>953</v>
      </c>
      <c r="M59" s="99">
        <v>1773</v>
      </c>
      <c r="N59" s="99">
        <v>533</v>
      </c>
      <c r="O59" s="99">
        <v>3605</v>
      </c>
      <c r="P59" s="99">
        <v>3</v>
      </c>
      <c r="Q59" s="100">
        <v>0.49853372434017601</v>
      </c>
      <c r="R59" s="100">
        <v>0.17444395987788899</v>
      </c>
      <c r="S59" s="100">
        <v>1.16383169203223</v>
      </c>
      <c r="T59" s="100">
        <v>1.2307692307692299</v>
      </c>
      <c r="U59" s="100">
        <v>0.674915635545557</v>
      </c>
      <c r="V59" s="100">
        <v>0.35545023696682498</v>
      </c>
      <c r="W59" s="100">
        <v>0.196850393700787</v>
      </c>
      <c r="X59" s="100">
        <v>0.49897270325799797</v>
      </c>
      <c r="Y59" s="100">
        <v>0</v>
      </c>
      <c r="Z59" s="99">
        <v>4922</v>
      </c>
      <c r="AA59" s="99">
        <v>2709</v>
      </c>
      <c r="AB59" s="99">
        <v>2213</v>
      </c>
      <c r="AC59" s="99">
        <v>364</v>
      </c>
      <c r="AD59" s="99">
        <v>1387</v>
      </c>
      <c r="AE59" s="99">
        <v>2349</v>
      </c>
      <c r="AF59" s="99">
        <v>822</v>
      </c>
      <c r="AG59" s="99">
        <v>3752</v>
      </c>
      <c r="AH59" s="99">
        <v>1083</v>
      </c>
      <c r="AI59" s="99">
        <v>87</v>
      </c>
      <c r="AJ59" s="99">
        <v>4893</v>
      </c>
      <c r="AK59" s="99">
        <v>19</v>
      </c>
      <c r="AL59" s="99">
        <v>10</v>
      </c>
      <c r="AM59" s="99">
        <v>534</v>
      </c>
      <c r="AN59" s="99">
        <v>4353</v>
      </c>
      <c r="AO59" s="99">
        <v>35</v>
      </c>
      <c r="AP59" s="100">
        <v>1.6474112109542101</v>
      </c>
      <c r="AQ59" s="100">
        <v>0.34324942791761998</v>
      </c>
      <c r="AR59" s="100">
        <v>3.31384015594542</v>
      </c>
      <c r="AS59" s="100">
        <v>1.73913043478261</v>
      </c>
      <c r="AT59" s="100">
        <v>2.1621621621621601</v>
      </c>
      <c r="AU59" s="100">
        <v>1.5178571428571399</v>
      </c>
      <c r="AV59" s="100">
        <v>1.13350125944584</v>
      </c>
      <c r="AW59" s="100">
        <v>1.3982102908277401</v>
      </c>
      <c r="AX59" s="100">
        <v>2.64187866927593</v>
      </c>
      <c r="AY59" s="100">
        <v>0</v>
      </c>
      <c r="AZ59" s="100">
        <v>1.6132501613250201</v>
      </c>
      <c r="BA59" s="100">
        <v>13.3333333333333</v>
      </c>
      <c r="BB59" s="100">
        <v>0</v>
      </c>
      <c r="BC59" s="100">
        <v>0.76923076923076905</v>
      </c>
      <c r="BD59" s="100">
        <v>1.7722748239863999</v>
      </c>
      <c r="BE59" s="100">
        <v>0</v>
      </c>
    </row>
    <row r="60" spans="2:57" ht="15" customHeight="1" x14ac:dyDescent="0.25">
      <c r="B60" s="91">
        <v>50</v>
      </c>
      <c r="C60" s="92" t="s">
        <v>504</v>
      </c>
      <c r="D60" s="92" t="s">
        <v>27</v>
      </c>
      <c r="E60" s="92" t="s">
        <v>117</v>
      </c>
      <c r="F60" s="92" t="s">
        <v>117</v>
      </c>
      <c r="G60" s="101" t="s">
        <v>501</v>
      </c>
      <c r="H60" s="94">
        <v>0</v>
      </c>
      <c r="I60" s="94">
        <v>0</v>
      </c>
      <c r="J60" s="94">
        <v>0</v>
      </c>
      <c r="K60" s="94">
        <v>0</v>
      </c>
      <c r="L60" s="94">
        <v>0</v>
      </c>
      <c r="M60" s="94">
        <v>0</v>
      </c>
      <c r="N60" s="94">
        <v>0</v>
      </c>
      <c r="O60" s="94">
        <v>0</v>
      </c>
      <c r="P60" s="94">
        <v>0</v>
      </c>
      <c r="Q60" s="95">
        <v>0</v>
      </c>
      <c r="R60" s="95">
        <v>0</v>
      </c>
      <c r="S60" s="95">
        <v>0</v>
      </c>
      <c r="T60" s="95">
        <v>0</v>
      </c>
      <c r="U60" s="95">
        <v>0</v>
      </c>
      <c r="V60" s="95">
        <v>0</v>
      </c>
      <c r="W60" s="95">
        <v>0</v>
      </c>
      <c r="X60" s="95">
        <v>0</v>
      </c>
      <c r="Y60" s="95">
        <v>0</v>
      </c>
      <c r="Z60" s="94">
        <v>982</v>
      </c>
      <c r="AA60" s="94">
        <v>519</v>
      </c>
      <c r="AB60" s="94">
        <v>463</v>
      </c>
      <c r="AC60" s="94">
        <v>64</v>
      </c>
      <c r="AD60" s="94">
        <v>274</v>
      </c>
      <c r="AE60" s="94">
        <v>547</v>
      </c>
      <c r="AF60" s="94">
        <v>97</v>
      </c>
      <c r="AG60" s="94">
        <v>625</v>
      </c>
      <c r="AH60" s="94">
        <v>355</v>
      </c>
      <c r="AI60" s="94">
        <v>2</v>
      </c>
      <c r="AJ60" s="94">
        <v>970</v>
      </c>
      <c r="AK60" s="94">
        <v>11</v>
      </c>
      <c r="AL60" s="94">
        <v>1</v>
      </c>
      <c r="AM60" s="94">
        <v>59</v>
      </c>
      <c r="AN60" s="94">
        <v>915</v>
      </c>
      <c r="AO60" s="94">
        <v>8</v>
      </c>
      <c r="AP60" s="95">
        <v>4.1394335511982598</v>
      </c>
      <c r="AQ60" s="95">
        <v>1.22950819672131</v>
      </c>
      <c r="AR60" s="95">
        <v>7.4418604651162799</v>
      </c>
      <c r="AS60" s="95">
        <v>3.3333333333333299</v>
      </c>
      <c r="AT60" s="95">
        <v>4.0322580645161299</v>
      </c>
      <c r="AU60" s="95">
        <v>3.6679536679536699</v>
      </c>
      <c r="AV60" s="95">
        <v>7.6086956521739104</v>
      </c>
      <c r="AW60" s="95">
        <v>3.9383561643835598</v>
      </c>
      <c r="AX60" s="95">
        <v>4.5180722891566303</v>
      </c>
      <c r="AY60" s="95">
        <v>0</v>
      </c>
      <c r="AZ60" s="95">
        <v>4.0704070407040698</v>
      </c>
      <c r="BA60" s="95">
        <v>12.5</v>
      </c>
      <c r="BB60" s="95">
        <v>0</v>
      </c>
      <c r="BC60" s="95">
        <v>3.5714285714285698</v>
      </c>
      <c r="BD60" s="95">
        <v>4.2154566744730699</v>
      </c>
      <c r="BE60" s="95">
        <v>0</v>
      </c>
    </row>
    <row r="61" spans="2:57" ht="15" customHeight="1" x14ac:dyDescent="0.25">
      <c r="B61" s="91">
        <v>51</v>
      </c>
      <c r="C61" s="92" t="s">
        <v>504</v>
      </c>
      <c r="D61" s="92" t="s">
        <v>27</v>
      </c>
      <c r="E61" s="92" t="s">
        <v>117</v>
      </c>
      <c r="F61" s="92" t="s">
        <v>117</v>
      </c>
      <c r="G61" s="101" t="s">
        <v>502</v>
      </c>
      <c r="H61" s="94">
        <v>3608</v>
      </c>
      <c r="I61" s="94">
        <v>2405</v>
      </c>
      <c r="J61" s="94">
        <v>1203</v>
      </c>
      <c r="K61" s="94">
        <v>349</v>
      </c>
      <c r="L61" s="94">
        <v>953</v>
      </c>
      <c r="M61" s="94">
        <v>1773</v>
      </c>
      <c r="N61" s="94">
        <v>533</v>
      </c>
      <c r="O61" s="94">
        <v>3605</v>
      </c>
      <c r="P61" s="94">
        <v>3</v>
      </c>
      <c r="Q61" s="95">
        <v>0.49853372434017601</v>
      </c>
      <c r="R61" s="95">
        <v>0.17444395987788899</v>
      </c>
      <c r="S61" s="95">
        <v>1.16383169203223</v>
      </c>
      <c r="T61" s="95">
        <v>1.2307692307692299</v>
      </c>
      <c r="U61" s="95">
        <v>0.674915635545557</v>
      </c>
      <c r="V61" s="95">
        <v>0.35545023696682498</v>
      </c>
      <c r="W61" s="95">
        <v>0.196850393700787</v>
      </c>
      <c r="X61" s="95">
        <v>0.49897270325799797</v>
      </c>
      <c r="Y61" s="95">
        <v>0</v>
      </c>
      <c r="Z61" s="94">
        <v>3940</v>
      </c>
      <c r="AA61" s="94">
        <v>2190</v>
      </c>
      <c r="AB61" s="94">
        <v>1750</v>
      </c>
      <c r="AC61" s="94">
        <v>300</v>
      </c>
      <c r="AD61" s="94">
        <v>1113</v>
      </c>
      <c r="AE61" s="94">
        <v>1802</v>
      </c>
      <c r="AF61" s="94">
        <v>725</v>
      </c>
      <c r="AG61" s="94">
        <v>3127</v>
      </c>
      <c r="AH61" s="94">
        <v>728</v>
      </c>
      <c r="AI61" s="94">
        <v>85</v>
      </c>
      <c r="AJ61" s="94">
        <v>3923</v>
      </c>
      <c r="AK61" s="94">
        <v>8</v>
      </c>
      <c r="AL61" s="94">
        <v>9</v>
      </c>
      <c r="AM61" s="94">
        <v>475</v>
      </c>
      <c r="AN61" s="94">
        <v>3438</v>
      </c>
      <c r="AO61" s="94">
        <v>27</v>
      </c>
      <c r="AP61" s="95">
        <v>1.03833865814696</v>
      </c>
      <c r="AQ61" s="95">
        <v>0.14058106841612</v>
      </c>
      <c r="AR61" s="95">
        <v>2.2194821208384701</v>
      </c>
      <c r="AS61" s="95">
        <v>1.40350877192982</v>
      </c>
      <c r="AT61" s="95">
        <v>1.71919770773639</v>
      </c>
      <c r="AU61" s="95">
        <v>0.87108013937282203</v>
      </c>
      <c r="AV61" s="95">
        <v>0.28490028490028502</v>
      </c>
      <c r="AW61" s="95">
        <v>0.90240641711229896</v>
      </c>
      <c r="AX61" s="95">
        <v>1.73913043478261</v>
      </c>
      <c r="AY61" s="95">
        <v>0</v>
      </c>
      <c r="AZ61" s="95">
        <v>1.0160427807486601</v>
      </c>
      <c r="BA61" s="95">
        <v>14.285714285714301</v>
      </c>
      <c r="BB61" s="95">
        <v>0</v>
      </c>
      <c r="BC61" s="95">
        <v>0.431034482758621</v>
      </c>
      <c r="BD61" s="95">
        <v>1.1332312404287901</v>
      </c>
      <c r="BE61" s="95">
        <v>0</v>
      </c>
    </row>
    <row r="62" spans="2:57" ht="15" customHeight="1" x14ac:dyDescent="0.25">
      <c r="B62" s="96">
        <v>52</v>
      </c>
      <c r="C62" s="97" t="s">
        <v>504</v>
      </c>
      <c r="D62" s="97" t="s">
        <v>27</v>
      </c>
      <c r="E62" s="97" t="s">
        <v>117</v>
      </c>
      <c r="F62" s="97" t="s">
        <v>121</v>
      </c>
      <c r="G62" s="98" t="s">
        <v>121</v>
      </c>
      <c r="H62" s="99">
        <v>2869</v>
      </c>
      <c r="I62" s="99">
        <v>1999</v>
      </c>
      <c r="J62" s="99">
        <v>870</v>
      </c>
      <c r="K62" s="99">
        <v>212</v>
      </c>
      <c r="L62" s="99">
        <v>730</v>
      </c>
      <c r="M62" s="99">
        <v>1447</v>
      </c>
      <c r="N62" s="99">
        <v>480</v>
      </c>
      <c r="O62" s="99">
        <v>2861</v>
      </c>
      <c r="P62" s="99">
        <v>8</v>
      </c>
      <c r="Q62" s="100">
        <v>0.51775147928994103</v>
      </c>
      <c r="R62" s="100">
        <v>0.31152647975077902</v>
      </c>
      <c r="S62" s="100">
        <v>1.02827763496144</v>
      </c>
      <c r="T62" s="100">
        <v>1.03626943005181</v>
      </c>
      <c r="U62" s="100">
        <v>0.72358900144717797</v>
      </c>
      <c r="V62" s="100">
        <v>0.365230094959825</v>
      </c>
      <c r="W62" s="100">
        <v>0.44345898004434597</v>
      </c>
      <c r="X62" s="100">
        <v>0.51928783382789301</v>
      </c>
      <c r="Y62" s="100">
        <v>0</v>
      </c>
      <c r="Z62" s="99">
        <v>3949</v>
      </c>
      <c r="AA62" s="99">
        <v>2185</v>
      </c>
      <c r="AB62" s="99">
        <v>1764</v>
      </c>
      <c r="AC62" s="99">
        <v>278</v>
      </c>
      <c r="AD62" s="99">
        <v>1033</v>
      </c>
      <c r="AE62" s="99">
        <v>1869</v>
      </c>
      <c r="AF62" s="99">
        <v>769</v>
      </c>
      <c r="AG62" s="99">
        <v>3340</v>
      </c>
      <c r="AH62" s="99">
        <v>496</v>
      </c>
      <c r="AI62" s="99">
        <v>113</v>
      </c>
      <c r="AJ62" s="99">
        <v>3936</v>
      </c>
      <c r="AK62" s="99">
        <v>2</v>
      </c>
      <c r="AL62" s="99">
        <v>11</v>
      </c>
      <c r="AM62" s="99">
        <v>395</v>
      </c>
      <c r="AN62" s="99">
        <v>3514</v>
      </c>
      <c r="AO62" s="99">
        <v>40</v>
      </c>
      <c r="AP62" s="100">
        <v>2.0468623754376498</v>
      </c>
      <c r="AQ62" s="100">
        <v>0.33191085822664801</v>
      </c>
      <c r="AR62" s="100">
        <v>4.30174563591022</v>
      </c>
      <c r="AS62" s="100">
        <v>2.64150943396226</v>
      </c>
      <c r="AT62" s="100">
        <v>2.9567053854276701</v>
      </c>
      <c r="AU62" s="100">
        <v>1.97628458498024</v>
      </c>
      <c r="AV62" s="100">
        <v>0.82191780821917804</v>
      </c>
      <c r="AW62" s="100">
        <v>1.4580031695721101</v>
      </c>
      <c r="AX62" s="100">
        <v>6.5934065934065904</v>
      </c>
      <c r="AY62" s="100">
        <v>0</v>
      </c>
      <c r="AZ62" s="100">
        <v>2.0534990543096501</v>
      </c>
      <c r="BA62" s="100">
        <v>0</v>
      </c>
      <c r="BB62" s="100">
        <v>0</v>
      </c>
      <c r="BC62" s="100">
        <v>0.78947368421052599</v>
      </c>
      <c r="BD62" s="100">
        <v>2.2154779969651002</v>
      </c>
      <c r="BE62" s="100">
        <v>0</v>
      </c>
    </row>
    <row r="63" spans="2:57" ht="15" customHeight="1" x14ac:dyDescent="0.25">
      <c r="B63" s="91">
        <v>53</v>
      </c>
      <c r="C63" s="92" t="s">
        <v>504</v>
      </c>
      <c r="D63" s="92" t="s">
        <v>27</v>
      </c>
      <c r="E63" s="92" t="s">
        <v>117</v>
      </c>
      <c r="F63" s="92" t="s">
        <v>121</v>
      </c>
      <c r="G63" s="101" t="s">
        <v>501</v>
      </c>
      <c r="H63" s="94">
        <v>897</v>
      </c>
      <c r="I63" s="94">
        <v>516</v>
      </c>
      <c r="J63" s="94">
        <v>381</v>
      </c>
      <c r="K63" s="94">
        <v>67</v>
      </c>
      <c r="L63" s="94">
        <v>247</v>
      </c>
      <c r="M63" s="94">
        <v>476</v>
      </c>
      <c r="N63" s="94">
        <v>107</v>
      </c>
      <c r="O63" s="94">
        <v>891</v>
      </c>
      <c r="P63" s="94">
        <v>6</v>
      </c>
      <c r="Q63" s="95">
        <v>1.6806722689075599</v>
      </c>
      <c r="R63" s="95">
        <v>1.2396694214876001</v>
      </c>
      <c r="S63" s="95">
        <v>2.2922636103151901</v>
      </c>
      <c r="T63" s="95">
        <v>3.4482758620689702</v>
      </c>
      <c r="U63" s="95">
        <v>2.1929824561403501</v>
      </c>
      <c r="V63" s="95">
        <v>1.1235955056179801</v>
      </c>
      <c r="W63" s="95">
        <v>1.9607843137254899</v>
      </c>
      <c r="X63" s="95">
        <v>1.69286577992745</v>
      </c>
      <c r="Y63" s="95">
        <v>0</v>
      </c>
      <c r="Z63" s="94">
        <v>0</v>
      </c>
      <c r="AA63" s="94">
        <v>0</v>
      </c>
      <c r="AB63" s="94">
        <v>0</v>
      </c>
      <c r="AC63" s="94">
        <v>0</v>
      </c>
      <c r="AD63" s="94">
        <v>0</v>
      </c>
      <c r="AE63" s="94">
        <v>0</v>
      </c>
      <c r="AF63" s="94">
        <v>0</v>
      </c>
      <c r="AG63" s="94">
        <v>0</v>
      </c>
      <c r="AH63" s="94">
        <v>0</v>
      </c>
      <c r="AI63" s="94">
        <v>0</v>
      </c>
      <c r="AJ63" s="94">
        <v>0</v>
      </c>
      <c r="AK63" s="94">
        <v>0</v>
      </c>
      <c r="AL63" s="94">
        <v>0</v>
      </c>
      <c r="AM63" s="94">
        <v>0</v>
      </c>
      <c r="AN63" s="94">
        <v>0</v>
      </c>
      <c r="AO63" s="94">
        <v>0</v>
      </c>
      <c r="AP63" s="95">
        <v>0</v>
      </c>
      <c r="AQ63" s="95">
        <v>0</v>
      </c>
      <c r="AR63" s="95">
        <v>0</v>
      </c>
      <c r="AS63" s="95">
        <v>0</v>
      </c>
      <c r="AT63" s="95">
        <v>0</v>
      </c>
      <c r="AU63" s="95">
        <v>0</v>
      </c>
      <c r="AV63" s="95">
        <v>0</v>
      </c>
      <c r="AW63" s="95">
        <v>0</v>
      </c>
      <c r="AX63" s="95">
        <v>0</v>
      </c>
      <c r="AY63" s="95">
        <v>0</v>
      </c>
      <c r="AZ63" s="95">
        <v>0</v>
      </c>
      <c r="BA63" s="95">
        <v>0</v>
      </c>
      <c r="BB63" s="95">
        <v>0</v>
      </c>
      <c r="BC63" s="95">
        <v>0</v>
      </c>
      <c r="BD63" s="95">
        <v>0</v>
      </c>
      <c r="BE63" s="95">
        <v>0</v>
      </c>
    </row>
    <row r="64" spans="2:57" ht="15" customHeight="1" x14ac:dyDescent="0.25">
      <c r="B64" s="91">
        <v>54</v>
      </c>
      <c r="C64" s="92" t="s">
        <v>504</v>
      </c>
      <c r="D64" s="92" t="s">
        <v>27</v>
      </c>
      <c r="E64" s="92" t="s">
        <v>117</v>
      </c>
      <c r="F64" s="92" t="s">
        <v>121</v>
      </c>
      <c r="G64" s="101" t="s">
        <v>502</v>
      </c>
      <c r="H64" s="94">
        <v>1972</v>
      </c>
      <c r="I64" s="94">
        <v>1483</v>
      </c>
      <c r="J64" s="94">
        <v>489</v>
      </c>
      <c r="K64" s="94">
        <v>145</v>
      </c>
      <c r="L64" s="94">
        <v>483</v>
      </c>
      <c r="M64" s="94">
        <v>971</v>
      </c>
      <c r="N64" s="94">
        <v>373</v>
      </c>
      <c r="O64" s="94">
        <v>1970</v>
      </c>
      <c r="P64" s="94">
        <v>2</v>
      </c>
      <c r="Q64" s="95">
        <v>0</v>
      </c>
      <c r="R64" s="95">
        <v>0</v>
      </c>
      <c r="S64" s="95">
        <v>0</v>
      </c>
      <c r="T64" s="95">
        <v>0</v>
      </c>
      <c r="U64" s="95">
        <v>0</v>
      </c>
      <c r="V64" s="95">
        <v>0</v>
      </c>
      <c r="W64" s="95">
        <v>0</v>
      </c>
      <c r="X64" s="95">
        <v>0</v>
      </c>
      <c r="Y64" s="95">
        <v>0</v>
      </c>
      <c r="Z64" s="94">
        <v>3949</v>
      </c>
      <c r="AA64" s="94">
        <v>2185</v>
      </c>
      <c r="AB64" s="94">
        <v>1764</v>
      </c>
      <c r="AC64" s="94">
        <v>278</v>
      </c>
      <c r="AD64" s="94">
        <v>1033</v>
      </c>
      <c r="AE64" s="94">
        <v>1869</v>
      </c>
      <c r="AF64" s="94">
        <v>769</v>
      </c>
      <c r="AG64" s="94">
        <v>3340</v>
      </c>
      <c r="AH64" s="94">
        <v>496</v>
      </c>
      <c r="AI64" s="94">
        <v>113</v>
      </c>
      <c r="AJ64" s="94">
        <v>3936</v>
      </c>
      <c r="AK64" s="94">
        <v>2</v>
      </c>
      <c r="AL64" s="94">
        <v>11</v>
      </c>
      <c r="AM64" s="94">
        <v>395</v>
      </c>
      <c r="AN64" s="94">
        <v>3514</v>
      </c>
      <c r="AO64" s="94">
        <v>40</v>
      </c>
      <c r="AP64" s="95">
        <v>2.0468623754376498</v>
      </c>
      <c r="AQ64" s="95">
        <v>0.33191085822664801</v>
      </c>
      <c r="AR64" s="95">
        <v>4.30174563591022</v>
      </c>
      <c r="AS64" s="95">
        <v>2.64150943396226</v>
      </c>
      <c r="AT64" s="95">
        <v>2.9567053854276701</v>
      </c>
      <c r="AU64" s="95">
        <v>1.97628458498024</v>
      </c>
      <c r="AV64" s="95">
        <v>0.82191780821917804</v>
      </c>
      <c r="AW64" s="95">
        <v>1.4580031695721101</v>
      </c>
      <c r="AX64" s="95">
        <v>6.5934065934065904</v>
      </c>
      <c r="AY64" s="95">
        <v>0</v>
      </c>
      <c r="AZ64" s="95">
        <v>2.0534990543096501</v>
      </c>
      <c r="BA64" s="95">
        <v>0</v>
      </c>
      <c r="BB64" s="95">
        <v>0</v>
      </c>
      <c r="BC64" s="95">
        <v>0.78947368421052599</v>
      </c>
      <c r="BD64" s="95">
        <v>2.2154779969651002</v>
      </c>
      <c r="BE64" s="95">
        <v>0</v>
      </c>
    </row>
    <row r="65" spans="2:57" ht="15" customHeight="1" x14ac:dyDescent="0.25">
      <c r="B65" s="96">
        <v>55</v>
      </c>
      <c r="C65" s="97" t="s">
        <v>504</v>
      </c>
      <c r="D65" s="97" t="s">
        <v>27</v>
      </c>
      <c r="E65" s="97" t="s">
        <v>117</v>
      </c>
      <c r="F65" s="97" t="s">
        <v>454</v>
      </c>
      <c r="G65" s="98" t="s">
        <v>454</v>
      </c>
      <c r="H65" s="99">
        <v>2169</v>
      </c>
      <c r="I65" s="99">
        <v>1354</v>
      </c>
      <c r="J65" s="99">
        <v>815</v>
      </c>
      <c r="K65" s="99">
        <v>116</v>
      </c>
      <c r="L65" s="99">
        <v>638</v>
      </c>
      <c r="M65" s="99">
        <v>1124</v>
      </c>
      <c r="N65" s="99">
        <v>291</v>
      </c>
      <c r="O65" s="99">
        <v>2165</v>
      </c>
      <c r="P65" s="99">
        <v>4</v>
      </c>
      <c r="Q65" s="100">
        <v>0.9</v>
      </c>
      <c r="R65" s="100">
        <v>0.23273855702094601</v>
      </c>
      <c r="S65" s="100">
        <v>2.1097046413502101</v>
      </c>
      <c r="T65" s="100">
        <v>2.8571428571428599</v>
      </c>
      <c r="U65" s="100">
        <v>1.0434782608695701</v>
      </c>
      <c r="V65" s="100">
        <v>0.76190476190476197</v>
      </c>
      <c r="W65" s="100">
        <v>0.37037037037037002</v>
      </c>
      <c r="X65" s="100">
        <v>0.90090090090090102</v>
      </c>
      <c r="Y65" s="100">
        <v>0</v>
      </c>
      <c r="Z65" s="99">
        <v>2036</v>
      </c>
      <c r="AA65" s="99">
        <v>1146</v>
      </c>
      <c r="AB65" s="99">
        <v>890</v>
      </c>
      <c r="AC65" s="99">
        <v>74</v>
      </c>
      <c r="AD65" s="99">
        <v>475</v>
      </c>
      <c r="AE65" s="99">
        <v>1094</v>
      </c>
      <c r="AF65" s="99">
        <v>393</v>
      </c>
      <c r="AG65" s="99">
        <v>762</v>
      </c>
      <c r="AH65" s="99">
        <v>1213</v>
      </c>
      <c r="AI65" s="99">
        <v>61</v>
      </c>
      <c r="AJ65" s="99">
        <v>2029</v>
      </c>
      <c r="AK65" s="99">
        <v>3</v>
      </c>
      <c r="AL65" s="99">
        <v>4</v>
      </c>
      <c r="AM65" s="99">
        <v>235</v>
      </c>
      <c r="AN65" s="99">
        <v>1780</v>
      </c>
      <c r="AO65" s="99">
        <v>21</v>
      </c>
      <c r="AP65" s="100">
        <v>2.4517475221700602</v>
      </c>
      <c r="AQ65" s="100">
        <v>0.54894784995425405</v>
      </c>
      <c r="AR65" s="100">
        <v>4.9757281553398096</v>
      </c>
      <c r="AS65" s="100">
        <v>2.7397260273972601</v>
      </c>
      <c r="AT65" s="100">
        <v>3.2258064516128999</v>
      </c>
      <c r="AU65" s="100">
        <v>2.42718446601942</v>
      </c>
      <c r="AV65" s="100">
        <v>1.57894736842105</v>
      </c>
      <c r="AW65" s="100">
        <v>2.6243093922651899</v>
      </c>
      <c r="AX65" s="100">
        <v>2.4691358024691401</v>
      </c>
      <c r="AY65" s="100">
        <v>0</v>
      </c>
      <c r="AZ65" s="100">
        <v>2.4607329842931902</v>
      </c>
      <c r="BA65" s="100">
        <v>0</v>
      </c>
      <c r="BB65" s="100">
        <v>0</v>
      </c>
      <c r="BC65" s="100">
        <v>1.31578947368421</v>
      </c>
      <c r="BD65" s="100">
        <v>2.5748502994011999</v>
      </c>
      <c r="BE65" s="100">
        <v>5.2631578947368398</v>
      </c>
    </row>
    <row r="66" spans="2:57" ht="15" customHeight="1" x14ac:dyDescent="0.25">
      <c r="B66" s="91">
        <v>56</v>
      </c>
      <c r="C66" s="92" t="s">
        <v>504</v>
      </c>
      <c r="D66" s="92" t="s">
        <v>27</v>
      </c>
      <c r="E66" s="92" t="s">
        <v>117</v>
      </c>
      <c r="F66" s="92" t="s">
        <v>454</v>
      </c>
      <c r="G66" s="101" t="s">
        <v>501</v>
      </c>
      <c r="H66" s="94">
        <v>0</v>
      </c>
      <c r="I66" s="94">
        <v>0</v>
      </c>
      <c r="J66" s="94">
        <v>0</v>
      </c>
      <c r="K66" s="94">
        <v>0</v>
      </c>
      <c r="L66" s="94">
        <v>0</v>
      </c>
      <c r="M66" s="94">
        <v>0</v>
      </c>
      <c r="N66" s="94">
        <v>0</v>
      </c>
      <c r="O66" s="94">
        <v>0</v>
      </c>
      <c r="P66" s="94">
        <v>0</v>
      </c>
      <c r="Q66" s="95">
        <v>0</v>
      </c>
      <c r="R66" s="95">
        <v>0</v>
      </c>
      <c r="S66" s="95">
        <v>0</v>
      </c>
      <c r="T66" s="95">
        <v>0</v>
      </c>
      <c r="U66" s="95">
        <v>0</v>
      </c>
      <c r="V66" s="95">
        <v>0</v>
      </c>
      <c r="W66" s="95">
        <v>0</v>
      </c>
      <c r="X66" s="95">
        <v>0</v>
      </c>
      <c r="Y66" s="95">
        <v>0</v>
      </c>
      <c r="Z66" s="94">
        <v>0</v>
      </c>
      <c r="AA66" s="94">
        <v>0</v>
      </c>
      <c r="AB66" s="94">
        <v>0</v>
      </c>
      <c r="AC66" s="94">
        <v>0</v>
      </c>
      <c r="AD66" s="94">
        <v>0</v>
      </c>
      <c r="AE66" s="94">
        <v>0</v>
      </c>
      <c r="AF66" s="94">
        <v>0</v>
      </c>
      <c r="AG66" s="94">
        <v>0</v>
      </c>
      <c r="AH66" s="94">
        <v>0</v>
      </c>
      <c r="AI66" s="94">
        <v>0</v>
      </c>
      <c r="AJ66" s="94">
        <v>0</v>
      </c>
      <c r="AK66" s="94">
        <v>0</v>
      </c>
      <c r="AL66" s="94">
        <v>0</v>
      </c>
      <c r="AM66" s="94">
        <v>0</v>
      </c>
      <c r="AN66" s="94">
        <v>0</v>
      </c>
      <c r="AO66" s="94">
        <v>0</v>
      </c>
      <c r="AP66" s="95">
        <v>0</v>
      </c>
      <c r="AQ66" s="95">
        <v>0</v>
      </c>
      <c r="AR66" s="95">
        <v>0</v>
      </c>
      <c r="AS66" s="95">
        <v>0</v>
      </c>
      <c r="AT66" s="95">
        <v>0</v>
      </c>
      <c r="AU66" s="95">
        <v>0</v>
      </c>
      <c r="AV66" s="95">
        <v>0</v>
      </c>
      <c r="AW66" s="95">
        <v>0</v>
      </c>
      <c r="AX66" s="95">
        <v>0</v>
      </c>
      <c r="AY66" s="95">
        <v>0</v>
      </c>
      <c r="AZ66" s="95">
        <v>0</v>
      </c>
      <c r="BA66" s="95">
        <v>0</v>
      </c>
      <c r="BB66" s="95">
        <v>0</v>
      </c>
      <c r="BC66" s="95">
        <v>0</v>
      </c>
      <c r="BD66" s="95">
        <v>0</v>
      </c>
      <c r="BE66" s="95">
        <v>0</v>
      </c>
    </row>
    <row r="67" spans="2:57" ht="15" customHeight="1" x14ac:dyDescent="0.25">
      <c r="B67" s="91">
        <v>57</v>
      </c>
      <c r="C67" s="92" t="s">
        <v>504</v>
      </c>
      <c r="D67" s="92" t="s">
        <v>27</v>
      </c>
      <c r="E67" s="92" t="s">
        <v>117</v>
      </c>
      <c r="F67" s="92" t="s">
        <v>454</v>
      </c>
      <c r="G67" s="101" t="s">
        <v>502</v>
      </c>
      <c r="H67" s="94">
        <v>2169</v>
      </c>
      <c r="I67" s="94">
        <v>1354</v>
      </c>
      <c r="J67" s="94">
        <v>815</v>
      </c>
      <c r="K67" s="94">
        <v>116</v>
      </c>
      <c r="L67" s="94">
        <v>638</v>
      </c>
      <c r="M67" s="94">
        <v>1124</v>
      </c>
      <c r="N67" s="94">
        <v>291</v>
      </c>
      <c r="O67" s="94">
        <v>2165</v>
      </c>
      <c r="P67" s="94">
        <v>4</v>
      </c>
      <c r="Q67" s="95">
        <v>0.9</v>
      </c>
      <c r="R67" s="95">
        <v>0.23273855702094601</v>
      </c>
      <c r="S67" s="95">
        <v>2.1097046413502101</v>
      </c>
      <c r="T67" s="95">
        <v>2.8571428571428599</v>
      </c>
      <c r="U67" s="95">
        <v>1.0434782608695701</v>
      </c>
      <c r="V67" s="95">
        <v>0.76190476190476197</v>
      </c>
      <c r="W67" s="95">
        <v>0.37037037037037002</v>
      </c>
      <c r="X67" s="95">
        <v>0.90090090090090102</v>
      </c>
      <c r="Y67" s="95">
        <v>0</v>
      </c>
      <c r="Z67" s="94">
        <v>2036</v>
      </c>
      <c r="AA67" s="94">
        <v>1146</v>
      </c>
      <c r="AB67" s="94">
        <v>890</v>
      </c>
      <c r="AC67" s="94">
        <v>74</v>
      </c>
      <c r="AD67" s="94">
        <v>475</v>
      </c>
      <c r="AE67" s="94">
        <v>1094</v>
      </c>
      <c r="AF67" s="94">
        <v>393</v>
      </c>
      <c r="AG67" s="94">
        <v>762</v>
      </c>
      <c r="AH67" s="94">
        <v>1213</v>
      </c>
      <c r="AI67" s="94">
        <v>61</v>
      </c>
      <c r="AJ67" s="94">
        <v>2029</v>
      </c>
      <c r="AK67" s="94">
        <v>3</v>
      </c>
      <c r="AL67" s="94">
        <v>4</v>
      </c>
      <c r="AM67" s="94">
        <v>235</v>
      </c>
      <c r="AN67" s="94">
        <v>1780</v>
      </c>
      <c r="AO67" s="94">
        <v>21</v>
      </c>
      <c r="AP67" s="95">
        <v>2.4517475221700602</v>
      </c>
      <c r="AQ67" s="95">
        <v>0.54894784995425405</v>
      </c>
      <c r="AR67" s="95">
        <v>4.9757281553398096</v>
      </c>
      <c r="AS67" s="95">
        <v>2.7397260273972601</v>
      </c>
      <c r="AT67" s="95">
        <v>3.2258064516128999</v>
      </c>
      <c r="AU67" s="95">
        <v>2.42718446601942</v>
      </c>
      <c r="AV67" s="95">
        <v>1.57894736842105</v>
      </c>
      <c r="AW67" s="95">
        <v>2.6243093922651899</v>
      </c>
      <c r="AX67" s="95">
        <v>2.4691358024691401</v>
      </c>
      <c r="AY67" s="95">
        <v>0</v>
      </c>
      <c r="AZ67" s="95">
        <v>2.4607329842931902</v>
      </c>
      <c r="BA67" s="95">
        <v>0</v>
      </c>
      <c r="BB67" s="95">
        <v>0</v>
      </c>
      <c r="BC67" s="95">
        <v>1.31578947368421</v>
      </c>
      <c r="BD67" s="95">
        <v>2.5748502994011999</v>
      </c>
      <c r="BE67" s="95">
        <v>5.2631578947368398</v>
      </c>
    </row>
    <row r="68" spans="2:57" ht="15" customHeight="1" x14ac:dyDescent="0.25">
      <c r="B68" s="96">
        <v>58</v>
      </c>
      <c r="C68" s="97" t="s">
        <v>504</v>
      </c>
      <c r="D68" s="97" t="s">
        <v>27</v>
      </c>
      <c r="E68" s="97" t="s">
        <v>117</v>
      </c>
      <c r="F68" s="97" t="s">
        <v>126</v>
      </c>
      <c r="G68" s="98" t="s">
        <v>126</v>
      </c>
      <c r="H68" s="99">
        <v>2077</v>
      </c>
      <c r="I68" s="99">
        <v>1297</v>
      </c>
      <c r="J68" s="99">
        <v>780</v>
      </c>
      <c r="K68" s="99">
        <v>135</v>
      </c>
      <c r="L68" s="99">
        <v>500</v>
      </c>
      <c r="M68" s="99">
        <v>1135</v>
      </c>
      <c r="N68" s="99">
        <v>307</v>
      </c>
      <c r="O68" s="99">
        <v>2075</v>
      </c>
      <c r="P68" s="99">
        <v>2</v>
      </c>
      <c r="Q68" s="100">
        <v>0.60240963855421703</v>
      </c>
      <c r="R68" s="100">
        <v>0.240963855421687</v>
      </c>
      <c r="S68" s="100">
        <v>1.2048192771084301</v>
      </c>
      <c r="T68" s="100">
        <v>1.6260162601626</v>
      </c>
      <c r="U68" s="100">
        <v>0.42283298097251598</v>
      </c>
      <c r="V68" s="100">
        <v>0.63752276867030999</v>
      </c>
      <c r="W68" s="100">
        <v>0.33557046979865801</v>
      </c>
      <c r="X68" s="100">
        <v>0.60301507537688404</v>
      </c>
      <c r="Y68" s="100">
        <v>0</v>
      </c>
      <c r="Z68" s="99">
        <v>3050</v>
      </c>
      <c r="AA68" s="99">
        <v>1745</v>
      </c>
      <c r="AB68" s="99">
        <v>1305</v>
      </c>
      <c r="AC68" s="99">
        <v>129</v>
      </c>
      <c r="AD68" s="99">
        <v>818</v>
      </c>
      <c r="AE68" s="99">
        <v>1655</v>
      </c>
      <c r="AF68" s="99">
        <v>448</v>
      </c>
      <c r="AG68" s="99">
        <v>1447</v>
      </c>
      <c r="AH68" s="99">
        <v>1559</v>
      </c>
      <c r="AI68" s="99">
        <v>44</v>
      </c>
      <c r="AJ68" s="99">
        <v>3034</v>
      </c>
      <c r="AK68" s="99">
        <v>8</v>
      </c>
      <c r="AL68" s="99">
        <v>8</v>
      </c>
      <c r="AM68" s="99">
        <v>247</v>
      </c>
      <c r="AN68" s="99">
        <v>2777</v>
      </c>
      <c r="AO68" s="99">
        <v>26</v>
      </c>
      <c r="AP68" s="100">
        <v>1.7329255861366</v>
      </c>
      <c r="AQ68" s="100">
        <v>0.76201641266119602</v>
      </c>
      <c r="AR68" s="100">
        <v>3.0719482619240099</v>
      </c>
      <c r="AS68" s="100">
        <v>0.78740157480314998</v>
      </c>
      <c r="AT68" s="100">
        <v>2.6992287917737801</v>
      </c>
      <c r="AU68" s="100">
        <v>1.61993769470405</v>
      </c>
      <c r="AV68" s="100">
        <v>0.69284064665126999</v>
      </c>
      <c r="AW68" s="100">
        <v>1.14695340501792</v>
      </c>
      <c r="AX68" s="100">
        <v>2.32558139534884</v>
      </c>
      <c r="AY68" s="100">
        <v>0</v>
      </c>
      <c r="AZ68" s="100">
        <v>1.70648464163823</v>
      </c>
      <c r="BA68" s="100">
        <v>20</v>
      </c>
      <c r="BB68" s="100">
        <v>0</v>
      </c>
      <c r="BC68" s="100">
        <v>0.81967213114754101</v>
      </c>
      <c r="BD68" s="100">
        <v>1.8331462775907199</v>
      </c>
      <c r="BE68" s="100">
        <v>0</v>
      </c>
    </row>
    <row r="69" spans="2:57" ht="15" customHeight="1" x14ac:dyDescent="0.25">
      <c r="B69" s="91">
        <v>59</v>
      </c>
      <c r="C69" s="92" t="s">
        <v>504</v>
      </c>
      <c r="D69" s="92" t="s">
        <v>27</v>
      </c>
      <c r="E69" s="92" t="s">
        <v>117</v>
      </c>
      <c r="F69" s="92" t="s">
        <v>126</v>
      </c>
      <c r="G69" s="101" t="s">
        <v>501</v>
      </c>
      <c r="H69" s="94">
        <v>0</v>
      </c>
      <c r="I69" s="94">
        <v>0</v>
      </c>
      <c r="J69" s="94">
        <v>0</v>
      </c>
      <c r="K69" s="94">
        <v>0</v>
      </c>
      <c r="L69" s="94">
        <v>0</v>
      </c>
      <c r="M69" s="94">
        <v>0</v>
      </c>
      <c r="N69" s="94">
        <v>0</v>
      </c>
      <c r="O69" s="94">
        <v>0</v>
      </c>
      <c r="P69" s="94">
        <v>0</v>
      </c>
      <c r="Q69" s="95">
        <v>0</v>
      </c>
      <c r="R69" s="95">
        <v>0</v>
      </c>
      <c r="S69" s="95">
        <v>0</v>
      </c>
      <c r="T69" s="95">
        <v>0</v>
      </c>
      <c r="U69" s="95">
        <v>0</v>
      </c>
      <c r="V69" s="95">
        <v>0</v>
      </c>
      <c r="W69" s="95">
        <v>0</v>
      </c>
      <c r="X69" s="95">
        <v>0</v>
      </c>
      <c r="Y69" s="95">
        <v>0</v>
      </c>
      <c r="Z69" s="94">
        <v>0</v>
      </c>
      <c r="AA69" s="94">
        <v>0</v>
      </c>
      <c r="AB69" s="94">
        <v>0</v>
      </c>
      <c r="AC69" s="94">
        <v>0</v>
      </c>
      <c r="AD69" s="94">
        <v>0</v>
      </c>
      <c r="AE69" s="94">
        <v>0</v>
      </c>
      <c r="AF69" s="94">
        <v>0</v>
      </c>
      <c r="AG69" s="94">
        <v>0</v>
      </c>
      <c r="AH69" s="94">
        <v>0</v>
      </c>
      <c r="AI69" s="94">
        <v>0</v>
      </c>
      <c r="AJ69" s="94">
        <v>0</v>
      </c>
      <c r="AK69" s="94">
        <v>0</v>
      </c>
      <c r="AL69" s="94">
        <v>0</v>
      </c>
      <c r="AM69" s="94">
        <v>0</v>
      </c>
      <c r="AN69" s="94">
        <v>0</v>
      </c>
      <c r="AO69" s="94">
        <v>0</v>
      </c>
      <c r="AP69" s="95">
        <v>0</v>
      </c>
      <c r="AQ69" s="95">
        <v>0</v>
      </c>
      <c r="AR69" s="95">
        <v>0</v>
      </c>
      <c r="AS69" s="95">
        <v>0</v>
      </c>
      <c r="AT69" s="95">
        <v>0</v>
      </c>
      <c r="AU69" s="95">
        <v>0</v>
      </c>
      <c r="AV69" s="95">
        <v>0</v>
      </c>
      <c r="AW69" s="95">
        <v>0</v>
      </c>
      <c r="AX69" s="95">
        <v>0</v>
      </c>
      <c r="AY69" s="95">
        <v>0</v>
      </c>
      <c r="AZ69" s="95">
        <v>0</v>
      </c>
      <c r="BA69" s="95">
        <v>0</v>
      </c>
      <c r="BB69" s="95">
        <v>0</v>
      </c>
      <c r="BC69" s="95">
        <v>0</v>
      </c>
      <c r="BD69" s="95">
        <v>0</v>
      </c>
      <c r="BE69" s="95">
        <v>0</v>
      </c>
    </row>
    <row r="70" spans="2:57" ht="15" customHeight="1" x14ac:dyDescent="0.25">
      <c r="B70" s="91">
        <v>60</v>
      </c>
      <c r="C70" s="92" t="s">
        <v>504</v>
      </c>
      <c r="D70" s="92" t="s">
        <v>27</v>
      </c>
      <c r="E70" s="92" t="s">
        <v>117</v>
      </c>
      <c r="F70" s="92" t="s">
        <v>126</v>
      </c>
      <c r="G70" s="101" t="s">
        <v>502</v>
      </c>
      <c r="H70" s="94">
        <v>2077</v>
      </c>
      <c r="I70" s="94">
        <v>1297</v>
      </c>
      <c r="J70" s="94">
        <v>780</v>
      </c>
      <c r="K70" s="94">
        <v>135</v>
      </c>
      <c r="L70" s="94">
        <v>500</v>
      </c>
      <c r="M70" s="94">
        <v>1135</v>
      </c>
      <c r="N70" s="94">
        <v>307</v>
      </c>
      <c r="O70" s="94">
        <v>2075</v>
      </c>
      <c r="P70" s="94">
        <v>2</v>
      </c>
      <c r="Q70" s="95">
        <v>0.60240963855421703</v>
      </c>
      <c r="R70" s="95">
        <v>0.240963855421687</v>
      </c>
      <c r="S70" s="95">
        <v>1.2048192771084301</v>
      </c>
      <c r="T70" s="95">
        <v>1.6260162601626</v>
      </c>
      <c r="U70" s="95">
        <v>0.42283298097251598</v>
      </c>
      <c r="V70" s="95">
        <v>0.63752276867030999</v>
      </c>
      <c r="W70" s="95">
        <v>0.33557046979865801</v>
      </c>
      <c r="X70" s="95">
        <v>0.60301507537688404</v>
      </c>
      <c r="Y70" s="95">
        <v>0</v>
      </c>
      <c r="Z70" s="94">
        <v>3050</v>
      </c>
      <c r="AA70" s="94">
        <v>1745</v>
      </c>
      <c r="AB70" s="94">
        <v>1305</v>
      </c>
      <c r="AC70" s="94">
        <v>129</v>
      </c>
      <c r="AD70" s="94">
        <v>818</v>
      </c>
      <c r="AE70" s="94">
        <v>1655</v>
      </c>
      <c r="AF70" s="94">
        <v>448</v>
      </c>
      <c r="AG70" s="94">
        <v>1447</v>
      </c>
      <c r="AH70" s="94">
        <v>1559</v>
      </c>
      <c r="AI70" s="94">
        <v>44</v>
      </c>
      <c r="AJ70" s="94">
        <v>3034</v>
      </c>
      <c r="AK70" s="94">
        <v>8</v>
      </c>
      <c r="AL70" s="94">
        <v>8</v>
      </c>
      <c r="AM70" s="94">
        <v>247</v>
      </c>
      <c r="AN70" s="94">
        <v>2777</v>
      </c>
      <c r="AO70" s="94">
        <v>26</v>
      </c>
      <c r="AP70" s="95">
        <v>1.7329255861366</v>
      </c>
      <c r="AQ70" s="95">
        <v>0.76201641266119602</v>
      </c>
      <c r="AR70" s="95">
        <v>3.0719482619240099</v>
      </c>
      <c r="AS70" s="95">
        <v>0.78740157480314998</v>
      </c>
      <c r="AT70" s="95">
        <v>2.6992287917737801</v>
      </c>
      <c r="AU70" s="95">
        <v>1.61993769470405</v>
      </c>
      <c r="AV70" s="95">
        <v>0.69284064665126999</v>
      </c>
      <c r="AW70" s="95">
        <v>1.14695340501792</v>
      </c>
      <c r="AX70" s="95">
        <v>2.32558139534884</v>
      </c>
      <c r="AY70" s="95">
        <v>0</v>
      </c>
      <c r="AZ70" s="95">
        <v>1.70648464163823</v>
      </c>
      <c r="BA70" s="95">
        <v>20</v>
      </c>
      <c r="BB70" s="95">
        <v>0</v>
      </c>
      <c r="BC70" s="95">
        <v>0.81967213114754101</v>
      </c>
      <c r="BD70" s="95">
        <v>1.8331462775907199</v>
      </c>
      <c r="BE70" s="95">
        <v>0</v>
      </c>
    </row>
    <row r="71" spans="2:57" ht="15" customHeight="1" x14ac:dyDescent="0.25">
      <c r="B71" s="86">
        <v>61</v>
      </c>
      <c r="C71" s="87" t="s">
        <v>503</v>
      </c>
      <c r="D71" s="87" t="s">
        <v>27</v>
      </c>
      <c r="E71" s="87" t="s">
        <v>343</v>
      </c>
      <c r="F71" s="87"/>
      <c r="G71" s="88" t="s">
        <v>343</v>
      </c>
      <c r="H71" s="89">
        <v>14515</v>
      </c>
      <c r="I71" s="89">
        <v>9309</v>
      </c>
      <c r="J71" s="89">
        <v>5206</v>
      </c>
      <c r="K71" s="89">
        <v>1014</v>
      </c>
      <c r="L71" s="89">
        <v>3577</v>
      </c>
      <c r="M71" s="89">
        <v>7833</v>
      </c>
      <c r="N71" s="89">
        <v>2091</v>
      </c>
      <c r="O71" s="89">
        <v>14482</v>
      </c>
      <c r="P71" s="89">
        <v>33</v>
      </c>
      <c r="Q71" s="90">
        <v>1.1330194231901101</v>
      </c>
      <c r="R71" s="90">
        <v>0.54323223177908597</v>
      </c>
      <c r="S71" s="90">
        <v>2.2287636669470099</v>
      </c>
      <c r="T71" s="90">
        <v>1.8538713195201699</v>
      </c>
      <c r="U71" s="90">
        <v>1.67664670658683</v>
      </c>
      <c r="V71" s="90">
        <v>0.93597395550732498</v>
      </c>
      <c r="W71" s="90">
        <v>0.61130922058074399</v>
      </c>
      <c r="X71" s="90">
        <v>1.1356932153392301</v>
      </c>
      <c r="Y71" s="90">
        <v>0</v>
      </c>
      <c r="Z71" s="89">
        <v>16876</v>
      </c>
      <c r="AA71" s="89">
        <v>9770</v>
      </c>
      <c r="AB71" s="89">
        <v>7106</v>
      </c>
      <c r="AC71" s="89">
        <v>668</v>
      </c>
      <c r="AD71" s="89">
        <v>3787</v>
      </c>
      <c r="AE71" s="89">
        <v>9422</v>
      </c>
      <c r="AF71" s="89">
        <v>2999</v>
      </c>
      <c r="AG71" s="89">
        <v>4556</v>
      </c>
      <c r="AH71" s="89">
        <v>12020</v>
      </c>
      <c r="AI71" s="89">
        <v>300</v>
      </c>
      <c r="AJ71" s="89">
        <v>16744</v>
      </c>
      <c r="AK71" s="89">
        <v>56</v>
      </c>
      <c r="AL71" s="89">
        <v>76</v>
      </c>
      <c r="AM71" s="89">
        <v>1760</v>
      </c>
      <c r="AN71" s="89">
        <v>14799</v>
      </c>
      <c r="AO71" s="89">
        <v>317</v>
      </c>
      <c r="AP71" s="90">
        <v>2.6895475819032799</v>
      </c>
      <c r="AQ71" s="90">
        <v>0.98883572567783096</v>
      </c>
      <c r="AR71" s="90">
        <v>5.1057401812688799</v>
      </c>
      <c r="AS71" s="90">
        <v>6.6450567260940003</v>
      </c>
      <c r="AT71" s="90">
        <v>4.3368065333708801</v>
      </c>
      <c r="AU71" s="90">
        <v>2.3105257283178902</v>
      </c>
      <c r="AV71" s="90">
        <v>1.0006901311249099</v>
      </c>
      <c r="AW71" s="90">
        <v>2.10912425492893</v>
      </c>
      <c r="AX71" s="90">
        <v>2.96341892367218</v>
      </c>
      <c r="AY71" s="90">
        <v>0.68728522336769804</v>
      </c>
      <c r="AZ71" s="90">
        <v>2.6918238993710699</v>
      </c>
      <c r="BA71" s="90">
        <v>5.5555555555555598</v>
      </c>
      <c r="BB71" s="90">
        <v>0</v>
      </c>
      <c r="BC71" s="90">
        <v>2.1077283372365301</v>
      </c>
      <c r="BD71" s="90">
        <v>2.7978017272143298</v>
      </c>
      <c r="BE71" s="90">
        <v>0.98039215686274495</v>
      </c>
    </row>
    <row r="72" spans="2:57" ht="15" customHeight="1" x14ac:dyDescent="0.25">
      <c r="B72" s="91">
        <v>62</v>
      </c>
      <c r="C72" s="92" t="s">
        <v>503</v>
      </c>
      <c r="D72" s="92" t="s">
        <v>27</v>
      </c>
      <c r="E72" s="92" t="s">
        <v>343</v>
      </c>
      <c r="F72" s="92"/>
      <c r="G72" s="93" t="s">
        <v>501</v>
      </c>
      <c r="H72" s="94">
        <v>5075</v>
      </c>
      <c r="I72" s="94">
        <v>2941</v>
      </c>
      <c r="J72" s="94">
        <v>2134</v>
      </c>
      <c r="K72" s="94">
        <v>376</v>
      </c>
      <c r="L72" s="94">
        <v>1402</v>
      </c>
      <c r="M72" s="94">
        <v>2798</v>
      </c>
      <c r="N72" s="94">
        <v>499</v>
      </c>
      <c r="O72" s="94">
        <v>5053</v>
      </c>
      <c r="P72" s="94">
        <v>22</v>
      </c>
      <c r="Q72" s="95">
        <v>2.2133220910623899</v>
      </c>
      <c r="R72" s="95">
        <v>1.1965192168237899</v>
      </c>
      <c r="S72" s="95">
        <v>3.62537764350453</v>
      </c>
      <c r="T72" s="95">
        <v>3.4883720930232598</v>
      </c>
      <c r="U72" s="95">
        <v>2.8201219512195101</v>
      </c>
      <c r="V72" s="95">
        <v>1.79526355996944</v>
      </c>
      <c r="W72" s="95">
        <v>1.91489361702128</v>
      </c>
      <c r="X72" s="95">
        <v>2.2231632437010398</v>
      </c>
      <c r="Y72" s="95">
        <v>0</v>
      </c>
      <c r="Z72" s="94">
        <v>6696</v>
      </c>
      <c r="AA72" s="94">
        <v>3629</v>
      </c>
      <c r="AB72" s="94">
        <v>3067</v>
      </c>
      <c r="AC72" s="94">
        <v>286</v>
      </c>
      <c r="AD72" s="94">
        <v>1774</v>
      </c>
      <c r="AE72" s="94">
        <v>3869</v>
      </c>
      <c r="AF72" s="94">
        <v>767</v>
      </c>
      <c r="AG72" s="94">
        <v>1217</v>
      </c>
      <c r="AH72" s="94">
        <v>5382</v>
      </c>
      <c r="AI72" s="94">
        <v>97</v>
      </c>
      <c r="AJ72" s="94">
        <v>6639</v>
      </c>
      <c r="AK72" s="94">
        <v>33</v>
      </c>
      <c r="AL72" s="94">
        <v>24</v>
      </c>
      <c r="AM72" s="94">
        <v>469</v>
      </c>
      <c r="AN72" s="94">
        <v>6135</v>
      </c>
      <c r="AO72" s="94">
        <v>92</v>
      </c>
      <c r="AP72" s="95">
        <v>5.0144648023143699</v>
      </c>
      <c r="AQ72" s="95">
        <v>2.0005884083554002</v>
      </c>
      <c r="AR72" s="95">
        <v>8.6432872830322296</v>
      </c>
      <c r="AS72" s="95">
        <v>12.692307692307701</v>
      </c>
      <c r="AT72" s="95">
        <v>7.2605247101891397</v>
      </c>
      <c r="AU72" s="95">
        <v>4.0611961057023596</v>
      </c>
      <c r="AV72" s="95">
        <v>1.92307692307692</v>
      </c>
      <c r="AW72" s="95">
        <v>4.8415492957746498</v>
      </c>
      <c r="AX72" s="95">
        <v>5.1040832666132898</v>
      </c>
      <c r="AY72" s="95">
        <v>2.2222222222222201</v>
      </c>
      <c r="AZ72" s="95">
        <v>5.0089155454692804</v>
      </c>
      <c r="BA72" s="95">
        <v>9.375</v>
      </c>
      <c r="BB72" s="95">
        <v>0</v>
      </c>
      <c r="BC72" s="95">
        <v>5.3932584269662902</v>
      </c>
      <c r="BD72" s="95">
        <v>5.0237133321623002</v>
      </c>
      <c r="BE72" s="95">
        <v>2.38095238095238</v>
      </c>
    </row>
    <row r="73" spans="2:57" ht="15" customHeight="1" x14ac:dyDescent="0.25">
      <c r="B73" s="91">
        <v>63</v>
      </c>
      <c r="C73" s="92" t="s">
        <v>503</v>
      </c>
      <c r="D73" s="92" t="s">
        <v>27</v>
      </c>
      <c r="E73" s="92" t="s">
        <v>343</v>
      </c>
      <c r="F73" s="92"/>
      <c r="G73" s="93" t="s">
        <v>502</v>
      </c>
      <c r="H73" s="94">
        <v>9440</v>
      </c>
      <c r="I73" s="94">
        <v>6368</v>
      </c>
      <c r="J73" s="94">
        <v>3072</v>
      </c>
      <c r="K73" s="94">
        <v>638</v>
      </c>
      <c r="L73" s="94">
        <v>2175</v>
      </c>
      <c r="M73" s="94">
        <v>5035</v>
      </c>
      <c r="N73" s="94">
        <v>1592</v>
      </c>
      <c r="O73" s="94">
        <v>9429</v>
      </c>
      <c r="P73" s="94">
        <v>11</v>
      </c>
      <c r="Q73" s="95">
        <v>0.55379746835443</v>
      </c>
      <c r="R73" s="95">
        <v>0.246791707798618</v>
      </c>
      <c r="S73" s="95">
        <v>1.2274368231046899</v>
      </c>
      <c r="T73" s="95">
        <v>0.87260034904014006</v>
      </c>
      <c r="U73" s="95">
        <v>0.93688362919132095</v>
      </c>
      <c r="V73" s="95">
        <v>0.462768195204039</v>
      </c>
      <c r="W73" s="95">
        <v>0.20093770931011401</v>
      </c>
      <c r="X73" s="95">
        <v>0.55448681679302902</v>
      </c>
      <c r="Y73" s="95">
        <v>0</v>
      </c>
      <c r="Z73" s="94">
        <v>10180</v>
      </c>
      <c r="AA73" s="94">
        <v>6141</v>
      </c>
      <c r="AB73" s="94">
        <v>4039</v>
      </c>
      <c r="AC73" s="94">
        <v>382</v>
      </c>
      <c r="AD73" s="94">
        <v>2013</v>
      </c>
      <c r="AE73" s="94">
        <v>5553</v>
      </c>
      <c r="AF73" s="94">
        <v>2232</v>
      </c>
      <c r="AG73" s="94">
        <v>3339</v>
      </c>
      <c r="AH73" s="94">
        <v>6638</v>
      </c>
      <c r="AI73" s="94">
        <v>203</v>
      </c>
      <c r="AJ73" s="94">
        <v>10105</v>
      </c>
      <c r="AK73" s="94">
        <v>23</v>
      </c>
      <c r="AL73" s="94">
        <v>52</v>
      </c>
      <c r="AM73" s="94">
        <v>1291</v>
      </c>
      <c r="AN73" s="94">
        <v>8664</v>
      </c>
      <c r="AO73" s="94">
        <v>225</v>
      </c>
      <c r="AP73" s="95">
        <v>1.21391410792615</v>
      </c>
      <c r="AQ73" s="95">
        <v>0.41625041625041598</v>
      </c>
      <c r="AR73" s="95">
        <v>2.4756386621016602</v>
      </c>
      <c r="AS73" s="95">
        <v>2.2408963585434201</v>
      </c>
      <c r="AT73" s="95">
        <v>1.83054393305439</v>
      </c>
      <c r="AU73" s="95">
        <v>1.1372110365399</v>
      </c>
      <c r="AV73" s="95">
        <v>0.69124423963133597</v>
      </c>
      <c r="AW73" s="95">
        <v>1.14693118412895</v>
      </c>
      <c r="AX73" s="95">
        <v>1.2860727728983701</v>
      </c>
      <c r="AY73" s="95">
        <v>0</v>
      </c>
      <c r="AZ73" s="95">
        <v>1.2228958997019801</v>
      </c>
      <c r="BA73" s="95">
        <v>0</v>
      </c>
      <c r="BB73" s="95">
        <v>0</v>
      </c>
      <c r="BC73" s="95">
        <v>0.95011876484560598</v>
      </c>
      <c r="BD73" s="95">
        <v>1.2743447944217401</v>
      </c>
      <c r="BE73" s="95">
        <v>0.45045045045045001</v>
      </c>
    </row>
    <row r="74" spans="2:57" ht="15" customHeight="1" x14ac:dyDescent="0.25">
      <c r="B74" s="96">
        <v>64</v>
      </c>
      <c r="C74" s="97" t="s">
        <v>504</v>
      </c>
      <c r="D74" s="97" t="s">
        <v>27</v>
      </c>
      <c r="E74" s="97" t="s">
        <v>343</v>
      </c>
      <c r="F74" s="97" t="s">
        <v>129</v>
      </c>
      <c r="G74" s="98" t="s">
        <v>129</v>
      </c>
      <c r="H74" s="99">
        <v>10903</v>
      </c>
      <c r="I74" s="99">
        <v>6905</v>
      </c>
      <c r="J74" s="99">
        <v>3998</v>
      </c>
      <c r="K74" s="99">
        <v>771</v>
      </c>
      <c r="L74" s="99">
        <v>2701</v>
      </c>
      <c r="M74" s="99">
        <v>5881</v>
      </c>
      <c r="N74" s="99">
        <v>1550</v>
      </c>
      <c r="O74" s="99">
        <v>10879</v>
      </c>
      <c r="P74" s="99">
        <v>24</v>
      </c>
      <c r="Q74" s="100">
        <v>1.2426614481409</v>
      </c>
      <c r="R74" s="100">
        <v>0.62423873325213197</v>
      </c>
      <c r="S74" s="100">
        <v>2.3548740416210299</v>
      </c>
      <c r="T74" s="100">
        <v>2.0086083213773298</v>
      </c>
      <c r="U74" s="100">
        <v>1.89873417721519</v>
      </c>
      <c r="V74" s="100">
        <v>0.99331768105472296</v>
      </c>
      <c r="W74" s="100">
        <v>0.68587105624142697</v>
      </c>
      <c r="X74" s="100">
        <v>1.24546435226047</v>
      </c>
      <c r="Y74" s="100">
        <v>0</v>
      </c>
      <c r="Z74" s="99">
        <v>13274</v>
      </c>
      <c r="AA74" s="99">
        <v>7569</v>
      </c>
      <c r="AB74" s="99">
        <v>5705</v>
      </c>
      <c r="AC74" s="99">
        <v>529</v>
      </c>
      <c r="AD74" s="99">
        <v>3066</v>
      </c>
      <c r="AE74" s="99">
        <v>7455</v>
      </c>
      <c r="AF74" s="99">
        <v>2224</v>
      </c>
      <c r="AG74" s="99">
        <v>2711</v>
      </c>
      <c r="AH74" s="99">
        <v>10286</v>
      </c>
      <c r="AI74" s="99">
        <v>277</v>
      </c>
      <c r="AJ74" s="99">
        <v>13176</v>
      </c>
      <c r="AK74" s="99">
        <v>46</v>
      </c>
      <c r="AL74" s="99">
        <v>52</v>
      </c>
      <c r="AM74" s="99">
        <v>1334</v>
      </c>
      <c r="AN74" s="99">
        <v>11690</v>
      </c>
      <c r="AO74" s="99">
        <v>250</v>
      </c>
      <c r="AP74" s="100">
        <v>2.9732961339178998</v>
      </c>
      <c r="AQ74" s="100">
        <v>1.1446697007309301</v>
      </c>
      <c r="AR74" s="100">
        <v>5.4778995088779796</v>
      </c>
      <c r="AS74" s="100">
        <v>8.1799591002044991</v>
      </c>
      <c r="AT74" s="100">
        <v>4.7818499127399701</v>
      </c>
      <c r="AU74" s="100">
        <v>2.4960998439937598</v>
      </c>
      <c r="AV74" s="100">
        <v>0.934579439252336</v>
      </c>
      <c r="AW74" s="100">
        <v>2.7723545490042998</v>
      </c>
      <c r="AX74" s="100">
        <v>3.0876904075751299</v>
      </c>
      <c r="AY74" s="100">
        <v>0.74626865671641796</v>
      </c>
      <c r="AZ74" s="100">
        <v>2.9714102152264701</v>
      </c>
      <c r="BA74" s="100">
        <v>6.8181818181818201</v>
      </c>
      <c r="BB74" s="100">
        <v>0</v>
      </c>
      <c r="BC74" s="100">
        <v>2.2515527950310599</v>
      </c>
      <c r="BD74" s="100">
        <v>3.1045751633986902</v>
      </c>
      <c r="BE74" s="100">
        <v>0.829875518672199</v>
      </c>
    </row>
    <row r="75" spans="2:57" ht="15" customHeight="1" x14ac:dyDescent="0.25">
      <c r="B75" s="91">
        <v>65</v>
      </c>
      <c r="C75" s="92" t="s">
        <v>504</v>
      </c>
      <c r="D75" s="92" t="s">
        <v>27</v>
      </c>
      <c r="E75" s="92" t="s">
        <v>343</v>
      </c>
      <c r="F75" s="92" t="s">
        <v>129</v>
      </c>
      <c r="G75" s="101" t="s">
        <v>501</v>
      </c>
      <c r="H75" s="94">
        <v>5075</v>
      </c>
      <c r="I75" s="94">
        <v>2941</v>
      </c>
      <c r="J75" s="94">
        <v>2134</v>
      </c>
      <c r="K75" s="94">
        <v>376</v>
      </c>
      <c r="L75" s="94">
        <v>1402</v>
      </c>
      <c r="M75" s="94">
        <v>2798</v>
      </c>
      <c r="N75" s="94">
        <v>499</v>
      </c>
      <c r="O75" s="94">
        <v>5053</v>
      </c>
      <c r="P75" s="94">
        <v>22</v>
      </c>
      <c r="Q75" s="95">
        <v>2.2133220910623899</v>
      </c>
      <c r="R75" s="95">
        <v>1.1965192168237899</v>
      </c>
      <c r="S75" s="95">
        <v>3.62537764350453</v>
      </c>
      <c r="T75" s="95">
        <v>3.4883720930232598</v>
      </c>
      <c r="U75" s="95">
        <v>2.8201219512195101</v>
      </c>
      <c r="V75" s="95">
        <v>1.79526355996944</v>
      </c>
      <c r="W75" s="95">
        <v>1.91489361702128</v>
      </c>
      <c r="X75" s="95">
        <v>2.2231632437010398</v>
      </c>
      <c r="Y75" s="95">
        <v>0</v>
      </c>
      <c r="Z75" s="94">
        <v>6696</v>
      </c>
      <c r="AA75" s="94">
        <v>3629</v>
      </c>
      <c r="AB75" s="94">
        <v>3067</v>
      </c>
      <c r="AC75" s="94">
        <v>286</v>
      </c>
      <c r="AD75" s="94">
        <v>1774</v>
      </c>
      <c r="AE75" s="94">
        <v>3869</v>
      </c>
      <c r="AF75" s="94">
        <v>767</v>
      </c>
      <c r="AG75" s="94">
        <v>1217</v>
      </c>
      <c r="AH75" s="94">
        <v>5382</v>
      </c>
      <c r="AI75" s="94">
        <v>97</v>
      </c>
      <c r="AJ75" s="94">
        <v>6639</v>
      </c>
      <c r="AK75" s="94">
        <v>33</v>
      </c>
      <c r="AL75" s="94">
        <v>24</v>
      </c>
      <c r="AM75" s="94">
        <v>469</v>
      </c>
      <c r="AN75" s="94">
        <v>6135</v>
      </c>
      <c r="AO75" s="94">
        <v>92</v>
      </c>
      <c r="AP75" s="95">
        <v>5.0144648023143699</v>
      </c>
      <c r="AQ75" s="95">
        <v>2.0005884083554002</v>
      </c>
      <c r="AR75" s="95">
        <v>8.6432872830322296</v>
      </c>
      <c r="AS75" s="95">
        <v>12.692307692307701</v>
      </c>
      <c r="AT75" s="95">
        <v>7.2605247101891397</v>
      </c>
      <c r="AU75" s="95">
        <v>4.0611961057023596</v>
      </c>
      <c r="AV75" s="95">
        <v>1.92307692307692</v>
      </c>
      <c r="AW75" s="95">
        <v>4.8415492957746498</v>
      </c>
      <c r="AX75" s="95">
        <v>5.1040832666132898</v>
      </c>
      <c r="AY75" s="95">
        <v>2.2222222222222201</v>
      </c>
      <c r="AZ75" s="95">
        <v>5.0089155454692804</v>
      </c>
      <c r="BA75" s="95">
        <v>9.375</v>
      </c>
      <c r="BB75" s="95">
        <v>0</v>
      </c>
      <c r="BC75" s="95">
        <v>5.3932584269662902</v>
      </c>
      <c r="BD75" s="95">
        <v>5.0237133321623002</v>
      </c>
      <c r="BE75" s="95">
        <v>2.38095238095238</v>
      </c>
    </row>
    <row r="76" spans="2:57" ht="15" customHeight="1" x14ac:dyDescent="0.25">
      <c r="B76" s="91">
        <v>66</v>
      </c>
      <c r="C76" s="92" t="s">
        <v>504</v>
      </c>
      <c r="D76" s="92" t="s">
        <v>27</v>
      </c>
      <c r="E76" s="92" t="s">
        <v>343</v>
      </c>
      <c r="F76" s="92" t="s">
        <v>129</v>
      </c>
      <c r="G76" s="101" t="s">
        <v>502</v>
      </c>
      <c r="H76" s="94">
        <v>5828</v>
      </c>
      <c r="I76" s="94">
        <v>3964</v>
      </c>
      <c r="J76" s="94">
        <v>1864</v>
      </c>
      <c r="K76" s="94">
        <v>395</v>
      </c>
      <c r="L76" s="94">
        <v>1299</v>
      </c>
      <c r="M76" s="94">
        <v>3083</v>
      </c>
      <c r="N76" s="94">
        <v>1051</v>
      </c>
      <c r="O76" s="94">
        <v>5826</v>
      </c>
      <c r="P76" s="94">
        <v>2</v>
      </c>
      <c r="Q76" s="95">
        <v>0.40175310445580698</v>
      </c>
      <c r="R76" s="95">
        <v>0.20997375328084</v>
      </c>
      <c r="S76" s="95">
        <v>0.84033613445378197</v>
      </c>
      <c r="T76" s="95">
        <v>0.56657223796033995</v>
      </c>
      <c r="U76" s="95">
        <v>0.90460526315789502</v>
      </c>
      <c r="V76" s="95">
        <v>0.27406646111682098</v>
      </c>
      <c r="W76" s="95">
        <v>0.10121457489878501</v>
      </c>
      <c r="X76" s="95">
        <v>0.40189989039093899</v>
      </c>
      <c r="Y76" s="95">
        <v>0</v>
      </c>
      <c r="Z76" s="94">
        <v>6578</v>
      </c>
      <c r="AA76" s="94">
        <v>3940</v>
      </c>
      <c r="AB76" s="94">
        <v>2638</v>
      </c>
      <c r="AC76" s="94">
        <v>243</v>
      </c>
      <c r="AD76" s="94">
        <v>1292</v>
      </c>
      <c r="AE76" s="94">
        <v>3586</v>
      </c>
      <c r="AF76" s="94">
        <v>1457</v>
      </c>
      <c r="AG76" s="94">
        <v>1494</v>
      </c>
      <c r="AH76" s="94">
        <v>4904</v>
      </c>
      <c r="AI76" s="94">
        <v>180</v>
      </c>
      <c r="AJ76" s="94">
        <v>6537</v>
      </c>
      <c r="AK76" s="94">
        <v>13</v>
      </c>
      <c r="AL76" s="94">
        <v>28</v>
      </c>
      <c r="AM76" s="94">
        <v>865</v>
      </c>
      <c r="AN76" s="94">
        <v>5555</v>
      </c>
      <c r="AO76" s="94">
        <v>158</v>
      </c>
      <c r="AP76" s="95">
        <v>0.96473193104539001</v>
      </c>
      <c r="AQ76" s="95">
        <v>0.38940809968847401</v>
      </c>
      <c r="AR76" s="95">
        <v>1.8615944961554001</v>
      </c>
      <c r="AS76" s="95">
        <v>3.05676855895197</v>
      </c>
      <c r="AT76" s="95">
        <v>1.4681892332789599</v>
      </c>
      <c r="AU76" s="95">
        <v>0.86805555555555602</v>
      </c>
      <c r="AV76" s="95">
        <v>0.42492917847025502</v>
      </c>
      <c r="AW76" s="95">
        <v>1.12280701754386</v>
      </c>
      <c r="AX76" s="95">
        <v>0.95338983050847503</v>
      </c>
      <c r="AY76" s="95">
        <v>0</v>
      </c>
      <c r="AZ76" s="95">
        <v>0.970873786407767</v>
      </c>
      <c r="BA76" s="95">
        <v>0</v>
      </c>
      <c r="BB76" s="95">
        <v>0</v>
      </c>
      <c r="BC76" s="95">
        <v>0.59311981020166105</v>
      </c>
      <c r="BD76" s="95">
        <v>1.0520383242532401</v>
      </c>
      <c r="BE76" s="95">
        <v>0</v>
      </c>
    </row>
    <row r="77" spans="2:57" ht="15" customHeight="1" x14ac:dyDescent="0.25">
      <c r="B77" s="96">
        <v>67</v>
      </c>
      <c r="C77" s="97" t="s">
        <v>504</v>
      </c>
      <c r="D77" s="97" t="s">
        <v>27</v>
      </c>
      <c r="E77" s="97" t="s">
        <v>343</v>
      </c>
      <c r="F77" s="97" t="s">
        <v>455</v>
      </c>
      <c r="G77" s="98" t="s">
        <v>455</v>
      </c>
      <c r="H77" s="99">
        <v>3612</v>
      </c>
      <c r="I77" s="99">
        <v>2404</v>
      </c>
      <c r="J77" s="99">
        <v>1208</v>
      </c>
      <c r="K77" s="99">
        <v>243</v>
      </c>
      <c r="L77" s="99">
        <v>876</v>
      </c>
      <c r="M77" s="99">
        <v>1952</v>
      </c>
      <c r="N77" s="99">
        <v>541</v>
      </c>
      <c r="O77" s="99">
        <v>3603</v>
      </c>
      <c r="P77" s="99">
        <v>9</v>
      </c>
      <c r="Q77" s="100">
        <v>0.80071174377224197</v>
      </c>
      <c r="R77" s="100">
        <v>0.30864197530864201</v>
      </c>
      <c r="S77" s="100">
        <v>1.8115942028985501</v>
      </c>
      <c r="T77" s="100">
        <v>1.36363636363636</v>
      </c>
      <c r="U77" s="100">
        <v>0.98522167487684698</v>
      </c>
      <c r="V77" s="100">
        <v>0.76294277929155296</v>
      </c>
      <c r="W77" s="100">
        <v>0.396039603960396</v>
      </c>
      <c r="X77" s="100">
        <v>0.80285459411240001</v>
      </c>
      <c r="Y77" s="100">
        <v>0</v>
      </c>
      <c r="Z77" s="99">
        <v>3602</v>
      </c>
      <c r="AA77" s="99">
        <v>2201</v>
      </c>
      <c r="AB77" s="99">
        <v>1401</v>
      </c>
      <c r="AC77" s="99">
        <v>139</v>
      </c>
      <c r="AD77" s="99">
        <v>721</v>
      </c>
      <c r="AE77" s="99">
        <v>1967</v>
      </c>
      <c r="AF77" s="99">
        <v>775</v>
      </c>
      <c r="AG77" s="99">
        <v>1845</v>
      </c>
      <c r="AH77" s="99">
        <v>1734</v>
      </c>
      <c r="AI77" s="99">
        <v>23</v>
      </c>
      <c r="AJ77" s="99">
        <v>3568</v>
      </c>
      <c r="AK77" s="99">
        <v>10</v>
      </c>
      <c r="AL77" s="99">
        <v>24</v>
      </c>
      <c r="AM77" s="99">
        <v>426</v>
      </c>
      <c r="AN77" s="99">
        <v>3109</v>
      </c>
      <c r="AO77" s="99">
        <v>67</v>
      </c>
      <c r="AP77" s="100">
        <v>1.6666666666666701</v>
      </c>
      <c r="AQ77" s="100">
        <v>0.46425255338904398</v>
      </c>
      <c r="AR77" s="100">
        <v>3.6199095022624399</v>
      </c>
      <c r="AS77" s="100">
        <v>0.78125</v>
      </c>
      <c r="AT77" s="100">
        <v>2.4781341107871699</v>
      </c>
      <c r="AU77" s="100">
        <v>1.62473794549266</v>
      </c>
      <c r="AV77" s="100">
        <v>1.1873350923482799</v>
      </c>
      <c r="AW77" s="100">
        <v>1.16601887840089</v>
      </c>
      <c r="AX77" s="100">
        <v>2.23429951690821</v>
      </c>
      <c r="AY77" s="100">
        <v>0</v>
      </c>
      <c r="AZ77" s="100">
        <v>1.6821345707656601</v>
      </c>
      <c r="BA77" s="100">
        <v>0</v>
      </c>
      <c r="BB77" s="100">
        <v>0</v>
      </c>
      <c r="BC77" s="100">
        <v>1.6666666666666701</v>
      </c>
      <c r="BD77" s="100">
        <v>1.6694490818029999</v>
      </c>
      <c r="BE77" s="100">
        <v>1.5384615384615401</v>
      </c>
    </row>
    <row r="78" spans="2:57" ht="15" customHeight="1" x14ac:dyDescent="0.25">
      <c r="B78" s="91">
        <v>68</v>
      </c>
      <c r="C78" s="92" t="s">
        <v>504</v>
      </c>
      <c r="D78" s="92" t="s">
        <v>27</v>
      </c>
      <c r="E78" s="92" t="s">
        <v>343</v>
      </c>
      <c r="F78" s="92" t="s">
        <v>455</v>
      </c>
      <c r="G78" s="101" t="s">
        <v>501</v>
      </c>
      <c r="H78" s="94">
        <v>0</v>
      </c>
      <c r="I78" s="94">
        <v>0</v>
      </c>
      <c r="J78" s="94">
        <v>0</v>
      </c>
      <c r="K78" s="94">
        <v>0</v>
      </c>
      <c r="L78" s="94">
        <v>0</v>
      </c>
      <c r="M78" s="94">
        <v>0</v>
      </c>
      <c r="N78" s="94">
        <v>0</v>
      </c>
      <c r="O78" s="94">
        <v>0</v>
      </c>
      <c r="P78" s="94">
        <v>0</v>
      </c>
      <c r="Q78" s="95">
        <v>0</v>
      </c>
      <c r="R78" s="95">
        <v>0</v>
      </c>
      <c r="S78" s="95">
        <v>0</v>
      </c>
      <c r="T78" s="95">
        <v>0</v>
      </c>
      <c r="U78" s="95">
        <v>0</v>
      </c>
      <c r="V78" s="95">
        <v>0</v>
      </c>
      <c r="W78" s="95">
        <v>0</v>
      </c>
      <c r="X78" s="95">
        <v>0</v>
      </c>
      <c r="Y78" s="95">
        <v>0</v>
      </c>
      <c r="Z78" s="94">
        <v>0</v>
      </c>
      <c r="AA78" s="94">
        <v>0</v>
      </c>
      <c r="AB78" s="94">
        <v>0</v>
      </c>
      <c r="AC78" s="94">
        <v>0</v>
      </c>
      <c r="AD78" s="94">
        <v>0</v>
      </c>
      <c r="AE78" s="94">
        <v>0</v>
      </c>
      <c r="AF78" s="94">
        <v>0</v>
      </c>
      <c r="AG78" s="94">
        <v>0</v>
      </c>
      <c r="AH78" s="94">
        <v>0</v>
      </c>
      <c r="AI78" s="94">
        <v>0</v>
      </c>
      <c r="AJ78" s="94">
        <v>0</v>
      </c>
      <c r="AK78" s="94">
        <v>0</v>
      </c>
      <c r="AL78" s="94">
        <v>0</v>
      </c>
      <c r="AM78" s="94">
        <v>0</v>
      </c>
      <c r="AN78" s="94">
        <v>0</v>
      </c>
      <c r="AO78" s="94">
        <v>0</v>
      </c>
      <c r="AP78" s="95">
        <v>0</v>
      </c>
      <c r="AQ78" s="95">
        <v>0</v>
      </c>
      <c r="AR78" s="95">
        <v>0</v>
      </c>
      <c r="AS78" s="95">
        <v>0</v>
      </c>
      <c r="AT78" s="95">
        <v>0</v>
      </c>
      <c r="AU78" s="95">
        <v>0</v>
      </c>
      <c r="AV78" s="95">
        <v>0</v>
      </c>
      <c r="AW78" s="95">
        <v>0</v>
      </c>
      <c r="AX78" s="95">
        <v>0</v>
      </c>
      <c r="AY78" s="95">
        <v>0</v>
      </c>
      <c r="AZ78" s="95">
        <v>0</v>
      </c>
      <c r="BA78" s="95">
        <v>0</v>
      </c>
      <c r="BB78" s="95">
        <v>0</v>
      </c>
      <c r="BC78" s="95">
        <v>0</v>
      </c>
      <c r="BD78" s="95">
        <v>0</v>
      </c>
      <c r="BE78" s="95">
        <v>0</v>
      </c>
    </row>
    <row r="79" spans="2:57" ht="15" customHeight="1" x14ac:dyDescent="0.25">
      <c r="B79" s="91">
        <v>69</v>
      </c>
      <c r="C79" s="92" t="s">
        <v>504</v>
      </c>
      <c r="D79" s="92" t="s">
        <v>27</v>
      </c>
      <c r="E79" s="92" t="s">
        <v>343</v>
      </c>
      <c r="F79" s="92" t="s">
        <v>455</v>
      </c>
      <c r="G79" s="101" t="s">
        <v>502</v>
      </c>
      <c r="H79" s="94">
        <v>3612</v>
      </c>
      <c r="I79" s="94">
        <v>2404</v>
      </c>
      <c r="J79" s="94">
        <v>1208</v>
      </c>
      <c r="K79" s="94">
        <v>243</v>
      </c>
      <c r="L79" s="94">
        <v>876</v>
      </c>
      <c r="M79" s="94">
        <v>1952</v>
      </c>
      <c r="N79" s="94">
        <v>541</v>
      </c>
      <c r="O79" s="94">
        <v>3603</v>
      </c>
      <c r="P79" s="94">
        <v>9</v>
      </c>
      <c r="Q79" s="95">
        <v>0.80071174377224197</v>
      </c>
      <c r="R79" s="95">
        <v>0.30864197530864201</v>
      </c>
      <c r="S79" s="95">
        <v>1.8115942028985501</v>
      </c>
      <c r="T79" s="95">
        <v>1.36363636363636</v>
      </c>
      <c r="U79" s="95">
        <v>0.98522167487684698</v>
      </c>
      <c r="V79" s="95">
        <v>0.76294277929155296</v>
      </c>
      <c r="W79" s="95">
        <v>0.396039603960396</v>
      </c>
      <c r="X79" s="95">
        <v>0.80285459411240001</v>
      </c>
      <c r="Y79" s="95">
        <v>0</v>
      </c>
      <c r="Z79" s="94">
        <v>3602</v>
      </c>
      <c r="AA79" s="94">
        <v>2201</v>
      </c>
      <c r="AB79" s="94">
        <v>1401</v>
      </c>
      <c r="AC79" s="94">
        <v>139</v>
      </c>
      <c r="AD79" s="94">
        <v>721</v>
      </c>
      <c r="AE79" s="94">
        <v>1967</v>
      </c>
      <c r="AF79" s="94">
        <v>775</v>
      </c>
      <c r="AG79" s="94">
        <v>1845</v>
      </c>
      <c r="AH79" s="94">
        <v>1734</v>
      </c>
      <c r="AI79" s="94">
        <v>23</v>
      </c>
      <c r="AJ79" s="94">
        <v>3568</v>
      </c>
      <c r="AK79" s="94">
        <v>10</v>
      </c>
      <c r="AL79" s="94">
        <v>24</v>
      </c>
      <c r="AM79" s="94">
        <v>426</v>
      </c>
      <c r="AN79" s="94">
        <v>3109</v>
      </c>
      <c r="AO79" s="94">
        <v>67</v>
      </c>
      <c r="AP79" s="95">
        <v>1.6666666666666701</v>
      </c>
      <c r="AQ79" s="95">
        <v>0.46425255338904398</v>
      </c>
      <c r="AR79" s="95">
        <v>3.6199095022624399</v>
      </c>
      <c r="AS79" s="95">
        <v>0.78125</v>
      </c>
      <c r="AT79" s="95">
        <v>2.4781341107871699</v>
      </c>
      <c r="AU79" s="95">
        <v>1.62473794549266</v>
      </c>
      <c r="AV79" s="95">
        <v>1.1873350923482799</v>
      </c>
      <c r="AW79" s="95">
        <v>1.16601887840089</v>
      </c>
      <c r="AX79" s="95">
        <v>2.23429951690821</v>
      </c>
      <c r="AY79" s="95">
        <v>0</v>
      </c>
      <c r="AZ79" s="95">
        <v>1.6821345707656601</v>
      </c>
      <c r="BA79" s="95">
        <v>0</v>
      </c>
      <c r="BB79" s="95">
        <v>0</v>
      </c>
      <c r="BC79" s="95">
        <v>1.6666666666666701</v>
      </c>
      <c r="BD79" s="95">
        <v>1.6694490818029999</v>
      </c>
      <c r="BE79" s="95">
        <v>1.5384615384615401</v>
      </c>
    </row>
    <row r="80" spans="2:57" ht="15" customHeight="1" x14ac:dyDescent="0.25">
      <c r="B80" s="86">
        <v>70</v>
      </c>
      <c r="C80" s="87" t="s">
        <v>503</v>
      </c>
      <c r="D80" s="87" t="s">
        <v>27</v>
      </c>
      <c r="E80" s="87" t="s">
        <v>139</v>
      </c>
      <c r="F80" s="87"/>
      <c r="G80" s="88" t="s">
        <v>139</v>
      </c>
      <c r="H80" s="89">
        <v>10805</v>
      </c>
      <c r="I80" s="89">
        <v>6807</v>
      </c>
      <c r="J80" s="89">
        <v>3998</v>
      </c>
      <c r="K80" s="89">
        <v>778</v>
      </c>
      <c r="L80" s="89">
        <v>2125</v>
      </c>
      <c r="M80" s="89">
        <v>5539</v>
      </c>
      <c r="N80" s="89">
        <v>2363</v>
      </c>
      <c r="O80" s="89">
        <v>10791</v>
      </c>
      <c r="P80" s="89">
        <v>14</v>
      </c>
      <c r="Q80" s="90">
        <v>0.185819070904645</v>
      </c>
      <c r="R80" s="90">
        <v>3.0688967316249802E-2</v>
      </c>
      <c r="S80" s="90">
        <v>0.45846817691477898</v>
      </c>
      <c r="T80" s="90">
        <v>0.42253521126760601</v>
      </c>
      <c r="U80" s="90">
        <v>0.40342914775592498</v>
      </c>
      <c r="V80" s="90">
        <v>0.11391684070628399</v>
      </c>
      <c r="W80" s="90">
        <v>8.8300220750551897E-2</v>
      </c>
      <c r="X80" s="90">
        <v>0.17626321974148099</v>
      </c>
      <c r="Y80" s="90">
        <v>7.6923076923076898</v>
      </c>
      <c r="Z80" s="89">
        <v>13070</v>
      </c>
      <c r="AA80" s="89">
        <v>7118</v>
      </c>
      <c r="AB80" s="89">
        <v>5952</v>
      </c>
      <c r="AC80" s="89">
        <v>906</v>
      </c>
      <c r="AD80" s="89">
        <v>2724</v>
      </c>
      <c r="AE80" s="89">
        <v>6037</v>
      </c>
      <c r="AF80" s="89">
        <v>3403</v>
      </c>
      <c r="AG80" s="89">
        <v>9778</v>
      </c>
      <c r="AH80" s="89">
        <v>3077</v>
      </c>
      <c r="AI80" s="89">
        <v>215</v>
      </c>
      <c r="AJ80" s="89">
        <v>12997</v>
      </c>
      <c r="AK80" s="89">
        <v>27</v>
      </c>
      <c r="AL80" s="89">
        <v>46</v>
      </c>
      <c r="AM80" s="89">
        <v>1720</v>
      </c>
      <c r="AN80" s="89">
        <v>11167</v>
      </c>
      <c r="AO80" s="89">
        <v>183</v>
      </c>
      <c r="AP80" s="90">
        <v>1.4600326264274099</v>
      </c>
      <c r="AQ80" s="90">
        <v>0.36608581051398398</v>
      </c>
      <c r="AR80" s="90">
        <v>2.8355735591972002</v>
      </c>
      <c r="AS80" s="90">
        <v>1.194743130227</v>
      </c>
      <c r="AT80" s="90">
        <v>2.26904376012966</v>
      </c>
      <c r="AU80" s="90">
        <v>1.7411185367569499</v>
      </c>
      <c r="AV80" s="90">
        <v>0.42826552462526801</v>
      </c>
      <c r="AW80" s="90">
        <v>1.4469103568320301</v>
      </c>
      <c r="AX80" s="90">
        <v>1.60222918843608</v>
      </c>
      <c r="AY80" s="90">
        <v>0</v>
      </c>
      <c r="AZ80" s="90">
        <v>1.45141451414514</v>
      </c>
      <c r="BA80" s="90">
        <v>8</v>
      </c>
      <c r="BB80" s="90">
        <v>0</v>
      </c>
      <c r="BC80" s="90">
        <v>0.67692307692307696</v>
      </c>
      <c r="BD80" s="90">
        <v>1.60627211014437</v>
      </c>
      <c r="BE80" s="90">
        <v>0</v>
      </c>
    </row>
    <row r="81" spans="2:57" ht="15" customHeight="1" x14ac:dyDescent="0.25">
      <c r="B81" s="91">
        <v>71</v>
      </c>
      <c r="C81" s="92" t="s">
        <v>503</v>
      </c>
      <c r="D81" s="92" t="s">
        <v>27</v>
      </c>
      <c r="E81" s="92" t="s">
        <v>139</v>
      </c>
      <c r="F81" s="92"/>
      <c r="G81" s="93" t="s">
        <v>501</v>
      </c>
      <c r="H81" s="94">
        <v>1157</v>
      </c>
      <c r="I81" s="94">
        <v>605</v>
      </c>
      <c r="J81" s="94">
        <v>552</v>
      </c>
      <c r="K81" s="94">
        <v>61</v>
      </c>
      <c r="L81" s="94">
        <v>248</v>
      </c>
      <c r="M81" s="94">
        <v>618</v>
      </c>
      <c r="N81" s="94">
        <v>230</v>
      </c>
      <c r="O81" s="94">
        <v>1148</v>
      </c>
      <c r="P81" s="94">
        <v>9</v>
      </c>
      <c r="Q81" s="95">
        <v>0.93370681605975703</v>
      </c>
      <c r="R81" s="95">
        <v>0</v>
      </c>
      <c r="S81" s="95">
        <v>1.93050193050193</v>
      </c>
      <c r="T81" s="95">
        <v>4</v>
      </c>
      <c r="U81" s="95">
        <v>1.7543859649122799</v>
      </c>
      <c r="V81" s="95">
        <v>0.348432055749129</v>
      </c>
      <c r="W81" s="95">
        <v>0.91324200913242004</v>
      </c>
      <c r="X81" s="95">
        <v>0.84666039510818403</v>
      </c>
      <c r="Y81" s="95">
        <v>12.5</v>
      </c>
      <c r="Z81" s="94">
        <v>1584</v>
      </c>
      <c r="AA81" s="94">
        <v>827</v>
      </c>
      <c r="AB81" s="94">
        <v>757</v>
      </c>
      <c r="AC81" s="94">
        <v>134</v>
      </c>
      <c r="AD81" s="94">
        <v>380</v>
      </c>
      <c r="AE81" s="94">
        <v>766</v>
      </c>
      <c r="AF81" s="94">
        <v>304</v>
      </c>
      <c r="AG81" s="94">
        <v>1040</v>
      </c>
      <c r="AH81" s="94">
        <v>537</v>
      </c>
      <c r="AI81" s="94">
        <v>7</v>
      </c>
      <c r="AJ81" s="94">
        <v>1579</v>
      </c>
      <c r="AK81" s="94">
        <v>3</v>
      </c>
      <c r="AL81" s="94">
        <v>2</v>
      </c>
      <c r="AM81" s="94">
        <v>158</v>
      </c>
      <c r="AN81" s="94">
        <v>1412</v>
      </c>
      <c r="AO81" s="94">
        <v>14</v>
      </c>
      <c r="AP81" s="95">
        <v>3.8062283737024201</v>
      </c>
      <c r="AQ81" s="95">
        <v>1.42118863049096</v>
      </c>
      <c r="AR81" s="95">
        <v>6.5573770491803298</v>
      </c>
      <c r="AS81" s="95">
        <v>6.61157024793388</v>
      </c>
      <c r="AT81" s="95">
        <v>3.3434650455927</v>
      </c>
      <c r="AU81" s="95">
        <v>4.6676096181046702</v>
      </c>
      <c r="AV81" s="95">
        <v>1.0416666666666701</v>
      </c>
      <c r="AW81" s="95">
        <v>4.4025157232704402</v>
      </c>
      <c r="AX81" s="95">
        <v>2.68041237113402</v>
      </c>
      <c r="AY81" s="95">
        <v>0</v>
      </c>
      <c r="AZ81" s="95">
        <v>3.8167938931297698</v>
      </c>
      <c r="BA81" s="95">
        <v>0</v>
      </c>
      <c r="BB81" s="95">
        <v>0</v>
      </c>
      <c r="BC81" s="95">
        <v>2.7586206896551699</v>
      </c>
      <c r="BD81" s="95">
        <v>3.96270396270396</v>
      </c>
      <c r="BE81" s="95">
        <v>0</v>
      </c>
    </row>
    <row r="82" spans="2:57" ht="15" customHeight="1" x14ac:dyDescent="0.25">
      <c r="B82" s="91">
        <v>72</v>
      </c>
      <c r="C82" s="92" t="s">
        <v>503</v>
      </c>
      <c r="D82" s="92" t="s">
        <v>27</v>
      </c>
      <c r="E82" s="92" t="s">
        <v>139</v>
      </c>
      <c r="F82" s="92"/>
      <c r="G82" s="93" t="s">
        <v>502</v>
      </c>
      <c r="H82" s="94">
        <v>9648</v>
      </c>
      <c r="I82" s="94">
        <v>6202</v>
      </c>
      <c r="J82" s="94">
        <v>3446</v>
      </c>
      <c r="K82" s="94">
        <v>717</v>
      </c>
      <c r="L82" s="94">
        <v>1877</v>
      </c>
      <c r="M82" s="94">
        <v>4921</v>
      </c>
      <c r="N82" s="94">
        <v>2133</v>
      </c>
      <c r="O82" s="94">
        <v>9643</v>
      </c>
      <c r="P82" s="94">
        <v>5</v>
      </c>
      <c r="Q82" s="95">
        <v>9.8317675333187707E-2</v>
      </c>
      <c r="R82" s="95">
        <v>3.35345405767941E-2</v>
      </c>
      <c r="S82" s="95">
        <v>0.21943573667711599</v>
      </c>
      <c r="T82" s="95">
        <v>0.15151515151515199</v>
      </c>
      <c r="U82" s="95">
        <v>0.22792022792022801</v>
      </c>
      <c r="V82" s="95">
        <v>8.52333262305561E-2</v>
      </c>
      <c r="W82" s="95">
        <v>0</v>
      </c>
      <c r="X82" s="95">
        <v>9.8371406711115994E-2</v>
      </c>
      <c r="Y82" s="95">
        <v>0</v>
      </c>
      <c r="Z82" s="94">
        <v>11486</v>
      </c>
      <c r="AA82" s="94">
        <v>6291</v>
      </c>
      <c r="AB82" s="94">
        <v>5195</v>
      </c>
      <c r="AC82" s="94">
        <v>772</v>
      </c>
      <c r="AD82" s="94">
        <v>2344</v>
      </c>
      <c r="AE82" s="94">
        <v>5271</v>
      </c>
      <c r="AF82" s="94">
        <v>3099</v>
      </c>
      <c r="AG82" s="94">
        <v>8738</v>
      </c>
      <c r="AH82" s="94">
        <v>2540</v>
      </c>
      <c r="AI82" s="94">
        <v>208</v>
      </c>
      <c r="AJ82" s="94">
        <v>11418</v>
      </c>
      <c r="AK82" s="94">
        <v>24</v>
      </c>
      <c r="AL82" s="94">
        <v>44</v>
      </c>
      <c r="AM82" s="94">
        <v>1562</v>
      </c>
      <c r="AN82" s="94">
        <v>9755</v>
      </c>
      <c r="AO82" s="94">
        <v>169</v>
      </c>
      <c r="AP82" s="95">
        <v>1.1465557096625101</v>
      </c>
      <c r="AQ82" s="95">
        <v>0.23121387283236999</v>
      </c>
      <c r="AR82" s="95">
        <v>2.3109243697478998</v>
      </c>
      <c r="AS82" s="95">
        <v>0.27932960893854702</v>
      </c>
      <c r="AT82" s="95">
        <v>2.1037868162692801</v>
      </c>
      <c r="AU82" s="95">
        <v>1.3255673830086401</v>
      </c>
      <c r="AV82" s="95">
        <v>0.36900369003689998</v>
      </c>
      <c r="AW82" s="95">
        <v>1.1046370478271399</v>
      </c>
      <c r="AX82" s="95">
        <v>1.38306789606035</v>
      </c>
      <c r="AY82" s="95">
        <v>0</v>
      </c>
      <c r="AZ82" s="95">
        <v>1.1344615956853299</v>
      </c>
      <c r="BA82" s="95">
        <v>9.0909090909090899</v>
      </c>
      <c r="BB82" s="95">
        <v>0</v>
      </c>
      <c r="BC82" s="95">
        <v>0.47297297297297303</v>
      </c>
      <c r="BD82" s="95">
        <v>1.27562145660707</v>
      </c>
      <c r="BE82" s="95">
        <v>0</v>
      </c>
    </row>
    <row r="83" spans="2:57" ht="15" customHeight="1" x14ac:dyDescent="0.25">
      <c r="B83" s="96">
        <v>73</v>
      </c>
      <c r="C83" s="97" t="s">
        <v>504</v>
      </c>
      <c r="D83" s="97" t="s">
        <v>27</v>
      </c>
      <c r="E83" s="97" t="s">
        <v>139</v>
      </c>
      <c r="F83" s="97" t="s">
        <v>136</v>
      </c>
      <c r="G83" s="98" t="s">
        <v>136</v>
      </c>
      <c r="H83" s="99">
        <v>6575</v>
      </c>
      <c r="I83" s="99">
        <v>4039</v>
      </c>
      <c r="J83" s="99">
        <v>2536</v>
      </c>
      <c r="K83" s="99">
        <v>544</v>
      </c>
      <c r="L83" s="99">
        <v>1270</v>
      </c>
      <c r="M83" s="99">
        <v>3386</v>
      </c>
      <c r="N83" s="99">
        <v>1375</v>
      </c>
      <c r="O83" s="99">
        <v>6565</v>
      </c>
      <c r="P83" s="99">
        <v>10</v>
      </c>
      <c r="Q83" s="100">
        <v>0.241935483870968</v>
      </c>
      <c r="R83" s="100">
        <v>2.6028110359187898E-2</v>
      </c>
      <c r="S83" s="100">
        <v>0.59372349448685302</v>
      </c>
      <c r="T83" s="100">
        <v>0.60851926977687598</v>
      </c>
      <c r="U83" s="100">
        <v>0.59422750424448201</v>
      </c>
      <c r="V83" s="100">
        <v>9.3283582089552203E-2</v>
      </c>
      <c r="W83" s="100">
        <v>0.15232292460015201</v>
      </c>
      <c r="X83" s="100">
        <v>0.22613471167824301</v>
      </c>
      <c r="Y83" s="100">
        <v>11.1111111111111</v>
      </c>
      <c r="Z83" s="99">
        <v>7925</v>
      </c>
      <c r="AA83" s="99">
        <v>4281</v>
      </c>
      <c r="AB83" s="99">
        <v>3644</v>
      </c>
      <c r="AC83" s="99">
        <v>627</v>
      </c>
      <c r="AD83" s="99">
        <v>1670</v>
      </c>
      <c r="AE83" s="99">
        <v>3541</v>
      </c>
      <c r="AF83" s="99">
        <v>2087</v>
      </c>
      <c r="AG83" s="99">
        <v>5958</v>
      </c>
      <c r="AH83" s="99">
        <v>1868</v>
      </c>
      <c r="AI83" s="99">
        <v>99</v>
      </c>
      <c r="AJ83" s="99">
        <v>7882</v>
      </c>
      <c r="AK83" s="99">
        <v>13</v>
      </c>
      <c r="AL83" s="99">
        <v>30</v>
      </c>
      <c r="AM83" s="99">
        <v>1138</v>
      </c>
      <c r="AN83" s="99">
        <v>6683</v>
      </c>
      <c r="AO83" s="99">
        <v>104</v>
      </c>
      <c r="AP83" s="100">
        <v>1.4971675209063899</v>
      </c>
      <c r="AQ83" s="100">
        <v>0.41342412451361898</v>
      </c>
      <c r="AR83" s="100">
        <v>2.8467595396729299</v>
      </c>
      <c r="AS83" s="100">
        <v>1.7331022530329301</v>
      </c>
      <c r="AT83" s="100">
        <v>2.3240371845949501</v>
      </c>
      <c r="AU83" s="100">
        <v>1.7412188531972399</v>
      </c>
      <c r="AV83" s="100">
        <v>0.4</v>
      </c>
      <c r="AW83" s="100">
        <v>1.56278067181606</v>
      </c>
      <c r="AX83" s="100">
        <v>1.36752136752137</v>
      </c>
      <c r="AY83" s="100">
        <v>0</v>
      </c>
      <c r="AZ83" s="100">
        <v>1.4779661016949199</v>
      </c>
      <c r="BA83" s="100">
        <v>16.6666666666667</v>
      </c>
      <c r="BB83" s="100">
        <v>0</v>
      </c>
      <c r="BC83" s="100">
        <v>0.64814814814814803</v>
      </c>
      <c r="BD83" s="100">
        <v>1.6680032076984801</v>
      </c>
      <c r="BE83" s="100">
        <v>0</v>
      </c>
    </row>
    <row r="84" spans="2:57" ht="15" customHeight="1" x14ac:dyDescent="0.25">
      <c r="B84" s="91">
        <v>74</v>
      </c>
      <c r="C84" s="92" t="s">
        <v>504</v>
      </c>
      <c r="D84" s="92" t="s">
        <v>27</v>
      </c>
      <c r="E84" s="92" t="s">
        <v>139</v>
      </c>
      <c r="F84" s="92" t="s">
        <v>136</v>
      </c>
      <c r="G84" s="101" t="s">
        <v>501</v>
      </c>
      <c r="H84" s="94">
        <v>1157</v>
      </c>
      <c r="I84" s="94">
        <v>605</v>
      </c>
      <c r="J84" s="94">
        <v>552</v>
      </c>
      <c r="K84" s="94">
        <v>61</v>
      </c>
      <c r="L84" s="94">
        <v>248</v>
      </c>
      <c r="M84" s="94">
        <v>618</v>
      </c>
      <c r="N84" s="94">
        <v>230</v>
      </c>
      <c r="O84" s="94">
        <v>1148</v>
      </c>
      <c r="P84" s="94">
        <v>9</v>
      </c>
      <c r="Q84" s="95">
        <v>0.93370681605975703</v>
      </c>
      <c r="R84" s="95">
        <v>0</v>
      </c>
      <c r="S84" s="95">
        <v>1.93050193050193</v>
      </c>
      <c r="T84" s="95">
        <v>4</v>
      </c>
      <c r="U84" s="95">
        <v>1.7543859649122799</v>
      </c>
      <c r="V84" s="95">
        <v>0.348432055749129</v>
      </c>
      <c r="W84" s="95">
        <v>0.91324200913242004</v>
      </c>
      <c r="X84" s="95">
        <v>0.84666039510818403</v>
      </c>
      <c r="Y84" s="95">
        <v>12.5</v>
      </c>
      <c r="Z84" s="94">
        <v>1584</v>
      </c>
      <c r="AA84" s="94">
        <v>827</v>
      </c>
      <c r="AB84" s="94">
        <v>757</v>
      </c>
      <c r="AC84" s="94">
        <v>134</v>
      </c>
      <c r="AD84" s="94">
        <v>380</v>
      </c>
      <c r="AE84" s="94">
        <v>766</v>
      </c>
      <c r="AF84" s="94">
        <v>304</v>
      </c>
      <c r="AG84" s="94">
        <v>1040</v>
      </c>
      <c r="AH84" s="94">
        <v>537</v>
      </c>
      <c r="AI84" s="94">
        <v>7</v>
      </c>
      <c r="AJ84" s="94">
        <v>1579</v>
      </c>
      <c r="AK84" s="94">
        <v>3</v>
      </c>
      <c r="AL84" s="94">
        <v>2</v>
      </c>
      <c r="AM84" s="94">
        <v>158</v>
      </c>
      <c r="AN84" s="94">
        <v>1412</v>
      </c>
      <c r="AO84" s="94">
        <v>14</v>
      </c>
      <c r="AP84" s="95">
        <v>3.8062283737024201</v>
      </c>
      <c r="AQ84" s="95">
        <v>1.42118863049096</v>
      </c>
      <c r="AR84" s="95">
        <v>6.5573770491803298</v>
      </c>
      <c r="AS84" s="95">
        <v>6.61157024793388</v>
      </c>
      <c r="AT84" s="95">
        <v>3.3434650455927</v>
      </c>
      <c r="AU84" s="95">
        <v>4.6676096181046702</v>
      </c>
      <c r="AV84" s="95">
        <v>1.0416666666666701</v>
      </c>
      <c r="AW84" s="95">
        <v>4.4025157232704402</v>
      </c>
      <c r="AX84" s="95">
        <v>2.68041237113402</v>
      </c>
      <c r="AY84" s="95">
        <v>0</v>
      </c>
      <c r="AZ84" s="95">
        <v>3.8167938931297698</v>
      </c>
      <c r="BA84" s="95">
        <v>0</v>
      </c>
      <c r="BB84" s="95">
        <v>0</v>
      </c>
      <c r="BC84" s="95">
        <v>2.7586206896551699</v>
      </c>
      <c r="BD84" s="95">
        <v>3.96270396270396</v>
      </c>
      <c r="BE84" s="95">
        <v>0</v>
      </c>
    </row>
    <row r="85" spans="2:57" ht="15" customHeight="1" x14ac:dyDescent="0.25">
      <c r="B85" s="91">
        <v>75</v>
      </c>
      <c r="C85" s="92" t="s">
        <v>504</v>
      </c>
      <c r="D85" s="92" t="s">
        <v>27</v>
      </c>
      <c r="E85" s="92" t="s">
        <v>139</v>
      </c>
      <c r="F85" s="92" t="s">
        <v>136</v>
      </c>
      <c r="G85" s="101" t="s">
        <v>502</v>
      </c>
      <c r="H85" s="94">
        <v>5418</v>
      </c>
      <c r="I85" s="94">
        <v>3434</v>
      </c>
      <c r="J85" s="94">
        <v>1984</v>
      </c>
      <c r="K85" s="94">
        <v>483</v>
      </c>
      <c r="L85" s="94">
        <v>1022</v>
      </c>
      <c r="M85" s="94">
        <v>2768</v>
      </c>
      <c r="N85" s="94">
        <v>1145</v>
      </c>
      <c r="O85" s="94">
        <v>5417</v>
      </c>
      <c r="P85" s="94">
        <v>1</v>
      </c>
      <c r="Q85" s="95">
        <v>9.7484889842074499E-2</v>
      </c>
      <c r="R85" s="95">
        <v>3.0404378230465198E-2</v>
      </c>
      <c r="S85" s="95">
        <v>0.217391304347826</v>
      </c>
      <c r="T85" s="95">
        <v>0.225733634311512</v>
      </c>
      <c r="U85" s="95">
        <v>0.31578947368421101</v>
      </c>
      <c r="V85" s="95">
        <v>3.7850113550340701E-2</v>
      </c>
      <c r="W85" s="95">
        <v>0</v>
      </c>
      <c r="X85" s="95">
        <v>9.7503900156006199E-2</v>
      </c>
      <c r="Y85" s="95">
        <v>0</v>
      </c>
      <c r="Z85" s="94">
        <v>6341</v>
      </c>
      <c r="AA85" s="94">
        <v>3454</v>
      </c>
      <c r="AB85" s="94">
        <v>2887</v>
      </c>
      <c r="AC85" s="94">
        <v>493</v>
      </c>
      <c r="AD85" s="94">
        <v>1290</v>
      </c>
      <c r="AE85" s="94">
        <v>2775</v>
      </c>
      <c r="AF85" s="94">
        <v>1783</v>
      </c>
      <c r="AG85" s="94">
        <v>4918</v>
      </c>
      <c r="AH85" s="94">
        <v>1331</v>
      </c>
      <c r="AI85" s="94">
        <v>92</v>
      </c>
      <c r="AJ85" s="94">
        <v>6303</v>
      </c>
      <c r="AK85" s="94">
        <v>10</v>
      </c>
      <c r="AL85" s="94">
        <v>28</v>
      </c>
      <c r="AM85" s="94">
        <v>980</v>
      </c>
      <c r="AN85" s="94">
        <v>5271</v>
      </c>
      <c r="AO85" s="94">
        <v>90</v>
      </c>
      <c r="AP85" s="95">
        <v>0.93818059976545498</v>
      </c>
      <c r="AQ85" s="95">
        <v>0.179748352306771</v>
      </c>
      <c r="AR85" s="95">
        <v>1.90041809198024</v>
      </c>
      <c r="AS85" s="95">
        <v>0.43859649122806998</v>
      </c>
      <c r="AT85" s="95">
        <v>2.03908241291419</v>
      </c>
      <c r="AU85" s="95">
        <v>0.95274390243902396</v>
      </c>
      <c r="AV85" s="95">
        <v>0.29205607476635498</v>
      </c>
      <c r="AW85" s="95">
        <v>0.97550401040537604</v>
      </c>
      <c r="AX85" s="95">
        <v>0.86614173228346503</v>
      </c>
      <c r="AY85" s="95">
        <v>0</v>
      </c>
      <c r="AZ85" s="95">
        <v>0.91001011122345798</v>
      </c>
      <c r="BA85" s="95">
        <v>22.2222222222222</v>
      </c>
      <c r="BB85" s="95">
        <v>0</v>
      </c>
      <c r="BC85" s="95">
        <v>0.32085561497326198</v>
      </c>
      <c r="BD85" s="95">
        <v>1.0711398544866599</v>
      </c>
      <c r="BE85" s="95">
        <v>0</v>
      </c>
    </row>
    <row r="86" spans="2:57" ht="15" customHeight="1" x14ac:dyDescent="0.25">
      <c r="B86" s="96">
        <v>76</v>
      </c>
      <c r="C86" s="97" t="s">
        <v>504</v>
      </c>
      <c r="D86" s="97" t="s">
        <v>27</v>
      </c>
      <c r="E86" s="97" t="s">
        <v>139</v>
      </c>
      <c r="F86" s="97" t="s">
        <v>139</v>
      </c>
      <c r="G86" s="98" t="s">
        <v>139</v>
      </c>
      <c r="H86" s="99">
        <v>4230</v>
      </c>
      <c r="I86" s="99">
        <v>2768</v>
      </c>
      <c r="J86" s="99">
        <v>1462</v>
      </c>
      <c r="K86" s="99">
        <v>234</v>
      </c>
      <c r="L86" s="99">
        <v>855</v>
      </c>
      <c r="M86" s="99">
        <v>2153</v>
      </c>
      <c r="N86" s="99">
        <v>988</v>
      </c>
      <c r="O86" s="99">
        <v>4226</v>
      </c>
      <c r="P86" s="99">
        <v>4</v>
      </c>
      <c r="Q86" s="100">
        <v>9.9378881987577605E-2</v>
      </c>
      <c r="R86" s="100">
        <v>3.7383177570093497E-2</v>
      </c>
      <c r="S86" s="100">
        <v>0.22222222222222199</v>
      </c>
      <c r="T86" s="100">
        <v>0</v>
      </c>
      <c r="U86" s="100">
        <v>0.12422360248447201</v>
      </c>
      <c r="V86" s="100">
        <v>0.14627011214041899</v>
      </c>
      <c r="W86" s="100">
        <v>0</v>
      </c>
      <c r="X86" s="100">
        <v>9.9477741855259899E-2</v>
      </c>
      <c r="Y86" s="100">
        <v>0</v>
      </c>
      <c r="Z86" s="99">
        <v>5145</v>
      </c>
      <c r="AA86" s="99">
        <v>2837</v>
      </c>
      <c r="AB86" s="99">
        <v>2308</v>
      </c>
      <c r="AC86" s="99">
        <v>279</v>
      </c>
      <c r="AD86" s="99">
        <v>1054</v>
      </c>
      <c r="AE86" s="99">
        <v>2496</v>
      </c>
      <c r="AF86" s="99">
        <v>1316</v>
      </c>
      <c r="AG86" s="99">
        <v>3820</v>
      </c>
      <c r="AH86" s="99">
        <v>1209</v>
      </c>
      <c r="AI86" s="99">
        <v>116</v>
      </c>
      <c r="AJ86" s="99">
        <v>5115</v>
      </c>
      <c r="AK86" s="99">
        <v>14</v>
      </c>
      <c r="AL86" s="99">
        <v>16</v>
      </c>
      <c r="AM86" s="99">
        <v>582</v>
      </c>
      <c r="AN86" s="99">
        <v>4484</v>
      </c>
      <c r="AO86" s="99">
        <v>79</v>
      </c>
      <c r="AP86" s="100">
        <v>1.4032191498142801</v>
      </c>
      <c r="AQ86" s="100">
        <v>0.29444239970555802</v>
      </c>
      <c r="AR86" s="100">
        <v>2.8182245185533099</v>
      </c>
      <c r="AS86" s="100">
        <v>0</v>
      </c>
      <c r="AT86" s="100">
        <v>2.1829521829521799</v>
      </c>
      <c r="AU86" s="100">
        <v>1.74097664543524</v>
      </c>
      <c r="AV86" s="100">
        <v>0.47281323877068598</v>
      </c>
      <c r="AW86" s="100">
        <v>1.2689655172413801</v>
      </c>
      <c r="AX86" s="100">
        <v>1.9713261648745499</v>
      </c>
      <c r="AY86" s="100">
        <v>0</v>
      </c>
      <c r="AZ86" s="100">
        <v>1.41078838174274</v>
      </c>
      <c r="BA86" s="100">
        <v>0</v>
      </c>
      <c r="BB86" s="100">
        <v>0</v>
      </c>
      <c r="BC86" s="100">
        <v>0.73394495412843996</v>
      </c>
      <c r="BD86" s="100">
        <v>1.51515151515152</v>
      </c>
      <c r="BE86" s="100">
        <v>0</v>
      </c>
    </row>
    <row r="87" spans="2:57" ht="15" customHeight="1" x14ac:dyDescent="0.25">
      <c r="B87" s="91">
        <v>77</v>
      </c>
      <c r="C87" s="92" t="s">
        <v>504</v>
      </c>
      <c r="D87" s="92" t="s">
        <v>27</v>
      </c>
      <c r="E87" s="92" t="s">
        <v>139</v>
      </c>
      <c r="F87" s="92" t="s">
        <v>139</v>
      </c>
      <c r="G87" s="101" t="s">
        <v>501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5">
        <v>0</v>
      </c>
      <c r="R87" s="95">
        <v>0</v>
      </c>
      <c r="S87" s="95">
        <v>0</v>
      </c>
      <c r="T87" s="95">
        <v>0</v>
      </c>
      <c r="U87" s="95">
        <v>0</v>
      </c>
      <c r="V87" s="95">
        <v>0</v>
      </c>
      <c r="W87" s="95">
        <v>0</v>
      </c>
      <c r="X87" s="95">
        <v>0</v>
      </c>
      <c r="Y87" s="95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94">
        <v>0</v>
      </c>
      <c r="AH87" s="94">
        <v>0</v>
      </c>
      <c r="AI87" s="94">
        <v>0</v>
      </c>
      <c r="AJ87" s="94">
        <v>0</v>
      </c>
      <c r="AK87" s="94">
        <v>0</v>
      </c>
      <c r="AL87" s="94">
        <v>0</v>
      </c>
      <c r="AM87" s="94">
        <v>0</v>
      </c>
      <c r="AN87" s="94">
        <v>0</v>
      </c>
      <c r="AO87" s="94">
        <v>0</v>
      </c>
      <c r="AP87" s="95">
        <v>0</v>
      </c>
      <c r="AQ87" s="95">
        <v>0</v>
      </c>
      <c r="AR87" s="95">
        <v>0</v>
      </c>
      <c r="AS87" s="95">
        <v>0</v>
      </c>
      <c r="AT87" s="95">
        <v>0</v>
      </c>
      <c r="AU87" s="95">
        <v>0</v>
      </c>
      <c r="AV87" s="95">
        <v>0</v>
      </c>
      <c r="AW87" s="95">
        <v>0</v>
      </c>
      <c r="AX87" s="95">
        <v>0</v>
      </c>
      <c r="AY87" s="95">
        <v>0</v>
      </c>
      <c r="AZ87" s="95">
        <v>0</v>
      </c>
      <c r="BA87" s="95">
        <v>0</v>
      </c>
      <c r="BB87" s="95">
        <v>0</v>
      </c>
      <c r="BC87" s="95">
        <v>0</v>
      </c>
      <c r="BD87" s="95">
        <v>0</v>
      </c>
      <c r="BE87" s="95">
        <v>0</v>
      </c>
    </row>
    <row r="88" spans="2:57" ht="15" customHeight="1" x14ac:dyDescent="0.25">
      <c r="B88" s="91">
        <v>78</v>
      </c>
      <c r="C88" s="92" t="s">
        <v>504</v>
      </c>
      <c r="D88" s="92" t="s">
        <v>27</v>
      </c>
      <c r="E88" s="92" t="s">
        <v>139</v>
      </c>
      <c r="F88" s="92" t="s">
        <v>139</v>
      </c>
      <c r="G88" s="101" t="s">
        <v>502</v>
      </c>
      <c r="H88" s="94">
        <v>4230</v>
      </c>
      <c r="I88" s="94">
        <v>2768</v>
      </c>
      <c r="J88" s="94">
        <v>1462</v>
      </c>
      <c r="K88" s="94">
        <v>234</v>
      </c>
      <c r="L88" s="94">
        <v>855</v>
      </c>
      <c r="M88" s="94">
        <v>2153</v>
      </c>
      <c r="N88" s="94">
        <v>988</v>
      </c>
      <c r="O88" s="94">
        <v>4226</v>
      </c>
      <c r="P88" s="94">
        <v>4</v>
      </c>
      <c r="Q88" s="95">
        <v>9.9378881987577605E-2</v>
      </c>
      <c r="R88" s="95">
        <v>3.7383177570093497E-2</v>
      </c>
      <c r="S88" s="95">
        <v>0.22222222222222199</v>
      </c>
      <c r="T88" s="95">
        <v>0</v>
      </c>
      <c r="U88" s="95">
        <v>0.12422360248447201</v>
      </c>
      <c r="V88" s="95">
        <v>0.14627011214041899</v>
      </c>
      <c r="W88" s="95">
        <v>0</v>
      </c>
      <c r="X88" s="95">
        <v>9.9477741855259899E-2</v>
      </c>
      <c r="Y88" s="95">
        <v>0</v>
      </c>
      <c r="Z88" s="94">
        <v>5145</v>
      </c>
      <c r="AA88" s="94">
        <v>2837</v>
      </c>
      <c r="AB88" s="94">
        <v>2308</v>
      </c>
      <c r="AC88" s="94">
        <v>279</v>
      </c>
      <c r="AD88" s="94">
        <v>1054</v>
      </c>
      <c r="AE88" s="94">
        <v>2496</v>
      </c>
      <c r="AF88" s="94">
        <v>1316</v>
      </c>
      <c r="AG88" s="94">
        <v>3820</v>
      </c>
      <c r="AH88" s="94">
        <v>1209</v>
      </c>
      <c r="AI88" s="94">
        <v>116</v>
      </c>
      <c r="AJ88" s="94">
        <v>5115</v>
      </c>
      <c r="AK88" s="94">
        <v>14</v>
      </c>
      <c r="AL88" s="94">
        <v>16</v>
      </c>
      <c r="AM88" s="94">
        <v>582</v>
      </c>
      <c r="AN88" s="94">
        <v>4484</v>
      </c>
      <c r="AO88" s="94">
        <v>79</v>
      </c>
      <c r="AP88" s="95">
        <v>1.4032191498142801</v>
      </c>
      <c r="AQ88" s="95">
        <v>0.29444239970555802</v>
      </c>
      <c r="AR88" s="95">
        <v>2.8182245185533099</v>
      </c>
      <c r="AS88" s="95">
        <v>0</v>
      </c>
      <c r="AT88" s="95">
        <v>2.1829521829521799</v>
      </c>
      <c r="AU88" s="95">
        <v>1.74097664543524</v>
      </c>
      <c r="AV88" s="95">
        <v>0.47281323877068598</v>
      </c>
      <c r="AW88" s="95">
        <v>1.2689655172413801</v>
      </c>
      <c r="AX88" s="95">
        <v>1.9713261648745499</v>
      </c>
      <c r="AY88" s="95">
        <v>0</v>
      </c>
      <c r="AZ88" s="95">
        <v>1.41078838174274</v>
      </c>
      <c r="BA88" s="95">
        <v>0</v>
      </c>
      <c r="BB88" s="95">
        <v>0</v>
      </c>
      <c r="BC88" s="95">
        <v>0.73394495412843996</v>
      </c>
      <c r="BD88" s="95">
        <v>1.51515151515152</v>
      </c>
      <c r="BE88" s="95">
        <v>0</v>
      </c>
    </row>
    <row r="89" spans="2:57" ht="15" customHeight="1" x14ac:dyDescent="0.25">
      <c r="B89" s="86">
        <v>79</v>
      </c>
      <c r="C89" s="87" t="s">
        <v>503</v>
      </c>
      <c r="D89" s="87" t="s">
        <v>27</v>
      </c>
      <c r="E89" s="87" t="s">
        <v>344</v>
      </c>
      <c r="F89" s="87"/>
      <c r="G89" s="88" t="s">
        <v>344</v>
      </c>
      <c r="H89" s="89">
        <v>31473</v>
      </c>
      <c r="I89" s="89">
        <v>18982</v>
      </c>
      <c r="J89" s="89">
        <v>12491</v>
      </c>
      <c r="K89" s="89">
        <v>2591</v>
      </c>
      <c r="L89" s="89">
        <v>8611</v>
      </c>
      <c r="M89" s="89">
        <v>15273</v>
      </c>
      <c r="N89" s="89">
        <v>4998</v>
      </c>
      <c r="O89" s="89">
        <v>31405</v>
      </c>
      <c r="P89" s="89">
        <v>68</v>
      </c>
      <c r="Q89" s="90">
        <v>0.268826237440774</v>
      </c>
      <c r="R89" s="90">
        <v>0.16469038208168599</v>
      </c>
      <c r="S89" s="90">
        <v>0.43316295590401099</v>
      </c>
      <c r="T89" s="90">
        <v>0.33883947479881399</v>
      </c>
      <c r="U89" s="90">
        <v>0.22235948116121099</v>
      </c>
      <c r="V89" s="90">
        <v>0.30238471582709098</v>
      </c>
      <c r="W89" s="90">
        <v>0.21043771043771001</v>
      </c>
      <c r="X89" s="90">
        <v>0.26938748021685699</v>
      </c>
      <c r="Y89" s="90">
        <v>0</v>
      </c>
      <c r="Z89" s="89">
        <v>40289</v>
      </c>
      <c r="AA89" s="89">
        <v>21584</v>
      </c>
      <c r="AB89" s="89">
        <v>18705</v>
      </c>
      <c r="AC89" s="89">
        <v>3078</v>
      </c>
      <c r="AD89" s="89">
        <v>10253</v>
      </c>
      <c r="AE89" s="89">
        <v>19704</v>
      </c>
      <c r="AF89" s="89">
        <v>7254</v>
      </c>
      <c r="AG89" s="89">
        <v>27315</v>
      </c>
      <c r="AH89" s="89">
        <v>12382</v>
      </c>
      <c r="AI89" s="89">
        <v>592</v>
      </c>
      <c r="AJ89" s="89">
        <v>39905</v>
      </c>
      <c r="AK89" s="89">
        <v>237</v>
      </c>
      <c r="AL89" s="89">
        <v>147</v>
      </c>
      <c r="AM89" s="89">
        <v>3330</v>
      </c>
      <c r="AN89" s="89">
        <v>36490</v>
      </c>
      <c r="AO89" s="89">
        <v>469</v>
      </c>
      <c r="AP89" s="90">
        <v>1.56225711176745</v>
      </c>
      <c r="AQ89" s="90">
        <v>0.43853377186710502</v>
      </c>
      <c r="AR89" s="90">
        <v>2.9002781088597498</v>
      </c>
      <c r="AS89" s="90">
        <v>2.50847457627119</v>
      </c>
      <c r="AT89" s="90">
        <v>1.82417808925075</v>
      </c>
      <c r="AU89" s="90">
        <v>1.58234546994073</v>
      </c>
      <c r="AV89" s="90">
        <v>0.75187969924812004</v>
      </c>
      <c r="AW89" s="90">
        <v>1.15208246485012</v>
      </c>
      <c r="AX89" s="90">
        <v>2.5188485263879401</v>
      </c>
      <c r="AY89" s="90">
        <v>0.927643784786642</v>
      </c>
      <c r="AZ89" s="90">
        <v>1.5481981275171299</v>
      </c>
      <c r="BA89" s="90">
        <v>4.5662100456620998</v>
      </c>
      <c r="BB89" s="90">
        <v>0.70921985815602795</v>
      </c>
      <c r="BC89" s="90">
        <v>1.26309303758472</v>
      </c>
      <c r="BD89" s="90">
        <v>1.58752901395535</v>
      </c>
      <c r="BE89" s="90">
        <v>1.75824175824176</v>
      </c>
    </row>
    <row r="90" spans="2:57" ht="15" customHeight="1" x14ac:dyDescent="0.25">
      <c r="B90" s="91">
        <v>80</v>
      </c>
      <c r="C90" s="92" t="s">
        <v>503</v>
      </c>
      <c r="D90" s="92" t="s">
        <v>27</v>
      </c>
      <c r="E90" s="92" t="s">
        <v>344</v>
      </c>
      <c r="F90" s="92"/>
      <c r="G90" s="93" t="s">
        <v>501</v>
      </c>
      <c r="H90" s="94">
        <v>3334</v>
      </c>
      <c r="I90" s="94">
        <v>1858</v>
      </c>
      <c r="J90" s="94">
        <v>1476</v>
      </c>
      <c r="K90" s="94">
        <v>157</v>
      </c>
      <c r="L90" s="94">
        <v>939</v>
      </c>
      <c r="M90" s="94">
        <v>1896</v>
      </c>
      <c r="N90" s="94">
        <v>342</v>
      </c>
      <c r="O90" s="94">
        <v>3312</v>
      </c>
      <c r="P90" s="94">
        <v>22</v>
      </c>
      <c r="Q90" s="95">
        <v>0.86427656850192103</v>
      </c>
      <c r="R90" s="95">
        <v>0.51487414187642999</v>
      </c>
      <c r="S90" s="95">
        <v>1.3081395348837199</v>
      </c>
      <c r="T90" s="95">
        <v>1.43884892086331</v>
      </c>
      <c r="U90" s="95">
        <v>0.68649885583523995</v>
      </c>
      <c r="V90" s="95">
        <v>0.67377877596855695</v>
      </c>
      <c r="W90" s="95">
        <v>2.1212121212121202</v>
      </c>
      <c r="X90" s="95">
        <v>0.86956521739130399</v>
      </c>
      <c r="Y90" s="95">
        <v>0</v>
      </c>
      <c r="Z90" s="94">
        <v>7195</v>
      </c>
      <c r="AA90" s="94">
        <v>3699</v>
      </c>
      <c r="AB90" s="94">
        <v>3496</v>
      </c>
      <c r="AC90" s="94">
        <v>346</v>
      </c>
      <c r="AD90" s="94">
        <v>1748</v>
      </c>
      <c r="AE90" s="94">
        <v>4190</v>
      </c>
      <c r="AF90" s="94">
        <v>911</v>
      </c>
      <c r="AG90" s="94">
        <v>2969</v>
      </c>
      <c r="AH90" s="94">
        <v>4162</v>
      </c>
      <c r="AI90" s="94">
        <v>64</v>
      </c>
      <c r="AJ90" s="94">
        <v>7089</v>
      </c>
      <c r="AK90" s="94">
        <v>87</v>
      </c>
      <c r="AL90" s="94">
        <v>19</v>
      </c>
      <c r="AM90" s="94">
        <v>416</v>
      </c>
      <c r="AN90" s="94">
        <v>6719</v>
      </c>
      <c r="AO90" s="94">
        <v>60</v>
      </c>
      <c r="AP90" s="95">
        <v>4.5109423849933004</v>
      </c>
      <c r="AQ90" s="95">
        <v>1.43184421534937</v>
      </c>
      <c r="AR90" s="95">
        <v>7.8449612403100799</v>
      </c>
      <c r="AS90" s="95">
        <v>10.9717868338558</v>
      </c>
      <c r="AT90" s="95">
        <v>4.2990654205607504</v>
      </c>
      <c r="AU90" s="95">
        <v>4.0785113433596702</v>
      </c>
      <c r="AV90" s="95">
        <v>4.4827586206896504</v>
      </c>
      <c r="AW90" s="95">
        <v>3.73295046661881</v>
      </c>
      <c r="AX90" s="95">
        <v>5.0878099173553704</v>
      </c>
      <c r="AY90" s="95">
        <v>3.3898305084745801</v>
      </c>
      <c r="AZ90" s="95">
        <v>4.4719746185224398</v>
      </c>
      <c r="BA90" s="95">
        <v>8.6419753086419693</v>
      </c>
      <c r="BB90" s="95">
        <v>0</v>
      </c>
      <c r="BC90" s="95">
        <v>7.2864321608040203</v>
      </c>
      <c r="BD90" s="95">
        <v>4.3117214947301203</v>
      </c>
      <c r="BE90" s="95">
        <v>7.0175438596491198</v>
      </c>
    </row>
    <row r="91" spans="2:57" ht="15" customHeight="1" x14ac:dyDescent="0.25">
      <c r="B91" s="91">
        <v>81</v>
      </c>
      <c r="C91" s="92" t="s">
        <v>503</v>
      </c>
      <c r="D91" s="92" t="s">
        <v>27</v>
      </c>
      <c r="E91" s="92" t="s">
        <v>344</v>
      </c>
      <c r="F91" s="92"/>
      <c r="G91" s="93" t="s">
        <v>502</v>
      </c>
      <c r="H91" s="94">
        <v>28139</v>
      </c>
      <c r="I91" s="94">
        <v>17124</v>
      </c>
      <c r="J91" s="94">
        <v>11015</v>
      </c>
      <c r="K91" s="94">
        <v>2434</v>
      </c>
      <c r="L91" s="94">
        <v>7672</v>
      </c>
      <c r="M91" s="94">
        <v>13377</v>
      </c>
      <c r="N91" s="94">
        <v>4656</v>
      </c>
      <c r="O91" s="94">
        <v>28093</v>
      </c>
      <c r="P91" s="94">
        <v>46</v>
      </c>
      <c r="Q91" s="95">
        <v>0.198986296226769</v>
      </c>
      <c r="R91" s="95">
        <v>0.12752003886325</v>
      </c>
      <c r="S91" s="95">
        <v>0.314743778892495</v>
      </c>
      <c r="T91" s="95">
        <v>0.27002700270027002</v>
      </c>
      <c r="U91" s="95">
        <v>0.16618196925633599</v>
      </c>
      <c r="V91" s="95">
        <v>0.250587314017228</v>
      </c>
      <c r="W91" s="95">
        <v>6.7842605156038002E-2</v>
      </c>
      <c r="X91" s="95">
        <v>0.199308062575211</v>
      </c>
      <c r="Y91" s="95">
        <v>0</v>
      </c>
      <c r="Z91" s="94">
        <v>33094</v>
      </c>
      <c r="AA91" s="94">
        <v>17885</v>
      </c>
      <c r="AB91" s="94">
        <v>15209</v>
      </c>
      <c r="AC91" s="94">
        <v>2732</v>
      </c>
      <c r="AD91" s="94">
        <v>8505</v>
      </c>
      <c r="AE91" s="94">
        <v>15514</v>
      </c>
      <c r="AF91" s="94">
        <v>6343</v>
      </c>
      <c r="AG91" s="94">
        <v>24346</v>
      </c>
      <c r="AH91" s="94">
        <v>8220</v>
      </c>
      <c r="AI91" s="94">
        <v>528</v>
      </c>
      <c r="AJ91" s="94">
        <v>32816</v>
      </c>
      <c r="AK91" s="94">
        <v>150</v>
      </c>
      <c r="AL91" s="94">
        <v>128</v>
      </c>
      <c r="AM91" s="94">
        <v>2914</v>
      </c>
      <c r="AN91" s="94">
        <v>29771</v>
      </c>
      <c r="AO91" s="94">
        <v>409</v>
      </c>
      <c r="AP91" s="95">
        <v>0.94099934130046103</v>
      </c>
      <c r="AQ91" s="95">
        <v>0.24017841825356001</v>
      </c>
      <c r="AR91" s="95">
        <v>1.79241350562734</v>
      </c>
      <c r="AS91" s="95">
        <v>1.4823261117445801</v>
      </c>
      <c r="AT91" s="95">
        <v>1.3336626327488299</v>
      </c>
      <c r="AU91" s="95">
        <v>0.92833767448073201</v>
      </c>
      <c r="AV91" s="95">
        <v>0.22657387926849001</v>
      </c>
      <c r="AW91" s="95">
        <v>0.84742171941866895</v>
      </c>
      <c r="AX91" s="95">
        <v>1.2435897435897401</v>
      </c>
      <c r="AY91" s="95">
        <v>0.625</v>
      </c>
      <c r="AZ91" s="95">
        <v>0.93614598817166905</v>
      </c>
      <c r="BA91" s="95">
        <v>2.1739130434782599</v>
      </c>
      <c r="BB91" s="95">
        <v>0.80645161290322598</v>
      </c>
      <c r="BC91" s="95">
        <v>0.42134831460674199</v>
      </c>
      <c r="BD91" s="95">
        <v>0.99179325999650803</v>
      </c>
      <c r="BE91" s="95">
        <v>1.0050251256281399</v>
      </c>
    </row>
    <row r="92" spans="2:57" ht="15" customHeight="1" x14ac:dyDescent="0.25">
      <c r="B92" s="96">
        <v>82</v>
      </c>
      <c r="C92" s="97" t="s">
        <v>504</v>
      </c>
      <c r="D92" s="97" t="s">
        <v>27</v>
      </c>
      <c r="E92" s="97" t="s">
        <v>344</v>
      </c>
      <c r="F92" s="97" t="s">
        <v>143</v>
      </c>
      <c r="G92" s="98" t="s">
        <v>143</v>
      </c>
      <c r="H92" s="99">
        <v>6780</v>
      </c>
      <c r="I92" s="99">
        <v>4182</v>
      </c>
      <c r="J92" s="99">
        <v>2598</v>
      </c>
      <c r="K92" s="99">
        <v>451</v>
      </c>
      <c r="L92" s="99">
        <v>1693</v>
      </c>
      <c r="M92" s="99">
        <v>3608</v>
      </c>
      <c r="N92" s="99">
        <v>1028</v>
      </c>
      <c r="O92" s="99">
        <v>6756</v>
      </c>
      <c r="P92" s="99">
        <v>24</v>
      </c>
      <c r="Q92" s="100">
        <v>0.564883100580574</v>
      </c>
      <c r="R92" s="100">
        <v>0.327703554323166</v>
      </c>
      <c r="S92" s="100">
        <v>0.95594347464671703</v>
      </c>
      <c r="T92" s="100">
        <v>0.480769230769231</v>
      </c>
      <c r="U92" s="100">
        <v>0.444726810673443</v>
      </c>
      <c r="V92" s="100">
        <v>0.55800293685756197</v>
      </c>
      <c r="W92" s="100">
        <v>0.81799591002045002</v>
      </c>
      <c r="X92" s="100">
        <v>0.56692913385826804</v>
      </c>
      <c r="Y92" s="100">
        <v>0</v>
      </c>
      <c r="Z92" s="99">
        <v>8329</v>
      </c>
      <c r="AA92" s="99">
        <v>4392</v>
      </c>
      <c r="AB92" s="99">
        <v>3937</v>
      </c>
      <c r="AC92" s="99">
        <v>419</v>
      </c>
      <c r="AD92" s="99">
        <v>1910</v>
      </c>
      <c r="AE92" s="99">
        <v>4397</v>
      </c>
      <c r="AF92" s="99">
        <v>1603</v>
      </c>
      <c r="AG92" s="99">
        <v>3100</v>
      </c>
      <c r="AH92" s="99">
        <v>5104</v>
      </c>
      <c r="AI92" s="99">
        <v>125</v>
      </c>
      <c r="AJ92" s="99">
        <v>8268</v>
      </c>
      <c r="AK92" s="99">
        <v>41</v>
      </c>
      <c r="AL92" s="99">
        <v>20</v>
      </c>
      <c r="AM92" s="99">
        <v>719</v>
      </c>
      <c r="AN92" s="99">
        <v>7491</v>
      </c>
      <c r="AO92" s="99">
        <v>119</v>
      </c>
      <c r="AP92" s="100">
        <v>2.95015259409969</v>
      </c>
      <c r="AQ92" s="100">
        <v>0.94966761633428298</v>
      </c>
      <c r="AR92" s="100">
        <v>5.2573932092004396</v>
      </c>
      <c r="AS92" s="100">
        <v>6.3451776649746199</v>
      </c>
      <c r="AT92" s="100">
        <v>2.9825548677546401</v>
      </c>
      <c r="AU92" s="100">
        <v>3.03103199422661</v>
      </c>
      <c r="AV92" s="100">
        <v>1.8229166666666701</v>
      </c>
      <c r="AW92" s="100">
        <v>1.4208389715832199</v>
      </c>
      <c r="AX92" s="100">
        <v>3.9240242120642899</v>
      </c>
      <c r="AY92" s="100">
        <v>1.70940170940171</v>
      </c>
      <c r="AZ92" s="100">
        <v>2.9212043561819301</v>
      </c>
      <c r="BA92" s="100">
        <v>10.2564102564103</v>
      </c>
      <c r="BB92" s="100">
        <v>0</v>
      </c>
      <c r="BC92" s="100">
        <v>3.5714285714285698</v>
      </c>
      <c r="BD92" s="100">
        <v>2.9224003404738301</v>
      </c>
      <c r="BE92" s="100">
        <v>0.86956521739130399</v>
      </c>
    </row>
    <row r="93" spans="2:57" ht="15" customHeight="1" x14ac:dyDescent="0.25">
      <c r="B93" s="91">
        <v>83</v>
      </c>
      <c r="C93" s="92" t="s">
        <v>504</v>
      </c>
      <c r="D93" s="92" t="s">
        <v>27</v>
      </c>
      <c r="E93" s="92" t="s">
        <v>344</v>
      </c>
      <c r="F93" s="92" t="s">
        <v>143</v>
      </c>
      <c r="G93" s="101" t="s">
        <v>501</v>
      </c>
      <c r="H93" s="94">
        <v>2208</v>
      </c>
      <c r="I93" s="94">
        <v>1197</v>
      </c>
      <c r="J93" s="94">
        <v>1011</v>
      </c>
      <c r="K93" s="94">
        <v>100</v>
      </c>
      <c r="L93" s="94">
        <v>552</v>
      </c>
      <c r="M93" s="94">
        <v>1296</v>
      </c>
      <c r="N93" s="94">
        <v>260</v>
      </c>
      <c r="O93" s="94">
        <v>2192</v>
      </c>
      <c r="P93" s="94">
        <v>16</v>
      </c>
      <c r="Q93" s="95">
        <v>1.2652068126520699</v>
      </c>
      <c r="R93" s="95">
        <v>0.80500894454382799</v>
      </c>
      <c r="S93" s="95">
        <v>1.81430096051227</v>
      </c>
      <c r="T93" s="95">
        <v>2.2471910112359601</v>
      </c>
      <c r="U93" s="95">
        <v>1.1834319526627199</v>
      </c>
      <c r="V93" s="95">
        <v>0.91059602649006599</v>
      </c>
      <c r="W93" s="95">
        <v>2.78884462151394</v>
      </c>
      <c r="X93" s="95">
        <v>1.2745098039215701</v>
      </c>
      <c r="Y93" s="95">
        <v>0</v>
      </c>
      <c r="Z93" s="94">
        <v>2824</v>
      </c>
      <c r="AA93" s="94">
        <v>1410</v>
      </c>
      <c r="AB93" s="94">
        <v>1414</v>
      </c>
      <c r="AC93" s="94">
        <v>108</v>
      </c>
      <c r="AD93" s="94">
        <v>604</v>
      </c>
      <c r="AE93" s="94">
        <v>1675</v>
      </c>
      <c r="AF93" s="94">
        <v>437</v>
      </c>
      <c r="AG93" s="94">
        <v>603</v>
      </c>
      <c r="AH93" s="94">
        <v>2194</v>
      </c>
      <c r="AI93" s="94">
        <v>27</v>
      </c>
      <c r="AJ93" s="94">
        <v>2795</v>
      </c>
      <c r="AK93" s="94">
        <v>24</v>
      </c>
      <c r="AL93" s="94">
        <v>5</v>
      </c>
      <c r="AM93" s="94">
        <v>222</v>
      </c>
      <c r="AN93" s="94">
        <v>2586</v>
      </c>
      <c r="AO93" s="94">
        <v>16</v>
      </c>
      <c r="AP93" s="95">
        <v>6.3528511289705296</v>
      </c>
      <c r="AQ93" s="95">
        <v>2.4353120243531201</v>
      </c>
      <c r="AR93" s="95">
        <v>10.3156274056967</v>
      </c>
      <c r="AS93" s="95">
        <v>20.202020202020201</v>
      </c>
      <c r="AT93" s="95">
        <v>5.4545454545454497</v>
      </c>
      <c r="AU93" s="95">
        <v>5.8671824629271399</v>
      </c>
      <c r="AV93" s="95">
        <v>6.0532687651331702</v>
      </c>
      <c r="AW93" s="95">
        <v>4.4964028776978404</v>
      </c>
      <c r="AX93" s="95">
        <v>6.8897637795275601</v>
      </c>
      <c r="AY93" s="95">
        <v>4</v>
      </c>
      <c r="AZ93" s="95">
        <v>6.3080495356037201</v>
      </c>
      <c r="BA93" s="95">
        <v>12.5</v>
      </c>
      <c r="BB93" s="95">
        <v>0</v>
      </c>
      <c r="BC93" s="95">
        <v>10.3286384976526</v>
      </c>
      <c r="BD93" s="95">
        <v>5.9958071278825997</v>
      </c>
      <c r="BE93" s="95">
        <v>6.6666666666666696</v>
      </c>
    </row>
    <row r="94" spans="2:57" ht="15" customHeight="1" x14ac:dyDescent="0.25">
      <c r="B94" s="91">
        <v>84</v>
      </c>
      <c r="C94" s="92" t="s">
        <v>504</v>
      </c>
      <c r="D94" s="92" t="s">
        <v>27</v>
      </c>
      <c r="E94" s="92" t="s">
        <v>344</v>
      </c>
      <c r="F94" s="92" t="s">
        <v>143</v>
      </c>
      <c r="G94" s="101" t="s">
        <v>502</v>
      </c>
      <c r="H94" s="94">
        <v>4572</v>
      </c>
      <c r="I94" s="94">
        <v>2985</v>
      </c>
      <c r="J94" s="94">
        <v>1587</v>
      </c>
      <c r="K94" s="94">
        <v>351</v>
      </c>
      <c r="L94" s="94">
        <v>1141</v>
      </c>
      <c r="M94" s="94">
        <v>2312</v>
      </c>
      <c r="N94" s="94">
        <v>768</v>
      </c>
      <c r="O94" s="94">
        <v>4564</v>
      </c>
      <c r="P94" s="94">
        <v>8</v>
      </c>
      <c r="Q94" s="95">
        <v>0.231588698471515</v>
      </c>
      <c r="R94" s="95">
        <v>0.14040014040014001</v>
      </c>
      <c r="S94" s="95">
        <v>0.40844111640571801</v>
      </c>
      <c r="T94" s="95">
        <v>0</v>
      </c>
      <c r="U94" s="95">
        <v>9.3720712277413298E-2</v>
      </c>
      <c r="V94" s="95">
        <v>0.36413290851160701</v>
      </c>
      <c r="W94" s="95">
        <v>0.137551581843191</v>
      </c>
      <c r="X94" s="95">
        <v>0.23201856148491901</v>
      </c>
      <c r="Y94" s="95">
        <v>0</v>
      </c>
      <c r="Z94" s="94">
        <v>5505</v>
      </c>
      <c r="AA94" s="94">
        <v>2982</v>
      </c>
      <c r="AB94" s="94">
        <v>2523</v>
      </c>
      <c r="AC94" s="94">
        <v>311</v>
      </c>
      <c r="AD94" s="94">
        <v>1306</v>
      </c>
      <c r="AE94" s="94">
        <v>2722</v>
      </c>
      <c r="AF94" s="94">
        <v>1166</v>
      </c>
      <c r="AG94" s="94">
        <v>2497</v>
      </c>
      <c r="AH94" s="94">
        <v>2910</v>
      </c>
      <c r="AI94" s="94">
        <v>98</v>
      </c>
      <c r="AJ94" s="94">
        <v>5473</v>
      </c>
      <c r="AK94" s="94">
        <v>17</v>
      </c>
      <c r="AL94" s="94">
        <v>15</v>
      </c>
      <c r="AM94" s="94">
        <v>497</v>
      </c>
      <c r="AN94" s="94">
        <v>4905</v>
      </c>
      <c r="AO94" s="94">
        <v>103</v>
      </c>
      <c r="AP94" s="95">
        <v>1.25690344696248</v>
      </c>
      <c r="AQ94" s="95">
        <v>0.276052449965493</v>
      </c>
      <c r="AR94" s="95">
        <v>2.4649383765405899</v>
      </c>
      <c r="AS94" s="95">
        <v>1.6949152542372901</v>
      </c>
      <c r="AT94" s="95">
        <v>1.87449062754686</v>
      </c>
      <c r="AU94" s="95">
        <v>1.34305448963929</v>
      </c>
      <c r="AV94" s="95">
        <v>0.26714158504007102</v>
      </c>
      <c r="AW94" s="95">
        <v>0.70833333333333304</v>
      </c>
      <c r="AX94" s="95">
        <v>1.73976078289235</v>
      </c>
      <c r="AY94" s="95">
        <v>1.0869565217391299</v>
      </c>
      <c r="AZ94" s="95">
        <v>1.24497222754262</v>
      </c>
      <c r="BA94" s="95">
        <v>6.6666666666666696</v>
      </c>
      <c r="BB94" s="95">
        <v>0</v>
      </c>
      <c r="BC94" s="95">
        <v>0.61601642710472304</v>
      </c>
      <c r="BD94" s="95">
        <v>1.3507718696397899</v>
      </c>
      <c r="BE94" s="95">
        <v>0</v>
      </c>
    </row>
    <row r="95" spans="2:57" ht="15" customHeight="1" x14ac:dyDescent="0.25">
      <c r="B95" s="96">
        <v>85</v>
      </c>
      <c r="C95" s="97" t="s">
        <v>504</v>
      </c>
      <c r="D95" s="97" t="s">
        <v>27</v>
      </c>
      <c r="E95" s="97" t="s">
        <v>344</v>
      </c>
      <c r="F95" s="97" t="s">
        <v>147</v>
      </c>
      <c r="G95" s="98" t="s">
        <v>147</v>
      </c>
      <c r="H95" s="99">
        <v>12980</v>
      </c>
      <c r="I95" s="99">
        <v>7405</v>
      </c>
      <c r="J95" s="99">
        <v>5575</v>
      </c>
      <c r="K95" s="99">
        <v>1015</v>
      </c>
      <c r="L95" s="99">
        <v>3114</v>
      </c>
      <c r="M95" s="99">
        <v>6288</v>
      </c>
      <c r="N95" s="99">
        <v>2563</v>
      </c>
      <c r="O95" s="99">
        <v>12953</v>
      </c>
      <c r="P95" s="99">
        <v>27</v>
      </c>
      <c r="Q95" s="100">
        <v>0.24469820554649299</v>
      </c>
      <c r="R95" s="100">
        <v>0.12713660121486101</v>
      </c>
      <c r="S95" s="100">
        <v>0.40532715691951399</v>
      </c>
      <c r="T95" s="100">
        <v>0.44792833146696498</v>
      </c>
      <c r="U95" s="100">
        <v>0.30695770804911299</v>
      </c>
      <c r="V95" s="100">
        <v>0.24983344437041999</v>
      </c>
      <c r="W95" s="100">
        <v>8.2270670505964594E-2</v>
      </c>
      <c r="X95" s="100">
        <v>0.245198201879853</v>
      </c>
      <c r="Y95" s="100">
        <v>0</v>
      </c>
      <c r="Z95" s="99">
        <v>14571</v>
      </c>
      <c r="AA95" s="99">
        <v>7583</v>
      </c>
      <c r="AB95" s="99">
        <v>6988</v>
      </c>
      <c r="AC95" s="99">
        <v>1318</v>
      </c>
      <c r="AD95" s="99">
        <v>3368</v>
      </c>
      <c r="AE95" s="99">
        <v>6690</v>
      </c>
      <c r="AF95" s="99">
        <v>3195</v>
      </c>
      <c r="AG95" s="99">
        <v>12853</v>
      </c>
      <c r="AH95" s="99">
        <v>1534</v>
      </c>
      <c r="AI95" s="99">
        <v>184</v>
      </c>
      <c r="AJ95" s="99">
        <v>14410</v>
      </c>
      <c r="AK95" s="99">
        <v>94</v>
      </c>
      <c r="AL95" s="99">
        <v>67</v>
      </c>
      <c r="AM95" s="99">
        <v>1507</v>
      </c>
      <c r="AN95" s="99">
        <v>12874</v>
      </c>
      <c r="AO95" s="99">
        <v>190</v>
      </c>
      <c r="AP95" s="100">
        <v>1.40704945992041</v>
      </c>
      <c r="AQ95" s="100">
        <v>0.33884521550555702</v>
      </c>
      <c r="AR95" s="100">
        <v>2.5844039438303001</v>
      </c>
      <c r="AS95" s="100">
        <v>2.2961203483768799</v>
      </c>
      <c r="AT95" s="100">
        <v>2.0950594121325801</v>
      </c>
      <c r="AU95" s="100">
        <v>1.31233595800525</v>
      </c>
      <c r="AV95" s="100">
        <v>0.54243777919591596</v>
      </c>
      <c r="AW95" s="100">
        <v>1.29483673797652</v>
      </c>
      <c r="AX95" s="100">
        <v>2.4523160762942799</v>
      </c>
      <c r="AY95" s="100">
        <v>0.58823529411764697</v>
      </c>
      <c r="AZ95" s="100">
        <v>1.40784370061773</v>
      </c>
      <c r="BA95" s="100">
        <v>2.32558139534884</v>
      </c>
      <c r="BB95" s="100">
        <v>0</v>
      </c>
      <c r="BC95" s="100">
        <v>0.54237288135593198</v>
      </c>
      <c r="BD95" s="100">
        <v>1.4743796326136001</v>
      </c>
      <c r="BE95" s="100">
        <v>3.7837837837837802</v>
      </c>
    </row>
    <row r="96" spans="2:57" ht="15" customHeight="1" x14ac:dyDescent="0.25">
      <c r="B96" s="91">
        <v>86</v>
      </c>
      <c r="C96" s="92" t="s">
        <v>504</v>
      </c>
      <c r="D96" s="92" t="s">
        <v>27</v>
      </c>
      <c r="E96" s="92" t="s">
        <v>344</v>
      </c>
      <c r="F96" s="92" t="s">
        <v>147</v>
      </c>
      <c r="G96" s="101" t="s">
        <v>501</v>
      </c>
      <c r="H96" s="94">
        <v>0</v>
      </c>
      <c r="I96" s="94">
        <v>0</v>
      </c>
      <c r="J96" s="94">
        <v>0</v>
      </c>
      <c r="K96" s="94">
        <v>0</v>
      </c>
      <c r="L96" s="94">
        <v>0</v>
      </c>
      <c r="M96" s="94">
        <v>0</v>
      </c>
      <c r="N96" s="94">
        <v>0</v>
      </c>
      <c r="O96" s="94">
        <v>0</v>
      </c>
      <c r="P96" s="94">
        <v>0</v>
      </c>
      <c r="Q96" s="95">
        <v>0</v>
      </c>
      <c r="R96" s="95">
        <v>0</v>
      </c>
      <c r="S96" s="95">
        <v>0</v>
      </c>
      <c r="T96" s="95">
        <v>0</v>
      </c>
      <c r="U96" s="95">
        <v>0</v>
      </c>
      <c r="V96" s="95">
        <v>0</v>
      </c>
      <c r="W96" s="95">
        <v>0</v>
      </c>
      <c r="X96" s="95">
        <v>0</v>
      </c>
      <c r="Y96" s="95">
        <v>0</v>
      </c>
      <c r="Z96" s="94">
        <v>1332</v>
      </c>
      <c r="AA96" s="94">
        <v>657</v>
      </c>
      <c r="AB96" s="94">
        <v>675</v>
      </c>
      <c r="AC96" s="94">
        <v>94</v>
      </c>
      <c r="AD96" s="94">
        <v>326</v>
      </c>
      <c r="AE96" s="94">
        <v>739</v>
      </c>
      <c r="AF96" s="94">
        <v>173</v>
      </c>
      <c r="AG96" s="94">
        <v>1036</v>
      </c>
      <c r="AH96" s="94">
        <v>283</v>
      </c>
      <c r="AI96" s="94">
        <v>13</v>
      </c>
      <c r="AJ96" s="94">
        <v>1311</v>
      </c>
      <c r="AK96" s="94">
        <v>13</v>
      </c>
      <c r="AL96" s="94">
        <v>8</v>
      </c>
      <c r="AM96" s="94">
        <v>80</v>
      </c>
      <c r="AN96" s="94">
        <v>1236</v>
      </c>
      <c r="AO96" s="94">
        <v>16</v>
      </c>
      <c r="AP96" s="95">
        <v>4.4917257683215102</v>
      </c>
      <c r="AQ96" s="95">
        <v>1.28824476650564</v>
      </c>
      <c r="AR96" s="95">
        <v>7.5617283950617296</v>
      </c>
      <c r="AS96" s="95">
        <v>5.6818181818181799</v>
      </c>
      <c r="AT96" s="95">
        <v>6.1488673139158596</v>
      </c>
      <c r="AU96" s="95">
        <v>3.13390313390313</v>
      </c>
      <c r="AV96" s="95">
        <v>6.4705882352941204</v>
      </c>
      <c r="AW96" s="95">
        <v>4.3699186991869903</v>
      </c>
      <c r="AX96" s="95">
        <v>4.7445255474452503</v>
      </c>
      <c r="AY96" s="95">
        <v>9.0909090909090899</v>
      </c>
      <c r="AZ96" s="95">
        <v>4.5599999999999996</v>
      </c>
      <c r="BA96" s="95">
        <v>0</v>
      </c>
      <c r="BB96" s="95">
        <v>0</v>
      </c>
      <c r="BC96" s="95">
        <v>2.5974025974026</v>
      </c>
      <c r="BD96" s="95">
        <v>4.4217687074829897</v>
      </c>
      <c r="BE96" s="95">
        <v>18.75</v>
      </c>
    </row>
    <row r="97" spans="2:57" ht="15" customHeight="1" x14ac:dyDescent="0.25">
      <c r="B97" s="91">
        <v>87</v>
      </c>
      <c r="C97" s="92" t="s">
        <v>504</v>
      </c>
      <c r="D97" s="92" t="s">
        <v>27</v>
      </c>
      <c r="E97" s="92" t="s">
        <v>344</v>
      </c>
      <c r="F97" s="92" t="s">
        <v>147</v>
      </c>
      <c r="G97" s="101" t="s">
        <v>502</v>
      </c>
      <c r="H97" s="94">
        <v>12980</v>
      </c>
      <c r="I97" s="94">
        <v>7405</v>
      </c>
      <c r="J97" s="94">
        <v>5575</v>
      </c>
      <c r="K97" s="94">
        <v>1015</v>
      </c>
      <c r="L97" s="94">
        <v>3114</v>
      </c>
      <c r="M97" s="94">
        <v>6288</v>
      </c>
      <c r="N97" s="94">
        <v>2563</v>
      </c>
      <c r="O97" s="94">
        <v>12953</v>
      </c>
      <c r="P97" s="94">
        <v>27</v>
      </c>
      <c r="Q97" s="95">
        <v>0.24469820554649299</v>
      </c>
      <c r="R97" s="95">
        <v>0.12713660121486101</v>
      </c>
      <c r="S97" s="95">
        <v>0.40532715691951399</v>
      </c>
      <c r="T97" s="95">
        <v>0.44792833146696498</v>
      </c>
      <c r="U97" s="95">
        <v>0.30695770804911299</v>
      </c>
      <c r="V97" s="95">
        <v>0.24983344437041999</v>
      </c>
      <c r="W97" s="95">
        <v>8.2270670505964594E-2</v>
      </c>
      <c r="X97" s="95">
        <v>0.245198201879853</v>
      </c>
      <c r="Y97" s="95">
        <v>0</v>
      </c>
      <c r="Z97" s="94">
        <v>13239</v>
      </c>
      <c r="AA97" s="94">
        <v>6926</v>
      </c>
      <c r="AB97" s="94">
        <v>6313</v>
      </c>
      <c r="AC97" s="94">
        <v>1224</v>
      </c>
      <c r="AD97" s="94">
        <v>3042</v>
      </c>
      <c r="AE97" s="94">
        <v>5951</v>
      </c>
      <c r="AF97" s="94">
        <v>3022</v>
      </c>
      <c r="AG97" s="94">
        <v>11817</v>
      </c>
      <c r="AH97" s="94">
        <v>1251</v>
      </c>
      <c r="AI97" s="94">
        <v>171</v>
      </c>
      <c r="AJ97" s="94">
        <v>13099</v>
      </c>
      <c r="AK97" s="94">
        <v>81</v>
      </c>
      <c r="AL97" s="94">
        <v>59</v>
      </c>
      <c r="AM97" s="94">
        <v>1427</v>
      </c>
      <c r="AN97" s="94">
        <v>11638</v>
      </c>
      <c r="AO97" s="94">
        <v>174</v>
      </c>
      <c r="AP97" s="95">
        <v>1.1013043817855199</v>
      </c>
      <c r="AQ97" s="95">
        <v>0.25159094272606197</v>
      </c>
      <c r="AR97" s="95">
        <v>2.0509427720807101</v>
      </c>
      <c r="AS97" s="95">
        <v>2.0425531914893602</v>
      </c>
      <c r="AT97" s="95">
        <v>1.6614745586708199</v>
      </c>
      <c r="AU97" s="95">
        <v>1.0909090909090899</v>
      </c>
      <c r="AV97" s="95">
        <v>0.20242914979757101</v>
      </c>
      <c r="AW97" s="95">
        <v>1.0305676855895201</v>
      </c>
      <c r="AX97" s="95">
        <v>1.92629815745394</v>
      </c>
      <c r="AY97" s="95">
        <v>0</v>
      </c>
      <c r="AZ97" s="95">
        <v>1.09690656565657</v>
      </c>
      <c r="BA97" s="95">
        <v>2.7027027027027</v>
      </c>
      <c r="BB97" s="95">
        <v>0</v>
      </c>
      <c r="BC97" s="95">
        <v>0.42918454935622302</v>
      </c>
      <c r="BD97" s="95">
        <v>1.16589533641865</v>
      </c>
      <c r="BE97" s="95">
        <v>2.3668639053254399</v>
      </c>
    </row>
    <row r="98" spans="2:57" ht="15" customHeight="1" x14ac:dyDescent="0.25">
      <c r="B98" s="96">
        <v>88</v>
      </c>
      <c r="C98" s="97" t="s">
        <v>504</v>
      </c>
      <c r="D98" s="97" t="s">
        <v>27</v>
      </c>
      <c r="E98" s="97" t="s">
        <v>344</v>
      </c>
      <c r="F98" s="97" t="s">
        <v>87</v>
      </c>
      <c r="G98" s="98" t="s">
        <v>87</v>
      </c>
      <c r="H98" s="99">
        <v>5209</v>
      </c>
      <c r="I98" s="99">
        <v>3292</v>
      </c>
      <c r="J98" s="99">
        <v>1917</v>
      </c>
      <c r="K98" s="99">
        <v>513</v>
      </c>
      <c r="L98" s="99">
        <v>1745</v>
      </c>
      <c r="M98" s="99">
        <v>2353</v>
      </c>
      <c r="N98" s="99">
        <v>598</v>
      </c>
      <c r="O98" s="99">
        <v>5201</v>
      </c>
      <c r="P98" s="99">
        <v>8</v>
      </c>
      <c r="Q98" s="100">
        <v>0.16086869093102801</v>
      </c>
      <c r="R98" s="100">
        <v>0.188146754468485</v>
      </c>
      <c r="S98" s="100">
        <v>0.112107623318386</v>
      </c>
      <c r="T98" s="100">
        <v>0</v>
      </c>
      <c r="U98" s="100">
        <v>0.12121212121212099</v>
      </c>
      <c r="V98" s="100">
        <v>0.26525198938992001</v>
      </c>
      <c r="W98" s="100">
        <v>0</v>
      </c>
      <c r="X98" s="100">
        <v>0.16112789526686799</v>
      </c>
      <c r="Y98" s="100">
        <v>0</v>
      </c>
      <c r="Z98" s="99">
        <v>9501</v>
      </c>
      <c r="AA98" s="99">
        <v>5392</v>
      </c>
      <c r="AB98" s="99">
        <v>4109</v>
      </c>
      <c r="AC98" s="99">
        <v>676</v>
      </c>
      <c r="AD98" s="99">
        <v>2604</v>
      </c>
      <c r="AE98" s="99">
        <v>4904</v>
      </c>
      <c r="AF98" s="99">
        <v>1317</v>
      </c>
      <c r="AG98" s="99">
        <v>5153</v>
      </c>
      <c r="AH98" s="99">
        <v>4131</v>
      </c>
      <c r="AI98" s="99">
        <v>217</v>
      </c>
      <c r="AJ98" s="99">
        <v>9425</v>
      </c>
      <c r="AK98" s="99">
        <v>35</v>
      </c>
      <c r="AL98" s="99">
        <v>41</v>
      </c>
      <c r="AM98" s="99">
        <v>498</v>
      </c>
      <c r="AN98" s="99">
        <v>8902</v>
      </c>
      <c r="AO98" s="99">
        <v>101</v>
      </c>
      <c r="AP98" s="100">
        <v>0.73975930219719599</v>
      </c>
      <c r="AQ98" s="100">
        <v>0.17123287671232901</v>
      </c>
      <c r="AR98" s="100">
        <v>1.5259142330965501</v>
      </c>
      <c r="AS98" s="100">
        <v>1.0687022900763401</v>
      </c>
      <c r="AT98" s="100">
        <v>0.97600650671004496</v>
      </c>
      <c r="AU98" s="100">
        <v>0.70482699700982498</v>
      </c>
      <c r="AV98" s="100">
        <v>0.23790642347343399</v>
      </c>
      <c r="AW98" s="100">
        <v>0.64438179621425695</v>
      </c>
      <c r="AX98" s="100">
        <v>0.84615384615384603</v>
      </c>
      <c r="AY98" s="100">
        <v>1.04712041884817</v>
      </c>
      <c r="AZ98" s="100">
        <v>0.723669561344912</v>
      </c>
      <c r="BA98" s="100">
        <v>2.8571428571428599</v>
      </c>
      <c r="BB98" s="100">
        <v>2.5</v>
      </c>
      <c r="BC98" s="100">
        <v>0.21052631578947401</v>
      </c>
      <c r="BD98" s="100">
        <v>0.77802664151833101</v>
      </c>
      <c r="BE98" s="100">
        <v>0</v>
      </c>
    </row>
    <row r="99" spans="2:57" ht="15" customHeight="1" x14ac:dyDescent="0.25">
      <c r="B99" s="91">
        <v>89</v>
      </c>
      <c r="C99" s="92" t="s">
        <v>504</v>
      </c>
      <c r="D99" s="92" t="s">
        <v>27</v>
      </c>
      <c r="E99" s="92" t="s">
        <v>344</v>
      </c>
      <c r="F99" s="92" t="s">
        <v>87</v>
      </c>
      <c r="G99" s="101" t="s">
        <v>501</v>
      </c>
      <c r="H99" s="94">
        <v>0</v>
      </c>
      <c r="I99" s="94">
        <v>0</v>
      </c>
      <c r="J99" s="94">
        <v>0</v>
      </c>
      <c r="K99" s="94">
        <v>0</v>
      </c>
      <c r="L99" s="94">
        <v>0</v>
      </c>
      <c r="M99" s="94">
        <v>0</v>
      </c>
      <c r="N99" s="94">
        <v>0</v>
      </c>
      <c r="O99" s="94">
        <v>0</v>
      </c>
      <c r="P99" s="94">
        <v>0</v>
      </c>
      <c r="Q99" s="95">
        <v>0</v>
      </c>
      <c r="R99" s="95">
        <v>0</v>
      </c>
      <c r="S99" s="95">
        <v>0</v>
      </c>
      <c r="T99" s="95">
        <v>0</v>
      </c>
      <c r="U99" s="95">
        <v>0</v>
      </c>
      <c r="V99" s="95">
        <v>0</v>
      </c>
      <c r="W99" s="95">
        <v>0</v>
      </c>
      <c r="X99" s="95">
        <v>0</v>
      </c>
      <c r="Y99" s="95">
        <v>0</v>
      </c>
      <c r="Z99" s="94">
        <v>1658</v>
      </c>
      <c r="AA99" s="94">
        <v>940</v>
      </c>
      <c r="AB99" s="94">
        <v>718</v>
      </c>
      <c r="AC99" s="94">
        <v>57</v>
      </c>
      <c r="AD99" s="94">
        <v>408</v>
      </c>
      <c r="AE99" s="94">
        <v>1017</v>
      </c>
      <c r="AF99" s="94">
        <v>176</v>
      </c>
      <c r="AG99" s="94">
        <v>616</v>
      </c>
      <c r="AH99" s="94">
        <v>1028</v>
      </c>
      <c r="AI99" s="94">
        <v>14</v>
      </c>
      <c r="AJ99" s="94">
        <v>1638</v>
      </c>
      <c r="AK99" s="94">
        <v>18</v>
      </c>
      <c r="AL99" s="94">
        <v>2</v>
      </c>
      <c r="AM99" s="94">
        <v>48</v>
      </c>
      <c r="AN99" s="94">
        <v>1588</v>
      </c>
      <c r="AO99" s="94">
        <v>22</v>
      </c>
      <c r="AP99" s="95">
        <v>1.95185426154847</v>
      </c>
      <c r="AQ99" s="95">
        <v>0.67264573991031396</v>
      </c>
      <c r="AR99" s="95">
        <v>3.7209302325581399</v>
      </c>
      <c r="AS99" s="95">
        <v>5.7692307692307701</v>
      </c>
      <c r="AT99" s="95">
        <v>1.6172506738544501</v>
      </c>
      <c r="AU99" s="95">
        <v>2.1052631578947398</v>
      </c>
      <c r="AV99" s="95">
        <v>0.60975609756097604</v>
      </c>
      <c r="AW99" s="95">
        <v>1.7482517482517499</v>
      </c>
      <c r="AX99" s="95">
        <v>2.1030494216614102</v>
      </c>
      <c r="AY99" s="95">
        <v>0</v>
      </c>
      <c r="AZ99" s="95">
        <v>1.9116677653262999</v>
      </c>
      <c r="BA99" s="95">
        <v>5.5555555555555598</v>
      </c>
      <c r="BB99" s="95">
        <v>0</v>
      </c>
      <c r="BC99" s="95">
        <v>2.38095238095238</v>
      </c>
      <c r="BD99" s="95">
        <v>1.96877121520706</v>
      </c>
      <c r="BE99" s="95">
        <v>0</v>
      </c>
    </row>
    <row r="100" spans="2:57" ht="15" customHeight="1" x14ac:dyDescent="0.25">
      <c r="B100" s="91">
        <v>90</v>
      </c>
      <c r="C100" s="92" t="s">
        <v>504</v>
      </c>
      <c r="D100" s="92" t="s">
        <v>27</v>
      </c>
      <c r="E100" s="92" t="s">
        <v>344</v>
      </c>
      <c r="F100" s="92" t="s">
        <v>87</v>
      </c>
      <c r="G100" s="101" t="s">
        <v>502</v>
      </c>
      <c r="H100" s="94">
        <v>5209</v>
      </c>
      <c r="I100" s="94">
        <v>3292</v>
      </c>
      <c r="J100" s="94">
        <v>1917</v>
      </c>
      <c r="K100" s="94">
        <v>513</v>
      </c>
      <c r="L100" s="94">
        <v>1745</v>
      </c>
      <c r="M100" s="94">
        <v>2353</v>
      </c>
      <c r="N100" s="94">
        <v>598</v>
      </c>
      <c r="O100" s="94">
        <v>5201</v>
      </c>
      <c r="P100" s="94">
        <v>8</v>
      </c>
      <c r="Q100" s="95">
        <v>0.16086869093102801</v>
      </c>
      <c r="R100" s="95">
        <v>0.188146754468485</v>
      </c>
      <c r="S100" s="95">
        <v>0.112107623318386</v>
      </c>
      <c r="T100" s="95">
        <v>0</v>
      </c>
      <c r="U100" s="95">
        <v>0.12121212121212099</v>
      </c>
      <c r="V100" s="95">
        <v>0.26525198938992001</v>
      </c>
      <c r="W100" s="95">
        <v>0</v>
      </c>
      <c r="X100" s="95">
        <v>0.16112789526686799</v>
      </c>
      <c r="Y100" s="95">
        <v>0</v>
      </c>
      <c r="Z100" s="94">
        <v>7843</v>
      </c>
      <c r="AA100" s="94">
        <v>4452</v>
      </c>
      <c r="AB100" s="94">
        <v>3391</v>
      </c>
      <c r="AC100" s="94">
        <v>619</v>
      </c>
      <c r="AD100" s="94">
        <v>2196</v>
      </c>
      <c r="AE100" s="94">
        <v>3887</v>
      </c>
      <c r="AF100" s="94">
        <v>1141</v>
      </c>
      <c r="AG100" s="94">
        <v>4537</v>
      </c>
      <c r="AH100" s="94">
        <v>3103</v>
      </c>
      <c r="AI100" s="94">
        <v>203</v>
      </c>
      <c r="AJ100" s="94">
        <v>7787</v>
      </c>
      <c r="AK100" s="94">
        <v>17</v>
      </c>
      <c r="AL100" s="94">
        <v>39</v>
      </c>
      <c r="AM100" s="94">
        <v>450</v>
      </c>
      <c r="AN100" s="94">
        <v>7314</v>
      </c>
      <c r="AO100" s="94">
        <v>79</v>
      </c>
      <c r="AP100" s="95">
        <v>0.49202127659574502</v>
      </c>
      <c r="AQ100" s="95">
        <v>6.8744271310724095E-2</v>
      </c>
      <c r="AR100" s="95">
        <v>1.0773130544993701</v>
      </c>
      <c r="AS100" s="95">
        <v>0.66334991708126001</v>
      </c>
      <c r="AT100" s="95">
        <v>0.86206896551724099</v>
      </c>
      <c r="AU100" s="95">
        <v>0.34833869239013898</v>
      </c>
      <c r="AV100" s="95">
        <v>0.18231540565177801</v>
      </c>
      <c r="AW100" s="95">
        <v>0.50068274920345901</v>
      </c>
      <c r="AX100" s="95">
        <v>0.44082739911834501</v>
      </c>
      <c r="AY100" s="95">
        <v>1.1299435028248599</v>
      </c>
      <c r="AZ100" s="95">
        <v>0.48225050234427302</v>
      </c>
      <c r="BA100" s="95">
        <v>0</v>
      </c>
      <c r="BB100" s="95">
        <v>2.6315789473684199</v>
      </c>
      <c r="BC100" s="95">
        <v>0</v>
      </c>
      <c r="BD100" s="95">
        <v>0.527817403708987</v>
      </c>
      <c r="BE100" s="95">
        <v>0</v>
      </c>
    </row>
    <row r="101" spans="2:57" ht="15" customHeight="1" x14ac:dyDescent="0.25">
      <c r="B101" s="96">
        <v>91</v>
      </c>
      <c r="C101" s="97" t="s">
        <v>504</v>
      </c>
      <c r="D101" s="97" t="s">
        <v>27</v>
      </c>
      <c r="E101" s="97" t="s">
        <v>344</v>
      </c>
      <c r="F101" s="97" t="s">
        <v>150</v>
      </c>
      <c r="G101" s="98" t="s">
        <v>150</v>
      </c>
      <c r="H101" s="99">
        <v>6504</v>
      </c>
      <c r="I101" s="99">
        <v>4103</v>
      </c>
      <c r="J101" s="99">
        <v>2401</v>
      </c>
      <c r="K101" s="99">
        <v>612</v>
      </c>
      <c r="L101" s="99">
        <v>2059</v>
      </c>
      <c r="M101" s="99">
        <v>3024</v>
      </c>
      <c r="N101" s="99">
        <v>809</v>
      </c>
      <c r="O101" s="99">
        <v>6495</v>
      </c>
      <c r="P101" s="99">
        <v>9</v>
      </c>
      <c r="Q101" s="100">
        <v>9.7513408093612905E-2</v>
      </c>
      <c r="R101" s="100">
        <v>5.0238633509168497E-2</v>
      </c>
      <c r="S101" s="100">
        <v>0.18416206261510101</v>
      </c>
      <c r="T101" s="100">
        <v>0.35398230088495602</v>
      </c>
      <c r="U101" s="100">
        <v>0</v>
      </c>
      <c r="V101" s="100">
        <v>0.13888888888888901</v>
      </c>
      <c r="W101" s="100">
        <v>0</v>
      </c>
      <c r="X101" s="100">
        <v>9.7608589555880906E-2</v>
      </c>
      <c r="Y101" s="100">
        <v>0</v>
      </c>
      <c r="Z101" s="99">
        <v>7888</v>
      </c>
      <c r="AA101" s="99">
        <v>4217</v>
      </c>
      <c r="AB101" s="99">
        <v>3671</v>
      </c>
      <c r="AC101" s="99">
        <v>665</v>
      </c>
      <c r="AD101" s="99">
        <v>2371</v>
      </c>
      <c r="AE101" s="99">
        <v>3713</v>
      </c>
      <c r="AF101" s="99">
        <v>1139</v>
      </c>
      <c r="AG101" s="99">
        <v>6209</v>
      </c>
      <c r="AH101" s="99">
        <v>1613</v>
      </c>
      <c r="AI101" s="99">
        <v>66</v>
      </c>
      <c r="AJ101" s="99">
        <v>7802</v>
      </c>
      <c r="AK101" s="99">
        <v>67</v>
      </c>
      <c r="AL101" s="99">
        <v>19</v>
      </c>
      <c r="AM101" s="99">
        <v>606</v>
      </c>
      <c r="AN101" s="99">
        <v>7223</v>
      </c>
      <c r="AO101" s="99">
        <v>59</v>
      </c>
      <c r="AP101" s="100">
        <v>1.3938198553583201</v>
      </c>
      <c r="AQ101" s="100">
        <v>0.43551899346721501</v>
      </c>
      <c r="AR101" s="100">
        <v>2.5345622119815698</v>
      </c>
      <c r="AS101" s="100">
        <v>2.0376175548589299</v>
      </c>
      <c r="AT101" s="100">
        <v>1.4543851917144099</v>
      </c>
      <c r="AU101" s="100">
        <v>1.5363128491620099</v>
      </c>
      <c r="AV101" s="100">
        <v>0.44722719141323802</v>
      </c>
      <c r="AW101" s="100">
        <v>1.14408887415022</v>
      </c>
      <c r="AX101" s="100">
        <v>2.4454725710508902</v>
      </c>
      <c r="AY101" s="100">
        <v>0</v>
      </c>
      <c r="AZ101" s="100">
        <v>1.36804356488245</v>
      </c>
      <c r="BA101" s="100">
        <v>5.0847457627118704</v>
      </c>
      <c r="BB101" s="100">
        <v>0</v>
      </c>
      <c r="BC101" s="100">
        <v>1.1744966442953</v>
      </c>
      <c r="BD101" s="100">
        <v>1.42384582194736</v>
      </c>
      <c r="BE101" s="100">
        <v>0</v>
      </c>
    </row>
    <row r="102" spans="2:57" ht="15" customHeight="1" x14ac:dyDescent="0.25">
      <c r="B102" s="91">
        <v>92</v>
      </c>
      <c r="C102" s="92" t="s">
        <v>504</v>
      </c>
      <c r="D102" s="92" t="s">
        <v>27</v>
      </c>
      <c r="E102" s="92" t="s">
        <v>344</v>
      </c>
      <c r="F102" s="92" t="s">
        <v>150</v>
      </c>
      <c r="G102" s="101" t="s">
        <v>501</v>
      </c>
      <c r="H102" s="94">
        <v>1126</v>
      </c>
      <c r="I102" s="94">
        <v>661</v>
      </c>
      <c r="J102" s="94">
        <v>465</v>
      </c>
      <c r="K102" s="94">
        <v>57</v>
      </c>
      <c r="L102" s="94">
        <v>387</v>
      </c>
      <c r="M102" s="94">
        <v>600</v>
      </c>
      <c r="N102" s="94">
        <v>82</v>
      </c>
      <c r="O102" s="94">
        <v>1120</v>
      </c>
      <c r="P102" s="94">
        <v>6</v>
      </c>
      <c r="Q102" s="95">
        <v>9.3545369504209497E-2</v>
      </c>
      <c r="R102" s="95">
        <v>0</v>
      </c>
      <c r="S102" s="95">
        <v>0.22779043280182201</v>
      </c>
      <c r="T102" s="95">
        <v>0</v>
      </c>
      <c r="U102" s="95">
        <v>0</v>
      </c>
      <c r="V102" s="95">
        <v>0.17452006980802801</v>
      </c>
      <c r="W102" s="95">
        <v>0</v>
      </c>
      <c r="X102" s="95">
        <v>9.3896713615023497E-2</v>
      </c>
      <c r="Y102" s="95">
        <v>0</v>
      </c>
      <c r="Z102" s="94">
        <v>1381</v>
      </c>
      <c r="AA102" s="94">
        <v>692</v>
      </c>
      <c r="AB102" s="94">
        <v>689</v>
      </c>
      <c r="AC102" s="94">
        <v>87</v>
      </c>
      <c r="AD102" s="94">
        <v>410</v>
      </c>
      <c r="AE102" s="94">
        <v>759</v>
      </c>
      <c r="AF102" s="94">
        <v>125</v>
      </c>
      <c r="AG102" s="94">
        <v>714</v>
      </c>
      <c r="AH102" s="94">
        <v>657</v>
      </c>
      <c r="AI102" s="94">
        <v>10</v>
      </c>
      <c r="AJ102" s="94">
        <v>1345</v>
      </c>
      <c r="AK102" s="94">
        <v>32</v>
      </c>
      <c r="AL102" s="94">
        <v>4</v>
      </c>
      <c r="AM102" s="94">
        <v>66</v>
      </c>
      <c r="AN102" s="94">
        <v>1309</v>
      </c>
      <c r="AO102" s="94">
        <v>6</v>
      </c>
      <c r="AP102" s="95">
        <v>3.85208012326656</v>
      </c>
      <c r="AQ102" s="95">
        <v>0.60150375939849599</v>
      </c>
      <c r="AR102" s="95">
        <v>7.2669826224328604</v>
      </c>
      <c r="AS102" s="95">
        <v>8.75</v>
      </c>
      <c r="AT102" s="95">
        <v>3.7333333333333298</v>
      </c>
      <c r="AU102" s="95">
        <v>3.75</v>
      </c>
      <c r="AV102" s="95">
        <v>1.6260162601626</v>
      </c>
      <c r="AW102" s="95">
        <v>3.8575667655786301</v>
      </c>
      <c r="AX102" s="95">
        <v>3.9024390243902398</v>
      </c>
      <c r="AY102" s="95">
        <v>0</v>
      </c>
      <c r="AZ102" s="95">
        <v>3.7066246056782299</v>
      </c>
      <c r="BA102" s="95">
        <v>11.1111111111111</v>
      </c>
      <c r="BB102" s="95">
        <v>0</v>
      </c>
      <c r="BC102" s="95">
        <v>6.0606060606060597</v>
      </c>
      <c r="BD102" s="95">
        <v>3.7459283387622202</v>
      </c>
      <c r="BE102" s="95">
        <v>0</v>
      </c>
    </row>
    <row r="103" spans="2:57" ht="15" customHeight="1" x14ac:dyDescent="0.25">
      <c r="B103" s="91">
        <v>93</v>
      </c>
      <c r="C103" s="92" t="s">
        <v>504</v>
      </c>
      <c r="D103" s="92" t="s">
        <v>27</v>
      </c>
      <c r="E103" s="92" t="s">
        <v>344</v>
      </c>
      <c r="F103" s="92" t="s">
        <v>150</v>
      </c>
      <c r="G103" s="101" t="s">
        <v>502</v>
      </c>
      <c r="H103" s="94">
        <v>5378</v>
      </c>
      <c r="I103" s="94">
        <v>3442</v>
      </c>
      <c r="J103" s="94">
        <v>1936</v>
      </c>
      <c r="K103" s="94">
        <v>555</v>
      </c>
      <c r="L103" s="94">
        <v>1672</v>
      </c>
      <c r="M103" s="94">
        <v>2424</v>
      </c>
      <c r="N103" s="94">
        <v>727</v>
      </c>
      <c r="O103" s="94">
        <v>5375</v>
      </c>
      <c r="P103" s="94">
        <v>3</v>
      </c>
      <c r="Q103" s="95">
        <v>9.8347757671125094E-2</v>
      </c>
      <c r="R103" s="95">
        <v>5.9683676514473302E-2</v>
      </c>
      <c r="S103" s="95">
        <v>0.173110213502597</v>
      </c>
      <c r="T103" s="95">
        <v>0.38834951456310701</v>
      </c>
      <c r="U103" s="95">
        <v>0</v>
      </c>
      <c r="V103" s="95">
        <v>0.13003901170351101</v>
      </c>
      <c r="W103" s="95">
        <v>0</v>
      </c>
      <c r="X103" s="95">
        <v>9.8386462022825694E-2</v>
      </c>
      <c r="Y103" s="95">
        <v>0</v>
      </c>
      <c r="Z103" s="94">
        <v>6507</v>
      </c>
      <c r="AA103" s="94">
        <v>3525</v>
      </c>
      <c r="AB103" s="94">
        <v>2982</v>
      </c>
      <c r="AC103" s="94">
        <v>578</v>
      </c>
      <c r="AD103" s="94">
        <v>1961</v>
      </c>
      <c r="AE103" s="94">
        <v>2954</v>
      </c>
      <c r="AF103" s="94">
        <v>1014</v>
      </c>
      <c r="AG103" s="94">
        <v>5495</v>
      </c>
      <c r="AH103" s="94">
        <v>956</v>
      </c>
      <c r="AI103" s="94">
        <v>56</v>
      </c>
      <c r="AJ103" s="94">
        <v>6457</v>
      </c>
      <c r="AK103" s="94">
        <v>35</v>
      </c>
      <c r="AL103" s="94">
        <v>15</v>
      </c>
      <c r="AM103" s="94">
        <v>540</v>
      </c>
      <c r="AN103" s="94">
        <v>5914</v>
      </c>
      <c r="AO103" s="94">
        <v>53</v>
      </c>
      <c r="AP103" s="95">
        <v>0.88790233074361802</v>
      </c>
      <c r="AQ103" s="95">
        <v>0.40369088811995402</v>
      </c>
      <c r="AR103" s="95">
        <v>1.47939415287073</v>
      </c>
      <c r="AS103" s="95">
        <v>1.0752688172042999</v>
      </c>
      <c r="AT103" s="95">
        <v>1.0031678986272401</v>
      </c>
      <c r="AU103" s="95">
        <v>0.97902097902097895</v>
      </c>
      <c r="AV103" s="95">
        <v>0.30150753768844202</v>
      </c>
      <c r="AW103" s="95">
        <v>0.80268807168191103</v>
      </c>
      <c r="AX103" s="95">
        <v>1.44766146993318</v>
      </c>
      <c r="AY103" s="95">
        <v>0</v>
      </c>
      <c r="AZ103" s="95">
        <v>0.89442581057339099</v>
      </c>
      <c r="BA103" s="95">
        <v>0</v>
      </c>
      <c r="BB103" s="95">
        <v>0</v>
      </c>
      <c r="BC103" s="95">
        <v>0.56603773584905703</v>
      </c>
      <c r="BD103" s="95">
        <v>0.92576419213973804</v>
      </c>
      <c r="BE103" s="95">
        <v>0</v>
      </c>
    </row>
    <row r="104" spans="2:57" ht="15" customHeight="1" x14ac:dyDescent="0.25">
      <c r="B104" s="86">
        <v>94</v>
      </c>
      <c r="C104" s="87" t="s">
        <v>503</v>
      </c>
      <c r="D104" s="87" t="s">
        <v>27</v>
      </c>
      <c r="E104" s="87" t="s">
        <v>345</v>
      </c>
      <c r="F104" s="87"/>
      <c r="G104" s="88" t="s">
        <v>345</v>
      </c>
      <c r="H104" s="89">
        <v>4755</v>
      </c>
      <c r="I104" s="89">
        <v>3045</v>
      </c>
      <c r="J104" s="89">
        <v>1710</v>
      </c>
      <c r="K104" s="89">
        <v>342</v>
      </c>
      <c r="L104" s="89">
        <v>949</v>
      </c>
      <c r="M104" s="89">
        <v>2508</v>
      </c>
      <c r="N104" s="89">
        <v>956</v>
      </c>
      <c r="O104" s="89">
        <v>4753</v>
      </c>
      <c r="P104" s="89">
        <v>2</v>
      </c>
      <c r="Q104" s="90">
        <v>0.59642147117296196</v>
      </c>
      <c r="R104" s="90">
        <v>0.27210884353741499</v>
      </c>
      <c r="S104" s="90">
        <v>1.19722747321991</v>
      </c>
      <c r="T104" s="90">
        <v>0.63694267515923597</v>
      </c>
      <c r="U104" s="90">
        <v>1.1198208286674101</v>
      </c>
      <c r="V104" s="90">
        <v>0.49896049896049899</v>
      </c>
      <c r="W104" s="90">
        <v>0.32786885245901598</v>
      </c>
      <c r="X104" s="90">
        <v>0.59668508287292799</v>
      </c>
      <c r="Y104" s="90">
        <v>0</v>
      </c>
      <c r="Z104" s="89">
        <v>5030</v>
      </c>
      <c r="AA104" s="89">
        <v>2894</v>
      </c>
      <c r="AB104" s="89">
        <v>2136</v>
      </c>
      <c r="AC104" s="89">
        <v>253</v>
      </c>
      <c r="AD104" s="89">
        <v>1042</v>
      </c>
      <c r="AE104" s="89">
        <v>2528</v>
      </c>
      <c r="AF104" s="89">
        <v>1207</v>
      </c>
      <c r="AG104" s="89">
        <v>1934</v>
      </c>
      <c r="AH104" s="89">
        <v>3022</v>
      </c>
      <c r="AI104" s="89">
        <v>74</v>
      </c>
      <c r="AJ104" s="89">
        <v>5014</v>
      </c>
      <c r="AK104" s="89">
        <v>10</v>
      </c>
      <c r="AL104" s="89">
        <v>6</v>
      </c>
      <c r="AM104" s="89">
        <v>717</v>
      </c>
      <c r="AN104" s="89">
        <v>4266</v>
      </c>
      <c r="AO104" s="89">
        <v>47</v>
      </c>
      <c r="AP104" s="90">
        <v>2.7054935976869099</v>
      </c>
      <c r="AQ104" s="90">
        <v>0.81502480510276398</v>
      </c>
      <c r="AR104" s="90">
        <v>5.3465346534653504</v>
      </c>
      <c r="AS104" s="90">
        <v>7.3469387755102096</v>
      </c>
      <c r="AT104" s="90">
        <v>3.4239677744209498</v>
      </c>
      <c r="AU104" s="90">
        <v>2.6748971193415598</v>
      </c>
      <c r="AV104" s="90">
        <v>1.19250425894378</v>
      </c>
      <c r="AW104" s="90">
        <v>1.44617032672737</v>
      </c>
      <c r="AX104" s="90">
        <v>3.51360661384774</v>
      </c>
      <c r="AY104" s="90">
        <v>2.7777777777777799</v>
      </c>
      <c r="AZ104" s="90">
        <v>2.7139009736896602</v>
      </c>
      <c r="BA104" s="90">
        <v>0</v>
      </c>
      <c r="BB104" s="90">
        <v>0</v>
      </c>
      <c r="BC104" s="90">
        <v>1.58273381294964</v>
      </c>
      <c r="BD104" s="90">
        <v>2.9010238907849799</v>
      </c>
      <c r="BE104" s="90">
        <v>2.2222222222222201</v>
      </c>
    </row>
    <row r="105" spans="2:57" ht="15" customHeight="1" x14ac:dyDescent="0.25">
      <c r="B105" s="91">
        <v>95</v>
      </c>
      <c r="C105" s="92" t="s">
        <v>503</v>
      </c>
      <c r="D105" s="92" t="s">
        <v>27</v>
      </c>
      <c r="E105" s="92" t="s">
        <v>345</v>
      </c>
      <c r="F105" s="92"/>
      <c r="G105" s="93" t="s">
        <v>501</v>
      </c>
      <c r="H105" s="94">
        <v>1277</v>
      </c>
      <c r="I105" s="94">
        <v>729</v>
      </c>
      <c r="J105" s="94">
        <v>548</v>
      </c>
      <c r="K105" s="94">
        <v>64</v>
      </c>
      <c r="L105" s="94">
        <v>274</v>
      </c>
      <c r="M105" s="94">
        <v>753</v>
      </c>
      <c r="N105" s="94">
        <v>186</v>
      </c>
      <c r="O105" s="94">
        <v>1277</v>
      </c>
      <c r="P105" s="94">
        <v>0</v>
      </c>
      <c r="Q105" s="95">
        <v>1.58597662771285</v>
      </c>
      <c r="R105" s="95">
        <v>0.28985507246376802</v>
      </c>
      <c r="S105" s="95">
        <v>3.3464566929133901</v>
      </c>
      <c r="T105" s="95">
        <v>0</v>
      </c>
      <c r="U105" s="95">
        <v>2</v>
      </c>
      <c r="V105" s="95">
        <v>1.5558698727015601</v>
      </c>
      <c r="W105" s="95">
        <v>1.6666666666666701</v>
      </c>
      <c r="X105" s="95">
        <v>1.58597662771285</v>
      </c>
      <c r="Y105" s="95">
        <v>0</v>
      </c>
      <c r="Z105" s="94">
        <v>1758</v>
      </c>
      <c r="AA105" s="94">
        <v>958</v>
      </c>
      <c r="AB105" s="94">
        <v>800</v>
      </c>
      <c r="AC105" s="94">
        <v>88</v>
      </c>
      <c r="AD105" s="94">
        <v>400</v>
      </c>
      <c r="AE105" s="94">
        <v>945</v>
      </c>
      <c r="AF105" s="94">
        <v>325</v>
      </c>
      <c r="AG105" s="94">
        <v>474</v>
      </c>
      <c r="AH105" s="94">
        <v>1262</v>
      </c>
      <c r="AI105" s="94">
        <v>22</v>
      </c>
      <c r="AJ105" s="94">
        <v>1749</v>
      </c>
      <c r="AK105" s="94">
        <v>7</v>
      </c>
      <c r="AL105" s="94">
        <v>2</v>
      </c>
      <c r="AM105" s="94">
        <v>164</v>
      </c>
      <c r="AN105" s="94">
        <v>1580</v>
      </c>
      <c r="AO105" s="94">
        <v>14</v>
      </c>
      <c r="AP105" s="95">
        <v>6.1647895672791897</v>
      </c>
      <c r="AQ105" s="95">
        <v>2.16450216450216</v>
      </c>
      <c r="AR105" s="95">
        <v>11.0091743119266</v>
      </c>
      <c r="AS105" s="95">
        <v>12.790697674418601</v>
      </c>
      <c r="AT105" s="95">
        <v>6.5274151436031298</v>
      </c>
      <c r="AU105" s="95">
        <v>5.9933407325194201</v>
      </c>
      <c r="AV105" s="95">
        <v>4.41640378548896</v>
      </c>
      <c r="AW105" s="95">
        <v>4.3956043956044004</v>
      </c>
      <c r="AX105" s="95">
        <v>6.8595041322314003</v>
      </c>
      <c r="AY105" s="95">
        <v>4.5454545454545503</v>
      </c>
      <c r="AZ105" s="95">
        <v>6.1941631923764104</v>
      </c>
      <c r="BA105" s="95">
        <v>0</v>
      </c>
      <c r="BB105" s="95">
        <v>0</v>
      </c>
      <c r="BC105" s="95">
        <v>5.0955414012738904</v>
      </c>
      <c r="BD105" s="95">
        <v>6.2664907651714996</v>
      </c>
      <c r="BE105" s="95">
        <v>7.1428571428571397</v>
      </c>
    </row>
    <row r="106" spans="2:57" ht="15" customHeight="1" x14ac:dyDescent="0.25">
      <c r="B106" s="91">
        <v>96</v>
      </c>
      <c r="C106" s="92" t="s">
        <v>503</v>
      </c>
      <c r="D106" s="92" t="s">
        <v>27</v>
      </c>
      <c r="E106" s="92" t="s">
        <v>345</v>
      </c>
      <c r="F106" s="92"/>
      <c r="G106" s="93" t="s">
        <v>502</v>
      </c>
      <c r="H106" s="94">
        <v>3478</v>
      </c>
      <c r="I106" s="94">
        <v>2316</v>
      </c>
      <c r="J106" s="94">
        <v>1162</v>
      </c>
      <c r="K106" s="94">
        <v>278</v>
      </c>
      <c r="L106" s="94">
        <v>675</v>
      </c>
      <c r="M106" s="94">
        <v>1755</v>
      </c>
      <c r="N106" s="94">
        <v>770</v>
      </c>
      <c r="O106" s="94">
        <v>3476</v>
      </c>
      <c r="P106" s="94">
        <v>2</v>
      </c>
      <c r="Q106" s="95">
        <v>0.24031240612796601</v>
      </c>
      <c r="R106" s="95">
        <v>0.266666666666667</v>
      </c>
      <c r="S106" s="95">
        <v>0.18535681186283601</v>
      </c>
      <c r="T106" s="95">
        <v>0.79051383399209496</v>
      </c>
      <c r="U106" s="95">
        <v>0.77760497667185102</v>
      </c>
      <c r="V106" s="95">
        <v>5.8892815076560703E-2</v>
      </c>
      <c r="W106" s="95">
        <v>0</v>
      </c>
      <c r="X106" s="95">
        <v>0.240456868049294</v>
      </c>
      <c r="Y106" s="95">
        <v>0</v>
      </c>
      <c r="Z106" s="94">
        <v>3272</v>
      </c>
      <c r="AA106" s="94">
        <v>1936</v>
      </c>
      <c r="AB106" s="94">
        <v>1336</v>
      </c>
      <c r="AC106" s="94">
        <v>165</v>
      </c>
      <c r="AD106" s="94">
        <v>642</v>
      </c>
      <c r="AE106" s="94">
        <v>1583</v>
      </c>
      <c r="AF106" s="94">
        <v>882</v>
      </c>
      <c r="AG106" s="94">
        <v>1460</v>
      </c>
      <c r="AH106" s="94">
        <v>1760</v>
      </c>
      <c r="AI106" s="94">
        <v>52</v>
      </c>
      <c r="AJ106" s="94">
        <v>3265</v>
      </c>
      <c r="AK106" s="94">
        <v>3</v>
      </c>
      <c r="AL106" s="94">
        <v>4</v>
      </c>
      <c r="AM106" s="94">
        <v>553</v>
      </c>
      <c r="AN106" s="94">
        <v>2686</v>
      </c>
      <c r="AO106" s="94">
        <v>33</v>
      </c>
      <c r="AP106" s="95">
        <v>0.85578446909667205</v>
      </c>
      <c r="AQ106" s="95">
        <v>0.15806111696522701</v>
      </c>
      <c r="AR106" s="95">
        <v>1.90930787589499</v>
      </c>
      <c r="AS106" s="95">
        <v>4.4025157232704402</v>
      </c>
      <c r="AT106" s="95">
        <v>1.4754098360655701</v>
      </c>
      <c r="AU106" s="95">
        <v>0.71942446043165498</v>
      </c>
      <c r="AV106" s="95">
        <v>0</v>
      </c>
      <c r="AW106" s="95">
        <v>0.49575070821529699</v>
      </c>
      <c r="AX106" s="95">
        <v>1.1222681630242199</v>
      </c>
      <c r="AY106" s="95">
        <v>2</v>
      </c>
      <c r="AZ106" s="95">
        <v>0.85768742058449798</v>
      </c>
      <c r="BA106" s="95">
        <v>0</v>
      </c>
      <c r="BB106" s="95">
        <v>0</v>
      </c>
      <c r="BC106" s="95">
        <v>0.55762081784386597</v>
      </c>
      <c r="BD106" s="95">
        <v>0.92807424593967502</v>
      </c>
      <c r="BE106" s="95">
        <v>0</v>
      </c>
    </row>
    <row r="107" spans="2:57" ht="15" customHeight="1" x14ac:dyDescent="0.25">
      <c r="B107" s="96">
        <v>97</v>
      </c>
      <c r="C107" s="97" t="s">
        <v>504</v>
      </c>
      <c r="D107" s="97" t="s">
        <v>27</v>
      </c>
      <c r="E107" s="97" t="s">
        <v>345</v>
      </c>
      <c r="F107" s="97" t="s">
        <v>154</v>
      </c>
      <c r="G107" s="98" t="s">
        <v>154</v>
      </c>
      <c r="H107" s="99">
        <v>4755</v>
      </c>
      <c r="I107" s="99">
        <v>3045</v>
      </c>
      <c r="J107" s="99">
        <v>1710</v>
      </c>
      <c r="K107" s="99">
        <v>342</v>
      </c>
      <c r="L107" s="99">
        <v>949</v>
      </c>
      <c r="M107" s="99">
        <v>2508</v>
      </c>
      <c r="N107" s="99">
        <v>956</v>
      </c>
      <c r="O107" s="99">
        <v>4753</v>
      </c>
      <c r="P107" s="99">
        <v>2</v>
      </c>
      <c r="Q107" s="100">
        <v>0.59642147117296196</v>
      </c>
      <c r="R107" s="100">
        <v>0.27210884353741499</v>
      </c>
      <c r="S107" s="100">
        <v>1.19722747321991</v>
      </c>
      <c r="T107" s="100">
        <v>0.63694267515923597</v>
      </c>
      <c r="U107" s="100">
        <v>1.1198208286674101</v>
      </c>
      <c r="V107" s="100">
        <v>0.49896049896049899</v>
      </c>
      <c r="W107" s="100">
        <v>0.32786885245901598</v>
      </c>
      <c r="X107" s="100">
        <v>0.59668508287292799</v>
      </c>
      <c r="Y107" s="100">
        <v>0</v>
      </c>
      <c r="Z107" s="99">
        <v>5030</v>
      </c>
      <c r="AA107" s="99">
        <v>2894</v>
      </c>
      <c r="AB107" s="99">
        <v>2136</v>
      </c>
      <c r="AC107" s="99">
        <v>253</v>
      </c>
      <c r="AD107" s="99">
        <v>1042</v>
      </c>
      <c r="AE107" s="99">
        <v>2528</v>
      </c>
      <c r="AF107" s="99">
        <v>1207</v>
      </c>
      <c r="AG107" s="99">
        <v>1934</v>
      </c>
      <c r="AH107" s="99">
        <v>3022</v>
      </c>
      <c r="AI107" s="99">
        <v>74</v>
      </c>
      <c r="AJ107" s="99">
        <v>5014</v>
      </c>
      <c r="AK107" s="99">
        <v>10</v>
      </c>
      <c r="AL107" s="99">
        <v>6</v>
      </c>
      <c r="AM107" s="99">
        <v>717</v>
      </c>
      <c r="AN107" s="99">
        <v>4266</v>
      </c>
      <c r="AO107" s="99">
        <v>47</v>
      </c>
      <c r="AP107" s="100">
        <v>2.7054935976869099</v>
      </c>
      <c r="AQ107" s="100">
        <v>0.81502480510276398</v>
      </c>
      <c r="AR107" s="100">
        <v>5.3465346534653504</v>
      </c>
      <c r="AS107" s="100">
        <v>7.3469387755102096</v>
      </c>
      <c r="AT107" s="100">
        <v>3.4239677744209498</v>
      </c>
      <c r="AU107" s="100">
        <v>2.6748971193415598</v>
      </c>
      <c r="AV107" s="100">
        <v>1.19250425894378</v>
      </c>
      <c r="AW107" s="100">
        <v>1.44617032672737</v>
      </c>
      <c r="AX107" s="100">
        <v>3.51360661384774</v>
      </c>
      <c r="AY107" s="100">
        <v>2.7777777777777799</v>
      </c>
      <c r="AZ107" s="100">
        <v>2.7139009736896602</v>
      </c>
      <c r="BA107" s="100">
        <v>0</v>
      </c>
      <c r="BB107" s="100">
        <v>0</v>
      </c>
      <c r="BC107" s="100">
        <v>1.58273381294964</v>
      </c>
      <c r="BD107" s="100">
        <v>2.9010238907849799</v>
      </c>
      <c r="BE107" s="100">
        <v>2.2222222222222201</v>
      </c>
    </row>
    <row r="108" spans="2:57" ht="15" customHeight="1" x14ac:dyDescent="0.25">
      <c r="B108" s="91">
        <v>98</v>
      </c>
      <c r="C108" s="92" t="s">
        <v>504</v>
      </c>
      <c r="D108" s="92" t="s">
        <v>27</v>
      </c>
      <c r="E108" s="92" t="s">
        <v>345</v>
      </c>
      <c r="F108" s="92" t="s">
        <v>154</v>
      </c>
      <c r="G108" s="101" t="s">
        <v>501</v>
      </c>
      <c r="H108" s="94">
        <v>1277</v>
      </c>
      <c r="I108" s="94">
        <v>729</v>
      </c>
      <c r="J108" s="94">
        <v>548</v>
      </c>
      <c r="K108" s="94">
        <v>64</v>
      </c>
      <c r="L108" s="94">
        <v>274</v>
      </c>
      <c r="M108" s="94">
        <v>753</v>
      </c>
      <c r="N108" s="94">
        <v>186</v>
      </c>
      <c r="O108" s="94">
        <v>1277</v>
      </c>
      <c r="P108" s="94">
        <v>0</v>
      </c>
      <c r="Q108" s="95">
        <v>1.58597662771285</v>
      </c>
      <c r="R108" s="95">
        <v>0.28985507246376802</v>
      </c>
      <c r="S108" s="95">
        <v>3.3464566929133901</v>
      </c>
      <c r="T108" s="95">
        <v>0</v>
      </c>
      <c r="U108" s="95">
        <v>2</v>
      </c>
      <c r="V108" s="95">
        <v>1.5558698727015601</v>
      </c>
      <c r="W108" s="95">
        <v>1.6666666666666701</v>
      </c>
      <c r="X108" s="95">
        <v>1.58597662771285</v>
      </c>
      <c r="Y108" s="95">
        <v>0</v>
      </c>
      <c r="Z108" s="94">
        <v>1758</v>
      </c>
      <c r="AA108" s="94">
        <v>958</v>
      </c>
      <c r="AB108" s="94">
        <v>800</v>
      </c>
      <c r="AC108" s="94">
        <v>88</v>
      </c>
      <c r="AD108" s="94">
        <v>400</v>
      </c>
      <c r="AE108" s="94">
        <v>945</v>
      </c>
      <c r="AF108" s="94">
        <v>325</v>
      </c>
      <c r="AG108" s="94">
        <v>474</v>
      </c>
      <c r="AH108" s="94">
        <v>1262</v>
      </c>
      <c r="AI108" s="94">
        <v>22</v>
      </c>
      <c r="AJ108" s="94">
        <v>1749</v>
      </c>
      <c r="AK108" s="94">
        <v>7</v>
      </c>
      <c r="AL108" s="94">
        <v>2</v>
      </c>
      <c r="AM108" s="94">
        <v>164</v>
      </c>
      <c r="AN108" s="94">
        <v>1580</v>
      </c>
      <c r="AO108" s="94">
        <v>14</v>
      </c>
      <c r="AP108" s="95">
        <v>6.1647895672791897</v>
      </c>
      <c r="AQ108" s="95">
        <v>2.16450216450216</v>
      </c>
      <c r="AR108" s="95">
        <v>11.0091743119266</v>
      </c>
      <c r="AS108" s="95">
        <v>12.790697674418601</v>
      </c>
      <c r="AT108" s="95">
        <v>6.5274151436031298</v>
      </c>
      <c r="AU108" s="95">
        <v>5.9933407325194201</v>
      </c>
      <c r="AV108" s="95">
        <v>4.41640378548896</v>
      </c>
      <c r="AW108" s="95">
        <v>4.3956043956044004</v>
      </c>
      <c r="AX108" s="95">
        <v>6.8595041322314003</v>
      </c>
      <c r="AY108" s="95">
        <v>4.5454545454545503</v>
      </c>
      <c r="AZ108" s="95">
        <v>6.1941631923764104</v>
      </c>
      <c r="BA108" s="95">
        <v>0</v>
      </c>
      <c r="BB108" s="95">
        <v>0</v>
      </c>
      <c r="BC108" s="95">
        <v>5.0955414012738904</v>
      </c>
      <c r="BD108" s="95">
        <v>6.2664907651714996</v>
      </c>
      <c r="BE108" s="95">
        <v>7.1428571428571397</v>
      </c>
    </row>
    <row r="109" spans="2:57" ht="15" customHeight="1" x14ac:dyDescent="0.25">
      <c r="B109" s="91">
        <v>99</v>
      </c>
      <c r="C109" s="92" t="s">
        <v>504</v>
      </c>
      <c r="D109" s="92" t="s">
        <v>27</v>
      </c>
      <c r="E109" s="92" t="s">
        <v>345</v>
      </c>
      <c r="F109" s="92" t="s">
        <v>154</v>
      </c>
      <c r="G109" s="101" t="s">
        <v>502</v>
      </c>
      <c r="H109" s="94">
        <v>3478</v>
      </c>
      <c r="I109" s="94">
        <v>2316</v>
      </c>
      <c r="J109" s="94">
        <v>1162</v>
      </c>
      <c r="K109" s="94">
        <v>278</v>
      </c>
      <c r="L109" s="94">
        <v>675</v>
      </c>
      <c r="M109" s="94">
        <v>1755</v>
      </c>
      <c r="N109" s="94">
        <v>770</v>
      </c>
      <c r="O109" s="94">
        <v>3476</v>
      </c>
      <c r="P109" s="94">
        <v>2</v>
      </c>
      <c r="Q109" s="95">
        <v>0.24031240612796601</v>
      </c>
      <c r="R109" s="95">
        <v>0.266666666666667</v>
      </c>
      <c r="S109" s="95">
        <v>0.18535681186283601</v>
      </c>
      <c r="T109" s="95">
        <v>0.79051383399209496</v>
      </c>
      <c r="U109" s="95">
        <v>0.77760497667185102</v>
      </c>
      <c r="V109" s="95">
        <v>5.8892815076560703E-2</v>
      </c>
      <c r="W109" s="95">
        <v>0</v>
      </c>
      <c r="X109" s="95">
        <v>0.240456868049294</v>
      </c>
      <c r="Y109" s="95">
        <v>0</v>
      </c>
      <c r="Z109" s="94">
        <v>3272</v>
      </c>
      <c r="AA109" s="94">
        <v>1936</v>
      </c>
      <c r="AB109" s="94">
        <v>1336</v>
      </c>
      <c r="AC109" s="94">
        <v>165</v>
      </c>
      <c r="AD109" s="94">
        <v>642</v>
      </c>
      <c r="AE109" s="94">
        <v>1583</v>
      </c>
      <c r="AF109" s="94">
        <v>882</v>
      </c>
      <c r="AG109" s="94">
        <v>1460</v>
      </c>
      <c r="AH109" s="94">
        <v>1760</v>
      </c>
      <c r="AI109" s="94">
        <v>52</v>
      </c>
      <c r="AJ109" s="94">
        <v>3265</v>
      </c>
      <c r="AK109" s="94">
        <v>3</v>
      </c>
      <c r="AL109" s="94">
        <v>4</v>
      </c>
      <c r="AM109" s="94">
        <v>553</v>
      </c>
      <c r="AN109" s="94">
        <v>2686</v>
      </c>
      <c r="AO109" s="94">
        <v>33</v>
      </c>
      <c r="AP109" s="95">
        <v>0.85578446909667205</v>
      </c>
      <c r="AQ109" s="95">
        <v>0.15806111696522701</v>
      </c>
      <c r="AR109" s="95">
        <v>1.90930787589499</v>
      </c>
      <c r="AS109" s="95">
        <v>4.4025157232704402</v>
      </c>
      <c r="AT109" s="95">
        <v>1.4754098360655701</v>
      </c>
      <c r="AU109" s="95">
        <v>0.71942446043165498</v>
      </c>
      <c r="AV109" s="95">
        <v>0</v>
      </c>
      <c r="AW109" s="95">
        <v>0.49575070821529699</v>
      </c>
      <c r="AX109" s="95">
        <v>1.1222681630242199</v>
      </c>
      <c r="AY109" s="95">
        <v>2</v>
      </c>
      <c r="AZ109" s="95">
        <v>0.85768742058449798</v>
      </c>
      <c r="BA109" s="95">
        <v>0</v>
      </c>
      <c r="BB109" s="95">
        <v>0</v>
      </c>
      <c r="BC109" s="95">
        <v>0.55762081784386597</v>
      </c>
      <c r="BD109" s="95">
        <v>0.92807424593967502</v>
      </c>
      <c r="BE109" s="95">
        <v>0</v>
      </c>
    </row>
    <row r="110" spans="2:57" ht="15" customHeight="1" x14ac:dyDescent="0.25">
      <c r="B110" s="86">
        <v>100</v>
      </c>
      <c r="C110" s="87" t="s">
        <v>503</v>
      </c>
      <c r="D110" s="87" t="s">
        <v>27</v>
      </c>
      <c r="E110" s="87" t="s">
        <v>505</v>
      </c>
      <c r="F110" s="87"/>
      <c r="G110" s="88" t="s">
        <v>505</v>
      </c>
      <c r="H110" s="89">
        <v>11503</v>
      </c>
      <c r="I110" s="89">
        <v>6892</v>
      </c>
      <c r="J110" s="89">
        <v>4611</v>
      </c>
      <c r="K110" s="89">
        <v>977</v>
      </c>
      <c r="L110" s="89">
        <v>3055</v>
      </c>
      <c r="M110" s="89">
        <v>5446</v>
      </c>
      <c r="N110" s="89">
        <v>2025</v>
      </c>
      <c r="O110" s="89">
        <v>11452</v>
      </c>
      <c r="P110" s="89">
        <v>51</v>
      </c>
      <c r="Q110" s="90">
        <v>0.38822679667750098</v>
      </c>
      <c r="R110" s="90">
        <v>0.14900908955446299</v>
      </c>
      <c r="S110" s="90">
        <v>0.756013745704467</v>
      </c>
      <c r="T110" s="90">
        <v>0.64794816414686796</v>
      </c>
      <c r="U110" s="90">
        <v>0.65001710571330795</v>
      </c>
      <c r="V110" s="90">
        <v>0.28436018957345999</v>
      </c>
      <c r="W110" s="90">
        <v>0.15368852459016399</v>
      </c>
      <c r="X110" s="90">
        <v>0.38091783058225998</v>
      </c>
      <c r="Y110" s="90">
        <v>2</v>
      </c>
      <c r="Z110" s="89">
        <v>14463</v>
      </c>
      <c r="AA110" s="89">
        <v>7857</v>
      </c>
      <c r="AB110" s="89">
        <v>6606</v>
      </c>
      <c r="AC110" s="89">
        <v>947</v>
      </c>
      <c r="AD110" s="89">
        <v>3509</v>
      </c>
      <c r="AE110" s="89">
        <v>7214</v>
      </c>
      <c r="AF110" s="89">
        <v>2793</v>
      </c>
      <c r="AG110" s="89">
        <v>3973</v>
      </c>
      <c r="AH110" s="89">
        <v>10321</v>
      </c>
      <c r="AI110" s="89">
        <v>169</v>
      </c>
      <c r="AJ110" s="89">
        <v>14213</v>
      </c>
      <c r="AK110" s="89">
        <v>212</v>
      </c>
      <c r="AL110" s="89">
        <v>38</v>
      </c>
      <c r="AM110" s="89">
        <v>1286</v>
      </c>
      <c r="AN110" s="89">
        <v>13028</v>
      </c>
      <c r="AO110" s="89">
        <v>149</v>
      </c>
      <c r="AP110" s="90">
        <v>1.4995653433787299</v>
      </c>
      <c r="AQ110" s="90">
        <v>0.56415638939910795</v>
      </c>
      <c r="AR110" s="90">
        <v>2.6528631510837899</v>
      </c>
      <c r="AS110" s="90">
        <v>2.0022246941045601</v>
      </c>
      <c r="AT110" s="90">
        <v>1.7618469015795899</v>
      </c>
      <c r="AU110" s="90">
        <v>1.6391064693936801</v>
      </c>
      <c r="AV110" s="90">
        <v>0.66200809121000403</v>
      </c>
      <c r="AW110" s="90">
        <v>0.83791568473422395</v>
      </c>
      <c r="AX110" s="90">
        <v>1.7800834096226199</v>
      </c>
      <c r="AY110" s="90">
        <v>0</v>
      </c>
      <c r="AZ110" s="90">
        <v>1.4962777327338399</v>
      </c>
      <c r="BA110" s="90">
        <v>2</v>
      </c>
      <c r="BB110" s="90">
        <v>0</v>
      </c>
      <c r="BC110" s="90">
        <v>0.96153846153846201</v>
      </c>
      <c r="BD110" s="90">
        <v>1.5544458762886599</v>
      </c>
      <c r="BE110" s="90">
        <v>1.4285714285714299</v>
      </c>
    </row>
    <row r="111" spans="2:57" ht="15" customHeight="1" x14ac:dyDescent="0.25">
      <c r="B111" s="91">
        <v>101</v>
      </c>
      <c r="C111" s="92" t="s">
        <v>503</v>
      </c>
      <c r="D111" s="92" t="s">
        <v>27</v>
      </c>
      <c r="E111" s="92" t="s">
        <v>505</v>
      </c>
      <c r="F111" s="92"/>
      <c r="G111" s="93" t="s">
        <v>501</v>
      </c>
      <c r="H111" s="94">
        <v>1235</v>
      </c>
      <c r="I111" s="94">
        <v>635</v>
      </c>
      <c r="J111" s="94">
        <v>600</v>
      </c>
      <c r="K111" s="94">
        <v>81</v>
      </c>
      <c r="L111" s="94">
        <v>296</v>
      </c>
      <c r="M111" s="94">
        <v>690</v>
      </c>
      <c r="N111" s="94">
        <v>168</v>
      </c>
      <c r="O111" s="94">
        <v>1226</v>
      </c>
      <c r="P111" s="94">
        <v>9</v>
      </c>
      <c r="Q111" s="95">
        <v>0.93856655290102398</v>
      </c>
      <c r="R111" s="95">
        <v>0.33112582781457001</v>
      </c>
      <c r="S111" s="95">
        <v>1.5845070422535199</v>
      </c>
      <c r="T111" s="95">
        <v>1.35135135135135</v>
      </c>
      <c r="U111" s="95">
        <v>1.07913669064748</v>
      </c>
      <c r="V111" s="95">
        <v>0.91047040971168403</v>
      </c>
      <c r="W111" s="95">
        <v>0.62111801242235998</v>
      </c>
      <c r="X111" s="95">
        <v>0.85984522785898498</v>
      </c>
      <c r="Y111" s="95">
        <v>11.1111111111111</v>
      </c>
      <c r="Z111" s="94">
        <v>3088</v>
      </c>
      <c r="AA111" s="94">
        <v>1571</v>
      </c>
      <c r="AB111" s="94">
        <v>1517</v>
      </c>
      <c r="AC111" s="94">
        <v>170</v>
      </c>
      <c r="AD111" s="94">
        <v>730</v>
      </c>
      <c r="AE111" s="94">
        <v>1743</v>
      </c>
      <c r="AF111" s="94">
        <v>445</v>
      </c>
      <c r="AG111" s="94">
        <v>713</v>
      </c>
      <c r="AH111" s="94">
        <v>2358</v>
      </c>
      <c r="AI111" s="94">
        <v>17</v>
      </c>
      <c r="AJ111" s="94">
        <v>3032</v>
      </c>
      <c r="AK111" s="94">
        <v>50</v>
      </c>
      <c r="AL111" s="94">
        <v>6</v>
      </c>
      <c r="AM111" s="94">
        <v>212</v>
      </c>
      <c r="AN111" s="94">
        <v>2864</v>
      </c>
      <c r="AO111" s="94">
        <v>12</v>
      </c>
      <c r="AP111" s="95">
        <v>3.6618754277891901</v>
      </c>
      <c r="AQ111" s="95">
        <v>1.5989340439706901</v>
      </c>
      <c r="AR111" s="95">
        <v>5.8409570724841702</v>
      </c>
      <c r="AS111" s="95">
        <v>5.0955414012738904</v>
      </c>
      <c r="AT111" s="95">
        <v>4.3283582089552199</v>
      </c>
      <c r="AU111" s="95">
        <v>3.7282020444979</v>
      </c>
      <c r="AV111" s="95">
        <v>1.8518518518518501</v>
      </c>
      <c r="AW111" s="95">
        <v>1.35135135135135</v>
      </c>
      <c r="AX111" s="95">
        <v>4.3730477465417197</v>
      </c>
      <c r="AY111" s="95">
        <v>0</v>
      </c>
      <c r="AZ111" s="95">
        <v>3.69337979094077</v>
      </c>
      <c r="BA111" s="95">
        <v>2.1739130434782599</v>
      </c>
      <c r="BB111" s="95">
        <v>0</v>
      </c>
      <c r="BC111" s="95">
        <v>2.4390243902439002</v>
      </c>
      <c r="BD111" s="95">
        <v>3.7707948243992599</v>
      </c>
      <c r="BE111" s="95">
        <v>0</v>
      </c>
    </row>
    <row r="112" spans="2:57" ht="15" customHeight="1" x14ac:dyDescent="0.25">
      <c r="B112" s="91">
        <v>102</v>
      </c>
      <c r="C112" s="92" t="s">
        <v>503</v>
      </c>
      <c r="D112" s="92" t="s">
        <v>27</v>
      </c>
      <c r="E112" s="92" t="s">
        <v>505</v>
      </c>
      <c r="F112" s="92"/>
      <c r="G112" s="93" t="s">
        <v>502</v>
      </c>
      <c r="H112" s="94">
        <v>10268</v>
      </c>
      <c r="I112" s="94">
        <v>6257</v>
      </c>
      <c r="J112" s="94">
        <v>4011</v>
      </c>
      <c r="K112" s="94">
        <v>896</v>
      </c>
      <c r="L112" s="94">
        <v>2759</v>
      </c>
      <c r="M112" s="94">
        <v>4756</v>
      </c>
      <c r="N112" s="94">
        <v>1857</v>
      </c>
      <c r="O112" s="94">
        <v>10226</v>
      </c>
      <c r="P112" s="94">
        <v>42</v>
      </c>
      <c r="Q112" s="95">
        <v>0.323101777059774</v>
      </c>
      <c r="R112" s="95">
        <v>0.13099721630915301</v>
      </c>
      <c r="S112" s="95">
        <v>0.63207795628127506</v>
      </c>
      <c r="T112" s="95">
        <v>0.58685446009389697</v>
      </c>
      <c r="U112" s="95">
        <v>0.604914933837429</v>
      </c>
      <c r="V112" s="95">
        <v>0.194974003466204</v>
      </c>
      <c r="W112" s="95">
        <v>0.111669458403127</v>
      </c>
      <c r="X112" s="95">
        <v>0.32444489506235402</v>
      </c>
      <c r="Y112" s="95">
        <v>0</v>
      </c>
      <c r="Z112" s="94">
        <v>11375</v>
      </c>
      <c r="AA112" s="94">
        <v>6286</v>
      </c>
      <c r="AB112" s="94">
        <v>5089</v>
      </c>
      <c r="AC112" s="94">
        <v>777</v>
      </c>
      <c r="AD112" s="94">
        <v>2779</v>
      </c>
      <c r="AE112" s="94">
        <v>5471</v>
      </c>
      <c r="AF112" s="94">
        <v>2348</v>
      </c>
      <c r="AG112" s="94">
        <v>3260</v>
      </c>
      <c r="AH112" s="94">
        <v>7963</v>
      </c>
      <c r="AI112" s="94">
        <v>152</v>
      </c>
      <c r="AJ112" s="94">
        <v>11181</v>
      </c>
      <c r="AK112" s="94">
        <v>162</v>
      </c>
      <c r="AL112" s="94">
        <v>32</v>
      </c>
      <c r="AM112" s="94">
        <v>1074</v>
      </c>
      <c r="AN112" s="94">
        <v>10164</v>
      </c>
      <c r="AO112" s="94">
        <v>137</v>
      </c>
      <c r="AP112" s="95">
        <v>0.91894872266127503</v>
      </c>
      <c r="AQ112" s="95">
        <v>0.31040679627511802</v>
      </c>
      <c r="AR112" s="95">
        <v>1.7013232514177701</v>
      </c>
      <c r="AS112" s="95">
        <v>1.3477088948787099</v>
      </c>
      <c r="AT112" s="95">
        <v>1.10602593440122</v>
      </c>
      <c r="AU112" s="95">
        <v>0.97495698719174195</v>
      </c>
      <c r="AV112" s="95">
        <v>0.43725404459991302</v>
      </c>
      <c r="AW112" s="95">
        <v>0.72946400253726595</v>
      </c>
      <c r="AX112" s="95">
        <v>1.01449275362319</v>
      </c>
      <c r="AY112" s="95">
        <v>0</v>
      </c>
      <c r="AZ112" s="95">
        <v>0.90679629802748396</v>
      </c>
      <c r="BA112" s="95">
        <v>1.94805194805195</v>
      </c>
      <c r="BB112" s="95">
        <v>0</v>
      </c>
      <c r="BC112" s="95">
        <v>0.67114093959731502</v>
      </c>
      <c r="BD112" s="95">
        <v>0.93708165997322601</v>
      </c>
      <c r="BE112" s="95">
        <v>1.5625</v>
      </c>
    </row>
    <row r="113" spans="2:57" ht="15" customHeight="1" x14ac:dyDescent="0.25">
      <c r="B113" s="96">
        <v>103</v>
      </c>
      <c r="C113" s="97" t="s">
        <v>504</v>
      </c>
      <c r="D113" s="97" t="s">
        <v>27</v>
      </c>
      <c r="E113" s="97" t="s">
        <v>505</v>
      </c>
      <c r="F113" s="97" t="s">
        <v>71</v>
      </c>
      <c r="G113" s="98" t="s">
        <v>71</v>
      </c>
      <c r="H113" s="99">
        <v>1661</v>
      </c>
      <c r="I113" s="99">
        <v>1064</v>
      </c>
      <c r="J113" s="99">
        <v>597</v>
      </c>
      <c r="K113" s="99">
        <v>118</v>
      </c>
      <c r="L113" s="99">
        <v>480</v>
      </c>
      <c r="M113" s="99">
        <v>783</v>
      </c>
      <c r="N113" s="99">
        <v>280</v>
      </c>
      <c r="O113" s="99">
        <v>1654</v>
      </c>
      <c r="P113" s="99">
        <v>7</v>
      </c>
      <c r="Q113" s="100">
        <v>1.0018785222291799</v>
      </c>
      <c r="R113" s="100">
        <v>0.48590864917395499</v>
      </c>
      <c r="S113" s="100">
        <v>1.9366197183098599</v>
      </c>
      <c r="T113" s="100">
        <v>2.7272727272727302</v>
      </c>
      <c r="U113" s="100">
        <v>1.55555555555556</v>
      </c>
      <c r="V113" s="100">
        <v>0.65616797900262502</v>
      </c>
      <c r="W113" s="100">
        <v>0.36363636363636398</v>
      </c>
      <c r="X113" s="100">
        <v>1.0062893081761</v>
      </c>
      <c r="Y113" s="100">
        <v>0</v>
      </c>
      <c r="Z113" s="99">
        <v>3047</v>
      </c>
      <c r="AA113" s="99">
        <v>1716</v>
      </c>
      <c r="AB113" s="99">
        <v>1331</v>
      </c>
      <c r="AC113" s="99">
        <v>141</v>
      </c>
      <c r="AD113" s="99">
        <v>768</v>
      </c>
      <c r="AE113" s="99">
        <v>1657</v>
      </c>
      <c r="AF113" s="99">
        <v>481</v>
      </c>
      <c r="AG113" s="99">
        <v>507</v>
      </c>
      <c r="AH113" s="99">
        <v>2519</v>
      </c>
      <c r="AI113" s="99">
        <v>21</v>
      </c>
      <c r="AJ113" s="99">
        <v>2955</v>
      </c>
      <c r="AK113" s="99">
        <v>84</v>
      </c>
      <c r="AL113" s="99">
        <v>8</v>
      </c>
      <c r="AM113" s="99">
        <v>202</v>
      </c>
      <c r="AN113" s="99">
        <v>2824</v>
      </c>
      <c r="AO113" s="99">
        <v>21</v>
      </c>
      <c r="AP113" s="100">
        <v>2.7845457709711101</v>
      </c>
      <c r="AQ113" s="100">
        <v>1.27272727272727</v>
      </c>
      <c r="AR113" s="100">
        <v>4.8242027800490597</v>
      </c>
      <c r="AS113" s="100">
        <v>7.5757575757575797</v>
      </c>
      <c r="AT113" s="100">
        <v>3.10296191819464</v>
      </c>
      <c r="AU113" s="100">
        <v>2.7318932655654402</v>
      </c>
      <c r="AV113" s="100">
        <v>1.0917030567685599</v>
      </c>
      <c r="AW113" s="100">
        <v>1.47058823529412</v>
      </c>
      <c r="AX113" s="100">
        <v>3.0698065601345701</v>
      </c>
      <c r="AY113" s="100">
        <v>0</v>
      </c>
      <c r="AZ113" s="100">
        <v>2.8366247755834801</v>
      </c>
      <c r="BA113" s="100">
        <v>1.25</v>
      </c>
      <c r="BB113" s="100">
        <v>0</v>
      </c>
      <c r="BC113" s="100">
        <v>1.5706806282722501</v>
      </c>
      <c r="BD113" s="100">
        <v>2.8936490041337799</v>
      </c>
      <c r="BE113" s="100">
        <v>0</v>
      </c>
    </row>
    <row r="114" spans="2:57" ht="15" customHeight="1" x14ac:dyDescent="0.25">
      <c r="B114" s="91">
        <v>104</v>
      </c>
      <c r="C114" s="92" t="s">
        <v>504</v>
      </c>
      <c r="D114" s="92" t="s">
        <v>27</v>
      </c>
      <c r="E114" s="92" t="s">
        <v>505</v>
      </c>
      <c r="F114" s="92" t="s">
        <v>71</v>
      </c>
      <c r="G114" s="101" t="s">
        <v>501</v>
      </c>
      <c r="H114" s="94">
        <v>0</v>
      </c>
      <c r="I114" s="94">
        <v>0</v>
      </c>
      <c r="J114" s="94">
        <v>0</v>
      </c>
      <c r="K114" s="94">
        <v>0</v>
      </c>
      <c r="L114" s="94">
        <v>0</v>
      </c>
      <c r="M114" s="94">
        <v>0</v>
      </c>
      <c r="N114" s="94">
        <v>0</v>
      </c>
      <c r="O114" s="94">
        <v>0</v>
      </c>
      <c r="P114" s="94">
        <v>0</v>
      </c>
      <c r="Q114" s="95">
        <v>0</v>
      </c>
      <c r="R114" s="95">
        <v>0</v>
      </c>
      <c r="S114" s="95">
        <v>0</v>
      </c>
      <c r="T114" s="95">
        <v>0</v>
      </c>
      <c r="U114" s="95">
        <v>0</v>
      </c>
      <c r="V114" s="95">
        <v>0</v>
      </c>
      <c r="W114" s="95">
        <v>0</v>
      </c>
      <c r="X114" s="95">
        <v>0</v>
      </c>
      <c r="Y114" s="95">
        <v>0</v>
      </c>
      <c r="Z114" s="94">
        <v>1259</v>
      </c>
      <c r="AA114" s="94">
        <v>682</v>
      </c>
      <c r="AB114" s="94">
        <v>577</v>
      </c>
      <c r="AC114" s="94">
        <v>60</v>
      </c>
      <c r="AD114" s="94">
        <v>347</v>
      </c>
      <c r="AE114" s="94">
        <v>706</v>
      </c>
      <c r="AF114" s="94">
        <v>146</v>
      </c>
      <c r="AG114" s="94">
        <v>151</v>
      </c>
      <c r="AH114" s="94">
        <v>1100</v>
      </c>
      <c r="AI114" s="94">
        <v>8</v>
      </c>
      <c r="AJ114" s="94">
        <v>1218</v>
      </c>
      <c r="AK114" s="94">
        <v>38</v>
      </c>
      <c r="AL114" s="94">
        <v>3</v>
      </c>
      <c r="AM114" s="94">
        <v>70</v>
      </c>
      <c r="AN114" s="94">
        <v>1183</v>
      </c>
      <c r="AO114" s="94">
        <v>6</v>
      </c>
      <c r="AP114" s="95">
        <v>4.7257383966244699</v>
      </c>
      <c r="AQ114" s="95">
        <v>2.6356589147286802</v>
      </c>
      <c r="AR114" s="95">
        <v>7.2222222222222197</v>
      </c>
      <c r="AS114" s="95">
        <v>10.714285714285699</v>
      </c>
      <c r="AT114" s="95">
        <v>5.6782334384858002</v>
      </c>
      <c r="AU114" s="95">
        <v>4.3348281016442503</v>
      </c>
      <c r="AV114" s="95">
        <v>2.0979020979021001</v>
      </c>
      <c r="AW114" s="95">
        <v>2.7777777777777799</v>
      </c>
      <c r="AX114" s="95">
        <v>5.0290135396518396</v>
      </c>
      <c r="AY114" s="95">
        <v>0</v>
      </c>
      <c r="AZ114" s="95">
        <v>4.7909407665505199</v>
      </c>
      <c r="BA114" s="95">
        <v>2.9411764705882399</v>
      </c>
      <c r="BB114" s="95">
        <v>0</v>
      </c>
      <c r="BC114" s="95">
        <v>1.4492753623188399</v>
      </c>
      <c r="BD114" s="95">
        <v>4.9549549549549496</v>
      </c>
      <c r="BE114" s="95">
        <v>0</v>
      </c>
    </row>
    <row r="115" spans="2:57" ht="15" customHeight="1" x14ac:dyDescent="0.25">
      <c r="B115" s="91">
        <v>105</v>
      </c>
      <c r="C115" s="92" t="s">
        <v>504</v>
      </c>
      <c r="D115" s="92" t="s">
        <v>27</v>
      </c>
      <c r="E115" s="92" t="s">
        <v>505</v>
      </c>
      <c r="F115" s="92" t="s">
        <v>71</v>
      </c>
      <c r="G115" s="101" t="s">
        <v>502</v>
      </c>
      <c r="H115" s="94">
        <v>1661</v>
      </c>
      <c r="I115" s="94">
        <v>1064</v>
      </c>
      <c r="J115" s="94">
        <v>597</v>
      </c>
      <c r="K115" s="94">
        <v>118</v>
      </c>
      <c r="L115" s="94">
        <v>480</v>
      </c>
      <c r="M115" s="94">
        <v>783</v>
      </c>
      <c r="N115" s="94">
        <v>280</v>
      </c>
      <c r="O115" s="94">
        <v>1654</v>
      </c>
      <c r="P115" s="94">
        <v>7</v>
      </c>
      <c r="Q115" s="95">
        <v>1.0018785222291799</v>
      </c>
      <c r="R115" s="95">
        <v>0.48590864917395499</v>
      </c>
      <c r="S115" s="95">
        <v>1.9366197183098599</v>
      </c>
      <c r="T115" s="95">
        <v>2.7272727272727302</v>
      </c>
      <c r="U115" s="95">
        <v>1.55555555555556</v>
      </c>
      <c r="V115" s="95">
        <v>0.65616797900262502</v>
      </c>
      <c r="W115" s="95">
        <v>0.36363636363636398</v>
      </c>
      <c r="X115" s="95">
        <v>1.0062893081761</v>
      </c>
      <c r="Y115" s="95">
        <v>0</v>
      </c>
      <c r="Z115" s="94">
        <v>1788</v>
      </c>
      <c r="AA115" s="94">
        <v>1034</v>
      </c>
      <c r="AB115" s="94">
        <v>754</v>
      </c>
      <c r="AC115" s="94">
        <v>81</v>
      </c>
      <c r="AD115" s="94">
        <v>421</v>
      </c>
      <c r="AE115" s="94">
        <v>951</v>
      </c>
      <c r="AF115" s="94">
        <v>335</v>
      </c>
      <c r="AG115" s="94">
        <v>356</v>
      </c>
      <c r="AH115" s="94">
        <v>1419</v>
      </c>
      <c r="AI115" s="94">
        <v>13</v>
      </c>
      <c r="AJ115" s="94">
        <v>1737</v>
      </c>
      <c r="AK115" s="94">
        <v>46</v>
      </c>
      <c r="AL115" s="94">
        <v>5</v>
      </c>
      <c r="AM115" s="94">
        <v>132</v>
      </c>
      <c r="AN115" s="94">
        <v>1641</v>
      </c>
      <c r="AO115" s="94">
        <v>15</v>
      </c>
      <c r="AP115" s="95">
        <v>1.4218009478672999</v>
      </c>
      <c r="AQ115" s="95">
        <v>0.39800995024875602</v>
      </c>
      <c r="AR115" s="95">
        <v>2.9282576866764298</v>
      </c>
      <c r="AS115" s="95">
        <v>5.2631578947368398</v>
      </c>
      <c r="AT115" s="95">
        <v>1.0204081632653099</v>
      </c>
      <c r="AU115" s="95">
        <v>1.54696132596685</v>
      </c>
      <c r="AV115" s="95">
        <v>0.634920634920635</v>
      </c>
      <c r="AW115" s="95">
        <v>0.90361445783132499</v>
      </c>
      <c r="AX115" s="95">
        <v>1.5625</v>
      </c>
      <c r="AY115" s="95">
        <v>0</v>
      </c>
      <c r="AZ115" s="95">
        <v>1.4660965180207699</v>
      </c>
      <c r="BA115" s="95">
        <v>0</v>
      </c>
      <c r="BB115" s="95">
        <v>0</v>
      </c>
      <c r="BC115" s="95">
        <v>1.63934426229508</v>
      </c>
      <c r="BD115" s="95">
        <v>1.4184397163120599</v>
      </c>
      <c r="BE115" s="95">
        <v>0</v>
      </c>
    </row>
    <row r="116" spans="2:57" ht="15" customHeight="1" x14ac:dyDescent="0.25">
      <c r="B116" s="96">
        <v>106</v>
      </c>
      <c r="C116" s="97" t="s">
        <v>504</v>
      </c>
      <c r="D116" s="97" t="s">
        <v>27</v>
      </c>
      <c r="E116" s="97" t="s">
        <v>505</v>
      </c>
      <c r="F116" s="97" t="s">
        <v>157</v>
      </c>
      <c r="G116" s="98" t="s">
        <v>157</v>
      </c>
      <c r="H116" s="99">
        <v>7725</v>
      </c>
      <c r="I116" s="99">
        <v>4527</v>
      </c>
      <c r="J116" s="99">
        <v>3198</v>
      </c>
      <c r="K116" s="99">
        <v>725</v>
      </c>
      <c r="L116" s="99">
        <v>1995</v>
      </c>
      <c r="M116" s="99">
        <v>3628</v>
      </c>
      <c r="N116" s="99">
        <v>1377</v>
      </c>
      <c r="O116" s="99">
        <v>7699</v>
      </c>
      <c r="P116" s="99">
        <v>26</v>
      </c>
      <c r="Q116" s="100">
        <v>0.20202020202020199</v>
      </c>
      <c r="R116" s="100">
        <v>6.8027210884353706E-2</v>
      </c>
      <c r="S116" s="100">
        <v>0.39800995024875602</v>
      </c>
      <c r="T116" s="100">
        <v>0.14556040756914099</v>
      </c>
      <c r="U116" s="100">
        <v>0.36572622779519298</v>
      </c>
      <c r="V116" s="100">
        <v>0.17123287671232901</v>
      </c>
      <c r="W116" s="100">
        <v>7.5757575757575801E-2</v>
      </c>
      <c r="X116" s="100">
        <v>0.18918918918918901</v>
      </c>
      <c r="Y116" s="100">
        <v>4</v>
      </c>
      <c r="Z116" s="99">
        <v>8597</v>
      </c>
      <c r="AA116" s="99">
        <v>4499</v>
      </c>
      <c r="AB116" s="99">
        <v>4098</v>
      </c>
      <c r="AC116" s="99">
        <v>693</v>
      </c>
      <c r="AD116" s="99">
        <v>2028</v>
      </c>
      <c r="AE116" s="99">
        <v>4089</v>
      </c>
      <c r="AF116" s="99">
        <v>1787</v>
      </c>
      <c r="AG116" s="99">
        <v>3054</v>
      </c>
      <c r="AH116" s="99">
        <v>5431</v>
      </c>
      <c r="AI116" s="99">
        <v>112</v>
      </c>
      <c r="AJ116" s="99">
        <v>8530</v>
      </c>
      <c r="AK116" s="99">
        <v>50</v>
      </c>
      <c r="AL116" s="99">
        <v>17</v>
      </c>
      <c r="AM116" s="99">
        <v>894</v>
      </c>
      <c r="AN116" s="99">
        <v>7597</v>
      </c>
      <c r="AO116" s="99">
        <v>106</v>
      </c>
      <c r="AP116" s="100">
        <v>0.97122738861235902</v>
      </c>
      <c r="AQ116" s="100">
        <v>0.25068368277119402</v>
      </c>
      <c r="AR116" s="100">
        <v>1.7926734216679701</v>
      </c>
      <c r="AS116" s="100">
        <v>0.75642965204236001</v>
      </c>
      <c r="AT116" s="100">
        <v>0.99528548978522802</v>
      </c>
      <c r="AU116" s="100">
        <v>1.22417750573833</v>
      </c>
      <c r="AV116" s="100">
        <v>0.45819014891179799</v>
      </c>
      <c r="AW116" s="100">
        <v>0.61120543293718199</v>
      </c>
      <c r="AX116" s="100">
        <v>1.1941448382126301</v>
      </c>
      <c r="AY116" s="100">
        <v>0</v>
      </c>
      <c r="AZ116" s="100">
        <v>0.96659733268077797</v>
      </c>
      <c r="BA116" s="100">
        <v>2.0833333333333299</v>
      </c>
      <c r="BB116" s="100">
        <v>0</v>
      </c>
      <c r="BC116" s="100">
        <v>0.69124423963133597</v>
      </c>
      <c r="BD116" s="100">
        <v>1.01774171365699</v>
      </c>
      <c r="BE116" s="100">
        <v>0</v>
      </c>
    </row>
    <row r="117" spans="2:57" ht="15" customHeight="1" x14ac:dyDescent="0.25">
      <c r="B117" s="91">
        <v>107</v>
      </c>
      <c r="C117" s="92" t="s">
        <v>504</v>
      </c>
      <c r="D117" s="92" t="s">
        <v>27</v>
      </c>
      <c r="E117" s="92" t="s">
        <v>505</v>
      </c>
      <c r="F117" s="92" t="s">
        <v>157</v>
      </c>
      <c r="G117" s="101" t="s">
        <v>501</v>
      </c>
      <c r="H117" s="94">
        <v>1235</v>
      </c>
      <c r="I117" s="94">
        <v>635</v>
      </c>
      <c r="J117" s="94">
        <v>600</v>
      </c>
      <c r="K117" s="94">
        <v>81</v>
      </c>
      <c r="L117" s="94">
        <v>296</v>
      </c>
      <c r="M117" s="94">
        <v>690</v>
      </c>
      <c r="N117" s="94">
        <v>168</v>
      </c>
      <c r="O117" s="94">
        <v>1226</v>
      </c>
      <c r="P117" s="94">
        <v>9</v>
      </c>
      <c r="Q117" s="95">
        <v>0.93856655290102398</v>
      </c>
      <c r="R117" s="95">
        <v>0.33112582781457001</v>
      </c>
      <c r="S117" s="95">
        <v>1.5845070422535199</v>
      </c>
      <c r="T117" s="95">
        <v>1.35135135135135</v>
      </c>
      <c r="U117" s="95">
        <v>1.07913669064748</v>
      </c>
      <c r="V117" s="95">
        <v>0.91047040971168403</v>
      </c>
      <c r="W117" s="95">
        <v>0.62111801242235998</v>
      </c>
      <c r="X117" s="95">
        <v>0.85984522785898498</v>
      </c>
      <c r="Y117" s="95">
        <v>11.1111111111111</v>
      </c>
      <c r="Z117" s="94">
        <v>1829</v>
      </c>
      <c r="AA117" s="94">
        <v>889</v>
      </c>
      <c r="AB117" s="94">
        <v>940</v>
      </c>
      <c r="AC117" s="94">
        <v>110</v>
      </c>
      <c r="AD117" s="94">
        <v>383</v>
      </c>
      <c r="AE117" s="94">
        <v>1037</v>
      </c>
      <c r="AF117" s="94">
        <v>299</v>
      </c>
      <c r="AG117" s="94">
        <v>562</v>
      </c>
      <c r="AH117" s="94">
        <v>1258</v>
      </c>
      <c r="AI117" s="94">
        <v>9</v>
      </c>
      <c r="AJ117" s="94">
        <v>1814</v>
      </c>
      <c r="AK117" s="94">
        <v>12</v>
      </c>
      <c r="AL117" s="94">
        <v>3</v>
      </c>
      <c r="AM117" s="94">
        <v>142</v>
      </c>
      <c r="AN117" s="94">
        <v>1681</v>
      </c>
      <c r="AO117" s="94">
        <v>6</v>
      </c>
      <c r="AP117" s="95">
        <v>2.9360967184801399</v>
      </c>
      <c r="AQ117" s="95">
        <v>0.81775700934579398</v>
      </c>
      <c r="AR117" s="95">
        <v>4.9943246311010201</v>
      </c>
      <c r="AS117" s="95">
        <v>1.98019801980198</v>
      </c>
      <c r="AT117" s="95">
        <v>3.1161473087818701</v>
      </c>
      <c r="AU117" s="95">
        <v>3.3199195171026199</v>
      </c>
      <c r="AV117" s="95">
        <v>1.73010380622837</v>
      </c>
      <c r="AW117" s="95">
        <v>0.95785440613026795</v>
      </c>
      <c r="AX117" s="95">
        <v>3.8111019055509501</v>
      </c>
      <c r="AY117" s="95">
        <v>0</v>
      </c>
      <c r="AZ117" s="95">
        <v>2.9616724738675999</v>
      </c>
      <c r="BA117" s="95">
        <v>0</v>
      </c>
      <c r="BB117" s="95">
        <v>0</v>
      </c>
      <c r="BC117" s="95">
        <v>2.9411764705882399</v>
      </c>
      <c r="BD117" s="95">
        <v>2.94670846394984</v>
      </c>
      <c r="BE117" s="95">
        <v>0</v>
      </c>
    </row>
    <row r="118" spans="2:57" ht="15" customHeight="1" x14ac:dyDescent="0.25">
      <c r="B118" s="91">
        <v>108</v>
      </c>
      <c r="C118" s="92" t="s">
        <v>504</v>
      </c>
      <c r="D118" s="92" t="s">
        <v>27</v>
      </c>
      <c r="E118" s="92" t="s">
        <v>505</v>
      </c>
      <c r="F118" s="92" t="s">
        <v>157</v>
      </c>
      <c r="G118" s="101" t="s">
        <v>502</v>
      </c>
      <c r="H118" s="94">
        <v>6490</v>
      </c>
      <c r="I118" s="94">
        <v>3892</v>
      </c>
      <c r="J118" s="94">
        <v>2598</v>
      </c>
      <c r="K118" s="94">
        <v>644</v>
      </c>
      <c r="L118" s="94">
        <v>1699</v>
      </c>
      <c r="M118" s="94">
        <v>2938</v>
      </c>
      <c r="N118" s="94">
        <v>1209</v>
      </c>
      <c r="O118" s="94">
        <v>6473</v>
      </c>
      <c r="P118" s="94">
        <v>17</v>
      </c>
      <c r="Q118" s="95">
        <v>6.3969294738525501E-2</v>
      </c>
      <c r="R118" s="95">
        <v>2.6274303730951101E-2</v>
      </c>
      <c r="S118" s="95">
        <v>0.122599100939926</v>
      </c>
      <c r="T118" s="95">
        <v>0</v>
      </c>
      <c r="U118" s="95">
        <v>0.24449877750611199</v>
      </c>
      <c r="V118" s="95">
        <v>0</v>
      </c>
      <c r="W118" s="95">
        <v>0</v>
      </c>
      <c r="X118" s="95">
        <v>6.4133397466730802E-2</v>
      </c>
      <c r="Y118" s="95">
        <v>0</v>
      </c>
      <c r="Z118" s="94">
        <v>6768</v>
      </c>
      <c r="AA118" s="94">
        <v>3610</v>
      </c>
      <c r="AB118" s="94">
        <v>3158</v>
      </c>
      <c r="AC118" s="94">
        <v>583</v>
      </c>
      <c r="AD118" s="94">
        <v>1645</v>
      </c>
      <c r="AE118" s="94">
        <v>3052</v>
      </c>
      <c r="AF118" s="94">
        <v>1488</v>
      </c>
      <c r="AG118" s="94">
        <v>2492</v>
      </c>
      <c r="AH118" s="94">
        <v>4173</v>
      </c>
      <c r="AI118" s="94">
        <v>103</v>
      </c>
      <c r="AJ118" s="94">
        <v>6716</v>
      </c>
      <c r="AK118" s="94">
        <v>38</v>
      </c>
      <c r="AL118" s="94">
        <v>14</v>
      </c>
      <c r="AM118" s="94">
        <v>752</v>
      </c>
      <c r="AN118" s="94">
        <v>5916</v>
      </c>
      <c r="AO118" s="94">
        <v>100</v>
      </c>
      <c r="AP118" s="95">
        <v>0.44615384615384601</v>
      </c>
      <c r="AQ118" s="95">
        <v>0.11325028312570801</v>
      </c>
      <c r="AR118" s="95">
        <v>0.84231805929919101</v>
      </c>
      <c r="AS118" s="95">
        <v>0.53571428571428603</v>
      </c>
      <c r="AT118" s="95">
        <v>0.51413881748071999</v>
      </c>
      <c r="AU118" s="95">
        <v>0.51247010591048903</v>
      </c>
      <c r="AV118" s="95">
        <v>0.20590253946465301</v>
      </c>
      <c r="AW118" s="95">
        <v>0.53652496904663605</v>
      </c>
      <c r="AX118" s="95">
        <v>0.40150564617314899</v>
      </c>
      <c r="AY118" s="95">
        <v>0</v>
      </c>
      <c r="AZ118" s="95">
        <v>0.43404123391722199</v>
      </c>
      <c r="BA118" s="95">
        <v>2.7777777777777799</v>
      </c>
      <c r="BB118" s="95">
        <v>0</v>
      </c>
      <c r="BC118" s="95">
        <v>0.27322404371584702</v>
      </c>
      <c r="BD118" s="95">
        <v>0.47568710359408001</v>
      </c>
      <c r="BE118" s="95">
        <v>0</v>
      </c>
    </row>
    <row r="119" spans="2:57" ht="15" customHeight="1" x14ac:dyDescent="0.25">
      <c r="B119" s="96">
        <v>109</v>
      </c>
      <c r="C119" s="97" t="s">
        <v>504</v>
      </c>
      <c r="D119" s="97" t="s">
        <v>27</v>
      </c>
      <c r="E119" s="97" t="s">
        <v>505</v>
      </c>
      <c r="F119" s="97" t="s">
        <v>89</v>
      </c>
      <c r="G119" s="98" t="s">
        <v>89</v>
      </c>
      <c r="H119" s="99">
        <v>2117</v>
      </c>
      <c r="I119" s="99">
        <v>1301</v>
      </c>
      <c r="J119" s="99">
        <v>816</v>
      </c>
      <c r="K119" s="99">
        <v>134</v>
      </c>
      <c r="L119" s="99">
        <v>580</v>
      </c>
      <c r="M119" s="99">
        <v>1035</v>
      </c>
      <c r="N119" s="99">
        <v>368</v>
      </c>
      <c r="O119" s="99">
        <v>2099</v>
      </c>
      <c r="P119" s="99">
        <v>18</v>
      </c>
      <c r="Q119" s="100">
        <v>0.58422590068159697</v>
      </c>
      <c r="R119" s="100">
        <v>0.15723270440251599</v>
      </c>
      <c r="S119" s="100">
        <v>1.2787723785166201</v>
      </c>
      <c r="T119" s="100">
        <v>1.55038759689922</v>
      </c>
      <c r="U119" s="100">
        <v>0.89445438282647605</v>
      </c>
      <c r="V119" s="100">
        <v>0.39643211100099102</v>
      </c>
      <c r="W119" s="100">
        <v>0.28011204481792701</v>
      </c>
      <c r="X119" s="100">
        <v>0.58939096267190605</v>
      </c>
      <c r="Y119" s="100">
        <v>0</v>
      </c>
      <c r="Z119" s="99">
        <v>2819</v>
      </c>
      <c r="AA119" s="99">
        <v>1642</v>
      </c>
      <c r="AB119" s="99">
        <v>1177</v>
      </c>
      <c r="AC119" s="99">
        <v>113</v>
      </c>
      <c r="AD119" s="99">
        <v>713</v>
      </c>
      <c r="AE119" s="99">
        <v>1468</v>
      </c>
      <c r="AF119" s="99">
        <v>525</v>
      </c>
      <c r="AG119" s="99">
        <v>412</v>
      </c>
      <c r="AH119" s="99">
        <v>2371</v>
      </c>
      <c r="AI119" s="99">
        <v>36</v>
      </c>
      <c r="AJ119" s="99">
        <v>2728</v>
      </c>
      <c r="AK119" s="99">
        <v>78</v>
      </c>
      <c r="AL119" s="99">
        <v>13</v>
      </c>
      <c r="AM119" s="99">
        <v>190</v>
      </c>
      <c r="AN119" s="99">
        <v>2607</v>
      </c>
      <c r="AO119" s="99">
        <v>22</v>
      </c>
      <c r="AP119" s="100">
        <v>1.74461766889384</v>
      </c>
      <c r="AQ119" s="100">
        <v>0.69444444444444398</v>
      </c>
      <c r="AR119" s="100">
        <v>3.2432432432432399</v>
      </c>
      <c r="AS119" s="100">
        <v>2.8301886792452802</v>
      </c>
      <c r="AT119" s="100">
        <v>2.5222551928783399</v>
      </c>
      <c r="AU119" s="100">
        <v>1.57255182273052</v>
      </c>
      <c r="AV119" s="100">
        <v>0.970873786407767</v>
      </c>
      <c r="AW119" s="100">
        <v>1.7587939698492501</v>
      </c>
      <c r="AX119" s="100">
        <v>1.76912870411322</v>
      </c>
      <c r="AY119" s="100">
        <v>0</v>
      </c>
      <c r="AZ119" s="100">
        <v>1.7247987734764301</v>
      </c>
      <c r="BA119" s="100">
        <v>2.7777777777777799</v>
      </c>
      <c r="BB119" s="100">
        <v>0</v>
      </c>
      <c r="BC119" s="100">
        <v>1.5873015873015901</v>
      </c>
      <c r="BD119" s="100">
        <v>1.69082125603865</v>
      </c>
      <c r="BE119" s="100">
        <v>9.5238095238095202</v>
      </c>
    </row>
    <row r="120" spans="2:57" ht="15" customHeight="1" x14ac:dyDescent="0.25">
      <c r="B120" s="91">
        <v>110</v>
      </c>
      <c r="C120" s="92" t="s">
        <v>504</v>
      </c>
      <c r="D120" s="92" t="s">
        <v>27</v>
      </c>
      <c r="E120" s="92" t="s">
        <v>505</v>
      </c>
      <c r="F120" s="92" t="s">
        <v>89</v>
      </c>
      <c r="G120" s="101" t="s">
        <v>501</v>
      </c>
      <c r="H120" s="94">
        <v>0</v>
      </c>
      <c r="I120" s="94">
        <v>0</v>
      </c>
      <c r="J120" s="94">
        <v>0</v>
      </c>
      <c r="K120" s="94">
        <v>0</v>
      </c>
      <c r="L120" s="94">
        <v>0</v>
      </c>
      <c r="M120" s="94">
        <v>0</v>
      </c>
      <c r="N120" s="94">
        <v>0</v>
      </c>
      <c r="O120" s="94">
        <v>0</v>
      </c>
      <c r="P120" s="94">
        <v>0</v>
      </c>
      <c r="Q120" s="95">
        <v>0</v>
      </c>
      <c r="R120" s="95">
        <v>0</v>
      </c>
      <c r="S120" s="95">
        <v>0</v>
      </c>
      <c r="T120" s="95">
        <v>0</v>
      </c>
      <c r="U120" s="95">
        <v>0</v>
      </c>
      <c r="V120" s="95">
        <v>0</v>
      </c>
      <c r="W120" s="95">
        <v>0</v>
      </c>
      <c r="X120" s="95">
        <v>0</v>
      </c>
      <c r="Y120" s="95">
        <v>0</v>
      </c>
      <c r="Z120" s="94">
        <v>0</v>
      </c>
      <c r="AA120" s="94">
        <v>0</v>
      </c>
      <c r="AB120" s="94">
        <v>0</v>
      </c>
      <c r="AC120" s="94">
        <v>0</v>
      </c>
      <c r="AD120" s="94">
        <v>0</v>
      </c>
      <c r="AE120" s="94">
        <v>0</v>
      </c>
      <c r="AF120" s="94">
        <v>0</v>
      </c>
      <c r="AG120" s="94">
        <v>0</v>
      </c>
      <c r="AH120" s="94">
        <v>0</v>
      </c>
      <c r="AI120" s="94">
        <v>0</v>
      </c>
      <c r="AJ120" s="94">
        <v>0</v>
      </c>
      <c r="AK120" s="94">
        <v>0</v>
      </c>
      <c r="AL120" s="94">
        <v>0</v>
      </c>
      <c r="AM120" s="94">
        <v>0</v>
      </c>
      <c r="AN120" s="94">
        <v>0</v>
      </c>
      <c r="AO120" s="94">
        <v>0</v>
      </c>
      <c r="AP120" s="95">
        <v>0</v>
      </c>
      <c r="AQ120" s="95">
        <v>0</v>
      </c>
      <c r="AR120" s="95">
        <v>0</v>
      </c>
      <c r="AS120" s="95">
        <v>0</v>
      </c>
      <c r="AT120" s="95">
        <v>0</v>
      </c>
      <c r="AU120" s="95">
        <v>0</v>
      </c>
      <c r="AV120" s="95">
        <v>0</v>
      </c>
      <c r="AW120" s="95">
        <v>0</v>
      </c>
      <c r="AX120" s="95">
        <v>0</v>
      </c>
      <c r="AY120" s="95">
        <v>0</v>
      </c>
      <c r="AZ120" s="95">
        <v>0</v>
      </c>
      <c r="BA120" s="95">
        <v>0</v>
      </c>
      <c r="BB120" s="95">
        <v>0</v>
      </c>
      <c r="BC120" s="95">
        <v>0</v>
      </c>
      <c r="BD120" s="95">
        <v>0</v>
      </c>
      <c r="BE120" s="95">
        <v>0</v>
      </c>
    </row>
    <row r="121" spans="2:57" ht="15" customHeight="1" x14ac:dyDescent="0.25">
      <c r="B121" s="91">
        <v>111</v>
      </c>
      <c r="C121" s="92" t="s">
        <v>504</v>
      </c>
      <c r="D121" s="92" t="s">
        <v>27</v>
      </c>
      <c r="E121" s="92" t="s">
        <v>505</v>
      </c>
      <c r="F121" s="92" t="s">
        <v>89</v>
      </c>
      <c r="G121" s="101" t="s">
        <v>502</v>
      </c>
      <c r="H121" s="94">
        <v>2117</v>
      </c>
      <c r="I121" s="94">
        <v>1301</v>
      </c>
      <c r="J121" s="94">
        <v>816</v>
      </c>
      <c r="K121" s="94">
        <v>134</v>
      </c>
      <c r="L121" s="94">
        <v>580</v>
      </c>
      <c r="M121" s="94">
        <v>1035</v>
      </c>
      <c r="N121" s="94">
        <v>368</v>
      </c>
      <c r="O121" s="94">
        <v>2099</v>
      </c>
      <c r="P121" s="94">
        <v>18</v>
      </c>
      <c r="Q121" s="95">
        <v>0.58422590068159697</v>
      </c>
      <c r="R121" s="95">
        <v>0.15723270440251599</v>
      </c>
      <c r="S121" s="95">
        <v>1.2787723785166201</v>
      </c>
      <c r="T121" s="95">
        <v>1.55038759689922</v>
      </c>
      <c r="U121" s="95">
        <v>0.89445438282647605</v>
      </c>
      <c r="V121" s="95">
        <v>0.39643211100099102</v>
      </c>
      <c r="W121" s="95">
        <v>0.28011204481792701</v>
      </c>
      <c r="X121" s="95">
        <v>0.58939096267190605</v>
      </c>
      <c r="Y121" s="95">
        <v>0</v>
      </c>
      <c r="Z121" s="94">
        <v>2819</v>
      </c>
      <c r="AA121" s="94">
        <v>1642</v>
      </c>
      <c r="AB121" s="94">
        <v>1177</v>
      </c>
      <c r="AC121" s="94">
        <v>113</v>
      </c>
      <c r="AD121" s="94">
        <v>713</v>
      </c>
      <c r="AE121" s="94">
        <v>1468</v>
      </c>
      <c r="AF121" s="94">
        <v>525</v>
      </c>
      <c r="AG121" s="94">
        <v>412</v>
      </c>
      <c r="AH121" s="94">
        <v>2371</v>
      </c>
      <c r="AI121" s="94">
        <v>36</v>
      </c>
      <c r="AJ121" s="94">
        <v>2728</v>
      </c>
      <c r="AK121" s="94">
        <v>78</v>
      </c>
      <c r="AL121" s="94">
        <v>13</v>
      </c>
      <c r="AM121" s="94">
        <v>190</v>
      </c>
      <c r="AN121" s="94">
        <v>2607</v>
      </c>
      <c r="AO121" s="94">
        <v>22</v>
      </c>
      <c r="AP121" s="95">
        <v>1.74461766889384</v>
      </c>
      <c r="AQ121" s="95">
        <v>0.69444444444444398</v>
      </c>
      <c r="AR121" s="95">
        <v>3.2432432432432399</v>
      </c>
      <c r="AS121" s="95">
        <v>2.8301886792452802</v>
      </c>
      <c r="AT121" s="95">
        <v>2.5222551928783399</v>
      </c>
      <c r="AU121" s="95">
        <v>1.57255182273052</v>
      </c>
      <c r="AV121" s="95">
        <v>0.970873786407767</v>
      </c>
      <c r="AW121" s="95">
        <v>1.7587939698492501</v>
      </c>
      <c r="AX121" s="95">
        <v>1.76912870411322</v>
      </c>
      <c r="AY121" s="95">
        <v>0</v>
      </c>
      <c r="AZ121" s="95">
        <v>1.7247987734764301</v>
      </c>
      <c r="BA121" s="95">
        <v>2.7777777777777799</v>
      </c>
      <c r="BB121" s="95">
        <v>0</v>
      </c>
      <c r="BC121" s="95">
        <v>1.5873015873015901</v>
      </c>
      <c r="BD121" s="95">
        <v>1.69082125603865</v>
      </c>
      <c r="BE121" s="95">
        <v>9.5238095238095202</v>
      </c>
    </row>
    <row r="122" spans="2:57" ht="15" customHeight="1" x14ac:dyDescent="0.25">
      <c r="B122" s="86">
        <v>112</v>
      </c>
      <c r="C122" s="87" t="s">
        <v>503</v>
      </c>
      <c r="D122" s="87" t="s">
        <v>27</v>
      </c>
      <c r="E122" s="87" t="s">
        <v>347</v>
      </c>
      <c r="F122" s="87"/>
      <c r="G122" s="88" t="s">
        <v>347</v>
      </c>
      <c r="H122" s="89">
        <v>8306</v>
      </c>
      <c r="I122" s="89">
        <v>5721</v>
      </c>
      <c r="J122" s="89">
        <v>2585</v>
      </c>
      <c r="K122" s="89">
        <v>496</v>
      </c>
      <c r="L122" s="89">
        <v>2247</v>
      </c>
      <c r="M122" s="89">
        <v>4359</v>
      </c>
      <c r="N122" s="89">
        <v>1204</v>
      </c>
      <c r="O122" s="89">
        <v>8277</v>
      </c>
      <c r="P122" s="89">
        <v>29</v>
      </c>
      <c r="Q122" s="90">
        <v>0.74597565763643503</v>
      </c>
      <c r="R122" s="90">
        <v>0.30046948356807501</v>
      </c>
      <c r="S122" s="90">
        <v>1.77029360967185</v>
      </c>
      <c r="T122" s="90">
        <v>0.68493150684931503</v>
      </c>
      <c r="U122" s="90">
        <v>0.97181729834791097</v>
      </c>
      <c r="V122" s="90">
        <v>0.74294205052005902</v>
      </c>
      <c r="W122" s="90">
        <v>0.36133694670279998</v>
      </c>
      <c r="X122" s="90">
        <v>0.74842436974789905</v>
      </c>
      <c r="Y122" s="90">
        <v>0</v>
      </c>
      <c r="Z122" s="89">
        <v>11150</v>
      </c>
      <c r="AA122" s="89">
        <v>6817</v>
      </c>
      <c r="AB122" s="89">
        <v>4333</v>
      </c>
      <c r="AC122" s="89">
        <v>515</v>
      </c>
      <c r="AD122" s="89">
        <v>2811</v>
      </c>
      <c r="AE122" s="89">
        <v>6102</v>
      </c>
      <c r="AF122" s="89">
        <v>1722</v>
      </c>
      <c r="AG122" s="89">
        <v>4739</v>
      </c>
      <c r="AH122" s="89">
        <v>6217</v>
      </c>
      <c r="AI122" s="89">
        <v>194</v>
      </c>
      <c r="AJ122" s="89">
        <v>11023</v>
      </c>
      <c r="AK122" s="89">
        <v>48</v>
      </c>
      <c r="AL122" s="89">
        <v>79</v>
      </c>
      <c r="AM122" s="89">
        <v>858</v>
      </c>
      <c r="AN122" s="89">
        <v>10145</v>
      </c>
      <c r="AO122" s="89">
        <v>147</v>
      </c>
      <c r="AP122" s="90">
        <v>2.4674567709345201</v>
      </c>
      <c r="AQ122" s="90">
        <v>0.66058508965083396</v>
      </c>
      <c r="AR122" s="90">
        <v>5.3861788617886202</v>
      </c>
      <c r="AS122" s="90">
        <v>1.6597510373444</v>
      </c>
      <c r="AT122" s="90">
        <v>3.2385466034755099</v>
      </c>
      <c r="AU122" s="90">
        <v>2.5075582429308199</v>
      </c>
      <c r="AV122" s="90">
        <v>1.3880506940253501</v>
      </c>
      <c r="AW122" s="90">
        <v>2.0611702127659601</v>
      </c>
      <c r="AX122" s="90">
        <v>2.8337194795936602</v>
      </c>
      <c r="AY122" s="90">
        <v>1.16959064327485</v>
      </c>
      <c r="AZ122" s="90">
        <v>2.49680526884891</v>
      </c>
      <c r="BA122" s="90">
        <v>0</v>
      </c>
      <c r="BB122" s="90">
        <v>0</v>
      </c>
      <c r="BC122" s="90">
        <v>2.44200244200244</v>
      </c>
      <c r="BD122" s="90">
        <v>2.4836741248260399</v>
      </c>
      <c r="BE122" s="90">
        <v>1.4925373134328399</v>
      </c>
    </row>
    <row r="123" spans="2:57" ht="15" customHeight="1" x14ac:dyDescent="0.25">
      <c r="B123" s="91">
        <v>113</v>
      </c>
      <c r="C123" s="92" t="s">
        <v>503</v>
      </c>
      <c r="D123" s="92" t="s">
        <v>27</v>
      </c>
      <c r="E123" s="92" t="s">
        <v>347</v>
      </c>
      <c r="F123" s="92"/>
      <c r="G123" s="93" t="s">
        <v>501</v>
      </c>
      <c r="H123" s="94">
        <v>1320</v>
      </c>
      <c r="I123" s="94">
        <v>794</v>
      </c>
      <c r="J123" s="94">
        <v>526</v>
      </c>
      <c r="K123" s="94">
        <v>58</v>
      </c>
      <c r="L123" s="94">
        <v>414</v>
      </c>
      <c r="M123" s="94">
        <v>714</v>
      </c>
      <c r="N123" s="94">
        <v>134</v>
      </c>
      <c r="O123" s="94">
        <v>1313</v>
      </c>
      <c r="P123" s="94">
        <v>7</v>
      </c>
      <c r="Q123" s="95">
        <v>1.4143094841930099</v>
      </c>
      <c r="R123" s="95">
        <v>0.54644808743169404</v>
      </c>
      <c r="S123" s="95">
        <v>2.76595744680851</v>
      </c>
      <c r="T123" s="95">
        <v>0</v>
      </c>
      <c r="U123" s="95">
        <v>1.6348773841961901</v>
      </c>
      <c r="V123" s="95">
        <v>1.5037593984962401</v>
      </c>
      <c r="W123" s="95">
        <v>0.81300813008130102</v>
      </c>
      <c r="X123" s="95">
        <v>1.4214046822742501</v>
      </c>
      <c r="Y123" s="95">
        <v>0</v>
      </c>
      <c r="Z123" s="94">
        <v>2546</v>
      </c>
      <c r="AA123" s="94">
        <v>1540</v>
      </c>
      <c r="AB123" s="94">
        <v>1006</v>
      </c>
      <c r="AC123" s="94">
        <v>66</v>
      </c>
      <c r="AD123" s="94">
        <v>820</v>
      </c>
      <c r="AE123" s="94">
        <v>1450</v>
      </c>
      <c r="AF123" s="94">
        <v>210</v>
      </c>
      <c r="AG123" s="94">
        <v>409</v>
      </c>
      <c r="AH123" s="94">
        <v>2086</v>
      </c>
      <c r="AI123" s="94">
        <v>51</v>
      </c>
      <c r="AJ123" s="94">
        <v>2530</v>
      </c>
      <c r="AK123" s="94">
        <v>7</v>
      </c>
      <c r="AL123" s="94">
        <v>9</v>
      </c>
      <c r="AM123" s="94">
        <v>138</v>
      </c>
      <c r="AN123" s="94">
        <v>2369</v>
      </c>
      <c r="AO123" s="94">
        <v>39</v>
      </c>
      <c r="AP123" s="95">
        <v>4.8983364140480603</v>
      </c>
      <c r="AQ123" s="95">
        <v>0.93385214007782102</v>
      </c>
      <c r="AR123" s="95">
        <v>10.693970420932899</v>
      </c>
      <c r="AS123" s="95">
        <v>1.72413793103448</v>
      </c>
      <c r="AT123" s="95">
        <v>6.7746686303387298</v>
      </c>
      <c r="AU123" s="95">
        <v>3.81803411860276</v>
      </c>
      <c r="AV123" s="95">
        <v>6.12244897959184</v>
      </c>
      <c r="AW123" s="95">
        <v>4.5333333333333297</v>
      </c>
      <c r="AX123" s="95">
        <v>5.0142450142450103</v>
      </c>
      <c r="AY123" s="95">
        <v>2.9411764705882399</v>
      </c>
      <c r="AZ123" s="95">
        <v>4.9279404927940504</v>
      </c>
      <c r="BA123" s="95">
        <v>0</v>
      </c>
      <c r="BB123" s="95">
        <v>0</v>
      </c>
      <c r="BC123" s="95">
        <v>7.3770491803278704</v>
      </c>
      <c r="BD123" s="95">
        <v>4.7832585949177897</v>
      </c>
      <c r="BE123" s="95">
        <v>2.8571428571428599</v>
      </c>
    </row>
    <row r="124" spans="2:57" ht="15" customHeight="1" x14ac:dyDescent="0.25">
      <c r="B124" s="91">
        <v>114</v>
      </c>
      <c r="C124" s="92" t="s">
        <v>503</v>
      </c>
      <c r="D124" s="92" t="s">
        <v>27</v>
      </c>
      <c r="E124" s="92" t="s">
        <v>347</v>
      </c>
      <c r="F124" s="92"/>
      <c r="G124" s="93" t="s">
        <v>502</v>
      </c>
      <c r="H124" s="94">
        <v>6986</v>
      </c>
      <c r="I124" s="94">
        <v>4927</v>
      </c>
      <c r="J124" s="94">
        <v>2059</v>
      </c>
      <c r="K124" s="94">
        <v>438</v>
      </c>
      <c r="L124" s="94">
        <v>1833</v>
      </c>
      <c r="M124" s="94">
        <v>3645</v>
      </c>
      <c r="N124" s="94">
        <v>1070</v>
      </c>
      <c r="O124" s="94">
        <v>6964</v>
      </c>
      <c r="P124" s="94">
        <v>22</v>
      </c>
      <c r="Q124" s="95">
        <v>0.62121447429725096</v>
      </c>
      <c r="R124" s="95">
        <v>0.261267145656434</v>
      </c>
      <c r="S124" s="95">
        <v>1.51679306608884</v>
      </c>
      <c r="T124" s="95">
        <v>0.76726342710997397</v>
      </c>
      <c r="U124" s="95">
        <v>0.82791247782377297</v>
      </c>
      <c r="V124" s="95">
        <v>0.59294396679513806</v>
      </c>
      <c r="W124" s="95">
        <v>0.30487804878048802</v>
      </c>
      <c r="X124" s="95">
        <v>0.62305295950155803</v>
      </c>
      <c r="Y124" s="95">
        <v>0</v>
      </c>
      <c r="Z124" s="94">
        <v>8604</v>
      </c>
      <c r="AA124" s="94">
        <v>5277</v>
      </c>
      <c r="AB124" s="94">
        <v>3327</v>
      </c>
      <c r="AC124" s="94">
        <v>449</v>
      </c>
      <c r="AD124" s="94">
        <v>1991</v>
      </c>
      <c r="AE124" s="94">
        <v>4652</v>
      </c>
      <c r="AF124" s="94">
        <v>1512</v>
      </c>
      <c r="AG124" s="94">
        <v>4330</v>
      </c>
      <c r="AH124" s="94">
        <v>4131</v>
      </c>
      <c r="AI124" s="94">
        <v>143</v>
      </c>
      <c r="AJ124" s="94">
        <v>8493</v>
      </c>
      <c r="AK124" s="94">
        <v>41</v>
      </c>
      <c r="AL124" s="94">
        <v>70</v>
      </c>
      <c r="AM124" s="94">
        <v>720</v>
      </c>
      <c r="AN124" s="94">
        <v>7776</v>
      </c>
      <c r="AO124" s="94">
        <v>108</v>
      </c>
      <c r="AP124" s="95">
        <v>1.82041820418204</v>
      </c>
      <c r="AQ124" s="95">
        <v>0.59136605558840905</v>
      </c>
      <c r="AR124" s="95">
        <v>3.8599934576382098</v>
      </c>
      <c r="AS124" s="95">
        <v>1.6509433962264199</v>
      </c>
      <c r="AT124" s="95">
        <v>1.94279546681058</v>
      </c>
      <c r="AU124" s="95">
        <v>2.1402550091074701</v>
      </c>
      <c r="AV124" s="95">
        <v>0.75290896646132799</v>
      </c>
      <c r="AW124" s="95">
        <v>1.83708000966884</v>
      </c>
      <c r="AX124" s="95">
        <v>1.84128630705394</v>
      </c>
      <c r="AY124" s="95">
        <v>0.72992700729926996</v>
      </c>
      <c r="AZ124" s="95">
        <v>1.8449264522563</v>
      </c>
      <c r="BA124" s="95">
        <v>0</v>
      </c>
      <c r="BB124" s="95">
        <v>0</v>
      </c>
      <c r="BC124" s="95">
        <v>1.5781922525107599</v>
      </c>
      <c r="BD124" s="95">
        <v>1.8543768748295599</v>
      </c>
      <c r="BE124" s="95">
        <v>1.0101010101010099</v>
      </c>
    </row>
    <row r="125" spans="2:57" ht="15" customHeight="1" x14ac:dyDescent="0.25">
      <c r="B125" s="96">
        <v>115</v>
      </c>
      <c r="C125" s="97" t="s">
        <v>504</v>
      </c>
      <c r="D125" s="97" t="s">
        <v>27</v>
      </c>
      <c r="E125" s="97" t="s">
        <v>347</v>
      </c>
      <c r="F125" s="97" t="s">
        <v>456</v>
      </c>
      <c r="G125" s="98" t="s">
        <v>456</v>
      </c>
      <c r="H125" s="99">
        <v>4007</v>
      </c>
      <c r="I125" s="99">
        <v>2740</v>
      </c>
      <c r="J125" s="99">
        <v>1267</v>
      </c>
      <c r="K125" s="99">
        <v>237</v>
      </c>
      <c r="L125" s="99">
        <v>1061</v>
      </c>
      <c r="M125" s="99">
        <v>2096</v>
      </c>
      <c r="N125" s="99">
        <v>613</v>
      </c>
      <c r="O125" s="99">
        <v>3996</v>
      </c>
      <c r="P125" s="99">
        <v>11</v>
      </c>
      <c r="Q125" s="100">
        <v>0.775193798449612</v>
      </c>
      <c r="R125" s="100">
        <v>0.229007633587786</v>
      </c>
      <c r="S125" s="100">
        <v>2.0517395182872402</v>
      </c>
      <c r="T125" s="100">
        <v>0.47169811320754701</v>
      </c>
      <c r="U125" s="100">
        <v>1.0131712259371799</v>
      </c>
      <c r="V125" s="100">
        <v>0.860759493670886</v>
      </c>
      <c r="W125" s="100">
        <v>0.17636684303351</v>
      </c>
      <c r="X125" s="100">
        <v>0.77706323687031098</v>
      </c>
      <c r="Y125" s="100">
        <v>0</v>
      </c>
      <c r="Z125" s="99">
        <v>6480</v>
      </c>
      <c r="AA125" s="99">
        <v>3959</v>
      </c>
      <c r="AB125" s="99">
        <v>2521</v>
      </c>
      <c r="AC125" s="99">
        <v>294</v>
      </c>
      <c r="AD125" s="99">
        <v>1773</v>
      </c>
      <c r="AE125" s="99">
        <v>3498</v>
      </c>
      <c r="AF125" s="99">
        <v>915</v>
      </c>
      <c r="AG125" s="99">
        <v>2370</v>
      </c>
      <c r="AH125" s="99">
        <v>4006</v>
      </c>
      <c r="AI125" s="99">
        <v>104</v>
      </c>
      <c r="AJ125" s="99">
        <v>6435</v>
      </c>
      <c r="AK125" s="99">
        <v>18</v>
      </c>
      <c r="AL125" s="99">
        <v>27</v>
      </c>
      <c r="AM125" s="99">
        <v>521</v>
      </c>
      <c r="AN125" s="99">
        <v>5866</v>
      </c>
      <c r="AO125" s="99">
        <v>93</v>
      </c>
      <c r="AP125" s="100">
        <v>2.4852071005917198</v>
      </c>
      <c r="AQ125" s="100">
        <v>0.49559471365638802</v>
      </c>
      <c r="AR125" s="100">
        <v>5.6504599211563704</v>
      </c>
      <c r="AS125" s="100">
        <v>0.71684587813620104</v>
      </c>
      <c r="AT125" s="100">
        <v>3.4351145038167901</v>
      </c>
      <c r="AU125" s="100">
        <v>2.3839397741530699</v>
      </c>
      <c r="AV125" s="100">
        <v>1.7123287671232901</v>
      </c>
      <c r="AW125" s="100">
        <v>1.5880017644464</v>
      </c>
      <c r="AX125" s="100">
        <v>3.0890199382196002</v>
      </c>
      <c r="AY125" s="100">
        <v>1.14942528735632</v>
      </c>
      <c r="AZ125" s="100">
        <v>2.5029797377830798</v>
      </c>
      <c r="BA125" s="100">
        <v>0</v>
      </c>
      <c r="BB125" s="100">
        <v>0</v>
      </c>
      <c r="BC125" s="100">
        <v>2.42914979757085</v>
      </c>
      <c r="BD125" s="100">
        <v>2.49250374812594</v>
      </c>
      <c r="BE125" s="100">
        <v>2.3529411764705901</v>
      </c>
    </row>
    <row r="126" spans="2:57" ht="15" customHeight="1" x14ac:dyDescent="0.25">
      <c r="B126" s="91">
        <v>116</v>
      </c>
      <c r="C126" s="92" t="s">
        <v>504</v>
      </c>
      <c r="D126" s="92" t="s">
        <v>27</v>
      </c>
      <c r="E126" s="92" t="s">
        <v>347</v>
      </c>
      <c r="F126" s="92" t="s">
        <v>456</v>
      </c>
      <c r="G126" s="101" t="s">
        <v>501</v>
      </c>
      <c r="H126" s="94">
        <v>1320</v>
      </c>
      <c r="I126" s="94">
        <v>794</v>
      </c>
      <c r="J126" s="94">
        <v>526</v>
      </c>
      <c r="K126" s="94">
        <v>58</v>
      </c>
      <c r="L126" s="94">
        <v>414</v>
      </c>
      <c r="M126" s="94">
        <v>714</v>
      </c>
      <c r="N126" s="94">
        <v>134</v>
      </c>
      <c r="O126" s="94">
        <v>1313</v>
      </c>
      <c r="P126" s="94">
        <v>7</v>
      </c>
      <c r="Q126" s="95">
        <v>1.4143094841930099</v>
      </c>
      <c r="R126" s="95">
        <v>0.54644808743169404</v>
      </c>
      <c r="S126" s="95">
        <v>2.76595744680851</v>
      </c>
      <c r="T126" s="95">
        <v>0</v>
      </c>
      <c r="U126" s="95">
        <v>1.6348773841961901</v>
      </c>
      <c r="V126" s="95">
        <v>1.5037593984962401</v>
      </c>
      <c r="W126" s="95">
        <v>0.81300813008130102</v>
      </c>
      <c r="X126" s="95">
        <v>1.4214046822742501</v>
      </c>
      <c r="Y126" s="95">
        <v>0</v>
      </c>
      <c r="Z126" s="94">
        <v>2546</v>
      </c>
      <c r="AA126" s="94">
        <v>1540</v>
      </c>
      <c r="AB126" s="94">
        <v>1006</v>
      </c>
      <c r="AC126" s="94">
        <v>66</v>
      </c>
      <c r="AD126" s="94">
        <v>820</v>
      </c>
      <c r="AE126" s="94">
        <v>1450</v>
      </c>
      <c r="AF126" s="94">
        <v>210</v>
      </c>
      <c r="AG126" s="94">
        <v>409</v>
      </c>
      <c r="AH126" s="94">
        <v>2086</v>
      </c>
      <c r="AI126" s="94">
        <v>51</v>
      </c>
      <c r="AJ126" s="94">
        <v>2530</v>
      </c>
      <c r="AK126" s="94">
        <v>7</v>
      </c>
      <c r="AL126" s="94">
        <v>9</v>
      </c>
      <c r="AM126" s="94">
        <v>138</v>
      </c>
      <c r="AN126" s="94">
        <v>2369</v>
      </c>
      <c r="AO126" s="94">
        <v>39</v>
      </c>
      <c r="AP126" s="95">
        <v>4.8983364140480603</v>
      </c>
      <c r="AQ126" s="95">
        <v>0.93385214007782102</v>
      </c>
      <c r="AR126" s="95">
        <v>10.693970420932899</v>
      </c>
      <c r="AS126" s="95">
        <v>1.72413793103448</v>
      </c>
      <c r="AT126" s="95">
        <v>6.7746686303387298</v>
      </c>
      <c r="AU126" s="95">
        <v>3.81803411860276</v>
      </c>
      <c r="AV126" s="95">
        <v>6.12244897959184</v>
      </c>
      <c r="AW126" s="95">
        <v>4.5333333333333297</v>
      </c>
      <c r="AX126" s="95">
        <v>5.0142450142450103</v>
      </c>
      <c r="AY126" s="95">
        <v>2.9411764705882399</v>
      </c>
      <c r="AZ126" s="95">
        <v>4.9279404927940504</v>
      </c>
      <c r="BA126" s="95">
        <v>0</v>
      </c>
      <c r="BB126" s="95">
        <v>0</v>
      </c>
      <c r="BC126" s="95">
        <v>7.3770491803278704</v>
      </c>
      <c r="BD126" s="95">
        <v>4.7832585949177897</v>
      </c>
      <c r="BE126" s="95">
        <v>2.8571428571428599</v>
      </c>
    </row>
    <row r="127" spans="2:57" ht="15" customHeight="1" x14ac:dyDescent="0.25">
      <c r="B127" s="91">
        <v>117</v>
      </c>
      <c r="C127" s="92" t="s">
        <v>504</v>
      </c>
      <c r="D127" s="92" t="s">
        <v>27</v>
      </c>
      <c r="E127" s="92" t="s">
        <v>347</v>
      </c>
      <c r="F127" s="92" t="s">
        <v>456</v>
      </c>
      <c r="G127" s="101" t="s">
        <v>502</v>
      </c>
      <c r="H127" s="94">
        <v>2687</v>
      </c>
      <c r="I127" s="94">
        <v>1946</v>
      </c>
      <c r="J127" s="94">
        <v>741</v>
      </c>
      <c r="K127" s="94">
        <v>179</v>
      </c>
      <c r="L127" s="94">
        <v>647</v>
      </c>
      <c r="M127" s="94">
        <v>1382</v>
      </c>
      <c r="N127" s="94">
        <v>479</v>
      </c>
      <c r="O127" s="94">
        <v>2683</v>
      </c>
      <c r="P127" s="94">
        <v>4</v>
      </c>
      <c r="Q127" s="95">
        <v>0.47262701851122502</v>
      </c>
      <c r="R127" s="95">
        <v>0.105932203389831</v>
      </c>
      <c r="S127" s="95">
        <v>1.5360983102918599</v>
      </c>
      <c r="T127" s="95">
        <v>0.60606060606060597</v>
      </c>
      <c r="U127" s="95">
        <v>0.64516129032258096</v>
      </c>
      <c r="V127" s="95">
        <v>0.53435114503816805</v>
      </c>
      <c r="W127" s="95">
        <v>0</v>
      </c>
      <c r="X127" s="95">
        <v>0.47318611987381698</v>
      </c>
      <c r="Y127" s="95">
        <v>0</v>
      </c>
      <c r="Z127" s="94">
        <v>3934</v>
      </c>
      <c r="AA127" s="94">
        <v>2419</v>
      </c>
      <c r="AB127" s="94">
        <v>1515</v>
      </c>
      <c r="AC127" s="94">
        <v>228</v>
      </c>
      <c r="AD127" s="94">
        <v>953</v>
      </c>
      <c r="AE127" s="94">
        <v>2048</v>
      </c>
      <c r="AF127" s="94">
        <v>705</v>
      </c>
      <c r="AG127" s="94">
        <v>1961</v>
      </c>
      <c r="AH127" s="94">
        <v>1920</v>
      </c>
      <c r="AI127" s="94">
        <v>53</v>
      </c>
      <c r="AJ127" s="94">
        <v>3905</v>
      </c>
      <c r="AK127" s="94">
        <v>11</v>
      </c>
      <c r="AL127" s="94">
        <v>18</v>
      </c>
      <c r="AM127" s="94">
        <v>383</v>
      </c>
      <c r="AN127" s="94">
        <v>3497</v>
      </c>
      <c r="AO127" s="94">
        <v>54</v>
      </c>
      <c r="AP127" s="95">
        <v>1.0930418555051999</v>
      </c>
      <c r="AQ127" s="95">
        <v>0.25564550489987198</v>
      </c>
      <c r="AR127" s="95">
        <v>2.4928774928774899</v>
      </c>
      <c r="AS127" s="95">
        <v>0.45248868778280499</v>
      </c>
      <c r="AT127" s="95">
        <v>0.89585666293393096</v>
      </c>
      <c r="AU127" s="95">
        <v>1.48185998978028</v>
      </c>
      <c r="AV127" s="95">
        <v>0.441176470588235</v>
      </c>
      <c r="AW127" s="95">
        <v>1.0042283298097201</v>
      </c>
      <c r="AX127" s="95">
        <v>1.21816168327796</v>
      </c>
      <c r="AY127" s="95">
        <v>0</v>
      </c>
      <c r="AZ127" s="95">
        <v>1.1015583019881801</v>
      </c>
      <c r="BA127" s="95">
        <v>0</v>
      </c>
      <c r="BB127" s="95">
        <v>0</v>
      </c>
      <c r="BC127" s="95">
        <v>0.80645161290322598</v>
      </c>
      <c r="BD127" s="95">
        <v>1.11144487834184</v>
      </c>
      <c r="BE127" s="95">
        <v>2</v>
      </c>
    </row>
    <row r="128" spans="2:57" ht="15" customHeight="1" x14ac:dyDescent="0.25">
      <c r="B128" s="96">
        <v>118</v>
      </c>
      <c r="C128" s="97" t="s">
        <v>504</v>
      </c>
      <c r="D128" s="97" t="s">
        <v>27</v>
      </c>
      <c r="E128" s="97" t="s">
        <v>347</v>
      </c>
      <c r="F128" s="97" t="s">
        <v>457</v>
      </c>
      <c r="G128" s="98" t="s">
        <v>457</v>
      </c>
      <c r="H128" s="99">
        <v>1021</v>
      </c>
      <c r="I128" s="99">
        <v>721</v>
      </c>
      <c r="J128" s="99">
        <v>300</v>
      </c>
      <c r="K128" s="99">
        <v>52</v>
      </c>
      <c r="L128" s="99">
        <v>271</v>
      </c>
      <c r="M128" s="99">
        <v>555</v>
      </c>
      <c r="N128" s="99">
        <v>143</v>
      </c>
      <c r="O128" s="99">
        <v>1018</v>
      </c>
      <c r="P128" s="99">
        <v>3</v>
      </c>
      <c r="Q128" s="100">
        <v>0.107991360691145</v>
      </c>
      <c r="R128" s="100">
        <v>0</v>
      </c>
      <c r="S128" s="100">
        <v>0.387596899224806</v>
      </c>
      <c r="T128" s="100">
        <v>0</v>
      </c>
      <c r="U128" s="100">
        <v>0</v>
      </c>
      <c r="V128" s="100">
        <v>0.1953125</v>
      </c>
      <c r="W128" s="100">
        <v>0</v>
      </c>
      <c r="X128" s="100">
        <v>0.108342361863489</v>
      </c>
      <c r="Y128" s="100">
        <v>0</v>
      </c>
      <c r="Z128" s="99">
        <v>1288</v>
      </c>
      <c r="AA128" s="99">
        <v>784</v>
      </c>
      <c r="AB128" s="99">
        <v>504</v>
      </c>
      <c r="AC128" s="99">
        <v>68</v>
      </c>
      <c r="AD128" s="99">
        <v>297</v>
      </c>
      <c r="AE128" s="99">
        <v>703</v>
      </c>
      <c r="AF128" s="99">
        <v>220</v>
      </c>
      <c r="AG128" s="99">
        <v>994</v>
      </c>
      <c r="AH128" s="99">
        <v>291</v>
      </c>
      <c r="AI128" s="99">
        <v>3</v>
      </c>
      <c r="AJ128" s="99">
        <v>1282</v>
      </c>
      <c r="AK128" s="99">
        <v>3</v>
      </c>
      <c r="AL128" s="99">
        <v>3</v>
      </c>
      <c r="AM128" s="99">
        <v>97</v>
      </c>
      <c r="AN128" s="99">
        <v>1176</v>
      </c>
      <c r="AO128" s="99">
        <v>15</v>
      </c>
      <c r="AP128" s="100">
        <v>2.8386050283860502</v>
      </c>
      <c r="AQ128" s="100">
        <v>1.3210039630118899</v>
      </c>
      <c r="AR128" s="100">
        <v>5.25210084033613</v>
      </c>
      <c r="AS128" s="100">
        <v>4.4776119402985097</v>
      </c>
      <c r="AT128" s="100">
        <v>3.5460992907801399</v>
      </c>
      <c r="AU128" s="100">
        <v>2.8443113772455102</v>
      </c>
      <c r="AV128" s="100">
        <v>1.3888888888888899</v>
      </c>
      <c r="AW128" s="100">
        <v>2.7196652719665302</v>
      </c>
      <c r="AX128" s="100">
        <v>3.28467153284672</v>
      </c>
      <c r="AY128" s="100">
        <v>0</v>
      </c>
      <c r="AZ128" s="100">
        <v>2.85016286644951</v>
      </c>
      <c r="BA128" s="100">
        <v>0</v>
      </c>
      <c r="BB128" s="100">
        <v>0</v>
      </c>
      <c r="BC128" s="100">
        <v>0</v>
      </c>
      <c r="BD128" s="100">
        <v>3.1194295900178299</v>
      </c>
      <c r="BE128" s="100">
        <v>0</v>
      </c>
    </row>
    <row r="129" spans="2:57" ht="15" customHeight="1" x14ac:dyDescent="0.25">
      <c r="B129" s="91">
        <v>119</v>
      </c>
      <c r="C129" s="92" t="s">
        <v>504</v>
      </c>
      <c r="D129" s="92" t="s">
        <v>27</v>
      </c>
      <c r="E129" s="92" t="s">
        <v>347</v>
      </c>
      <c r="F129" s="92" t="s">
        <v>457</v>
      </c>
      <c r="G129" s="101" t="s">
        <v>501</v>
      </c>
      <c r="H129" s="94">
        <v>0</v>
      </c>
      <c r="I129" s="94">
        <v>0</v>
      </c>
      <c r="J129" s="94">
        <v>0</v>
      </c>
      <c r="K129" s="94">
        <v>0</v>
      </c>
      <c r="L129" s="94">
        <v>0</v>
      </c>
      <c r="M129" s="94">
        <v>0</v>
      </c>
      <c r="N129" s="94">
        <v>0</v>
      </c>
      <c r="O129" s="94">
        <v>0</v>
      </c>
      <c r="P129" s="94">
        <v>0</v>
      </c>
      <c r="Q129" s="95">
        <v>0</v>
      </c>
      <c r="R129" s="95">
        <v>0</v>
      </c>
      <c r="S129" s="95">
        <v>0</v>
      </c>
      <c r="T129" s="95">
        <v>0</v>
      </c>
      <c r="U129" s="95">
        <v>0</v>
      </c>
      <c r="V129" s="95">
        <v>0</v>
      </c>
      <c r="W129" s="95">
        <v>0</v>
      </c>
      <c r="X129" s="95">
        <v>0</v>
      </c>
      <c r="Y129" s="95">
        <v>0</v>
      </c>
      <c r="Z129" s="94">
        <v>0</v>
      </c>
      <c r="AA129" s="94">
        <v>0</v>
      </c>
      <c r="AB129" s="94">
        <v>0</v>
      </c>
      <c r="AC129" s="94">
        <v>0</v>
      </c>
      <c r="AD129" s="94">
        <v>0</v>
      </c>
      <c r="AE129" s="94">
        <v>0</v>
      </c>
      <c r="AF129" s="94">
        <v>0</v>
      </c>
      <c r="AG129" s="94">
        <v>0</v>
      </c>
      <c r="AH129" s="94">
        <v>0</v>
      </c>
      <c r="AI129" s="94">
        <v>0</v>
      </c>
      <c r="AJ129" s="94">
        <v>0</v>
      </c>
      <c r="AK129" s="94">
        <v>0</v>
      </c>
      <c r="AL129" s="94">
        <v>0</v>
      </c>
      <c r="AM129" s="94">
        <v>0</v>
      </c>
      <c r="AN129" s="94">
        <v>0</v>
      </c>
      <c r="AO129" s="94">
        <v>0</v>
      </c>
      <c r="AP129" s="95">
        <v>0</v>
      </c>
      <c r="AQ129" s="95">
        <v>0</v>
      </c>
      <c r="AR129" s="95">
        <v>0</v>
      </c>
      <c r="AS129" s="95">
        <v>0</v>
      </c>
      <c r="AT129" s="95">
        <v>0</v>
      </c>
      <c r="AU129" s="95">
        <v>0</v>
      </c>
      <c r="AV129" s="95">
        <v>0</v>
      </c>
      <c r="AW129" s="95">
        <v>0</v>
      </c>
      <c r="AX129" s="95">
        <v>0</v>
      </c>
      <c r="AY129" s="95">
        <v>0</v>
      </c>
      <c r="AZ129" s="95">
        <v>0</v>
      </c>
      <c r="BA129" s="95">
        <v>0</v>
      </c>
      <c r="BB129" s="95">
        <v>0</v>
      </c>
      <c r="BC129" s="95">
        <v>0</v>
      </c>
      <c r="BD129" s="95">
        <v>0</v>
      </c>
      <c r="BE129" s="95">
        <v>0</v>
      </c>
    </row>
    <row r="130" spans="2:57" ht="15" customHeight="1" x14ac:dyDescent="0.25">
      <c r="B130" s="91">
        <v>120</v>
      </c>
      <c r="C130" s="92" t="s">
        <v>504</v>
      </c>
      <c r="D130" s="92" t="s">
        <v>27</v>
      </c>
      <c r="E130" s="92" t="s">
        <v>347</v>
      </c>
      <c r="F130" s="92" t="s">
        <v>457</v>
      </c>
      <c r="G130" s="101" t="s">
        <v>502</v>
      </c>
      <c r="H130" s="94">
        <v>1021</v>
      </c>
      <c r="I130" s="94">
        <v>721</v>
      </c>
      <c r="J130" s="94">
        <v>300</v>
      </c>
      <c r="K130" s="94">
        <v>52</v>
      </c>
      <c r="L130" s="94">
        <v>271</v>
      </c>
      <c r="M130" s="94">
        <v>555</v>
      </c>
      <c r="N130" s="94">
        <v>143</v>
      </c>
      <c r="O130" s="94">
        <v>1018</v>
      </c>
      <c r="P130" s="94">
        <v>3</v>
      </c>
      <c r="Q130" s="95">
        <v>0.107991360691145</v>
      </c>
      <c r="R130" s="95">
        <v>0</v>
      </c>
      <c r="S130" s="95">
        <v>0.387596899224806</v>
      </c>
      <c r="T130" s="95">
        <v>0</v>
      </c>
      <c r="U130" s="95">
        <v>0</v>
      </c>
      <c r="V130" s="95">
        <v>0.1953125</v>
      </c>
      <c r="W130" s="95">
        <v>0</v>
      </c>
      <c r="X130" s="95">
        <v>0.108342361863489</v>
      </c>
      <c r="Y130" s="95">
        <v>0</v>
      </c>
      <c r="Z130" s="94">
        <v>1288</v>
      </c>
      <c r="AA130" s="94">
        <v>784</v>
      </c>
      <c r="AB130" s="94">
        <v>504</v>
      </c>
      <c r="AC130" s="94">
        <v>68</v>
      </c>
      <c r="AD130" s="94">
        <v>297</v>
      </c>
      <c r="AE130" s="94">
        <v>703</v>
      </c>
      <c r="AF130" s="94">
        <v>220</v>
      </c>
      <c r="AG130" s="94">
        <v>994</v>
      </c>
      <c r="AH130" s="94">
        <v>291</v>
      </c>
      <c r="AI130" s="94">
        <v>3</v>
      </c>
      <c r="AJ130" s="94">
        <v>1282</v>
      </c>
      <c r="AK130" s="94">
        <v>3</v>
      </c>
      <c r="AL130" s="94">
        <v>3</v>
      </c>
      <c r="AM130" s="94">
        <v>97</v>
      </c>
      <c r="AN130" s="94">
        <v>1176</v>
      </c>
      <c r="AO130" s="94">
        <v>15</v>
      </c>
      <c r="AP130" s="95">
        <v>2.8386050283860502</v>
      </c>
      <c r="AQ130" s="95">
        <v>1.3210039630118899</v>
      </c>
      <c r="AR130" s="95">
        <v>5.25210084033613</v>
      </c>
      <c r="AS130" s="95">
        <v>4.4776119402985097</v>
      </c>
      <c r="AT130" s="95">
        <v>3.5460992907801399</v>
      </c>
      <c r="AU130" s="95">
        <v>2.8443113772455102</v>
      </c>
      <c r="AV130" s="95">
        <v>1.3888888888888899</v>
      </c>
      <c r="AW130" s="95">
        <v>2.7196652719665302</v>
      </c>
      <c r="AX130" s="95">
        <v>3.28467153284672</v>
      </c>
      <c r="AY130" s="95">
        <v>0</v>
      </c>
      <c r="AZ130" s="95">
        <v>2.85016286644951</v>
      </c>
      <c r="BA130" s="95">
        <v>0</v>
      </c>
      <c r="BB130" s="95">
        <v>0</v>
      </c>
      <c r="BC130" s="95">
        <v>0</v>
      </c>
      <c r="BD130" s="95">
        <v>3.1194295900178299</v>
      </c>
      <c r="BE130" s="95">
        <v>0</v>
      </c>
    </row>
    <row r="131" spans="2:57" ht="15" customHeight="1" x14ac:dyDescent="0.25">
      <c r="B131" s="96">
        <v>121</v>
      </c>
      <c r="C131" s="97" t="s">
        <v>504</v>
      </c>
      <c r="D131" s="97" t="s">
        <v>27</v>
      </c>
      <c r="E131" s="97" t="s">
        <v>347</v>
      </c>
      <c r="F131" s="97" t="s">
        <v>146</v>
      </c>
      <c r="G131" s="98" t="s">
        <v>146</v>
      </c>
      <c r="H131" s="99">
        <v>3278</v>
      </c>
      <c r="I131" s="99">
        <v>2260</v>
      </c>
      <c r="J131" s="99">
        <v>1018</v>
      </c>
      <c r="K131" s="99">
        <v>207</v>
      </c>
      <c r="L131" s="99">
        <v>915</v>
      </c>
      <c r="M131" s="99">
        <v>1708</v>
      </c>
      <c r="N131" s="99">
        <v>448</v>
      </c>
      <c r="O131" s="99">
        <v>3263</v>
      </c>
      <c r="P131" s="99">
        <v>15</v>
      </c>
      <c r="Q131" s="100">
        <v>0.90786819098856797</v>
      </c>
      <c r="R131" s="100">
        <v>0.49091801669121299</v>
      </c>
      <c r="S131" s="100">
        <v>1.81430096051227</v>
      </c>
      <c r="T131" s="100">
        <v>1.1111111111111101</v>
      </c>
      <c r="U131" s="100">
        <v>1.2106537530266299</v>
      </c>
      <c r="V131" s="100">
        <v>0.77369439071566704</v>
      </c>
      <c r="W131" s="100">
        <v>0.71942446043165498</v>
      </c>
      <c r="X131" s="100">
        <v>0.91185410334346495</v>
      </c>
      <c r="Y131" s="100">
        <v>0</v>
      </c>
      <c r="Z131" s="99">
        <v>3382</v>
      </c>
      <c r="AA131" s="99">
        <v>2074</v>
      </c>
      <c r="AB131" s="99">
        <v>1308</v>
      </c>
      <c r="AC131" s="99">
        <v>153</v>
      </c>
      <c r="AD131" s="99">
        <v>741</v>
      </c>
      <c r="AE131" s="99">
        <v>1901</v>
      </c>
      <c r="AF131" s="99">
        <v>587</v>
      </c>
      <c r="AG131" s="99">
        <v>1375</v>
      </c>
      <c r="AH131" s="99">
        <v>1920</v>
      </c>
      <c r="AI131" s="99">
        <v>87</v>
      </c>
      <c r="AJ131" s="99">
        <v>3306</v>
      </c>
      <c r="AK131" s="99">
        <v>27</v>
      </c>
      <c r="AL131" s="99">
        <v>49</v>
      </c>
      <c r="AM131" s="99">
        <v>240</v>
      </c>
      <c r="AN131" s="99">
        <v>3103</v>
      </c>
      <c r="AO131" s="99">
        <v>39</v>
      </c>
      <c r="AP131" s="100">
        <v>2.2886204704386501</v>
      </c>
      <c r="AQ131" s="100">
        <v>0.71102082275266598</v>
      </c>
      <c r="AR131" s="100">
        <v>4.9277824978759597</v>
      </c>
      <c r="AS131" s="100">
        <v>2.2058823529411802</v>
      </c>
      <c r="AT131" s="100">
        <v>2.65486725663717</v>
      </c>
      <c r="AU131" s="100">
        <v>2.6032823995472598</v>
      </c>
      <c r="AV131" s="100">
        <v>0.88495575221238898</v>
      </c>
      <c r="AW131" s="100">
        <v>2.40496508921645</v>
      </c>
      <c r="AX131" s="100">
        <v>2.2522522522522501</v>
      </c>
      <c r="AY131" s="100">
        <v>1.2345679012345701</v>
      </c>
      <c r="AZ131" s="100">
        <v>2.34375</v>
      </c>
      <c r="BA131" s="100">
        <v>0</v>
      </c>
      <c r="BB131" s="100">
        <v>0</v>
      </c>
      <c r="BC131" s="100">
        <v>3.4934497816593901</v>
      </c>
      <c r="BD131" s="100">
        <v>2.2199098161637201</v>
      </c>
      <c r="BE131" s="100">
        <v>0</v>
      </c>
    </row>
    <row r="132" spans="2:57" ht="15" customHeight="1" x14ac:dyDescent="0.25">
      <c r="B132" s="91">
        <v>122</v>
      </c>
      <c r="C132" s="92" t="s">
        <v>504</v>
      </c>
      <c r="D132" s="92" t="s">
        <v>27</v>
      </c>
      <c r="E132" s="92" t="s">
        <v>347</v>
      </c>
      <c r="F132" s="92" t="s">
        <v>146</v>
      </c>
      <c r="G132" s="101" t="s">
        <v>501</v>
      </c>
      <c r="H132" s="94">
        <v>0</v>
      </c>
      <c r="I132" s="94">
        <v>0</v>
      </c>
      <c r="J132" s="94">
        <v>0</v>
      </c>
      <c r="K132" s="94">
        <v>0</v>
      </c>
      <c r="L132" s="94">
        <v>0</v>
      </c>
      <c r="M132" s="94">
        <v>0</v>
      </c>
      <c r="N132" s="94">
        <v>0</v>
      </c>
      <c r="O132" s="94">
        <v>0</v>
      </c>
      <c r="P132" s="94">
        <v>0</v>
      </c>
      <c r="Q132" s="95">
        <v>0</v>
      </c>
      <c r="R132" s="95">
        <v>0</v>
      </c>
      <c r="S132" s="95">
        <v>0</v>
      </c>
      <c r="T132" s="95">
        <v>0</v>
      </c>
      <c r="U132" s="95">
        <v>0</v>
      </c>
      <c r="V132" s="95">
        <v>0</v>
      </c>
      <c r="W132" s="95">
        <v>0</v>
      </c>
      <c r="X132" s="95">
        <v>0</v>
      </c>
      <c r="Y132" s="95">
        <v>0</v>
      </c>
      <c r="Z132" s="94">
        <v>0</v>
      </c>
      <c r="AA132" s="94">
        <v>0</v>
      </c>
      <c r="AB132" s="94">
        <v>0</v>
      </c>
      <c r="AC132" s="94">
        <v>0</v>
      </c>
      <c r="AD132" s="94">
        <v>0</v>
      </c>
      <c r="AE132" s="94">
        <v>0</v>
      </c>
      <c r="AF132" s="94">
        <v>0</v>
      </c>
      <c r="AG132" s="94">
        <v>0</v>
      </c>
      <c r="AH132" s="94">
        <v>0</v>
      </c>
      <c r="AI132" s="94">
        <v>0</v>
      </c>
      <c r="AJ132" s="94">
        <v>0</v>
      </c>
      <c r="AK132" s="94">
        <v>0</v>
      </c>
      <c r="AL132" s="94">
        <v>0</v>
      </c>
      <c r="AM132" s="94">
        <v>0</v>
      </c>
      <c r="AN132" s="94">
        <v>0</v>
      </c>
      <c r="AO132" s="94">
        <v>0</v>
      </c>
      <c r="AP132" s="95">
        <v>0</v>
      </c>
      <c r="AQ132" s="95">
        <v>0</v>
      </c>
      <c r="AR132" s="95">
        <v>0</v>
      </c>
      <c r="AS132" s="95">
        <v>0</v>
      </c>
      <c r="AT132" s="95">
        <v>0</v>
      </c>
      <c r="AU132" s="95">
        <v>0</v>
      </c>
      <c r="AV132" s="95">
        <v>0</v>
      </c>
      <c r="AW132" s="95">
        <v>0</v>
      </c>
      <c r="AX132" s="95">
        <v>0</v>
      </c>
      <c r="AY132" s="95">
        <v>0</v>
      </c>
      <c r="AZ132" s="95">
        <v>0</v>
      </c>
      <c r="BA132" s="95">
        <v>0</v>
      </c>
      <c r="BB132" s="95">
        <v>0</v>
      </c>
      <c r="BC132" s="95">
        <v>0</v>
      </c>
      <c r="BD132" s="95">
        <v>0</v>
      </c>
      <c r="BE132" s="95">
        <v>0</v>
      </c>
    </row>
    <row r="133" spans="2:57" ht="15" customHeight="1" x14ac:dyDescent="0.25">
      <c r="B133" s="91">
        <v>123</v>
      </c>
      <c r="C133" s="92" t="s">
        <v>504</v>
      </c>
      <c r="D133" s="92" t="s">
        <v>27</v>
      </c>
      <c r="E133" s="92" t="s">
        <v>347</v>
      </c>
      <c r="F133" s="92" t="s">
        <v>146</v>
      </c>
      <c r="G133" s="101" t="s">
        <v>502</v>
      </c>
      <c r="H133" s="94">
        <v>3278</v>
      </c>
      <c r="I133" s="94">
        <v>2260</v>
      </c>
      <c r="J133" s="94">
        <v>1018</v>
      </c>
      <c r="K133" s="94">
        <v>207</v>
      </c>
      <c r="L133" s="94">
        <v>915</v>
      </c>
      <c r="M133" s="94">
        <v>1708</v>
      </c>
      <c r="N133" s="94">
        <v>448</v>
      </c>
      <c r="O133" s="94">
        <v>3263</v>
      </c>
      <c r="P133" s="94">
        <v>15</v>
      </c>
      <c r="Q133" s="95">
        <v>0.90786819098856797</v>
      </c>
      <c r="R133" s="95">
        <v>0.49091801669121299</v>
      </c>
      <c r="S133" s="95">
        <v>1.81430096051227</v>
      </c>
      <c r="T133" s="95">
        <v>1.1111111111111101</v>
      </c>
      <c r="U133" s="95">
        <v>1.2106537530266299</v>
      </c>
      <c r="V133" s="95">
        <v>0.77369439071566704</v>
      </c>
      <c r="W133" s="95">
        <v>0.71942446043165498</v>
      </c>
      <c r="X133" s="95">
        <v>0.91185410334346495</v>
      </c>
      <c r="Y133" s="95">
        <v>0</v>
      </c>
      <c r="Z133" s="94">
        <v>3382</v>
      </c>
      <c r="AA133" s="94">
        <v>2074</v>
      </c>
      <c r="AB133" s="94">
        <v>1308</v>
      </c>
      <c r="AC133" s="94">
        <v>153</v>
      </c>
      <c r="AD133" s="94">
        <v>741</v>
      </c>
      <c r="AE133" s="94">
        <v>1901</v>
      </c>
      <c r="AF133" s="94">
        <v>587</v>
      </c>
      <c r="AG133" s="94">
        <v>1375</v>
      </c>
      <c r="AH133" s="94">
        <v>1920</v>
      </c>
      <c r="AI133" s="94">
        <v>87</v>
      </c>
      <c r="AJ133" s="94">
        <v>3306</v>
      </c>
      <c r="AK133" s="94">
        <v>27</v>
      </c>
      <c r="AL133" s="94">
        <v>49</v>
      </c>
      <c r="AM133" s="94">
        <v>240</v>
      </c>
      <c r="AN133" s="94">
        <v>3103</v>
      </c>
      <c r="AO133" s="94">
        <v>39</v>
      </c>
      <c r="AP133" s="95">
        <v>2.2886204704386501</v>
      </c>
      <c r="AQ133" s="95">
        <v>0.71102082275266598</v>
      </c>
      <c r="AR133" s="95">
        <v>4.9277824978759597</v>
      </c>
      <c r="AS133" s="95">
        <v>2.2058823529411802</v>
      </c>
      <c r="AT133" s="95">
        <v>2.65486725663717</v>
      </c>
      <c r="AU133" s="95">
        <v>2.6032823995472598</v>
      </c>
      <c r="AV133" s="95">
        <v>0.88495575221238898</v>
      </c>
      <c r="AW133" s="95">
        <v>2.40496508921645</v>
      </c>
      <c r="AX133" s="95">
        <v>2.2522522522522501</v>
      </c>
      <c r="AY133" s="95">
        <v>1.2345679012345701</v>
      </c>
      <c r="AZ133" s="95">
        <v>2.34375</v>
      </c>
      <c r="BA133" s="95">
        <v>0</v>
      </c>
      <c r="BB133" s="95">
        <v>0</v>
      </c>
      <c r="BC133" s="95">
        <v>3.4934497816593901</v>
      </c>
      <c r="BD133" s="95">
        <v>2.2199098161637201</v>
      </c>
      <c r="BE133" s="95">
        <v>0</v>
      </c>
    </row>
    <row r="134" spans="2:57" ht="15" customHeight="1" x14ac:dyDescent="0.25">
      <c r="B134" s="76">
        <v>124</v>
      </c>
      <c r="C134" s="77" t="s">
        <v>3</v>
      </c>
      <c r="D134" s="77" t="s">
        <v>43</v>
      </c>
      <c r="E134" s="77"/>
      <c r="F134" s="77"/>
      <c r="G134" s="78" t="s">
        <v>43</v>
      </c>
      <c r="H134" s="79">
        <v>1332779</v>
      </c>
      <c r="I134" s="79">
        <v>728177</v>
      </c>
      <c r="J134" s="79">
        <v>604602</v>
      </c>
      <c r="K134" s="79">
        <v>62897</v>
      </c>
      <c r="L134" s="79">
        <v>369772</v>
      </c>
      <c r="M134" s="79">
        <v>736789</v>
      </c>
      <c r="N134" s="79">
        <v>163321</v>
      </c>
      <c r="O134" s="79">
        <v>1325407</v>
      </c>
      <c r="P134" s="79">
        <v>7372</v>
      </c>
      <c r="Q134" s="80">
        <v>1.5858982151737899</v>
      </c>
      <c r="R134" s="80">
        <v>1.3959697710849901</v>
      </c>
      <c r="S134" s="80">
        <v>1.8147624933780699</v>
      </c>
      <c r="T134" s="80">
        <v>2.5191348922126302</v>
      </c>
      <c r="U134" s="80">
        <v>2.2608290773640598</v>
      </c>
      <c r="V134" s="80">
        <v>1.3758191203358301</v>
      </c>
      <c r="W134" s="80">
        <v>0.68654311039484295</v>
      </c>
      <c r="X134" s="80">
        <v>1.5720467765634101</v>
      </c>
      <c r="Y134" s="80">
        <v>4.1855545482018703</v>
      </c>
      <c r="Z134" s="79">
        <v>1677816</v>
      </c>
      <c r="AA134" s="79">
        <v>886641</v>
      </c>
      <c r="AB134" s="79">
        <v>791175</v>
      </c>
      <c r="AC134" s="79">
        <v>66947</v>
      </c>
      <c r="AD134" s="79">
        <v>433199</v>
      </c>
      <c r="AE134" s="79">
        <v>937224</v>
      </c>
      <c r="AF134" s="79">
        <v>240446</v>
      </c>
      <c r="AG134" s="79">
        <v>1050202</v>
      </c>
      <c r="AH134" s="79">
        <v>618188</v>
      </c>
      <c r="AI134" s="79">
        <v>9426</v>
      </c>
      <c r="AJ134" s="79">
        <v>1661517</v>
      </c>
      <c r="AK134" s="79">
        <v>12073</v>
      </c>
      <c r="AL134" s="79">
        <v>4226</v>
      </c>
      <c r="AM134" s="79">
        <v>103875</v>
      </c>
      <c r="AN134" s="79">
        <v>1560174</v>
      </c>
      <c r="AO134" s="79">
        <v>13767</v>
      </c>
      <c r="AP134" s="80">
        <v>4.4605643388851401</v>
      </c>
      <c r="AQ134" s="80">
        <v>2.6734853023689298</v>
      </c>
      <c r="AR134" s="80">
        <v>6.4689458004355203</v>
      </c>
      <c r="AS134" s="80">
        <v>6.9974353291327596</v>
      </c>
      <c r="AT134" s="80">
        <v>6.2898458077192796</v>
      </c>
      <c r="AU134" s="80">
        <v>3.9895084349670999</v>
      </c>
      <c r="AV134" s="80">
        <v>2.39148579163369</v>
      </c>
      <c r="AW134" s="80">
        <v>3.4652624426702898</v>
      </c>
      <c r="AX134" s="80">
        <v>6.2124011220245201</v>
      </c>
      <c r="AY134" s="80">
        <v>3.9849280657684401</v>
      </c>
      <c r="AZ134" s="80">
        <v>4.4420893281907396</v>
      </c>
      <c r="BA134" s="80">
        <v>7.5695394436844499</v>
      </c>
      <c r="BB134" s="80">
        <v>3.2014116460801598</v>
      </c>
      <c r="BC134" s="80">
        <v>4.1466291625079403</v>
      </c>
      <c r="BD134" s="80">
        <v>4.4951454865138896</v>
      </c>
      <c r="BE134" s="80">
        <v>2.9219027060365401</v>
      </c>
    </row>
    <row r="135" spans="2:57" ht="15" customHeight="1" x14ac:dyDescent="0.25">
      <c r="B135" s="81">
        <v>125</v>
      </c>
      <c r="C135" s="82" t="s">
        <v>3</v>
      </c>
      <c r="D135" s="102" t="s">
        <v>43</v>
      </c>
      <c r="E135" s="102"/>
      <c r="F135" s="102"/>
      <c r="G135" s="83" t="s">
        <v>501</v>
      </c>
      <c r="H135" s="84">
        <v>828246</v>
      </c>
      <c r="I135" s="84">
        <v>445934</v>
      </c>
      <c r="J135" s="84">
        <v>382312</v>
      </c>
      <c r="K135" s="84">
        <v>31006</v>
      </c>
      <c r="L135" s="84">
        <v>245208</v>
      </c>
      <c r="M135" s="84">
        <v>485301</v>
      </c>
      <c r="N135" s="84">
        <v>66731</v>
      </c>
      <c r="O135" s="84">
        <v>821530</v>
      </c>
      <c r="P135" s="84">
        <v>6716</v>
      </c>
      <c r="Q135" s="85">
        <v>2.3665620761500898</v>
      </c>
      <c r="R135" s="85">
        <v>2.0882092574851701</v>
      </c>
      <c r="S135" s="85">
        <v>2.6923753882141899</v>
      </c>
      <c r="T135" s="85">
        <v>4.7437572590011596</v>
      </c>
      <c r="U135" s="85">
        <v>3.1924306491127399</v>
      </c>
      <c r="V135" s="85">
        <v>1.9276354338677899</v>
      </c>
      <c r="W135" s="85">
        <v>1.4977744566100299</v>
      </c>
      <c r="X135" s="85">
        <v>2.3510242392523799</v>
      </c>
      <c r="Y135" s="85">
        <v>4.3290043290043299</v>
      </c>
      <c r="Z135" s="84">
        <v>1030222</v>
      </c>
      <c r="AA135" s="84">
        <v>536111</v>
      </c>
      <c r="AB135" s="84">
        <v>494111</v>
      </c>
      <c r="AC135" s="84">
        <v>32932</v>
      </c>
      <c r="AD135" s="84">
        <v>279671</v>
      </c>
      <c r="AE135" s="84">
        <v>608444</v>
      </c>
      <c r="AF135" s="84">
        <v>109175</v>
      </c>
      <c r="AG135" s="84">
        <v>495491</v>
      </c>
      <c r="AH135" s="84">
        <v>529816</v>
      </c>
      <c r="AI135" s="84">
        <v>4915</v>
      </c>
      <c r="AJ135" s="84">
        <v>1018221</v>
      </c>
      <c r="AK135" s="84">
        <v>10009</v>
      </c>
      <c r="AL135" s="84">
        <v>1992</v>
      </c>
      <c r="AM135" s="84">
        <v>61385</v>
      </c>
      <c r="AN135" s="84">
        <v>963158</v>
      </c>
      <c r="AO135" s="84">
        <v>5679</v>
      </c>
      <c r="AP135" s="85">
        <v>6.4028010572293201</v>
      </c>
      <c r="AQ135" s="85">
        <v>4.0014634650716996</v>
      </c>
      <c r="AR135" s="85">
        <v>9.0111337890519607</v>
      </c>
      <c r="AS135" s="85">
        <v>12.382359554170799</v>
      </c>
      <c r="AT135" s="85">
        <v>8.7466161237576294</v>
      </c>
      <c r="AU135" s="85">
        <v>5.3765294713854299</v>
      </c>
      <c r="AV135" s="85">
        <v>4.4597910745981997</v>
      </c>
      <c r="AW135" s="85">
        <v>5.9124687183601701</v>
      </c>
      <c r="AX135" s="85">
        <v>6.8723090509707303</v>
      </c>
      <c r="AY135" s="85">
        <v>6.58216588837002</v>
      </c>
      <c r="AZ135" s="85">
        <v>6.3846607311324499</v>
      </c>
      <c r="BA135" s="85">
        <v>8.4826365848263698</v>
      </c>
      <c r="BB135" s="85">
        <v>5.5978260869565197</v>
      </c>
      <c r="BC135" s="85">
        <v>6.3983256071403902</v>
      </c>
      <c r="BD135" s="85">
        <v>6.4068342518917598</v>
      </c>
      <c r="BE135" s="85">
        <v>5.7578646329837904</v>
      </c>
    </row>
    <row r="136" spans="2:57" ht="15" customHeight="1" x14ac:dyDescent="0.25">
      <c r="B136" s="81">
        <v>126</v>
      </c>
      <c r="C136" s="82" t="s">
        <v>3</v>
      </c>
      <c r="D136" s="102" t="s">
        <v>43</v>
      </c>
      <c r="E136" s="102"/>
      <c r="F136" s="102"/>
      <c r="G136" s="83" t="s">
        <v>502</v>
      </c>
      <c r="H136" s="84">
        <v>504533</v>
      </c>
      <c r="I136" s="84">
        <v>282243</v>
      </c>
      <c r="J136" s="84">
        <v>222290</v>
      </c>
      <c r="K136" s="84">
        <v>31891</v>
      </c>
      <c r="L136" s="84">
        <v>124564</v>
      </c>
      <c r="M136" s="84">
        <v>251488</v>
      </c>
      <c r="N136" s="84">
        <v>96590</v>
      </c>
      <c r="O136" s="84">
        <v>503877</v>
      </c>
      <c r="P136" s="84">
        <v>656</v>
      </c>
      <c r="Q136" s="85">
        <v>0.35300873329973298</v>
      </c>
      <c r="R136" s="85">
        <v>0.33916127933411799</v>
      </c>
      <c r="S136" s="85">
        <v>0.37048111153677199</v>
      </c>
      <c r="T136" s="85">
        <v>0.43519651842785301</v>
      </c>
      <c r="U136" s="85">
        <v>0.49609190755339899</v>
      </c>
      <c r="V136" s="85">
        <v>0.35022296291101701</v>
      </c>
      <c r="W136" s="85">
        <v>0.152831660735088</v>
      </c>
      <c r="X136" s="85">
        <v>0.34993960853091499</v>
      </c>
      <c r="Y136" s="85">
        <v>2.7777777777777799</v>
      </c>
      <c r="Z136" s="84">
        <v>647594</v>
      </c>
      <c r="AA136" s="84">
        <v>350530</v>
      </c>
      <c r="AB136" s="84">
        <v>297064</v>
      </c>
      <c r="AC136" s="84">
        <v>34015</v>
      </c>
      <c r="AD136" s="84">
        <v>153528</v>
      </c>
      <c r="AE136" s="84">
        <v>328780</v>
      </c>
      <c r="AF136" s="84">
        <v>131271</v>
      </c>
      <c r="AG136" s="84">
        <v>554711</v>
      </c>
      <c r="AH136" s="84">
        <v>88372</v>
      </c>
      <c r="AI136" s="84">
        <v>4511</v>
      </c>
      <c r="AJ136" s="84">
        <v>643296</v>
      </c>
      <c r="AK136" s="84">
        <v>2064</v>
      </c>
      <c r="AL136" s="84">
        <v>2234</v>
      </c>
      <c r="AM136" s="84">
        <v>42490</v>
      </c>
      <c r="AN136" s="84">
        <v>597016</v>
      </c>
      <c r="AO136" s="84">
        <v>8088</v>
      </c>
      <c r="AP136" s="85">
        <v>1.453273552377</v>
      </c>
      <c r="AQ136" s="85">
        <v>0.69936271090249102</v>
      </c>
      <c r="AR136" s="85">
        <v>2.3465545924174802</v>
      </c>
      <c r="AS136" s="85">
        <v>1.7638060749851701</v>
      </c>
      <c r="AT136" s="85">
        <v>1.9607708943579101</v>
      </c>
      <c r="AU136" s="85">
        <v>1.4813601808871799</v>
      </c>
      <c r="AV136" s="85">
        <v>0.72734083566155205</v>
      </c>
      <c r="AW136" s="85">
        <v>1.3124726918294001</v>
      </c>
      <c r="AX136" s="85">
        <v>2.3613987478873599</v>
      </c>
      <c r="AY136" s="85">
        <v>1.24383947430181</v>
      </c>
      <c r="AZ136" s="85">
        <v>1.44873286295365</v>
      </c>
      <c r="BA136" s="85">
        <v>3.2761310452418102</v>
      </c>
      <c r="BB136" s="85">
        <v>1.12834978843441</v>
      </c>
      <c r="BC136" s="85">
        <v>1.0005558643690899</v>
      </c>
      <c r="BD136" s="85">
        <v>1.4920049414507699</v>
      </c>
      <c r="BE136" s="85">
        <v>0.99663473983950301</v>
      </c>
    </row>
    <row r="137" spans="2:57" ht="15" customHeight="1" x14ac:dyDescent="0.25">
      <c r="B137" s="86">
        <v>127</v>
      </c>
      <c r="C137" s="87" t="s">
        <v>503</v>
      </c>
      <c r="D137" s="103" t="s">
        <v>43</v>
      </c>
      <c r="E137" s="103" t="s">
        <v>349</v>
      </c>
      <c r="F137" s="103"/>
      <c r="G137" s="88" t="s">
        <v>349</v>
      </c>
      <c r="H137" s="89">
        <v>767842</v>
      </c>
      <c r="I137" s="89">
        <v>411409</v>
      </c>
      <c r="J137" s="89">
        <v>356433</v>
      </c>
      <c r="K137" s="89">
        <v>28267</v>
      </c>
      <c r="L137" s="89">
        <v>225392</v>
      </c>
      <c r="M137" s="89">
        <v>451682</v>
      </c>
      <c r="N137" s="89">
        <v>62501</v>
      </c>
      <c r="O137" s="89">
        <v>761381</v>
      </c>
      <c r="P137" s="89">
        <v>6461</v>
      </c>
      <c r="Q137" s="90">
        <v>2.31489126277445</v>
      </c>
      <c r="R137" s="90">
        <v>2.0524797290011398</v>
      </c>
      <c r="S137" s="90">
        <v>2.6187865497075999</v>
      </c>
      <c r="T137" s="90">
        <v>4.5023978439221599</v>
      </c>
      <c r="U137" s="90">
        <v>3.1928430770123999</v>
      </c>
      <c r="V137" s="90">
        <v>1.88105883560548</v>
      </c>
      <c r="W137" s="90">
        <v>1.36352610970581</v>
      </c>
      <c r="X137" s="90">
        <v>2.2990026793476801</v>
      </c>
      <c r="Y137" s="90">
        <v>4.2534722222222197</v>
      </c>
      <c r="Z137" s="89">
        <v>913908</v>
      </c>
      <c r="AA137" s="89">
        <v>473323</v>
      </c>
      <c r="AB137" s="89">
        <v>440585</v>
      </c>
      <c r="AC137" s="89">
        <v>27581</v>
      </c>
      <c r="AD137" s="89">
        <v>244597</v>
      </c>
      <c r="AE137" s="89">
        <v>543555</v>
      </c>
      <c r="AF137" s="89">
        <v>98175</v>
      </c>
      <c r="AG137" s="89">
        <v>423470</v>
      </c>
      <c r="AH137" s="89">
        <v>486459</v>
      </c>
      <c r="AI137" s="89">
        <v>3979</v>
      </c>
      <c r="AJ137" s="89">
        <v>902989</v>
      </c>
      <c r="AK137" s="89">
        <v>9246</v>
      </c>
      <c r="AL137" s="89">
        <v>1673</v>
      </c>
      <c r="AM137" s="89">
        <v>54785</v>
      </c>
      <c r="AN137" s="89">
        <v>854471</v>
      </c>
      <c r="AO137" s="89">
        <v>4652</v>
      </c>
      <c r="AP137" s="90">
        <v>6.29374630703514</v>
      </c>
      <c r="AQ137" s="90">
        <v>4.0605088365973003</v>
      </c>
      <c r="AR137" s="90">
        <v>8.6965058833225903</v>
      </c>
      <c r="AS137" s="90">
        <v>12.325465743468101</v>
      </c>
      <c r="AT137" s="90">
        <v>8.8781680746998699</v>
      </c>
      <c r="AU137" s="90">
        <v>5.2177508860423698</v>
      </c>
      <c r="AV137" s="90">
        <v>4.27226803678598</v>
      </c>
      <c r="AW137" s="90">
        <v>5.7308737237777398</v>
      </c>
      <c r="AX137" s="90">
        <v>6.7935580284471504</v>
      </c>
      <c r="AY137" s="90">
        <v>6.8737970855100397</v>
      </c>
      <c r="AZ137" s="90">
        <v>6.2762850743306497</v>
      </c>
      <c r="BA137" s="90">
        <v>8.2713085234093597</v>
      </c>
      <c r="BB137" s="90">
        <v>5.1948051948051903</v>
      </c>
      <c r="BC137" s="90">
        <v>6.3269029227962603</v>
      </c>
      <c r="BD137" s="90">
        <v>6.29404784210855</v>
      </c>
      <c r="BE137" s="90">
        <v>5.8383932741709499</v>
      </c>
    </row>
    <row r="138" spans="2:57" ht="15" customHeight="1" x14ac:dyDescent="0.25">
      <c r="B138" s="91">
        <v>128</v>
      </c>
      <c r="C138" s="92" t="s">
        <v>503</v>
      </c>
      <c r="D138" s="92" t="s">
        <v>43</v>
      </c>
      <c r="E138" s="92" t="s">
        <v>349</v>
      </c>
      <c r="F138" s="92"/>
      <c r="G138" s="93" t="s">
        <v>501</v>
      </c>
      <c r="H138" s="94">
        <v>741834</v>
      </c>
      <c r="I138" s="94">
        <v>397062</v>
      </c>
      <c r="J138" s="94">
        <v>344772</v>
      </c>
      <c r="K138" s="94">
        <v>26495</v>
      </c>
      <c r="L138" s="94">
        <v>218840</v>
      </c>
      <c r="M138" s="94">
        <v>438290</v>
      </c>
      <c r="N138" s="94">
        <v>58209</v>
      </c>
      <c r="O138" s="94">
        <v>735443</v>
      </c>
      <c r="P138" s="94">
        <v>6391</v>
      </c>
      <c r="Q138" s="95">
        <v>2.37774163541587</v>
      </c>
      <c r="R138" s="95">
        <v>2.1091774180787399</v>
      </c>
      <c r="S138" s="95">
        <v>2.6881059352092702</v>
      </c>
      <c r="T138" s="95">
        <v>4.73001610578961</v>
      </c>
      <c r="U138" s="95">
        <v>3.2618835020227799</v>
      </c>
      <c r="V138" s="95">
        <v>1.92624515175768</v>
      </c>
      <c r="W138" s="95">
        <v>1.4557670772676401</v>
      </c>
      <c r="X138" s="95">
        <v>2.3620491052531398</v>
      </c>
      <c r="Y138" s="95">
        <v>4.2433806768367504</v>
      </c>
      <c r="Z138" s="94">
        <v>879494</v>
      </c>
      <c r="AA138" s="94">
        <v>455162</v>
      </c>
      <c r="AB138" s="94">
        <v>424332</v>
      </c>
      <c r="AC138" s="94">
        <v>25910</v>
      </c>
      <c r="AD138" s="94">
        <v>236331</v>
      </c>
      <c r="AE138" s="94">
        <v>525341</v>
      </c>
      <c r="AF138" s="94">
        <v>91912</v>
      </c>
      <c r="AG138" s="94">
        <v>394949</v>
      </c>
      <c r="AH138" s="94">
        <v>480724</v>
      </c>
      <c r="AI138" s="94">
        <v>3821</v>
      </c>
      <c r="AJ138" s="94">
        <v>868762</v>
      </c>
      <c r="AK138" s="94">
        <v>9144</v>
      </c>
      <c r="AL138" s="94">
        <v>1588</v>
      </c>
      <c r="AM138" s="94">
        <v>52745</v>
      </c>
      <c r="AN138" s="94">
        <v>822431</v>
      </c>
      <c r="AO138" s="94">
        <v>4318</v>
      </c>
      <c r="AP138" s="95">
        <v>6.4508213846684601</v>
      </c>
      <c r="AQ138" s="95">
        <v>4.1798018464309799</v>
      </c>
      <c r="AR138" s="95">
        <v>8.8902214115109803</v>
      </c>
      <c r="AS138" s="95">
        <v>12.8634253603714</v>
      </c>
      <c r="AT138" s="95">
        <v>9.0669062759192691</v>
      </c>
      <c r="AU138" s="95">
        <v>5.32913777677242</v>
      </c>
      <c r="AV138" s="95">
        <v>4.4881498515120404</v>
      </c>
      <c r="AW138" s="95">
        <v>6.0029937727396199</v>
      </c>
      <c r="AX138" s="95">
        <v>6.8248009254882902</v>
      </c>
      <c r="AY138" s="95">
        <v>7.0160366552119102</v>
      </c>
      <c r="AZ138" s="95">
        <v>6.4334328563684702</v>
      </c>
      <c r="BA138" s="95">
        <v>8.3414278776104904</v>
      </c>
      <c r="BB138" s="95">
        <v>5.4757015742641997</v>
      </c>
      <c r="BC138" s="95">
        <v>6.5263030400904398</v>
      </c>
      <c r="BD138" s="95">
        <v>6.4475017538389601</v>
      </c>
      <c r="BE138" s="95">
        <v>6.1522945032778598</v>
      </c>
    </row>
    <row r="139" spans="2:57" ht="15" customHeight="1" x14ac:dyDescent="0.25">
      <c r="B139" s="91">
        <v>129</v>
      </c>
      <c r="C139" s="92" t="s">
        <v>503</v>
      </c>
      <c r="D139" s="92" t="s">
        <v>43</v>
      </c>
      <c r="E139" s="92" t="s">
        <v>349</v>
      </c>
      <c r="F139" s="92"/>
      <c r="G139" s="93" t="s">
        <v>502</v>
      </c>
      <c r="H139" s="94">
        <v>26008</v>
      </c>
      <c r="I139" s="94">
        <v>14347</v>
      </c>
      <c r="J139" s="94">
        <v>11661</v>
      </c>
      <c r="K139" s="94">
        <v>1772</v>
      </c>
      <c r="L139" s="94">
        <v>6552</v>
      </c>
      <c r="M139" s="94">
        <v>13392</v>
      </c>
      <c r="N139" s="94">
        <v>4292</v>
      </c>
      <c r="O139" s="94">
        <v>25938</v>
      </c>
      <c r="P139" s="94">
        <v>70</v>
      </c>
      <c r="Q139" s="95">
        <v>0.58404156764812498</v>
      </c>
      <c r="R139" s="95">
        <v>0.53354772694050601</v>
      </c>
      <c r="S139" s="95">
        <v>0.64602960969044398</v>
      </c>
      <c r="T139" s="95">
        <v>1.22174709835064</v>
      </c>
      <c r="U139" s="95">
        <v>0.96556163501770198</v>
      </c>
      <c r="V139" s="95">
        <v>0.45178376694189099</v>
      </c>
      <c r="W139" s="95">
        <v>0.16916384726921199</v>
      </c>
      <c r="X139" s="95">
        <v>0.57327412192167904</v>
      </c>
      <c r="Y139" s="95">
        <v>5.2631578947368398</v>
      </c>
      <c r="Z139" s="94">
        <v>34414</v>
      </c>
      <c r="AA139" s="94">
        <v>18161</v>
      </c>
      <c r="AB139" s="94">
        <v>16253</v>
      </c>
      <c r="AC139" s="94">
        <v>1671</v>
      </c>
      <c r="AD139" s="94">
        <v>8266</v>
      </c>
      <c r="AE139" s="94">
        <v>18214</v>
      </c>
      <c r="AF139" s="94">
        <v>6263</v>
      </c>
      <c r="AG139" s="94">
        <v>28521</v>
      </c>
      <c r="AH139" s="94">
        <v>5735</v>
      </c>
      <c r="AI139" s="94">
        <v>158</v>
      </c>
      <c r="AJ139" s="94">
        <v>34227</v>
      </c>
      <c r="AK139" s="94">
        <v>102</v>
      </c>
      <c r="AL139" s="94">
        <v>85</v>
      </c>
      <c r="AM139" s="94">
        <v>2040</v>
      </c>
      <c r="AN139" s="94">
        <v>32040</v>
      </c>
      <c r="AO139" s="94">
        <v>334</v>
      </c>
      <c r="AP139" s="95">
        <v>2.3887177628797498</v>
      </c>
      <c r="AQ139" s="95">
        <v>1.1542857142857099</v>
      </c>
      <c r="AR139" s="95">
        <v>3.7722556679902701</v>
      </c>
      <c r="AS139" s="95">
        <v>3.9797852179406199</v>
      </c>
      <c r="AT139" s="95">
        <v>3.6802030456852801</v>
      </c>
      <c r="AU139" s="95">
        <v>2.0745469052775598</v>
      </c>
      <c r="AV139" s="95">
        <v>1.2121212121212099</v>
      </c>
      <c r="AW139" s="95">
        <v>2.02905902387768</v>
      </c>
      <c r="AX139" s="95">
        <v>4.2085661080074503</v>
      </c>
      <c r="AY139" s="95">
        <v>3.4482758620689702</v>
      </c>
      <c r="AZ139" s="95">
        <v>2.3951914028110899</v>
      </c>
      <c r="BA139" s="95">
        <v>2.12765957446809</v>
      </c>
      <c r="BB139" s="95">
        <v>0</v>
      </c>
      <c r="BC139" s="95">
        <v>1.35814889336016</v>
      </c>
      <c r="BD139" s="95">
        <v>2.4602401817591701</v>
      </c>
      <c r="BE139" s="95">
        <v>1.89873417721519</v>
      </c>
    </row>
    <row r="140" spans="2:57" ht="15" customHeight="1" x14ac:dyDescent="0.25">
      <c r="B140" s="96">
        <v>130</v>
      </c>
      <c r="C140" s="97" t="s">
        <v>504</v>
      </c>
      <c r="D140" s="97" t="s">
        <v>43</v>
      </c>
      <c r="E140" s="97" t="s">
        <v>349</v>
      </c>
      <c r="F140" s="97" t="s">
        <v>310</v>
      </c>
      <c r="G140" s="98" t="s">
        <v>310</v>
      </c>
      <c r="H140" s="99">
        <v>365764</v>
      </c>
      <c r="I140" s="99">
        <v>192436</v>
      </c>
      <c r="J140" s="99">
        <v>173328</v>
      </c>
      <c r="K140" s="99">
        <v>9136</v>
      </c>
      <c r="L140" s="99">
        <v>96957</v>
      </c>
      <c r="M140" s="99">
        <v>225488</v>
      </c>
      <c r="N140" s="99">
        <v>34183</v>
      </c>
      <c r="O140" s="99">
        <v>360524</v>
      </c>
      <c r="P140" s="99">
        <v>5240</v>
      </c>
      <c r="Q140" s="100">
        <v>2.90556247094288</v>
      </c>
      <c r="R140" s="100">
        <v>2.5962282178443101</v>
      </c>
      <c r="S140" s="100">
        <v>3.2507631867887801</v>
      </c>
      <c r="T140" s="100">
        <v>5.7411019015114597</v>
      </c>
      <c r="U140" s="100">
        <v>4.3876786079371204</v>
      </c>
      <c r="V140" s="100">
        <v>2.3363328655163902</v>
      </c>
      <c r="W140" s="100">
        <v>1.7356218778019701</v>
      </c>
      <c r="X140" s="100">
        <v>2.87978976439743</v>
      </c>
      <c r="Y140" s="100">
        <v>4.7392339320493404</v>
      </c>
      <c r="Z140" s="99">
        <v>405929</v>
      </c>
      <c r="AA140" s="99">
        <v>209447</v>
      </c>
      <c r="AB140" s="99">
        <v>196482</v>
      </c>
      <c r="AC140" s="99">
        <v>7513</v>
      </c>
      <c r="AD140" s="99">
        <v>92156</v>
      </c>
      <c r="AE140" s="99">
        <v>253379</v>
      </c>
      <c r="AF140" s="99">
        <v>52881</v>
      </c>
      <c r="AG140" s="99">
        <v>116644</v>
      </c>
      <c r="AH140" s="99">
        <v>287287</v>
      </c>
      <c r="AI140" s="99">
        <v>1998</v>
      </c>
      <c r="AJ140" s="99">
        <v>398966</v>
      </c>
      <c r="AK140" s="99">
        <v>6306</v>
      </c>
      <c r="AL140" s="99">
        <v>657</v>
      </c>
      <c r="AM140" s="99">
        <v>25485</v>
      </c>
      <c r="AN140" s="99">
        <v>378520</v>
      </c>
      <c r="AO140" s="99">
        <v>1924</v>
      </c>
      <c r="AP140" s="100">
        <v>6.6070628878510602</v>
      </c>
      <c r="AQ140" s="100">
        <v>4.7594735647833</v>
      </c>
      <c r="AR140" s="100">
        <v>8.5838354410823392</v>
      </c>
      <c r="AS140" s="100">
        <v>14.538005086182499</v>
      </c>
      <c r="AT140" s="100">
        <v>10.5161002543732</v>
      </c>
      <c r="AU140" s="100">
        <v>5.44143884526226</v>
      </c>
      <c r="AV140" s="100">
        <v>4.4638860630722297</v>
      </c>
      <c r="AW140" s="100">
        <v>6.4241443864846701</v>
      </c>
      <c r="AX140" s="100">
        <v>6.6815305494572304</v>
      </c>
      <c r="AY140" s="100">
        <v>6.8927789934354502</v>
      </c>
      <c r="AZ140" s="100">
        <v>6.5727165041648696</v>
      </c>
      <c r="BA140" s="100">
        <v>9.0311111111111106</v>
      </c>
      <c r="BB140" s="100">
        <v>5</v>
      </c>
      <c r="BC140" s="100">
        <v>6.6087836129140998</v>
      </c>
      <c r="BD140" s="100">
        <v>6.60971968817383</v>
      </c>
      <c r="BE140" s="100">
        <v>6.0483870967741904</v>
      </c>
    </row>
    <row r="141" spans="2:57" ht="15" customHeight="1" x14ac:dyDescent="0.25">
      <c r="B141" s="91">
        <v>131</v>
      </c>
      <c r="C141" s="92" t="s">
        <v>504</v>
      </c>
      <c r="D141" s="92" t="s">
        <v>43</v>
      </c>
      <c r="E141" s="92" t="s">
        <v>349</v>
      </c>
      <c r="F141" s="92" t="s">
        <v>310</v>
      </c>
      <c r="G141" s="101" t="s">
        <v>501</v>
      </c>
      <c r="H141" s="94">
        <v>361428</v>
      </c>
      <c r="I141" s="94">
        <v>189906</v>
      </c>
      <c r="J141" s="94">
        <v>171522</v>
      </c>
      <c r="K141" s="94">
        <v>8906</v>
      </c>
      <c r="L141" s="94">
        <v>95792</v>
      </c>
      <c r="M141" s="94">
        <v>223179</v>
      </c>
      <c r="N141" s="94">
        <v>33551</v>
      </c>
      <c r="O141" s="94">
        <v>356194</v>
      </c>
      <c r="P141" s="94">
        <v>5234</v>
      </c>
      <c r="Q141" s="95">
        <v>2.9348978023946799</v>
      </c>
      <c r="R141" s="95">
        <v>2.6247521099478899</v>
      </c>
      <c r="S141" s="95">
        <v>3.28009804361914</v>
      </c>
      <c r="T141" s="95">
        <v>5.8897086407402801</v>
      </c>
      <c r="U141" s="95">
        <v>4.4344776033580597</v>
      </c>
      <c r="V141" s="95">
        <v>2.3549737654548202</v>
      </c>
      <c r="W141" s="95">
        <v>1.7634380510743899</v>
      </c>
      <c r="X141" s="95">
        <v>2.9091827432429098</v>
      </c>
      <c r="Y141" s="95">
        <v>4.7433398310591297</v>
      </c>
      <c r="Z141" s="94">
        <v>401334</v>
      </c>
      <c r="AA141" s="94">
        <v>206816</v>
      </c>
      <c r="AB141" s="94">
        <v>194518</v>
      </c>
      <c r="AC141" s="94">
        <v>7298</v>
      </c>
      <c r="AD141" s="94">
        <v>91020</v>
      </c>
      <c r="AE141" s="94">
        <v>250875</v>
      </c>
      <c r="AF141" s="94">
        <v>52141</v>
      </c>
      <c r="AG141" s="94">
        <v>112802</v>
      </c>
      <c r="AH141" s="94">
        <v>286559</v>
      </c>
      <c r="AI141" s="94">
        <v>1973</v>
      </c>
      <c r="AJ141" s="94">
        <v>394387</v>
      </c>
      <c r="AK141" s="94">
        <v>6296</v>
      </c>
      <c r="AL141" s="94">
        <v>651</v>
      </c>
      <c r="AM141" s="94">
        <v>25171</v>
      </c>
      <c r="AN141" s="94">
        <v>374291</v>
      </c>
      <c r="AO141" s="94">
        <v>1872</v>
      </c>
      <c r="AP141" s="95">
        <v>6.6439366761165202</v>
      </c>
      <c r="AQ141" s="95">
        <v>4.7987292563641697</v>
      </c>
      <c r="AR141" s="95">
        <v>8.6130084474058393</v>
      </c>
      <c r="AS141" s="95">
        <v>14.7884251854006</v>
      </c>
      <c r="AT141" s="95">
        <v>10.5892556128307</v>
      </c>
      <c r="AU141" s="95">
        <v>5.4645253274305201</v>
      </c>
      <c r="AV141" s="95">
        <v>4.5059370160041299</v>
      </c>
      <c r="AW141" s="95">
        <v>6.5283015319221001</v>
      </c>
      <c r="AX141" s="95">
        <v>6.6884499232635299</v>
      </c>
      <c r="AY141" s="95">
        <v>6.9806094182825502</v>
      </c>
      <c r="AZ141" s="95">
        <v>6.6095320134204298</v>
      </c>
      <c r="BA141" s="95">
        <v>9.0455840455840502</v>
      </c>
      <c r="BB141" s="95">
        <v>5.0505050505050502</v>
      </c>
      <c r="BC141" s="95">
        <v>6.6652433817250198</v>
      </c>
      <c r="BD141" s="95">
        <v>6.6445615283793504</v>
      </c>
      <c r="BE141" s="95">
        <v>6.2203791469194298</v>
      </c>
    </row>
    <row r="142" spans="2:57" ht="15" customHeight="1" x14ac:dyDescent="0.25">
      <c r="B142" s="91">
        <v>132</v>
      </c>
      <c r="C142" s="92" t="s">
        <v>504</v>
      </c>
      <c r="D142" s="92" t="s">
        <v>43</v>
      </c>
      <c r="E142" s="92" t="s">
        <v>349</v>
      </c>
      <c r="F142" s="92" t="s">
        <v>310</v>
      </c>
      <c r="G142" s="101" t="s">
        <v>502</v>
      </c>
      <c r="H142" s="94">
        <v>4336</v>
      </c>
      <c r="I142" s="94">
        <v>2530</v>
      </c>
      <c r="J142" s="94">
        <v>1806</v>
      </c>
      <c r="K142" s="94">
        <v>230</v>
      </c>
      <c r="L142" s="94">
        <v>1165</v>
      </c>
      <c r="M142" s="94">
        <v>2309</v>
      </c>
      <c r="N142" s="94">
        <v>632</v>
      </c>
      <c r="O142" s="94">
        <v>4330</v>
      </c>
      <c r="P142" s="94">
        <v>6</v>
      </c>
      <c r="Q142" s="95">
        <v>0.53895149436550704</v>
      </c>
      <c r="R142" s="95">
        <v>0.50675675675675702</v>
      </c>
      <c r="S142" s="95">
        <v>0.58343057176196</v>
      </c>
      <c r="T142" s="95">
        <v>0</v>
      </c>
      <c r="U142" s="95">
        <v>0.64397424103035905</v>
      </c>
      <c r="V142" s="95">
        <v>0.59578368469294196</v>
      </c>
      <c r="W142" s="95">
        <v>0.33003300330032997</v>
      </c>
      <c r="X142" s="95">
        <v>0.539480137322217</v>
      </c>
      <c r="Y142" s="95">
        <v>0</v>
      </c>
      <c r="Z142" s="94">
        <v>4595</v>
      </c>
      <c r="AA142" s="94">
        <v>2631</v>
      </c>
      <c r="AB142" s="94">
        <v>1964</v>
      </c>
      <c r="AC142" s="94">
        <v>215</v>
      </c>
      <c r="AD142" s="94">
        <v>1136</v>
      </c>
      <c r="AE142" s="94">
        <v>2504</v>
      </c>
      <c r="AF142" s="94">
        <v>740</v>
      </c>
      <c r="AG142" s="94">
        <v>3842</v>
      </c>
      <c r="AH142" s="94">
        <v>728</v>
      </c>
      <c r="AI142" s="94">
        <v>25</v>
      </c>
      <c r="AJ142" s="94">
        <v>4579</v>
      </c>
      <c r="AK142" s="94">
        <v>10</v>
      </c>
      <c r="AL142" s="94">
        <v>6</v>
      </c>
      <c r="AM142" s="94">
        <v>314</v>
      </c>
      <c r="AN142" s="94">
        <v>4229</v>
      </c>
      <c r="AO142" s="94">
        <v>52</v>
      </c>
      <c r="AP142" s="95">
        <v>3.5107587768969402</v>
      </c>
      <c r="AQ142" s="95">
        <v>1.7828843106180701</v>
      </c>
      <c r="AR142" s="95">
        <v>5.8170280274986803</v>
      </c>
      <c r="AS142" s="95">
        <v>5.9701492537313401</v>
      </c>
      <c r="AT142" s="95">
        <v>4.9861495844875297</v>
      </c>
      <c r="AU142" s="95">
        <v>3.2003325020781399</v>
      </c>
      <c r="AV142" s="95">
        <v>1.6551724137931001</v>
      </c>
      <c r="AW142" s="95">
        <v>3.43150499864901</v>
      </c>
      <c r="AX142" s="95">
        <v>4.0520984081042002</v>
      </c>
      <c r="AY142" s="95">
        <v>0</v>
      </c>
      <c r="AZ142" s="95">
        <v>3.5227272727272698</v>
      </c>
      <c r="BA142" s="95">
        <v>0</v>
      </c>
      <c r="BB142" s="95">
        <v>0</v>
      </c>
      <c r="BC142" s="95">
        <v>2.28758169934641</v>
      </c>
      <c r="BD142" s="95">
        <v>3.6444225560206802</v>
      </c>
      <c r="BE142" s="95">
        <v>0</v>
      </c>
    </row>
    <row r="143" spans="2:57" ht="15" customHeight="1" x14ac:dyDescent="0.25">
      <c r="B143" s="96">
        <v>133</v>
      </c>
      <c r="C143" s="97" t="s">
        <v>504</v>
      </c>
      <c r="D143" s="104" t="s">
        <v>43</v>
      </c>
      <c r="E143" s="104" t="s">
        <v>349</v>
      </c>
      <c r="F143" s="104" t="s">
        <v>168</v>
      </c>
      <c r="G143" s="105" t="s">
        <v>168</v>
      </c>
      <c r="H143" s="106">
        <v>9415</v>
      </c>
      <c r="I143" s="106">
        <v>5156</v>
      </c>
      <c r="J143" s="106">
        <v>4259</v>
      </c>
      <c r="K143" s="106">
        <v>719</v>
      </c>
      <c r="L143" s="106">
        <v>2459</v>
      </c>
      <c r="M143" s="106">
        <v>4673</v>
      </c>
      <c r="N143" s="106">
        <v>1564</v>
      </c>
      <c r="O143" s="106">
        <v>9411</v>
      </c>
      <c r="P143" s="106">
        <v>4</v>
      </c>
      <c r="Q143" s="107">
        <v>0.21975607076145501</v>
      </c>
      <c r="R143" s="107">
        <v>0.26005201040207998</v>
      </c>
      <c r="S143" s="107">
        <v>0.17064846416382301</v>
      </c>
      <c r="T143" s="107">
        <v>0.29850746268656703</v>
      </c>
      <c r="U143" s="107">
        <v>0.37894736842105298</v>
      </c>
      <c r="V143" s="107">
        <v>0.19780219780219799</v>
      </c>
      <c r="W143" s="107">
        <v>0</v>
      </c>
      <c r="X143" s="107">
        <v>0.21982853374368</v>
      </c>
      <c r="Y143" s="107">
        <v>0</v>
      </c>
      <c r="Z143" s="106">
        <v>12961</v>
      </c>
      <c r="AA143" s="106">
        <v>6752</v>
      </c>
      <c r="AB143" s="106">
        <v>6209</v>
      </c>
      <c r="AC143" s="106">
        <v>719</v>
      </c>
      <c r="AD143" s="106">
        <v>3344</v>
      </c>
      <c r="AE143" s="106">
        <v>6592</v>
      </c>
      <c r="AF143" s="106">
        <v>2306</v>
      </c>
      <c r="AG143" s="106">
        <v>11587</v>
      </c>
      <c r="AH143" s="106">
        <v>1307</v>
      </c>
      <c r="AI143" s="106">
        <v>67</v>
      </c>
      <c r="AJ143" s="106">
        <v>12904</v>
      </c>
      <c r="AK143" s="106">
        <v>19</v>
      </c>
      <c r="AL143" s="106">
        <v>38</v>
      </c>
      <c r="AM143" s="106">
        <v>828</v>
      </c>
      <c r="AN143" s="106">
        <v>11963</v>
      </c>
      <c r="AO143" s="106">
        <v>170</v>
      </c>
      <c r="AP143" s="107">
        <v>1.1970826066275599</v>
      </c>
      <c r="AQ143" s="107">
        <v>0.44012748520261002</v>
      </c>
      <c r="AR143" s="107">
        <v>2.0248962655601699</v>
      </c>
      <c r="AS143" s="107">
        <v>1.1611030478955</v>
      </c>
      <c r="AT143" s="107">
        <v>1.80348258706468</v>
      </c>
      <c r="AU143" s="107">
        <v>1.1019711314605001</v>
      </c>
      <c r="AV143" s="107">
        <v>0.61782877316857898</v>
      </c>
      <c r="AW143" s="107">
        <v>1.01823977333097</v>
      </c>
      <c r="AX143" s="107">
        <v>2.7844073190135199</v>
      </c>
      <c r="AY143" s="107">
        <v>1.5873015873015901</v>
      </c>
      <c r="AZ143" s="107">
        <v>1.19436260848794</v>
      </c>
      <c r="BA143" s="107">
        <v>5.2631578947368398</v>
      </c>
      <c r="BB143" s="107">
        <v>0</v>
      </c>
      <c r="BC143" s="107">
        <v>1.10837438423645</v>
      </c>
      <c r="BD143" s="107">
        <v>1.1856688718962101</v>
      </c>
      <c r="BE143" s="107">
        <v>2.4539877300613502</v>
      </c>
    </row>
    <row r="144" spans="2:57" ht="15" customHeight="1" x14ac:dyDescent="0.25">
      <c r="B144" s="91">
        <v>134</v>
      </c>
      <c r="C144" s="92" t="s">
        <v>504</v>
      </c>
      <c r="D144" s="92" t="s">
        <v>43</v>
      </c>
      <c r="E144" s="92" t="s">
        <v>349</v>
      </c>
      <c r="F144" s="92" t="s">
        <v>168</v>
      </c>
      <c r="G144" s="101" t="s">
        <v>501</v>
      </c>
      <c r="H144" s="94">
        <v>0</v>
      </c>
      <c r="I144" s="94">
        <v>0</v>
      </c>
      <c r="J144" s="94">
        <v>0</v>
      </c>
      <c r="K144" s="94">
        <v>0</v>
      </c>
      <c r="L144" s="94">
        <v>0</v>
      </c>
      <c r="M144" s="94">
        <v>0</v>
      </c>
      <c r="N144" s="94">
        <v>0</v>
      </c>
      <c r="O144" s="94">
        <v>0</v>
      </c>
      <c r="P144" s="94">
        <v>0</v>
      </c>
      <c r="Q144" s="95">
        <v>0</v>
      </c>
      <c r="R144" s="95">
        <v>0</v>
      </c>
      <c r="S144" s="95">
        <v>0</v>
      </c>
      <c r="T144" s="95">
        <v>0</v>
      </c>
      <c r="U144" s="95">
        <v>0</v>
      </c>
      <c r="V144" s="95">
        <v>0</v>
      </c>
      <c r="W144" s="95">
        <v>0</v>
      </c>
      <c r="X144" s="95">
        <v>0</v>
      </c>
      <c r="Y144" s="95">
        <v>0</v>
      </c>
      <c r="Z144" s="94">
        <v>0</v>
      </c>
      <c r="AA144" s="94">
        <v>0</v>
      </c>
      <c r="AB144" s="94">
        <v>0</v>
      </c>
      <c r="AC144" s="94">
        <v>0</v>
      </c>
      <c r="AD144" s="94">
        <v>0</v>
      </c>
      <c r="AE144" s="94">
        <v>0</v>
      </c>
      <c r="AF144" s="94">
        <v>0</v>
      </c>
      <c r="AG144" s="94">
        <v>0</v>
      </c>
      <c r="AH144" s="94">
        <v>0</v>
      </c>
      <c r="AI144" s="94">
        <v>0</v>
      </c>
      <c r="AJ144" s="94">
        <v>0</v>
      </c>
      <c r="AK144" s="94">
        <v>0</v>
      </c>
      <c r="AL144" s="94">
        <v>0</v>
      </c>
      <c r="AM144" s="94">
        <v>0</v>
      </c>
      <c r="AN144" s="94">
        <v>0</v>
      </c>
      <c r="AO144" s="94">
        <v>0</v>
      </c>
      <c r="AP144" s="95">
        <v>0</v>
      </c>
      <c r="AQ144" s="95">
        <v>0</v>
      </c>
      <c r="AR144" s="95">
        <v>0</v>
      </c>
      <c r="AS144" s="95">
        <v>0</v>
      </c>
      <c r="AT144" s="95">
        <v>0</v>
      </c>
      <c r="AU144" s="95">
        <v>0</v>
      </c>
      <c r="AV144" s="95">
        <v>0</v>
      </c>
      <c r="AW144" s="95">
        <v>0</v>
      </c>
      <c r="AX144" s="95">
        <v>0</v>
      </c>
      <c r="AY144" s="95">
        <v>0</v>
      </c>
      <c r="AZ144" s="95">
        <v>0</v>
      </c>
      <c r="BA144" s="95">
        <v>0</v>
      </c>
      <c r="BB144" s="95">
        <v>0</v>
      </c>
      <c r="BC144" s="95">
        <v>0</v>
      </c>
      <c r="BD144" s="95">
        <v>0</v>
      </c>
      <c r="BE144" s="95">
        <v>0</v>
      </c>
    </row>
    <row r="145" spans="2:57" ht="15" customHeight="1" x14ac:dyDescent="0.25">
      <c r="B145" s="91">
        <v>135</v>
      </c>
      <c r="C145" s="92" t="s">
        <v>504</v>
      </c>
      <c r="D145" s="92" t="s">
        <v>43</v>
      </c>
      <c r="E145" s="92" t="s">
        <v>349</v>
      </c>
      <c r="F145" s="92" t="s">
        <v>168</v>
      </c>
      <c r="G145" s="101" t="s">
        <v>502</v>
      </c>
      <c r="H145" s="94">
        <v>9415</v>
      </c>
      <c r="I145" s="94">
        <v>5156</v>
      </c>
      <c r="J145" s="94">
        <v>4259</v>
      </c>
      <c r="K145" s="94">
        <v>719</v>
      </c>
      <c r="L145" s="94">
        <v>2459</v>
      </c>
      <c r="M145" s="94">
        <v>4673</v>
      </c>
      <c r="N145" s="94">
        <v>1564</v>
      </c>
      <c r="O145" s="94">
        <v>9411</v>
      </c>
      <c r="P145" s="94">
        <v>4</v>
      </c>
      <c r="Q145" s="95">
        <v>0.21975607076145501</v>
      </c>
      <c r="R145" s="95">
        <v>0.26005201040207998</v>
      </c>
      <c r="S145" s="95">
        <v>0.17064846416382301</v>
      </c>
      <c r="T145" s="95">
        <v>0.29850746268656703</v>
      </c>
      <c r="U145" s="95">
        <v>0.37894736842105298</v>
      </c>
      <c r="V145" s="95">
        <v>0.19780219780219799</v>
      </c>
      <c r="W145" s="95">
        <v>0</v>
      </c>
      <c r="X145" s="95">
        <v>0.21982853374368</v>
      </c>
      <c r="Y145" s="95">
        <v>0</v>
      </c>
      <c r="Z145" s="94">
        <v>12961</v>
      </c>
      <c r="AA145" s="94">
        <v>6752</v>
      </c>
      <c r="AB145" s="94">
        <v>6209</v>
      </c>
      <c r="AC145" s="94">
        <v>719</v>
      </c>
      <c r="AD145" s="94">
        <v>3344</v>
      </c>
      <c r="AE145" s="94">
        <v>6592</v>
      </c>
      <c r="AF145" s="94">
        <v>2306</v>
      </c>
      <c r="AG145" s="94">
        <v>11587</v>
      </c>
      <c r="AH145" s="94">
        <v>1307</v>
      </c>
      <c r="AI145" s="94">
        <v>67</v>
      </c>
      <c r="AJ145" s="94">
        <v>12904</v>
      </c>
      <c r="AK145" s="94">
        <v>19</v>
      </c>
      <c r="AL145" s="94">
        <v>38</v>
      </c>
      <c r="AM145" s="94">
        <v>828</v>
      </c>
      <c r="AN145" s="94">
        <v>11963</v>
      </c>
      <c r="AO145" s="94">
        <v>170</v>
      </c>
      <c r="AP145" s="95">
        <v>1.1970826066275599</v>
      </c>
      <c r="AQ145" s="95">
        <v>0.44012748520261002</v>
      </c>
      <c r="AR145" s="95">
        <v>2.0248962655601699</v>
      </c>
      <c r="AS145" s="95">
        <v>1.1611030478955</v>
      </c>
      <c r="AT145" s="95">
        <v>1.80348258706468</v>
      </c>
      <c r="AU145" s="95">
        <v>1.1019711314605001</v>
      </c>
      <c r="AV145" s="95">
        <v>0.61782877316857898</v>
      </c>
      <c r="AW145" s="95">
        <v>1.01823977333097</v>
      </c>
      <c r="AX145" s="95">
        <v>2.7844073190135199</v>
      </c>
      <c r="AY145" s="95">
        <v>1.5873015873015901</v>
      </c>
      <c r="AZ145" s="95">
        <v>1.19436260848794</v>
      </c>
      <c r="BA145" s="95">
        <v>5.2631578947368398</v>
      </c>
      <c r="BB145" s="95">
        <v>0</v>
      </c>
      <c r="BC145" s="95">
        <v>1.10837438423645</v>
      </c>
      <c r="BD145" s="95">
        <v>1.1856688718962101</v>
      </c>
      <c r="BE145" s="95">
        <v>2.4539877300613502</v>
      </c>
    </row>
    <row r="146" spans="2:57" ht="15" customHeight="1" x14ac:dyDescent="0.25">
      <c r="B146" s="96">
        <v>136</v>
      </c>
      <c r="C146" s="97" t="s">
        <v>504</v>
      </c>
      <c r="D146" s="104" t="s">
        <v>43</v>
      </c>
      <c r="E146" s="104" t="s">
        <v>349</v>
      </c>
      <c r="F146" s="104" t="s">
        <v>170</v>
      </c>
      <c r="G146" s="105" t="s">
        <v>170</v>
      </c>
      <c r="H146" s="106">
        <v>9373</v>
      </c>
      <c r="I146" s="106">
        <v>5059</v>
      </c>
      <c r="J146" s="106">
        <v>4314</v>
      </c>
      <c r="K146" s="106">
        <v>661</v>
      </c>
      <c r="L146" s="106">
        <v>2288</v>
      </c>
      <c r="M146" s="106">
        <v>4820</v>
      </c>
      <c r="N146" s="106">
        <v>1604</v>
      </c>
      <c r="O146" s="106">
        <v>9315</v>
      </c>
      <c r="P146" s="106">
        <v>58</v>
      </c>
      <c r="Q146" s="107">
        <v>1.03510351035104</v>
      </c>
      <c r="R146" s="107">
        <v>0.94122568500313697</v>
      </c>
      <c r="S146" s="107">
        <v>1.1443876308741201</v>
      </c>
      <c r="T146" s="107">
        <v>2.79605263157895</v>
      </c>
      <c r="U146" s="107">
        <v>1.7185322805387799</v>
      </c>
      <c r="V146" s="107">
        <v>0.74187213615535696</v>
      </c>
      <c r="W146" s="107">
        <v>0.25906735751295301</v>
      </c>
      <c r="X146" s="107">
        <v>1.0067873303167401</v>
      </c>
      <c r="Y146" s="107">
        <v>6.25</v>
      </c>
      <c r="Z146" s="106">
        <v>12648</v>
      </c>
      <c r="AA146" s="106">
        <v>6629</v>
      </c>
      <c r="AB146" s="106">
        <v>6019</v>
      </c>
      <c r="AC146" s="106">
        <v>569</v>
      </c>
      <c r="AD146" s="106">
        <v>2777</v>
      </c>
      <c r="AE146" s="106">
        <v>6884</v>
      </c>
      <c r="AF146" s="106">
        <v>2418</v>
      </c>
      <c r="AG146" s="106">
        <v>9380</v>
      </c>
      <c r="AH146" s="106">
        <v>3211</v>
      </c>
      <c r="AI146" s="106">
        <v>57</v>
      </c>
      <c r="AJ146" s="106">
        <v>12558</v>
      </c>
      <c r="AK146" s="106">
        <v>60</v>
      </c>
      <c r="AL146" s="106">
        <v>30</v>
      </c>
      <c r="AM146" s="106">
        <v>658</v>
      </c>
      <c r="AN146" s="106">
        <v>11896</v>
      </c>
      <c r="AO146" s="106">
        <v>94</v>
      </c>
      <c r="AP146" s="107">
        <v>3.2769205243072799</v>
      </c>
      <c r="AQ146" s="107">
        <v>1.6261446163561699</v>
      </c>
      <c r="AR146" s="107">
        <v>5.1048951048951103</v>
      </c>
      <c r="AS146" s="107">
        <v>6.9679849340866298</v>
      </c>
      <c r="AT146" s="107">
        <v>5.4054054054054097</v>
      </c>
      <c r="AU146" s="107">
        <v>2.6544622425629298</v>
      </c>
      <c r="AV146" s="107">
        <v>1.7941050832977401</v>
      </c>
      <c r="AW146" s="107">
        <v>2.67491986293799</v>
      </c>
      <c r="AX146" s="107">
        <v>5.0423011844331604</v>
      </c>
      <c r="AY146" s="107">
        <v>7.6923076923076898</v>
      </c>
      <c r="AZ146" s="107">
        <v>3.29101236217842</v>
      </c>
      <c r="BA146" s="107">
        <v>1.8518518518518501</v>
      </c>
      <c r="BB146" s="107">
        <v>0</v>
      </c>
      <c r="BC146" s="107">
        <v>1.72413793103448</v>
      </c>
      <c r="BD146" s="107">
        <v>3.3721751412429399</v>
      </c>
      <c r="BE146" s="107">
        <v>2.2727272727272698</v>
      </c>
    </row>
    <row r="147" spans="2:57" ht="15" customHeight="1" x14ac:dyDescent="0.25">
      <c r="B147" s="91">
        <v>137</v>
      </c>
      <c r="C147" s="92" t="s">
        <v>504</v>
      </c>
      <c r="D147" s="92" t="s">
        <v>43</v>
      </c>
      <c r="E147" s="92" t="s">
        <v>349</v>
      </c>
      <c r="F147" s="92" t="s">
        <v>170</v>
      </c>
      <c r="G147" s="101" t="s">
        <v>501</v>
      </c>
      <c r="H147" s="94">
        <v>0</v>
      </c>
      <c r="I147" s="94">
        <v>0</v>
      </c>
      <c r="J147" s="94">
        <v>0</v>
      </c>
      <c r="K147" s="94">
        <v>0</v>
      </c>
      <c r="L147" s="94">
        <v>0</v>
      </c>
      <c r="M147" s="94">
        <v>0</v>
      </c>
      <c r="N147" s="94">
        <v>0</v>
      </c>
      <c r="O147" s="94">
        <v>0</v>
      </c>
      <c r="P147" s="94">
        <v>0</v>
      </c>
      <c r="Q147" s="95">
        <v>0</v>
      </c>
      <c r="R147" s="95">
        <v>0</v>
      </c>
      <c r="S147" s="95">
        <v>0</v>
      </c>
      <c r="T147" s="95">
        <v>0</v>
      </c>
      <c r="U147" s="95">
        <v>0</v>
      </c>
      <c r="V147" s="95">
        <v>0</v>
      </c>
      <c r="W147" s="95">
        <v>0</v>
      </c>
      <c r="X147" s="95">
        <v>0</v>
      </c>
      <c r="Y147" s="95">
        <v>0</v>
      </c>
      <c r="Z147" s="94">
        <v>0</v>
      </c>
      <c r="AA147" s="94">
        <v>0</v>
      </c>
      <c r="AB147" s="94">
        <v>0</v>
      </c>
      <c r="AC147" s="94">
        <v>0</v>
      </c>
      <c r="AD147" s="94">
        <v>0</v>
      </c>
      <c r="AE147" s="94">
        <v>0</v>
      </c>
      <c r="AF147" s="94">
        <v>0</v>
      </c>
      <c r="AG147" s="94">
        <v>0</v>
      </c>
      <c r="AH147" s="94">
        <v>0</v>
      </c>
      <c r="AI147" s="94">
        <v>0</v>
      </c>
      <c r="AJ147" s="94">
        <v>0</v>
      </c>
      <c r="AK147" s="94">
        <v>0</v>
      </c>
      <c r="AL147" s="94">
        <v>0</v>
      </c>
      <c r="AM147" s="94">
        <v>0</v>
      </c>
      <c r="AN147" s="94">
        <v>0</v>
      </c>
      <c r="AO147" s="94">
        <v>0</v>
      </c>
      <c r="AP147" s="95">
        <v>0</v>
      </c>
      <c r="AQ147" s="95">
        <v>0</v>
      </c>
      <c r="AR147" s="95">
        <v>0</v>
      </c>
      <c r="AS147" s="95">
        <v>0</v>
      </c>
      <c r="AT147" s="95">
        <v>0</v>
      </c>
      <c r="AU147" s="95">
        <v>0</v>
      </c>
      <c r="AV147" s="95">
        <v>0</v>
      </c>
      <c r="AW147" s="95">
        <v>0</v>
      </c>
      <c r="AX147" s="95">
        <v>0</v>
      </c>
      <c r="AY147" s="95">
        <v>0</v>
      </c>
      <c r="AZ147" s="95">
        <v>0</v>
      </c>
      <c r="BA147" s="95">
        <v>0</v>
      </c>
      <c r="BB147" s="95">
        <v>0</v>
      </c>
      <c r="BC147" s="95">
        <v>0</v>
      </c>
      <c r="BD147" s="95">
        <v>0</v>
      </c>
      <c r="BE147" s="95">
        <v>0</v>
      </c>
    </row>
    <row r="148" spans="2:57" ht="15" customHeight="1" x14ac:dyDescent="0.25">
      <c r="B148" s="91">
        <v>138</v>
      </c>
      <c r="C148" s="92" t="s">
        <v>504</v>
      </c>
      <c r="D148" s="92" t="s">
        <v>43</v>
      </c>
      <c r="E148" s="92" t="s">
        <v>349</v>
      </c>
      <c r="F148" s="92" t="s">
        <v>170</v>
      </c>
      <c r="G148" s="101" t="s">
        <v>502</v>
      </c>
      <c r="H148" s="94">
        <v>9373</v>
      </c>
      <c r="I148" s="94">
        <v>5059</v>
      </c>
      <c r="J148" s="94">
        <v>4314</v>
      </c>
      <c r="K148" s="94">
        <v>661</v>
      </c>
      <c r="L148" s="94">
        <v>2288</v>
      </c>
      <c r="M148" s="94">
        <v>4820</v>
      </c>
      <c r="N148" s="94">
        <v>1604</v>
      </c>
      <c r="O148" s="94">
        <v>9315</v>
      </c>
      <c r="P148" s="94">
        <v>58</v>
      </c>
      <c r="Q148" s="95">
        <v>1.03510351035104</v>
      </c>
      <c r="R148" s="95">
        <v>0.94122568500313697</v>
      </c>
      <c r="S148" s="95">
        <v>1.1443876308741201</v>
      </c>
      <c r="T148" s="95">
        <v>2.79605263157895</v>
      </c>
      <c r="U148" s="95">
        <v>1.7185322805387799</v>
      </c>
      <c r="V148" s="95">
        <v>0.74187213615535696</v>
      </c>
      <c r="W148" s="95">
        <v>0.25906735751295301</v>
      </c>
      <c r="X148" s="95">
        <v>1.0067873303167401</v>
      </c>
      <c r="Y148" s="95">
        <v>6.25</v>
      </c>
      <c r="Z148" s="94">
        <v>12648</v>
      </c>
      <c r="AA148" s="94">
        <v>6629</v>
      </c>
      <c r="AB148" s="94">
        <v>6019</v>
      </c>
      <c r="AC148" s="94">
        <v>569</v>
      </c>
      <c r="AD148" s="94">
        <v>2777</v>
      </c>
      <c r="AE148" s="94">
        <v>6884</v>
      </c>
      <c r="AF148" s="94">
        <v>2418</v>
      </c>
      <c r="AG148" s="94">
        <v>9380</v>
      </c>
      <c r="AH148" s="94">
        <v>3211</v>
      </c>
      <c r="AI148" s="94">
        <v>57</v>
      </c>
      <c r="AJ148" s="94">
        <v>12558</v>
      </c>
      <c r="AK148" s="94">
        <v>60</v>
      </c>
      <c r="AL148" s="94">
        <v>30</v>
      </c>
      <c r="AM148" s="94">
        <v>658</v>
      </c>
      <c r="AN148" s="94">
        <v>11896</v>
      </c>
      <c r="AO148" s="94">
        <v>94</v>
      </c>
      <c r="AP148" s="95">
        <v>3.2769205243072799</v>
      </c>
      <c r="AQ148" s="95">
        <v>1.6261446163561699</v>
      </c>
      <c r="AR148" s="95">
        <v>5.1048951048951103</v>
      </c>
      <c r="AS148" s="95">
        <v>6.9679849340866298</v>
      </c>
      <c r="AT148" s="95">
        <v>5.4054054054054097</v>
      </c>
      <c r="AU148" s="95">
        <v>2.6544622425629298</v>
      </c>
      <c r="AV148" s="95">
        <v>1.7941050832977401</v>
      </c>
      <c r="AW148" s="95">
        <v>2.67491986293799</v>
      </c>
      <c r="AX148" s="95">
        <v>5.0423011844331604</v>
      </c>
      <c r="AY148" s="95">
        <v>7.6923076923076898</v>
      </c>
      <c r="AZ148" s="95">
        <v>3.29101236217842</v>
      </c>
      <c r="BA148" s="95">
        <v>1.8518518518518501</v>
      </c>
      <c r="BB148" s="95">
        <v>0</v>
      </c>
      <c r="BC148" s="95">
        <v>1.72413793103448</v>
      </c>
      <c r="BD148" s="95">
        <v>3.3721751412429399</v>
      </c>
      <c r="BE148" s="95">
        <v>2.2727272727272698</v>
      </c>
    </row>
    <row r="149" spans="2:57" ht="15" customHeight="1" x14ac:dyDescent="0.25">
      <c r="B149" s="96">
        <v>139</v>
      </c>
      <c r="C149" s="97" t="s">
        <v>504</v>
      </c>
      <c r="D149" s="104" t="s">
        <v>43</v>
      </c>
      <c r="E149" s="104" t="s">
        <v>349</v>
      </c>
      <c r="F149" s="104" t="s">
        <v>174</v>
      </c>
      <c r="G149" s="105" t="s">
        <v>174</v>
      </c>
      <c r="H149" s="106">
        <v>11221</v>
      </c>
      <c r="I149" s="106">
        <v>6155</v>
      </c>
      <c r="J149" s="106">
        <v>5066</v>
      </c>
      <c r="K149" s="106">
        <v>667</v>
      </c>
      <c r="L149" s="106">
        <v>2920</v>
      </c>
      <c r="M149" s="106">
        <v>6012</v>
      </c>
      <c r="N149" s="106">
        <v>1622</v>
      </c>
      <c r="O149" s="106">
        <v>11166</v>
      </c>
      <c r="P149" s="106">
        <v>55</v>
      </c>
      <c r="Q149" s="107">
        <v>1.1217641418983699</v>
      </c>
      <c r="R149" s="107">
        <v>1.0848643919510099</v>
      </c>
      <c r="S149" s="107">
        <v>1.1664899257688199</v>
      </c>
      <c r="T149" s="107">
        <v>2.67558528428094</v>
      </c>
      <c r="U149" s="107">
        <v>1.0720887245841</v>
      </c>
      <c r="V149" s="107">
        <v>1.1438784629133201</v>
      </c>
      <c r="W149" s="107">
        <v>0.52219321148825104</v>
      </c>
      <c r="X149" s="107">
        <v>1.12640801001252</v>
      </c>
      <c r="Y149" s="107">
        <v>0</v>
      </c>
      <c r="Z149" s="106">
        <v>25800</v>
      </c>
      <c r="AA149" s="106">
        <v>13670</v>
      </c>
      <c r="AB149" s="106">
        <v>12130</v>
      </c>
      <c r="AC149" s="106">
        <v>1042</v>
      </c>
      <c r="AD149" s="106">
        <v>6772</v>
      </c>
      <c r="AE149" s="106">
        <v>14460</v>
      </c>
      <c r="AF149" s="106">
        <v>3526</v>
      </c>
      <c r="AG149" s="106">
        <v>18235</v>
      </c>
      <c r="AH149" s="106">
        <v>7460</v>
      </c>
      <c r="AI149" s="106">
        <v>105</v>
      </c>
      <c r="AJ149" s="106">
        <v>25610</v>
      </c>
      <c r="AK149" s="106">
        <v>135</v>
      </c>
      <c r="AL149" s="106">
        <v>55</v>
      </c>
      <c r="AM149" s="106">
        <v>1559</v>
      </c>
      <c r="AN149" s="106">
        <v>24053</v>
      </c>
      <c r="AO149" s="106">
        <v>188</v>
      </c>
      <c r="AP149" s="107">
        <v>5.0732668390592304</v>
      </c>
      <c r="AQ149" s="107">
        <v>2.49419054996127</v>
      </c>
      <c r="AR149" s="107">
        <v>7.9804418056404396</v>
      </c>
      <c r="AS149" s="107">
        <v>9.7435897435897392</v>
      </c>
      <c r="AT149" s="107">
        <v>7.2528170131725096</v>
      </c>
      <c r="AU149" s="107">
        <v>4.3896747848913504</v>
      </c>
      <c r="AV149" s="107">
        <v>2.4310702638600601</v>
      </c>
      <c r="AW149" s="107">
        <v>4.786866359447</v>
      </c>
      <c r="AX149" s="107">
        <v>5.8193398957730196</v>
      </c>
      <c r="AY149" s="107">
        <v>3.1578947368421102</v>
      </c>
      <c r="AZ149" s="107">
        <v>5.0834848735328197</v>
      </c>
      <c r="BA149" s="107">
        <v>5.0420168067226898</v>
      </c>
      <c r="BB149" s="107">
        <v>0</v>
      </c>
      <c r="BC149" s="107">
        <v>3.9784221173297398</v>
      </c>
      <c r="BD149" s="107">
        <v>5.1426558647411102</v>
      </c>
      <c r="BE149" s="107">
        <v>5.3571428571428603</v>
      </c>
    </row>
    <row r="150" spans="2:57" ht="15" customHeight="1" x14ac:dyDescent="0.25">
      <c r="B150" s="91">
        <v>140</v>
      </c>
      <c r="C150" s="92" t="s">
        <v>504</v>
      </c>
      <c r="D150" s="92" t="s">
        <v>43</v>
      </c>
      <c r="E150" s="92" t="s">
        <v>349</v>
      </c>
      <c r="F150" s="92" t="s">
        <v>174</v>
      </c>
      <c r="G150" s="101" t="s">
        <v>501</v>
      </c>
      <c r="H150" s="94">
        <v>9181</v>
      </c>
      <c r="I150" s="94">
        <v>5048</v>
      </c>
      <c r="J150" s="94">
        <v>4133</v>
      </c>
      <c r="K150" s="94">
        <v>538</v>
      </c>
      <c r="L150" s="94">
        <v>2504</v>
      </c>
      <c r="M150" s="94">
        <v>4918</v>
      </c>
      <c r="N150" s="94">
        <v>1221</v>
      </c>
      <c r="O150" s="94">
        <v>9128</v>
      </c>
      <c r="P150" s="94">
        <v>53</v>
      </c>
      <c r="Q150" s="95">
        <v>1.2878071833648399</v>
      </c>
      <c r="R150" s="95">
        <v>1.29421915444349</v>
      </c>
      <c r="S150" s="95">
        <v>1.2800417972831799</v>
      </c>
      <c r="T150" s="95">
        <v>3.1512605042016801</v>
      </c>
      <c r="U150" s="95">
        <v>1.0817827780181699</v>
      </c>
      <c r="V150" s="95">
        <v>1.36563876651982</v>
      </c>
      <c r="W150" s="95">
        <v>0.615655233069481</v>
      </c>
      <c r="X150" s="95">
        <v>1.2940757449839699</v>
      </c>
      <c r="Y150" s="95">
        <v>0</v>
      </c>
      <c r="Z150" s="94">
        <v>21923</v>
      </c>
      <c r="AA150" s="94">
        <v>11716</v>
      </c>
      <c r="AB150" s="94">
        <v>10207</v>
      </c>
      <c r="AC150" s="94">
        <v>891</v>
      </c>
      <c r="AD150" s="94">
        <v>5872</v>
      </c>
      <c r="AE150" s="94">
        <v>12393</v>
      </c>
      <c r="AF150" s="94">
        <v>2767</v>
      </c>
      <c r="AG150" s="94">
        <v>14836</v>
      </c>
      <c r="AH150" s="94">
        <v>6991</v>
      </c>
      <c r="AI150" s="94">
        <v>96</v>
      </c>
      <c r="AJ150" s="94">
        <v>21756</v>
      </c>
      <c r="AK150" s="94">
        <v>123</v>
      </c>
      <c r="AL150" s="94">
        <v>44</v>
      </c>
      <c r="AM150" s="94">
        <v>1325</v>
      </c>
      <c r="AN150" s="94">
        <v>20427</v>
      </c>
      <c r="AO150" s="94">
        <v>171</v>
      </c>
      <c r="AP150" s="95">
        <v>5.5881071134569797</v>
      </c>
      <c r="AQ150" s="95">
        <v>2.6982977182180399</v>
      </c>
      <c r="AR150" s="95">
        <v>8.9101696679504503</v>
      </c>
      <c r="AS150" s="95">
        <v>10.869565217391299</v>
      </c>
      <c r="AT150" s="95">
        <v>7.7614678899082596</v>
      </c>
      <c r="AU150" s="95">
        <v>4.8146570089475897</v>
      </c>
      <c r="AV150" s="95">
        <v>2.8809704321455598</v>
      </c>
      <c r="AW150" s="95">
        <v>5.3963976740887798</v>
      </c>
      <c r="AX150" s="95">
        <v>6.0362173038229399</v>
      </c>
      <c r="AY150" s="95">
        <v>3.4090909090909101</v>
      </c>
      <c r="AZ150" s="95">
        <v>5.5989075302379998</v>
      </c>
      <c r="BA150" s="95">
        <v>5.5555555555555598</v>
      </c>
      <c r="BB150" s="95">
        <v>0</v>
      </c>
      <c r="BC150" s="95">
        <v>4.6937151949085099</v>
      </c>
      <c r="BD150" s="95">
        <v>5.64390396008731</v>
      </c>
      <c r="BE150" s="95">
        <v>5.9210526315789496</v>
      </c>
    </row>
    <row r="151" spans="2:57" ht="15" customHeight="1" x14ac:dyDescent="0.25">
      <c r="B151" s="91">
        <v>141</v>
      </c>
      <c r="C151" s="92" t="s">
        <v>504</v>
      </c>
      <c r="D151" s="92" t="s">
        <v>43</v>
      </c>
      <c r="E151" s="92" t="s">
        <v>349</v>
      </c>
      <c r="F151" s="92" t="s">
        <v>174</v>
      </c>
      <c r="G151" s="101" t="s">
        <v>502</v>
      </c>
      <c r="H151" s="94">
        <v>2040</v>
      </c>
      <c r="I151" s="94">
        <v>1107</v>
      </c>
      <c r="J151" s="94">
        <v>933</v>
      </c>
      <c r="K151" s="94">
        <v>129</v>
      </c>
      <c r="L151" s="94">
        <v>416</v>
      </c>
      <c r="M151" s="94">
        <v>1094</v>
      </c>
      <c r="N151" s="94">
        <v>401</v>
      </c>
      <c r="O151" s="94">
        <v>2038</v>
      </c>
      <c r="P151" s="94">
        <v>2</v>
      </c>
      <c r="Q151" s="95">
        <v>0.40691759918616499</v>
      </c>
      <c r="R151" s="95">
        <v>0.18535681186283601</v>
      </c>
      <c r="S151" s="95">
        <v>0.67643742953776798</v>
      </c>
      <c r="T151" s="95">
        <v>0.81967213114754101</v>
      </c>
      <c r="U151" s="95">
        <v>1.0152284263959399</v>
      </c>
      <c r="V151" s="95">
        <v>0.18957345971563999</v>
      </c>
      <c r="W151" s="95">
        <v>0.253164556962025</v>
      </c>
      <c r="X151" s="95">
        <v>0.40733197556008099</v>
      </c>
      <c r="Y151" s="95">
        <v>0</v>
      </c>
      <c r="Z151" s="94">
        <v>3877</v>
      </c>
      <c r="AA151" s="94">
        <v>1954</v>
      </c>
      <c r="AB151" s="94">
        <v>1923</v>
      </c>
      <c r="AC151" s="94">
        <v>151</v>
      </c>
      <c r="AD151" s="94">
        <v>900</v>
      </c>
      <c r="AE151" s="94">
        <v>2067</v>
      </c>
      <c r="AF151" s="94">
        <v>759</v>
      </c>
      <c r="AG151" s="94">
        <v>3399</v>
      </c>
      <c r="AH151" s="94">
        <v>469</v>
      </c>
      <c r="AI151" s="94">
        <v>9</v>
      </c>
      <c r="AJ151" s="94">
        <v>3854</v>
      </c>
      <c r="AK151" s="94">
        <v>12</v>
      </c>
      <c r="AL151" s="94">
        <v>11</v>
      </c>
      <c r="AM151" s="94">
        <v>234</v>
      </c>
      <c r="AN151" s="94">
        <v>3626</v>
      </c>
      <c r="AO151" s="94">
        <v>17</v>
      </c>
      <c r="AP151" s="95">
        <v>2.2090517241379302</v>
      </c>
      <c r="AQ151" s="95">
        <v>1.2861736334405101</v>
      </c>
      <c r="AR151" s="95">
        <v>3.1419284940411698</v>
      </c>
      <c r="AS151" s="95">
        <v>3.40136054421769</v>
      </c>
      <c r="AT151" s="95">
        <v>3.9952996474735598</v>
      </c>
      <c r="AU151" s="95">
        <v>1.8696311268317301</v>
      </c>
      <c r="AV151" s="95">
        <v>0.81632653061224503</v>
      </c>
      <c r="AW151" s="95">
        <v>2.1485573971761802</v>
      </c>
      <c r="AX151" s="95">
        <v>2.6845637583892601</v>
      </c>
      <c r="AY151" s="95">
        <v>0</v>
      </c>
      <c r="AZ151" s="95">
        <v>2.22101841820152</v>
      </c>
      <c r="BA151" s="95">
        <v>0</v>
      </c>
      <c r="BB151" s="95">
        <v>0</v>
      </c>
      <c r="BC151" s="95">
        <v>0</v>
      </c>
      <c r="BD151" s="95">
        <v>2.3631123919308399</v>
      </c>
      <c r="BE151" s="95">
        <v>0</v>
      </c>
    </row>
    <row r="152" spans="2:57" ht="15" customHeight="1" x14ac:dyDescent="0.25">
      <c r="B152" s="96">
        <v>142</v>
      </c>
      <c r="C152" s="97" t="s">
        <v>504</v>
      </c>
      <c r="D152" s="104" t="s">
        <v>43</v>
      </c>
      <c r="E152" s="104" t="s">
        <v>349</v>
      </c>
      <c r="F152" s="104" t="s">
        <v>178</v>
      </c>
      <c r="G152" s="105" t="s">
        <v>178</v>
      </c>
      <c r="H152" s="106">
        <v>372069</v>
      </c>
      <c r="I152" s="106">
        <v>202603</v>
      </c>
      <c r="J152" s="106">
        <v>169466</v>
      </c>
      <c r="K152" s="106">
        <v>17084</v>
      </c>
      <c r="L152" s="106">
        <v>120768</v>
      </c>
      <c r="M152" s="106">
        <v>210689</v>
      </c>
      <c r="N152" s="106">
        <v>23528</v>
      </c>
      <c r="O152" s="106">
        <v>370965</v>
      </c>
      <c r="P152" s="106">
        <v>1104</v>
      </c>
      <c r="Q152" s="107">
        <v>1.8706251856637299</v>
      </c>
      <c r="R152" s="107">
        <v>1.65117313230561</v>
      </c>
      <c r="S152" s="107">
        <v>2.1332674409027299</v>
      </c>
      <c r="T152" s="107">
        <v>4.1581413768068103</v>
      </c>
      <c r="U152" s="107">
        <v>2.38856075974364</v>
      </c>
      <c r="V152" s="107">
        <v>1.4939676391074499</v>
      </c>
      <c r="W152" s="107">
        <v>1.0635384334489699</v>
      </c>
      <c r="X152" s="107">
        <v>1.86962659538769</v>
      </c>
      <c r="Y152" s="107">
        <v>2.2009569377990399</v>
      </c>
      <c r="Z152" s="106">
        <v>456570</v>
      </c>
      <c r="AA152" s="106">
        <v>236825</v>
      </c>
      <c r="AB152" s="106">
        <v>219745</v>
      </c>
      <c r="AC152" s="106">
        <v>17738</v>
      </c>
      <c r="AD152" s="106">
        <v>139548</v>
      </c>
      <c r="AE152" s="106">
        <v>262240</v>
      </c>
      <c r="AF152" s="106">
        <v>37044</v>
      </c>
      <c r="AG152" s="106">
        <v>267624</v>
      </c>
      <c r="AH152" s="106">
        <v>187194</v>
      </c>
      <c r="AI152" s="106">
        <v>1752</v>
      </c>
      <c r="AJ152" s="106">
        <v>452951</v>
      </c>
      <c r="AK152" s="106">
        <v>2726</v>
      </c>
      <c r="AL152" s="106">
        <v>893</v>
      </c>
      <c r="AM152" s="106">
        <v>26255</v>
      </c>
      <c r="AN152" s="106">
        <v>428039</v>
      </c>
      <c r="AO152" s="106">
        <v>2276</v>
      </c>
      <c r="AP152" s="107">
        <v>6.3234787115643103</v>
      </c>
      <c r="AQ152" s="107">
        <v>3.7211896740221801</v>
      </c>
      <c r="AR152" s="107">
        <v>9.1259467148514108</v>
      </c>
      <c r="AS152" s="107">
        <v>12.1709746265117</v>
      </c>
      <c r="AT152" s="107">
        <v>8.1559546095356996</v>
      </c>
      <c r="AU152" s="107">
        <v>5.2253254078097902</v>
      </c>
      <c r="AV152" s="107">
        <v>4.5784760939347899</v>
      </c>
      <c r="AW152" s="107">
        <v>5.8130243707550902</v>
      </c>
      <c r="AX152" s="107">
        <v>7.0585013521377498</v>
      </c>
      <c r="AY152" s="107">
        <v>7.2545340838023797</v>
      </c>
      <c r="AZ152" s="107">
        <v>6.3207428376884698</v>
      </c>
      <c r="BA152" s="107">
        <v>6.8842021488261</v>
      </c>
      <c r="BB152" s="107">
        <v>6.0386473429951701</v>
      </c>
      <c r="BC152" s="107">
        <v>6.4865082237503504</v>
      </c>
      <c r="BD152" s="107">
        <v>6.3145840583036597</v>
      </c>
      <c r="BE152" s="107">
        <v>6.1118946873530797</v>
      </c>
    </row>
    <row r="153" spans="2:57" ht="15" customHeight="1" x14ac:dyDescent="0.25">
      <c r="B153" s="91">
        <v>143</v>
      </c>
      <c r="C153" s="92" t="s">
        <v>504</v>
      </c>
      <c r="D153" s="92" t="s">
        <v>43</v>
      </c>
      <c r="E153" s="92" t="s">
        <v>349</v>
      </c>
      <c r="F153" s="92" t="s">
        <v>178</v>
      </c>
      <c r="G153" s="101" t="s">
        <v>501</v>
      </c>
      <c r="H153" s="94">
        <v>371225</v>
      </c>
      <c r="I153" s="94">
        <v>202108</v>
      </c>
      <c r="J153" s="94">
        <v>169117</v>
      </c>
      <c r="K153" s="94">
        <v>17051</v>
      </c>
      <c r="L153" s="94">
        <v>120544</v>
      </c>
      <c r="M153" s="94">
        <v>210193</v>
      </c>
      <c r="N153" s="94">
        <v>23437</v>
      </c>
      <c r="O153" s="94">
        <v>370121</v>
      </c>
      <c r="P153" s="94">
        <v>1104</v>
      </c>
      <c r="Q153" s="95">
        <v>1.8740298145048699</v>
      </c>
      <c r="R153" s="95">
        <v>1.65462930041764</v>
      </c>
      <c r="S153" s="95">
        <v>2.1365350671119598</v>
      </c>
      <c r="T153" s="95">
        <v>4.1663911116989603</v>
      </c>
      <c r="U153" s="95">
        <v>2.3902662745838601</v>
      </c>
      <c r="V153" s="95">
        <v>1.49750247729984</v>
      </c>
      <c r="W153" s="95">
        <v>1.0677787452454099</v>
      </c>
      <c r="X153" s="95">
        <v>1.87303925263994</v>
      </c>
      <c r="Y153" s="95">
        <v>2.2009569377990399</v>
      </c>
      <c r="Z153" s="94">
        <v>456237</v>
      </c>
      <c r="AA153" s="94">
        <v>236630</v>
      </c>
      <c r="AB153" s="94">
        <v>219607</v>
      </c>
      <c r="AC153" s="94">
        <v>17721</v>
      </c>
      <c r="AD153" s="94">
        <v>139439</v>
      </c>
      <c r="AE153" s="94">
        <v>262073</v>
      </c>
      <c r="AF153" s="94">
        <v>37004</v>
      </c>
      <c r="AG153" s="94">
        <v>267311</v>
      </c>
      <c r="AH153" s="94">
        <v>187174</v>
      </c>
      <c r="AI153" s="94">
        <v>1752</v>
      </c>
      <c r="AJ153" s="94">
        <v>452619</v>
      </c>
      <c r="AK153" s="94">
        <v>2725</v>
      </c>
      <c r="AL153" s="94">
        <v>893</v>
      </c>
      <c r="AM153" s="94">
        <v>26249</v>
      </c>
      <c r="AN153" s="94">
        <v>427713</v>
      </c>
      <c r="AO153" s="94">
        <v>2275</v>
      </c>
      <c r="AP153" s="95">
        <v>6.3262971676268496</v>
      </c>
      <c r="AQ153" s="95">
        <v>3.7238508673205102</v>
      </c>
      <c r="AR153" s="95">
        <v>9.1283733097386008</v>
      </c>
      <c r="AS153" s="95">
        <v>12.1758737316798</v>
      </c>
      <c r="AT153" s="95">
        <v>8.1608894097329294</v>
      </c>
      <c r="AU153" s="95">
        <v>5.2267332716916597</v>
      </c>
      <c r="AV153" s="95">
        <v>4.5833803134513502</v>
      </c>
      <c r="AW153" s="95">
        <v>5.8174873630919901</v>
      </c>
      <c r="AX153" s="95">
        <v>7.0581656757466096</v>
      </c>
      <c r="AY153" s="95">
        <v>7.2545340838023797</v>
      </c>
      <c r="AZ153" s="95">
        <v>6.3235664746898603</v>
      </c>
      <c r="BA153" s="95">
        <v>6.88694267515924</v>
      </c>
      <c r="BB153" s="95">
        <v>6.0386473429951701</v>
      </c>
      <c r="BC153" s="95">
        <v>6.4880736897148097</v>
      </c>
      <c r="BD153" s="95">
        <v>6.3174741958668896</v>
      </c>
      <c r="BE153" s="95">
        <v>6.1147695202257797</v>
      </c>
    </row>
    <row r="154" spans="2:57" ht="15" customHeight="1" x14ac:dyDescent="0.25">
      <c r="B154" s="91">
        <v>144</v>
      </c>
      <c r="C154" s="92" t="s">
        <v>504</v>
      </c>
      <c r="D154" s="92" t="s">
        <v>43</v>
      </c>
      <c r="E154" s="92" t="s">
        <v>349</v>
      </c>
      <c r="F154" s="92" t="s">
        <v>178</v>
      </c>
      <c r="G154" s="101" t="s">
        <v>502</v>
      </c>
      <c r="H154" s="94">
        <v>844</v>
      </c>
      <c r="I154" s="94">
        <v>495</v>
      </c>
      <c r="J154" s="94">
        <v>349</v>
      </c>
      <c r="K154" s="94">
        <v>33</v>
      </c>
      <c r="L154" s="94">
        <v>224</v>
      </c>
      <c r="M154" s="94">
        <v>496</v>
      </c>
      <c r="N154" s="94">
        <v>91</v>
      </c>
      <c r="O154" s="94">
        <v>844</v>
      </c>
      <c r="P154" s="94">
        <v>0</v>
      </c>
      <c r="Q154" s="95">
        <v>0.379746835443038</v>
      </c>
      <c r="R154" s="95">
        <v>0.21978021978022</v>
      </c>
      <c r="S154" s="95">
        <v>0.59701492537313405</v>
      </c>
      <c r="T154" s="95">
        <v>0</v>
      </c>
      <c r="U154" s="95">
        <v>1.4634146341463401</v>
      </c>
      <c r="V154" s="95">
        <v>0</v>
      </c>
      <c r="W154" s="95">
        <v>0</v>
      </c>
      <c r="X154" s="95">
        <v>0.379746835443038</v>
      </c>
      <c r="Y154" s="95">
        <v>0</v>
      </c>
      <c r="Z154" s="94">
        <v>333</v>
      </c>
      <c r="AA154" s="94">
        <v>195</v>
      </c>
      <c r="AB154" s="94">
        <v>138</v>
      </c>
      <c r="AC154" s="94">
        <v>17</v>
      </c>
      <c r="AD154" s="94">
        <v>109</v>
      </c>
      <c r="AE154" s="94">
        <v>167</v>
      </c>
      <c r="AF154" s="94">
        <v>40</v>
      </c>
      <c r="AG154" s="94">
        <v>313</v>
      </c>
      <c r="AH154" s="94">
        <v>20</v>
      </c>
      <c r="AI154" s="94">
        <v>0</v>
      </c>
      <c r="AJ154" s="94">
        <v>332</v>
      </c>
      <c r="AK154" s="94">
        <v>1</v>
      </c>
      <c r="AL154" s="94">
        <v>0</v>
      </c>
      <c r="AM154" s="94">
        <v>6</v>
      </c>
      <c r="AN154" s="94">
        <v>326</v>
      </c>
      <c r="AO154" s="94">
        <v>1</v>
      </c>
      <c r="AP154" s="95">
        <v>2.5078369905956102</v>
      </c>
      <c r="AQ154" s="95">
        <v>0.53475935828876997</v>
      </c>
      <c r="AR154" s="95">
        <v>5.3030303030303001</v>
      </c>
      <c r="AS154" s="95">
        <v>6.6666666666666696</v>
      </c>
      <c r="AT154" s="95">
        <v>1.94174757281553</v>
      </c>
      <c r="AU154" s="95">
        <v>3.0674846625766898</v>
      </c>
      <c r="AV154" s="95">
        <v>0</v>
      </c>
      <c r="AW154" s="95">
        <v>2.0066889632107001</v>
      </c>
      <c r="AX154" s="95">
        <v>10</v>
      </c>
      <c r="AY154" s="95">
        <v>0</v>
      </c>
      <c r="AZ154" s="95">
        <v>2.5157232704402501</v>
      </c>
      <c r="BA154" s="95">
        <v>0</v>
      </c>
      <c r="BB154" s="95">
        <v>0</v>
      </c>
      <c r="BC154" s="95">
        <v>0</v>
      </c>
      <c r="BD154" s="95">
        <v>2.5641025641025599</v>
      </c>
      <c r="BE154" s="95">
        <v>0</v>
      </c>
    </row>
    <row r="155" spans="2:57" ht="15" customHeight="1" x14ac:dyDescent="0.25">
      <c r="B155" s="86">
        <v>145</v>
      </c>
      <c r="C155" s="87" t="s">
        <v>503</v>
      </c>
      <c r="D155" s="103" t="s">
        <v>43</v>
      </c>
      <c r="E155" s="103" t="s">
        <v>350</v>
      </c>
      <c r="F155" s="103"/>
      <c r="G155" s="88" t="s">
        <v>350</v>
      </c>
      <c r="H155" s="89">
        <v>46313</v>
      </c>
      <c r="I155" s="89">
        <v>23945</v>
      </c>
      <c r="J155" s="89">
        <v>22368</v>
      </c>
      <c r="K155" s="89">
        <v>2309</v>
      </c>
      <c r="L155" s="89">
        <v>9098</v>
      </c>
      <c r="M155" s="89">
        <v>23351</v>
      </c>
      <c r="N155" s="89">
        <v>11555</v>
      </c>
      <c r="O155" s="89">
        <v>46284</v>
      </c>
      <c r="P155" s="89">
        <v>29</v>
      </c>
      <c r="Q155" s="90">
        <v>0.41385860961599302</v>
      </c>
      <c r="R155" s="90">
        <v>0.53591038875466701</v>
      </c>
      <c r="S155" s="90">
        <v>0.284342516198201</v>
      </c>
      <c r="T155" s="90">
        <v>0.74074074074074103</v>
      </c>
      <c r="U155" s="90">
        <v>0.66948555320648295</v>
      </c>
      <c r="V155" s="90">
        <v>0.37754286221906402</v>
      </c>
      <c r="W155" s="90">
        <v>0.23287057769816399</v>
      </c>
      <c r="X155" s="90">
        <v>0.41409272961781302</v>
      </c>
      <c r="Y155" s="90">
        <v>0</v>
      </c>
      <c r="Z155" s="89">
        <v>58188</v>
      </c>
      <c r="AA155" s="89">
        <v>29525</v>
      </c>
      <c r="AB155" s="89">
        <v>28663</v>
      </c>
      <c r="AC155" s="89">
        <v>2664</v>
      </c>
      <c r="AD155" s="89">
        <v>10898</v>
      </c>
      <c r="AE155" s="89">
        <v>29581</v>
      </c>
      <c r="AF155" s="89">
        <v>15045</v>
      </c>
      <c r="AG155" s="89">
        <v>53952</v>
      </c>
      <c r="AH155" s="89">
        <v>3870</v>
      </c>
      <c r="AI155" s="89">
        <v>366</v>
      </c>
      <c r="AJ155" s="89">
        <v>57887</v>
      </c>
      <c r="AK155" s="89">
        <v>113</v>
      </c>
      <c r="AL155" s="89">
        <v>188</v>
      </c>
      <c r="AM155" s="89">
        <v>4645</v>
      </c>
      <c r="AN155" s="89">
        <v>52840</v>
      </c>
      <c r="AO155" s="89">
        <v>703</v>
      </c>
      <c r="AP155" s="90">
        <v>1.6486762257666101</v>
      </c>
      <c r="AQ155" s="90">
        <v>0.92183802493554201</v>
      </c>
      <c r="AR155" s="90">
        <v>2.3956442831215998</v>
      </c>
      <c r="AS155" s="90">
        <v>1.85036202735318</v>
      </c>
      <c r="AT155" s="90">
        <v>2.6708256165318298</v>
      </c>
      <c r="AU155" s="90">
        <v>1.71468728039353</v>
      </c>
      <c r="AV155" s="90">
        <v>0.77091008323099997</v>
      </c>
      <c r="AW155" s="90">
        <v>1.59164482811777</v>
      </c>
      <c r="AX155" s="90">
        <v>2.4006622516556302</v>
      </c>
      <c r="AY155" s="90">
        <v>2.33236151603499</v>
      </c>
      <c r="AZ155" s="90">
        <v>1.6373974377429099</v>
      </c>
      <c r="BA155" s="90">
        <v>6.5420560747663501</v>
      </c>
      <c r="BB155" s="90">
        <v>2.2222222222222201</v>
      </c>
      <c r="BC155" s="90">
        <v>1.15171650055371</v>
      </c>
      <c r="BD155" s="90">
        <v>1.69504903605186</v>
      </c>
      <c r="BE155" s="90">
        <v>1.4903129657228</v>
      </c>
    </row>
    <row r="156" spans="2:57" ht="15" customHeight="1" x14ac:dyDescent="0.25">
      <c r="B156" s="91">
        <v>146</v>
      </c>
      <c r="C156" s="92" t="s">
        <v>503</v>
      </c>
      <c r="D156" s="92" t="s">
        <v>43</v>
      </c>
      <c r="E156" s="92" t="s">
        <v>350</v>
      </c>
      <c r="F156" s="92"/>
      <c r="G156" s="93" t="s">
        <v>501</v>
      </c>
      <c r="H156" s="94">
        <v>4306</v>
      </c>
      <c r="I156" s="94">
        <v>2227</v>
      </c>
      <c r="J156" s="94">
        <v>2079</v>
      </c>
      <c r="K156" s="94">
        <v>295</v>
      </c>
      <c r="L156" s="94">
        <v>1153</v>
      </c>
      <c r="M156" s="94">
        <v>2249</v>
      </c>
      <c r="N156" s="94">
        <v>609</v>
      </c>
      <c r="O156" s="94">
        <v>4293</v>
      </c>
      <c r="P156" s="94">
        <v>13</v>
      </c>
      <c r="Q156" s="95">
        <v>1.5724815724815699</v>
      </c>
      <c r="R156" s="95">
        <v>1.79669030732861</v>
      </c>
      <c r="S156" s="95">
        <v>1.3299232736572899</v>
      </c>
      <c r="T156" s="95">
        <v>3.83141762452107</v>
      </c>
      <c r="U156" s="95">
        <v>2.1677662582469401</v>
      </c>
      <c r="V156" s="95">
        <v>0.87396504139834397</v>
      </c>
      <c r="W156" s="95">
        <v>2.0905923344947701</v>
      </c>
      <c r="X156" s="95">
        <v>1.5771315919172</v>
      </c>
      <c r="Y156" s="95">
        <v>0</v>
      </c>
      <c r="Z156" s="94">
        <v>5009</v>
      </c>
      <c r="AA156" s="94">
        <v>2496</v>
      </c>
      <c r="AB156" s="94">
        <v>2513</v>
      </c>
      <c r="AC156" s="94">
        <v>229</v>
      </c>
      <c r="AD156" s="94">
        <v>1320</v>
      </c>
      <c r="AE156" s="94">
        <v>2760</v>
      </c>
      <c r="AF156" s="94">
        <v>700</v>
      </c>
      <c r="AG156" s="94">
        <v>4328</v>
      </c>
      <c r="AH156" s="94">
        <v>648</v>
      </c>
      <c r="AI156" s="94">
        <v>33</v>
      </c>
      <c r="AJ156" s="94">
        <v>4977</v>
      </c>
      <c r="AK156" s="94">
        <v>17</v>
      </c>
      <c r="AL156" s="94">
        <v>15</v>
      </c>
      <c r="AM156" s="94">
        <v>316</v>
      </c>
      <c r="AN156" s="94">
        <v>4633</v>
      </c>
      <c r="AO156" s="94">
        <v>60</v>
      </c>
      <c r="AP156" s="95">
        <v>4.9883745508349202</v>
      </c>
      <c r="AQ156" s="95">
        <v>2.4946236559139798</v>
      </c>
      <c r="AR156" s="95">
        <v>7.3981712385702396</v>
      </c>
      <c r="AS156" s="95">
        <v>8.6538461538461497</v>
      </c>
      <c r="AT156" s="95">
        <v>6.2761506276150598</v>
      </c>
      <c r="AU156" s="95">
        <v>4.40844009042954</v>
      </c>
      <c r="AV156" s="95">
        <v>3.8575667655786301</v>
      </c>
      <c r="AW156" s="95">
        <v>4.7341587764020403</v>
      </c>
      <c r="AX156" s="95">
        <v>7.0567986230636803</v>
      </c>
      <c r="AY156" s="95">
        <v>0</v>
      </c>
      <c r="AZ156" s="95">
        <v>4.9574468085106398</v>
      </c>
      <c r="BA156" s="95">
        <v>12.5</v>
      </c>
      <c r="BB156" s="95">
        <v>6.6666666666666696</v>
      </c>
      <c r="BC156" s="95">
        <v>3.6789297658862901</v>
      </c>
      <c r="BD156" s="95">
        <v>5.0514285714285698</v>
      </c>
      <c r="BE156" s="95">
        <v>7.0175438596491198</v>
      </c>
    </row>
    <row r="157" spans="2:57" ht="15" customHeight="1" x14ac:dyDescent="0.25">
      <c r="B157" s="91">
        <v>147</v>
      </c>
      <c r="C157" s="92" t="s">
        <v>503</v>
      </c>
      <c r="D157" s="92" t="s">
        <v>43</v>
      </c>
      <c r="E157" s="92" t="s">
        <v>350</v>
      </c>
      <c r="F157" s="92"/>
      <c r="G157" s="93" t="s">
        <v>502</v>
      </c>
      <c r="H157" s="94">
        <v>42007</v>
      </c>
      <c r="I157" s="94">
        <v>21718</v>
      </c>
      <c r="J157" s="94">
        <v>20289</v>
      </c>
      <c r="K157" s="94">
        <v>2014</v>
      </c>
      <c r="L157" s="94">
        <v>7945</v>
      </c>
      <c r="M157" s="94">
        <v>21102</v>
      </c>
      <c r="N157" s="94">
        <v>10946</v>
      </c>
      <c r="O157" s="94">
        <v>41991</v>
      </c>
      <c r="P157" s="94">
        <v>16</v>
      </c>
      <c r="Q157" s="95">
        <v>0.29640330776128299</v>
      </c>
      <c r="R157" s="95">
        <v>0.40677966101694901</v>
      </c>
      <c r="S157" s="95">
        <v>0.17950559031695601</v>
      </c>
      <c r="T157" s="95">
        <v>0.28344671201814098</v>
      </c>
      <c r="U157" s="95">
        <v>0.456192137394338</v>
      </c>
      <c r="V157" s="95">
        <v>0.32448377581120902</v>
      </c>
      <c r="W157" s="95">
        <v>0.13218770654329101</v>
      </c>
      <c r="X157" s="95">
        <v>0.29649931481250802</v>
      </c>
      <c r="Y157" s="95">
        <v>0</v>
      </c>
      <c r="Z157" s="94">
        <v>53179</v>
      </c>
      <c r="AA157" s="94">
        <v>27029</v>
      </c>
      <c r="AB157" s="94">
        <v>26150</v>
      </c>
      <c r="AC157" s="94">
        <v>2435</v>
      </c>
      <c r="AD157" s="94">
        <v>9578</v>
      </c>
      <c r="AE157" s="94">
        <v>26821</v>
      </c>
      <c r="AF157" s="94">
        <v>14345</v>
      </c>
      <c r="AG157" s="94">
        <v>49624</v>
      </c>
      <c r="AH157" s="94">
        <v>3222</v>
      </c>
      <c r="AI157" s="94">
        <v>333</v>
      </c>
      <c r="AJ157" s="94">
        <v>52910</v>
      </c>
      <c r="AK157" s="94">
        <v>96</v>
      </c>
      <c r="AL157" s="94">
        <v>173</v>
      </c>
      <c r="AM157" s="94">
        <v>4329</v>
      </c>
      <c r="AN157" s="94">
        <v>48207</v>
      </c>
      <c r="AO157" s="94">
        <v>643</v>
      </c>
      <c r="AP157" s="95">
        <v>1.3396698740514701</v>
      </c>
      <c r="AQ157" s="95">
        <v>0.78112975219332004</v>
      </c>
      <c r="AR157" s="95">
        <v>1.91695832007636</v>
      </c>
      <c r="AS157" s="95">
        <v>1.22914837576822</v>
      </c>
      <c r="AT157" s="95">
        <v>2.1954986760812001</v>
      </c>
      <c r="AU157" s="95">
        <v>1.4376501588777799</v>
      </c>
      <c r="AV157" s="95">
        <v>0.62213958810068604</v>
      </c>
      <c r="AW157" s="95">
        <v>1.3207191744981901</v>
      </c>
      <c r="AX157" s="95">
        <v>1.5116661189615499</v>
      </c>
      <c r="AY157" s="95">
        <v>2.5641025641025599</v>
      </c>
      <c r="AZ157" s="95">
        <v>1.33068637471499</v>
      </c>
      <c r="BA157" s="95">
        <v>5.4945054945054901</v>
      </c>
      <c r="BB157" s="95">
        <v>1.8181818181818199</v>
      </c>
      <c r="BC157" s="95">
        <v>0.97248576850094903</v>
      </c>
      <c r="BD157" s="95">
        <v>1.37791024145825</v>
      </c>
      <c r="BE157" s="95">
        <v>0.97719869706840401</v>
      </c>
    </row>
    <row r="158" spans="2:57" ht="15" customHeight="1" x14ac:dyDescent="0.25">
      <c r="B158" s="96">
        <v>148</v>
      </c>
      <c r="C158" s="97" t="s">
        <v>504</v>
      </c>
      <c r="D158" s="104" t="s">
        <v>43</v>
      </c>
      <c r="E158" s="104" t="s">
        <v>350</v>
      </c>
      <c r="F158" s="104" t="s">
        <v>181</v>
      </c>
      <c r="G158" s="105" t="s">
        <v>181</v>
      </c>
      <c r="H158" s="106">
        <v>24232</v>
      </c>
      <c r="I158" s="106">
        <v>12475</v>
      </c>
      <c r="J158" s="106">
        <v>11757</v>
      </c>
      <c r="K158" s="106">
        <v>1337</v>
      </c>
      <c r="L158" s="106">
        <v>5377</v>
      </c>
      <c r="M158" s="106">
        <v>12374</v>
      </c>
      <c r="N158" s="106">
        <v>5144</v>
      </c>
      <c r="O158" s="106">
        <v>24212</v>
      </c>
      <c r="P158" s="106">
        <v>20</v>
      </c>
      <c r="Q158" s="107">
        <v>0.40697926137593599</v>
      </c>
      <c r="R158" s="107">
        <v>0.51372747178709799</v>
      </c>
      <c r="S158" s="107">
        <v>0.29403902699812901</v>
      </c>
      <c r="T158" s="107">
        <v>1.1314186248912099</v>
      </c>
      <c r="U158" s="107">
        <v>0.69568674219837001</v>
      </c>
      <c r="V158" s="107">
        <v>0.284566454636759</v>
      </c>
      <c r="W158" s="107">
        <v>0.24149728315556501</v>
      </c>
      <c r="X158" s="107">
        <v>0.40727902946273797</v>
      </c>
      <c r="Y158" s="107">
        <v>0</v>
      </c>
      <c r="Z158" s="106">
        <v>29103</v>
      </c>
      <c r="AA158" s="106">
        <v>14643</v>
      </c>
      <c r="AB158" s="106">
        <v>14460</v>
      </c>
      <c r="AC158" s="106">
        <v>1470</v>
      </c>
      <c r="AD158" s="106">
        <v>5932</v>
      </c>
      <c r="AE158" s="106">
        <v>14868</v>
      </c>
      <c r="AF158" s="106">
        <v>6833</v>
      </c>
      <c r="AG158" s="106">
        <v>27093</v>
      </c>
      <c r="AH158" s="106">
        <v>1788</v>
      </c>
      <c r="AI158" s="106">
        <v>222</v>
      </c>
      <c r="AJ158" s="106">
        <v>28980</v>
      </c>
      <c r="AK158" s="106">
        <v>39</v>
      </c>
      <c r="AL158" s="106">
        <v>84</v>
      </c>
      <c r="AM158" s="106">
        <v>2142</v>
      </c>
      <c r="AN158" s="106">
        <v>26606</v>
      </c>
      <c r="AO158" s="106">
        <v>355</v>
      </c>
      <c r="AP158" s="107">
        <v>1.65333523782317</v>
      </c>
      <c r="AQ158" s="107">
        <v>0.88854137048620996</v>
      </c>
      <c r="AR158" s="107">
        <v>2.42537313432836</v>
      </c>
      <c r="AS158" s="107">
        <v>1.7024426350851201</v>
      </c>
      <c r="AT158" s="107">
        <v>2.7385000894934701</v>
      </c>
      <c r="AU158" s="107">
        <v>1.6624930439621599</v>
      </c>
      <c r="AV158" s="107">
        <v>0.71748878923766801</v>
      </c>
      <c r="AW158" s="107">
        <v>1.58104279917311</v>
      </c>
      <c r="AX158" s="107">
        <v>2.93062200956938</v>
      </c>
      <c r="AY158" s="107">
        <v>0.476190476190476</v>
      </c>
      <c r="AZ158" s="107">
        <v>1.6425190073160201</v>
      </c>
      <c r="BA158" s="107">
        <v>10.8108108108108</v>
      </c>
      <c r="BB158" s="107">
        <v>1.2048192771084301</v>
      </c>
      <c r="BC158" s="107">
        <v>1.14942528735632</v>
      </c>
      <c r="BD158" s="107">
        <v>1.6892156096035</v>
      </c>
      <c r="BE158" s="107">
        <v>2.0467836257309902</v>
      </c>
    </row>
    <row r="159" spans="2:57" ht="15" customHeight="1" x14ac:dyDescent="0.25">
      <c r="B159" s="91">
        <v>149</v>
      </c>
      <c r="C159" s="92" t="s">
        <v>504</v>
      </c>
      <c r="D159" s="92" t="s">
        <v>43</v>
      </c>
      <c r="E159" s="92" t="s">
        <v>350</v>
      </c>
      <c r="F159" s="92" t="s">
        <v>181</v>
      </c>
      <c r="G159" s="101" t="s">
        <v>501</v>
      </c>
      <c r="H159" s="94">
        <v>4306</v>
      </c>
      <c r="I159" s="94">
        <v>2227</v>
      </c>
      <c r="J159" s="94">
        <v>2079</v>
      </c>
      <c r="K159" s="94">
        <v>295</v>
      </c>
      <c r="L159" s="94">
        <v>1153</v>
      </c>
      <c r="M159" s="94">
        <v>2249</v>
      </c>
      <c r="N159" s="94">
        <v>609</v>
      </c>
      <c r="O159" s="94">
        <v>4293</v>
      </c>
      <c r="P159" s="94">
        <v>13</v>
      </c>
      <c r="Q159" s="95">
        <v>1.5724815724815699</v>
      </c>
      <c r="R159" s="95">
        <v>1.79669030732861</v>
      </c>
      <c r="S159" s="95">
        <v>1.3299232736572899</v>
      </c>
      <c r="T159" s="95">
        <v>3.83141762452107</v>
      </c>
      <c r="U159" s="95">
        <v>2.1677662582469401</v>
      </c>
      <c r="V159" s="95">
        <v>0.87396504139834397</v>
      </c>
      <c r="W159" s="95">
        <v>2.0905923344947701</v>
      </c>
      <c r="X159" s="95">
        <v>1.5771315919172</v>
      </c>
      <c r="Y159" s="95">
        <v>0</v>
      </c>
      <c r="Z159" s="94">
        <v>5009</v>
      </c>
      <c r="AA159" s="94">
        <v>2496</v>
      </c>
      <c r="AB159" s="94">
        <v>2513</v>
      </c>
      <c r="AC159" s="94">
        <v>229</v>
      </c>
      <c r="AD159" s="94">
        <v>1320</v>
      </c>
      <c r="AE159" s="94">
        <v>2760</v>
      </c>
      <c r="AF159" s="94">
        <v>700</v>
      </c>
      <c r="AG159" s="94">
        <v>4328</v>
      </c>
      <c r="AH159" s="94">
        <v>648</v>
      </c>
      <c r="AI159" s="94">
        <v>33</v>
      </c>
      <c r="AJ159" s="94">
        <v>4977</v>
      </c>
      <c r="AK159" s="94">
        <v>17</v>
      </c>
      <c r="AL159" s="94">
        <v>15</v>
      </c>
      <c r="AM159" s="94">
        <v>316</v>
      </c>
      <c r="AN159" s="94">
        <v>4633</v>
      </c>
      <c r="AO159" s="94">
        <v>60</v>
      </c>
      <c r="AP159" s="95">
        <v>4.9883745508349202</v>
      </c>
      <c r="AQ159" s="95">
        <v>2.4946236559139798</v>
      </c>
      <c r="AR159" s="95">
        <v>7.3981712385702396</v>
      </c>
      <c r="AS159" s="95">
        <v>8.6538461538461497</v>
      </c>
      <c r="AT159" s="95">
        <v>6.2761506276150598</v>
      </c>
      <c r="AU159" s="95">
        <v>4.40844009042954</v>
      </c>
      <c r="AV159" s="95">
        <v>3.8575667655786301</v>
      </c>
      <c r="AW159" s="95">
        <v>4.7341587764020403</v>
      </c>
      <c r="AX159" s="95">
        <v>7.0567986230636803</v>
      </c>
      <c r="AY159" s="95">
        <v>0</v>
      </c>
      <c r="AZ159" s="95">
        <v>4.9574468085106398</v>
      </c>
      <c r="BA159" s="95">
        <v>12.5</v>
      </c>
      <c r="BB159" s="95">
        <v>6.6666666666666696</v>
      </c>
      <c r="BC159" s="95">
        <v>3.6789297658862901</v>
      </c>
      <c r="BD159" s="95">
        <v>5.0514285714285698</v>
      </c>
      <c r="BE159" s="95">
        <v>7.0175438596491198</v>
      </c>
    </row>
    <row r="160" spans="2:57" ht="15" customHeight="1" x14ac:dyDescent="0.25">
      <c r="B160" s="91">
        <v>150</v>
      </c>
      <c r="C160" s="92" t="s">
        <v>504</v>
      </c>
      <c r="D160" s="92" t="s">
        <v>43</v>
      </c>
      <c r="E160" s="92" t="s">
        <v>350</v>
      </c>
      <c r="F160" s="92" t="s">
        <v>181</v>
      </c>
      <c r="G160" s="101" t="s">
        <v>502</v>
      </c>
      <c r="H160" s="94">
        <v>19926</v>
      </c>
      <c r="I160" s="94">
        <v>10248</v>
      </c>
      <c r="J160" s="94">
        <v>9678</v>
      </c>
      <c r="K160" s="94">
        <v>1042</v>
      </c>
      <c r="L160" s="94">
        <v>4224</v>
      </c>
      <c r="M160" s="94">
        <v>10125</v>
      </c>
      <c r="N160" s="94">
        <v>4535</v>
      </c>
      <c r="O160" s="94">
        <v>19919</v>
      </c>
      <c r="P160" s="94">
        <v>7</v>
      </c>
      <c r="Q160" s="95">
        <v>0.15767067850948699</v>
      </c>
      <c r="R160" s="95">
        <v>0.23567988523414299</v>
      </c>
      <c r="S160" s="95">
        <v>7.5528700906344406E-2</v>
      </c>
      <c r="T160" s="95">
        <v>0.337837837837838</v>
      </c>
      <c r="U160" s="95">
        <v>0.30226700251889199</v>
      </c>
      <c r="V160" s="95">
        <v>0.15346838551258399</v>
      </c>
      <c r="W160" s="95">
        <v>0</v>
      </c>
      <c r="X160" s="95">
        <v>0.15771212280517299</v>
      </c>
      <c r="Y160" s="95">
        <v>0</v>
      </c>
      <c r="Z160" s="94">
        <v>24094</v>
      </c>
      <c r="AA160" s="94">
        <v>12147</v>
      </c>
      <c r="AB160" s="94">
        <v>11947</v>
      </c>
      <c r="AC160" s="94">
        <v>1241</v>
      </c>
      <c r="AD160" s="94">
        <v>4612</v>
      </c>
      <c r="AE160" s="94">
        <v>12108</v>
      </c>
      <c r="AF160" s="94">
        <v>6133</v>
      </c>
      <c r="AG160" s="94">
        <v>22765</v>
      </c>
      <c r="AH160" s="94">
        <v>1140</v>
      </c>
      <c r="AI160" s="94">
        <v>189</v>
      </c>
      <c r="AJ160" s="94">
        <v>24003</v>
      </c>
      <c r="AK160" s="94">
        <v>22</v>
      </c>
      <c r="AL160" s="94">
        <v>69</v>
      </c>
      <c r="AM160" s="94">
        <v>1826</v>
      </c>
      <c r="AN160" s="94">
        <v>21973</v>
      </c>
      <c r="AO160" s="94">
        <v>295</v>
      </c>
      <c r="AP160" s="95">
        <v>0.97537919477506096</v>
      </c>
      <c r="AQ160" s="95">
        <v>0.57055266967555096</v>
      </c>
      <c r="AR160" s="95">
        <v>1.3876843018213401</v>
      </c>
      <c r="AS160" s="95">
        <v>0.43744531933508302</v>
      </c>
      <c r="AT160" s="95">
        <v>1.7759562841530101</v>
      </c>
      <c r="AU160" s="95">
        <v>1.0407780242279501</v>
      </c>
      <c r="AV160" s="95">
        <v>0.36569148936170198</v>
      </c>
      <c r="AW160" s="95">
        <v>0.99077398536563199</v>
      </c>
      <c r="AX160" s="95">
        <v>0.73327222731439001</v>
      </c>
      <c r="AY160" s="95">
        <v>0.55865921787709505</v>
      </c>
      <c r="AZ160" s="95">
        <v>0.97049689440993803</v>
      </c>
      <c r="BA160" s="95">
        <v>9.5238095238095202</v>
      </c>
      <c r="BB160" s="95">
        <v>0</v>
      </c>
      <c r="BC160" s="95">
        <v>0.72666294019004996</v>
      </c>
      <c r="BD160" s="95">
        <v>0.99532996839473598</v>
      </c>
      <c r="BE160" s="95">
        <v>1.0526315789473699</v>
      </c>
    </row>
    <row r="161" spans="2:57" ht="15" customHeight="1" x14ac:dyDescent="0.25">
      <c r="B161" s="96">
        <v>151</v>
      </c>
      <c r="C161" s="97" t="s">
        <v>504</v>
      </c>
      <c r="D161" s="104" t="s">
        <v>43</v>
      </c>
      <c r="E161" s="104" t="s">
        <v>350</v>
      </c>
      <c r="F161" s="104" t="s">
        <v>458</v>
      </c>
      <c r="G161" s="105" t="s">
        <v>458</v>
      </c>
      <c r="H161" s="106">
        <v>7822</v>
      </c>
      <c r="I161" s="106">
        <v>3970</v>
      </c>
      <c r="J161" s="106">
        <v>3852</v>
      </c>
      <c r="K161" s="106">
        <v>465</v>
      </c>
      <c r="L161" s="106">
        <v>1421</v>
      </c>
      <c r="M161" s="106">
        <v>3860</v>
      </c>
      <c r="N161" s="106">
        <v>2076</v>
      </c>
      <c r="O161" s="106">
        <v>7821</v>
      </c>
      <c r="P161" s="106">
        <v>1</v>
      </c>
      <c r="Q161" s="107">
        <v>0.15864621893178199</v>
      </c>
      <c r="R161" s="107">
        <v>0.13078733978550899</v>
      </c>
      <c r="S161" s="107">
        <v>0.18711574445335499</v>
      </c>
      <c r="T161" s="107">
        <v>0</v>
      </c>
      <c r="U161" s="107">
        <v>0.14738393515106901</v>
      </c>
      <c r="V161" s="107">
        <v>0.212709385801649</v>
      </c>
      <c r="W161" s="107">
        <v>9.8911968348170107E-2</v>
      </c>
      <c r="X161" s="107">
        <v>0.15866719555731901</v>
      </c>
      <c r="Y161" s="107">
        <v>0</v>
      </c>
      <c r="Z161" s="106">
        <v>10515</v>
      </c>
      <c r="AA161" s="106">
        <v>5476</v>
      </c>
      <c r="AB161" s="106">
        <v>5039</v>
      </c>
      <c r="AC161" s="106">
        <v>517</v>
      </c>
      <c r="AD161" s="106">
        <v>1896</v>
      </c>
      <c r="AE161" s="106">
        <v>5351</v>
      </c>
      <c r="AF161" s="106">
        <v>2751</v>
      </c>
      <c r="AG161" s="106">
        <v>9920</v>
      </c>
      <c r="AH161" s="106">
        <v>564</v>
      </c>
      <c r="AI161" s="106">
        <v>31</v>
      </c>
      <c r="AJ161" s="106">
        <v>10473</v>
      </c>
      <c r="AK161" s="106">
        <v>10</v>
      </c>
      <c r="AL161" s="106">
        <v>32</v>
      </c>
      <c r="AM161" s="106">
        <v>815</v>
      </c>
      <c r="AN161" s="106">
        <v>9567</v>
      </c>
      <c r="AO161" s="106">
        <v>133</v>
      </c>
      <c r="AP161" s="107">
        <v>1.16589269834997</v>
      </c>
      <c r="AQ161" s="107">
        <v>0.62440870387890302</v>
      </c>
      <c r="AR161" s="107">
        <v>1.7576509511993399</v>
      </c>
      <c r="AS161" s="107">
        <v>2.2267206477732802</v>
      </c>
      <c r="AT161" s="107">
        <v>1.5041782729805</v>
      </c>
      <c r="AU161" s="107">
        <v>1.3411078717201199</v>
      </c>
      <c r="AV161" s="107">
        <v>0.40937848902121299</v>
      </c>
      <c r="AW161" s="107">
        <v>1.1706909166927999</v>
      </c>
      <c r="AX161" s="107">
        <v>1.14068441064639</v>
      </c>
      <c r="AY161" s="107">
        <v>0</v>
      </c>
      <c r="AZ161" s="107">
        <v>1.17040269787741</v>
      </c>
      <c r="BA161" s="107">
        <v>0</v>
      </c>
      <c r="BB161" s="107">
        <v>0</v>
      </c>
      <c r="BC161" s="107">
        <v>0.379746835443038</v>
      </c>
      <c r="BD161" s="107">
        <v>1.2491853139257001</v>
      </c>
      <c r="BE161" s="107">
        <v>0</v>
      </c>
    </row>
    <row r="162" spans="2:57" ht="15" customHeight="1" x14ac:dyDescent="0.25">
      <c r="B162" s="91">
        <v>152</v>
      </c>
      <c r="C162" s="92" t="s">
        <v>504</v>
      </c>
      <c r="D162" s="92" t="s">
        <v>43</v>
      </c>
      <c r="E162" s="92" t="s">
        <v>350</v>
      </c>
      <c r="F162" s="92" t="s">
        <v>458</v>
      </c>
      <c r="G162" s="101" t="s">
        <v>501</v>
      </c>
      <c r="H162" s="94">
        <v>0</v>
      </c>
      <c r="I162" s="94">
        <v>0</v>
      </c>
      <c r="J162" s="94">
        <v>0</v>
      </c>
      <c r="K162" s="94">
        <v>0</v>
      </c>
      <c r="L162" s="94">
        <v>0</v>
      </c>
      <c r="M162" s="94">
        <v>0</v>
      </c>
      <c r="N162" s="94">
        <v>0</v>
      </c>
      <c r="O162" s="94">
        <v>0</v>
      </c>
      <c r="P162" s="94">
        <v>0</v>
      </c>
      <c r="Q162" s="95">
        <v>0</v>
      </c>
      <c r="R162" s="95">
        <v>0</v>
      </c>
      <c r="S162" s="95">
        <v>0</v>
      </c>
      <c r="T162" s="95">
        <v>0</v>
      </c>
      <c r="U162" s="95">
        <v>0</v>
      </c>
      <c r="V162" s="95">
        <v>0</v>
      </c>
      <c r="W162" s="95">
        <v>0</v>
      </c>
      <c r="X162" s="95">
        <v>0</v>
      </c>
      <c r="Y162" s="95">
        <v>0</v>
      </c>
      <c r="Z162" s="94">
        <v>0</v>
      </c>
      <c r="AA162" s="94">
        <v>0</v>
      </c>
      <c r="AB162" s="94">
        <v>0</v>
      </c>
      <c r="AC162" s="94">
        <v>0</v>
      </c>
      <c r="AD162" s="94">
        <v>0</v>
      </c>
      <c r="AE162" s="94">
        <v>0</v>
      </c>
      <c r="AF162" s="94">
        <v>0</v>
      </c>
      <c r="AG162" s="94">
        <v>0</v>
      </c>
      <c r="AH162" s="94">
        <v>0</v>
      </c>
      <c r="AI162" s="94">
        <v>0</v>
      </c>
      <c r="AJ162" s="94">
        <v>0</v>
      </c>
      <c r="AK162" s="94">
        <v>0</v>
      </c>
      <c r="AL162" s="94">
        <v>0</v>
      </c>
      <c r="AM162" s="94">
        <v>0</v>
      </c>
      <c r="AN162" s="94">
        <v>0</v>
      </c>
      <c r="AO162" s="94">
        <v>0</v>
      </c>
      <c r="AP162" s="95">
        <v>0</v>
      </c>
      <c r="AQ162" s="95">
        <v>0</v>
      </c>
      <c r="AR162" s="95">
        <v>0</v>
      </c>
      <c r="AS162" s="95">
        <v>0</v>
      </c>
      <c r="AT162" s="95">
        <v>0</v>
      </c>
      <c r="AU162" s="95">
        <v>0</v>
      </c>
      <c r="AV162" s="95">
        <v>0</v>
      </c>
      <c r="AW162" s="95">
        <v>0</v>
      </c>
      <c r="AX162" s="95">
        <v>0</v>
      </c>
      <c r="AY162" s="95">
        <v>0</v>
      </c>
      <c r="AZ162" s="95">
        <v>0</v>
      </c>
      <c r="BA162" s="95">
        <v>0</v>
      </c>
      <c r="BB162" s="95">
        <v>0</v>
      </c>
      <c r="BC162" s="95">
        <v>0</v>
      </c>
      <c r="BD162" s="95">
        <v>0</v>
      </c>
      <c r="BE162" s="95">
        <v>0</v>
      </c>
    </row>
    <row r="163" spans="2:57" ht="15" customHeight="1" x14ac:dyDescent="0.25">
      <c r="B163" s="91">
        <v>153</v>
      </c>
      <c r="C163" s="92" t="s">
        <v>504</v>
      </c>
      <c r="D163" s="92" t="s">
        <v>43</v>
      </c>
      <c r="E163" s="92" t="s">
        <v>350</v>
      </c>
      <c r="F163" s="92" t="s">
        <v>458</v>
      </c>
      <c r="G163" s="101" t="s">
        <v>502</v>
      </c>
      <c r="H163" s="94">
        <v>7822</v>
      </c>
      <c r="I163" s="94">
        <v>3970</v>
      </c>
      <c r="J163" s="94">
        <v>3852</v>
      </c>
      <c r="K163" s="94">
        <v>465</v>
      </c>
      <c r="L163" s="94">
        <v>1421</v>
      </c>
      <c r="M163" s="94">
        <v>3860</v>
      </c>
      <c r="N163" s="94">
        <v>2076</v>
      </c>
      <c r="O163" s="94">
        <v>7821</v>
      </c>
      <c r="P163" s="94">
        <v>1</v>
      </c>
      <c r="Q163" s="95">
        <v>0.15864621893178199</v>
      </c>
      <c r="R163" s="95">
        <v>0.13078733978550899</v>
      </c>
      <c r="S163" s="95">
        <v>0.18711574445335499</v>
      </c>
      <c r="T163" s="95">
        <v>0</v>
      </c>
      <c r="U163" s="95">
        <v>0.14738393515106901</v>
      </c>
      <c r="V163" s="95">
        <v>0.212709385801649</v>
      </c>
      <c r="W163" s="95">
        <v>9.8911968348170107E-2</v>
      </c>
      <c r="X163" s="95">
        <v>0.15866719555731901</v>
      </c>
      <c r="Y163" s="95">
        <v>0</v>
      </c>
      <c r="Z163" s="94">
        <v>10515</v>
      </c>
      <c r="AA163" s="94">
        <v>5476</v>
      </c>
      <c r="AB163" s="94">
        <v>5039</v>
      </c>
      <c r="AC163" s="94">
        <v>517</v>
      </c>
      <c r="AD163" s="94">
        <v>1896</v>
      </c>
      <c r="AE163" s="94">
        <v>5351</v>
      </c>
      <c r="AF163" s="94">
        <v>2751</v>
      </c>
      <c r="AG163" s="94">
        <v>9920</v>
      </c>
      <c r="AH163" s="94">
        <v>564</v>
      </c>
      <c r="AI163" s="94">
        <v>31</v>
      </c>
      <c r="AJ163" s="94">
        <v>10473</v>
      </c>
      <c r="AK163" s="94">
        <v>10</v>
      </c>
      <c r="AL163" s="94">
        <v>32</v>
      </c>
      <c r="AM163" s="94">
        <v>815</v>
      </c>
      <c r="AN163" s="94">
        <v>9567</v>
      </c>
      <c r="AO163" s="94">
        <v>133</v>
      </c>
      <c r="AP163" s="95">
        <v>1.16589269834997</v>
      </c>
      <c r="AQ163" s="95">
        <v>0.62440870387890302</v>
      </c>
      <c r="AR163" s="95">
        <v>1.7576509511993399</v>
      </c>
      <c r="AS163" s="95">
        <v>2.2267206477732802</v>
      </c>
      <c r="AT163" s="95">
        <v>1.5041782729805</v>
      </c>
      <c r="AU163" s="95">
        <v>1.3411078717201199</v>
      </c>
      <c r="AV163" s="95">
        <v>0.40937848902121299</v>
      </c>
      <c r="AW163" s="95">
        <v>1.1706909166927999</v>
      </c>
      <c r="AX163" s="95">
        <v>1.14068441064639</v>
      </c>
      <c r="AY163" s="95">
        <v>0</v>
      </c>
      <c r="AZ163" s="95">
        <v>1.17040269787741</v>
      </c>
      <c r="BA163" s="95">
        <v>0</v>
      </c>
      <c r="BB163" s="95">
        <v>0</v>
      </c>
      <c r="BC163" s="95">
        <v>0.379746835443038</v>
      </c>
      <c r="BD163" s="95">
        <v>1.2491853139257001</v>
      </c>
      <c r="BE163" s="95">
        <v>0</v>
      </c>
    </row>
    <row r="164" spans="2:57" ht="15" customHeight="1" x14ac:dyDescent="0.25">
      <c r="B164" s="96">
        <v>154</v>
      </c>
      <c r="C164" s="97" t="s">
        <v>504</v>
      </c>
      <c r="D164" s="104" t="s">
        <v>43</v>
      </c>
      <c r="E164" s="104" t="s">
        <v>350</v>
      </c>
      <c r="F164" s="104" t="s">
        <v>187</v>
      </c>
      <c r="G164" s="105" t="s">
        <v>187</v>
      </c>
      <c r="H164" s="106">
        <v>4831</v>
      </c>
      <c r="I164" s="106">
        <v>2419</v>
      </c>
      <c r="J164" s="106">
        <v>2412</v>
      </c>
      <c r="K164" s="106">
        <v>236</v>
      </c>
      <c r="L164" s="106">
        <v>850</v>
      </c>
      <c r="M164" s="106">
        <v>2264</v>
      </c>
      <c r="N164" s="106">
        <v>1481</v>
      </c>
      <c r="O164" s="106">
        <v>4828</v>
      </c>
      <c r="P164" s="106">
        <v>3</v>
      </c>
      <c r="Q164" s="107">
        <v>0.43412198827870602</v>
      </c>
      <c r="R164" s="107">
        <v>0.57243505063848499</v>
      </c>
      <c r="S164" s="107">
        <v>0.29965753424657499</v>
      </c>
      <c r="T164" s="107">
        <v>0.46948356807511699</v>
      </c>
      <c r="U164" s="107">
        <v>0.62578222778473103</v>
      </c>
      <c r="V164" s="107">
        <v>0.55299539170506895</v>
      </c>
      <c r="W164" s="107">
        <v>0.140350877192982</v>
      </c>
      <c r="X164" s="107">
        <v>0.43440486533449202</v>
      </c>
      <c r="Y164" s="107">
        <v>0</v>
      </c>
      <c r="Z164" s="106">
        <v>5542</v>
      </c>
      <c r="AA164" s="106">
        <v>2670</v>
      </c>
      <c r="AB164" s="106">
        <v>2872</v>
      </c>
      <c r="AC164" s="106">
        <v>226</v>
      </c>
      <c r="AD164" s="106">
        <v>847</v>
      </c>
      <c r="AE164" s="106">
        <v>2707</v>
      </c>
      <c r="AF164" s="106">
        <v>1762</v>
      </c>
      <c r="AG164" s="106">
        <v>5074</v>
      </c>
      <c r="AH164" s="106">
        <v>427</v>
      </c>
      <c r="AI164" s="106">
        <v>41</v>
      </c>
      <c r="AJ164" s="106">
        <v>5504</v>
      </c>
      <c r="AK164" s="106">
        <v>17</v>
      </c>
      <c r="AL164" s="106">
        <v>21</v>
      </c>
      <c r="AM164" s="106">
        <v>618</v>
      </c>
      <c r="AN164" s="106">
        <v>4842</v>
      </c>
      <c r="AO164" s="106">
        <v>82</v>
      </c>
      <c r="AP164" s="107">
        <v>1.68697282099344</v>
      </c>
      <c r="AQ164" s="107">
        <v>0.70422535211267601</v>
      </c>
      <c r="AR164" s="107">
        <v>2.5908600215905002</v>
      </c>
      <c r="AS164" s="107">
        <v>0.91743119266055095</v>
      </c>
      <c r="AT164" s="107">
        <v>3.26223337515684</v>
      </c>
      <c r="AU164" s="107">
        <v>1.72413793103448</v>
      </c>
      <c r="AV164" s="107">
        <v>0.99415204678362601</v>
      </c>
      <c r="AW164" s="107">
        <v>1.67483660130719</v>
      </c>
      <c r="AX164" s="107">
        <v>0.74626865671641796</v>
      </c>
      <c r="AY164" s="107">
        <v>13.5135135135135</v>
      </c>
      <c r="AZ164" s="107">
        <v>1.6606906963578001</v>
      </c>
      <c r="BA164" s="107">
        <v>6.25</v>
      </c>
      <c r="BB164" s="107">
        <v>5</v>
      </c>
      <c r="BC164" s="107">
        <v>1.9736842105263199</v>
      </c>
      <c r="BD164" s="107">
        <v>1.63440860215054</v>
      </c>
      <c r="BE164" s="107">
        <v>2.5974025974026</v>
      </c>
    </row>
    <row r="165" spans="2:57" ht="15" customHeight="1" x14ac:dyDescent="0.25">
      <c r="B165" s="91">
        <v>155</v>
      </c>
      <c r="C165" s="92" t="s">
        <v>504</v>
      </c>
      <c r="D165" s="92" t="s">
        <v>43</v>
      </c>
      <c r="E165" s="92" t="s">
        <v>350</v>
      </c>
      <c r="F165" s="92" t="s">
        <v>187</v>
      </c>
      <c r="G165" s="101" t="s">
        <v>501</v>
      </c>
      <c r="H165" s="94">
        <v>0</v>
      </c>
      <c r="I165" s="94">
        <v>0</v>
      </c>
      <c r="J165" s="94">
        <v>0</v>
      </c>
      <c r="K165" s="94">
        <v>0</v>
      </c>
      <c r="L165" s="94">
        <v>0</v>
      </c>
      <c r="M165" s="94">
        <v>0</v>
      </c>
      <c r="N165" s="94">
        <v>0</v>
      </c>
      <c r="O165" s="94">
        <v>0</v>
      </c>
      <c r="P165" s="94">
        <v>0</v>
      </c>
      <c r="Q165" s="95">
        <v>0</v>
      </c>
      <c r="R165" s="95">
        <v>0</v>
      </c>
      <c r="S165" s="95">
        <v>0</v>
      </c>
      <c r="T165" s="95">
        <v>0</v>
      </c>
      <c r="U165" s="95">
        <v>0</v>
      </c>
      <c r="V165" s="95">
        <v>0</v>
      </c>
      <c r="W165" s="95">
        <v>0</v>
      </c>
      <c r="X165" s="95">
        <v>0</v>
      </c>
      <c r="Y165" s="95">
        <v>0</v>
      </c>
      <c r="Z165" s="94">
        <v>0</v>
      </c>
      <c r="AA165" s="94">
        <v>0</v>
      </c>
      <c r="AB165" s="94">
        <v>0</v>
      </c>
      <c r="AC165" s="94">
        <v>0</v>
      </c>
      <c r="AD165" s="94">
        <v>0</v>
      </c>
      <c r="AE165" s="94">
        <v>0</v>
      </c>
      <c r="AF165" s="94">
        <v>0</v>
      </c>
      <c r="AG165" s="94">
        <v>0</v>
      </c>
      <c r="AH165" s="94">
        <v>0</v>
      </c>
      <c r="AI165" s="94">
        <v>0</v>
      </c>
      <c r="AJ165" s="94">
        <v>0</v>
      </c>
      <c r="AK165" s="94">
        <v>0</v>
      </c>
      <c r="AL165" s="94">
        <v>0</v>
      </c>
      <c r="AM165" s="94">
        <v>0</v>
      </c>
      <c r="AN165" s="94">
        <v>0</v>
      </c>
      <c r="AO165" s="94">
        <v>0</v>
      </c>
      <c r="AP165" s="95">
        <v>0</v>
      </c>
      <c r="AQ165" s="95">
        <v>0</v>
      </c>
      <c r="AR165" s="95">
        <v>0</v>
      </c>
      <c r="AS165" s="95">
        <v>0</v>
      </c>
      <c r="AT165" s="95">
        <v>0</v>
      </c>
      <c r="AU165" s="95">
        <v>0</v>
      </c>
      <c r="AV165" s="95">
        <v>0</v>
      </c>
      <c r="AW165" s="95">
        <v>0</v>
      </c>
      <c r="AX165" s="95">
        <v>0</v>
      </c>
      <c r="AY165" s="95">
        <v>0</v>
      </c>
      <c r="AZ165" s="95">
        <v>0</v>
      </c>
      <c r="BA165" s="95">
        <v>0</v>
      </c>
      <c r="BB165" s="95">
        <v>0</v>
      </c>
      <c r="BC165" s="95">
        <v>0</v>
      </c>
      <c r="BD165" s="95">
        <v>0</v>
      </c>
      <c r="BE165" s="95">
        <v>0</v>
      </c>
    </row>
    <row r="166" spans="2:57" ht="15" customHeight="1" x14ac:dyDescent="0.25">
      <c r="B166" s="91">
        <v>156</v>
      </c>
      <c r="C166" s="92" t="s">
        <v>504</v>
      </c>
      <c r="D166" s="92" t="s">
        <v>43</v>
      </c>
      <c r="E166" s="92" t="s">
        <v>350</v>
      </c>
      <c r="F166" s="92" t="s">
        <v>187</v>
      </c>
      <c r="G166" s="101" t="s">
        <v>502</v>
      </c>
      <c r="H166" s="94">
        <v>4831</v>
      </c>
      <c r="I166" s="94">
        <v>2419</v>
      </c>
      <c r="J166" s="94">
        <v>2412</v>
      </c>
      <c r="K166" s="94">
        <v>236</v>
      </c>
      <c r="L166" s="94">
        <v>850</v>
      </c>
      <c r="M166" s="94">
        <v>2264</v>
      </c>
      <c r="N166" s="94">
        <v>1481</v>
      </c>
      <c r="O166" s="94">
        <v>4828</v>
      </c>
      <c r="P166" s="94">
        <v>3</v>
      </c>
      <c r="Q166" s="95">
        <v>0.43412198827870602</v>
      </c>
      <c r="R166" s="95">
        <v>0.57243505063848499</v>
      </c>
      <c r="S166" s="95">
        <v>0.29965753424657499</v>
      </c>
      <c r="T166" s="95">
        <v>0.46948356807511699</v>
      </c>
      <c r="U166" s="95">
        <v>0.62578222778473103</v>
      </c>
      <c r="V166" s="95">
        <v>0.55299539170506895</v>
      </c>
      <c r="W166" s="95">
        <v>0.140350877192982</v>
      </c>
      <c r="X166" s="95">
        <v>0.43440486533449202</v>
      </c>
      <c r="Y166" s="95">
        <v>0</v>
      </c>
      <c r="Z166" s="94">
        <v>5542</v>
      </c>
      <c r="AA166" s="94">
        <v>2670</v>
      </c>
      <c r="AB166" s="94">
        <v>2872</v>
      </c>
      <c r="AC166" s="94">
        <v>226</v>
      </c>
      <c r="AD166" s="94">
        <v>847</v>
      </c>
      <c r="AE166" s="94">
        <v>2707</v>
      </c>
      <c r="AF166" s="94">
        <v>1762</v>
      </c>
      <c r="AG166" s="94">
        <v>5074</v>
      </c>
      <c r="AH166" s="94">
        <v>427</v>
      </c>
      <c r="AI166" s="94">
        <v>41</v>
      </c>
      <c r="AJ166" s="94">
        <v>5504</v>
      </c>
      <c r="AK166" s="94">
        <v>17</v>
      </c>
      <c r="AL166" s="94">
        <v>21</v>
      </c>
      <c r="AM166" s="94">
        <v>618</v>
      </c>
      <c r="AN166" s="94">
        <v>4842</v>
      </c>
      <c r="AO166" s="94">
        <v>82</v>
      </c>
      <c r="AP166" s="95">
        <v>1.68697282099344</v>
      </c>
      <c r="AQ166" s="95">
        <v>0.70422535211267601</v>
      </c>
      <c r="AR166" s="95">
        <v>2.5908600215905002</v>
      </c>
      <c r="AS166" s="95">
        <v>0.91743119266055095</v>
      </c>
      <c r="AT166" s="95">
        <v>3.26223337515684</v>
      </c>
      <c r="AU166" s="95">
        <v>1.72413793103448</v>
      </c>
      <c r="AV166" s="95">
        <v>0.99415204678362601</v>
      </c>
      <c r="AW166" s="95">
        <v>1.67483660130719</v>
      </c>
      <c r="AX166" s="95">
        <v>0.74626865671641796</v>
      </c>
      <c r="AY166" s="95">
        <v>13.5135135135135</v>
      </c>
      <c r="AZ166" s="95">
        <v>1.6606906963578001</v>
      </c>
      <c r="BA166" s="95">
        <v>6.25</v>
      </c>
      <c r="BB166" s="95">
        <v>5</v>
      </c>
      <c r="BC166" s="95">
        <v>1.9736842105263199</v>
      </c>
      <c r="BD166" s="95">
        <v>1.63440860215054</v>
      </c>
      <c r="BE166" s="95">
        <v>2.5974025974026</v>
      </c>
    </row>
    <row r="167" spans="2:57" ht="15" customHeight="1" x14ac:dyDescent="0.25">
      <c r="B167" s="96">
        <v>157</v>
      </c>
      <c r="C167" s="97" t="s">
        <v>504</v>
      </c>
      <c r="D167" s="104" t="s">
        <v>43</v>
      </c>
      <c r="E167" s="104" t="s">
        <v>350</v>
      </c>
      <c r="F167" s="104" t="s">
        <v>189</v>
      </c>
      <c r="G167" s="105" t="s">
        <v>189</v>
      </c>
      <c r="H167" s="106">
        <v>4818</v>
      </c>
      <c r="I167" s="106">
        <v>2606</v>
      </c>
      <c r="J167" s="106">
        <v>2212</v>
      </c>
      <c r="K167" s="106">
        <v>171</v>
      </c>
      <c r="L167" s="106">
        <v>721</v>
      </c>
      <c r="M167" s="106">
        <v>2322</v>
      </c>
      <c r="N167" s="106">
        <v>1604</v>
      </c>
      <c r="O167" s="106">
        <v>4816</v>
      </c>
      <c r="P167" s="106">
        <v>2</v>
      </c>
      <c r="Q167" s="107">
        <v>0.152240104393214</v>
      </c>
      <c r="R167" s="107">
        <v>0.20120724346076499</v>
      </c>
      <c r="S167" s="107">
        <v>9.4652153336488395E-2</v>
      </c>
      <c r="T167" s="107">
        <v>0.64516129032258096</v>
      </c>
      <c r="U167" s="107">
        <v>0.30165912518853699</v>
      </c>
      <c r="V167" s="107">
        <v>8.9766606822262104E-2</v>
      </c>
      <c r="W167" s="107">
        <v>0.12886597938144301</v>
      </c>
      <c r="X167" s="107">
        <v>0.15230635335074</v>
      </c>
      <c r="Y167" s="107">
        <v>0</v>
      </c>
      <c r="Z167" s="106">
        <v>5800</v>
      </c>
      <c r="AA167" s="106">
        <v>2976</v>
      </c>
      <c r="AB167" s="106">
        <v>2824</v>
      </c>
      <c r="AC167" s="106">
        <v>236</v>
      </c>
      <c r="AD167" s="106">
        <v>866</v>
      </c>
      <c r="AE167" s="106">
        <v>2764</v>
      </c>
      <c r="AF167" s="106">
        <v>1934</v>
      </c>
      <c r="AG167" s="106">
        <v>5520</v>
      </c>
      <c r="AH167" s="106">
        <v>249</v>
      </c>
      <c r="AI167" s="106">
        <v>31</v>
      </c>
      <c r="AJ167" s="106">
        <v>5750</v>
      </c>
      <c r="AK167" s="106">
        <v>17</v>
      </c>
      <c r="AL167" s="106">
        <v>33</v>
      </c>
      <c r="AM167" s="106">
        <v>544</v>
      </c>
      <c r="AN167" s="106">
        <v>5188</v>
      </c>
      <c r="AO167" s="106">
        <v>68</v>
      </c>
      <c r="AP167" s="107">
        <v>1.16948542641238</v>
      </c>
      <c r="AQ167" s="107">
        <v>0.59732958538299397</v>
      </c>
      <c r="AR167" s="107">
        <v>1.76991150442478</v>
      </c>
      <c r="AS167" s="107">
        <v>0.88888888888888895</v>
      </c>
      <c r="AT167" s="107">
        <v>1.8404907975460101</v>
      </c>
      <c r="AU167" s="107">
        <v>1.36312003029156</v>
      </c>
      <c r="AV167" s="107">
        <v>0.63931806073521602</v>
      </c>
      <c r="AW167" s="107">
        <v>1.1337868480725599</v>
      </c>
      <c r="AX167" s="107">
        <v>2.1097046413502101</v>
      </c>
      <c r="AY167" s="107">
        <v>0</v>
      </c>
      <c r="AZ167" s="107">
        <v>1.12502268190891</v>
      </c>
      <c r="BA167" s="107">
        <v>13.3333333333333</v>
      </c>
      <c r="BB167" s="107">
        <v>3.125</v>
      </c>
      <c r="BC167" s="107">
        <v>0.76045627376425895</v>
      </c>
      <c r="BD167" s="107">
        <v>1.2079726192872999</v>
      </c>
      <c r="BE167" s="107">
        <v>1.5384615384615401</v>
      </c>
    </row>
    <row r="168" spans="2:57" ht="15" customHeight="1" x14ac:dyDescent="0.25">
      <c r="B168" s="91">
        <v>158</v>
      </c>
      <c r="C168" s="92" t="s">
        <v>504</v>
      </c>
      <c r="D168" s="92" t="s">
        <v>43</v>
      </c>
      <c r="E168" s="92" t="s">
        <v>350</v>
      </c>
      <c r="F168" s="92" t="s">
        <v>189</v>
      </c>
      <c r="G168" s="101" t="s">
        <v>501</v>
      </c>
      <c r="H168" s="94">
        <v>0</v>
      </c>
      <c r="I168" s="94">
        <v>0</v>
      </c>
      <c r="J168" s="94">
        <v>0</v>
      </c>
      <c r="K168" s="94">
        <v>0</v>
      </c>
      <c r="L168" s="94">
        <v>0</v>
      </c>
      <c r="M168" s="94">
        <v>0</v>
      </c>
      <c r="N168" s="94">
        <v>0</v>
      </c>
      <c r="O168" s="94">
        <v>0</v>
      </c>
      <c r="P168" s="94">
        <v>0</v>
      </c>
      <c r="Q168" s="95">
        <v>0</v>
      </c>
      <c r="R168" s="95">
        <v>0</v>
      </c>
      <c r="S168" s="95">
        <v>0</v>
      </c>
      <c r="T168" s="95">
        <v>0</v>
      </c>
      <c r="U168" s="95">
        <v>0</v>
      </c>
      <c r="V168" s="95">
        <v>0</v>
      </c>
      <c r="W168" s="95">
        <v>0</v>
      </c>
      <c r="X168" s="95">
        <v>0</v>
      </c>
      <c r="Y168" s="95">
        <v>0</v>
      </c>
      <c r="Z168" s="94">
        <v>0</v>
      </c>
      <c r="AA168" s="94">
        <v>0</v>
      </c>
      <c r="AB168" s="94">
        <v>0</v>
      </c>
      <c r="AC168" s="94">
        <v>0</v>
      </c>
      <c r="AD168" s="94">
        <v>0</v>
      </c>
      <c r="AE168" s="94">
        <v>0</v>
      </c>
      <c r="AF168" s="94">
        <v>0</v>
      </c>
      <c r="AG168" s="94">
        <v>0</v>
      </c>
      <c r="AH168" s="94">
        <v>0</v>
      </c>
      <c r="AI168" s="94">
        <v>0</v>
      </c>
      <c r="AJ168" s="94">
        <v>0</v>
      </c>
      <c r="AK168" s="94">
        <v>0</v>
      </c>
      <c r="AL168" s="94">
        <v>0</v>
      </c>
      <c r="AM168" s="94">
        <v>0</v>
      </c>
      <c r="AN168" s="94">
        <v>0</v>
      </c>
      <c r="AO168" s="94">
        <v>0</v>
      </c>
      <c r="AP168" s="95">
        <v>0</v>
      </c>
      <c r="AQ168" s="95">
        <v>0</v>
      </c>
      <c r="AR168" s="95">
        <v>0</v>
      </c>
      <c r="AS168" s="95">
        <v>0</v>
      </c>
      <c r="AT168" s="95">
        <v>0</v>
      </c>
      <c r="AU168" s="95">
        <v>0</v>
      </c>
      <c r="AV168" s="95">
        <v>0</v>
      </c>
      <c r="AW168" s="95">
        <v>0</v>
      </c>
      <c r="AX168" s="95">
        <v>0</v>
      </c>
      <c r="AY168" s="95">
        <v>0</v>
      </c>
      <c r="AZ168" s="95">
        <v>0</v>
      </c>
      <c r="BA168" s="95">
        <v>0</v>
      </c>
      <c r="BB168" s="95">
        <v>0</v>
      </c>
      <c r="BC168" s="95">
        <v>0</v>
      </c>
      <c r="BD168" s="95">
        <v>0</v>
      </c>
      <c r="BE168" s="95">
        <v>0</v>
      </c>
    </row>
    <row r="169" spans="2:57" ht="15" customHeight="1" x14ac:dyDescent="0.25">
      <c r="B169" s="91">
        <v>159</v>
      </c>
      <c r="C169" s="92" t="s">
        <v>504</v>
      </c>
      <c r="D169" s="92" t="s">
        <v>43</v>
      </c>
      <c r="E169" s="92" t="s">
        <v>350</v>
      </c>
      <c r="F169" s="92" t="s">
        <v>189</v>
      </c>
      <c r="G169" s="101" t="s">
        <v>502</v>
      </c>
      <c r="H169" s="94">
        <v>4818</v>
      </c>
      <c r="I169" s="94">
        <v>2606</v>
      </c>
      <c r="J169" s="94">
        <v>2212</v>
      </c>
      <c r="K169" s="94">
        <v>171</v>
      </c>
      <c r="L169" s="94">
        <v>721</v>
      </c>
      <c r="M169" s="94">
        <v>2322</v>
      </c>
      <c r="N169" s="94">
        <v>1604</v>
      </c>
      <c r="O169" s="94">
        <v>4816</v>
      </c>
      <c r="P169" s="94">
        <v>2</v>
      </c>
      <c r="Q169" s="95">
        <v>0.152240104393214</v>
      </c>
      <c r="R169" s="95">
        <v>0.20120724346076499</v>
      </c>
      <c r="S169" s="95">
        <v>9.4652153336488395E-2</v>
      </c>
      <c r="T169" s="95">
        <v>0.64516129032258096</v>
      </c>
      <c r="U169" s="95">
        <v>0.30165912518853699</v>
      </c>
      <c r="V169" s="95">
        <v>8.9766606822262104E-2</v>
      </c>
      <c r="W169" s="95">
        <v>0.12886597938144301</v>
      </c>
      <c r="X169" s="95">
        <v>0.15230635335074</v>
      </c>
      <c r="Y169" s="95">
        <v>0</v>
      </c>
      <c r="Z169" s="94">
        <v>5800</v>
      </c>
      <c r="AA169" s="94">
        <v>2976</v>
      </c>
      <c r="AB169" s="94">
        <v>2824</v>
      </c>
      <c r="AC169" s="94">
        <v>236</v>
      </c>
      <c r="AD169" s="94">
        <v>866</v>
      </c>
      <c r="AE169" s="94">
        <v>2764</v>
      </c>
      <c r="AF169" s="94">
        <v>1934</v>
      </c>
      <c r="AG169" s="94">
        <v>5520</v>
      </c>
      <c r="AH169" s="94">
        <v>249</v>
      </c>
      <c r="AI169" s="94">
        <v>31</v>
      </c>
      <c r="AJ169" s="94">
        <v>5750</v>
      </c>
      <c r="AK169" s="94">
        <v>17</v>
      </c>
      <c r="AL169" s="94">
        <v>33</v>
      </c>
      <c r="AM169" s="94">
        <v>544</v>
      </c>
      <c r="AN169" s="94">
        <v>5188</v>
      </c>
      <c r="AO169" s="94">
        <v>68</v>
      </c>
      <c r="AP169" s="95">
        <v>1.16948542641238</v>
      </c>
      <c r="AQ169" s="95">
        <v>0.59732958538299397</v>
      </c>
      <c r="AR169" s="95">
        <v>1.76991150442478</v>
      </c>
      <c r="AS169" s="95">
        <v>0.88888888888888895</v>
      </c>
      <c r="AT169" s="95">
        <v>1.8404907975460101</v>
      </c>
      <c r="AU169" s="95">
        <v>1.36312003029156</v>
      </c>
      <c r="AV169" s="95">
        <v>0.63931806073521602</v>
      </c>
      <c r="AW169" s="95">
        <v>1.1337868480725599</v>
      </c>
      <c r="AX169" s="95">
        <v>2.1097046413502101</v>
      </c>
      <c r="AY169" s="95">
        <v>0</v>
      </c>
      <c r="AZ169" s="95">
        <v>1.12502268190891</v>
      </c>
      <c r="BA169" s="95">
        <v>13.3333333333333</v>
      </c>
      <c r="BB169" s="95">
        <v>3.125</v>
      </c>
      <c r="BC169" s="95">
        <v>0.76045627376425895</v>
      </c>
      <c r="BD169" s="95">
        <v>1.2079726192872999</v>
      </c>
      <c r="BE169" s="95">
        <v>1.5384615384615401</v>
      </c>
    </row>
    <row r="170" spans="2:57" ht="15" customHeight="1" x14ac:dyDescent="0.25">
      <c r="B170" s="96">
        <v>160</v>
      </c>
      <c r="C170" s="97" t="s">
        <v>504</v>
      </c>
      <c r="D170" s="104" t="s">
        <v>43</v>
      </c>
      <c r="E170" s="104" t="s">
        <v>350</v>
      </c>
      <c r="F170" s="104" t="s">
        <v>103</v>
      </c>
      <c r="G170" s="105" t="s">
        <v>103</v>
      </c>
      <c r="H170" s="106">
        <v>1991</v>
      </c>
      <c r="I170" s="106">
        <v>1084</v>
      </c>
      <c r="J170" s="106">
        <v>907</v>
      </c>
      <c r="K170" s="106">
        <v>37</v>
      </c>
      <c r="L170" s="106">
        <v>291</v>
      </c>
      <c r="M170" s="106">
        <v>1144</v>
      </c>
      <c r="N170" s="106">
        <v>519</v>
      </c>
      <c r="O170" s="106">
        <v>1991</v>
      </c>
      <c r="P170" s="106">
        <v>0</v>
      </c>
      <c r="Q170" s="107">
        <v>1.6341591987348401</v>
      </c>
      <c r="R170" s="107">
        <v>2.52918287937743</v>
      </c>
      <c r="S170" s="107">
        <v>0.57537399309551196</v>
      </c>
      <c r="T170" s="107">
        <v>0</v>
      </c>
      <c r="U170" s="107">
        <v>2.2304832713754599</v>
      </c>
      <c r="V170" s="107">
        <v>1.6378525932666099</v>
      </c>
      <c r="W170" s="107">
        <v>1.39720558882236</v>
      </c>
      <c r="X170" s="107">
        <v>1.6341591987348401</v>
      </c>
      <c r="Y170" s="107">
        <v>0</v>
      </c>
      <c r="Z170" s="106">
        <v>2938</v>
      </c>
      <c r="AA170" s="106">
        <v>1530</v>
      </c>
      <c r="AB170" s="106">
        <v>1408</v>
      </c>
      <c r="AC170" s="106">
        <v>72</v>
      </c>
      <c r="AD170" s="106">
        <v>422</v>
      </c>
      <c r="AE170" s="106">
        <v>1648</v>
      </c>
      <c r="AF170" s="106">
        <v>796</v>
      </c>
      <c r="AG170" s="106">
        <v>2611</v>
      </c>
      <c r="AH170" s="106">
        <v>318</v>
      </c>
      <c r="AI170" s="106">
        <v>9</v>
      </c>
      <c r="AJ170" s="106">
        <v>2926</v>
      </c>
      <c r="AK170" s="106">
        <v>6</v>
      </c>
      <c r="AL170" s="106">
        <v>6</v>
      </c>
      <c r="AM170" s="106">
        <v>218</v>
      </c>
      <c r="AN170" s="106">
        <v>2694</v>
      </c>
      <c r="AO170" s="106">
        <v>26</v>
      </c>
      <c r="AP170" s="107">
        <v>2.2930849158007902</v>
      </c>
      <c r="AQ170" s="107">
        <v>2.0675396278428702</v>
      </c>
      <c r="AR170" s="107">
        <v>2.5373134328358198</v>
      </c>
      <c r="AS170" s="107">
        <v>6.25</v>
      </c>
      <c r="AT170" s="107">
        <v>2.0725388601036299</v>
      </c>
      <c r="AU170" s="107">
        <v>2.48249522597072</v>
      </c>
      <c r="AV170" s="107">
        <v>1.68831168831169</v>
      </c>
      <c r="AW170" s="107">
        <v>2.2535211267605599</v>
      </c>
      <c r="AX170" s="107">
        <v>2.6845637583892601</v>
      </c>
      <c r="AY170" s="107">
        <v>0</v>
      </c>
      <c r="AZ170" s="107">
        <v>2.30215827338129</v>
      </c>
      <c r="BA170" s="107">
        <v>0</v>
      </c>
      <c r="BB170" s="107">
        <v>0</v>
      </c>
      <c r="BC170" s="107">
        <v>1.91387559808612</v>
      </c>
      <c r="BD170" s="107">
        <v>2.3474178403755901</v>
      </c>
      <c r="BE170" s="107">
        <v>0</v>
      </c>
    </row>
    <row r="171" spans="2:57" ht="15" customHeight="1" x14ac:dyDescent="0.25">
      <c r="B171" s="91">
        <v>161</v>
      </c>
      <c r="C171" s="92" t="s">
        <v>504</v>
      </c>
      <c r="D171" s="92" t="s">
        <v>43</v>
      </c>
      <c r="E171" s="92" t="s">
        <v>350</v>
      </c>
      <c r="F171" s="92" t="s">
        <v>103</v>
      </c>
      <c r="G171" s="101" t="s">
        <v>501</v>
      </c>
      <c r="H171" s="94">
        <v>0</v>
      </c>
      <c r="I171" s="94">
        <v>0</v>
      </c>
      <c r="J171" s="94">
        <v>0</v>
      </c>
      <c r="K171" s="94">
        <v>0</v>
      </c>
      <c r="L171" s="94">
        <v>0</v>
      </c>
      <c r="M171" s="94">
        <v>0</v>
      </c>
      <c r="N171" s="94">
        <v>0</v>
      </c>
      <c r="O171" s="94">
        <v>0</v>
      </c>
      <c r="P171" s="94">
        <v>0</v>
      </c>
      <c r="Q171" s="95">
        <v>0</v>
      </c>
      <c r="R171" s="95">
        <v>0</v>
      </c>
      <c r="S171" s="95">
        <v>0</v>
      </c>
      <c r="T171" s="95">
        <v>0</v>
      </c>
      <c r="U171" s="95">
        <v>0</v>
      </c>
      <c r="V171" s="95">
        <v>0</v>
      </c>
      <c r="W171" s="95">
        <v>0</v>
      </c>
      <c r="X171" s="95">
        <v>0</v>
      </c>
      <c r="Y171" s="95">
        <v>0</v>
      </c>
      <c r="Z171" s="94">
        <v>0</v>
      </c>
      <c r="AA171" s="94">
        <v>0</v>
      </c>
      <c r="AB171" s="94">
        <v>0</v>
      </c>
      <c r="AC171" s="94">
        <v>0</v>
      </c>
      <c r="AD171" s="94">
        <v>0</v>
      </c>
      <c r="AE171" s="94">
        <v>0</v>
      </c>
      <c r="AF171" s="94">
        <v>0</v>
      </c>
      <c r="AG171" s="94">
        <v>0</v>
      </c>
      <c r="AH171" s="94">
        <v>0</v>
      </c>
      <c r="AI171" s="94">
        <v>0</v>
      </c>
      <c r="AJ171" s="94">
        <v>0</v>
      </c>
      <c r="AK171" s="94">
        <v>0</v>
      </c>
      <c r="AL171" s="94">
        <v>0</v>
      </c>
      <c r="AM171" s="94">
        <v>0</v>
      </c>
      <c r="AN171" s="94">
        <v>0</v>
      </c>
      <c r="AO171" s="94">
        <v>0</v>
      </c>
      <c r="AP171" s="95">
        <v>0</v>
      </c>
      <c r="AQ171" s="95">
        <v>0</v>
      </c>
      <c r="AR171" s="95">
        <v>0</v>
      </c>
      <c r="AS171" s="95">
        <v>0</v>
      </c>
      <c r="AT171" s="95">
        <v>0</v>
      </c>
      <c r="AU171" s="95">
        <v>0</v>
      </c>
      <c r="AV171" s="95">
        <v>0</v>
      </c>
      <c r="AW171" s="95">
        <v>0</v>
      </c>
      <c r="AX171" s="95">
        <v>0</v>
      </c>
      <c r="AY171" s="95">
        <v>0</v>
      </c>
      <c r="AZ171" s="95">
        <v>0</v>
      </c>
      <c r="BA171" s="95">
        <v>0</v>
      </c>
      <c r="BB171" s="95">
        <v>0</v>
      </c>
      <c r="BC171" s="95">
        <v>0</v>
      </c>
      <c r="BD171" s="95">
        <v>0</v>
      </c>
      <c r="BE171" s="95">
        <v>0</v>
      </c>
    </row>
    <row r="172" spans="2:57" ht="15" customHeight="1" x14ac:dyDescent="0.25">
      <c r="B172" s="91">
        <v>162</v>
      </c>
      <c r="C172" s="92" t="s">
        <v>504</v>
      </c>
      <c r="D172" s="92" t="s">
        <v>43</v>
      </c>
      <c r="E172" s="92" t="s">
        <v>350</v>
      </c>
      <c r="F172" s="92" t="s">
        <v>103</v>
      </c>
      <c r="G172" s="101" t="s">
        <v>502</v>
      </c>
      <c r="H172" s="94">
        <v>1991</v>
      </c>
      <c r="I172" s="94">
        <v>1084</v>
      </c>
      <c r="J172" s="94">
        <v>907</v>
      </c>
      <c r="K172" s="94">
        <v>37</v>
      </c>
      <c r="L172" s="94">
        <v>291</v>
      </c>
      <c r="M172" s="94">
        <v>1144</v>
      </c>
      <c r="N172" s="94">
        <v>519</v>
      </c>
      <c r="O172" s="94">
        <v>1991</v>
      </c>
      <c r="P172" s="94">
        <v>0</v>
      </c>
      <c r="Q172" s="95">
        <v>1.6341591987348401</v>
      </c>
      <c r="R172" s="95">
        <v>2.52918287937743</v>
      </c>
      <c r="S172" s="95">
        <v>0.57537399309551196</v>
      </c>
      <c r="T172" s="95">
        <v>0</v>
      </c>
      <c r="U172" s="95">
        <v>2.2304832713754599</v>
      </c>
      <c r="V172" s="95">
        <v>1.6378525932666099</v>
      </c>
      <c r="W172" s="95">
        <v>1.39720558882236</v>
      </c>
      <c r="X172" s="95">
        <v>1.6341591987348401</v>
      </c>
      <c r="Y172" s="95">
        <v>0</v>
      </c>
      <c r="Z172" s="94">
        <v>2938</v>
      </c>
      <c r="AA172" s="94">
        <v>1530</v>
      </c>
      <c r="AB172" s="94">
        <v>1408</v>
      </c>
      <c r="AC172" s="94">
        <v>72</v>
      </c>
      <c r="AD172" s="94">
        <v>422</v>
      </c>
      <c r="AE172" s="94">
        <v>1648</v>
      </c>
      <c r="AF172" s="94">
        <v>796</v>
      </c>
      <c r="AG172" s="94">
        <v>2611</v>
      </c>
      <c r="AH172" s="94">
        <v>318</v>
      </c>
      <c r="AI172" s="94">
        <v>9</v>
      </c>
      <c r="AJ172" s="94">
        <v>2926</v>
      </c>
      <c r="AK172" s="94">
        <v>6</v>
      </c>
      <c r="AL172" s="94">
        <v>6</v>
      </c>
      <c r="AM172" s="94">
        <v>218</v>
      </c>
      <c r="AN172" s="94">
        <v>2694</v>
      </c>
      <c r="AO172" s="94">
        <v>26</v>
      </c>
      <c r="AP172" s="95">
        <v>2.2930849158007902</v>
      </c>
      <c r="AQ172" s="95">
        <v>2.0675396278428702</v>
      </c>
      <c r="AR172" s="95">
        <v>2.5373134328358198</v>
      </c>
      <c r="AS172" s="95">
        <v>6.25</v>
      </c>
      <c r="AT172" s="95">
        <v>2.0725388601036299</v>
      </c>
      <c r="AU172" s="95">
        <v>2.48249522597072</v>
      </c>
      <c r="AV172" s="95">
        <v>1.68831168831169</v>
      </c>
      <c r="AW172" s="95">
        <v>2.2535211267605599</v>
      </c>
      <c r="AX172" s="95">
        <v>2.6845637583892601</v>
      </c>
      <c r="AY172" s="95">
        <v>0</v>
      </c>
      <c r="AZ172" s="95">
        <v>2.30215827338129</v>
      </c>
      <c r="BA172" s="95">
        <v>0</v>
      </c>
      <c r="BB172" s="95">
        <v>0</v>
      </c>
      <c r="BC172" s="95">
        <v>1.91387559808612</v>
      </c>
      <c r="BD172" s="95">
        <v>2.3474178403755901</v>
      </c>
      <c r="BE172" s="95">
        <v>0</v>
      </c>
    </row>
    <row r="173" spans="2:57" ht="15" customHeight="1" x14ac:dyDescent="0.25">
      <c r="B173" s="96">
        <v>163</v>
      </c>
      <c r="C173" s="97" t="s">
        <v>504</v>
      </c>
      <c r="D173" s="104" t="s">
        <v>43</v>
      </c>
      <c r="E173" s="104" t="s">
        <v>350</v>
      </c>
      <c r="F173" s="104" t="s">
        <v>159</v>
      </c>
      <c r="G173" s="105" t="s">
        <v>159</v>
      </c>
      <c r="H173" s="106">
        <v>2619</v>
      </c>
      <c r="I173" s="106">
        <v>1391</v>
      </c>
      <c r="J173" s="106">
        <v>1228</v>
      </c>
      <c r="K173" s="106">
        <v>63</v>
      </c>
      <c r="L173" s="106">
        <v>438</v>
      </c>
      <c r="M173" s="106">
        <v>1387</v>
      </c>
      <c r="N173" s="106">
        <v>731</v>
      </c>
      <c r="O173" s="106">
        <v>2616</v>
      </c>
      <c r="P173" s="106">
        <v>3</v>
      </c>
      <c r="Q173" s="107">
        <v>0.77393075356415497</v>
      </c>
      <c r="R173" s="107">
        <v>0.934579439252336</v>
      </c>
      <c r="S173" s="107">
        <v>0.59777967549103295</v>
      </c>
      <c r="T173" s="107">
        <v>0</v>
      </c>
      <c r="U173" s="107">
        <v>1.77215189873418</v>
      </c>
      <c r="V173" s="107">
        <v>0.84097859327217095</v>
      </c>
      <c r="W173" s="107">
        <v>0.14367816091954</v>
      </c>
      <c r="X173" s="107">
        <v>0.774561761108846</v>
      </c>
      <c r="Y173" s="107">
        <v>0</v>
      </c>
      <c r="Z173" s="106">
        <v>4290</v>
      </c>
      <c r="AA173" s="106">
        <v>2230</v>
      </c>
      <c r="AB173" s="106">
        <v>2060</v>
      </c>
      <c r="AC173" s="106">
        <v>143</v>
      </c>
      <c r="AD173" s="106">
        <v>935</v>
      </c>
      <c r="AE173" s="106">
        <v>2243</v>
      </c>
      <c r="AF173" s="106">
        <v>969</v>
      </c>
      <c r="AG173" s="106">
        <v>3734</v>
      </c>
      <c r="AH173" s="106">
        <v>524</v>
      </c>
      <c r="AI173" s="106">
        <v>32</v>
      </c>
      <c r="AJ173" s="106">
        <v>4254</v>
      </c>
      <c r="AK173" s="106">
        <v>24</v>
      </c>
      <c r="AL173" s="106">
        <v>12</v>
      </c>
      <c r="AM173" s="106">
        <v>308</v>
      </c>
      <c r="AN173" s="106">
        <v>3943</v>
      </c>
      <c r="AO173" s="106">
        <v>39</v>
      </c>
      <c r="AP173" s="107">
        <v>2.9847064627528401</v>
      </c>
      <c r="AQ173" s="107">
        <v>1.8035121025154199</v>
      </c>
      <c r="AR173" s="107">
        <v>4.2629686697483304</v>
      </c>
      <c r="AS173" s="107">
        <v>2.98507462686567</v>
      </c>
      <c r="AT173" s="107">
        <v>5.11945392491468</v>
      </c>
      <c r="AU173" s="107">
        <v>2.8341993386868198</v>
      </c>
      <c r="AV173" s="107">
        <v>1.2987012987013</v>
      </c>
      <c r="AW173" s="107">
        <v>2.9145444255800799</v>
      </c>
      <c r="AX173" s="107">
        <v>3.2719836400818001</v>
      </c>
      <c r="AY173" s="107">
        <v>6.4516129032258096</v>
      </c>
      <c r="AZ173" s="107">
        <v>2.98507462686567</v>
      </c>
      <c r="BA173" s="107">
        <v>0</v>
      </c>
      <c r="BB173" s="107">
        <v>10</v>
      </c>
      <c r="BC173" s="107">
        <v>1.7006802721088401</v>
      </c>
      <c r="BD173" s="107">
        <v>3.1149301825993598</v>
      </c>
      <c r="BE173" s="107">
        <v>0</v>
      </c>
    </row>
    <row r="174" spans="2:57" ht="15" customHeight="1" x14ac:dyDescent="0.25">
      <c r="B174" s="91">
        <v>164</v>
      </c>
      <c r="C174" s="92" t="s">
        <v>504</v>
      </c>
      <c r="D174" s="92" t="s">
        <v>43</v>
      </c>
      <c r="E174" s="92" t="s">
        <v>350</v>
      </c>
      <c r="F174" s="92" t="s">
        <v>159</v>
      </c>
      <c r="G174" s="101" t="s">
        <v>501</v>
      </c>
      <c r="H174" s="94">
        <v>0</v>
      </c>
      <c r="I174" s="94">
        <v>0</v>
      </c>
      <c r="J174" s="94">
        <v>0</v>
      </c>
      <c r="K174" s="94">
        <v>0</v>
      </c>
      <c r="L174" s="94">
        <v>0</v>
      </c>
      <c r="M174" s="94">
        <v>0</v>
      </c>
      <c r="N174" s="94">
        <v>0</v>
      </c>
      <c r="O174" s="94">
        <v>0</v>
      </c>
      <c r="P174" s="94">
        <v>0</v>
      </c>
      <c r="Q174" s="95">
        <v>0</v>
      </c>
      <c r="R174" s="95">
        <v>0</v>
      </c>
      <c r="S174" s="95">
        <v>0</v>
      </c>
      <c r="T174" s="95">
        <v>0</v>
      </c>
      <c r="U174" s="95">
        <v>0</v>
      </c>
      <c r="V174" s="95">
        <v>0</v>
      </c>
      <c r="W174" s="95">
        <v>0</v>
      </c>
      <c r="X174" s="95">
        <v>0</v>
      </c>
      <c r="Y174" s="95">
        <v>0</v>
      </c>
      <c r="Z174" s="94">
        <v>0</v>
      </c>
      <c r="AA174" s="94">
        <v>0</v>
      </c>
      <c r="AB174" s="94">
        <v>0</v>
      </c>
      <c r="AC174" s="94">
        <v>0</v>
      </c>
      <c r="AD174" s="94">
        <v>0</v>
      </c>
      <c r="AE174" s="94">
        <v>0</v>
      </c>
      <c r="AF174" s="94">
        <v>0</v>
      </c>
      <c r="AG174" s="94">
        <v>0</v>
      </c>
      <c r="AH174" s="94">
        <v>0</v>
      </c>
      <c r="AI174" s="94">
        <v>0</v>
      </c>
      <c r="AJ174" s="94">
        <v>0</v>
      </c>
      <c r="AK174" s="94">
        <v>0</v>
      </c>
      <c r="AL174" s="94">
        <v>0</v>
      </c>
      <c r="AM174" s="94">
        <v>0</v>
      </c>
      <c r="AN174" s="94">
        <v>0</v>
      </c>
      <c r="AO174" s="94">
        <v>0</v>
      </c>
      <c r="AP174" s="95">
        <v>0</v>
      </c>
      <c r="AQ174" s="95">
        <v>0</v>
      </c>
      <c r="AR174" s="95">
        <v>0</v>
      </c>
      <c r="AS174" s="95">
        <v>0</v>
      </c>
      <c r="AT174" s="95">
        <v>0</v>
      </c>
      <c r="AU174" s="95">
        <v>0</v>
      </c>
      <c r="AV174" s="95">
        <v>0</v>
      </c>
      <c r="AW174" s="95">
        <v>0</v>
      </c>
      <c r="AX174" s="95">
        <v>0</v>
      </c>
      <c r="AY174" s="95">
        <v>0</v>
      </c>
      <c r="AZ174" s="95">
        <v>0</v>
      </c>
      <c r="BA174" s="95">
        <v>0</v>
      </c>
      <c r="BB174" s="95">
        <v>0</v>
      </c>
      <c r="BC174" s="95">
        <v>0</v>
      </c>
      <c r="BD174" s="95">
        <v>0</v>
      </c>
      <c r="BE174" s="95">
        <v>0</v>
      </c>
    </row>
    <row r="175" spans="2:57" ht="15" customHeight="1" x14ac:dyDescent="0.25">
      <c r="B175" s="91">
        <v>165</v>
      </c>
      <c r="C175" s="92" t="s">
        <v>504</v>
      </c>
      <c r="D175" s="92" t="s">
        <v>43</v>
      </c>
      <c r="E175" s="92" t="s">
        <v>350</v>
      </c>
      <c r="F175" s="92" t="s">
        <v>159</v>
      </c>
      <c r="G175" s="101" t="s">
        <v>502</v>
      </c>
      <c r="H175" s="94">
        <v>2619</v>
      </c>
      <c r="I175" s="94">
        <v>1391</v>
      </c>
      <c r="J175" s="94">
        <v>1228</v>
      </c>
      <c r="K175" s="94">
        <v>63</v>
      </c>
      <c r="L175" s="94">
        <v>438</v>
      </c>
      <c r="M175" s="94">
        <v>1387</v>
      </c>
      <c r="N175" s="94">
        <v>731</v>
      </c>
      <c r="O175" s="94">
        <v>2616</v>
      </c>
      <c r="P175" s="94">
        <v>3</v>
      </c>
      <c r="Q175" s="95">
        <v>0.77393075356415497</v>
      </c>
      <c r="R175" s="95">
        <v>0.934579439252336</v>
      </c>
      <c r="S175" s="95">
        <v>0.59777967549103295</v>
      </c>
      <c r="T175" s="95">
        <v>0</v>
      </c>
      <c r="U175" s="95">
        <v>1.77215189873418</v>
      </c>
      <c r="V175" s="95">
        <v>0.84097859327217095</v>
      </c>
      <c r="W175" s="95">
        <v>0.14367816091954</v>
      </c>
      <c r="X175" s="95">
        <v>0.774561761108846</v>
      </c>
      <c r="Y175" s="95">
        <v>0</v>
      </c>
      <c r="Z175" s="94">
        <v>4290</v>
      </c>
      <c r="AA175" s="94">
        <v>2230</v>
      </c>
      <c r="AB175" s="94">
        <v>2060</v>
      </c>
      <c r="AC175" s="94">
        <v>143</v>
      </c>
      <c r="AD175" s="94">
        <v>935</v>
      </c>
      <c r="AE175" s="94">
        <v>2243</v>
      </c>
      <c r="AF175" s="94">
        <v>969</v>
      </c>
      <c r="AG175" s="94">
        <v>3734</v>
      </c>
      <c r="AH175" s="94">
        <v>524</v>
      </c>
      <c r="AI175" s="94">
        <v>32</v>
      </c>
      <c r="AJ175" s="94">
        <v>4254</v>
      </c>
      <c r="AK175" s="94">
        <v>24</v>
      </c>
      <c r="AL175" s="94">
        <v>12</v>
      </c>
      <c r="AM175" s="94">
        <v>308</v>
      </c>
      <c r="AN175" s="94">
        <v>3943</v>
      </c>
      <c r="AO175" s="94">
        <v>39</v>
      </c>
      <c r="AP175" s="95">
        <v>2.9847064627528401</v>
      </c>
      <c r="AQ175" s="95">
        <v>1.8035121025154199</v>
      </c>
      <c r="AR175" s="95">
        <v>4.2629686697483304</v>
      </c>
      <c r="AS175" s="95">
        <v>2.98507462686567</v>
      </c>
      <c r="AT175" s="95">
        <v>5.11945392491468</v>
      </c>
      <c r="AU175" s="95">
        <v>2.8341993386868198</v>
      </c>
      <c r="AV175" s="95">
        <v>1.2987012987013</v>
      </c>
      <c r="AW175" s="95">
        <v>2.9145444255800799</v>
      </c>
      <c r="AX175" s="95">
        <v>3.2719836400818001</v>
      </c>
      <c r="AY175" s="95">
        <v>6.4516129032258096</v>
      </c>
      <c r="AZ175" s="95">
        <v>2.98507462686567</v>
      </c>
      <c r="BA175" s="95">
        <v>0</v>
      </c>
      <c r="BB175" s="95">
        <v>10</v>
      </c>
      <c r="BC175" s="95">
        <v>1.7006802721088401</v>
      </c>
      <c r="BD175" s="95">
        <v>3.1149301825993598</v>
      </c>
      <c r="BE175" s="95">
        <v>0</v>
      </c>
    </row>
    <row r="176" spans="2:57" ht="15" customHeight="1" x14ac:dyDescent="0.25">
      <c r="B176" s="86">
        <v>166</v>
      </c>
      <c r="C176" s="87" t="s">
        <v>503</v>
      </c>
      <c r="D176" s="103" t="s">
        <v>43</v>
      </c>
      <c r="E176" s="103" t="s">
        <v>351</v>
      </c>
      <c r="F176" s="103"/>
      <c r="G176" s="88" t="s">
        <v>351</v>
      </c>
      <c r="H176" s="89">
        <v>30579</v>
      </c>
      <c r="I176" s="89">
        <v>17044</v>
      </c>
      <c r="J176" s="89">
        <v>13535</v>
      </c>
      <c r="K176" s="89">
        <v>1479</v>
      </c>
      <c r="L176" s="89">
        <v>6341</v>
      </c>
      <c r="M176" s="89">
        <v>15261</v>
      </c>
      <c r="N176" s="89">
        <v>7498</v>
      </c>
      <c r="O176" s="89">
        <v>30548</v>
      </c>
      <c r="P176" s="89">
        <v>31</v>
      </c>
      <c r="Q176" s="90">
        <v>0.22710849592237001</v>
      </c>
      <c r="R176" s="90">
        <v>0.26048127015628902</v>
      </c>
      <c r="S176" s="90">
        <v>0.18551441601607799</v>
      </c>
      <c r="T176" s="90">
        <v>0.30211480362537801</v>
      </c>
      <c r="U176" s="90">
        <v>0.33698399326032002</v>
      </c>
      <c r="V176" s="90">
        <v>0.233052299677839</v>
      </c>
      <c r="W176" s="90">
        <v>0.110910855399972</v>
      </c>
      <c r="X176" s="90">
        <v>0.22733535409203601</v>
      </c>
      <c r="Y176" s="90">
        <v>0</v>
      </c>
      <c r="Z176" s="89">
        <v>42849</v>
      </c>
      <c r="AA176" s="89">
        <v>22806</v>
      </c>
      <c r="AB176" s="89">
        <v>20043</v>
      </c>
      <c r="AC176" s="89">
        <v>2190</v>
      </c>
      <c r="AD176" s="89">
        <v>8963</v>
      </c>
      <c r="AE176" s="89">
        <v>21322</v>
      </c>
      <c r="AF176" s="89">
        <v>10374</v>
      </c>
      <c r="AG176" s="89">
        <v>39307</v>
      </c>
      <c r="AH176" s="89">
        <v>3238</v>
      </c>
      <c r="AI176" s="89">
        <v>304</v>
      </c>
      <c r="AJ176" s="89">
        <v>42590</v>
      </c>
      <c r="AK176" s="89">
        <v>93</v>
      </c>
      <c r="AL176" s="89">
        <v>166</v>
      </c>
      <c r="AM176" s="89">
        <v>3105</v>
      </c>
      <c r="AN176" s="89">
        <v>39094</v>
      </c>
      <c r="AO176" s="89">
        <v>650</v>
      </c>
      <c r="AP176" s="90">
        <v>1.1879549161372001</v>
      </c>
      <c r="AQ176" s="90">
        <v>0.50731261425959795</v>
      </c>
      <c r="AR176" s="90">
        <v>1.9636439397885299</v>
      </c>
      <c r="AS176" s="90">
        <v>1.3474494706448501</v>
      </c>
      <c r="AT176" s="90">
        <v>1.69170708624157</v>
      </c>
      <c r="AU176" s="90">
        <v>1.2338425381903599</v>
      </c>
      <c r="AV176" s="90">
        <v>0.64203871987356798</v>
      </c>
      <c r="AW176" s="90">
        <v>1.08347240986516</v>
      </c>
      <c r="AX176" s="90">
        <v>2.5270758122743699</v>
      </c>
      <c r="AY176" s="90">
        <v>0.70671378091872805</v>
      </c>
      <c r="AZ176" s="90">
        <v>1.1926335896556799</v>
      </c>
      <c r="BA176" s="90">
        <v>0</v>
      </c>
      <c r="BB176" s="90">
        <v>0.64102564102564097</v>
      </c>
      <c r="BC176" s="90">
        <v>0.66467264872050502</v>
      </c>
      <c r="BD176" s="90">
        <v>1.2417881749719599</v>
      </c>
      <c r="BE176" s="90">
        <v>0.480769230769231</v>
      </c>
    </row>
    <row r="177" spans="2:57" ht="15" customHeight="1" x14ac:dyDescent="0.25">
      <c r="B177" s="91">
        <v>167</v>
      </c>
      <c r="C177" s="92" t="s">
        <v>503</v>
      </c>
      <c r="D177" s="92" t="s">
        <v>43</v>
      </c>
      <c r="E177" s="92" t="s">
        <v>351</v>
      </c>
      <c r="F177" s="92"/>
      <c r="G177" s="93" t="s">
        <v>501</v>
      </c>
      <c r="H177" s="94">
        <v>862</v>
      </c>
      <c r="I177" s="94">
        <v>525</v>
      </c>
      <c r="J177" s="94">
        <v>337</v>
      </c>
      <c r="K177" s="94">
        <v>55</v>
      </c>
      <c r="L177" s="94">
        <v>318</v>
      </c>
      <c r="M177" s="94">
        <v>435</v>
      </c>
      <c r="N177" s="94">
        <v>54</v>
      </c>
      <c r="O177" s="94">
        <v>850</v>
      </c>
      <c r="P177" s="94">
        <v>12</v>
      </c>
      <c r="Q177" s="95">
        <v>0.48721071863581</v>
      </c>
      <c r="R177" s="95">
        <v>0.79522862823061602</v>
      </c>
      <c r="S177" s="95">
        <v>0</v>
      </c>
      <c r="T177" s="95">
        <v>2</v>
      </c>
      <c r="U177" s="95">
        <v>0.32894736842105299</v>
      </c>
      <c r="V177" s="95">
        <v>0.480769230769231</v>
      </c>
      <c r="W177" s="95">
        <v>0</v>
      </c>
      <c r="X177" s="95">
        <v>0.49443757725587101</v>
      </c>
      <c r="Y177" s="95">
        <v>0</v>
      </c>
      <c r="Z177" s="94">
        <v>2189</v>
      </c>
      <c r="AA177" s="94">
        <v>1323</v>
      </c>
      <c r="AB177" s="94">
        <v>866</v>
      </c>
      <c r="AC177" s="94">
        <v>79</v>
      </c>
      <c r="AD177" s="94">
        <v>618</v>
      </c>
      <c r="AE177" s="94">
        <v>1185</v>
      </c>
      <c r="AF177" s="94">
        <v>307</v>
      </c>
      <c r="AG177" s="94">
        <v>1685</v>
      </c>
      <c r="AH177" s="94">
        <v>481</v>
      </c>
      <c r="AI177" s="94">
        <v>23</v>
      </c>
      <c r="AJ177" s="94">
        <v>2168</v>
      </c>
      <c r="AK177" s="94">
        <v>10</v>
      </c>
      <c r="AL177" s="94">
        <v>11</v>
      </c>
      <c r="AM177" s="94">
        <v>98</v>
      </c>
      <c r="AN177" s="94">
        <v>2059</v>
      </c>
      <c r="AO177" s="94">
        <v>32</v>
      </c>
      <c r="AP177" s="95">
        <v>2.8755577590480899</v>
      </c>
      <c r="AQ177" s="95">
        <v>0.88996763754045305</v>
      </c>
      <c r="AR177" s="95">
        <v>6.0179257362355996</v>
      </c>
      <c r="AS177" s="95">
        <v>5.5555555555555598</v>
      </c>
      <c r="AT177" s="95">
        <v>3.1195840554592702</v>
      </c>
      <c r="AU177" s="95">
        <v>2.4976873265494901</v>
      </c>
      <c r="AV177" s="95">
        <v>3.1358885017421598</v>
      </c>
      <c r="AW177" s="95">
        <v>2.29885057471264</v>
      </c>
      <c r="AX177" s="95">
        <v>5.1044083526682096</v>
      </c>
      <c r="AY177" s="95">
        <v>0</v>
      </c>
      <c r="AZ177" s="95">
        <v>2.8528528528528501</v>
      </c>
      <c r="BA177" s="95">
        <v>0</v>
      </c>
      <c r="BB177" s="95">
        <v>9.0909090909090899</v>
      </c>
      <c r="BC177" s="95">
        <v>4.3478260869565197</v>
      </c>
      <c r="BD177" s="95">
        <v>2.7997886951928201</v>
      </c>
      <c r="BE177" s="95">
        <v>3.125</v>
      </c>
    </row>
    <row r="178" spans="2:57" ht="15" customHeight="1" x14ac:dyDescent="0.25">
      <c r="B178" s="91">
        <v>168</v>
      </c>
      <c r="C178" s="92" t="s">
        <v>503</v>
      </c>
      <c r="D178" s="92" t="s">
        <v>43</v>
      </c>
      <c r="E178" s="92" t="s">
        <v>351</v>
      </c>
      <c r="F178" s="92"/>
      <c r="G178" s="93" t="s">
        <v>502</v>
      </c>
      <c r="H178" s="94">
        <v>29717</v>
      </c>
      <c r="I178" s="94">
        <v>16519</v>
      </c>
      <c r="J178" s="94">
        <v>13198</v>
      </c>
      <c r="K178" s="94">
        <v>1424</v>
      </c>
      <c r="L178" s="94">
        <v>6023</v>
      </c>
      <c r="M178" s="94">
        <v>14826</v>
      </c>
      <c r="N178" s="94">
        <v>7444</v>
      </c>
      <c r="O178" s="94">
        <v>29698</v>
      </c>
      <c r="P178" s="94">
        <v>19</v>
      </c>
      <c r="Q178" s="95">
        <v>0.219546742209632</v>
      </c>
      <c r="R178" s="95">
        <v>0.24326227514243601</v>
      </c>
      <c r="S178" s="95">
        <v>0.190189396941121</v>
      </c>
      <c r="T178" s="95">
        <v>0.23547880690737799</v>
      </c>
      <c r="U178" s="95">
        <v>0.33741786538803098</v>
      </c>
      <c r="V178" s="95">
        <v>0.225781415367248</v>
      </c>
      <c r="W178" s="95">
        <v>0.111700642278693</v>
      </c>
      <c r="X178" s="95">
        <v>0.21967898522481699</v>
      </c>
      <c r="Y178" s="95">
        <v>0</v>
      </c>
      <c r="Z178" s="94">
        <v>40660</v>
      </c>
      <c r="AA178" s="94">
        <v>21483</v>
      </c>
      <c r="AB178" s="94">
        <v>19177</v>
      </c>
      <c r="AC178" s="94">
        <v>2111</v>
      </c>
      <c r="AD178" s="94">
        <v>8345</v>
      </c>
      <c r="AE178" s="94">
        <v>20137</v>
      </c>
      <c r="AF178" s="94">
        <v>10067</v>
      </c>
      <c r="AG178" s="94">
        <v>37622</v>
      </c>
      <c r="AH178" s="94">
        <v>2757</v>
      </c>
      <c r="AI178" s="94">
        <v>281</v>
      </c>
      <c r="AJ178" s="94">
        <v>40422</v>
      </c>
      <c r="AK178" s="94">
        <v>83</v>
      </c>
      <c r="AL178" s="94">
        <v>155</v>
      </c>
      <c r="AM178" s="94">
        <v>3007</v>
      </c>
      <c r="AN178" s="94">
        <v>37035</v>
      </c>
      <c r="AO178" s="94">
        <v>618</v>
      </c>
      <c r="AP178" s="95">
        <v>1.10081409042036</v>
      </c>
      <c r="AQ178" s="95">
        <v>0.48440224762642897</v>
      </c>
      <c r="AR178" s="95">
        <v>1.7917254859376699</v>
      </c>
      <c r="AS178" s="95">
        <v>1.19641076769691</v>
      </c>
      <c r="AT178" s="95">
        <v>1.5871000507872</v>
      </c>
      <c r="AU178" s="95">
        <v>1.1632114976994301</v>
      </c>
      <c r="AV178" s="95">
        <v>0.56927925180441197</v>
      </c>
      <c r="AW178" s="95">
        <v>1.0308708509521001</v>
      </c>
      <c r="AX178" s="95">
        <v>2.1024464831804299</v>
      </c>
      <c r="AY178" s="95">
        <v>0.76045627376425895</v>
      </c>
      <c r="AZ178" s="95">
        <v>1.10722010505716</v>
      </c>
      <c r="BA178" s="95">
        <v>0</v>
      </c>
      <c r="BB178" s="95">
        <v>0</v>
      </c>
      <c r="BC178" s="95">
        <v>0.54850874185807297</v>
      </c>
      <c r="BD178" s="95">
        <v>1.1588332911428001</v>
      </c>
      <c r="BE178" s="95">
        <v>0.337837837837838</v>
      </c>
    </row>
    <row r="179" spans="2:57" ht="15" customHeight="1" x14ac:dyDescent="0.25">
      <c r="B179" s="96">
        <v>169</v>
      </c>
      <c r="C179" s="97" t="s">
        <v>504</v>
      </c>
      <c r="D179" s="104" t="s">
        <v>43</v>
      </c>
      <c r="E179" s="104" t="s">
        <v>351</v>
      </c>
      <c r="F179" s="104" t="s">
        <v>459</v>
      </c>
      <c r="G179" s="105" t="s">
        <v>459</v>
      </c>
      <c r="H179" s="106">
        <v>5835</v>
      </c>
      <c r="I179" s="106">
        <v>3214</v>
      </c>
      <c r="J179" s="106">
        <v>2621</v>
      </c>
      <c r="K179" s="106">
        <v>395</v>
      </c>
      <c r="L179" s="106">
        <v>1247</v>
      </c>
      <c r="M179" s="106">
        <v>2928</v>
      </c>
      <c r="N179" s="106">
        <v>1265</v>
      </c>
      <c r="O179" s="106">
        <v>5833</v>
      </c>
      <c r="P179" s="106">
        <v>2</v>
      </c>
      <c r="Q179" s="107">
        <v>0.31158357771261003</v>
      </c>
      <c r="R179" s="107">
        <v>0.30201342281879201</v>
      </c>
      <c r="S179" s="107">
        <v>0.323101777059774</v>
      </c>
      <c r="T179" s="107">
        <v>0</v>
      </c>
      <c r="U179" s="107">
        <v>0.43936731107205601</v>
      </c>
      <c r="V179" s="107">
        <v>0.32656023222060998</v>
      </c>
      <c r="W179" s="107">
        <v>0.25</v>
      </c>
      <c r="X179" s="107">
        <v>0.31164069660861599</v>
      </c>
      <c r="Y179" s="107">
        <v>0</v>
      </c>
      <c r="Z179" s="106">
        <v>8201</v>
      </c>
      <c r="AA179" s="106">
        <v>4304</v>
      </c>
      <c r="AB179" s="106">
        <v>3897</v>
      </c>
      <c r="AC179" s="106">
        <v>472</v>
      </c>
      <c r="AD179" s="106">
        <v>1794</v>
      </c>
      <c r="AE179" s="106">
        <v>3976</v>
      </c>
      <c r="AF179" s="106">
        <v>1959</v>
      </c>
      <c r="AG179" s="106">
        <v>7211</v>
      </c>
      <c r="AH179" s="106">
        <v>916</v>
      </c>
      <c r="AI179" s="106">
        <v>74</v>
      </c>
      <c r="AJ179" s="106">
        <v>8160</v>
      </c>
      <c r="AK179" s="106">
        <v>10</v>
      </c>
      <c r="AL179" s="106">
        <v>31</v>
      </c>
      <c r="AM179" s="106">
        <v>564</v>
      </c>
      <c r="AN179" s="106">
        <v>7537</v>
      </c>
      <c r="AO179" s="106">
        <v>100</v>
      </c>
      <c r="AP179" s="107">
        <v>1.9333502925464301</v>
      </c>
      <c r="AQ179" s="107">
        <v>0.87019579405366199</v>
      </c>
      <c r="AR179" s="107">
        <v>3.11409395973154</v>
      </c>
      <c r="AS179" s="107">
        <v>2.4282560706401801</v>
      </c>
      <c r="AT179" s="107">
        <v>2.5279247501469699</v>
      </c>
      <c r="AU179" s="107">
        <v>1.86940494997367</v>
      </c>
      <c r="AV179" s="107">
        <v>1.41361256544503</v>
      </c>
      <c r="AW179" s="107">
        <v>1.8034915596595</v>
      </c>
      <c r="AX179" s="107">
        <v>3.1431897555296899</v>
      </c>
      <c r="AY179" s="107">
        <v>0</v>
      </c>
      <c r="AZ179" s="107">
        <v>1.9299591002045</v>
      </c>
      <c r="BA179" s="107">
        <v>0</v>
      </c>
      <c r="BB179" s="107">
        <v>3.4482758620689702</v>
      </c>
      <c r="BC179" s="107">
        <v>1.8348623853210999</v>
      </c>
      <c r="BD179" s="107">
        <v>1.9531791106801499</v>
      </c>
      <c r="BE179" s="107">
        <v>1.0204081632653099</v>
      </c>
    </row>
    <row r="180" spans="2:57" ht="15" customHeight="1" x14ac:dyDescent="0.25">
      <c r="B180" s="91">
        <v>170</v>
      </c>
      <c r="C180" s="92" t="s">
        <v>504</v>
      </c>
      <c r="D180" s="92" t="s">
        <v>43</v>
      </c>
      <c r="E180" s="92" t="s">
        <v>351</v>
      </c>
      <c r="F180" s="92" t="s">
        <v>459</v>
      </c>
      <c r="G180" s="101" t="s">
        <v>501</v>
      </c>
      <c r="H180" s="94">
        <v>0</v>
      </c>
      <c r="I180" s="94">
        <v>0</v>
      </c>
      <c r="J180" s="94">
        <v>0</v>
      </c>
      <c r="K180" s="94">
        <v>0</v>
      </c>
      <c r="L180" s="94">
        <v>0</v>
      </c>
      <c r="M180" s="94">
        <v>0</v>
      </c>
      <c r="N180" s="94">
        <v>0</v>
      </c>
      <c r="O180" s="94">
        <v>0</v>
      </c>
      <c r="P180" s="94">
        <v>0</v>
      </c>
      <c r="Q180" s="95">
        <v>0</v>
      </c>
      <c r="R180" s="95">
        <v>0</v>
      </c>
      <c r="S180" s="95">
        <v>0</v>
      </c>
      <c r="T180" s="95">
        <v>0</v>
      </c>
      <c r="U180" s="95">
        <v>0</v>
      </c>
      <c r="V180" s="95">
        <v>0</v>
      </c>
      <c r="W180" s="95">
        <v>0</v>
      </c>
      <c r="X180" s="95">
        <v>0</v>
      </c>
      <c r="Y180" s="95">
        <v>0</v>
      </c>
      <c r="Z180" s="94">
        <v>1129</v>
      </c>
      <c r="AA180" s="94">
        <v>702</v>
      </c>
      <c r="AB180" s="94">
        <v>427</v>
      </c>
      <c r="AC180" s="94">
        <v>35</v>
      </c>
      <c r="AD180" s="94">
        <v>320</v>
      </c>
      <c r="AE180" s="94">
        <v>589</v>
      </c>
      <c r="AF180" s="94">
        <v>185</v>
      </c>
      <c r="AG180" s="94">
        <v>758</v>
      </c>
      <c r="AH180" s="94">
        <v>357</v>
      </c>
      <c r="AI180" s="94">
        <v>14</v>
      </c>
      <c r="AJ180" s="94">
        <v>1119</v>
      </c>
      <c r="AK180" s="94">
        <v>6</v>
      </c>
      <c r="AL180" s="94">
        <v>4</v>
      </c>
      <c r="AM180" s="94">
        <v>63</v>
      </c>
      <c r="AN180" s="94">
        <v>1048</v>
      </c>
      <c r="AO180" s="94">
        <v>18</v>
      </c>
      <c r="AP180" s="95">
        <v>4.4573643410852704</v>
      </c>
      <c r="AQ180" s="95">
        <v>1.2461059190031201</v>
      </c>
      <c r="AR180" s="95">
        <v>9.7435897435897392</v>
      </c>
      <c r="AS180" s="95">
        <v>9.375</v>
      </c>
      <c r="AT180" s="95">
        <v>4.7138047138047101</v>
      </c>
      <c r="AU180" s="95">
        <v>3.75234521575985</v>
      </c>
      <c r="AV180" s="95">
        <v>5.2941176470588198</v>
      </c>
      <c r="AW180" s="95">
        <v>3.5816618911174798</v>
      </c>
      <c r="AX180" s="95">
        <v>6.5420560747663501</v>
      </c>
      <c r="AY180" s="95">
        <v>0</v>
      </c>
      <c r="AZ180" s="95">
        <v>4.40313111545988</v>
      </c>
      <c r="BA180" s="95">
        <v>0</v>
      </c>
      <c r="BB180" s="95">
        <v>25</v>
      </c>
      <c r="BC180" s="95">
        <v>6.7796610169491496</v>
      </c>
      <c r="BD180" s="95">
        <v>4.2931937172774903</v>
      </c>
      <c r="BE180" s="95">
        <v>5.5555555555555598</v>
      </c>
    </row>
    <row r="181" spans="2:57" ht="15" customHeight="1" x14ac:dyDescent="0.25">
      <c r="B181" s="91">
        <v>171</v>
      </c>
      <c r="C181" s="92" t="s">
        <v>504</v>
      </c>
      <c r="D181" s="92" t="s">
        <v>43</v>
      </c>
      <c r="E181" s="92" t="s">
        <v>351</v>
      </c>
      <c r="F181" s="92" t="s">
        <v>459</v>
      </c>
      <c r="G181" s="101" t="s">
        <v>502</v>
      </c>
      <c r="H181" s="94">
        <v>5835</v>
      </c>
      <c r="I181" s="94">
        <v>3214</v>
      </c>
      <c r="J181" s="94">
        <v>2621</v>
      </c>
      <c r="K181" s="94">
        <v>395</v>
      </c>
      <c r="L181" s="94">
        <v>1247</v>
      </c>
      <c r="M181" s="94">
        <v>2928</v>
      </c>
      <c r="N181" s="94">
        <v>1265</v>
      </c>
      <c r="O181" s="94">
        <v>5833</v>
      </c>
      <c r="P181" s="94">
        <v>2</v>
      </c>
      <c r="Q181" s="95">
        <v>0.31158357771261003</v>
      </c>
      <c r="R181" s="95">
        <v>0.30201342281879201</v>
      </c>
      <c r="S181" s="95">
        <v>0.323101777059774</v>
      </c>
      <c r="T181" s="95">
        <v>0</v>
      </c>
      <c r="U181" s="95">
        <v>0.43936731107205601</v>
      </c>
      <c r="V181" s="95">
        <v>0.32656023222060998</v>
      </c>
      <c r="W181" s="95">
        <v>0.25</v>
      </c>
      <c r="X181" s="95">
        <v>0.31164069660861599</v>
      </c>
      <c r="Y181" s="95">
        <v>0</v>
      </c>
      <c r="Z181" s="94">
        <v>7072</v>
      </c>
      <c r="AA181" s="94">
        <v>3602</v>
      </c>
      <c r="AB181" s="94">
        <v>3470</v>
      </c>
      <c r="AC181" s="94">
        <v>437</v>
      </c>
      <c r="AD181" s="94">
        <v>1474</v>
      </c>
      <c r="AE181" s="94">
        <v>3387</v>
      </c>
      <c r="AF181" s="94">
        <v>1774</v>
      </c>
      <c r="AG181" s="94">
        <v>6453</v>
      </c>
      <c r="AH181" s="94">
        <v>559</v>
      </c>
      <c r="AI181" s="94">
        <v>60</v>
      </c>
      <c r="AJ181" s="94">
        <v>7041</v>
      </c>
      <c r="AK181" s="94">
        <v>4</v>
      </c>
      <c r="AL181" s="94">
        <v>27</v>
      </c>
      <c r="AM181" s="94">
        <v>501</v>
      </c>
      <c r="AN181" s="94">
        <v>6489</v>
      </c>
      <c r="AO181" s="94">
        <v>82</v>
      </c>
      <c r="AP181" s="95">
        <v>1.5519765739385101</v>
      </c>
      <c r="AQ181" s="95">
        <v>0.80114449213161698</v>
      </c>
      <c r="AR181" s="95">
        <v>2.33883058470765</v>
      </c>
      <c r="AS181" s="95">
        <v>1.90023752969121</v>
      </c>
      <c r="AT181" s="95">
        <v>2.0655270655270699</v>
      </c>
      <c r="AU181" s="95">
        <v>1.5620214395099501</v>
      </c>
      <c r="AV181" s="95">
        <v>1.0344827586206899</v>
      </c>
      <c r="AW181" s="95">
        <v>1.6043638697256499</v>
      </c>
      <c r="AX181" s="95">
        <v>1.1152416356877299</v>
      </c>
      <c r="AY181" s="95">
        <v>0</v>
      </c>
      <c r="AZ181" s="95">
        <v>1.5583651867097901</v>
      </c>
      <c r="BA181" s="95">
        <v>0</v>
      </c>
      <c r="BB181" s="95">
        <v>0</v>
      </c>
      <c r="BC181" s="95">
        <v>1.2345679012345701</v>
      </c>
      <c r="BD181" s="95">
        <v>1.5964240102171099</v>
      </c>
      <c r="BE181" s="95">
        <v>0</v>
      </c>
    </row>
    <row r="182" spans="2:57" ht="15" customHeight="1" x14ac:dyDescent="0.25">
      <c r="B182" s="96">
        <v>172</v>
      </c>
      <c r="C182" s="97" t="s">
        <v>504</v>
      </c>
      <c r="D182" s="104" t="s">
        <v>43</v>
      </c>
      <c r="E182" s="104" t="s">
        <v>351</v>
      </c>
      <c r="F182" s="104" t="s">
        <v>82</v>
      </c>
      <c r="G182" s="105" t="s">
        <v>82</v>
      </c>
      <c r="H182" s="106">
        <v>8484</v>
      </c>
      <c r="I182" s="106">
        <v>4579</v>
      </c>
      <c r="J182" s="106">
        <v>3905</v>
      </c>
      <c r="K182" s="106">
        <v>393</v>
      </c>
      <c r="L182" s="106">
        <v>1616</v>
      </c>
      <c r="M182" s="106">
        <v>4182</v>
      </c>
      <c r="N182" s="106">
        <v>2293</v>
      </c>
      <c r="O182" s="106">
        <v>8483</v>
      </c>
      <c r="P182" s="106">
        <v>1</v>
      </c>
      <c r="Q182" s="107">
        <v>0.110823790173624</v>
      </c>
      <c r="R182" s="107">
        <v>0.114495076711701</v>
      </c>
      <c r="S182" s="107">
        <v>0.106553010122536</v>
      </c>
      <c r="T182" s="107">
        <v>0.28490028490028502</v>
      </c>
      <c r="U182" s="107">
        <v>0.13157894736842099</v>
      </c>
      <c r="V182" s="107">
        <v>0.14921661278289</v>
      </c>
      <c r="W182" s="107">
        <v>0</v>
      </c>
      <c r="X182" s="107">
        <v>0.110837438423645</v>
      </c>
      <c r="Y182" s="107">
        <v>0</v>
      </c>
      <c r="Z182" s="106">
        <v>9587</v>
      </c>
      <c r="AA182" s="106">
        <v>5013</v>
      </c>
      <c r="AB182" s="106">
        <v>4574</v>
      </c>
      <c r="AC182" s="106">
        <v>508</v>
      </c>
      <c r="AD182" s="106">
        <v>1873</v>
      </c>
      <c r="AE182" s="106">
        <v>4705</v>
      </c>
      <c r="AF182" s="106">
        <v>2501</v>
      </c>
      <c r="AG182" s="106">
        <v>8977</v>
      </c>
      <c r="AH182" s="106">
        <v>549</v>
      </c>
      <c r="AI182" s="106">
        <v>61</v>
      </c>
      <c r="AJ182" s="106">
        <v>9537</v>
      </c>
      <c r="AK182" s="106">
        <v>23</v>
      </c>
      <c r="AL182" s="106">
        <v>27</v>
      </c>
      <c r="AM182" s="106">
        <v>680</v>
      </c>
      <c r="AN182" s="106">
        <v>8741</v>
      </c>
      <c r="AO182" s="106">
        <v>166</v>
      </c>
      <c r="AP182" s="107">
        <v>1.13137082601054</v>
      </c>
      <c r="AQ182" s="107">
        <v>0.61014096360193604</v>
      </c>
      <c r="AR182" s="107">
        <v>1.7007584463341801</v>
      </c>
      <c r="AS182" s="107">
        <v>1.4925373134328399</v>
      </c>
      <c r="AT182" s="107">
        <v>1.50115473441109</v>
      </c>
      <c r="AU182" s="107">
        <v>1.3888888888888899</v>
      </c>
      <c r="AV182" s="107">
        <v>0.32800328003279999</v>
      </c>
      <c r="AW182" s="107">
        <v>0.93665847090504595</v>
      </c>
      <c r="AX182" s="107">
        <v>4.1338582677165396</v>
      </c>
      <c r="AY182" s="107">
        <v>3.6363636363636398</v>
      </c>
      <c r="AZ182" s="107">
        <v>1.137241912333</v>
      </c>
      <c r="BA182" s="107">
        <v>0</v>
      </c>
      <c r="BB182" s="107">
        <v>0</v>
      </c>
      <c r="BC182" s="107">
        <v>0.91463414634146301</v>
      </c>
      <c r="BD182" s="107">
        <v>1.15760279754009</v>
      </c>
      <c r="BE182" s="107">
        <v>0.64516129032258096</v>
      </c>
    </row>
    <row r="183" spans="2:57" ht="15" customHeight="1" x14ac:dyDescent="0.25">
      <c r="B183" s="91">
        <v>173</v>
      </c>
      <c r="C183" s="92" t="s">
        <v>504</v>
      </c>
      <c r="D183" s="92" t="s">
        <v>43</v>
      </c>
      <c r="E183" s="92" t="s">
        <v>351</v>
      </c>
      <c r="F183" s="92" t="s">
        <v>82</v>
      </c>
      <c r="G183" s="101" t="s">
        <v>501</v>
      </c>
      <c r="H183" s="94">
        <v>0</v>
      </c>
      <c r="I183" s="94">
        <v>0</v>
      </c>
      <c r="J183" s="94">
        <v>0</v>
      </c>
      <c r="K183" s="94">
        <v>0</v>
      </c>
      <c r="L183" s="94">
        <v>0</v>
      </c>
      <c r="M183" s="94">
        <v>0</v>
      </c>
      <c r="N183" s="94">
        <v>0</v>
      </c>
      <c r="O183" s="94">
        <v>0</v>
      </c>
      <c r="P183" s="94">
        <v>0</v>
      </c>
      <c r="Q183" s="95">
        <v>0</v>
      </c>
      <c r="R183" s="95">
        <v>0</v>
      </c>
      <c r="S183" s="95">
        <v>0</v>
      </c>
      <c r="T183" s="95">
        <v>0</v>
      </c>
      <c r="U183" s="95">
        <v>0</v>
      </c>
      <c r="V183" s="95">
        <v>0</v>
      </c>
      <c r="W183" s="95">
        <v>0</v>
      </c>
      <c r="X183" s="95">
        <v>0</v>
      </c>
      <c r="Y183" s="95">
        <v>0</v>
      </c>
      <c r="Z183" s="94">
        <v>0</v>
      </c>
      <c r="AA183" s="94">
        <v>0</v>
      </c>
      <c r="AB183" s="94">
        <v>0</v>
      </c>
      <c r="AC183" s="94">
        <v>0</v>
      </c>
      <c r="AD183" s="94">
        <v>0</v>
      </c>
      <c r="AE183" s="94">
        <v>0</v>
      </c>
      <c r="AF183" s="94">
        <v>0</v>
      </c>
      <c r="AG183" s="94">
        <v>0</v>
      </c>
      <c r="AH183" s="94">
        <v>0</v>
      </c>
      <c r="AI183" s="94">
        <v>0</v>
      </c>
      <c r="AJ183" s="94">
        <v>0</v>
      </c>
      <c r="AK183" s="94">
        <v>0</v>
      </c>
      <c r="AL183" s="94">
        <v>0</v>
      </c>
      <c r="AM183" s="94">
        <v>0</v>
      </c>
      <c r="AN183" s="94">
        <v>0</v>
      </c>
      <c r="AO183" s="94">
        <v>0</v>
      </c>
      <c r="AP183" s="95">
        <v>0</v>
      </c>
      <c r="AQ183" s="95">
        <v>0</v>
      </c>
      <c r="AR183" s="95">
        <v>0</v>
      </c>
      <c r="AS183" s="95">
        <v>0</v>
      </c>
      <c r="AT183" s="95">
        <v>0</v>
      </c>
      <c r="AU183" s="95">
        <v>0</v>
      </c>
      <c r="AV183" s="95">
        <v>0</v>
      </c>
      <c r="AW183" s="95">
        <v>0</v>
      </c>
      <c r="AX183" s="95">
        <v>0</v>
      </c>
      <c r="AY183" s="95">
        <v>0</v>
      </c>
      <c r="AZ183" s="95">
        <v>0</v>
      </c>
      <c r="BA183" s="95">
        <v>0</v>
      </c>
      <c r="BB183" s="95">
        <v>0</v>
      </c>
      <c r="BC183" s="95">
        <v>0</v>
      </c>
      <c r="BD183" s="95">
        <v>0</v>
      </c>
      <c r="BE183" s="95">
        <v>0</v>
      </c>
    </row>
    <row r="184" spans="2:57" ht="15" customHeight="1" x14ac:dyDescent="0.25">
      <c r="B184" s="91">
        <v>174</v>
      </c>
      <c r="C184" s="92" t="s">
        <v>504</v>
      </c>
      <c r="D184" s="92" t="s">
        <v>43</v>
      </c>
      <c r="E184" s="92" t="s">
        <v>351</v>
      </c>
      <c r="F184" s="92" t="s">
        <v>82</v>
      </c>
      <c r="G184" s="101" t="s">
        <v>502</v>
      </c>
      <c r="H184" s="94">
        <v>8484</v>
      </c>
      <c r="I184" s="94">
        <v>4579</v>
      </c>
      <c r="J184" s="94">
        <v>3905</v>
      </c>
      <c r="K184" s="94">
        <v>393</v>
      </c>
      <c r="L184" s="94">
        <v>1616</v>
      </c>
      <c r="M184" s="94">
        <v>4182</v>
      </c>
      <c r="N184" s="94">
        <v>2293</v>
      </c>
      <c r="O184" s="94">
        <v>8483</v>
      </c>
      <c r="P184" s="94">
        <v>1</v>
      </c>
      <c r="Q184" s="95">
        <v>0.110823790173624</v>
      </c>
      <c r="R184" s="95">
        <v>0.114495076711701</v>
      </c>
      <c r="S184" s="95">
        <v>0.106553010122536</v>
      </c>
      <c r="T184" s="95">
        <v>0.28490028490028502</v>
      </c>
      <c r="U184" s="95">
        <v>0.13157894736842099</v>
      </c>
      <c r="V184" s="95">
        <v>0.14921661278289</v>
      </c>
      <c r="W184" s="95">
        <v>0</v>
      </c>
      <c r="X184" s="95">
        <v>0.110837438423645</v>
      </c>
      <c r="Y184" s="95">
        <v>0</v>
      </c>
      <c r="Z184" s="94">
        <v>9587</v>
      </c>
      <c r="AA184" s="94">
        <v>5013</v>
      </c>
      <c r="AB184" s="94">
        <v>4574</v>
      </c>
      <c r="AC184" s="94">
        <v>508</v>
      </c>
      <c r="AD184" s="94">
        <v>1873</v>
      </c>
      <c r="AE184" s="94">
        <v>4705</v>
      </c>
      <c r="AF184" s="94">
        <v>2501</v>
      </c>
      <c r="AG184" s="94">
        <v>8977</v>
      </c>
      <c r="AH184" s="94">
        <v>549</v>
      </c>
      <c r="AI184" s="94">
        <v>61</v>
      </c>
      <c r="AJ184" s="94">
        <v>9537</v>
      </c>
      <c r="AK184" s="94">
        <v>23</v>
      </c>
      <c r="AL184" s="94">
        <v>27</v>
      </c>
      <c r="AM184" s="94">
        <v>680</v>
      </c>
      <c r="AN184" s="94">
        <v>8741</v>
      </c>
      <c r="AO184" s="94">
        <v>166</v>
      </c>
      <c r="AP184" s="95">
        <v>1.13137082601054</v>
      </c>
      <c r="AQ184" s="95">
        <v>0.61014096360193604</v>
      </c>
      <c r="AR184" s="95">
        <v>1.7007584463341801</v>
      </c>
      <c r="AS184" s="95">
        <v>1.4925373134328399</v>
      </c>
      <c r="AT184" s="95">
        <v>1.50115473441109</v>
      </c>
      <c r="AU184" s="95">
        <v>1.3888888888888899</v>
      </c>
      <c r="AV184" s="95">
        <v>0.32800328003279999</v>
      </c>
      <c r="AW184" s="95">
        <v>0.93665847090504595</v>
      </c>
      <c r="AX184" s="95">
        <v>4.1338582677165396</v>
      </c>
      <c r="AY184" s="95">
        <v>3.6363636363636398</v>
      </c>
      <c r="AZ184" s="95">
        <v>1.137241912333</v>
      </c>
      <c r="BA184" s="95">
        <v>0</v>
      </c>
      <c r="BB184" s="95">
        <v>0</v>
      </c>
      <c r="BC184" s="95">
        <v>0.91463414634146301</v>
      </c>
      <c r="BD184" s="95">
        <v>1.15760279754009</v>
      </c>
      <c r="BE184" s="95">
        <v>0.64516129032258096</v>
      </c>
    </row>
    <row r="185" spans="2:57" ht="15" customHeight="1" x14ac:dyDescent="0.25">
      <c r="B185" s="96">
        <v>175</v>
      </c>
      <c r="C185" s="97" t="s">
        <v>504</v>
      </c>
      <c r="D185" s="104" t="s">
        <v>43</v>
      </c>
      <c r="E185" s="104" t="s">
        <v>351</v>
      </c>
      <c r="F185" s="104" t="s">
        <v>30</v>
      </c>
      <c r="G185" s="105" t="s">
        <v>30</v>
      </c>
      <c r="H185" s="106">
        <v>5707</v>
      </c>
      <c r="I185" s="106">
        <v>3197</v>
      </c>
      <c r="J185" s="106">
        <v>2510</v>
      </c>
      <c r="K185" s="106">
        <v>189</v>
      </c>
      <c r="L185" s="106">
        <v>1167</v>
      </c>
      <c r="M185" s="106">
        <v>2792</v>
      </c>
      <c r="N185" s="106">
        <v>1559</v>
      </c>
      <c r="O185" s="106">
        <v>5706</v>
      </c>
      <c r="P185" s="106">
        <v>1</v>
      </c>
      <c r="Q185" s="107">
        <v>0.12903225806451599</v>
      </c>
      <c r="R185" s="107">
        <v>0.19788918205804801</v>
      </c>
      <c r="S185" s="107">
        <v>4.1788549937317197E-2</v>
      </c>
      <c r="T185" s="107">
        <v>0</v>
      </c>
      <c r="U185" s="107">
        <v>0.18066847335139999</v>
      </c>
      <c r="V185" s="107">
        <v>0.14975664545114201</v>
      </c>
      <c r="W185" s="107">
        <v>6.7340067340067297E-2</v>
      </c>
      <c r="X185" s="107">
        <v>0.12905604719763999</v>
      </c>
      <c r="Y185" s="107">
        <v>0</v>
      </c>
      <c r="Z185" s="106">
        <v>7632</v>
      </c>
      <c r="AA185" s="106">
        <v>4079</v>
      </c>
      <c r="AB185" s="106">
        <v>3553</v>
      </c>
      <c r="AC185" s="106">
        <v>333</v>
      </c>
      <c r="AD185" s="106">
        <v>1477</v>
      </c>
      <c r="AE185" s="106">
        <v>3825</v>
      </c>
      <c r="AF185" s="106">
        <v>1997</v>
      </c>
      <c r="AG185" s="106">
        <v>7210</v>
      </c>
      <c r="AH185" s="106">
        <v>384</v>
      </c>
      <c r="AI185" s="106">
        <v>38</v>
      </c>
      <c r="AJ185" s="106">
        <v>7587</v>
      </c>
      <c r="AK185" s="106">
        <v>13</v>
      </c>
      <c r="AL185" s="106">
        <v>32</v>
      </c>
      <c r="AM185" s="106">
        <v>650</v>
      </c>
      <c r="AN185" s="106">
        <v>6896</v>
      </c>
      <c r="AO185" s="106">
        <v>86</v>
      </c>
      <c r="AP185" s="107">
        <v>0.68054988430651997</v>
      </c>
      <c r="AQ185" s="107">
        <v>0.17825311942958999</v>
      </c>
      <c r="AR185" s="107">
        <v>1.25730994152047</v>
      </c>
      <c r="AS185" s="107">
        <v>0.94637223974763396</v>
      </c>
      <c r="AT185" s="107">
        <v>1.00358422939068</v>
      </c>
      <c r="AU185" s="107">
        <v>0.73389508018483296</v>
      </c>
      <c r="AV185" s="107">
        <v>0.30674846625766899</v>
      </c>
      <c r="AW185" s="107">
        <v>0.69094573197063502</v>
      </c>
      <c r="AX185" s="107">
        <v>0.55096418732782404</v>
      </c>
      <c r="AY185" s="107">
        <v>0</v>
      </c>
      <c r="AZ185" s="107">
        <v>0.68455640744797397</v>
      </c>
      <c r="BA185" s="107">
        <v>0</v>
      </c>
      <c r="BB185" s="107">
        <v>0</v>
      </c>
      <c r="BC185" s="107">
        <v>0</v>
      </c>
      <c r="BD185" s="107">
        <v>0.75448921080428599</v>
      </c>
      <c r="BE185" s="107">
        <v>0</v>
      </c>
    </row>
    <row r="186" spans="2:57" ht="15" customHeight="1" x14ac:dyDescent="0.25">
      <c r="B186" s="91">
        <v>176</v>
      </c>
      <c r="C186" s="92" t="s">
        <v>504</v>
      </c>
      <c r="D186" s="92" t="s">
        <v>43</v>
      </c>
      <c r="E186" s="92" t="s">
        <v>351</v>
      </c>
      <c r="F186" s="92" t="s">
        <v>30</v>
      </c>
      <c r="G186" s="101" t="s">
        <v>501</v>
      </c>
      <c r="H186" s="94">
        <v>0</v>
      </c>
      <c r="I186" s="94">
        <v>0</v>
      </c>
      <c r="J186" s="94">
        <v>0</v>
      </c>
      <c r="K186" s="94">
        <v>0</v>
      </c>
      <c r="L186" s="94">
        <v>0</v>
      </c>
      <c r="M186" s="94">
        <v>0</v>
      </c>
      <c r="N186" s="94">
        <v>0</v>
      </c>
      <c r="O186" s="94">
        <v>0</v>
      </c>
      <c r="P186" s="94">
        <v>0</v>
      </c>
      <c r="Q186" s="95">
        <v>0</v>
      </c>
      <c r="R186" s="95">
        <v>0</v>
      </c>
      <c r="S186" s="95">
        <v>0</v>
      </c>
      <c r="T186" s="95">
        <v>0</v>
      </c>
      <c r="U186" s="95">
        <v>0</v>
      </c>
      <c r="V186" s="95">
        <v>0</v>
      </c>
      <c r="W186" s="95">
        <v>0</v>
      </c>
      <c r="X186" s="95">
        <v>0</v>
      </c>
      <c r="Y186" s="95">
        <v>0</v>
      </c>
      <c r="Z186" s="94">
        <v>0</v>
      </c>
      <c r="AA186" s="94">
        <v>0</v>
      </c>
      <c r="AB186" s="94">
        <v>0</v>
      </c>
      <c r="AC186" s="94">
        <v>0</v>
      </c>
      <c r="AD186" s="94">
        <v>0</v>
      </c>
      <c r="AE186" s="94">
        <v>0</v>
      </c>
      <c r="AF186" s="94">
        <v>0</v>
      </c>
      <c r="AG186" s="94">
        <v>0</v>
      </c>
      <c r="AH186" s="94">
        <v>0</v>
      </c>
      <c r="AI186" s="94">
        <v>0</v>
      </c>
      <c r="AJ186" s="94">
        <v>0</v>
      </c>
      <c r="AK186" s="94">
        <v>0</v>
      </c>
      <c r="AL186" s="94">
        <v>0</v>
      </c>
      <c r="AM186" s="94">
        <v>0</v>
      </c>
      <c r="AN186" s="94">
        <v>0</v>
      </c>
      <c r="AO186" s="94">
        <v>0</v>
      </c>
      <c r="AP186" s="95">
        <v>0</v>
      </c>
      <c r="AQ186" s="95">
        <v>0</v>
      </c>
      <c r="AR186" s="95">
        <v>0</v>
      </c>
      <c r="AS186" s="95">
        <v>0</v>
      </c>
      <c r="AT186" s="95">
        <v>0</v>
      </c>
      <c r="AU186" s="95">
        <v>0</v>
      </c>
      <c r="AV186" s="95">
        <v>0</v>
      </c>
      <c r="AW186" s="95">
        <v>0</v>
      </c>
      <c r="AX186" s="95">
        <v>0</v>
      </c>
      <c r="AY186" s="95">
        <v>0</v>
      </c>
      <c r="AZ186" s="95">
        <v>0</v>
      </c>
      <c r="BA186" s="95">
        <v>0</v>
      </c>
      <c r="BB186" s="95">
        <v>0</v>
      </c>
      <c r="BC186" s="95">
        <v>0</v>
      </c>
      <c r="BD186" s="95">
        <v>0</v>
      </c>
      <c r="BE186" s="95">
        <v>0</v>
      </c>
    </row>
    <row r="187" spans="2:57" ht="15" customHeight="1" x14ac:dyDescent="0.25">
      <c r="B187" s="91">
        <v>177</v>
      </c>
      <c r="C187" s="92" t="s">
        <v>504</v>
      </c>
      <c r="D187" s="92" t="s">
        <v>43</v>
      </c>
      <c r="E187" s="92" t="s">
        <v>351</v>
      </c>
      <c r="F187" s="92" t="s">
        <v>30</v>
      </c>
      <c r="G187" s="101" t="s">
        <v>502</v>
      </c>
      <c r="H187" s="94">
        <v>5707</v>
      </c>
      <c r="I187" s="94">
        <v>3197</v>
      </c>
      <c r="J187" s="94">
        <v>2510</v>
      </c>
      <c r="K187" s="94">
        <v>189</v>
      </c>
      <c r="L187" s="94">
        <v>1167</v>
      </c>
      <c r="M187" s="94">
        <v>2792</v>
      </c>
      <c r="N187" s="94">
        <v>1559</v>
      </c>
      <c r="O187" s="94">
        <v>5706</v>
      </c>
      <c r="P187" s="94">
        <v>1</v>
      </c>
      <c r="Q187" s="95">
        <v>0.12903225806451599</v>
      </c>
      <c r="R187" s="95">
        <v>0.19788918205804801</v>
      </c>
      <c r="S187" s="95">
        <v>4.1788549937317197E-2</v>
      </c>
      <c r="T187" s="95">
        <v>0</v>
      </c>
      <c r="U187" s="95">
        <v>0.18066847335139999</v>
      </c>
      <c r="V187" s="95">
        <v>0.14975664545114201</v>
      </c>
      <c r="W187" s="95">
        <v>6.7340067340067297E-2</v>
      </c>
      <c r="X187" s="95">
        <v>0.12905604719763999</v>
      </c>
      <c r="Y187" s="95">
        <v>0</v>
      </c>
      <c r="Z187" s="94">
        <v>7632</v>
      </c>
      <c r="AA187" s="94">
        <v>4079</v>
      </c>
      <c r="AB187" s="94">
        <v>3553</v>
      </c>
      <c r="AC187" s="94">
        <v>333</v>
      </c>
      <c r="AD187" s="94">
        <v>1477</v>
      </c>
      <c r="AE187" s="94">
        <v>3825</v>
      </c>
      <c r="AF187" s="94">
        <v>1997</v>
      </c>
      <c r="AG187" s="94">
        <v>7210</v>
      </c>
      <c r="AH187" s="94">
        <v>384</v>
      </c>
      <c r="AI187" s="94">
        <v>38</v>
      </c>
      <c r="AJ187" s="94">
        <v>7587</v>
      </c>
      <c r="AK187" s="94">
        <v>13</v>
      </c>
      <c r="AL187" s="94">
        <v>32</v>
      </c>
      <c r="AM187" s="94">
        <v>650</v>
      </c>
      <c r="AN187" s="94">
        <v>6896</v>
      </c>
      <c r="AO187" s="94">
        <v>86</v>
      </c>
      <c r="AP187" s="95">
        <v>0.68054988430651997</v>
      </c>
      <c r="AQ187" s="95">
        <v>0.17825311942958999</v>
      </c>
      <c r="AR187" s="95">
        <v>1.25730994152047</v>
      </c>
      <c r="AS187" s="95">
        <v>0.94637223974763396</v>
      </c>
      <c r="AT187" s="95">
        <v>1.00358422939068</v>
      </c>
      <c r="AU187" s="95">
        <v>0.73389508018483296</v>
      </c>
      <c r="AV187" s="95">
        <v>0.30674846625766899</v>
      </c>
      <c r="AW187" s="95">
        <v>0.69094573197063502</v>
      </c>
      <c r="AX187" s="95">
        <v>0.55096418732782404</v>
      </c>
      <c r="AY187" s="95">
        <v>0</v>
      </c>
      <c r="AZ187" s="95">
        <v>0.68455640744797397</v>
      </c>
      <c r="BA187" s="95">
        <v>0</v>
      </c>
      <c r="BB187" s="95">
        <v>0</v>
      </c>
      <c r="BC187" s="95">
        <v>0</v>
      </c>
      <c r="BD187" s="95">
        <v>0.75448921080428599</v>
      </c>
      <c r="BE187" s="95">
        <v>0</v>
      </c>
    </row>
    <row r="188" spans="2:57" ht="15" customHeight="1" x14ac:dyDescent="0.25">
      <c r="B188" s="96">
        <v>178</v>
      </c>
      <c r="C188" s="97" t="s">
        <v>504</v>
      </c>
      <c r="D188" s="104" t="s">
        <v>43</v>
      </c>
      <c r="E188" s="104" t="s">
        <v>351</v>
      </c>
      <c r="F188" s="104" t="s">
        <v>148</v>
      </c>
      <c r="G188" s="105" t="s">
        <v>148</v>
      </c>
      <c r="H188" s="106">
        <v>1986</v>
      </c>
      <c r="I188" s="106">
        <v>1077</v>
      </c>
      <c r="J188" s="106">
        <v>909</v>
      </c>
      <c r="K188" s="106">
        <v>63</v>
      </c>
      <c r="L188" s="106">
        <v>346</v>
      </c>
      <c r="M188" s="106">
        <v>1040</v>
      </c>
      <c r="N188" s="106">
        <v>537</v>
      </c>
      <c r="O188" s="106">
        <v>1985</v>
      </c>
      <c r="P188" s="106">
        <v>1</v>
      </c>
      <c r="Q188" s="107">
        <v>0.40858018386108302</v>
      </c>
      <c r="R188" s="107">
        <v>0.56657223796033995</v>
      </c>
      <c r="S188" s="107">
        <v>0.222469410456062</v>
      </c>
      <c r="T188" s="107">
        <v>0</v>
      </c>
      <c r="U188" s="107">
        <v>0.29673590504450997</v>
      </c>
      <c r="V188" s="107">
        <v>0.68093385214007796</v>
      </c>
      <c r="W188" s="107">
        <v>0</v>
      </c>
      <c r="X188" s="107">
        <v>0.40878896269800702</v>
      </c>
      <c r="Y188" s="107">
        <v>0</v>
      </c>
      <c r="Z188" s="106">
        <v>3345</v>
      </c>
      <c r="AA188" s="106">
        <v>1663</v>
      </c>
      <c r="AB188" s="106">
        <v>1682</v>
      </c>
      <c r="AC188" s="106">
        <v>176</v>
      </c>
      <c r="AD188" s="106">
        <v>675</v>
      </c>
      <c r="AE188" s="106">
        <v>1666</v>
      </c>
      <c r="AF188" s="106">
        <v>828</v>
      </c>
      <c r="AG188" s="106">
        <v>3152</v>
      </c>
      <c r="AH188" s="106">
        <v>181</v>
      </c>
      <c r="AI188" s="106">
        <v>12</v>
      </c>
      <c r="AJ188" s="106">
        <v>3337</v>
      </c>
      <c r="AK188" s="106">
        <v>2</v>
      </c>
      <c r="AL188" s="106">
        <v>6</v>
      </c>
      <c r="AM188" s="106">
        <v>304</v>
      </c>
      <c r="AN188" s="106">
        <v>3017</v>
      </c>
      <c r="AO188" s="106">
        <v>24</v>
      </c>
      <c r="AP188" s="107">
        <v>0.86260012322858903</v>
      </c>
      <c r="AQ188" s="107">
        <v>0.37174721189591098</v>
      </c>
      <c r="AR188" s="107">
        <v>1.3480392156862699</v>
      </c>
      <c r="AS188" s="107">
        <v>0.58479532163742698</v>
      </c>
      <c r="AT188" s="107">
        <v>1.8376722817764199</v>
      </c>
      <c r="AU188" s="107">
        <v>0.806952203600248</v>
      </c>
      <c r="AV188" s="107">
        <v>0.246609124537608</v>
      </c>
      <c r="AW188" s="107">
        <v>0.81672655994772902</v>
      </c>
      <c r="AX188" s="107">
        <v>1.7341040462427699</v>
      </c>
      <c r="AY188" s="107">
        <v>0</v>
      </c>
      <c r="AZ188" s="107">
        <v>0.86473131562692995</v>
      </c>
      <c r="BA188" s="107">
        <v>0</v>
      </c>
      <c r="BB188" s="107">
        <v>0</v>
      </c>
      <c r="BC188" s="107">
        <v>0.34129692832764502</v>
      </c>
      <c r="BD188" s="107">
        <v>0.92150170648464202</v>
      </c>
      <c r="BE188" s="107">
        <v>0</v>
      </c>
    </row>
    <row r="189" spans="2:57" ht="15" customHeight="1" x14ac:dyDescent="0.25">
      <c r="B189" s="91">
        <v>179</v>
      </c>
      <c r="C189" s="92" t="s">
        <v>504</v>
      </c>
      <c r="D189" s="92" t="s">
        <v>43</v>
      </c>
      <c r="E189" s="92" t="s">
        <v>351</v>
      </c>
      <c r="F189" s="92" t="s">
        <v>148</v>
      </c>
      <c r="G189" s="101" t="s">
        <v>501</v>
      </c>
      <c r="H189" s="94">
        <v>0</v>
      </c>
      <c r="I189" s="94">
        <v>0</v>
      </c>
      <c r="J189" s="94">
        <v>0</v>
      </c>
      <c r="K189" s="94">
        <v>0</v>
      </c>
      <c r="L189" s="94">
        <v>0</v>
      </c>
      <c r="M189" s="94">
        <v>0</v>
      </c>
      <c r="N189" s="94">
        <v>0</v>
      </c>
      <c r="O189" s="94">
        <v>0</v>
      </c>
      <c r="P189" s="94">
        <v>0</v>
      </c>
      <c r="Q189" s="95">
        <v>0</v>
      </c>
      <c r="R189" s="95">
        <v>0</v>
      </c>
      <c r="S189" s="95">
        <v>0</v>
      </c>
      <c r="T189" s="95">
        <v>0</v>
      </c>
      <c r="U189" s="95">
        <v>0</v>
      </c>
      <c r="V189" s="95">
        <v>0</v>
      </c>
      <c r="W189" s="95">
        <v>0</v>
      </c>
      <c r="X189" s="95">
        <v>0</v>
      </c>
      <c r="Y189" s="95">
        <v>0</v>
      </c>
      <c r="Z189" s="94">
        <v>0</v>
      </c>
      <c r="AA189" s="94">
        <v>0</v>
      </c>
      <c r="AB189" s="94">
        <v>0</v>
      </c>
      <c r="AC189" s="94">
        <v>0</v>
      </c>
      <c r="AD189" s="94">
        <v>0</v>
      </c>
      <c r="AE189" s="94">
        <v>0</v>
      </c>
      <c r="AF189" s="94">
        <v>0</v>
      </c>
      <c r="AG189" s="94">
        <v>0</v>
      </c>
      <c r="AH189" s="94">
        <v>0</v>
      </c>
      <c r="AI189" s="94">
        <v>0</v>
      </c>
      <c r="AJ189" s="94">
        <v>0</v>
      </c>
      <c r="AK189" s="94">
        <v>0</v>
      </c>
      <c r="AL189" s="94">
        <v>0</v>
      </c>
      <c r="AM189" s="94">
        <v>0</v>
      </c>
      <c r="AN189" s="94">
        <v>0</v>
      </c>
      <c r="AO189" s="94">
        <v>0</v>
      </c>
      <c r="AP189" s="95">
        <v>0</v>
      </c>
      <c r="AQ189" s="95">
        <v>0</v>
      </c>
      <c r="AR189" s="95">
        <v>0</v>
      </c>
      <c r="AS189" s="95">
        <v>0</v>
      </c>
      <c r="AT189" s="95">
        <v>0</v>
      </c>
      <c r="AU189" s="95">
        <v>0</v>
      </c>
      <c r="AV189" s="95">
        <v>0</v>
      </c>
      <c r="AW189" s="95">
        <v>0</v>
      </c>
      <c r="AX189" s="95">
        <v>0</v>
      </c>
      <c r="AY189" s="95">
        <v>0</v>
      </c>
      <c r="AZ189" s="95">
        <v>0</v>
      </c>
      <c r="BA189" s="95">
        <v>0</v>
      </c>
      <c r="BB189" s="95">
        <v>0</v>
      </c>
      <c r="BC189" s="95">
        <v>0</v>
      </c>
      <c r="BD189" s="95">
        <v>0</v>
      </c>
      <c r="BE189" s="95">
        <v>0</v>
      </c>
    </row>
    <row r="190" spans="2:57" ht="15" customHeight="1" x14ac:dyDescent="0.25">
      <c r="B190" s="91">
        <v>180</v>
      </c>
      <c r="C190" s="92" t="s">
        <v>504</v>
      </c>
      <c r="D190" s="92" t="s">
        <v>43</v>
      </c>
      <c r="E190" s="92" t="s">
        <v>351</v>
      </c>
      <c r="F190" s="92" t="s">
        <v>148</v>
      </c>
      <c r="G190" s="101" t="s">
        <v>502</v>
      </c>
      <c r="H190" s="94">
        <v>1986</v>
      </c>
      <c r="I190" s="94">
        <v>1077</v>
      </c>
      <c r="J190" s="94">
        <v>909</v>
      </c>
      <c r="K190" s="94">
        <v>63</v>
      </c>
      <c r="L190" s="94">
        <v>346</v>
      </c>
      <c r="M190" s="94">
        <v>1040</v>
      </c>
      <c r="N190" s="94">
        <v>537</v>
      </c>
      <c r="O190" s="94">
        <v>1985</v>
      </c>
      <c r="P190" s="94">
        <v>1</v>
      </c>
      <c r="Q190" s="95">
        <v>0.40858018386108302</v>
      </c>
      <c r="R190" s="95">
        <v>0.56657223796033995</v>
      </c>
      <c r="S190" s="95">
        <v>0.222469410456062</v>
      </c>
      <c r="T190" s="95">
        <v>0</v>
      </c>
      <c r="U190" s="95">
        <v>0.29673590504450997</v>
      </c>
      <c r="V190" s="95">
        <v>0.68093385214007796</v>
      </c>
      <c r="W190" s="95">
        <v>0</v>
      </c>
      <c r="X190" s="95">
        <v>0.40878896269800702</v>
      </c>
      <c r="Y190" s="95">
        <v>0</v>
      </c>
      <c r="Z190" s="94">
        <v>3345</v>
      </c>
      <c r="AA190" s="94">
        <v>1663</v>
      </c>
      <c r="AB190" s="94">
        <v>1682</v>
      </c>
      <c r="AC190" s="94">
        <v>176</v>
      </c>
      <c r="AD190" s="94">
        <v>675</v>
      </c>
      <c r="AE190" s="94">
        <v>1666</v>
      </c>
      <c r="AF190" s="94">
        <v>828</v>
      </c>
      <c r="AG190" s="94">
        <v>3152</v>
      </c>
      <c r="AH190" s="94">
        <v>181</v>
      </c>
      <c r="AI190" s="94">
        <v>12</v>
      </c>
      <c r="AJ190" s="94">
        <v>3337</v>
      </c>
      <c r="AK190" s="94">
        <v>2</v>
      </c>
      <c r="AL190" s="94">
        <v>6</v>
      </c>
      <c r="AM190" s="94">
        <v>304</v>
      </c>
      <c r="AN190" s="94">
        <v>3017</v>
      </c>
      <c r="AO190" s="94">
        <v>24</v>
      </c>
      <c r="AP190" s="95">
        <v>0.86260012322858903</v>
      </c>
      <c r="AQ190" s="95">
        <v>0.37174721189591098</v>
      </c>
      <c r="AR190" s="95">
        <v>1.3480392156862699</v>
      </c>
      <c r="AS190" s="95">
        <v>0.58479532163742698</v>
      </c>
      <c r="AT190" s="95">
        <v>1.8376722817764199</v>
      </c>
      <c r="AU190" s="95">
        <v>0.806952203600248</v>
      </c>
      <c r="AV190" s="95">
        <v>0.246609124537608</v>
      </c>
      <c r="AW190" s="95">
        <v>0.81672655994772902</v>
      </c>
      <c r="AX190" s="95">
        <v>1.7341040462427699</v>
      </c>
      <c r="AY190" s="95">
        <v>0</v>
      </c>
      <c r="AZ190" s="95">
        <v>0.86473131562692995</v>
      </c>
      <c r="BA190" s="95">
        <v>0</v>
      </c>
      <c r="BB190" s="95">
        <v>0</v>
      </c>
      <c r="BC190" s="95">
        <v>0.34129692832764502</v>
      </c>
      <c r="BD190" s="95">
        <v>0.92150170648464202</v>
      </c>
      <c r="BE190" s="95">
        <v>0</v>
      </c>
    </row>
    <row r="191" spans="2:57" ht="15" customHeight="1" x14ac:dyDescent="0.25">
      <c r="B191" s="96">
        <v>181</v>
      </c>
      <c r="C191" s="97" t="s">
        <v>504</v>
      </c>
      <c r="D191" s="104" t="s">
        <v>43</v>
      </c>
      <c r="E191" s="104" t="s">
        <v>351</v>
      </c>
      <c r="F191" s="104" t="s">
        <v>93</v>
      </c>
      <c r="G191" s="105" t="s">
        <v>93</v>
      </c>
      <c r="H191" s="106">
        <v>1572</v>
      </c>
      <c r="I191" s="106">
        <v>894</v>
      </c>
      <c r="J191" s="106">
        <v>678</v>
      </c>
      <c r="K191" s="106">
        <v>55</v>
      </c>
      <c r="L191" s="106">
        <v>368</v>
      </c>
      <c r="M191" s="106">
        <v>819</v>
      </c>
      <c r="N191" s="106">
        <v>330</v>
      </c>
      <c r="O191" s="106">
        <v>1566</v>
      </c>
      <c r="P191" s="106">
        <v>6</v>
      </c>
      <c r="Q191" s="107">
        <v>0.34199726402188801</v>
      </c>
      <c r="R191" s="107">
        <v>0.36496350364963498</v>
      </c>
      <c r="S191" s="107">
        <v>0.3125</v>
      </c>
      <c r="T191" s="107">
        <v>4.6511627906976702</v>
      </c>
      <c r="U191" s="107">
        <v>0.60240963855421703</v>
      </c>
      <c r="V191" s="107">
        <v>0.12953367875647701</v>
      </c>
      <c r="W191" s="107">
        <v>0</v>
      </c>
      <c r="X191" s="107">
        <v>0.343170899107756</v>
      </c>
      <c r="Y191" s="107">
        <v>0</v>
      </c>
      <c r="Z191" s="106">
        <v>2401</v>
      </c>
      <c r="AA191" s="106">
        <v>1314</v>
      </c>
      <c r="AB191" s="106">
        <v>1087</v>
      </c>
      <c r="AC191" s="106">
        <v>98</v>
      </c>
      <c r="AD191" s="106">
        <v>507</v>
      </c>
      <c r="AE191" s="106">
        <v>1291</v>
      </c>
      <c r="AF191" s="106">
        <v>505</v>
      </c>
      <c r="AG191" s="106">
        <v>2206</v>
      </c>
      <c r="AH191" s="106">
        <v>179</v>
      </c>
      <c r="AI191" s="106">
        <v>16</v>
      </c>
      <c r="AJ191" s="106">
        <v>2357</v>
      </c>
      <c r="AK191" s="106">
        <v>32</v>
      </c>
      <c r="AL191" s="106">
        <v>12</v>
      </c>
      <c r="AM191" s="106">
        <v>189</v>
      </c>
      <c r="AN191" s="106">
        <v>2184</v>
      </c>
      <c r="AO191" s="106">
        <v>28</v>
      </c>
      <c r="AP191" s="107">
        <v>0.863557858376511</v>
      </c>
      <c r="AQ191" s="107">
        <v>0.31670625494853499</v>
      </c>
      <c r="AR191" s="107">
        <v>1.51946818613485</v>
      </c>
      <c r="AS191" s="107">
        <v>0</v>
      </c>
      <c r="AT191" s="107">
        <v>1.2396694214876001</v>
      </c>
      <c r="AU191" s="107">
        <v>0.96618357487922701</v>
      </c>
      <c r="AV191" s="107">
        <v>0.40485829959514202</v>
      </c>
      <c r="AW191" s="107">
        <v>0.70455612963832803</v>
      </c>
      <c r="AX191" s="107">
        <v>2.9239766081871301</v>
      </c>
      <c r="AY191" s="107">
        <v>0</v>
      </c>
      <c r="AZ191" s="107">
        <v>0.88028169014084501</v>
      </c>
      <c r="BA191" s="107">
        <v>0</v>
      </c>
      <c r="BB191" s="107">
        <v>0</v>
      </c>
      <c r="BC191" s="107">
        <v>0.54644808743169404</v>
      </c>
      <c r="BD191" s="107">
        <v>0.90218423551756899</v>
      </c>
      <c r="BE191" s="107">
        <v>0</v>
      </c>
    </row>
    <row r="192" spans="2:57" ht="15" customHeight="1" x14ac:dyDescent="0.25">
      <c r="B192" s="91">
        <v>182</v>
      </c>
      <c r="C192" s="92" t="s">
        <v>504</v>
      </c>
      <c r="D192" s="92" t="s">
        <v>43</v>
      </c>
      <c r="E192" s="92" t="s">
        <v>351</v>
      </c>
      <c r="F192" s="92" t="s">
        <v>93</v>
      </c>
      <c r="G192" s="101" t="s">
        <v>501</v>
      </c>
      <c r="H192" s="94">
        <v>0</v>
      </c>
      <c r="I192" s="94">
        <v>0</v>
      </c>
      <c r="J192" s="94">
        <v>0</v>
      </c>
      <c r="K192" s="94">
        <v>0</v>
      </c>
      <c r="L192" s="94">
        <v>0</v>
      </c>
      <c r="M192" s="94">
        <v>0</v>
      </c>
      <c r="N192" s="94">
        <v>0</v>
      </c>
      <c r="O192" s="94">
        <v>0</v>
      </c>
      <c r="P192" s="94">
        <v>0</v>
      </c>
      <c r="Q192" s="95">
        <v>0</v>
      </c>
      <c r="R192" s="95">
        <v>0</v>
      </c>
      <c r="S192" s="95">
        <v>0</v>
      </c>
      <c r="T192" s="95">
        <v>0</v>
      </c>
      <c r="U192" s="95">
        <v>0</v>
      </c>
      <c r="V192" s="95">
        <v>0</v>
      </c>
      <c r="W192" s="95">
        <v>0</v>
      </c>
      <c r="X192" s="95">
        <v>0</v>
      </c>
      <c r="Y192" s="95">
        <v>0</v>
      </c>
      <c r="Z192" s="94">
        <v>0</v>
      </c>
      <c r="AA192" s="94">
        <v>0</v>
      </c>
      <c r="AB192" s="94">
        <v>0</v>
      </c>
      <c r="AC192" s="94">
        <v>0</v>
      </c>
      <c r="AD192" s="94">
        <v>0</v>
      </c>
      <c r="AE192" s="94">
        <v>0</v>
      </c>
      <c r="AF192" s="94">
        <v>0</v>
      </c>
      <c r="AG192" s="94">
        <v>0</v>
      </c>
      <c r="AH192" s="94">
        <v>0</v>
      </c>
      <c r="AI192" s="94">
        <v>0</v>
      </c>
      <c r="AJ192" s="94">
        <v>0</v>
      </c>
      <c r="AK192" s="94">
        <v>0</v>
      </c>
      <c r="AL192" s="94">
        <v>0</v>
      </c>
      <c r="AM192" s="94">
        <v>0</v>
      </c>
      <c r="AN192" s="94">
        <v>0</v>
      </c>
      <c r="AO192" s="94">
        <v>0</v>
      </c>
      <c r="AP192" s="95">
        <v>0</v>
      </c>
      <c r="AQ192" s="95">
        <v>0</v>
      </c>
      <c r="AR192" s="95">
        <v>0</v>
      </c>
      <c r="AS192" s="95">
        <v>0</v>
      </c>
      <c r="AT192" s="95">
        <v>0</v>
      </c>
      <c r="AU192" s="95">
        <v>0</v>
      </c>
      <c r="AV192" s="95">
        <v>0</v>
      </c>
      <c r="AW192" s="95">
        <v>0</v>
      </c>
      <c r="AX192" s="95">
        <v>0</v>
      </c>
      <c r="AY192" s="95">
        <v>0</v>
      </c>
      <c r="AZ192" s="95">
        <v>0</v>
      </c>
      <c r="BA192" s="95">
        <v>0</v>
      </c>
      <c r="BB192" s="95">
        <v>0</v>
      </c>
      <c r="BC192" s="95">
        <v>0</v>
      </c>
      <c r="BD192" s="95">
        <v>0</v>
      </c>
      <c r="BE192" s="95">
        <v>0</v>
      </c>
    </row>
    <row r="193" spans="2:57" ht="15" customHeight="1" x14ac:dyDescent="0.25">
      <c r="B193" s="91">
        <v>183</v>
      </c>
      <c r="C193" s="92" t="s">
        <v>504</v>
      </c>
      <c r="D193" s="92" t="s">
        <v>43</v>
      </c>
      <c r="E193" s="92" t="s">
        <v>351</v>
      </c>
      <c r="F193" s="92" t="s">
        <v>93</v>
      </c>
      <c r="G193" s="101" t="s">
        <v>502</v>
      </c>
      <c r="H193" s="94">
        <v>1572</v>
      </c>
      <c r="I193" s="94">
        <v>894</v>
      </c>
      <c r="J193" s="94">
        <v>678</v>
      </c>
      <c r="K193" s="94">
        <v>55</v>
      </c>
      <c r="L193" s="94">
        <v>368</v>
      </c>
      <c r="M193" s="94">
        <v>819</v>
      </c>
      <c r="N193" s="94">
        <v>330</v>
      </c>
      <c r="O193" s="94">
        <v>1566</v>
      </c>
      <c r="P193" s="94">
        <v>6</v>
      </c>
      <c r="Q193" s="95">
        <v>0.34199726402188801</v>
      </c>
      <c r="R193" s="95">
        <v>0.36496350364963498</v>
      </c>
      <c r="S193" s="95">
        <v>0.3125</v>
      </c>
      <c r="T193" s="95">
        <v>4.6511627906976702</v>
      </c>
      <c r="U193" s="95">
        <v>0.60240963855421703</v>
      </c>
      <c r="V193" s="95">
        <v>0.12953367875647701</v>
      </c>
      <c r="W193" s="95">
        <v>0</v>
      </c>
      <c r="X193" s="95">
        <v>0.343170899107756</v>
      </c>
      <c r="Y193" s="95">
        <v>0</v>
      </c>
      <c r="Z193" s="94">
        <v>2401</v>
      </c>
      <c r="AA193" s="94">
        <v>1314</v>
      </c>
      <c r="AB193" s="94">
        <v>1087</v>
      </c>
      <c r="AC193" s="94">
        <v>98</v>
      </c>
      <c r="AD193" s="94">
        <v>507</v>
      </c>
      <c r="AE193" s="94">
        <v>1291</v>
      </c>
      <c r="AF193" s="94">
        <v>505</v>
      </c>
      <c r="AG193" s="94">
        <v>2206</v>
      </c>
      <c r="AH193" s="94">
        <v>179</v>
      </c>
      <c r="AI193" s="94">
        <v>16</v>
      </c>
      <c r="AJ193" s="94">
        <v>2357</v>
      </c>
      <c r="AK193" s="94">
        <v>32</v>
      </c>
      <c r="AL193" s="94">
        <v>12</v>
      </c>
      <c r="AM193" s="94">
        <v>189</v>
      </c>
      <c r="AN193" s="94">
        <v>2184</v>
      </c>
      <c r="AO193" s="94">
        <v>28</v>
      </c>
      <c r="AP193" s="95">
        <v>0.863557858376511</v>
      </c>
      <c r="AQ193" s="95">
        <v>0.31670625494853499</v>
      </c>
      <c r="AR193" s="95">
        <v>1.51946818613485</v>
      </c>
      <c r="AS193" s="95">
        <v>0</v>
      </c>
      <c r="AT193" s="95">
        <v>1.2396694214876001</v>
      </c>
      <c r="AU193" s="95">
        <v>0.96618357487922701</v>
      </c>
      <c r="AV193" s="95">
        <v>0.40485829959514202</v>
      </c>
      <c r="AW193" s="95">
        <v>0.70455612963832803</v>
      </c>
      <c r="AX193" s="95">
        <v>2.9239766081871301</v>
      </c>
      <c r="AY193" s="95">
        <v>0</v>
      </c>
      <c r="AZ193" s="95">
        <v>0.88028169014084501</v>
      </c>
      <c r="BA193" s="95">
        <v>0</v>
      </c>
      <c r="BB193" s="95">
        <v>0</v>
      </c>
      <c r="BC193" s="95">
        <v>0.54644808743169404</v>
      </c>
      <c r="BD193" s="95">
        <v>0.90218423551756899</v>
      </c>
      <c r="BE193" s="95">
        <v>0</v>
      </c>
    </row>
    <row r="194" spans="2:57" ht="15" customHeight="1" x14ac:dyDescent="0.25">
      <c r="B194" s="96">
        <v>184</v>
      </c>
      <c r="C194" s="97" t="s">
        <v>504</v>
      </c>
      <c r="D194" s="104" t="s">
        <v>43</v>
      </c>
      <c r="E194" s="104" t="s">
        <v>351</v>
      </c>
      <c r="F194" s="104" t="s">
        <v>460</v>
      </c>
      <c r="G194" s="105" t="s">
        <v>460</v>
      </c>
      <c r="H194" s="106">
        <v>2306</v>
      </c>
      <c r="I194" s="106">
        <v>1321</v>
      </c>
      <c r="J194" s="106">
        <v>985</v>
      </c>
      <c r="K194" s="106">
        <v>147</v>
      </c>
      <c r="L194" s="106">
        <v>790</v>
      </c>
      <c r="M194" s="106">
        <v>1154</v>
      </c>
      <c r="N194" s="106">
        <v>215</v>
      </c>
      <c r="O194" s="106">
        <v>2291</v>
      </c>
      <c r="P194" s="106">
        <v>15</v>
      </c>
      <c r="Q194" s="107">
        <v>0.276370336250576</v>
      </c>
      <c r="R194" s="107">
        <v>0.481154771451484</v>
      </c>
      <c r="S194" s="107">
        <v>0</v>
      </c>
      <c r="T194" s="107">
        <v>0.71942446043165498</v>
      </c>
      <c r="U194" s="107">
        <v>0.40322580645161299</v>
      </c>
      <c r="V194" s="107">
        <v>0.183823529411765</v>
      </c>
      <c r="W194" s="107">
        <v>0</v>
      </c>
      <c r="X194" s="107">
        <v>0.27829313543599299</v>
      </c>
      <c r="Y194" s="107">
        <v>0</v>
      </c>
      <c r="Z194" s="106">
        <v>4053</v>
      </c>
      <c r="AA194" s="106">
        <v>2349</v>
      </c>
      <c r="AB194" s="106">
        <v>1704</v>
      </c>
      <c r="AC194" s="106">
        <v>225</v>
      </c>
      <c r="AD194" s="106">
        <v>1239</v>
      </c>
      <c r="AE194" s="106">
        <v>2147</v>
      </c>
      <c r="AF194" s="106">
        <v>442</v>
      </c>
      <c r="AG194" s="106">
        <v>3610</v>
      </c>
      <c r="AH194" s="106">
        <v>399</v>
      </c>
      <c r="AI194" s="106">
        <v>44</v>
      </c>
      <c r="AJ194" s="106">
        <v>4029</v>
      </c>
      <c r="AK194" s="106">
        <v>5</v>
      </c>
      <c r="AL194" s="106">
        <v>19</v>
      </c>
      <c r="AM194" s="106">
        <v>106</v>
      </c>
      <c r="AN194" s="106">
        <v>3817</v>
      </c>
      <c r="AO194" s="106">
        <v>130</v>
      </c>
      <c r="AP194" s="107">
        <v>1.32433134250844</v>
      </c>
      <c r="AQ194" s="107">
        <v>0.53238686779059496</v>
      </c>
      <c r="AR194" s="107">
        <v>2.4420788979336301</v>
      </c>
      <c r="AS194" s="107">
        <v>0.952380952380952</v>
      </c>
      <c r="AT194" s="107">
        <v>1.4731369150779901</v>
      </c>
      <c r="AU194" s="107">
        <v>1.4556040756914099</v>
      </c>
      <c r="AV194" s="107">
        <v>0.46948356807511699</v>
      </c>
      <c r="AW194" s="107">
        <v>1.2514551804423699</v>
      </c>
      <c r="AX194" s="107">
        <v>2.12765957446809</v>
      </c>
      <c r="AY194" s="107">
        <v>0</v>
      </c>
      <c r="AZ194" s="107">
        <v>1.33159268929504</v>
      </c>
      <c r="BA194" s="107">
        <v>0</v>
      </c>
      <c r="BB194" s="107">
        <v>0</v>
      </c>
      <c r="BC194" s="107">
        <v>0</v>
      </c>
      <c r="BD194" s="107">
        <v>1.3793103448275901</v>
      </c>
      <c r="BE194" s="107">
        <v>0.81300813008130102</v>
      </c>
    </row>
    <row r="195" spans="2:57" ht="15" customHeight="1" x14ac:dyDescent="0.25">
      <c r="B195" s="91">
        <v>185</v>
      </c>
      <c r="C195" s="92" t="s">
        <v>504</v>
      </c>
      <c r="D195" s="92" t="s">
        <v>43</v>
      </c>
      <c r="E195" s="92" t="s">
        <v>351</v>
      </c>
      <c r="F195" s="92" t="s">
        <v>460</v>
      </c>
      <c r="G195" s="101" t="s">
        <v>501</v>
      </c>
      <c r="H195" s="94">
        <v>862</v>
      </c>
      <c r="I195" s="94">
        <v>525</v>
      </c>
      <c r="J195" s="94">
        <v>337</v>
      </c>
      <c r="K195" s="94">
        <v>55</v>
      </c>
      <c r="L195" s="94">
        <v>318</v>
      </c>
      <c r="M195" s="94">
        <v>435</v>
      </c>
      <c r="N195" s="94">
        <v>54</v>
      </c>
      <c r="O195" s="94">
        <v>850</v>
      </c>
      <c r="P195" s="94">
        <v>12</v>
      </c>
      <c r="Q195" s="95">
        <v>0.48721071863581</v>
      </c>
      <c r="R195" s="95">
        <v>0.79522862823061602</v>
      </c>
      <c r="S195" s="95">
        <v>0</v>
      </c>
      <c r="T195" s="95">
        <v>2</v>
      </c>
      <c r="U195" s="95">
        <v>0.32894736842105299</v>
      </c>
      <c r="V195" s="95">
        <v>0.480769230769231</v>
      </c>
      <c r="W195" s="95">
        <v>0</v>
      </c>
      <c r="X195" s="95">
        <v>0.49443757725587101</v>
      </c>
      <c r="Y195" s="95">
        <v>0</v>
      </c>
      <c r="Z195" s="94">
        <v>1060</v>
      </c>
      <c r="AA195" s="94">
        <v>621</v>
      </c>
      <c r="AB195" s="94">
        <v>439</v>
      </c>
      <c r="AC195" s="94">
        <v>44</v>
      </c>
      <c r="AD195" s="94">
        <v>298</v>
      </c>
      <c r="AE195" s="94">
        <v>596</v>
      </c>
      <c r="AF195" s="94">
        <v>122</v>
      </c>
      <c r="AG195" s="94">
        <v>927</v>
      </c>
      <c r="AH195" s="94">
        <v>124</v>
      </c>
      <c r="AI195" s="94">
        <v>9</v>
      </c>
      <c r="AJ195" s="94">
        <v>1049</v>
      </c>
      <c r="AK195" s="94">
        <v>4</v>
      </c>
      <c r="AL195" s="94">
        <v>7</v>
      </c>
      <c r="AM195" s="94">
        <v>35</v>
      </c>
      <c r="AN195" s="94">
        <v>1011</v>
      </c>
      <c r="AO195" s="94">
        <v>14</v>
      </c>
      <c r="AP195" s="95">
        <v>1.2182741116751299</v>
      </c>
      <c r="AQ195" s="95">
        <v>0.50505050505050497</v>
      </c>
      <c r="AR195" s="95">
        <v>2.3017902813299198</v>
      </c>
      <c r="AS195" s="95">
        <v>2.5</v>
      </c>
      <c r="AT195" s="95">
        <v>1.4285714285714299</v>
      </c>
      <c r="AU195" s="95">
        <v>1.2773722627737201</v>
      </c>
      <c r="AV195" s="95">
        <v>0</v>
      </c>
      <c r="AW195" s="95">
        <v>1.26728110599078</v>
      </c>
      <c r="AX195" s="95">
        <v>0.90909090909090895</v>
      </c>
      <c r="AY195" s="95">
        <v>0</v>
      </c>
      <c r="AZ195" s="95">
        <v>1.22950819672131</v>
      </c>
      <c r="BA195" s="95">
        <v>0</v>
      </c>
      <c r="BB195" s="95">
        <v>0</v>
      </c>
      <c r="BC195" s="95">
        <v>0</v>
      </c>
      <c r="BD195" s="95">
        <v>1.2793176972281499</v>
      </c>
      <c r="BE195" s="95">
        <v>0</v>
      </c>
    </row>
    <row r="196" spans="2:57" ht="15" customHeight="1" x14ac:dyDescent="0.25">
      <c r="B196" s="91">
        <v>186</v>
      </c>
      <c r="C196" s="92" t="s">
        <v>504</v>
      </c>
      <c r="D196" s="92" t="s">
        <v>43</v>
      </c>
      <c r="E196" s="92" t="s">
        <v>351</v>
      </c>
      <c r="F196" s="92" t="s">
        <v>460</v>
      </c>
      <c r="G196" s="101" t="s">
        <v>502</v>
      </c>
      <c r="H196" s="94">
        <v>1444</v>
      </c>
      <c r="I196" s="94">
        <v>796</v>
      </c>
      <c r="J196" s="94">
        <v>648</v>
      </c>
      <c r="K196" s="94">
        <v>92</v>
      </c>
      <c r="L196" s="94">
        <v>472</v>
      </c>
      <c r="M196" s="94">
        <v>719</v>
      </c>
      <c r="N196" s="94">
        <v>161</v>
      </c>
      <c r="O196" s="94">
        <v>1441</v>
      </c>
      <c r="P196" s="94">
        <v>3</v>
      </c>
      <c r="Q196" s="95">
        <v>0.148148148148148</v>
      </c>
      <c r="R196" s="95">
        <v>0.26881720430107497</v>
      </c>
      <c r="S196" s="95">
        <v>0</v>
      </c>
      <c r="T196" s="95">
        <v>0</v>
      </c>
      <c r="U196" s="95">
        <v>0.45454545454545497</v>
      </c>
      <c r="V196" s="95">
        <v>0</v>
      </c>
      <c r="W196" s="95">
        <v>0</v>
      </c>
      <c r="X196" s="95">
        <v>0.148478099480327</v>
      </c>
      <c r="Y196" s="95">
        <v>0</v>
      </c>
      <c r="Z196" s="94">
        <v>2993</v>
      </c>
      <c r="AA196" s="94">
        <v>1728</v>
      </c>
      <c r="AB196" s="94">
        <v>1265</v>
      </c>
      <c r="AC196" s="94">
        <v>181</v>
      </c>
      <c r="AD196" s="94">
        <v>941</v>
      </c>
      <c r="AE196" s="94">
        <v>1551</v>
      </c>
      <c r="AF196" s="94">
        <v>320</v>
      </c>
      <c r="AG196" s="94">
        <v>2683</v>
      </c>
      <c r="AH196" s="94">
        <v>275</v>
      </c>
      <c r="AI196" s="94">
        <v>35</v>
      </c>
      <c r="AJ196" s="94">
        <v>2980</v>
      </c>
      <c r="AK196" s="94">
        <v>1</v>
      </c>
      <c r="AL196" s="94">
        <v>12</v>
      </c>
      <c r="AM196" s="94">
        <v>71</v>
      </c>
      <c r="AN196" s="94">
        <v>2806</v>
      </c>
      <c r="AO196" s="94">
        <v>116</v>
      </c>
      <c r="AP196" s="95">
        <v>1.3607815771109599</v>
      </c>
      <c r="AQ196" s="95">
        <v>0.54216867469879504</v>
      </c>
      <c r="AR196" s="95">
        <v>2.4875621890547301</v>
      </c>
      <c r="AS196" s="95">
        <v>0.58823529411764697</v>
      </c>
      <c r="AT196" s="95">
        <v>1.48741418764302</v>
      </c>
      <c r="AU196" s="95">
        <v>1.5201586252478501</v>
      </c>
      <c r="AV196" s="95">
        <v>0.64724919093851097</v>
      </c>
      <c r="AW196" s="95">
        <v>1.2461059190031201</v>
      </c>
      <c r="AX196" s="95">
        <v>2.6315789473684199</v>
      </c>
      <c r="AY196" s="95">
        <v>0</v>
      </c>
      <c r="AZ196" s="95">
        <v>1.3665031534688199</v>
      </c>
      <c r="BA196" s="95">
        <v>0</v>
      </c>
      <c r="BB196" s="95">
        <v>0</v>
      </c>
      <c r="BC196" s="95">
        <v>0</v>
      </c>
      <c r="BD196" s="95">
        <v>1.4142165984369199</v>
      </c>
      <c r="BE196" s="95">
        <v>0.91743119266055095</v>
      </c>
    </row>
    <row r="197" spans="2:57" ht="15" customHeight="1" x14ac:dyDescent="0.25">
      <c r="B197" s="96">
        <v>187</v>
      </c>
      <c r="C197" s="97" t="s">
        <v>504</v>
      </c>
      <c r="D197" s="104" t="s">
        <v>43</v>
      </c>
      <c r="E197" s="104" t="s">
        <v>351</v>
      </c>
      <c r="F197" s="104" t="s">
        <v>12</v>
      </c>
      <c r="G197" s="105" t="s">
        <v>12</v>
      </c>
      <c r="H197" s="106">
        <v>334</v>
      </c>
      <c r="I197" s="106">
        <v>203</v>
      </c>
      <c r="J197" s="106">
        <v>131</v>
      </c>
      <c r="K197" s="106">
        <v>16</v>
      </c>
      <c r="L197" s="106">
        <v>100</v>
      </c>
      <c r="M197" s="106">
        <v>163</v>
      </c>
      <c r="N197" s="106">
        <v>55</v>
      </c>
      <c r="O197" s="106">
        <v>332</v>
      </c>
      <c r="P197" s="106">
        <v>2</v>
      </c>
      <c r="Q197" s="107">
        <v>0.31152647975077902</v>
      </c>
      <c r="R197" s="107">
        <v>0.52083333333333304</v>
      </c>
      <c r="S197" s="107">
        <v>0</v>
      </c>
      <c r="T197" s="107">
        <v>0</v>
      </c>
      <c r="U197" s="107">
        <v>1.0416666666666701</v>
      </c>
      <c r="V197" s="107">
        <v>0</v>
      </c>
      <c r="W197" s="107">
        <v>0</v>
      </c>
      <c r="X197" s="107">
        <v>0.31347962382445099</v>
      </c>
      <c r="Y197" s="107">
        <v>0</v>
      </c>
      <c r="Z197" s="106">
        <v>2366</v>
      </c>
      <c r="AA197" s="106">
        <v>1232</v>
      </c>
      <c r="AB197" s="106">
        <v>1134</v>
      </c>
      <c r="AC197" s="106">
        <v>150</v>
      </c>
      <c r="AD197" s="106">
        <v>519</v>
      </c>
      <c r="AE197" s="106">
        <v>1188</v>
      </c>
      <c r="AF197" s="106">
        <v>509</v>
      </c>
      <c r="AG197" s="106">
        <v>2066</v>
      </c>
      <c r="AH197" s="106">
        <v>289</v>
      </c>
      <c r="AI197" s="106">
        <v>11</v>
      </c>
      <c r="AJ197" s="106">
        <v>2348</v>
      </c>
      <c r="AK197" s="106">
        <v>6</v>
      </c>
      <c r="AL197" s="106">
        <v>12</v>
      </c>
      <c r="AM197" s="106">
        <v>148</v>
      </c>
      <c r="AN197" s="106">
        <v>2198</v>
      </c>
      <c r="AO197" s="106">
        <v>20</v>
      </c>
      <c r="AP197" s="107">
        <v>1.61642638706859</v>
      </c>
      <c r="AQ197" s="107">
        <v>0.58724832214765099</v>
      </c>
      <c r="AR197" s="107">
        <v>2.7347310847766599</v>
      </c>
      <c r="AS197" s="107">
        <v>0.68965517241379304</v>
      </c>
      <c r="AT197" s="107">
        <v>2.78884462151394</v>
      </c>
      <c r="AU197" s="107">
        <v>1.31004366812227</v>
      </c>
      <c r="AV197" s="107">
        <v>1.40845070422535</v>
      </c>
      <c r="AW197" s="107">
        <v>1.5476784822765799</v>
      </c>
      <c r="AX197" s="107">
        <v>2.1818181818181799</v>
      </c>
      <c r="AY197" s="107">
        <v>0</v>
      </c>
      <c r="AZ197" s="107">
        <v>1.6292382210480001</v>
      </c>
      <c r="BA197" s="107">
        <v>0</v>
      </c>
      <c r="BB197" s="107">
        <v>0</v>
      </c>
      <c r="BC197" s="107">
        <v>0</v>
      </c>
      <c r="BD197" s="107">
        <v>1.7419962335216601</v>
      </c>
      <c r="BE197" s="107">
        <v>0</v>
      </c>
    </row>
    <row r="198" spans="2:57" ht="15" customHeight="1" x14ac:dyDescent="0.25">
      <c r="B198" s="91">
        <v>188</v>
      </c>
      <c r="C198" s="92" t="s">
        <v>504</v>
      </c>
      <c r="D198" s="92" t="s">
        <v>43</v>
      </c>
      <c r="E198" s="92" t="s">
        <v>351</v>
      </c>
      <c r="F198" s="92" t="s">
        <v>12</v>
      </c>
      <c r="G198" s="101" t="s">
        <v>501</v>
      </c>
      <c r="H198" s="94">
        <v>0</v>
      </c>
      <c r="I198" s="94">
        <v>0</v>
      </c>
      <c r="J198" s="94">
        <v>0</v>
      </c>
      <c r="K198" s="94">
        <v>0</v>
      </c>
      <c r="L198" s="94">
        <v>0</v>
      </c>
      <c r="M198" s="94">
        <v>0</v>
      </c>
      <c r="N198" s="94">
        <v>0</v>
      </c>
      <c r="O198" s="94">
        <v>0</v>
      </c>
      <c r="P198" s="94">
        <v>0</v>
      </c>
      <c r="Q198" s="95">
        <v>0</v>
      </c>
      <c r="R198" s="95">
        <v>0</v>
      </c>
      <c r="S198" s="95">
        <v>0</v>
      </c>
      <c r="T198" s="95">
        <v>0</v>
      </c>
      <c r="U198" s="95">
        <v>0</v>
      </c>
      <c r="V198" s="95">
        <v>0</v>
      </c>
      <c r="W198" s="95">
        <v>0</v>
      </c>
      <c r="X198" s="95">
        <v>0</v>
      </c>
      <c r="Y198" s="95">
        <v>0</v>
      </c>
      <c r="Z198" s="94">
        <v>0</v>
      </c>
      <c r="AA198" s="94">
        <v>0</v>
      </c>
      <c r="AB198" s="94">
        <v>0</v>
      </c>
      <c r="AC198" s="94">
        <v>0</v>
      </c>
      <c r="AD198" s="94">
        <v>0</v>
      </c>
      <c r="AE198" s="94">
        <v>0</v>
      </c>
      <c r="AF198" s="94">
        <v>0</v>
      </c>
      <c r="AG198" s="94">
        <v>0</v>
      </c>
      <c r="AH198" s="94">
        <v>0</v>
      </c>
      <c r="AI198" s="94">
        <v>0</v>
      </c>
      <c r="AJ198" s="94">
        <v>0</v>
      </c>
      <c r="AK198" s="94">
        <v>0</v>
      </c>
      <c r="AL198" s="94">
        <v>0</v>
      </c>
      <c r="AM198" s="94">
        <v>0</v>
      </c>
      <c r="AN198" s="94">
        <v>0</v>
      </c>
      <c r="AO198" s="94">
        <v>0</v>
      </c>
      <c r="AP198" s="95">
        <v>0</v>
      </c>
      <c r="AQ198" s="95">
        <v>0</v>
      </c>
      <c r="AR198" s="95">
        <v>0</v>
      </c>
      <c r="AS198" s="95">
        <v>0</v>
      </c>
      <c r="AT198" s="95">
        <v>0</v>
      </c>
      <c r="AU198" s="95">
        <v>0</v>
      </c>
      <c r="AV198" s="95">
        <v>0</v>
      </c>
      <c r="AW198" s="95">
        <v>0</v>
      </c>
      <c r="AX198" s="95">
        <v>0</v>
      </c>
      <c r="AY198" s="95">
        <v>0</v>
      </c>
      <c r="AZ198" s="95">
        <v>0</v>
      </c>
      <c r="BA198" s="95">
        <v>0</v>
      </c>
      <c r="BB198" s="95">
        <v>0</v>
      </c>
      <c r="BC198" s="95">
        <v>0</v>
      </c>
      <c r="BD198" s="95">
        <v>0</v>
      </c>
      <c r="BE198" s="95">
        <v>0</v>
      </c>
    </row>
    <row r="199" spans="2:57" ht="15" customHeight="1" x14ac:dyDescent="0.25">
      <c r="B199" s="91">
        <v>189</v>
      </c>
      <c r="C199" s="92" t="s">
        <v>504</v>
      </c>
      <c r="D199" s="92" t="s">
        <v>43</v>
      </c>
      <c r="E199" s="92" t="s">
        <v>351</v>
      </c>
      <c r="F199" s="92" t="s">
        <v>12</v>
      </c>
      <c r="G199" s="101" t="s">
        <v>502</v>
      </c>
      <c r="H199" s="94">
        <v>334</v>
      </c>
      <c r="I199" s="94">
        <v>203</v>
      </c>
      <c r="J199" s="94">
        <v>131</v>
      </c>
      <c r="K199" s="94">
        <v>16</v>
      </c>
      <c r="L199" s="94">
        <v>100</v>
      </c>
      <c r="M199" s="94">
        <v>163</v>
      </c>
      <c r="N199" s="94">
        <v>55</v>
      </c>
      <c r="O199" s="94">
        <v>332</v>
      </c>
      <c r="P199" s="94">
        <v>2</v>
      </c>
      <c r="Q199" s="95">
        <v>0.31152647975077902</v>
      </c>
      <c r="R199" s="95">
        <v>0.52083333333333304</v>
      </c>
      <c r="S199" s="95">
        <v>0</v>
      </c>
      <c r="T199" s="95">
        <v>0</v>
      </c>
      <c r="U199" s="95">
        <v>1.0416666666666701</v>
      </c>
      <c r="V199" s="95">
        <v>0</v>
      </c>
      <c r="W199" s="95">
        <v>0</v>
      </c>
      <c r="X199" s="95">
        <v>0.31347962382445099</v>
      </c>
      <c r="Y199" s="95">
        <v>0</v>
      </c>
      <c r="Z199" s="94">
        <v>2366</v>
      </c>
      <c r="AA199" s="94">
        <v>1232</v>
      </c>
      <c r="AB199" s="94">
        <v>1134</v>
      </c>
      <c r="AC199" s="94">
        <v>150</v>
      </c>
      <c r="AD199" s="94">
        <v>519</v>
      </c>
      <c r="AE199" s="94">
        <v>1188</v>
      </c>
      <c r="AF199" s="94">
        <v>509</v>
      </c>
      <c r="AG199" s="94">
        <v>2066</v>
      </c>
      <c r="AH199" s="94">
        <v>289</v>
      </c>
      <c r="AI199" s="94">
        <v>11</v>
      </c>
      <c r="AJ199" s="94">
        <v>2348</v>
      </c>
      <c r="AK199" s="94">
        <v>6</v>
      </c>
      <c r="AL199" s="94">
        <v>12</v>
      </c>
      <c r="AM199" s="94">
        <v>148</v>
      </c>
      <c r="AN199" s="94">
        <v>2198</v>
      </c>
      <c r="AO199" s="94">
        <v>20</v>
      </c>
      <c r="AP199" s="95">
        <v>1.61642638706859</v>
      </c>
      <c r="AQ199" s="95">
        <v>0.58724832214765099</v>
      </c>
      <c r="AR199" s="95">
        <v>2.7347310847766599</v>
      </c>
      <c r="AS199" s="95">
        <v>0.68965517241379304</v>
      </c>
      <c r="AT199" s="95">
        <v>2.78884462151394</v>
      </c>
      <c r="AU199" s="95">
        <v>1.31004366812227</v>
      </c>
      <c r="AV199" s="95">
        <v>1.40845070422535</v>
      </c>
      <c r="AW199" s="95">
        <v>1.5476784822765799</v>
      </c>
      <c r="AX199" s="95">
        <v>2.1818181818181799</v>
      </c>
      <c r="AY199" s="95">
        <v>0</v>
      </c>
      <c r="AZ199" s="95">
        <v>1.6292382210480001</v>
      </c>
      <c r="BA199" s="95">
        <v>0</v>
      </c>
      <c r="BB199" s="95">
        <v>0</v>
      </c>
      <c r="BC199" s="95">
        <v>0</v>
      </c>
      <c r="BD199" s="95">
        <v>1.7419962335216601</v>
      </c>
      <c r="BE199" s="95">
        <v>0</v>
      </c>
    </row>
    <row r="200" spans="2:57" ht="15" customHeight="1" x14ac:dyDescent="0.25">
      <c r="B200" s="96">
        <v>190</v>
      </c>
      <c r="C200" s="97" t="s">
        <v>504</v>
      </c>
      <c r="D200" s="104" t="s">
        <v>43</v>
      </c>
      <c r="E200" s="104" t="s">
        <v>351</v>
      </c>
      <c r="F200" s="104" t="s">
        <v>311</v>
      </c>
      <c r="G200" s="105" t="s">
        <v>311</v>
      </c>
      <c r="H200" s="106">
        <v>4355</v>
      </c>
      <c r="I200" s="106">
        <v>2559</v>
      </c>
      <c r="J200" s="106">
        <v>1796</v>
      </c>
      <c r="K200" s="106">
        <v>221</v>
      </c>
      <c r="L200" s="106">
        <v>707</v>
      </c>
      <c r="M200" s="106">
        <v>2183</v>
      </c>
      <c r="N200" s="106">
        <v>1244</v>
      </c>
      <c r="O200" s="106">
        <v>4352</v>
      </c>
      <c r="P200" s="106">
        <v>3</v>
      </c>
      <c r="Q200" s="107">
        <v>0.31347962382445099</v>
      </c>
      <c r="R200" s="107">
        <v>0.247422680412371</v>
      </c>
      <c r="S200" s="107">
        <v>0.40650406504065001</v>
      </c>
      <c r="T200" s="107">
        <v>0</v>
      </c>
      <c r="U200" s="107">
        <v>0.60514372163388797</v>
      </c>
      <c r="V200" s="107">
        <v>0.23832221163012399</v>
      </c>
      <c r="W200" s="107">
        <v>0.334168755221387</v>
      </c>
      <c r="X200" s="107">
        <v>0.31370656370656402</v>
      </c>
      <c r="Y200" s="107">
        <v>0</v>
      </c>
      <c r="Z200" s="106">
        <v>5264</v>
      </c>
      <c r="AA200" s="106">
        <v>2852</v>
      </c>
      <c r="AB200" s="106">
        <v>2412</v>
      </c>
      <c r="AC200" s="106">
        <v>228</v>
      </c>
      <c r="AD200" s="106">
        <v>879</v>
      </c>
      <c r="AE200" s="106">
        <v>2524</v>
      </c>
      <c r="AF200" s="106">
        <v>1633</v>
      </c>
      <c r="AG200" s="106">
        <v>4875</v>
      </c>
      <c r="AH200" s="106">
        <v>341</v>
      </c>
      <c r="AI200" s="106">
        <v>48</v>
      </c>
      <c r="AJ200" s="106">
        <v>5235</v>
      </c>
      <c r="AK200" s="106">
        <v>2</v>
      </c>
      <c r="AL200" s="106">
        <v>27</v>
      </c>
      <c r="AM200" s="106">
        <v>464</v>
      </c>
      <c r="AN200" s="106">
        <v>4704</v>
      </c>
      <c r="AO200" s="106">
        <v>96</v>
      </c>
      <c r="AP200" s="107">
        <v>0.92812006319115303</v>
      </c>
      <c r="AQ200" s="107">
        <v>0.36496350364963498</v>
      </c>
      <c r="AR200" s="107">
        <v>1.592082616179</v>
      </c>
      <c r="AS200" s="107">
        <v>1.3824884792626699</v>
      </c>
      <c r="AT200" s="107">
        <v>1.3221153846153799</v>
      </c>
      <c r="AU200" s="107">
        <v>0.90759075907590803</v>
      </c>
      <c r="AV200" s="107">
        <v>0.69138906348208695</v>
      </c>
      <c r="AW200" s="107">
        <v>0.89342693044033195</v>
      </c>
      <c r="AX200" s="107">
        <v>1.5527950310559</v>
      </c>
      <c r="AY200" s="107">
        <v>0</v>
      </c>
      <c r="AZ200" s="107">
        <v>0.93290988487494997</v>
      </c>
      <c r="BA200" s="107">
        <v>0</v>
      </c>
      <c r="BB200" s="107">
        <v>0</v>
      </c>
      <c r="BC200" s="107">
        <v>0.44543429844097998</v>
      </c>
      <c r="BD200" s="107">
        <v>0.99513489606368899</v>
      </c>
      <c r="BE200" s="107">
        <v>0</v>
      </c>
    </row>
    <row r="201" spans="2:57" ht="15" customHeight="1" x14ac:dyDescent="0.25">
      <c r="B201" s="91">
        <v>191</v>
      </c>
      <c r="C201" s="92" t="s">
        <v>504</v>
      </c>
      <c r="D201" s="92" t="s">
        <v>43</v>
      </c>
      <c r="E201" s="92" t="s">
        <v>351</v>
      </c>
      <c r="F201" s="92" t="s">
        <v>311</v>
      </c>
      <c r="G201" s="101" t="s">
        <v>501</v>
      </c>
      <c r="H201" s="94">
        <v>0</v>
      </c>
      <c r="I201" s="94">
        <v>0</v>
      </c>
      <c r="J201" s="94">
        <v>0</v>
      </c>
      <c r="K201" s="94">
        <v>0</v>
      </c>
      <c r="L201" s="94">
        <v>0</v>
      </c>
      <c r="M201" s="94">
        <v>0</v>
      </c>
      <c r="N201" s="94">
        <v>0</v>
      </c>
      <c r="O201" s="94">
        <v>0</v>
      </c>
      <c r="P201" s="94">
        <v>0</v>
      </c>
      <c r="Q201" s="95">
        <v>0</v>
      </c>
      <c r="R201" s="95">
        <v>0</v>
      </c>
      <c r="S201" s="95">
        <v>0</v>
      </c>
      <c r="T201" s="95">
        <v>0</v>
      </c>
      <c r="U201" s="95">
        <v>0</v>
      </c>
      <c r="V201" s="95">
        <v>0</v>
      </c>
      <c r="W201" s="95">
        <v>0</v>
      </c>
      <c r="X201" s="95">
        <v>0</v>
      </c>
      <c r="Y201" s="95">
        <v>0</v>
      </c>
      <c r="Z201" s="94">
        <v>0</v>
      </c>
      <c r="AA201" s="94">
        <v>0</v>
      </c>
      <c r="AB201" s="94">
        <v>0</v>
      </c>
      <c r="AC201" s="94">
        <v>0</v>
      </c>
      <c r="AD201" s="94">
        <v>0</v>
      </c>
      <c r="AE201" s="94">
        <v>0</v>
      </c>
      <c r="AF201" s="94">
        <v>0</v>
      </c>
      <c r="AG201" s="94">
        <v>0</v>
      </c>
      <c r="AH201" s="94">
        <v>0</v>
      </c>
      <c r="AI201" s="94">
        <v>0</v>
      </c>
      <c r="AJ201" s="94">
        <v>0</v>
      </c>
      <c r="AK201" s="94">
        <v>0</v>
      </c>
      <c r="AL201" s="94">
        <v>0</v>
      </c>
      <c r="AM201" s="94">
        <v>0</v>
      </c>
      <c r="AN201" s="94">
        <v>0</v>
      </c>
      <c r="AO201" s="94">
        <v>0</v>
      </c>
      <c r="AP201" s="95">
        <v>0</v>
      </c>
      <c r="AQ201" s="95">
        <v>0</v>
      </c>
      <c r="AR201" s="95">
        <v>0</v>
      </c>
      <c r="AS201" s="95">
        <v>0</v>
      </c>
      <c r="AT201" s="95">
        <v>0</v>
      </c>
      <c r="AU201" s="95">
        <v>0</v>
      </c>
      <c r="AV201" s="95">
        <v>0</v>
      </c>
      <c r="AW201" s="95">
        <v>0</v>
      </c>
      <c r="AX201" s="95">
        <v>0</v>
      </c>
      <c r="AY201" s="95">
        <v>0</v>
      </c>
      <c r="AZ201" s="95">
        <v>0</v>
      </c>
      <c r="BA201" s="95">
        <v>0</v>
      </c>
      <c r="BB201" s="95">
        <v>0</v>
      </c>
      <c r="BC201" s="95">
        <v>0</v>
      </c>
      <c r="BD201" s="95">
        <v>0</v>
      </c>
      <c r="BE201" s="95">
        <v>0</v>
      </c>
    </row>
    <row r="202" spans="2:57" ht="15" customHeight="1" x14ac:dyDescent="0.25">
      <c r="B202" s="91">
        <v>192</v>
      </c>
      <c r="C202" s="92" t="s">
        <v>504</v>
      </c>
      <c r="D202" s="92" t="s">
        <v>43</v>
      </c>
      <c r="E202" s="92" t="s">
        <v>351</v>
      </c>
      <c r="F202" s="92" t="s">
        <v>311</v>
      </c>
      <c r="G202" s="101" t="s">
        <v>502</v>
      </c>
      <c r="H202" s="94">
        <v>4355</v>
      </c>
      <c r="I202" s="94">
        <v>2559</v>
      </c>
      <c r="J202" s="94">
        <v>1796</v>
      </c>
      <c r="K202" s="94">
        <v>221</v>
      </c>
      <c r="L202" s="94">
        <v>707</v>
      </c>
      <c r="M202" s="94">
        <v>2183</v>
      </c>
      <c r="N202" s="94">
        <v>1244</v>
      </c>
      <c r="O202" s="94">
        <v>4352</v>
      </c>
      <c r="P202" s="94">
        <v>3</v>
      </c>
      <c r="Q202" s="95">
        <v>0.31347962382445099</v>
      </c>
      <c r="R202" s="95">
        <v>0.247422680412371</v>
      </c>
      <c r="S202" s="95">
        <v>0.40650406504065001</v>
      </c>
      <c r="T202" s="95">
        <v>0</v>
      </c>
      <c r="U202" s="95">
        <v>0.60514372163388797</v>
      </c>
      <c r="V202" s="95">
        <v>0.23832221163012399</v>
      </c>
      <c r="W202" s="95">
        <v>0.334168755221387</v>
      </c>
      <c r="X202" s="95">
        <v>0.31370656370656402</v>
      </c>
      <c r="Y202" s="95">
        <v>0</v>
      </c>
      <c r="Z202" s="94">
        <v>5264</v>
      </c>
      <c r="AA202" s="94">
        <v>2852</v>
      </c>
      <c r="AB202" s="94">
        <v>2412</v>
      </c>
      <c r="AC202" s="94">
        <v>228</v>
      </c>
      <c r="AD202" s="94">
        <v>879</v>
      </c>
      <c r="AE202" s="94">
        <v>2524</v>
      </c>
      <c r="AF202" s="94">
        <v>1633</v>
      </c>
      <c r="AG202" s="94">
        <v>4875</v>
      </c>
      <c r="AH202" s="94">
        <v>341</v>
      </c>
      <c r="AI202" s="94">
        <v>48</v>
      </c>
      <c r="AJ202" s="94">
        <v>5235</v>
      </c>
      <c r="AK202" s="94">
        <v>2</v>
      </c>
      <c r="AL202" s="94">
        <v>27</v>
      </c>
      <c r="AM202" s="94">
        <v>464</v>
      </c>
      <c r="AN202" s="94">
        <v>4704</v>
      </c>
      <c r="AO202" s="94">
        <v>96</v>
      </c>
      <c r="AP202" s="95">
        <v>0.92812006319115303</v>
      </c>
      <c r="AQ202" s="95">
        <v>0.36496350364963498</v>
      </c>
      <c r="AR202" s="95">
        <v>1.592082616179</v>
      </c>
      <c r="AS202" s="95">
        <v>1.3824884792626699</v>
      </c>
      <c r="AT202" s="95">
        <v>1.3221153846153799</v>
      </c>
      <c r="AU202" s="95">
        <v>0.90759075907590803</v>
      </c>
      <c r="AV202" s="95">
        <v>0.69138906348208695</v>
      </c>
      <c r="AW202" s="95">
        <v>0.89342693044033195</v>
      </c>
      <c r="AX202" s="95">
        <v>1.5527950310559</v>
      </c>
      <c r="AY202" s="95">
        <v>0</v>
      </c>
      <c r="AZ202" s="95">
        <v>0.93290988487494997</v>
      </c>
      <c r="BA202" s="95">
        <v>0</v>
      </c>
      <c r="BB202" s="95">
        <v>0</v>
      </c>
      <c r="BC202" s="95">
        <v>0.44543429844097998</v>
      </c>
      <c r="BD202" s="95">
        <v>0.99513489606368899</v>
      </c>
      <c r="BE202" s="95">
        <v>0</v>
      </c>
    </row>
    <row r="203" spans="2:57" ht="15" customHeight="1" x14ac:dyDescent="0.25">
      <c r="B203" s="86">
        <v>193</v>
      </c>
      <c r="C203" s="87" t="s">
        <v>503</v>
      </c>
      <c r="D203" s="103" t="s">
        <v>43</v>
      </c>
      <c r="E203" s="103" t="s">
        <v>352</v>
      </c>
      <c r="F203" s="103"/>
      <c r="G203" s="88" t="s">
        <v>352</v>
      </c>
      <c r="H203" s="89">
        <v>32390</v>
      </c>
      <c r="I203" s="89">
        <v>17255</v>
      </c>
      <c r="J203" s="89">
        <v>15135</v>
      </c>
      <c r="K203" s="89">
        <v>1985</v>
      </c>
      <c r="L203" s="89">
        <v>5898</v>
      </c>
      <c r="M203" s="89">
        <v>15543</v>
      </c>
      <c r="N203" s="89">
        <v>8964</v>
      </c>
      <c r="O203" s="89">
        <v>32351</v>
      </c>
      <c r="P203" s="89">
        <v>39</v>
      </c>
      <c r="Q203" s="90">
        <v>0.146473491482248</v>
      </c>
      <c r="R203" s="90">
        <v>0.13806350921423899</v>
      </c>
      <c r="S203" s="90">
        <v>0.15597450155974499</v>
      </c>
      <c r="T203" s="90">
        <v>0.10851871947911</v>
      </c>
      <c r="U203" s="90">
        <v>0.19349164467898</v>
      </c>
      <c r="V203" s="90">
        <v>0.17236807212940899</v>
      </c>
      <c r="W203" s="90">
        <v>7.9608779711133906E-2</v>
      </c>
      <c r="X203" s="90">
        <v>0.14665093888481501</v>
      </c>
      <c r="Y203" s="90">
        <v>0</v>
      </c>
      <c r="Z203" s="89">
        <v>40767</v>
      </c>
      <c r="AA203" s="89">
        <v>21740</v>
      </c>
      <c r="AB203" s="89">
        <v>19027</v>
      </c>
      <c r="AC203" s="89">
        <v>2053</v>
      </c>
      <c r="AD203" s="89">
        <v>7268</v>
      </c>
      <c r="AE203" s="89">
        <v>20059</v>
      </c>
      <c r="AF203" s="89">
        <v>11387</v>
      </c>
      <c r="AG203" s="89">
        <v>38366</v>
      </c>
      <c r="AH203" s="89">
        <v>2193</v>
      </c>
      <c r="AI203" s="89">
        <v>208</v>
      </c>
      <c r="AJ203" s="89">
        <v>40543</v>
      </c>
      <c r="AK203" s="89">
        <v>61</v>
      </c>
      <c r="AL203" s="89">
        <v>163</v>
      </c>
      <c r="AM203" s="89">
        <v>3587</v>
      </c>
      <c r="AN203" s="89">
        <v>36566</v>
      </c>
      <c r="AO203" s="89">
        <v>614</v>
      </c>
      <c r="AP203" s="90">
        <v>1.0484794503117401</v>
      </c>
      <c r="AQ203" s="90">
        <v>0.46289668336912398</v>
      </c>
      <c r="AR203" s="90">
        <v>1.7175572519083999</v>
      </c>
      <c r="AS203" s="90">
        <v>1.5864892528147401</v>
      </c>
      <c r="AT203" s="90">
        <v>1.5836117971814601</v>
      </c>
      <c r="AU203" s="90">
        <v>1.1130668875543599</v>
      </c>
      <c r="AV203" s="90">
        <v>0.51157781367797495</v>
      </c>
      <c r="AW203" s="90">
        <v>0.95569774034178301</v>
      </c>
      <c r="AX203" s="90">
        <v>2.8196402527953301</v>
      </c>
      <c r="AY203" s="90">
        <v>0</v>
      </c>
      <c r="AZ203" s="90">
        <v>1.03884141036794</v>
      </c>
      <c r="BA203" s="90">
        <v>10.714285714285699</v>
      </c>
      <c r="BB203" s="90">
        <v>0</v>
      </c>
      <c r="BC203" s="90">
        <v>0.76791808873720102</v>
      </c>
      <c r="BD203" s="90">
        <v>1.0766739581261899</v>
      </c>
      <c r="BE203" s="90">
        <v>1.0380622837370199</v>
      </c>
    </row>
    <row r="204" spans="2:57" ht="15" customHeight="1" x14ac:dyDescent="0.25">
      <c r="B204" s="91">
        <v>194</v>
      </c>
      <c r="C204" s="92" t="s">
        <v>503</v>
      </c>
      <c r="D204" s="92" t="s">
        <v>43</v>
      </c>
      <c r="E204" s="92" t="s">
        <v>352</v>
      </c>
      <c r="F204" s="92"/>
      <c r="G204" s="93" t="s">
        <v>501</v>
      </c>
      <c r="H204" s="94">
        <v>0</v>
      </c>
      <c r="I204" s="94">
        <v>0</v>
      </c>
      <c r="J204" s="94">
        <v>0</v>
      </c>
      <c r="K204" s="94">
        <v>0</v>
      </c>
      <c r="L204" s="94">
        <v>0</v>
      </c>
      <c r="M204" s="94">
        <v>0</v>
      </c>
      <c r="N204" s="94">
        <v>0</v>
      </c>
      <c r="O204" s="94">
        <v>0</v>
      </c>
      <c r="P204" s="94">
        <v>0</v>
      </c>
      <c r="Q204" s="95">
        <v>0</v>
      </c>
      <c r="R204" s="95">
        <v>0</v>
      </c>
      <c r="S204" s="95">
        <v>0</v>
      </c>
      <c r="T204" s="95">
        <v>0</v>
      </c>
      <c r="U204" s="95">
        <v>0</v>
      </c>
      <c r="V204" s="95">
        <v>0</v>
      </c>
      <c r="W204" s="95">
        <v>0</v>
      </c>
      <c r="X204" s="95">
        <v>0</v>
      </c>
      <c r="Y204" s="95">
        <v>0</v>
      </c>
      <c r="Z204" s="94">
        <v>0</v>
      </c>
      <c r="AA204" s="94">
        <v>0</v>
      </c>
      <c r="AB204" s="94">
        <v>0</v>
      </c>
      <c r="AC204" s="94">
        <v>0</v>
      </c>
      <c r="AD204" s="94">
        <v>0</v>
      </c>
      <c r="AE204" s="94">
        <v>0</v>
      </c>
      <c r="AF204" s="94">
        <v>0</v>
      </c>
      <c r="AG204" s="94">
        <v>0</v>
      </c>
      <c r="AH204" s="94">
        <v>0</v>
      </c>
      <c r="AI204" s="94">
        <v>0</v>
      </c>
      <c r="AJ204" s="94">
        <v>0</v>
      </c>
      <c r="AK204" s="94">
        <v>0</v>
      </c>
      <c r="AL204" s="94">
        <v>0</v>
      </c>
      <c r="AM204" s="94">
        <v>0</v>
      </c>
      <c r="AN204" s="94">
        <v>0</v>
      </c>
      <c r="AO204" s="94">
        <v>0</v>
      </c>
      <c r="AP204" s="95">
        <v>0</v>
      </c>
      <c r="AQ204" s="95">
        <v>0</v>
      </c>
      <c r="AR204" s="95">
        <v>0</v>
      </c>
      <c r="AS204" s="95">
        <v>0</v>
      </c>
      <c r="AT204" s="95">
        <v>0</v>
      </c>
      <c r="AU204" s="95">
        <v>0</v>
      </c>
      <c r="AV204" s="95">
        <v>0</v>
      </c>
      <c r="AW204" s="95">
        <v>0</v>
      </c>
      <c r="AX204" s="95">
        <v>0</v>
      </c>
      <c r="AY204" s="95">
        <v>0</v>
      </c>
      <c r="AZ204" s="95">
        <v>0</v>
      </c>
      <c r="BA204" s="95">
        <v>0</v>
      </c>
      <c r="BB204" s="95">
        <v>0</v>
      </c>
      <c r="BC204" s="95">
        <v>0</v>
      </c>
      <c r="BD204" s="95">
        <v>0</v>
      </c>
      <c r="BE204" s="95">
        <v>0</v>
      </c>
    </row>
    <row r="205" spans="2:57" ht="15" customHeight="1" x14ac:dyDescent="0.25">
      <c r="B205" s="91">
        <v>195</v>
      </c>
      <c r="C205" s="92" t="s">
        <v>503</v>
      </c>
      <c r="D205" s="92" t="s">
        <v>43</v>
      </c>
      <c r="E205" s="92" t="s">
        <v>352</v>
      </c>
      <c r="F205" s="92"/>
      <c r="G205" s="93" t="s">
        <v>502</v>
      </c>
      <c r="H205" s="94">
        <v>32390</v>
      </c>
      <c r="I205" s="94">
        <v>17255</v>
      </c>
      <c r="J205" s="94">
        <v>15135</v>
      </c>
      <c r="K205" s="94">
        <v>1985</v>
      </c>
      <c r="L205" s="94">
        <v>5898</v>
      </c>
      <c r="M205" s="94">
        <v>15543</v>
      </c>
      <c r="N205" s="94">
        <v>8964</v>
      </c>
      <c r="O205" s="94">
        <v>32351</v>
      </c>
      <c r="P205" s="94">
        <v>39</v>
      </c>
      <c r="Q205" s="95">
        <v>0.146473491482248</v>
      </c>
      <c r="R205" s="95">
        <v>0.13806350921423899</v>
      </c>
      <c r="S205" s="95">
        <v>0.15597450155974499</v>
      </c>
      <c r="T205" s="95">
        <v>0.10851871947911</v>
      </c>
      <c r="U205" s="95">
        <v>0.19349164467898</v>
      </c>
      <c r="V205" s="95">
        <v>0.17236807212940899</v>
      </c>
      <c r="W205" s="95">
        <v>7.9608779711133906E-2</v>
      </c>
      <c r="X205" s="95">
        <v>0.14665093888481501</v>
      </c>
      <c r="Y205" s="95">
        <v>0</v>
      </c>
      <c r="Z205" s="94">
        <v>40767</v>
      </c>
      <c r="AA205" s="94">
        <v>21740</v>
      </c>
      <c r="AB205" s="94">
        <v>19027</v>
      </c>
      <c r="AC205" s="94">
        <v>2053</v>
      </c>
      <c r="AD205" s="94">
        <v>7268</v>
      </c>
      <c r="AE205" s="94">
        <v>20059</v>
      </c>
      <c r="AF205" s="94">
        <v>11387</v>
      </c>
      <c r="AG205" s="94">
        <v>38366</v>
      </c>
      <c r="AH205" s="94">
        <v>2193</v>
      </c>
      <c r="AI205" s="94">
        <v>208</v>
      </c>
      <c r="AJ205" s="94">
        <v>40543</v>
      </c>
      <c r="AK205" s="94">
        <v>61</v>
      </c>
      <c r="AL205" s="94">
        <v>163</v>
      </c>
      <c r="AM205" s="94">
        <v>3587</v>
      </c>
      <c r="AN205" s="94">
        <v>36566</v>
      </c>
      <c r="AO205" s="94">
        <v>614</v>
      </c>
      <c r="AP205" s="95">
        <v>1.0484794503117401</v>
      </c>
      <c r="AQ205" s="95">
        <v>0.46289668336912398</v>
      </c>
      <c r="AR205" s="95">
        <v>1.7175572519083999</v>
      </c>
      <c r="AS205" s="95">
        <v>1.5864892528147401</v>
      </c>
      <c r="AT205" s="95">
        <v>1.5836117971814601</v>
      </c>
      <c r="AU205" s="95">
        <v>1.1130668875543599</v>
      </c>
      <c r="AV205" s="95">
        <v>0.51157781367797495</v>
      </c>
      <c r="AW205" s="95">
        <v>0.95569774034178301</v>
      </c>
      <c r="AX205" s="95">
        <v>2.8196402527953301</v>
      </c>
      <c r="AY205" s="95">
        <v>0</v>
      </c>
      <c r="AZ205" s="95">
        <v>1.03884141036794</v>
      </c>
      <c r="BA205" s="95">
        <v>10.714285714285699</v>
      </c>
      <c r="BB205" s="95">
        <v>0</v>
      </c>
      <c r="BC205" s="95">
        <v>0.76791808873720102</v>
      </c>
      <c r="BD205" s="95">
        <v>1.0766739581261899</v>
      </c>
      <c r="BE205" s="95">
        <v>1.0380622837370199</v>
      </c>
    </row>
    <row r="206" spans="2:57" ht="15" customHeight="1" x14ac:dyDescent="0.25">
      <c r="B206" s="96">
        <v>196</v>
      </c>
      <c r="C206" s="97" t="s">
        <v>504</v>
      </c>
      <c r="D206" s="104" t="s">
        <v>43</v>
      </c>
      <c r="E206" s="104" t="s">
        <v>352</v>
      </c>
      <c r="F206" s="104" t="s">
        <v>124</v>
      </c>
      <c r="G206" s="105" t="s">
        <v>124</v>
      </c>
      <c r="H206" s="106">
        <v>7054</v>
      </c>
      <c r="I206" s="106">
        <v>3633</v>
      </c>
      <c r="J206" s="106">
        <v>3421</v>
      </c>
      <c r="K206" s="106">
        <v>414</v>
      </c>
      <c r="L206" s="106">
        <v>1107</v>
      </c>
      <c r="M206" s="106">
        <v>3361</v>
      </c>
      <c r="N206" s="106">
        <v>2172</v>
      </c>
      <c r="O206" s="106">
        <v>7046</v>
      </c>
      <c r="P206" s="106">
        <v>8</v>
      </c>
      <c r="Q206" s="107">
        <v>0.13132934481249101</v>
      </c>
      <c r="R206" s="107">
        <v>0.114285714285714</v>
      </c>
      <c r="S206" s="107">
        <v>0.14912019087384401</v>
      </c>
      <c r="T206" s="107">
        <v>0.256410256410256</v>
      </c>
      <c r="U206" s="107">
        <v>0.28089887640449401</v>
      </c>
      <c r="V206" s="107">
        <v>9.2222563787273296E-2</v>
      </c>
      <c r="W206" s="107">
        <v>9.3370681605975697E-2</v>
      </c>
      <c r="X206" s="107">
        <v>0.13146362839614401</v>
      </c>
      <c r="Y206" s="107">
        <v>0</v>
      </c>
      <c r="Z206" s="106">
        <v>9157</v>
      </c>
      <c r="AA206" s="106">
        <v>4781</v>
      </c>
      <c r="AB206" s="106">
        <v>4376</v>
      </c>
      <c r="AC206" s="106">
        <v>403</v>
      </c>
      <c r="AD206" s="106">
        <v>1494</v>
      </c>
      <c r="AE206" s="106">
        <v>4538</v>
      </c>
      <c r="AF206" s="106">
        <v>2722</v>
      </c>
      <c r="AG206" s="106">
        <v>8638</v>
      </c>
      <c r="AH206" s="106">
        <v>496</v>
      </c>
      <c r="AI206" s="106">
        <v>23</v>
      </c>
      <c r="AJ206" s="106">
        <v>9112</v>
      </c>
      <c r="AK206" s="106">
        <v>23</v>
      </c>
      <c r="AL206" s="106">
        <v>22</v>
      </c>
      <c r="AM206" s="106">
        <v>881</v>
      </c>
      <c r="AN206" s="106">
        <v>8199</v>
      </c>
      <c r="AO206" s="106">
        <v>77</v>
      </c>
      <c r="AP206" s="107">
        <v>0.99423793921590797</v>
      </c>
      <c r="AQ206" s="107">
        <v>0.34632034632034597</v>
      </c>
      <c r="AR206" s="107">
        <v>1.7017253604348901</v>
      </c>
      <c r="AS206" s="107">
        <v>2.0833333333333299</v>
      </c>
      <c r="AT206" s="107">
        <v>1.5395381385584299</v>
      </c>
      <c r="AU206" s="107">
        <v>1.1646494633478</v>
      </c>
      <c r="AV206" s="107">
        <v>0.26325686348251198</v>
      </c>
      <c r="AW206" s="107">
        <v>0.86145010768126296</v>
      </c>
      <c r="AX206" s="107">
        <v>3.4042553191489402</v>
      </c>
      <c r="AY206" s="107">
        <v>0</v>
      </c>
      <c r="AZ206" s="107">
        <v>0.93107755194731501</v>
      </c>
      <c r="BA206" s="107">
        <v>26.086956521739101</v>
      </c>
      <c r="BB206" s="107">
        <v>0</v>
      </c>
      <c r="BC206" s="107">
        <v>0.69364161849711004</v>
      </c>
      <c r="BD206" s="107">
        <v>1.0115058793779199</v>
      </c>
      <c r="BE206" s="107">
        <v>2.5974025974026</v>
      </c>
    </row>
    <row r="207" spans="2:57" ht="15" customHeight="1" x14ac:dyDescent="0.25">
      <c r="B207" s="91">
        <v>197</v>
      </c>
      <c r="C207" s="92" t="s">
        <v>504</v>
      </c>
      <c r="D207" s="92" t="s">
        <v>43</v>
      </c>
      <c r="E207" s="92" t="s">
        <v>352</v>
      </c>
      <c r="F207" s="92" t="s">
        <v>124</v>
      </c>
      <c r="G207" s="101" t="s">
        <v>501</v>
      </c>
      <c r="H207" s="94">
        <v>0</v>
      </c>
      <c r="I207" s="94">
        <v>0</v>
      </c>
      <c r="J207" s="94">
        <v>0</v>
      </c>
      <c r="K207" s="94">
        <v>0</v>
      </c>
      <c r="L207" s="94">
        <v>0</v>
      </c>
      <c r="M207" s="94">
        <v>0</v>
      </c>
      <c r="N207" s="94">
        <v>0</v>
      </c>
      <c r="O207" s="94">
        <v>0</v>
      </c>
      <c r="P207" s="94">
        <v>0</v>
      </c>
      <c r="Q207" s="95">
        <v>0</v>
      </c>
      <c r="R207" s="95">
        <v>0</v>
      </c>
      <c r="S207" s="95">
        <v>0</v>
      </c>
      <c r="T207" s="95">
        <v>0</v>
      </c>
      <c r="U207" s="95">
        <v>0</v>
      </c>
      <c r="V207" s="95">
        <v>0</v>
      </c>
      <c r="W207" s="95">
        <v>0</v>
      </c>
      <c r="X207" s="95">
        <v>0</v>
      </c>
      <c r="Y207" s="95">
        <v>0</v>
      </c>
      <c r="Z207" s="94">
        <v>0</v>
      </c>
      <c r="AA207" s="94">
        <v>0</v>
      </c>
      <c r="AB207" s="94">
        <v>0</v>
      </c>
      <c r="AC207" s="94">
        <v>0</v>
      </c>
      <c r="AD207" s="94">
        <v>0</v>
      </c>
      <c r="AE207" s="94">
        <v>0</v>
      </c>
      <c r="AF207" s="94">
        <v>0</v>
      </c>
      <c r="AG207" s="94">
        <v>0</v>
      </c>
      <c r="AH207" s="94">
        <v>0</v>
      </c>
      <c r="AI207" s="94">
        <v>0</v>
      </c>
      <c r="AJ207" s="94">
        <v>0</v>
      </c>
      <c r="AK207" s="94">
        <v>0</v>
      </c>
      <c r="AL207" s="94">
        <v>0</v>
      </c>
      <c r="AM207" s="94">
        <v>0</v>
      </c>
      <c r="AN207" s="94">
        <v>0</v>
      </c>
      <c r="AO207" s="94">
        <v>0</v>
      </c>
      <c r="AP207" s="95">
        <v>0</v>
      </c>
      <c r="AQ207" s="95">
        <v>0</v>
      </c>
      <c r="AR207" s="95">
        <v>0</v>
      </c>
      <c r="AS207" s="95">
        <v>0</v>
      </c>
      <c r="AT207" s="95">
        <v>0</v>
      </c>
      <c r="AU207" s="95">
        <v>0</v>
      </c>
      <c r="AV207" s="95">
        <v>0</v>
      </c>
      <c r="AW207" s="95">
        <v>0</v>
      </c>
      <c r="AX207" s="95">
        <v>0</v>
      </c>
      <c r="AY207" s="95">
        <v>0</v>
      </c>
      <c r="AZ207" s="95">
        <v>0</v>
      </c>
      <c r="BA207" s="95">
        <v>0</v>
      </c>
      <c r="BB207" s="95">
        <v>0</v>
      </c>
      <c r="BC207" s="95">
        <v>0</v>
      </c>
      <c r="BD207" s="95">
        <v>0</v>
      </c>
      <c r="BE207" s="95">
        <v>0</v>
      </c>
    </row>
    <row r="208" spans="2:57" ht="15" customHeight="1" x14ac:dyDescent="0.25">
      <c r="B208" s="91">
        <v>198</v>
      </c>
      <c r="C208" s="92" t="s">
        <v>504</v>
      </c>
      <c r="D208" s="92" t="s">
        <v>43</v>
      </c>
      <c r="E208" s="92" t="s">
        <v>352</v>
      </c>
      <c r="F208" s="92" t="s">
        <v>124</v>
      </c>
      <c r="G208" s="101" t="s">
        <v>502</v>
      </c>
      <c r="H208" s="94">
        <v>7054</v>
      </c>
      <c r="I208" s="94">
        <v>3633</v>
      </c>
      <c r="J208" s="94">
        <v>3421</v>
      </c>
      <c r="K208" s="94">
        <v>414</v>
      </c>
      <c r="L208" s="94">
        <v>1107</v>
      </c>
      <c r="M208" s="94">
        <v>3361</v>
      </c>
      <c r="N208" s="94">
        <v>2172</v>
      </c>
      <c r="O208" s="94">
        <v>7046</v>
      </c>
      <c r="P208" s="94">
        <v>8</v>
      </c>
      <c r="Q208" s="95">
        <v>0.13132934481249101</v>
      </c>
      <c r="R208" s="95">
        <v>0.114285714285714</v>
      </c>
      <c r="S208" s="95">
        <v>0.14912019087384401</v>
      </c>
      <c r="T208" s="95">
        <v>0.256410256410256</v>
      </c>
      <c r="U208" s="95">
        <v>0.28089887640449401</v>
      </c>
      <c r="V208" s="95">
        <v>9.2222563787273296E-2</v>
      </c>
      <c r="W208" s="95">
        <v>9.3370681605975697E-2</v>
      </c>
      <c r="X208" s="95">
        <v>0.13146362839614401</v>
      </c>
      <c r="Y208" s="95">
        <v>0</v>
      </c>
      <c r="Z208" s="94">
        <v>9157</v>
      </c>
      <c r="AA208" s="94">
        <v>4781</v>
      </c>
      <c r="AB208" s="94">
        <v>4376</v>
      </c>
      <c r="AC208" s="94">
        <v>403</v>
      </c>
      <c r="AD208" s="94">
        <v>1494</v>
      </c>
      <c r="AE208" s="94">
        <v>4538</v>
      </c>
      <c r="AF208" s="94">
        <v>2722</v>
      </c>
      <c r="AG208" s="94">
        <v>8638</v>
      </c>
      <c r="AH208" s="94">
        <v>496</v>
      </c>
      <c r="AI208" s="94">
        <v>23</v>
      </c>
      <c r="AJ208" s="94">
        <v>9112</v>
      </c>
      <c r="AK208" s="94">
        <v>23</v>
      </c>
      <c r="AL208" s="94">
        <v>22</v>
      </c>
      <c r="AM208" s="94">
        <v>881</v>
      </c>
      <c r="AN208" s="94">
        <v>8199</v>
      </c>
      <c r="AO208" s="94">
        <v>77</v>
      </c>
      <c r="AP208" s="95">
        <v>0.99423793921590797</v>
      </c>
      <c r="AQ208" s="95">
        <v>0.34632034632034597</v>
      </c>
      <c r="AR208" s="95">
        <v>1.7017253604348901</v>
      </c>
      <c r="AS208" s="95">
        <v>2.0833333333333299</v>
      </c>
      <c r="AT208" s="95">
        <v>1.5395381385584299</v>
      </c>
      <c r="AU208" s="95">
        <v>1.1646494633478</v>
      </c>
      <c r="AV208" s="95">
        <v>0.26325686348251198</v>
      </c>
      <c r="AW208" s="95">
        <v>0.86145010768126296</v>
      </c>
      <c r="AX208" s="95">
        <v>3.4042553191489402</v>
      </c>
      <c r="AY208" s="95">
        <v>0</v>
      </c>
      <c r="AZ208" s="95">
        <v>0.93107755194731501</v>
      </c>
      <c r="BA208" s="95">
        <v>26.086956521739101</v>
      </c>
      <c r="BB208" s="95">
        <v>0</v>
      </c>
      <c r="BC208" s="95">
        <v>0.69364161849711004</v>
      </c>
      <c r="BD208" s="95">
        <v>1.0115058793779199</v>
      </c>
      <c r="BE208" s="95">
        <v>2.5974025974026</v>
      </c>
    </row>
    <row r="209" spans="2:57" ht="15" customHeight="1" x14ac:dyDescent="0.25">
      <c r="B209" s="96">
        <v>199</v>
      </c>
      <c r="C209" s="97" t="s">
        <v>504</v>
      </c>
      <c r="D209" s="104" t="s">
        <v>43</v>
      </c>
      <c r="E209" s="104" t="s">
        <v>352</v>
      </c>
      <c r="F209" s="104" t="s">
        <v>112</v>
      </c>
      <c r="G209" s="105" t="s">
        <v>112</v>
      </c>
      <c r="H209" s="106">
        <v>9397</v>
      </c>
      <c r="I209" s="106">
        <v>5109</v>
      </c>
      <c r="J209" s="106">
        <v>4288</v>
      </c>
      <c r="K209" s="106">
        <v>691</v>
      </c>
      <c r="L209" s="106">
        <v>1738</v>
      </c>
      <c r="M209" s="106">
        <v>4496</v>
      </c>
      <c r="N209" s="106">
        <v>2472</v>
      </c>
      <c r="O209" s="106">
        <v>9394</v>
      </c>
      <c r="P209" s="106">
        <v>3</v>
      </c>
      <c r="Q209" s="107">
        <v>0.120945574491479</v>
      </c>
      <c r="R209" s="107">
        <v>0.14193025141930299</v>
      </c>
      <c r="S209" s="107">
        <v>9.60845544078789E-2</v>
      </c>
      <c r="T209" s="107">
        <v>0</v>
      </c>
      <c r="U209" s="107">
        <v>0.120192307692308</v>
      </c>
      <c r="V209" s="107">
        <v>0.15974440894568701</v>
      </c>
      <c r="W209" s="107">
        <v>8.2781456953642404E-2</v>
      </c>
      <c r="X209" s="107">
        <v>0.120985481742191</v>
      </c>
      <c r="Y209" s="107">
        <v>0</v>
      </c>
      <c r="Z209" s="106">
        <v>11354</v>
      </c>
      <c r="AA209" s="106">
        <v>6209</v>
      </c>
      <c r="AB209" s="106">
        <v>5145</v>
      </c>
      <c r="AC209" s="106">
        <v>589</v>
      </c>
      <c r="AD209" s="106">
        <v>2201</v>
      </c>
      <c r="AE209" s="106">
        <v>5593</v>
      </c>
      <c r="AF209" s="106">
        <v>2971</v>
      </c>
      <c r="AG209" s="106">
        <v>10757</v>
      </c>
      <c r="AH209" s="106">
        <v>497</v>
      </c>
      <c r="AI209" s="106">
        <v>100</v>
      </c>
      <c r="AJ209" s="106">
        <v>11298</v>
      </c>
      <c r="AK209" s="106">
        <v>3</v>
      </c>
      <c r="AL209" s="106">
        <v>53</v>
      </c>
      <c r="AM209" s="106">
        <v>928</v>
      </c>
      <c r="AN209" s="106">
        <v>10165</v>
      </c>
      <c r="AO209" s="106">
        <v>261</v>
      </c>
      <c r="AP209" s="107">
        <v>1.03045777858836</v>
      </c>
      <c r="AQ209" s="107">
        <v>0.55064241615217802</v>
      </c>
      <c r="AR209" s="107">
        <v>1.60868690931028</v>
      </c>
      <c r="AS209" s="107">
        <v>1.0714285714285701</v>
      </c>
      <c r="AT209" s="107">
        <v>1.5751789976133701</v>
      </c>
      <c r="AU209" s="107">
        <v>1.1867235305024999</v>
      </c>
      <c r="AV209" s="107">
        <v>0.34270047978067197</v>
      </c>
      <c r="AW209" s="107">
        <v>0.97898070832133599</v>
      </c>
      <c r="AX209" s="107">
        <v>2.4229074889867799</v>
      </c>
      <c r="AY209" s="107">
        <v>0</v>
      </c>
      <c r="AZ209" s="107">
        <v>1.03574702108158</v>
      </c>
      <c r="BA209" s="107">
        <v>0</v>
      </c>
      <c r="BB209" s="107">
        <v>0</v>
      </c>
      <c r="BC209" s="107">
        <v>0.76923076923076905</v>
      </c>
      <c r="BD209" s="107">
        <v>1.0598186079690199</v>
      </c>
      <c r="BE209" s="107">
        <v>0.82304526748971196</v>
      </c>
    </row>
    <row r="210" spans="2:57" ht="15" customHeight="1" x14ac:dyDescent="0.25">
      <c r="B210" s="91">
        <v>200</v>
      </c>
      <c r="C210" s="92" t="s">
        <v>504</v>
      </c>
      <c r="D210" s="92" t="s">
        <v>43</v>
      </c>
      <c r="E210" s="92" t="s">
        <v>352</v>
      </c>
      <c r="F210" s="92" t="s">
        <v>112</v>
      </c>
      <c r="G210" s="101" t="s">
        <v>501</v>
      </c>
      <c r="H210" s="94">
        <v>0</v>
      </c>
      <c r="I210" s="94">
        <v>0</v>
      </c>
      <c r="J210" s="94">
        <v>0</v>
      </c>
      <c r="K210" s="94">
        <v>0</v>
      </c>
      <c r="L210" s="94">
        <v>0</v>
      </c>
      <c r="M210" s="94">
        <v>0</v>
      </c>
      <c r="N210" s="94">
        <v>0</v>
      </c>
      <c r="O210" s="94">
        <v>0</v>
      </c>
      <c r="P210" s="94">
        <v>0</v>
      </c>
      <c r="Q210" s="95">
        <v>0</v>
      </c>
      <c r="R210" s="95">
        <v>0</v>
      </c>
      <c r="S210" s="95">
        <v>0</v>
      </c>
      <c r="T210" s="95">
        <v>0</v>
      </c>
      <c r="U210" s="95">
        <v>0</v>
      </c>
      <c r="V210" s="95">
        <v>0</v>
      </c>
      <c r="W210" s="95">
        <v>0</v>
      </c>
      <c r="X210" s="95">
        <v>0</v>
      </c>
      <c r="Y210" s="95">
        <v>0</v>
      </c>
      <c r="Z210" s="94">
        <v>0</v>
      </c>
      <c r="AA210" s="94">
        <v>0</v>
      </c>
      <c r="AB210" s="94">
        <v>0</v>
      </c>
      <c r="AC210" s="94">
        <v>0</v>
      </c>
      <c r="AD210" s="94">
        <v>0</v>
      </c>
      <c r="AE210" s="94">
        <v>0</v>
      </c>
      <c r="AF210" s="94">
        <v>0</v>
      </c>
      <c r="AG210" s="94">
        <v>0</v>
      </c>
      <c r="AH210" s="94">
        <v>0</v>
      </c>
      <c r="AI210" s="94">
        <v>0</v>
      </c>
      <c r="AJ210" s="94">
        <v>0</v>
      </c>
      <c r="AK210" s="94">
        <v>0</v>
      </c>
      <c r="AL210" s="94">
        <v>0</v>
      </c>
      <c r="AM210" s="94">
        <v>0</v>
      </c>
      <c r="AN210" s="94">
        <v>0</v>
      </c>
      <c r="AO210" s="94">
        <v>0</v>
      </c>
      <c r="AP210" s="95">
        <v>0</v>
      </c>
      <c r="AQ210" s="95">
        <v>0</v>
      </c>
      <c r="AR210" s="95">
        <v>0</v>
      </c>
      <c r="AS210" s="95">
        <v>0</v>
      </c>
      <c r="AT210" s="95">
        <v>0</v>
      </c>
      <c r="AU210" s="95">
        <v>0</v>
      </c>
      <c r="AV210" s="95">
        <v>0</v>
      </c>
      <c r="AW210" s="95">
        <v>0</v>
      </c>
      <c r="AX210" s="95">
        <v>0</v>
      </c>
      <c r="AY210" s="95">
        <v>0</v>
      </c>
      <c r="AZ210" s="95">
        <v>0</v>
      </c>
      <c r="BA210" s="95">
        <v>0</v>
      </c>
      <c r="BB210" s="95">
        <v>0</v>
      </c>
      <c r="BC210" s="95">
        <v>0</v>
      </c>
      <c r="BD210" s="95">
        <v>0</v>
      </c>
      <c r="BE210" s="95">
        <v>0</v>
      </c>
    </row>
    <row r="211" spans="2:57" ht="15" customHeight="1" x14ac:dyDescent="0.25">
      <c r="B211" s="91">
        <v>201</v>
      </c>
      <c r="C211" s="92" t="s">
        <v>504</v>
      </c>
      <c r="D211" s="92" t="s">
        <v>43</v>
      </c>
      <c r="E211" s="92" t="s">
        <v>352</v>
      </c>
      <c r="F211" s="92" t="s">
        <v>112</v>
      </c>
      <c r="G211" s="101" t="s">
        <v>502</v>
      </c>
      <c r="H211" s="94">
        <v>9397</v>
      </c>
      <c r="I211" s="94">
        <v>5109</v>
      </c>
      <c r="J211" s="94">
        <v>4288</v>
      </c>
      <c r="K211" s="94">
        <v>691</v>
      </c>
      <c r="L211" s="94">
        <v>1738</v>
      </c>
      <c r="M211" s="94">
        <v>4496</v>
      </c>
      <c r="N211" s="94">
        <v>2472</v>
      </c>
      <c r="O211" s="94">
        <v>9394</v>
      </c>
      <c r="P211" s="94">
        <v>3</v>
      </c>
      <c r="Q211" s="95">
        <v>0.120945574491479</v>
      </c>
      <c r="R211" s="95">
        <v>0.14193025141930299</v>
      </c>
      <c r="S211" s="95">
        <v>9.60845544078789E-2</v>
      </c>
      <c r="T211" s="95">
        <v>0</v>
      </c>
      <c r="U211" s="95">
        <v>0.120192307692308</v>
      </c>
      <c r="V211" s="95">
        <v>0.15974440894568701</v>
      </c>
      <c r="W211" s="95">
        <v>8.2781456953642404E-2</v>
      </c>
      <c r="X211" s="95">
        <v>0.120985481742191</v>
      </c>
      <c r="Y211" s="95">
        <v>0</v>
      </c>
      <c r="Z211" s="94">
        <v>11354</v>
      </c>
      <c r="AA211" s="94">
        <v>6209</v>
      </c>
      <c r="AB211" s="94">
        <v>5145</v>
      </c>
      <c r="AC211" s="94">
        <v>589</v>
      </c>
      <c r="AD211" s="94">
        <v>2201</v>
      </c>
      <c r="AE211" s="94">
        <v>5593</v>
      </c>
      <c r="AF211" s="94">
        <v>2971</v>
      </c>
      <c r="AG211" s="94">
        <v>10757</v>
      </c>
      <c r="AH211" s="94">
        <v>497</v>
      </c>
      <c r="AI211" s="94">
        <v>100</v>
      </c>
      <c r="AJ211" s="94">
        <v>11298</v>
      </c>
      <c r="AK211" s="94">
        <v>3</v>
      </c>
      <c r="AL211" s="94">
        <v>53</v>
      </c>
      <c r="AM211" s="94">
        <v>928</v>
      </c>
      <c r="AN211" s="94">
        <v>10165</v>
      </c>
      <c r="AO211" s="94">
        <v>261</v>
      </c>
      <c r="AP211" s="95">
        <v>1.03045777858836</v>
      </c>
      <c r="AQ211" s="95">
        <v>0.55064241615217802</v>
      </c>
      <c r="AR211" s="95">
        <v>1.60868690931028</v>
      </c>
      <c r="AS211" s="95">
        <v>1.0714285714285701</v>
      </c>
      <c r="AT211" s="95">
        <v>1.5751789976133701</v>
      </c>
      <c r="AU211" s="95">
        <v>1.1867235305024999</v>
      </c>
      <c r="AV211" s="95">
        <v>0.34270047978067197</v>
      </c>
      <c r="AW211" s="95">
        <v>0.97898070832133599</v>
      </c>
      <c r="AX211" s="95">
        <v>2.4229074889867799</v>
      </c>
      <c r="AY211" s="95">
        <v>0</v>
      </c>
      <c r="AZ211" s="95">
        <v>1.03574702108158</v>
      </c>
      <c r="BA211" s="95">
        <v>0</v>
      </c>
      <c r="BB211" s="95">
        <v>0</v>
      </c>
      <c r="BC211" s="95">
        <v>0.76923076923076905</v>
      </c>
      <c r="BD211" s="95">
        <v>1.0598186079690199</v>
      </c>
      <c r="BE211" s="95">
        <v>0.82304526748971196</v>
      </c>
    </row>
    <row r="212" spans="2:57" ht="15" customHeight="1" x14ac:dyDescent="0.25">
      <c r="B212" s="96">
        <v>202</v>
      </c>
      <c r="C212" s="97" t="s">
        <v>504</v>
      </c>
      <c r="D212" s="104" t="s">
        <v>43</v>
      </c>
      <c r="E212" s="104" t="s">
        <v>352</v>
      </c>
      <c r="F212" s="104" t="s">
        <v>312</v>
      </c>
      <c r="G212" s="105" t="s">
        <v>312</v>
      </c>
      <c r="H212" s="106">
        <v>8469</v>
      </c>
      <c r="I212" s="106">
        <v>4670</v>
      </c>
      <c r="J212" s="106">
        <v>3799</v>
      </c>
      <c r="K212" s="106">
        <v>438</v>
      </c>
      <c r="L212" s="106">
        <v>1679</v>
      </c>
      <c r="M212" s="106">
        <v>4159</v>
      </c>
      <c r="N212" s="106">
        <v>2193</v>
      </c>
      <c r="O212" s="106">
        <v>8456</v>
      </c>
      <c r="P212" s="106">
        <v>13</v>
      </c>
      <c r="Q212" s="107">
        <v>0.195360195360195</v>
      </c>
      <c r="R212" s="107">
        <v>0.221827861579414</v>
      </c>
      <c r="S212" s="107">
        <v>0.16295491580662699</v>
      </c>
      <c r="T212" s="107">
        <v>0</v>
      </c>
      <c r="U212" s="107">
        <v>0.246153846153846</v>
      </c>
      <c r="V212" s="107">
        <v>0.223824919174335</v>
      </c>
      <c r="W212" s="107">
        <v>0.14012143858010301</v>
      </c>
      <c r="X212" s="107">
        <v>0.19567078390607801</v>
      </c>
      <c r="Y212" s="107">
        <v>0</v>
      </c>
      <c r="Z212" s="106">
        <v>10697</v>
      </c>
      <c r="AA212" s="106">
        <v>5751</v>
      </c>
      <c r="AB212" s="106">
        <v>4946</v>
      </c>
      <c r="AC212" s="106">
        <v>553</v>
      </c>
      <c r="AD212" s="106">
        <v>1915</v>
      </c>
      <c r="AE212" s="106">
        <v>5377</v>
      </c>
      <c r="AF212" s="106">
        <v>2852</v>
      </c>
      <c r="AG212" s="106">
        <v>9883</v>
      </c>
      <c r="AH212" s="106">
        <v>773</v>
      </c>
      <c r="AI212" s="106">
        <v>41</v>
      </c>
      <c r="AJ212" s="106">
        <v>10635</v>
      </c>
      <c r="AK212" s="106">
        <v>18</v>
      </c>
      <c r="AL212" s="106">
        <v>44</v>
      </c>
      <c r="AM212" s="106">
        <v>904</v>
      </c>
      <c r="AN212" s="106">
        <v>9579</v>
      </c>
      <c r="AO212" s="106">
        <v>214</v>
      </c>
      <c r="AP212" s="107">
        <v>1.2771765623476601</v>
      </c>
      <c r="AQ212" s="107">
        <v>0.58107862720174297</v>
      </c>
      <c r="AR212" s="107">
        <v>2.0842105263157902</v>
      </c>
      <c r="AS212" s="107">
        <v>2.2813688212927801</v>
      </c>
      <c r="AT212" s="107">
        <v>2.0122973728339901</v>
      </c>
      <c r="AU212" s="107">
        <v>1.1436324869160699</v>
      </c>
      <c r="AV212" s="107">
        <v>0.86237872799137605</v>
      </c>
      <c r="AW212" s="107">
        <v>1.15899272995469</v>
      </c>
      <c r="AX212" s="107">
        <v>2.8885832187070202</v>
      </c>
      <c r="AY212" s="107">
        <v>0</v>
      </c>
      <c r="AZ212" s="107">
        <v>1.2839360972263101</v>
      </c>
      <c r="BA212" s="107">
        <v>0</v>
      </c>
      <c r="BB212" s="107">
        <v>0</v>
      </c>
      <c r="BC212" s="107">
        <v>1.13250283125708</v>
      </c>
      <c r="BD212" s="107">
        <v>1.2971441028995001</v>
      </c>
      <c r="BE212" s="107">
        <v>1</v>
      </c>
    </row>
    <row r="213" spans="2:57" ht="15" customHeight="1" x14ac:dyDescent="0.25">
      <c r="B213" s="91">
        <v>203</v>
      </c>
      <c r="C213" s="92" t="s">
        <v>504</v>
      </c>
      <c r="D213" s="92" t="s">
        <v>43</v>
      </c>
      <c r="E213" s="92" t="s">
        <v>352</v>
      </c>
      <c r="F213" s="92" t="s">
        <v>312</v>
      </c>
      <c r="G213" s="101" t="s">
        <v>501</v>
      </c>
      <c r="H213" s="94">
        <v>0</v>
      </c>
      <c r="I213" s="94">
        <v>0</v>
      </c>
      <c r="J213" s="94">
        <v>0</v>
      </c>
      <c r="K213" s="94">
        <v>0</v>
      </c>
      <c r="L213" s="94">
        <v>0</v>
      </c>
      <c r="M213" s="94">
        <v>0</v>
      </c>
      <c r="N213" s="94">
        <v>0</v>
      </c>
      <c r="O213" s="94">
        <v>0</v>
      </c>
      <c r="P213" s="94">
        <v>0</v>
      </c>
      <c r="Q213" s="95">
        <v>0</v>
      </c>
      <c r="R213" s="95">
        <v>0</v>
      </c>
      <c r="S213" s="95">
        <v>0</v>
      </c>
      <c r="T213" s="95">
        <v>0</v>
      </c>
      <c r="U213" s="95">
        <v>0</v>
      </c>
      <c r="V213" s="95">
        <v>0</v>
      </c>
      <c r="W213" s="95">
        <v>0</v>
      </c>
      <c r="X213" s="95">
        <v>0</v>
      </c>
      <c r="Y213" s="95">
        <v>0</v>
      </c>
      <c r="Z213" s="94">
        <v>0</v>
      </c>
      <c r="AA213" s="94">
        <v>0</v>
      </c>
      <c r="AB213" s="94">
        <v>0</v>
      </c>
      <c r="AC213" s="94">
        <v>0</v>
      </c>
      <c r="AD213" s="94">
        <v>0</v>
      </c>
      <c r="AE213" s="94">
        <v>0</v>
      </c>
      <c r="AF213" s="94">
        <v>0</v>
      </c>
      <c r="AG213" s="94">
        <v>0</v>
      </c>
      <c r="AH213" s="94">
        <v>0</v>
      </c>
      <c r="AI213" s="94">
        <v>0</v>
      </c>
      <c r="AJ213" s="94">
        <v>0</v>
      </c>
      <c r="AK213" s="94">
        <v>0</v>
      </c>
      <c r="AL213" s="94">
        <v>0</v>
      </c>
      <c r="AM213" s="94">
        <v>0</v>
      </c>
      <c r="AN213" s="94">
        <v>0</v>
      </c>
      <c r="AO213" s="94">
        <v>0</v>
      </c>
      <c r="AP213" s="95">
        <v>0</v>
      </c>
      <c r="AQ213" s="95">
        <v>0</v>
      </c>
      <c r="AR213" s="95">
        <v>0</v>
      </c>
      <c r="AS213" s="95">
        <v>0</v>
      </c>
      <c r="AT213" s="95">
        <v>0</v>
      </c>
      <c r="AU213" s="95">
        <v>0</v>
      </c>
      <c r="AV213" s="95">
        <v>0</v>
      </c>
      <c r="AW213" s="95">
        <v>0</v>
      </c>
      <c r="AX213" s="95">
        <v>0</v>
      </c>
      <c r="AY213" s="95">
        <v>0</v>
      </c>
      <c r="AZ213" s="95">
        <v>0</v>
      </c>
      <c r="BA213" s="95">
        <v>0</v>
      </c>
      <c r="BB213" s="95">
        <v>0</v>
      </c>
      <c r="BC213" s="95">
        <v>0</v>
      </c>
      <c r="BD213" s="95">
        <v>0</v>
      </c>
      <c r="BE213" s="95">
        <v>0</v>
      </c>
    </row>
    <row r="214" spans="2:57" ht="15" customHeight="1" x14ac:dyDescent="0.25">
      <c r="B214" s="91">
        <v>204</v>
      </c>
      <c r="C214" s="92" t="s">
        <v>504</v>
      </c>
      <c r="D214" s="92" t="s">
        <v>43</v>
      </c>
      <c r="E214" s="92" t="s">
        <v>352</v>
      </c>
      <c r="F214" s="92" t="s">
        <v>312</v>
      </c>
      <c r="G214" s="101" t="s">
        <v>502</v>
      </c>
      <c r="H214" s="94">
        <v>8469</v>
      </c>
      <c r="I214" s="94">
        <v>4670</v>
      </c>
      <c r="J214" s="94">
        <v>3799</v>
      </c>
      <c r="K214" s="94">
        <v>438</v>
      </c>
      <c r="L214" s="94">
        <v>1679</v>
      </c>
      <c r="M214" s="94">
        <v>4159</v>
      </c>
      <c r="N214" s="94">
        <v>2193</v>
      </c>
      <c r="O214" s="94">
        <v>8456</v>
      </c>
      <c r="P214" s="94">
        <v>13</v>
      </c>
      <c r="Q214" s="95">
        <v>0.195360195360195</v>
      </c>
      <c r="R214" s="95">
        <v>0.221827861579414</v>
      </c>
      <c r="S214" s="95">
        <v>0.16295491580662699</v>
      </c>
      <c r="T214" s="95">
        <v>0</v>
      </c>
      <c r="U214" s="95">
        <v>0.246153846153846</v>
      </c>
      <c r="V214" s="95">
        <v>0.223824919174335</v>
      </c>
      <c r="W214" s="95">
        <v>0.14012143858010301</v>
      </c>
      <c r="X214" s="95">
        <v>0.19567078390607801</v>
      </c>
      <c r="Y214" s="95">
        <v>0</v>
      </c>
      <c r="Z214" s="94">
        <v>10697</v>
      </c>
      <c r="AA214" s="94">
        <v>5751</v>
      </c>
      <c r="AB214" s="94">
        <v>4946</v>
      </c>
      <c r="AC214" s="94">
        <v>553</v>
      </c>
      <c r="AD214" s="94">
        <v>1915</v>
      </c>
      <c r="AE214" s="94">
        <v>5377</v>
      </c>
      <c r="AF214" s="94">
        <v>2852</v>
      </c>
      <c r="AG214" s="94">
        <v>9883</v>
      </c>
      <c r="AH214" s="94">
        <v>773</v>
      </c>
      <c r="AI214" s="94">
        <v>41</v>
      </c>
      <c r="AJ214" s="94">
        <v>10635</v>
      </c>
      <c r="AK214" s="94">
        <v>18</v>
      </c>
      <c r="AL214" s="94">
        <v>44</v>
      </c>
      <c r="AM214" s="94">
        <v>904</v>
      </c>
      <c r="AN214" s="94">
        <v>9579</v>
      </c>
      <c r="AO214" s="94">
        <v>214</v>
      </c>
      <c r="AP214" s="95">
        <v>1.2771765623476601</v>
      </c>
      <c r="AQ214" s="95">
        <v>0.58107862720174297</v>
      </c>
      <c r="AR214" s="95">
        <v>2.0842105263157902</v>
      </c>
      <c r="AS214" s="95">
        <v>2.2813688212927801</v>
      </c>
      <c r="AT214" s="95">
        <v>2.0122973728339901</v>
      </c>
      <c r="AU214" s="95">
        <v>1.1436324869160699</v>
      </c>
      <c r="AV214" s="95">
        <v>0.86237872799137605</v>
      </c>
      <c r="AW214" s="95">
        <v>1.15899272995469</v>
      </c>
      <c r="AX214" s="95">
        <v>2.8885832187070202</v>
      </c>
      <c r="AY214" s="95">
        <v>0</v>
      </c>
      <c r="AZ214" s="95">
        <v>1.2839360972263101</v>
      </c>
      <c r="BA214" s="95">
        <v>0</v>
      </c>
      <c r="BB214" s="95">
        <v>0</v>
      </c>
      <c r="BC214" s="95">
        <v>1.13250283125708</v>
      </c>
      <c r="BD214" s="95">
        <v>1.2971441028995001</v>
      </c>
      <c r="BE214" s="95">
        <v>1</v>
      </c>
    </row>
    <row r="215" spans="2:57" ht="15" customHeight="1" x14ac:dyDescent="0.25">
      <c r="B215" s="96">
        <v>205</v>
      </c>
      <c r="C215" s="97" t="s">
        <v>504</v>
      </c>
      <c r="D215" s="104" t="s">
        <v>43</v>
      </c>
      <c r="E215" s="104" t="s">
        <v>352</v>
      </c>
      <c r="F215" s="104" t="s">
        <v>116</v>
      </c>
      <c r="G215" s="105" t="s">
        <v>116</v>
      </c>
      <c r="H215" s="106">
        <v>3143</v>
      </c>
      <c r="I215" s="106">
        <v>1611</v>
      </c>
      <c r="J215" s="106">
        <v>1532</v>
      </c>
      <c r="K215" s="106">
        <v>235</v>
      </c>
      <c r="L215" s="106">
        <v>676</v>
      </c>
      <c r="M215" s="106">
        <v>1413</v>
      </c>
      <c r="N215" s="106">
        <v>819</v>
      </c>
      <c r="O215" s="106">
        <v>3140</v>
      </c>
      <c r="P215" s="106">
        <v>3</v>
      </c>
      <c r="Q215" s="107">
        <v>9.8554533508541403E-2</v>
      </c>
      <c r="R215" s="107">
        <v>0</v>
      </c>
      <c r="S215" s="107">
        <v>0.20080321285140601</v>
      </c>
      <c r="T215" s="107">
        <v>0</v>
      </c>
      <c r="U215" s="107">
        <v>0.30627871362940301</v>
      </c>
      <c r="V215" s="107">
        <v>7.3475385745775196E-2</v>
      </c>
      <c r="W215" s="107">
        <v>0</v>
      </c>
      <c r="X215" s="107">
        <v>9.8651759289707305E-2</v>
      </c>
      <c r="Y215" s="107">
        <v>0</v>
      </c>
      <c r="Z215" s="106">
        <v>3911</v>
      </c>
      <c r="AA215" s="106">
        <v>2063</v>
      </c>
      <c r="AB215" s="106">
        <v>1848</v>
      </c>
      <c r="AC215" s="106">
        <v>252</v>
      </c>
      <c r="AD215" s="106">
        <v>792</v>
      </c>
      <c r="AE215" s="106">
        <v>1783</v>
      </c>
      <c r="AF215" s="106">
        <v>1084</v>
      </c>
      <c r="AG215" s="106">
        <v>3781</v>
      </c>
      <c r="AH215" s="106">
        <v>108</v>
      </c>
      <c r="AI215" s="106">
        <v>22</v>
      </c>
      <c r="AJ215" s="106">
        <v>3888</v>
      </c>
      <c r="AK215" s="106">
        <v>6</v>
      </c>
      <c r="AL215" s="106">
        <v>17</v>
      </c>
      <c r="AM215" s="106">
        <v>310</v>
      </c>
      <c r="AN215" s="106">
        <v>3568</v>
      </c>
      <c r="AO215" s="106">
        <v>33</v>
      </c>
      <c r="AP215" s="107">
        <v>0.39411455596426698</v>
      </c>
      <c r="AQ215" s="107">
        <v>0.100050025012506</v>
      </c>
      <c r="AR215" s="107">
        <v>0.71942446043165498</v>
      </c>
      <c r="AS215" s="107">
        <v>0</v>
      </c>
      <c r="AT215" s="107">
        <v>0.66137566137566095</v>
      </c>
      <c r="AU215" s="107">
        <v>0.40322580645161299</v>
      </c>
      <c r="AV215" s="107">
        <v>0.28011204481792701</v>
      </c>
      <c r="AW215" s="107">
        <v>0.38022813688212898</v>
      </c>
      <c r="AX215" s="107">
        <v>0.96153846153846201</v>
      </c>
      <c r="AY215" s="107">
        <v>0</v>
      </c>
      <c r="AZ215" s="107">
        <v>0.39651070578905601</v>
      </c>
      <c r="BA215" s="107">
        <v>0</v>
      </c>
      <c r="BB215" s="107">
        <v>0</v>
      </c>
      <c r="BC215" s="107">
        <v>0.32786885245901598</v>
      </c>
      <c r="BD215" s="107">
        <v>0.40369088811995402</v>
      </c>
      <c r="BE215" s="107">
        <v>0</v>
      </c>
    </row>
    <row r="216" spans="2:57" ht="15" customHeight="1" x14ac:dyDescent="0.25">
      <c r="B216" s="91">
        <v>206</v>
      </c>
      <c r="C216" s="92" t="s">
        <v>504</v>
      </c>
      <c r="D216" s="92" t="s">
        <v>43</v>
      </c>
      <c r="E216" s="92" t="s">
        <v>352</v>
      </c>
      <c r="F216" s="92" t="s">
        <v>116</v>
      </c>
      <c r="G216" s="101" t="s">
        <v>501</v>
      </c>
      <c r="H216" s="94">
        <v>0</v>
      </c>
      <c r="I216" s="94">
        <v>0</v>
      </c>
      <c r="J216" s="94">
        <v>0</v>
      </c>
      <c r="K216" s="94">
        <v>0</v>
      </c>
      <c r="L216" s="94">
        <v>0</v>
      </c>
      <c r="M216" s="94">
        <v>0</v>
      </c>
      <c r="N216" s="94">
        <v>0</v>
      </c>
      <c r="O216" s="94">
        <v>0</v>
      </c>
      <c r="P216" s="94">
        <v>0</v>
      </c>
      <c r="Q216" s="95">
        <v>0</v>
      </c>
      <c r="R216" s="95">
        <v>0</v>
      </c>
      <c r="S216" s="95">
        <v>0</v>
      </c>
      <c r="T216" s="95">
        <v>0</v>
      </c>
      <c r="U216" s="95">
        <v>0</v>
      </c>
      <c r="V216" s="95">
        <v>0</v>
      </c>
      <c r="W216" s="95">
        <v>0</v>
      </c>
      <c r="X216" s="95">
        <v>0</v>
      </c>
      <c r="Y216" s="95">
        <v>0</v>
      </c>
      <c r="Z216" s="94">
        <v>0</v>
      </c>
      <c r="AA216" s="94">
        <v>0</v>
      </c>
      <c r="AB216" s="94">
        <v>0</v>
      </c>
      <c r="AC216" s="94">
        <v>0</v>
      </c>
      <c r="AD216" s="94">
        <v>0</v>
      </c>
      <c r="AE216" s="94">
        <v>0</v>
      </c>
      <c r="AF216" s="94">
        <v>0</v>
      </c>
      <c r="AG216" s="94">
        <v>0</v>
      </c>
      <c r="AH216" s="94">
        <v>0</v>
      </c>
      <c r="AI216" s="94">
        <v>0</v>
      </c>
      <c r="AJ216" s="94">
        <v>0</v>
      </c>
      <c r="AK216" s="94">
        <v>0</v>
      </c>
      <c r="AL216" s="94">
        <v>0</v>
      </c>
      <c r="AM216" s="94">
        <v>0</v>
      </c>
      <c r="AN216" s="94">
        <v>0</v>
      </c>
      <c r="AO216" s="94">
        <v>0</v>
      </c>
      <c r="AP216" s="95">
        <v>0</v>
      </c>
      <c r="AQ216" s="95">
        <v>0</v>
      </c>
      <c r="AR216" s="95">
        <v>0</v>
      </c>
      <c r="AS216" s="95">
        <v>0</v>
      </c>
      <c r="AT216" s="95">
        <v>0</v>
      </c>
      <c r="AU216" s="95">
        <v>0</v>
      </c>
      <c r="AV216" s="95">
        <v>0</v>
      </c>
      <c r="AW216" s="95">
        <v>0</v>
      </c>
      <c r="AX216" s="95">
        <v>0</v>
      </c>
      <c r="AY216" s="95">
        <v>0</v>
      </c>
      <c r="AZ216" s="95">
        <v>0</v>
      </c>
      <c r="BA216" s="95">
        <v>0</v>
      </c>
      <c r="BB216" s="95">
        <v>0</v>
      </c>
      <c r="BC216" s="95">
        <v>0</v>
      </c>
      <c r="BD216" s="95">
        <v>0</v>
      </c>
      <c r="BE216" s="95">
        <v>0</v>
      </c>
    </row>
    <row r="217" spans="2:57" ht="15" customHeight="1" x14ac:dyDescent="0.25">
      <c r="B217" s="91">
        <v>207</v>
      </c>
      <c r="C217" s="92" t="s">
        <v>504</v>
      </c>
      <c r="D217" s="92" t="s">
        <v>43</v>
      </c>
      <c r="E217" s="92" t="s">
        <v>352</v>
      </c>
      <c r="F217" s="92" t="s">
        <v>116</v>
      </c>
      <c r="G217" s="101" t="s">
        <v>502</v>
      </c>
      <c r="H217" s="94">
        <v>3143</v>
      </c>
      <c r="I217" s="94">
        <v>1611</v>
      </c>
      <c r="J217" s="94">
        <v>1532</v>
      </c>
      <c r="K217" s="94">
        <v>235</v>
      </c>
      <c r="L217" s="94">
        <v>676</v>
      </c>
      <c r="M217" s="94">
        <v>1413</v>
      </c>
      <c r="N217" s="94">
        <v>819</v>
      </c>
      <c r="O217" s="94">
        <v>3140</v>
      </c>
      <c r="P217" s="94">
        <v>3</v>
      </c>
      <c r="Q217" s="95">
        <v>9.8554533508541403E-2</v>
      </c>
      <c r="R217" s="95">
        <v>0</v>
      </c>
      <c r="S217" s="95">
        <v>0.20080321285140601</v>
      </c>
      <c r="T217" s="95">
        <v>0</v>
      </c>
      <c r="U217" s="95">
        <v>0.30627871362940301</v>
      </c>
      <c r="V217" s="95">
        <v>7.3475385745775196E-2</v>
      </c>
      <c r="W217" s="95">
        <v>0</v>
      </c>
      <c r="X217" s="95">
        <v>9.8651759289707305E-2</v>
      </c>
      <c r="Y217" s="95">
        <v>0</v>
      </c>
      <c r="Z217" s="94">
        <v>3911</v>
      </c>
      <c r="AA217" s="94">
        <v>2063</v>
      </c>
      <c r="AB217" s="94">
        <v>1848</v>
      </c>
      <c r="AC217" s="94">
        <v>252</v>
      </c>
      <c r="AD217" s="94">
        <v>792</v>
      </c>
      <c r="AE217" s="94">
        <v>1783</v>
      </c>
      <c r="AF217" s="94">
        <v>1084</v>
      </c>
      <c r="AG217" s="94">
        <v>3781</v>
      </c>
      <c r="AH217" s="94">
        <v>108</v>
      </c>
      <c r="AI217" s="94">
        <v>22</v>
      </c>
      <c r="AJ217" s="94">
        <v>3888</v>
      </c>
      <c r="AK217" s="94">
        <v>6</v>
      </c>
      <c r="AL217" s="94">
        <v>17</v>
      </c>
      <c r="AM217" s="94">
        <v>310</v>
      </c>
      <c r="AN217" s="94">
        <v>3568</v>
      </c>
      <c r="AO217" s="94">
        <v>33</v>
      </c>
      <c r="AP217" s="95">
        <v>0.39411455596426698</v>
      </c>
      <c r="AQ217" s="95">
        <v>0.100050025012506</v>
      </c>
      <c r="AR217" s="95">
        <v>0.71942446043165498</v>
      </c>
      <c r="AS217" s="95">
        <v>0</v>
      </c>
      <c r="AT217" s="95">
        <v>0.66137566137566095</v>
      </c>
      <c r="AU217" s="95">
        <v>0.40322580645161299</v>
      </c>
      <c r="AV217" s="95">
        <v>0.28011204481792701</v>
      </c>
      <c r="AW217" s="95">
        <v>0.38022813688212898</v>
      </c>
      <c r="AX217" s="95">
        <v>0.96153846153846201</v>
      </c>
      <c r="AY217" s="95">
        <v>0</v>
      </c>
      <c r="AZ217" s="95">
        <v>0.39651070578905601</v>
      </c>
      <c r="BA217" s="95">
        <v>0</v>
      </c>
      <c r="BB217" s="95">
        <v>0</v>
      </c>
      <c r="BC217" s="95">
        <v>0.32786885245901598</v>
      </c>
      <c r="BD217" s="95">
        <v>0.40369088811995402</v>
      </c>
      <c r="BE217" s="95">
        <v>0</v>
      </c>
    </row>
    <row r="218" spans="2:57" ht="15" customHeight="1" x14ac:dyDescent="0.25">
      <c r="B218" s="96">
        <v>208</v>
      </c>
      <c r="C218" s="97" t="s">
        <v>504</v>
      </c>
      <c r="D218" s="104" t="s">
        <v>43</v>
      </c>
      <c r="E218" s="104" t="s">
        <v>352</v>
      </c>
      <c r="F218" s="104" t="s">
        <v>222</v>
      </c>
      <c r="G218" s="105" t="s">
        <v>222</v>
      </c>
      <c r="H218" s="106">
        <v>4327</v>
      </c>
      <c r="I218" s="106">
        <v>2232</v>
      </c>
      <c r="J218" s="106">
        <v>2095</v>
      </c>
      <c r="K218" s="106">
        <v>207</v>
      </c>
      <c r="L218" s="106">
        <v>698</v>
      </c>
      <c r="M218" s="106">
        <v>2114</v>
      </c>
      <c r="N218" s="106">
        <v>1308</v>
      </c>
      <c r="O218" s="106">
        <v>4315</v>
      </c>
      <c r="P218" s="106">
        <v>12</v>
      </c>
      <c r="Q218" s="107">
        <v>0.165758939142789</v>
      </c>
      <c r="R218" s="107">
        <v>9.2208390963577705E-2</v>
      </c>
      <c r="S218" s="107">
        <v>0.243427458617332</v>
      </c>
      <c r="T218" s="107">
        <v>0.52356020942408399</v>
      </c>
      <c r="U218" s="107">
        <v>0</v>
      </c>
      <c r="V218" s="107">
        <v>0.290275761973875</v>
      </c>
      <c r="W218" s="107">
        <v>0</v>
      </c>
      <c r="X218" s="107">
        <v>0.16623129897886499</v>
      </c>
      <c r="Y218" s="107">
        <v>0</v>
      </c>
      <c r="Z218" s="106">
        <v>5648</v>
      </c>
      <c r="AA218" s="106">
        <v>2936</v>
      </c>
      <c r="AB218" s="106">
        <v>2712</v>
      </c>
      <c r="AC218" s="106">
        <v>256</v>
      </c>
      <c r="AD218" s="106">
        <v>866</v>
      </c>
      <c r="AE218" s="106">
        <v>2768</v>
      </c>
      <c r="AF218" s="106">
        <v>1758</v>
      </c>
      <c r="AG218" s="106">
        <v>5307</v>
      </c>
      <c r="AH218" s="106">
        <v>319</v>
      </c>
      <c r="AI218" s="106">
        <v>22</v>
      </c>
      <c r="AJ218" s="106">
        <v>5610</v>
      </c>
      <c r="AK218" s="106">
        <v>11</v>
      </c>
      <c r="AL218" s="106">
        <v>27</v>
      </c>
      <c r="AM218" s="106">
        <v>564</v>
      </c>
      <c r="AN218" s="106">
        <v>5055</v>
      </c>
      <c r="AO218" s="106">
        <v>29</v>
      </c>
      <c r="AP218" s="107">
        <v>1.20036934441367</v>
      </c>
      <c r="AQ218" s="107">
        <v>0.49365303244005598</v>
      </c>
      <c r="AR218" s="107">
        <v>1.97751066304769</v>
      </c>
      <c r="AS218" s="107">
        <v>2.0746887966804999</v>
      </c>
      <c r="AT218" s="107">
        <v>1.5970515970515999</v>
      </c>
      <c r="AU218" s="107">
        <v>1.28350320875802</v>
      </c>
      <c r="AV218" s="107">
        <v>0.75978959672706003</v>
      </c>
      <c r="AW218" s="107">
        <v>1.09998035749362</v>
      </c>
      <c r="AX218" s="107">
        <v>2.9801324503311299</v>
      </c>
      <c r="AY218" s="107">
        <v>0</v>
      </c>
      <c r="AZ218" s="107">
        <v>1.20840304889385</v>
      </c>
      <c r="BA218" s="107">
        <v>0</v>
      </c>
      <c r="BB218" s="107">
        <v>0</v>
      </c>
      <c r="BC218" s="107">
        <v>0.54249547920434005</v>
      </c>
      <c r="BD218" s="107">
        <v>1.2817862311349999</v>
      </c>
      <c r="BE218" s="107">
        <v>0</v>
      </c>
    </row>
    <row r="219" spans="2:57" ht="15" customHeight="1" x14ac:dyDescent="0.25">
      <c r="B219" s="91">
        <v>209</v>
      </c>
      <c r="C219" s="92" t="s">
        <v>504</v>
      </c>
      <c r="D219" s="92" t="s">
        <v>43</v>
      </c>
      <c r="E219" s="92" t="s">
        <v>352</v>
      </c>
      <c r="F219" s="92" t="s">
        <v>222</v>
      </c>
      <c r="G219" s="101" t="s">
        <v>501</v>
      </c>
      <c r="H219" s="94">
        <v>0</v>
      </c>
      <c r="I219" s="94">
        <v>0</v>
      </c>
      <c r="J219" s="94">
        <v>0</v>
      </c>
      <c r="K219" s="94">
        <v>0</v>
      </c>
      <c r="L219" s="94">
        <v>0</v>
      </c>
      <c r="M219" s="94">
        <v>0</v>
      </c>
      <c r="N219" s="94">
        <v>0</v>
      </c>
      <c r="O219" s="94">
        <v>0</v>
      </c>
      <c r="P219" s="94">
        <v>0</v>
      </c>
      <c r="Q219" s="95">
        <v>0</v>
      </c>
      <c r="R219" s="95">
        <v>0</v>
      </c>
      <c r="S219" s="95">
        <v>0</v>
      </c>
      <c r="T219" s="95">
        <v>0</v>
      </c>
      <c r="U219" s="95">
        <v>0</v>
      </c>
      <c r="V219" s="95">
        <v>0</v>
      </c>
      <c r="W219" s="95">
        <v>0</v>
      </c>
      <c r="X219" s="95">
        <v>0</v>
      </c>
      <c r="Y219" s="95">
        <v>0</v>
      </c>
      <c r="Z219" s="94">
        <v>0</v>
      </c>
      <c r="AA219" s="94">
        <v>0</v>
      </c>
      <c r="AB219" s="94">
        <v>0</v>
      </c>
      <c r="AC219" s="94">
        <v>0</v>
      </c>
      <c r="AD219" s="94">
        <v>0</v>
      </c>
      <c r="AE219" s="94">
        <v>0</v>
      </c>
      <c r="AF219" s="94">
        <v>0</v>
      </c>
      <c r="AG219" s="94">
        <v>0</v>
      </c>
      <c r="AH219" s="94">
        <v>0</v>
      </c>
      <c r="AI219" s="94">
        <v>0</v>
      </c>
      <c r="AJ219" s="94">
        <v>0</v>
      </c>
      <c r="AK219" s="94">
        <v>0</v>
      </c>
      <c r="AL219" s="94">
        <v>0</v>
      </c>
      <c r="AM219" s="94">
        <v>0</v>
      </c>
      <c r="AN219" s="94">
        <v>0</v>
      </c>
      <c r="AO219" s="94">
        <v>0</v>
      </c>
      <c r="AP219" s="95">
        <v>0</v>
      </c>
      <c r="AQ219" s="95">
        <v>0</v>
      </c>
      <c r="AR219" s="95">
        <v>0</v>
      </c>
      <c r="AS219" s="95">
        <v>0</v>
      </c>
      <c r="AT219" s="95">
        <v>0</v>
      </c>
      <c r="AU219" s="95">
        <v>0</v>
      </c>
      <c r="AV219" s="95">
        <v>0</v>
      </c>
      <c r="AW219" s="95">
        <v>0</v>
      </c>
      <c r="AX219" s="95">
        <v>0</v>
      </c>
      <c r="AY219" s="95">
        <v>0</v>
      </c>
      <c r="AZ219" s="95">
        <v>0</v>
      </c>
      <c r="BA219" s="95">
        <v>0</v>
      </c>
      <c r="BB219" s="95">
        <v>0</v>
      </c>
      <c r="BC219" s="95">
        <v>0</v>
      </c>
      <c r="BD219" s="95">
        <v>0</v>
      </c>
      <c r="BE219" s="95">
        <v>0</v>
      </c>
    </row>
    <row r="220" spans="2:57" ht="15" customHeight="1" x14ac:dyDescent="0.25">
      <c r="B220" s="91">
        <v>210</v>
      </c>
      <c r="C220" s="92" t="s">
        <v>504</v>
      </c>
      <c r="D220" s="92" t="s">
        <v>43</v>
      </c>
      <c r="E220" s="92" t="s">
        <v>352</v>
      </c>
      <c r="F220" s="92" t="s">
        <v>222</v>
      </c>
      <c r="G220" s="101" t="s">
        <v>502</v>
      </c>
      <c r="H220" s="94">
        <v>4327</v>
      </c>
      <c r="I220" s="94">
        <v>2232</v>
      </c>
      <c r="J220" s="94">
        <v>2095</v>
      </c>
      <c r="K220" s="94">
        <v>207</v>
      </c>
      <c r="L220" s="94">
        <v>698</v>
      </c>
      <c r="M220" s="94">
        <v>2114</v>
      </c>
      <c r="N220" s="94">
        <v>1308</v>
      </c>
      <c r="O220" s="94">
        <v>4315</v>
      </c>
      <c r="P220" s="94">
        <v>12</v>
      </c>
      <c r="Q220" s="95">
        <v>0.165758939142789</v>
      </c>
      <c r="R220" s="95">
        <v>9.2208390963577705E-2</v>
      </c>
      <c r="S220" s="95">
        <v>0.243427458617332</v>
      </c>
      <c r="T220" s="95">
        <v>0.52356020942408399</v>
      </c>
      <c r="U220" s="95">
        <v>0</v>
      </c>
      <c r="V220" s="95">
        <v>0.290275761973875</v>
      </c>
      <c r="W220" s="95">
        <v>0</v>
      </c>
      <c r="X220" s="95">
        <v>0.16623129897886499</v>
      </c>
      <c r="Y220" s="95">
        <v>0</v>
      </c>
      <c r="Z220" s="94">
        <v>5648</v>
      </c>
      <c r="AA220" s="94">
        <v>2936</v>
      </c>
      <c r="AB220" s="94">
        <v>2712</v>
      </c>
      <c r="AC220" s="94">
        <v>256</v>
      </c>
      <c r="AD220" s="94">
        <v>866</v>
      </c>
      <c r="AE220" s="94">
        <v>2768</v>
      </c>
      <c r="AF220" s="94">
        <v>1758</v>
      </c>
      <c r="AG220" s="94">
        <v>5307</v>
      </c>
      <c r="AH220" s="94">
        <v>319</v>
      </c>
      <c r="AI220" s="94">
        <v>22</v>
      </c>
      <c r="AJ220" s="94">
        <v>5610</v>
      </c>
      <c r="AK220" s="94">
        <v>11</v>
      </c>
      <c r="AL220" s="94">
        <v>27</v>
      </c>
      <c r="AM220" s="94">
        <v>564</v>
      </c>
      <c r="AN220" s="94">
        <v>5055</v>
      </c>
      <c r="AO220" s="94">
        <v>29</v>
      </c>
      <c r="AP220" s="95">
        <v>1.20036934441367</v>
      </c>
      <c r="AQ220" s="95">
        <v>0.49365303244005598</v>
      </c>
      <c r="AR220" s="95">
        <v>1.97751066304769</v>
      </c>
      <c r="AS220" s="95">
        <v>2.0746887966804999</v>
      </c>
      <c r="AT220" s="95">
        <v>1.5970515970515999</v>
      </c>
      <c r="AU220" s="95">
        <v>1.28350320875802</v>
      </c>
      <c r="AV220" s="95">
        <v>0.75978959672706003</v>
      </c>
      <c r="AW220" s="95">
        <v>1.09998035749362</v>
      </c>
      <c r="AX220" s="95">
        <v>2.9801324503311299</v>
      </c>
      <c r="AY220" s="95">
        <v>0</v>
      </c>
      <c r="AZ220" s="95">
        <v>1.20840304889385</v>
      </c>
      <c r="BA220" s="95">
        <v>0</v>
      </c>
      <c r="BB220" s="95">
        <v>0</v>
      </c>
      <c r="BC220" s="95">
        <v>0.54249547920434005</v>
      </c>
      <c r="BD220" s="95">
        <v>1.2817862311349999</v>
      </c>
      <c r="BE220" s="95">
        <v>0</v>
      </c>
    </row>
    <row r="221" spans="2:57" ht="15" customHeight="1" x14ac:dyDescent="0.25">
      <c r="B221" s="86">
        <v>211</v>
      </c>
      <c r="C221" s="87" t="s">
        <v>503</v>
      </c>
      <c r="D221" s="103" t="s">
        <v>43</v>
      </c>
      <c r="E221" s="103" t="s">
        <v>353</v>
      </c>
      <c r="F221" s="103"/>
      <c r="G221" s="88" t="s">
        <v>353</v>
      </c>
      <c r="H221" s="89">
        <v>14067</v>
      </c>
      <c r="I221" s="89">
        <v>7924</v>
      </c>
      <c r="J221" s="89">
        <v>6143</v>
      </c>
      <c r="K221" s="89">
        <v>1218</v>
      </c>
      <c r="L221" s="89">
        <v>3606</v>
      </c>
      <c r="M221" s="89">
        <v>6607</v>
      </c>
      <c r="N221" s="89">
        <v>2636</v>
      </c>
      <c r="O221" s="89">
        <v>14060</v>
      </c>
      <c r="P221" s="89">
        <v>7</v>
      </c>
      <c r="Q221" s="90">
        <v>0.20054965460892801</v>
      </c>
      <c r="R221" s="90">
        <v>0.17154922143045701</v>
      </c>
      <c r="S221" s="90">
        <v>0.23789294817332199</v>
      </c>
      <c r="T221" s="90">
        <v>8.8888888888888906E-2</v>
      </c>
      <c r="U221" s="90">
        <v>0.29308323563892102</v>
      </c>
      <c r="V221" s="90">
        <v>0.15715857300015701</v>
      </c>
      <c r="W221" s="90">
        <v>0.23410066328521301</v>
      </c>
      <c r="X221" s="90">
        <v>0.20065398335315099</v>
      </c>
      <c r="Y221" s="90">
        <v>0</v>
      </c>
      <c r="Z221" s="89">
        <v>19970</v>
      </c>
      <c r="AA221" s="89">
        <v>10971</v>
      </c>
      <c r="AB221" s="89">
        <v>8999</v>
      </c>
      <c r="AC221" s="89">
        <v>1274</v>
      </c>
      <c r="AD221" s="89">
        <v>5398</v>
      </c>
      <c r="AE221" s="89">
        <v>9643</v>
      </c>
      <c r="AF221" s="89">
        <v>3655</v>
      </c>
      <c r="AG221" s="89">
        <v>17599</v>
      </c>
      <c r="AH221" s="89">
        <v>2094</v>
      </c>
      <c r="AI221" s="89">
        <v>277</v>
      </c>
      <c r="AJ221" s="89">
        <v>19848</v>
      </c>
      <c r="AK221" s="89">
        <v>20</v>
      </c>
      <c r="AL221" s="89">
        <v>102</v>
      </c>
      <c r="AM221" s="89">
        <v>1304</v>
      </c>
      <c r="AN221" s="89">
        <v>18302</v>
      </c>
      <c r="AO221" s="89">
        <v>364</v>
      </c>
      <c r="AP221" s="90">
        <v>0.85558724397199903</v>
      </c>
      <c r="AQ221" s="90">
        <v>0.338983050847458</v>
      </c>
      <c r="AR221" s="90">
        <v>1.4887478361223301</v>
      </c>
      <c r="AS221" s="90">
        <v>0.99420049710024905</v>
      </c>
      <c r="AT221" s="90">
        <v>1.10208816705336</v>
      </c>
      <c r="AU221" s="90">
        <v>0.85708163702592699</v>
      </c>
      <c r="AV221" s="90">
        <v>0.44792833146696498</v>
      </c>
      <c r="AW221" s="90">
        <v>0.73774811171614296</v>
      </c>
      <c r="AX221" s="90">
        <v>1.80319422977846</v>
      </c>
      <c r="AY221" s="90">
        <v>1.5094339622641499</v>
      </c>
      <c r="AZ221" s="90">
        <v>0.85554802024101395</v>
      </c>
      <c r="BA221" s="90">
        <v>0</v>
      </c>
      <c r="BB221" s="90">
        <v>1.0101010101010099</v>
      </c>
      <c r="BC221" s="90">
        <v>0.23547880690737799</v>
      </c>
      <c r="BD221" s="90">
        <v>0.89467723669309196</v>
      </c>
      <c r="BE221" s="90">
        <v>1.1396011396011401</v>
      </c>
    </row>
    <row r="222" spans="2:57" ht="15" customHeight="1" x14ac:dyDescent="0.25">
      <c r="B222" s="91">
        <v>212</v>
      </c>
      <c r="C222" s="92" t="s">
        <v>503</v>
      </c>
      <c r="D222" s="92" t="s">
        <v>43</v>
      </c>
      <c r="E222" s="92" t="s">
        <v>353</v>
      </c>
      <c r="F222" s="92"/>
      <c r="G222" s="93" t="s">
        <v>501</v>
      </c>
      <c r="H222" s="94">
        <v>0</v>
      </c>
      <c r="I222" s="94">
        <v>0</v>
      </c>
      <c r="J222" s="94">
        <v>0</v>
      </c>
      <c r="K222" s="94">
        <v>0</v>
      </c>
      <c r="L222" s="94">
        <v>0</v>
      </c>
      <c r="M222" s="94">
        <v>0</v>
      </c>
      <c r="N222" s="94">
        <v>0</v>
      </c>
      <c r="O222" s="94">
        <v>0</v>
      </c>
      <c r="P222" s="94">
        <v>0</v>
      </c>
      <c r="Q222" s="95">
        <v>0</v>
      </c>
      <c r="R222" s="95">
        <v>0</v>
      </c>
      <c r="S222" s="95">
        <v>0</v>
      </c>
      <c r="T222" s="95">
        <v>0</v>
      </c>
      <c r="U222" s="95">
        <v>0</v>
      </c>
      <c r="V222" s="95">
        <v>0</v>
      </c>
      <c r="W222" s="95">
        <v>0</v>
      </c>
      <c r="X222" s="95">
        <v>0</v>
      </c>
      <c r="Y222" s="95">
        <v>0</v>
      </c>
      <c r="Z222" s="94">
        <v>0</v>
      </c>
      <c r="AA222" s="94">
        <v>0</v>
      </c>
      <c r="AB222" s="94">
        <v>0</v>
      </c>
      <c r="AC222" s="94">
        <v>0</v>
      </c>
      <c r="AD222" s="94">
        <v>0</v>
      </c>
      <c r="AE222" s="94">
        <v>0</v>
      </c>
      <c r="AF222" s="94">
        <v>0</v>
      </c>
      <c r="AG222" s="94">
        <v>0</v>
      </c>
      <c r="AH222" s="94">
        <v>0</v>
      </c>
      <c r="AI222" s="94">
        <v>0</v>
      </c>
      <c r="AJ222" s="94">
        <v>0</v>
      </c>
      <c r="AK222" s="94">
        <v>0</v>
      </c>
      <c r="AL222" s="94">
        <v>0</v>
      </c>
      <c r="AM222" s="94">
        <v>0</v>
      </c>
      <c r="AN222" s="94">
        <v>0</v>
      </c>
      <c r="AO222" s="94">
        <v>0</v>
      </c>
      <c r="AP222" s="95">
        <v>0</v>
      </c>
      <c r="AQ222" s="95">
        <v>0</v>
      </c>
      <c r="AR222" s="95">
        <v>0</v>
      </c>
      <c r="AS222" s="95">
        <v>0</v>
      </c>
      <c r="AT222" s="95">
        <v>0</v>
      </c>
      <c r="AU222" s="95">
        <v>0</v>
      </c>
      <c r="AV222" s="95">
        <v>0</v>
      </c>
      <c r="AW222" s="95">
        <v>0</v>
      </c>
      <c r="AX222" s="95">
        <v>0</v>
      </c>
      <c r="AY222" s="95">
        <v>0</v>
      </c>
      <c r="AZ222" s="95">
        <v>0</v>
      </c>
      <c r="BA222" s="95">
        <v>0</v>
      </c>
      <c r="BB222" s="95">
        <v>0</v>
      </c>
      <c r="BC222" s="95">
        <v>0</v>
      </c>
      <c r="BD222" s="95">
        <v>0</v>
      </c>
      <c r="BE222" s="95">
        <v>0</v>
      </c>
    </row>
    <row r="223" spans="2:57" ht="15" customHeight="1" x14ac:dyDescent="0.25">
      <c r="B223" s="91">
        <v>213</v>
      </c>
      <c r="C223" s="92" t="s">
        <v>503</v>
      </c>
      <c r="D223" s="92" t="s">
        <v>43</v>
      </c>
      <c r="E223" s="92" t="s">
        <v>353</v>
      </c>
      <c r="F223" s="92"/>
      <c r="G223" s="93" t="s">
        <v>502</v>
      </c>
      <c r="H223" s="94">
        <v>14067</v>
      </c>
      <c r="I223" s="94">
        <v>7924</v>
      </c>
      <c r="J223" s="94">
        <v>6143</v>
      </c>
      <c r="K223" s="94">
        <v>1218</v>
      </c>
      <c r="L223" s="94">
        <v>3606</v>
      </c>
      <c r="M223" s="94">
        <v>6607</v>
      </c>
      <c r="N223" s="94">
        <v>2636</v>
      </c>
      <c r="O223" s="94">
        <v>14060</v>
      </c>
      <c r="P223" s="94">
        <v>7</v>
      </c>
      <c r="Q223" s="95">
        <v>0.20054965460892801</v>
      </c>
      <c r="R223" s="95">
        <v>0.17154922143045701</v>
      </c>
      <c r="S223" s="95">
        <v>0.23789294817332199</v>
      </c>
      <c r="T223" s="95">
        <v>8.8888888888888906E-2</v>
      </c>
      <c r="U223" s="95">
        <v>0.29308323563892102</v>
      </c>
      <c r="V223" s="95">
        <v>0.15715857300015701</v>
      </c>
      <c r="W223" s="95">
        <v>0.23410066328521301</v>
      </c>
      <c r="X223" s="95">
        <v>0.20065398335315099</v>
      </c>
      <c r="Y223" s="95">
        <v>0</v>
      </c>
      <c r="Z223" s="94">
        <v>19970</v>
      </c>
      <c r="AA223" s="94">
        <v>10971</v>
      </c>
      <c r="AB223" s="94">
        <v>8999</v>
      </c>
      <c r="AC223" s="94">
        <v>1274</v>
      </c>
      <c r="AD223" s="94">
        <v>5398</v>
      </c>
      <c r="AE223" s="94">
        <v>9643</v>
      </c>
      <c r="AF223" s="94">
        <v>3655</v>
      </c>
      <c r="AG223" s="94">
        <v>17599</v>
      </c>
      <c r="AH223" s="94">
        <v>2094</v>
      </c>
      <c r="AI223" s="94">
        <v>277</v>
      </c>
      <c r="AJ223" s="94">
        <v>19848</v>
      </c>
      <c r="AK223" s="94">
        <v>20</v>
      </c>
      <c r="AL223" s="94">
        <v>102</v>
      </c>
      <c r="AM223" s="94">
        <v>1304</v>
      </c>
      <c r="AN223" s="94">
        <v>18302</v>
      </c>
      <c r="AO223" s="94">
        <v>364</v>
      </c>
      <c r="AP223" s="95">
        <v>0.85558724397199903</v>
      </c>
      <c r="AQ223" s="95">
        <v>0.338983050847458</v>
      </c>
      <c r="AR223" s="95">
        <v>1.4887478361223301</v>
      </c>
      <c r="AS223" s="95">
        <v>0.99420049710024905</v>
      </c>
      <c r="AT223" s="95">
        <v>1.10208816705336</v>
      </c>
      <c r="AU223" s="95">
        <v>0.85708163702592699</v>
      </c>
      <c r="AV223" s="95">
        <v>0.44792833146696498</v>
      </c>
      <c r="AW223" s="95">
        <v>0.73774811171614296</v>
      </c>
      <c r="AX223" s="95">
        <v>1.80319422977846</v>
      </c>
      <c r="AY223" s="95">
        <v>1.5094339622641499</v>
      </c>
      <c r="AZ223" s="95">
        <v>0.85554802024101395</v>
      </c>
      <c r="BA223" s="95">
        <v>0</v>
      </c>
      <c r="BB223" s="95">
        <v>1.0101010101010099</v>
      </c>
      <c r="BC223" s="95">
        <v>0.23547880690737799</v>
      </c>
      <c r="BD223" s="95">
        <v>0.89467723669309196</v>
      </c>
      <c r="BE223" s="95">
        <v>1.1396011396011401</v>
      </c>
    </row>
    <row r="224" spans="2:57" ht="15" customHeight="1" x14ac:dyDescent="0.25">
      <c r="B224" s="96">
        <v>214</v>
      </c>
      <c r="C224" s="97" t="s">
        <v>504</v>
      </c>
      <c r="D224" s="104" t="s">
        <v>43</v>
      </c>
      <c r="E224" s="104" t="s">
        <v>353</v>
      </c>
      <c r="F224" s="104" t="s">
        <v>226</v>
      </c>
      <c r="G224" s="105" t="s">
        <v>226</v>
      </c>
      <c r="H224" s="106">
        <v>6680</v>
      </c>
      <c r="I224" s="106">
        <v>3668</v>
      </c>
      <c r="J224" s="106">
        <v>3012</v>
      </c>
      <c r="K224" s="106">
        <v>563</v>
      </c>
      <c r="L224" s="106">
        <v>1658</v>
      </c>
      <c r="M224" s="106">
        <v>3063</v>
      </c>
      <c r="N224" s="106">
        <v>1396</v>
      </c>
      <c r="O224" s="106">
        <v>6679</v>
      </c>
      <c r="P224" s="106">
        <v>1</v>
      </c>
      <c r="Q224" s="107">
        <v>0.188708916496304</v>
      </c>
      <c r="R224" s="107">
        <v>0.172215843857635</v>
      </c>
      <c r="S224" s="107">
        <v>0.208695652173913</v>
      </c>
      <c r="T224" s="107">
        <v>0.193050193050193</v>
      </c>
      <c r="U224" s="107">
        <v>0.25773195876288701</v>
      </c>
      <c r="V224" s="107">
        <v>0.17006802721088399</v>
      </c>
      <c r="W224" s="107">
        <v>0.14825796886582701</v>
      </c>
      <c r="X224" s="107">
        <v>0.18873859704309501</v>
      </c>
      <c r="Y224" s="107">
        <v>0</v>
      </c>
      <c r="Z224" s="106">
        <v>10836</v>
      </c>
      <c r="AA224" s="106">
        <v>5809</v>
      </c>
      <c r="AB224" s="106">
        <v>5027</v>
      </c>
      <c r="AC224" s="106">
        <v>636</v>
      </c>
      <c r="AD224" s="106">
        <v>2780</v>
      </c>
      <c r="AE224" s="106">
        <v>5215</v>
      </c>
      <c r="AF224" s="106">
        <v>2205</v>
      </c>
      <c r="AG224" s="106">
        <v>9578</v>
      </c>
      <c r="AH224" s="106">
        <v>1146</v>
      </c>
      <c r="AI224" s="106">
        <v>112</v>
      </c>
      <c r="AJ224" s="106">
        <v>10771</v>
      </c>
      <c r="AK224" s="106">
        <v>14</v>
      </c>
      <c r="AL224" s="106">
        <v>51</v>
      </c>
      <c r="AM224" s="106">
        <v>707</v>
      </c>
      <c r="AN224" s="106">
        <v>9964</v>
      </c>
      <c r="AO224" s="106">
        <v>165</v>
      </c>
      <c r="AP224" s="107">
        <v>0.69431234544416998</v>
      </c>
      <c r="AQ224" s="107">
        <v>0.38986354775828502</v>
      </c>
      <c r="AR224" s="107">
        <v>1.04701293368918</v>
      </c>
      <c r="AS224" s="107">
        <v>0.495867768595041</v>
      </c>
      <c r="AT224" s="107">
        <v>0.74822297044519304</v>
      </c>
      <c r="AU224" s="107">
        <v>0.80788177339901501</v>
      </c>
      <c r="AV224" s="107">
        <v>0.41647385469690001</v>
      </c>
      <c r="AW224" s="107">
        <v>0.53527459586768</v>
      </c>
      <c r="AX224" s="107">
        <v>1.9736842105263199</v>
      </c>
      <c r="AY224" s="107">
        <v>1.8348623853210999</v>
      </c>
      <c r="AZ224" s="107">
        <v>0.68886337543053999</v>
      </c>
      <c r="BA224" s="107">
        <v>0</v>
      </c>
      <c r="BB224" s="107">
        <v>2.0408163265306101</v>
      </c>
      <c r="BC224" s="107">
        <v>0</v>
      </c>
      <c r="BD224" s="107">
        <v>0.734837507762368</v>
      </c>
      <c r="BE224" s="107">
        <v>1.2578616352201299</v>
      </c>
    </row>
    <row r="225" spans="2:57" ht="15" customHeight="1" x14ac:dyDescent="0.25">
      <c r="B225" s="91">
        <v>215</v>
      </c>
      <c r="C225" s="92" t="s">
        <v>504</v>
      </c>
      <c r="D225" s="92" t="s">
        <v>43</v>
      </c>
      <c r="E225" s="92" t="s">
        <v>353</v>
      </c>
      <c r="F225" s="92" t="s">
        <v>226</v>
      </c>
      <c r="G225" s="101" t="s">
        <v>501</v>
      </c>
      <c r="H225" s="94">
        <v>0</v>
      </c>
      <c r="I225" s="94">
        <v>0</v>
      </c>
      <c r="J225" s="94">
        <v>0</v>
      </c>
      <c r="K225" s="94">
        <v>0</v>
      </c>
      <c r="L225" s="94">
        <v>0</v>
      </c>
      <c r="M225" s="94">
        <v>0</v>
      </c>
      <c r="N225" s="94">
        <v>0</v>
      </c>
      <c r="O225" s="94">
        <v>0</v>
      </c>
      <c r="P225" s="94">
        <v>0</v>
      </c>
      <c r="Q225" s="95">
        <v>0</v>
      </c>
      <c r="R225" s="95">
        <v>0</v>
      </c>
      <c r="S225" s="95">
        <v>0</v>
      </c>
      <c r="T225" s="95">
        <v>0</v>
      </c>
      <c r="U225" s="95">
        <v>0</v>
      </c>
      <c r="V225" s="95">
        <v>0</v>
      </c>
      <c r="W225" s="95">
        <v>0</v>
      </c>
      <c r="X225" s="95">
        <v>0</v>
      </c>
      <c r="Y225" s="95">
        <v>0</v>
      </c>
      <c r="Z225" s="94">
        <v>0</v>
      </c>
      <c r="AA225" s="94">
        <v>0</v>
      </c>
      <c r="AB225" s="94">
        <v>0</v>
      </c>
      <c r="AC225" s="94">
        <v>0</v>
      </c>
      <c r="AD225" s="94">
        <v>0</v>
      </c>
      <c r="AE225" s="94">
        <v>0</v>
      </c>
      <c r="AF225" s="94">
        <v>0</v>
      </c>
      <c r="AG225" s="94">
        <v>0</v>
      </c>
      <c r="AH225" s="94">
        <v>0</v>
      </c>
      <c r="AI225" s="94">
        <v>0</v>
      </c>
      <c r="AJ225" s="94">
        <v>0</v>
      </c>
      <c r="AK225" s="94">
        <v>0</v>
      </c>
      <c r="AL225" s="94">
        <v>0</v>
      </c>
      <c r="AM225" s="94">
        <v>0</v>
      </c>
      <c r="AN225" s="94">
        <v>0</v>
      </c>
      <c r="AO225" s="94">
        <v>0</v>
      </c>
      <c r="AP225" s="95">
        <v>0</v>
      </c>
      <c r="AQ225" s="95">
        <v>0</v>
      </c>
      <c r="AR225" s="95">
        <v>0</v>
      </c>
      <c r="AS225" s="95">
        <v>0</v>
      </c>
      <c r="AT225" s="95">
        <v>0</v>
      </c>
      <c r="AU225" s="95">
        <v>0</v>
      </c>
      <c r="AV225" s="95">
        <v>0</v>
      </c>
      <c r="AW225" s="95">
        <v>0</v>
      </c>
      <c r="AX225" s="95">
        <v>0</v>
      </c>
      <c r="AY225" s="95">
        <v>0</v>
      </c>
      <c r="AZ225" s="95">
        <v>0</v>
      </c>
      <c r="BA225" s="95">
        <v>0</v>
      </c>
      <c r="BB225" s="95">
        <v>0</v>
      </c>
      <c r="BC225" s="95">
        <v>0</v>
      </c>
      <c r="BD225" s="95">
        <v>0</v>
      </c>
      <c r="BE225" s="95">
        <v>0</v>
      </c>
    </row>
    <row r="226" spans="2:57" ht="15" customHeight="1" x14ac:dyDescent="0.25">
      <c r="B226" s="91">
        <v>216</v>
      </c>
      <c r="C226" s="92" t="s">
        <v>504</v>
      </c>
      <c r="D226" s="92" t="s">
        <v>43</v>
      </c>
      <c r="E226" s="92" t="s">
        <v>353</v>
      </c>
      <c r="F226" s="92" t="s">
        <v>226</v>
      </c>
      <c r="G226" s="101" t="s">
        <v>502</v>
      </c>
      <c r="H226" s="94">
        <v>6680</v>
      </c>
      <c r="I226" s="94">
        <v>3668</v>
      </c>
      <c r="J226" s="94">
        <v>3012</v>
      </c>
      <c r="K226" s="94">
        <v>563</v>
      </c>
      <c r="L226" s="94">
        <v>1658</v>
      </c>
      <c r="M226" s="94">
        <v>3063</v>
      </c>
      <c r="N226" s="94">
        <v>1396</v>
      </c>
      <c r="O226" s="94">
        <v>6679</v>
      </c>
      <c r="P226" s="94">
        <v>1</v>
      </c>
      <c r="Q226" s="95">
        <v>0.188708916496304</v>
      </c>
      <c r="R226" s="95">
        <v>0.172215843857635</v>
      </c>
      <c r="S226" s="95">
        <v>0.208695652173913</v>
      </c>
      <c r="T226" s="95">
        <v>0.193050193050193</v>
      </c>
      <c r="U226" s="95">
        <v>0.25773195876288701</v>
      </c>
      <c r="V226" s="95">
        <v>0.17006802721088399</v>
      </c>
      <c r="W226" s="95">
        <v>0.14825796886582701</v>
      </c>
      <c r="X226" s="95">
        <v>0.18873859704309501</v>
      </c>
      <c r="Y226" s="95">
        <v>0</v>
      </c>
      <c r="Z226" s="94">
        <v>10836</v>
      </c>
      <c r="AA226" s="94">
        <v>5809</v>
      </c>
      <c r="AB226" s="94">
        <v>5027</v>
      </c>
      <c r="AC226" s="94">
        <v>636</v>
      </c>
      <c r="AD226" s="94">
        <v>2780</v>
      </c>
      <c r="AE226" s="94">
        <v>5215</v>
      </c>
      <c r="AF226" s="94">
        <v>2205</v>
      </c>
      <c r="AG226" s="94">
        <v>9578</v>
      </c>
      <c r="AH226" s="94">
        <v>1146</v>
      </c>
      <c r="AI226" s="94">
        <v>112</v>
      </c>
      <c r="AJ226" s="94">
        <v>10771</v>
      </c>
      <c r="AK226" s="94">
        <v>14</v>
      </c>
      <c r="AL226" s="94">
        <v>51</v>
      </c>
      <c r="AM226" s="94">
        <v>707</v>
      </c>
      <c r="AN226" s="94">
        <v>9964</v>
      </c>
      <c r="AO226" s="94">
        <v>165</v>
      </c>
      <c r="AP226" s="95">
        <v>0.69431234544416998</v>
      </c>
      <c r="AQ226" s="95">
        <v>0.38986354775828502</v>
      </c>
      <c r="AR226" s="95">
        <v>1.04701293368918</v>
      </c>
      <c r="AS226" s="95">
        <v>0.495867768595041</v>
      </c>
      <c r="AT226" s="95">
        <v>0.74822297044519304</v>
      </c>
      <c r="AU226" s="95">
        <v>0.80788177339901501</v>
      </c>
      <c r="AV226" s="95">
        <v>0.41647385469690001</v>
      </c>
      <c r="AW226" s="95">
        <v>0.53527459586768</v>
      </c>
      <c r="AX226" s="95">
        <v>1.9736842105263199</v>
      </c>
      <c r="AY226" s="95">
        <v>1.8348623853210999</v>
      </c>
      <c r="AZ226" s="95">
        <v>0.68886337543053999</v>
      </c>
      <c r="BA226" s="95">
        <v>0</v>
      </c>
      <c r="BB226" s="95">
        <v>2.0408163265306101</v>
      </c>
      <c r="BC226" s="95">
        <v>0</v>
      </c>
      <c r="BD226" s="95">
        <v>0.734837507762368</v>
      </c>
      <c r="BE226" s="95">
        <v>1.2578616352201299</v>
      </c>
    </row>
    <row r="227" spans="2:57" ht="15" customHeight="1" x14ac:dyDescent="0.25">
      <c r="B227" s="96">
        <v>217</v>
      </c>
      <c r="C227" s="97" t="s">
        <v>504</v>
      </c>
      <c r="D227" s="104" t="s">
        <v>43</v>
      </c>
      <c r="E227" s="104" t="s">
        <v>353</v>
      </c>
      <c r="F227" s="104" t="s">
        <v>101</v>
      </c>
      <c r="G227" s="105" t="s">
        <v>101</v>
      </c>
      <c r="H227" s="106">
        <v>4659</v>
      </c>
      <c r="I227" s="106">
        <v>2595</v>
      </c>
      <c r="J227" s="106">
        <v>2064</v>
      </c>
      <c r="K227" s="106">
        <v>465</v>
      </c>
      <c r="L227" s="106">
        <v>1237</v>
      </c>
      <c r="M227" s="106">
        <v>2159</v>
      </c>
      <c r="N227" s="106">
        <v>798</v>
      </c>
      <c r="O227" s="106">
        <v>4654</v>
      </c>
      <c r="P227" s="106">
        <v>5</v>
      </c>
      <c r="Q227" s="107">
        <v>0.17738359201773801</v>
      </c>
      <c r="R227" s="107">
        <v>0.198807157057654</v>
      </c>
      <c r="S227" s="107">
        <v>0.150375939849624</v>
      </c>
      <c r="T227" s="107">
        <v>0</v>
      </c>
      <c r="U227" s="107">
        <v>0.167926112510495</v>
      </c>
      <c r="V227" s="107">
        <v>0.14326647564469899</v>
      </c>
      <c r="W227" s="107">
        <v>0.38216560509554098</v>
      </c>
      <c r="X227" s="107">
        <v>0.177580466148724</v>
      </c>
      <c r="Y227" s="107">
        <v>0</v>
      </c>
      <c r="Z227" s="106">
        <v>5239</v>
      </c>
      <c r="AA227" s="106">
        <v>2864</v>
      </c>
      <c r="AB227" s="106">
        <v>2375</v>
      </c>
      <c r="AC227" s="106">
        <v>409</v>
      </c>
      <c r="AD227" s="106">
        <v>1492</v>
      </c>
      <c r="AE227" s="106">
        <v>2433</v>
      </c>
      <c r="AF227" s="106">
        <v>905</v>
      </c>
      <c r="AG227" s="106">
        <v>4651</v>
      </c>
      <c r="AH227" s="106">
        <v>509</v>
      </c>
      <c r="AI227" s="106">
        <v>79</v>
      </c>
      <c r="AJ227" s="106">
        <v>5202</v>
      </c>
      <c r="AK227" s="106">
        <v>3</v>
      </c>
      <c r="AL227" s="106">
        <v>34</v>
      </c>
      <c r="AM227" s="106">
        <v>421</v>
      </c>
      <c r="AN227" s="106">
        <v>4716</v>
      </c>
      <c r="AO227" s="106">
        <v>102</v>
      </c>
      <c r="AP227" s="107">
        <v>0.65307737977439095</v>
      </c>
      <c r="AQ227" s="107">
        <v>0.21715526601520099</v>
      </c>
      <c r="AR227" s="107">
        <v>1.17903930131004</v>
      </c>
      <c r="AS227" s="107">
        <v>0.52219321148825104</v>
      </c>
      <c r="AT227" s="107">
        <v>0.977653631284916</v>
      </c>
      <c r="AU227" s="107">
        <v>0.63721325403568396</v>
      </c>
      <c r="AV227" s="107">
        <v>0.22624434389140299</v>
      </c>
      <c r="AW227" s="107">
        <v>0.66755674232309703</v>
      </c>
      <c r="AX227" s="107">
        <v>0.62111801242235998</v>
      </c>
      <c r="AY227" s="107">
        <v>0</v>
      </c>
      <c r="AZ227" s="107">
        <v>0.65763252291749696</v>
      </c>
      <c r="BA227" s="107">
        <v>0</v>
      </c>
      <c r="BB227" s="107">
        <v>0</v>
      </c>
      <c r="BC227" s="107">
        <v>0.24213075060532699</v>
      </c>
      <c r="BD227" s="107">
        <v>0.66035659255998203</v>
      </c>
      <c r="BE227" s="107">
        <v>2.0618556701030899</v>
      </c>
    </row>
    <row r="228" spans="2:57" ht="15" customHeight="1" x14ac:dyDescent="0.25">
      <c r="B228" s="91">
        <v>218</v>
      </c>
      <c r="C228" s="92" t="s">
        <v>504</v>
      </c>
      <c r="D228" s="92" t="s">
        <v>43</v>
      </c>
      <c r="E228" s="92" t="s">
        <v>353</v>
      </c>
      <c r="F228" s="92" t="s">
        <v>101</v>
      </c>
      <c r="G228" s="101" t="s">
        <v>501</v>
      </c>
      <c r="H228" s="94">
        <v>0</v>
      </c>
      <c r="I228" s="94">
        <v>0</v>
      </c>
      <c r="J228" s="94">
        <v>0</v>
      </c>
      <c r="K228" s="94">
        <v>0</v>
      </c>
      <c r="L228" s="94">
        <v>0</v>
      </c>
      <c r="M228" s="94">
        <v>0</v>
      </c>
      <c r="N228" s="94">
        <v>0</v>
      </c>
      <c r="O228" s="94">
        <v>0</v>
      </c>
      <c r="P228" s="94">
        <v>0</v>
      </c>
      <c r="Q228" s="95">
        <v>0</v>
      </c>
      <c r="R228" s="95">
        <v>0</v>
      </c>
      <c r="S228" s="95">
        <v>0</v>
      </c>
      <c r="T228" s="95">
        <v>0</v>
      </c>
      <c r="U228" s="95">
        <v>0</v>
      </c>
      <c r="V228" s="95">
        <v>0</v>
      </c>
      <c r="W228" s="95">
        <v>0</v>
      </c>
      <c r="X228" s="95">
        <v>0</v>
      </c>
      <c r="Y228" s="95">
        <v>0</v>
      </c>
      <c r="Z228" s="94">
        <v>0</v>
      </c>
      <c r="AA228" s="94">
        <v>0</v>
      </c>
      <c r="AB228" s="94">
        <v>0</v>
      </c>
      <c r="AC228" s="94">
        <v>0</v>
      </c>
      <c r="AD228" s="94">
        <v>0</v>
      </c>
      <c r="AE228" s="94">
        <v>0</v>
      </c>
      <c r="AF228" s="94">
        <v>0</v>
      </c>
      <c r="AG228" s="94">
        <v>0</v>
      </c>
      <c r="AH228" s="94">
        <v>0</v>
      </c>
      <c r="AI228" s="94">
        <v>0</v>
      </c>
      <c r="AJ228" s="94">
        <v>0</v>
      </c>
      <c r="AK228" s="94">
        <v>0</v>
      </c>
      <c r="AL228" s="94">
        <v>0</v>
      </c>
      <c r="AM228" s="94">
        <v>0</v>
      </c>
      <c r="AN228" s="94">
        <v>0</v>
      </c>
      <c r="AO228" s="94">
        <v>0</v>
      </c>
      <c r="AP228" s="95">
        <v>0</v>
      </c>
      <c r="AQ228" s="95">
        <v>0</v>
      </c>
      <c r="AR228" s="95">
        <v>0</v>
      </c>
      <c r="AS228" s="95">
        <v>0</v>
      </c>
      <c r="AT228" s="95">
        <v>0</v>
      </c>
      <c r="AU228" s="95">
        <v>0</v>
      </c>
      <c r="AV228" s="95">
        <v>0</v>
      </c>
      <c r="AW228" s="95">
        <v>0</v>
      </c>
      <c r="AX228" s="95">
        <v>0</v>
      </c>
      <c r="AY228" s="95">
        <v>0</v>
      </c>
      <c r="AZ228" s="95">
        <v>0</v>
      </c>
      <c r="BA228" s="95">
        <v>0</v>
      </c>
      <c r="BB228" s="95">
        <v>0</v>
      </c>
      <c r="BC228" s="95">
        <v>0</v>
      </c>
      <c r="BD228" s="95">
        <v>0</v>
      </c>
      <c r="BE228" s="95">
        <v>0</v>
      </c>
    </row>
    <row r="229" spans="2:57" ht="15" customHeight="1" x14ac:dyDescent="0.25">
      <c r="B229" s="91">
        <v>219</v>
      </c>
      <c r="C229" s="92" t="s">
        <v>504</v>
      </c>
      <c r="D229" s="92" t="s">
        <v>43</v>
      </c>
      <c r="E229" s="92" t="s">
        <v>353</v>
      </c>
      <c r="F229" s="92" t="s">
        <v>101</v>
      </c>
      <c r="G229" s="101" t="s">
        <v>502</v>
      </c>
      <c r="H229" s="94">
        <v>4659</v>
      </c>
      <c r="I229" s="94">
        <v>2595</v>
      </c>
      <c r="J229" s="94">
        <v>2064</v>
      </c>
      <c r="K229" s="94">
        <v>465</v>
      </c>
      <c r="L229" s="94">
        <v>1237</v>
      </c>
      <c r="M229" s="94">
        <v>2159</v>
      </c>
      <c r="N229" s="94">
        <v>798</v>
      </c>
      <c r="O229" s="94">
        <v>4654</v>
      </c>
      <c r="P229" s="94">
        <v>5</v>
      </c>
      <c r="Q229" s="95">
        <v>0.17738359201773801</v>
      </c>
      <c r="R229" s="95">
        <v>0.198807157057654</v>
      </c>
      <c r="S229" s="95">
        <v>0.150375939849624</v>
      </c>
      <c r="T229" s="95">
        <v>0</v>
      </c>
      <c r="U229" s="95">
        <v>0.167926112510495</v>
      </c>
      <c r="V229" s="95">
        <v>0.14326647564469899</v>
      </c>
      <c r="W229" s="95">
        <v>0.38216560509554098</v>
      </c>
      <c r="X229" s="95">
        <v>0.177580466148724</v>
      </c>
      <c r="Y229" s="95">
        <v>0</v>
      </c>
      <c r="Z229" s="94">
        <v>5239</v>
      </c>
      <c r="AA229" s="94">
        <v>2864</v>
      </c>
      <c r="AB229" s="94">
        <v>2375</v>
      </c>
      <c r="AC229" s="94">
        <v>409</v>
      </c>
      <c r="AD229" s="94">
        <v>1492</v>
      </c>
      <c r="AE229" s="94">
        <v>2433</v>
      </c>
      <c r="AF229" s="94">
        <v>905</v>
      </c>
      <c r="AG229" s="94">
        <v>4651</v>
      </c>
      <c r="AH229" s="94">
        <v>509</v>
      </c>
      <c r="AI229" s="94">
        <v>79</v>
      </c>
      <c r="AJ229" s="94">
        <v>5202</v>
      </c>
      <c r="AK229" s="94">
        <v>3</v>
      </c>
      <c r="AL229" s="94">
        <v>34</v>
      </c>
      <c r="AM229" s="94">
        <v>421</v>
      </c>
      <c r="AN229" s="94">
        <v>4716</v>
      </c>
      <c r="AO229" s="94">
        <v>102</v>
      </c>
      <c r="AP229" s="95">
        <v>0.65307737977439095</v>
      </c>
      <c r="AQ229" s="95">
        <v>0.21715526601520099</v>
      </c>
      <c r="AR229" s="95">
        <v>1.17903930131004</v>
      </c>
      <c r="AS229" s="95">
        <v>0.52219321148825104</v>
      </c>
      <c r="AT229" s="95">
        <v>0.977653631284916</v>
      </c>
      <c r="AU229" s="95">
        <v>0.63721325403568396</v>
      </c>
      <c r="AV229" s="95">
        <v>0.22624434389140299</v>
      </c>
      <c r="AW229" s="95">
        <v>0.66755674232309703</v>
      </c>
      <c r="AX229" s="95">
        <v>0.62111801242235998</v>
      </c>
      <c r="AY229" s="95">
        <v>0</v>
      </c>
      <c r="AZ229" s="95">
        <v>0.65763252291749696</v>
      </c>
      <c r="BA229" s="95">
        <v>0</v>
      </c>
      <c r="BB229" s="95">
        <v>0</v>
      </c>
      <c r="BC229" s="95">
        <v>0.24213075060532699</v>
      </c>
      <c r="BD229" s="95">
        <v>0.66035659255998203</v>
      </c>
      <c r="BE229" s="95">
        <v>2.0618556701030899</v>
      </c>
    </row>
    <row r="230" spans="2:57" ht="15" customHeight="1" x14ac:dyDescent="0.25">
      <c r="B230" s="96">
        <v>220</v>
      </c>
      <c r="C230" s="97" t="s">
        <v>504</v>
      </c>
      <c r="D230" s="104" t="s">
        <v>43</v>
      </c>
      <c r="E230" s="104" t="s">
        <v>353</v>
      </c>
      <c r="F230" s="104" t="s">
        <v>182</v>
      </c>
      <c r="G230" s="105" t="s">
        <v>182</v>
      </c>
      <c r="H230" s="106">
        <v>2728</v>
      </c>
      <c r="I230" s="106">
        <v>1661</v>
      </c>
      <c r="J230" s="106">
        <v>1067</v>
      </c>
      <c r="K230" s="106">
        <v>190</v>
      </c>
      <c r="L230" s="106">
        <v>711</v>
      </c>
      <c r="M230" s="106">
        <v>1385</v>
      </c>
      <c r="N230" s="106">
        <v>442</v>
      </c>
      <c r="O230" s="106">
        <v>2727</v>
      </c>
      <c r="P230" s="106">
        <v>1</v>
      </c>
      <c r="Q230" s="107">
        <v>0.26985350809560499</v>
      </c>
      <c r="R230" s="107">
        <v>0.126662444585181</v>
      </c>
      <c r="S230" s="107">
        <v>0.49261083743842399</v>
      </c>
      <c r="T230" s="107">
        <v>0</v>
      </c>
      <c r="U230" s="107">
        <v>0.59790732436472305</v>
      </c>
      <c r="V230" s="107">
        <v>0.15048908954100801</v>
      </c>
      <c r="W230" s="107">
        <v>0.23310023310023301</v>
      </c>
      <c r="X230" s="107">
        <v>0.26995757809487098</v>
      </c>
      <c r="Y230" s="107">
        <v>0</v>
      </c>
      <c r="Z230" s="106">
        <v>3895</v>
      </c>
      <c r="AA230" s="106">
        <v>2298</v>
      </c>
      <c r="AB230" s="106">
        <v>1597</v>
      </c>
      <c r="AC230" s="106">
        <v>229</v>
      </c>
      <c r="AD230" s="106">
        <v>1126</v>
      </c>
      <c r="AE230" s="106">
        <v>1995</v>
      </c>
      <c r="AF230" s="106">
        <v>545</v>
      </c>
      <c r="AG230" s="106">
        <v>3370</v>
      </c>
      <c r="AH230" s="106">
        <v>439</v>
      </c>
      <c r="AI230" s="106">
        <v>86</v>
      </c>
      <c r="AJ230" s="106">
        <v>3875</v>
      </c>
      <c r="AK230" s="106">
        <v>3</v>
      </c>
      <c r="AL230" s="106">
        <v>17</v>
      </c>
      <c r="AM230" s="106">
        <v>176</v>
      </c>
      <c r="AN230" s="106">
        <v>3622</v>
      </c>
      <c r="AO230" s="106">
        <v>97</v>
      </c>
      <c r="AP230" s="107">
        <v>1.58687466379774</v>
      </c>
      <c r="AQ230" s="107">
        <v>0.36133694670279998</v>
      </c>
      <c r="AR230" s="107">
        <v>3.39095744680851</v>
      </c>
      <c r="AS230" s="107">
        <v>3.1963470319634699</v>
      </c>
      <c r="AT230" s="107">
        <v>2.1555763823805099</v>
      </c>
      <c r="AU230" s="107">
        <v>1.25984251968504</v>
      </c>
      <c r="AV230" s="107">
        <v>0.94876660341555996</v>
      </c>
      <c r="AW230" s="107">
        <v>1.41800246609125</v>
      </c>
      <c r="AX230" s="107">
        <v>2.79187817258883</v>
      </c>
      <c r="AY230" s="107">
        <v>2.5</v>
      </c>
      <c r="AZ230" s="107">
        <v>1.59502568261692</v>
      </c>
      <c r="BA230" s="107">
        <v>0</v>
      </c>
      <c r="BB230" s="107">
        <v>0</v>
      </c>
      <c r="BC230" s="107">
        <v>1.19047619047619</v>
      </c>
      <c r="BD230" s="107">
        <v>1.64978292329957</v>
      </c>
      <c r="BE230" s="107">
        <v>0</v>
      </c>
    </row>
    <row r="231" spans="2:57" ht="15" customHeight="1" x14ac:dyDescent="0.25">
      <c r="B231" s="91">
        <v>221</v>
      </c>
      <c r="C231" s="92" t="s">
        <v>504</v>
      </c>
      <c r="D231" s="92" t="s">
        <v>43</v>
      </c>
      <c r="E231" s="92" t="s">
        <v>353</v>
      </c>
      <c r="F231" s="92" t="s">
        <v>182</v>
      </c>
      <c r="G231" s="101" t="s">
        <v>501</v>
      </c>
      <c r="H231" s="94">
        <v>0</v>
      </c>
      <c r="I231" s="94">
        <v>0</v>
      </c>
      <c r="J231" s="94">
        <v>0</v>
      </c>
      <c r="K231" s="94">
        <v>0</v>
      </c>
      <c r="L231" s="94">
        <v>0</v>
      </c>
      <c r="M231" s="94">
        <v>0</v>
      </c>
      <c r="N231" s="94">
        <v>0</v>
      </c>
      <c r="O231" s="94">
        <v>0</v>
      </c>
      <c r="P231" s="94">
        <v>0</v>
      </c>
      <c r="Q231" s="95">
        <v>0</v>
      </c>
      <c r="R231" s="95">
        <v>0</v>
      </c>
      <c r="S231" s="95">
        <v>0</v>
      </c>
      <c r="T231" s="95">
        <v>0</v>
      </c>
      <c r="U231" s="95">
        <v>0</v>
      </c>
      <c r="V231" s="95">
        <v>0</v>
      </c>
      <c r="W231" s="95">
        <v>0</v>
      </c>
      <c r="X231" s="95">
        <v>0</v>
      </c>
      <c r="Y231" s="95">
        <v>0</v>
      </c>
      <c r="Z231" s="94">
        <v>0</v>
      </c>
      <c r="AA231" s="94">
        <v>0</v>
      </c>
      <c r="AB231" s="94">
        <v>0</v>
      </c>
      <c r="AC231" s="94">
        <v>0</v>
      </c>
      <c r="AD231" s="94">
        <v>0</v>
      </c>
      <c r="AE231" s="94">
        <v>0</v>
      </c>
      <c r="AF231" s="94">
        <v>0</v>
      </c>
      <c r="AG231" s="94">
        <v>0</v>
      </c>
      <c r="AH231" s="94">
        <v>0</v>
      </c>
      <c r="AI231" s="94">
        <v>0</v>
      </c>
      <c r="AJ231" s="94">
        <v>0</v>
      </c>
      <c r="AK231" s="94">
        <v>0</v>
      </c>
      <c r="AL231" s="94">
        <v>0</v>
      </c>
      <c r="AM231" s="94">
        <v>0</v>
      </c>
      <c r="AN231" s="94">
        <v>0</v>
      </c>
      <c r="AO231" s="94">
        <v>0</v>
      </c>
      <c r="AP231" s="95">
        <v>0</v>
      </c>
      <c r="AQ231" s="95">
        <v>0</v>
      </c>
      <c r="AR231" s="95">
        <v>0</v>
      </c>
      <c r="AS231" s="95">
        <v>0</v>
      </c>
      <c r="AT231" s="95">
        <v>0</v>
      </c>
      <c r="AU231" s="95">
        <v>0</v>
      </c>
      <c r="AV231" s="95">
        <v>0</v>
      </c>
      <c r="AW231" s="95">
        <v>0</v>
      </c>
      <c r="AX231" s="95">
        <v>0</v>
      </c>
      <c r="AY231" s="95">
        <v>0</v>
      </c>
      <c r="AZ231" s="95">
        <v>0</v>
      </c>
      <c r="BA231" s="95">
        <v>0</v>
      </c>
      <c r="BB231" s="95">
        <v>0</v>
      </c>
      <c r="BC231" s="95">
        <v>0</v>
      </c>
      <c r="BD231" s="95">
        <v>0</v>
      </c>
      <c r="BE231" s="95">
        <v>0</v>
      </c>
    </row>
    <row r="232" spans="2:57" ht="15" customHeight="1" x14ac:dyDescent="0.25">
      <c r="B232" s="91">
        <v>222</v>
      </c>
      <c r="C232" s="92" t="s">
        <v>504</v>
      </c>
      <c r="D232" s="92" t="s">
        <v>43</v>
      </c>
      <c r="E232" s="92" t="s">
        <v>353</v>
      </c>
      <c r="F232" s="92" t="s">
        <v>182</v>
      </c>
      <c r="G232" s="101" t="s">
        <v>502</v>
      </c>
      <c r="H232" s="94">
        <v>2728</v>
      </c>
      <c r="I232" s="94">
        <v>1661</v>
      </c>
      <c r="J232" s="94">
        <v>1067</v>
      </c>
      <c r="K232" s="94">
        <v>190</v>
      </c>
      <c r="L232" s="94">
        <v>711</v>
      </c>
      <c r="M232" s="94">
        <v>1385</v>
      </c>
      <c r="N232" s="94">
        <v>442</v>
      </c>
      <c r="O232" s="94">
        <v>2727</v>
      </c>
      <c r="P232" s="94">
        <v>1</v>
      </c>
      <c r="Q232" s="95">
        <v>0.26985350809560499</v>
      </c>
      <c r="R232" s="95">
        <v>0.126662444585181</v>
      </c>
      <c r="S232" s="95">
        <v>0.49261083743842399</v>
      </c>
      <c r="T232" s="95">
        <v>0</v>
      </c>
      <c r="U232" s="95">
        <v>0.59790732436472305</v>
      </c>
      <c r="V232" s="95">
        <v>0.15048908954100801</v>
      </c>
      <c r="W232" s="95">
        <v>0.23310023310023301</v>
      </c>
      <c r="X232" s="95">
        <v>0.26995757809487098</v>
      </c>
      <c r="Y232" s="95">
        <v>0</v>
      </c>
      <c r="Z232" s="94">
        <v>3895</v>
      </c>
      <c r="AA232" s="94">
        <v>2298</v>
      </c>
      <c r="AB232" s="94">
        <v>1597</v>
      </c>
      <c r="AC232" s="94">
        <v>229</v>
      </c>
      <c r="AD232" s="94">
        <v>1126</v>
      </c>
      <c r="AE232" s="94">
        <v>1995</v>
      </c>
      <c r="AF232" s="94">
        <v>545</v>
      </c>
      <c r="AG232" s="94">
        <v>3370</v>
      </c>
      <c r="AH232" s="94">
        <v>439</v>
      </c>
      <c r="AI232" s="94">
        <v>86</v>
      </c>
      <c r="AJ232" s="94">
        <v>3875</v>
      </c>
      <c r="AK232" s="94">
        <v>3</v>
      </c>
      <c r="AL232" s="94">
        <v>17</v>
      </c>
      <c r="AM232" s="94">
        <v>176</v>
      </c>
      <c r="AN232" s="94">
        <v>3622</v>
      </c>
      <c r="AO232" s="94">
        <v>97</v>
      </c>
      <c r="AP232" s="95">
        <v>1.58687466379774</v>
      </c>
      <c r="AQ232" s="95">
        <v>0.36133694670279998</v>
      </c>
      <c r="AR232" s="95">
        <v>3.39095744680851</v>
      </c>
      <c r="AS232" s="95">
        <v>3.1963470319634699</v>
      </c>
      <c r="AT232" s="95">
        <v>2.1555763823805099</v>
      </c>
      <c r="AU232" s="95">
        <v>1.25984251968504</v>
      </c>
      <c r="AV232" s="95">
        <v>0.94876660341555996</v>
      </c>
      <c r="AW232" s="95">
        <v>1.41800246609125</v>
      </c>
      <c r="AX232" s="95">
        <v>2.79187817258883</v>
      </c>
      <c r="AY232" s="95">
        <v>2.5</v>
      </c>
      <c r="AZ232" s="95">
        <v>1.59502568261692</v>
      </c>
      <c r="BA232" s="95">
        <v>0</v>
      </c>
      <c r="BB232" s="95">
        <v>0</v>
      </c>
      <c r="BC232" s="95">
        <v>1.19047619047619</v>
      </c>
      <c r="BD232" s="95">
        <v>1.64978292329957</v>
      </c>
      <c r="BE232" s="95">
        <v>0</v>
      </c>
    </row>
    <row r="233" spans="2:57" ht="15" customHeight="1" x14ac:dyDescent="0.25">
      <c r="B233" s="86">
        <v>223</v>
      </c>
      <c r="C233" s="87" t="s">
        <v>503</v>
      </c>
      <c r="D233" s="103" t="s">
        <v>43</v>
      </c>
      <c r="E233" s="103" t="s">
        <v>354</v>
      </c>
      <c r="F233" s="103"/>
      <c r="G233" s="88" t="s">
        <v>354</v>
      </c>
      <c r="H233" s="89">
        <v>45444</v>
      </c>
      <c r="I233" s="89">
        <v>28220</v>
      </c>
      <c r="J233" s="89">
        <v>17224</v>
      </c>
      <c r="K233" s="89">
        <v>2861</v>
      </c>
      <c r="L233" s="89">
        <v>13321</v>
      </c>
      <c r="M233" s="89">
        <v>23312</v>
      </c>
      <c r="N233" s="89">
        <v>5950</v>
      </c>
      <c r="O233" s="89">
        <v>45373</v>
      </c>
      <c r="P233" s="89">
        <v>71</v>
      </c>
      <c r="Q233" s="90">
        <v>1.0946051602814699</v>
      </c>
      <c r="R233" s="90">
        <v>0.49554380385340802</v>
      </c>
      <c r="S233" s="90">
        <v>2.0796594709638199</v>
      </c>
      <c r="T233" s="90">
        <v>1.7803030303030301</v>
      </c>
      <c r="U233" s="90">
        <v>1.4064475347661201</v>
      </c>
      <c r="V233" s="90">
        <v>0.97126308754733803</v>
      </c>
      <c r="W233" s="90">
        <v>0.57441253263707603</v>
      </c>
      <c r="X233" s="90">
        <v>1.09166282818977</v>
      </c>
      <c r="Y233" s="90">
        <v>3.0303030303030298</v>
      </c>
      <c r="Z233" s="89">
        <v>58487</v>
      </c>
      <c r="AA233" s="89">
        <v>34292</v>
      </c>
      <c r="AB233" s="89">
        <v>24195</v>
      </c>
      <c r="AC233" s="89">
        <v>2612</v>
      </c>
      <c r="AD233" s="89">
        <v>16830</v>
      </c>
      <c r="AE233" s="89">
        <v>31023</v>
      </c>
      <c r="AF233" s="89">
        <v>8022</v>
      </c>
      <c r="AG233" s="89">
        <v>41417</v>
      </c>
      <c r="AH233" s="89">
        <v>16263</v>
      </c>
      <c r="AI233" s="89">
        <v>807</v>
      </c>
      <c r="AJ233" s="89">
        <v>57804</v>
      </c>
      <c r="AK233" s="89">
        <v>473</v>
      </c>
      <c r="AL233" s="89">
        <v>210</v>
      </c>
      <c r="AM233" s="89">
        <v>3309</v>
      </c>
      <c r="AN233" s="89">
        <v>54427</v>
      </c>
      <c r="AO233" s="89">
        <v>751</v>
      </c>
      <c r="AP233" s="90">
        <v>3.5098155859607401</v>
      </c>
      <c r="AQ233" s="90">
        <v>1.20949127504386</v>
      </c>
      <c r="AR233" s="90">
        <v>6.7624020887728404</v>
      </c>
      <c r="AS233" s="90">
        <v>5.5350553505535096</v>
      </c>
      <c r="AT233" s="90">
        <v>4.1415232166677196</v>
      </c>
      <c r="AU233" s="90">
        <v>3.4724574835693498</v>
      </c>
      <c r="AV233" s="90">
        <v>1.73678116557314</v>
      </c>
      <c r="AW233" s="90">
        <v>2.68644646061311</v>
      </c>
      <c r="AX233" s="90">
        <v>5.7437116260645702</v>
      </c>
      <c r="AY233" s="90">
        <v>1.84940554821664</v>
      </c>
      <c r="AZ233" s="90">
        <v>3.5049667365351298</v>
      </c>
      <c r="BA233" s="90">
        <v>4.3689320388349504</v>
      </c>
      <c r="BB233" s="90">
        <v>3.06122448979592</v>
      </c>
      <c r="BC233" s="90">
        <v>2.5007814942169402</v>
      </c>
      <c r="BD233" s="90">
        <v>3.5834092804095299</v>
      </c>
      <c r="BE233" s="90">
        <v>2.7027027027027</v>
      </c>
    </row>
    <row r="234" spans="2:57" ht="15" customHeight="1" x14ac:dyDescent="0.25">
      <c r="B234" s="91">
        <v>224</v>
      </c>
      <c r="C234" s="92" t="s">
        <v>503</v>
      </c>
      <c r="D234" s="92" t="s">
        <v>43</v>
      </c>
      <c r="E234" s="92" t="s">
        <v>354</v>
      </c>
      <c r="F234" s="92"/>
      <c r="G234" s="93" t="s">
        <v>501</v>
      </c>
      <c r="H234" s="94">
        <v>7075</v>
      </c>
      <c r="I234" s="94">
        <v>4125</v>
      </c>
      <c r="J234" s="94">
        <v>2950</v>
      </c>
      <c r="K234" s="94">
        <v>431</v>
      </c>
      <c r="L234" s="94">
        <v>2200</v>
      </c>
      <c r="M234" s="94">
        <v>3729</v>
      </c>
      <c r="N234" s="94">
        <v>715</v>
      </c>
      <c r="O234" s="94">
        <v>7060</v>
      </c>
      <c r="P234" s="94">
        <v>15</v>
      </c>
      <c r="Q234" s="95">
        <v>3.5421937788361402</v>
      </c>
      <c r="R234" s="95">
        <v>1.6489091831557601</v>
      </c>
      <c r="S234" s="95">
        <v>6.22974432841196</v>
      </c>
      <c r="T234" s="95">
        <v>5.9740259740259702</v>
      </c>
      <c r="U234" s="95">
        <v>4.1565973900435003</v>
      </c>
      <c r="V234" s="95">
        <v>3.0100334448160502</v>
      </c>
      <c r="W234" s="95">
        <v>3.1019202363367802</v>
      </c>
      <c r="X234" s="95">
        <v>3.53520286396181</v>
      </c>
      <c r="Y234" s="95">
        <v>6.6666666666666696</v>
      </c>
      <c r="Z234" s="94">
        <v>12327</v>
      </c>
      <c r="AA234" s="94">
        <v>6848</v>
      </c>
      <c r="AB234" s="94">
        <v>5479</v>
      </c>
      <c r="AC234" s="94">
        <v>567</v>
      </c>
      <c r="AD234" s="94">
        <v>3746</v>
      </c>
      <c r="AE234" s="94">
        <v>6709</v>
      </c>
      <c r="AF234" s="94">
        <v>1305</v>
      </c>
      <c r="AG234" s="94">
        <v>5909</v>
      </c>
      <c r="AH234" s="94">
        <v>6231</v>
      </c>
      <c r="AI234" s="94">
        <v>187</v>
      </c>
      <c r="AJ234" s="94">
        <v>12134</v>
      </c>
      <c r="AK234" s="94">
        <v>146</v>
      </c>
      <c r="AL234" s="94">
        <v>47</v>
      </c>
      <c r="AM234" s="94">
        <v>729</v>
      </c>
      <c r="AN234" s="94">
        <v>11466</v>
      </c>
      <c r="AO234" s="94">
        <v>132</v>
      </c>
      <c r="AP234" s="95">
        <v>8.4021200799374398</v>
      </c>
      <c r="AQ234" s="95">
        <v>3.35465751287252</v>
      </c>
      <c r="AR234" s="95">
        <v>14.7450980392157</v>
      </c>
      <c r="AS234" s="95">
        <v>12.4521072796935</v>
      </c>
      <c r="AT234" s="95">
        <v>9.4399538106235603</v>
      </c>
      <c r="AU234" s="95">
        <v>8.0737444373807996</v>
      </c>
      <c r="AV234" s="95">
        <v>5.4427294882209596</v>
      </c>
      <c r="AW234" s="95">
        <v>7.7819616281154804</v>
      </c>
      <c r="AX234" s="95">
        <v>9.0562109646079101</v>
      </c>
      <c r="AY234" s="95">
        <v>6.5476190476190501</v>
      </c>
      <c r="AZ234" s="95">
        <v>8.3855039238162394</v>
      </c>
      <c r="BA234" s="95">
        <v>10.3174603174603</v>
      </c>
      <c r="BB234" s="95">
        <v>7.1428571428571397</v>
      </c>
      <c r="BC234" s="95">
        <v>6.6187050359712201</v>
      </c>
      <c r="BD234" s="95">
        <v>8.5382960815486797</v>
      </c>
      <c r="BE234" s="95">
        <v>6.61157024793388</v>
      </c>
    </row>
    <row r="235" spans="2:57" ht="15" customHeight="1" x14ac:dyDescent="0.25">
      <c r="B235" s="91">
        <v>225</v>
      </c>
      <c r="C235" s="92" t="s">
        <v>503</v>
      </c>
      <c r="D235" s="92" t="s">
        <v>43</v>
      </c>
      <c r="E235" s="92" t="s">
        <v>354</v>
      </c>
      <c r="F235" s="92"/>
      <c r="G235" s="93" t="s">
        <v>502</v>
      </c>
      <c r="H235" s="94">
        <v>38369</v>
      </c>
      <c r="I235" s="94">
        <v>24095</v>
      </c>
      <c r="J235" s="94">
        <v>14274</v>
      </c>
      <c r="K235" s="94">
        <v>2430</v>
      </c>
      <c r="L235" s="94">
        <v>11121</v>
      </c>
      <c r="M235" s="94">
        <v>19583</v>
      </c>
      <c r="N235" s="94">
        <v>5235</v>
      </c>
      <c r="O235" s="94">
        <v>38313</v>
      </c>
      <c r="P235" s="94">
        <v>56</v>
      </c>
      <c r="Q235" s="95">
        <v>0.64731960725650695</v>
      </c>
      <c r="R235" s="95">
        <v>0.29871423005324899</v>
      </c>
      <c r="S235" s="95">
        <v>1.23646473514779</v>
      </c>
      <c r="T235" s="95">
        <v>1.0643015521064301</v>
      </c>
      <c r="U235" s="95">
        <v>0.86899027108718196</v>
      </c>
      <c r="V235" s="95">
        <v>0.58333775255873099</v>
      </c>
      <c r="W235" s="95">
        <v>0.23677979479084499</v>
      </c>
      <c r="X235" s="95">
        <v>0.64549515197733998</v>
      </c>
      <c r="Y235" s="95">
        <v>1.9607843137254899</v>
      </c>
      <c r="Z235" s="94">
        <v>46160</v>
      </c>
      <c r="AA235" s="94">
        <v>27444</v>
      </c>
      <c r="AB235" s="94">
        <v>18716</v>
      </c>
      <c r="AC235" s="94">
        <v>2045</v>
      </c>
      <c r="AD235" s="94">
        <v>13084</v>
      </c>
      <c r="AE235" s="94">
        <v>24314</v>
      </c>
      <c r="AF235" s="94">
        <v>6717</v>
      </c>
      <c r="AG235" s="94">
        <v>35508</v>
      </c>
      <c r="AH235" s="94">
        <v>10032</v>
      </c>
      <c r="AI235" s="94">
        <v>620</v>
      </c>
      <c r="AJ235" s="94">
        <v>45670</v>
      </c>
      <c r="AK235" s="94">
        <v>327</v>
      </c>
      <c r="AL235" s="94">
        <v>163</v>
      </c>
      <c r="AM235" s="94">
        <v>2580</v>
      </c>
      <c r="AN235" s="94">
        <v>42961</v>
      </c>
      <c r="AO235" s="94">
        <v>619</v>
      </c>
      <c r="AP235" s="95">
        <v>2.22909653352743</v>
      </c>
      <c r="AQ235" s="95">
        <v>0.68241067320963</v>
      </c>
      <c r="AR235" s="95">
        <v>4.4854586129753899</v>
      </c>
      <c r="AS235" s="95">
        <v>3.6515388628064702</v>
      </c>
      <c r="AT235" s="95">
        <v>2.6467953416402001</v>
      </c>
      <c r="AU235" s="95">
        <v>2.2259536726082798</v>
      </c>
      <c r="AV235" s="95">
        <v>1.0394374808926901</v>
      </c>
      <c r="AW235" s="95">
        <v>1.8504353965639</v>
      </c>
      <c r="AX235" s="95">
        <v>3.70883512735799</v>
      </c>
      <c r="AY235" s="95">
        <v>0.50933786078098497</v>
      </c>
      <c r="AZ235" s="95">
        <v>2.2332506203473899</v>
      </c>
      <c r="BA235" s="95">
        <v>1.7482517482517499</v>
      </c>
      <c r="BB235" s="95">
        <v>1.94805194805195</v>
      </c>
      <c r="BC235" s="95">
        <v>1.35782747603834</v>
      </c>
      <c r="BD235" s="95">
        <v>2.2872938989187301</v>
      </c>
      <c r="BE235" s="95">
        <v>1.8900343642611701</v>
      </c>
    </row>
    <row r="236" spans="2:57" ht="15" customHeight="1" x14ac:dyDescent="0.25">
      <c r="B236" s="96">
        <v>226</v>
      </c>
      <c r="C236" s="97" t="s">
        <v>504</v>
      </c>
      <c r="D236" s="104" t="s">
        <v>43</v>
      </c>
      <c r="E236" s="104" t="s">
        <v>354</v>
      </c>
      <c r="F236" s="104" t="s">
        <v>233</v>
      </c>
      <c r="G236" s="105" t="s">
        <v>233</v>
      </c>
      <c r="H236" s="106">
        <v>12748</v>
      </c>
      <c r="I236" s="106">
        <v>7444</v>
      </c>
      <c r="J236" s="106">
        <v>5304</v>
      </c>
      <c r="K236" s="106">
        <v>684</v>
      </c>
      <c r="L236" s="106">
        <v>3386</v>
      </c>
      <c r="M236" s="106">
        <v>6350</v>
      </c>
      <c r="N236" s="106">
        <v>2328</v>
      </c>
      <c r="O236" s="106">
        <v>12730</v>
      </c>
      <c r="P236" s="106">
        <v>18</v>
      </c>
      <c r="Q236" s="107">
        <v>0.68226120857699801</v>
      </c>
      <c r="R236" s="107">
        <v>0.375364938134297</v>
      </c>
      <c r="S236" s="107">
        <v>1.11349873022075</v>
      </c>
      <c r="T236" s="107">
        <v>1.09034267912773</v>
      </c>
      <c r="U236" s="107">
        <v>0.76828518746158603</v>
      </c>
      <c r="V236" s="107">
        <v>0.74735987002436999</v>
      </c>
      <c r="W236" s="107">
        <v>0.26536930561698402</v>
      </c>
      <c r="X236" s="107">
        <v>0.67512607776151001</v>
      </c>
      <c r="Y236" s="107">
        <v>5.5555555555555598</v>
      </c>
      <c r="Z236" s="106">
        <v>16811</v>
      </c>
      <c r="AA236" s="106">
        <v>9126</v>
      </c>
      <c r="AB236" s="106">
        <v>7685</v>
      </c>
      <c r="AC236" s="106">
        <v>746</v>
      </c>
      <c r="AD236" s="106">
        <v>4444</v>
      </c>
      <c r="AE236" s="106">
        <v>8726</v>
      </c>
      <c r="AF236" s="106">
        <v>2895</v>
      </c>
      <c r="AG236" s="106">
        <v>14014</v>
      </c>
      <c r="AH236" s="106">
        <v>2502</v>
      </c>
      <c r="AI236" s="106">
        <v>295</v>
      </c>
      <c r="AJ236" s="106">
        <v>16705</v>
      </c>
      <c r="AK236" s="106">
        <v>50</v>
      </c>
      <c r="AL236" s="106">
        <v>56</v>
      </c>
      <c r="AM236" s="106">
        <v>944</v>
      </c>
      <c r="AN236" s="106">
        <v>15597</v>
      </c>
      <c r="AO236" s="106">
        <v>270</v>
      </c>
      <c r="AP236" s="107">
        <v>1.86485982470318</v>
      </c>
      <c r="AQ236" s="107">
        <v>0.75419952005485102</v>
      </c>
      <c r="AR236" s="107">
        <v>3.1897491821155901</v>
      </c>
      <c r="AS236" s="107">
        <v>2.9702970297029698</v>
      </c>
      <c r="AT236" s="107">
        <v>2.7175208581644799</v>
      </c>
      <c r="AU236" s="107">
        <v>1.6632762953212901</v>
      </c>
      <c r="AV236" s="107">
        <v>0.91937765205091904</v>
      </c>
      <c r="AW236" s="107">
        <v>1.61577230951675</v>
      </c>
      <c r="AX236" s="107">
        <v>3.4632034632034601</v>
      </c>
      <c r="AY236" s="107">
        <v>0.70175438596491202</v>
      </c>
      <c r="AZ236" s="107">
        <v>1.8510412106810099</v>
      </c>
      <c r="BA236" s="107">
        <v>6.8181818181818201</v>
      </c>
      <c r="BB236" s="107">
        <v>1.92307692307692</v>
      </c>
      <c r="BC236" s="107">
        <v>0.759219088937093</v>
      </c>
      <c r="BD236" s="107">
        <v>1.95223399973165</v>
      </c>
      <c r="BE236" s="107">
        <v>0.77220077220077199</v>
      </c>
    </row>
    <row r="237" spans="2:57" ht="15" customHeight="1" x14ac:dyDescent="0.25">
      <c r="B237" s="91">
        <v>227</v>
      </c>
      <c r="C237" s="92" t="s">
        <v>504</v>
      </c>
      <c r="D237" s="92" t="s">
        <v>43</v>
      </c>
      <c r="E237" s="92" t="s">
        <v>354</v>
      </c>
      <c r="F237" s="92" t="s">
        <v>233</v>
      </c>
      <c r="G237" s="101" t="s">
        <v>501</v>
      </c>
      <c r="H237" s="94">
        <v>1136</v>
      </c>
      <c r="I237" s="94">
        <v>611</v>
      </c>
      <c r="J237" s="94">
        <v>525</v>
      </c>
      <c r="K237" s="94">
        <v>50</v>
      </c>
      <c r="L237" s="94">
        <v>302</v>
      </c>
      <c r="M237" s="94">
        <v>587</v>
      </c>
      <c r="N237" s="94">
        <v>197</v>
      </c>
      <c r="O237" s="94">
        <v>1128</v>
      </c>
      <c r="P237" s="94">
        <v>8</v>
      </c>
      <c r="Q237" s="95">
        <v>4.9861495844875297</v>
      </c>
      <c r="R237" s="95">
        <v>2.7491408934707899</v>
      </c>
      <c r="S237" s="95">
        <v>7.5848303393213596</v>
      </c>
      <c r="T237" s="95">
        <v>9.5238095238095202</v>
      </c>
      <c r="U237" s="95">
        <v>6.00706713780919</v>
      </c>
      <c r="V237" s="95">
        <v>5.0877192982456103</v>
      </c>
      <c r="W237" s="95">
        <v>2.12765957446809</v>
      </c>
      <c r="X237" s="95">
        <v>4.9302325581395303</v>
      </c>
      <c r="Y237" s="95">
        <v>12.5</v>
      </c>
      <c r="Z237" s="94">
        <v>1916</v>
      </c>
      <c r="AA237" s="94">
        <v>924</v>
      </c>
      <c r="AB237" s="94">
        <v>992</v>
      </c>
      <c r="AC237" s="94">
        <v>85</v>
      </c>
      <c r="AD237" s="94">
        <v>546</v>
      </c>
      <c r="AE237" s="94">
        <v>1021</v>
      </c>
      <c r="AF237" s="94">
        <v>264</v>
      </c>
      <c r="AG237" s="94">
        <v>1383</v>
      </c>
      <c r="AH237" s="94">
        <v>525</v>
      </c>
      <c r="AI237" s="94">
        <v>8</v>
      </c>
      <c r="AJ237" s="94">
        <v>1893</v>
      </c>
      <c r="AK237" s="94">
        <v>19</v>
      </c>
      <c r="AL237" s="94">
        <v>4</v>
      </c>
      <c r="AM237" s="94">
        <v>111</v>
      </c>
      <c r="AN237" s="94">
        <v>1780</v>
      </c>
      <c r="AO237" s="94">
        <v>25</v>
      </c>
      <c r="AP237" s="95">
        <v>7.79944289693593</v>
      </c>
      <c r="AQ237" s="95">
        <v>4.1379310344827598</v>
      </c>
      <c r="AR237" s="95">
        <v>11.243243243243199</v>
      </c>
      <c r="AS237" s="95">
        <v>11.1111111111111</v>
      </c>
      <c r="AT237" s="95">
        <v>10.9375</v>
      </c>
      <c r="AU237" s="95">
        <v>6.79205851619645</v>
      </c>
      <c r="AV237" s="95">
        <v>4.0816326530612201</v>
      </c>
      <c r="AW237" s="95">
        <v>7.6103500761034999</v>
      </c>
      <c r="AX237" s="95">
        <v>8.4388185654008403</v>
      </c>
      <c r="AY237" s="95">
        <v>0</v>
      </c>
      <c r="AZ237" s="95">
        <v>7.6619718309859204</v>
      </c>
      <c r="BA237" s="95">
        <v>18.75</v>
      </c>
      <c r="BB237" s="95">
        <v>25</v>
      </c>
      <c r="BC237" s="95">
        <v>2.8571428571428599</v>
      </c>
      <c r="BD237" s="95">
        <v>8.2183563287342505</v>
      </c>
      <c r="BE237" s="95">
        <v>0</v>
      </c>
    </row>
    <row r="238" spans="2:57" ht="15" customHeight="1" x14ac:dyDescent="0.25">
      <c r="B238" s="91">
        <v>228</v>
      </c>
      <c r="C238" s="92" t="s">
        <v>504</v>
      </c>
      <c r="D238" s="92" t="s">
        <v>43</v>
      </c>
      <c r="E238" s="92" t="s">
        <v>354</v>
      </c>
      <c r="F238" s="92" t="s">
        <v>233</v>
      </c>
      <c r="G238" s="101" t="s">
        <v>502</v>
      </c>
      <c r="H238" s="94">
        <v>11612</v>
      </c>
      <c r="I238" s="94">
        <v>6833</v>
      </c>
      <c r="J238" s="94">
        <v>4779</v>
      </c>
      <c r="K238" s="94">
        <v>634</v>
      </c>
      <c r="L238" s="94">
        <v>3084</v>
      </c>
      <c r="M238" s="94">
        <v>5763</v>
      </c>
      <c r="N238" s="94">
        <v>2131</v>
      </c>
      <c r="O238" s="94">
        <v>11602</v>
      </c>
      <c r="P238" s="94">
        <v>10</v>
      </c>
      <c r="Q238" s="95">
        <v>0.26716537536735202</v>
      </c>
      <c r="R238" s="95">
        <v>0.166389351081531</v>
      </c>
      <c r="S238" s="95">
        <v>0.41143352100476399</v>
      </c>
      <c r="T238" s="95">
        <v>0.5</v>
      </c>
      <c r="U238" s="95">
        <v>0.26926960619320101</v>
      </c>
      <c r="V238" s="95">
        <v>0.30438675022381401</v>
      </c>
      <c r="W238" s="95">
        <v>9.6478533526290405E-2</v>
      </c>
      <c r="X238" s="95">
        <v>0.26740351189945599</v>
      </c>
      <c r="Y238" s="95">
        <v>0</v>
      </c>
      <c r="Z238" s="94">
        <v>14895</v>
      </c>
      <c r="AA238" s="94">
        <v>8202</v>
      </c>
      <c r="AB238" s="94">
        <v>6693</v>
      </c>
      <c r="AC238" s="94">
        <v>661</v>
      </c>
      <c r="AD238" s="94">
        <v>3898</v>
      </c>
      <c r="AE238" s="94">
        <v>7705</v>
      </c>
      <c r="AF238" s="94">
        <v>2631</v>
      </c>
      <c r="AG238" s="94">
        <v>12631</v>
      </c>
      <c r="AH238" s="94">
        <v>1977</v>
      </c>
      <c r="AI238" s="94">
        <v>287</v>
      </c>
      <c r="AJ238" s="94">
        <v>14812</v>
      </c>
      <c r="AK238" s="94">
        <v>31</v>
      </c>
      <c r="AL238" s="94">
        <v>52</v>
      </c>
      <c r="AM238" s="94">
        <v>833</v>
      </c>
      <c r="AN238" s="94">
        <v>13817</v>
      </c>
      <c r="AO238" s="94">
        <v>245</v>
      </c>
      <c r="AP238" s="95">
        <v>1.1195074167366399</v>
      </c>
      <c r="AQ238" s="95">
        <v>0.38066235249333802</v>
      </c>
      <c r="AR238" s="95">
        <v>2.0277647792855999</v>
      </c>
      <c r="AS238" s="95">
        <v>1.91693290734824</v>
      </c>
      <c r="AT238" s="95">
        <v>1.5748031496063</v>
      </c>
      <c r="AU238" s="95">
        <v>1</v>
      </c>
      <c r="AV238" s="95">
        <v>0.61943476577622902</v>
      </c>
      <c r="AW238" s="95">
        <v>0.96896042043028396</v>
      </c>
      <c r="AX238" s="95">
        <v>2.17864923747277</v>
      </c>
      <c r="AY238" s="95">
        <v>0.71942446043165498</v>
      </c>
      <c r="AZ238" s="95">
        <v>1.1254924029262801</v>
      </c>
      <c r="BA238" s="95">
        <v>0</v>
      </c>
      <c r="BB238" s="95">
        <v>0</v>
      </c>
      <c r="BC238" s="95">
        <v>0.48959608323133402</v>
      </c>
      <c r="BD238" s="95">
        <v>1.1632298511972201</v>
      </c>
      <c r="BE238" s="95">
        <v>0.84745762711864403</v>
      </c>
    </row>
    <row r="239" spans="2:57" ht="15" customHeight="1" x14ac:dyDescent="0.25">
      <c r="B239" s="96">
        <v>229</v>
      </c>
      <c r="C239" s="97" t="s">
        <v>504</v>
      </c>
      <c r="D239" s="104" t="s">
        <v>43</v>
      </c>
      <c r="E239" s="104" t="s">
        <v>354</v>
      </c>
      <c r="F239" s="104" t="s">
        <v>236</v>
      </c>
      <c r="G239" s="105" t="s">
        <v>236</v>
      </c>
      <c r="H239" s="106">
        <v>7557</v>
      </c>
      <c r="I239" s="106">
        <v>4872</v>
      </c>
      <c r="J239" s="106">
        <v>2685</v>
      </c>
      <c r="K239" s="106">
        <v>461</v>
      </c>
      <c r="L239" s="106">
        <v>2351</v>
      </c>
      <c r="M239" s="106">
        <v>3962</v>
      </c>
      <c r="N239" s="106">
        <v>783</v>
      </c>
      <c r="O239" s="106">
        <v>7550</v>
      </c>
      <c r="P239" s="106">
        <v>7</v>
      </c>
      <c r="Q239" s="107">
        <v>1.74636174636175</v>
      </c>
      <c r="R239" s="107">
        <v>0.89839572192513395</v>
      </c>
      <c r="S239" s="107">
        <v>3.30708661417323</v>
      </c>
      <c r="T239" s="107">
        <v>3.27868852459016</v>
      </c>
      <c r="U239" s="107">
        <v>1.7528089887640499</v>
      </c>
      <c r="V239" s="107">
        <v>1.65267576075551</v>
      </c>
      <c r="W239" s="107">
        <v>1.3315579227696399</v>
      </c>
      <c r="X239" s="107">
        <v>1.7478152309613</v>
      </c>
      <c r="Y239" s="107">
        <v>0</v>
      </c>
      <c r="Z239" s="106">
        <v>8986</v>
      </c>
      <c r="AA239" s="106">
        <v>5466</v>
      </c>
      <c r="AB239" s="106">
        <v>3520</v>
      </c>
      <c r="AC239" s="106">
        <v>375</v>
      </c>
      <c r="AD239" s="106">
        <v>2548</v>
      </c>
      <c r="AE239" s="106">
        <v>4962</v>
      </c>
      <c r="AF239" s="106">
        <v>1101</v>
      </c>
      <c r="AG239" s="106">
        <v>6513</v>
      </c>
      <c r="AH239" s="106">
        <v>2365</v>
      </c>
      <c r="AI239" s="106">
        <v>108</v>
      </c>
      <c r="AJ239" s="106">
        <v>8891</v>
      </c>
      <c r="AK239" s="106">
        <v>62</v>
      </c>
      <c r="AL239" s="106">
        <v>33</v>
      </c>
      <c r="AM239" s="106">
        <v>581</v>
      </c>
      <c r="AN239" s="106">
        <v>8317</v>
      </c>
      <c r="AO239" s="106">
        <v>88</v>
      </c>
      <c r="AP239" s="107">
        <v>4.6563715666627399</v>
      </c>
      <c r="AQ239" s="107">
        <v>1.52450791200309</v>
      </c>
      <c r="AR239" s="107">
        <v>9.5728567100878497</v>
      </c>
      <c r="AS239" s="107">
        <v>6.0344827586206904</v>
      </c>
      <c r="AT239" s="107">
        <v>4.6590427784836903</v>
      </c>
      <c r="AU239" s="107">
        <v>4.9416755037115596</v>
      </c>
      <c r="AV239" s="107">
        <v>2.9272898961284199</v>
      </c>
      <c r="AW239" s="107">
        <v>3.5685451316001902</v>
      </c>
      <c r="AX239" s="107">
        <v>7.7696526508226702</v>
      </c>
      <c r="AY239" s="107">
        <v>3.9215686274509798</v>
      </c>
      <c r="AZ239" s="107">
        <v>4.6461758398856299</v>
      </c>
      <c r="BA239" s="107">
        <v>7.1428571428571397</v>
      </c>
      <c r="BB239" s="107">
        <v>3.0303030303030298</v>
      </c>
      <c r="BC239" s="107">
        <v>5.0089445438282603</v>
      </c>
      <c r="BD239" s="107">
        <v>4.6550184925392202</v>
      </c>
      <c r="BE239" s="107">
        <v>2.4096385542168699</v>
      </c>
    </row>
    <row r="240" spans="2:57" ht="15" customHeight="1" x14ac:dyDescent="0.25">
      <c r="B240" s="91">
        <v>230</v>
      </c>
      <c r="C240" s="92" t="s">
        <v>504</v>
      </c>
      <c r="D240" s="92" t="s">
        <v>43</v>
      </c>
      <c r="E240" s="92" t="s">
        <v>354</v>
      </c>
      <c r="F240" s="92" t="s">
        <v>236</v>
      </c>
      <c r="G240" s="101" t="s">
        <v>501</v>
      </c>
      <c r="H240" s="94">
        <v>2099</v>
      </c>
      <c r="I240" s="94">
        <v>1208</v>
      </c>
      <c r="J240" s="94">
        <v>891</v>
      </c>
      <c r="K240" s="94">
        <v>125</v>
      </c>
      <c r="L240" s="94">
        <v>633</v>
      </c>
      <c r="M240" s="94">
        <v>1132</v>
      </c>
      <c r="N240" s="94">
        <v>209</v>
      </c>
      <c r="O240" s="94">
        <v>2097</v>
      </c>
      <c r="P240" s="94">
        <v>2</v>
      </c>
      <c r="Q240" s="95">
        <v>4.7834843907351496</v>
      </c>
      <c r="R240" s="95">
        <v>2.4347826086956501</v>
      </c>
      <c r="S240" s="95">
        <v>8.0143540669856499</v>
      </c>
      <c r="T240" s="95">
        <v>7.1428571428571397</v>
      </c>
      <c r="U240" s="95">
        <v>4.3029259896729801</v>
      </c>
      <c r="V240" s="95">
        <v>4.7531992687385696</v>
      </c>
      <c r="W240" s="95">
        <v>5.0251256281407004</v>
      </c>
      <c r="X240" s="95">
        <v>4.7883064516129004</v>
      </c>
      <c r="Y240" s="95">
        <v>0</v>
      </c>
      <c r="Z240" s="94">
        <v>2437</v>
      </c>
      <c r="AA240" s="94">
        <v>1353</v>
      </c>
      <c r="AB240" s="94">
        <v>1084</v>
      </c>
      <c r="AC240" s="94">
        <v>90</v>
      </c>
      <c r="AD240" s="94">
        <v>649</v>
      </c>
      <c r="AE240" s="94">
        <v>1383</v>
      </c>
      <c r="AF240" s="94">
        <v>315</v>
      </c>
      <c r="AG240" s="94">
        <v>1141</v>
      </c>
      <c r="AH240" s="94">
        <v>1265</v>
      </c>
      <c r="AI240" s="94">
        <v>31</v>
      </c>
      <c r="AJ240" s="94">
        <v>2403</v>
      </c>
      <c r="AK240" s="94">
        <v>26</v>
      </c>
      <c r="AL240" s="94">
        <v>8</v>
      </c>
      <c r="AM240" s="94">
        <v>181</v>
      </c>
      <c r="AN240" s="94">
        <v>2237</v>
      </c>
      <c r="AO240" s="94">
        <v>19</v>
      </c>
      <c r="AP240" s="95">
        <v>9.6929824561403493</v>
      </c>
      <c r="AQ240" s="95">
        <v>3.7706205813040099</v>
      </c>
      <c r="AR240" s="95">
        <v>17.179741807348599</v>
      </c>
      <c r="AS240" s="95">
        <v>12.1951219512195</v>
      </c>
      <c r="AT240" s="95">
        <v>10.2693602693603</v>
      </c>
      <c r="AU240" s="95">
        <v>9.7243491577335401</v>
      </c>
      <c r="AV240" s="95">
        <v>7.7181208053691304</v>
      </c>
      <c r="AW240" s="95">
        <v>8.5027726432532305</v>
      </c>
      <c r="AX240" s="95">
        <v>10.674637062339899</v>
      </c>
      <c r="AY240" s="95">
        <v>14.814814814814801</v>
      </c>
      <c r="AZ240" s="95">
        <v>9.6975088967971494</v>
      </c>
      <c r="BA240" s="95">
        <v>8.3333333333333304</v>
      </c>
      <c r="BB240" s="95">
        <v>12.5</v>
      </c>
      <c r="BC240" s="95">
        <v>11.4285714285714</v>
      </c>
      <c r="BD240" s="95">
        <v>9.5877277085330803</v>
      </c>
      <c r="BE240" s="95">
        <v>5.2631578947368398</v>
      </c>
    </row>
    <row r="241" spans="2:57" ht="15" customHeight="1" x14ac:dyDescent="0.25">
      <c r="B241" s="91">
        <v>231</v>
      </c>
      <c r="C241" s="92" t="s">
        <v>504</v>
      </c>
      <c r="D241" s="92" t="s">
        <v>43</v>
      </c>
      <c r="E241" s="92" t="s">
        <v>354</v>
      </c>
      <c r="F241" s="92" t="s">
        <v>236</v>
      </c>
      <c r="G241" s="101" t="s">
        <v>502</v>
      </c>
      <c r="H241" s="94">
        <v>5458</v>
      </c>
      <c r="I241" s="94">
        <v>3664</v>
      </c>
      <c r="J241" s="94">
        <v>1794</v>
      </c>
      <c r="K241" s="94">
        <v>336</v>
      </c>
      <c r="L241" s="94">
        <v>1718</v>
      </c>
      <c r="M241" s="94">
        <v>2830</v>
      </c>
      <c r="N241" s="94">
        <v>574</v>
      </c>
      <c r="O241" s="94">
        <v>5453</v>
      </c>
      <c r="P241" s="94">
        <v>5</v>
      </c>
      <c r="Q241" s="95">
        <v>0.59284758079938804</v>
      </c>
      <c r="R241" s="95">
        <v>0.39716312056737602</v>
      </c>
      <c r="S241" s="95">
        <v>0.99765258215962405</v>
      </c>
      <c r="T241" s="95">
        <v>1.9047619047619</v>
      </c>
      <c r="U241" s="95">
        <v>0.85158150851581504</v>
      </c>
      <c r="V241" s="95">
        <v>0.40470934510669598</v>
      </c>
      <c r="W241" s="95">
        <v>0</v>
      </c>
      <c r="X241" s="95">
        <v>0.593301435406699</v>
      </c>
      <c r="Y241" s="95">
        <v>0</v>
      </c>
      <c r="Z241" s="94">
        <v>6549</v>
      </c>
      <c r="AA241" s="94">
        <v>4113</v>
      </c>
      <c r="AB241" s="94">
        <v>2436</v>
      </c>
      <c r="AC241" s="94">
        <v>285</v>
      </c>
      <c r="AD241" s="94">
        <v>1899</v>
      </c>
      <c r="AE241" s="94">
        <v>3579</v>
      </c>
      <c r="AF241" s="94">
        <v>786</v>
      </c>
      <c r="AG241" s="94">
        <v>5372</v>
      </c>
      <c r="AH241" s="94">
        <v>1100</v>
      </c>
      <c r="AI241" s="94">
        <v>77</v>
      </c>
      <c r="AJ241" s="94">
        <v>6488</v>
      </c>
      <c r="AK241" s="94">
        <v>36</v>
      </c>
      <c r="AL241" s="94">
        <v>25</v>
      </c>
      <c r="AM241" s="94">
        <v>400</v>
      </c>
      <c r="AN241" s="94">
        <v>6080</v>
      </c>
      <c r="AO241" s="94">
        <v>69</v>
      </c>
      <c r="AP241" s="95">
        <v>2.8050943092052201</v>
      </c>
      <c r="AQ241" s="95">
        <v>0.79304169864415497</v>
      </c>
      <c r="AR241" s="95">
        <v>6.2336530078465602</v>
      </c>
      <c r="AS241" s="95">
        <v>4.1353383458646604</v>
      </c>
      <c r="AT241" s="95">
        <v>2.7730616864742501</v>
      </c>
      <c r="AU241" s="95">
        <v>3.1094162511000301</v>
      </c>
      <c r="AV241" s="95">
        <v>1.05124835742444</v>
      </c>
      <c r="AW241" s="95">
        <v>2.52396791234592</v>
      </c>
      <c r="AX241" s="95">
        <v>4.4247787610619502</v>
      </c>
      <c r="AY241" s="95">
        <v>0</v>
      </c>
      <c r="AZ241" s="95">
        <v>2.7985681744223898</v>
      </c>
      <c r="BA241" s="95">
        <v>6.25</v>
      </c>
      <c r="BB241" s="95">
        <v>0</v>
      </c>
      <c r="BC241" s="95">
        <v>2.0833333333333299</v>
      </c>
      <c r="BD241" s="95">
        <v>2.86707211120765</v>
      </c>
      <c r="BE241" s="95">
        <v>1.5625</v>
      </c>
    </row>
    <row r="242" spans="2:57" ht="15" customHeight="1" x14ac:dyDescent="0.25">
      <c r="B242" s="96">
        <v>232</v>
      </c>
      <c r="C242" s="97" t="s">
        <v>504</v>
      </c>
      <c r="D242" s="104" t="s">
        <v>43</v>
      </c>
      <c r="E242" s="104" t="s">
        <v>354</v>
      </c>
      <c r="F242" s="104" t="s">
        <v>203</v>
      </c>
      <c r="G242" s="105" t="s">
        <v>203</v>
      </c>
      <c r="H242" s="106">
        <v>4475</v>
      </c>
      <c r="I242" s="106">
        <v>2846</v>
      </c>
      <c r="J242" s="106">
        <v>1629</v>
      </c>
      <c r="K242" s="106">
        <v>306</v>
      </c>
      <c r="L242" s="106">
        <v>1433</v>
      </c>
      <c r="M242" s="106">
        <v>2255</v>
      </c>
      <c r="N242" s="106">
        <v>481</v>
      </c>
      <c r="O242" s="106">
        <v>4472</v>
      </c>
      <c r="P242" s="106">
        <v>3</v>
      </c>
      <c r="Q242" s="107">
        <v>0.25688930406352201</v>
      </c>
      <c r="R242" s="107">
        <v>0.220345207491737</v>
      </c>
      <c r="S242" s="107">
        <v>0.32071840923668998</v>
      </c>
      <c r="T242" s="107">
        <v>0.36101083032490999</v>
      </c>
      <c r="U242" s="107">
        <v>0.36363636363636398</v>
      </c>
      <c r="V242" s="107">
        <v>0.23084025854109</v>
      </c>
      <c r="W242" s="107">
        <v>0</v>
      </c>
      <c r="X242" s="107">
        <v>0.25706940874035999</v>
      </c>
      <c r="Y242" s="107">
        <v>0</v>
      </c>
      <c r="Z242" s="106">
        <v>5345</v>
      </c>
      <c r="AA242" s="106">
        <v>3136</v>
      </c>
      <c r="AB242" s="106">
        <v>2209</v>
      </c>
      <c r="AC242" s="106">
        <v>259</v>
      </c>
      <c r="AD242" s="106">
        <v>1546</v>
      </c>
      <c r="AE242" s="106">
        <v>2862</v>
      </c>
      <c r="AF242" s="106">
        <v>678</v>
      </c>
      <c r="AG242" s="106">
        <v>4164</v>
      </c>
      <c r="AH242" s="106">
        <v>1088</v>
      </c>
      <c r="AI242" s="106">
        <v>93</v>
      </c>
      <c r="AJ242" s="106">
        <v>5316</v>
      </c>
      <c r="AK242" s="106">
        <v>11</v>
      </c>
      <c r="AL242" s="106">
        <v>18</v>
      </c>
      <c r="AM242" s="106">
        <v>260</v>
      </c>
      <c r="AN242" s="106">
        <v>5024</v>
      </c>
      <c r="AO242" s="106">
        <v>61</v>
      </c>
      <c r="AP242" s="107">
        <v>1.50433944069431</v>
      </c>
      <c r="AQ242" s="107">
        <v>0.360892388451444</v>
      </c>
      <c r="AR242" s="107">
        <v>3.13523631258774</v>
      </c>
      <c r="AS242" s="107">
        <v>3.2520325203252001</v>
      </c>
      <c r="AT242" s="107">
        <v>1.68010752688172</v>
      </c>
      <c r="AU242" s="107">
        <v>1.5445402298850599</v>
      </c>
      <c r="AV242" s="107">
        <v>0.29985007496251898</v>
      </c>
      <c r="AW242" s="107">
        <v>1.50209308052204</v>
      </c>
      <c r="AX242" s="107">
        <v>1.63776493256262</v>
      </c>
      <c r="AY242" s="107">
        <v>0</v>
      </c>
      <c r="AZ242" s="107">
        <v>1.4928266770065901</v>
      </c>
      <c r="BA242" s="107">
        <v>0</v>
      </c>
      <c r="BB242" s="107">
        <v>5.8823529411764701</v>
      </c>
      <c r="BC242" s="107">
        <v>0.775193798449612</v>
      </c>
      <c r="BD242" s="107">
        <v>1.5605749486653</v>
      </c>
      <c r="BE242" s="107">
        <v>0</v>
      </c>
    </row>
    <row r="243" spans="2:57" ht="15" customHeight="1" x14ac:dyDescent="0.25">
      <c r="B243" s="91">
        <v>233</v>
      </c>
      <c r="C243" s="92" t="s">
        <v>504</v>
      </c>
      <c r="D243" s="92" t="s">
        <v>43</v>
      </c>
      <c r="E243" s="92" t="s">
        <v>354</v>
      </c>
      <c r="F243" s="92" t="s">
        <v>203</v>
      </c>
      <c r="G243" s="101" t="s">
        <v>501</v>
      </c>
      <c r="H243" s="94">
        <v>0</v>
      </c>
      <c r="I243" s="94">
        <v>0</v>
      </c>
      <c r="J243" s="94">
        <v>0</v>
      </c>
      <c r="K243" s="94">
        <v>0</v>
      </c>
      <c r="L243" s="94">
        <v>0</v>
      </c>
      <c r="M243" s="94">
        <v>0</v>
      </c>
      <c r="N243" s="94">
        <v>0</v>
      </c>
      <c r="O243" s="94">
        <v>0</v>
      </c>
      <c r="P243" s="94">
        <v>0</v>
      </c>
      <c r="Q243" s="95">
        <v>0</v>
      </c>
      <c r="R243" s="95">
        <v>0</v>
      </c>
      <c r="S243" s="95">
        <v>0</v>
      </c>
      <c r="T243" s="95">
        <v>0</v>
      </c>
      <c r="U243" s="95">
        <v>0</v>
      </c>
      <c r="V243" s="95">
        <v>0</v>
      </c>
      <c r="W243" s="95">
        <v>0</v>
      </c>
      <c r="X243" s="95">
        <v>0</v>
      </c>
      <c r="Y243" s="95">
        <v>0</v>
      </c>
      <c r="Z243" s="94">
        <v>0</v>
      </c>
      <c r="AA243" s="94">
        <v>0</v>
      </c>
      <c r="AB243" s="94">
        <v>0</v>
      </c>
      <c r="AC243" s="94">
        <v>0</v>
      </c>
      <c r="AD243" s="94">
        <v>0</v>
      </c>
      <c r="AE243" s="94">
        <v>0</v>
      </c>
      <c r="AF243" s="94">
        <v>0</v>
      </c>
      <c r="AG243" s="94">
        <v>0</v>
      </c>
      <c r="AH243" s="94">
        <v>0</v>
      </c>
      <c r="AI243" s="94">
        <v>0</v>
      </c>
      <c r="AJ243" s="94">
        <v>0</v>
      </c>
      <c r="AK243" s="94">
        <v>0</v>
      </c>
      <c r="AL243" s="94">
        <v>0</v>
      </c>
      <c r="AM243" s="94">
        <v>0</v>
      </c>
      <c r="AN243" s="94">
        <v>0</v>
      </c>
      <c r="AO243" s="94">
        <v>0</v>
      </c>
      <c r="AP243" s="95">
        <v>0</v>
      </c>
      <c r="AQ243" s="95">
        <v>0</v>
      </c>
      <c r="AR243" s="95">
        <v>0</v>
      </c>
      <c r="AS243" s="95">
        <v>0</v>
      </c>
      <c r="AT243" s="95">
        <v>0</v>
      </c>
      <c r="AU243" s="95">
        <v>0</v>
      </c>
      <c r="AV243" s="95">
        <v>0</v>
      </c>
      <c r="AW243" s="95">
        <v>0</v>
      </c>
      <c r="AX243" s="95">
        <v>0</v>
      </c>
      <c r="AY243" s="95">
        <v>0</v>
      </c>
      <c r="AZ243" s="95">
        <v>0</v>
      </c>
      <c r="BA243" s="95">
        <v>0</v>
      </c>
      <c r="BB243" s="95">
        <v>0</v>
      </c>
      <c r="BC243" s="95">
        <v>0</v>
      </c>
      <c r="BD243" s="95">
        <v>0</v>
      </c>
      <c r="BE243" s="95">
        <v>0</v>
      </c>
    </row>
    <row r="244" spans="2:57" ht="15" customHeight="1" x14ac:dyDescent="0.25">
      <c r="B244" s="91">
        <v>234</v>
      </c>
      <c r="C244" s="92" t="s">
        <v>504</v>
      </c>
      <c r="D244" s="92" t="s">
        <v>43</v>
      </c>
      <c r="E244" s="92" t="s">
        <v>354</v>
      </c>
      <c r="F244" s="92" t="s">
        <v>203</v>
      </c>
      <c r="G244" s="101" t="s">
        <v>502</v>
      </c>
      <c r="H244" s="94">
        <v>4475</v>
      </c>
      <c r="I244" s="94">
        <v>2846</v>
      </c>
      <c r="J244" s="94">
        <v>1629</v>
      </c>
      <c r="K244" s="94">
        <v>306</v>
      </c>
      <c r="L244" s="94">
        <v>1433</v>
      </c>
      <c r="M244" s="94">
        <v>2255</v>
      </c>
      <c r="N244" s="94">
        <v>481</v>
      </c>
      <c r="O244" s="94">
        <v>4472</v>
      </c>
      <c r="P244" s="94">
        <v>3</v>
      </c>
      <c r="Q244" s="95">
        <v>0.25688930406352201</v>
      </c>
      <c r="R244" s="95">
        <v>0.220345207491737</v>
      </c>
      <c r="S244" s="95">
        <v>0.32071840923668998</v>
      </c>
      <c r="T244" s="95">
        <v>0.36101083032490999</v>
      </c>
      <c r="U244" s="95">
        <v>0.36363636363636398</v>
      </c>
      <c r="V244" s="95">
        <v>0.23084025854109</v>
      </c>
      <c r="W244" s="95">
        <v>0</v>
      </c>
      <c r="X244" s="95">
        <v>0.25706940874035999</v>
      </c>
      <c r="Y244" s="95">
        <v>0</v>
      </c>
      <c r="Z244" s="94">
        <v>5345</v>
      </c>
      <c r="AA244" s="94">
        <v>3136</v>
      </c>
      <c r="AB244" s="94">
        <v>2209</v>
      </c>
      <c r="AC244" s="94">
        <v>259</v>
      </c>
      <c r="AD244" s="94">
        <v>1546</v>
      </c>
      <c r="AE244" s="94">
        <v>2862</v>
      </c>
      <c r="AF244" s="94">
        <v>678</v>
      </c>
      <c r="AG244" s="94">
        <v>4164</v>
      </c>
      <c r="AH244" s="94">
        <v>1088</v>
      </c>
      <c r="AI244" s="94">
        <v>93</v>
      </c>
      <c r="AJ244" s="94">
        <v>5316</v>
      </c>
      <c r="AK244" s="94">
        <v>11</v>
      </c>
      <c r="AL244" s="94">
        <v>18</v>
      </c>
      <c r="AM244" s="94">
        <v>260</v>
      </c>
      <c r="AN244" s="94">
        <v>5024</v>
      </c>
      <c r="AO244" s="94">
        <v>61</v>
      </c>
      <c r="AP244" s="95">
        <v>1.50433944069431</v>
      </c>
      <c r="AQ244" s="95">
        <v>0.360892388451444</v>
      </c>
      <c r="AR244" s="95">
        <v>3.13523631258774</v>
      </c>
      <c r="AS244" s="95">
        <v>3.2520325203252001</v>
      </c>
      <c r="AT244" s="95">
        <v>1.68010752688172</v>
      </c>
      <c r="AU244" s="95">
        <v>1.5445402298850599</v>
      </c>
      <c r="AV244" s="95">
        <v>0.29985007496251898</v>
      </c>
      <c r="AW244" s="95">
        <v>1.50209308052204</v>
      </c>
      <c r="AX244" s="95">
        <v>1.63776493256262</v>
      </c>
      <c r="AY244" s="95">
        <v>0</v>
      </c>
      <c r="AZ244" s="95">
        <v>1.4928266770065901</v>
      </c>
      <c r="BA244" s="95">
        <v>0</v>
      </c>
      <c r="BB244" s="95">
        <v>5.8823529411764701</v>
      </c>
      <c r="BC244" s="95">
        <v>0.775193798449612</v>
      </c>
      <c r="BD244" s="95">
        <v>1.5605749486653</v>
      </c>
      <c r="BE244" s="95">
        <v>0</v>
      </c>
    </row>
    <row r="245" spans="2:57" ht="15" customHeight="1" x14ac:dyDescent="0.25">
      <c r="B245" s="96">
        <v>235</v>
      </c>
      <c r="C245" s="97" t="s">
        <v>504</v>
      </c>
      <c r="D245" s="104" t="s">
        <v>43</v>
      </c>
      <c r="E245" s="104" t="s">
        <v>354</v>
      </c>
      <c r="F245" s="104" t="s">
        <v>54</v>
      </c>
      <c r="G245" s="105" t="s">
        <v>54</v>
      </c>
      <c r="H245" s="106">
        <v>1610</v>
      </c>
      <c r="I245" s="106">
        <v>885</v>
      </c>
      <c r="J245" s="106">
        <v>725</v>
      </c>
      <c r="K245" s="106">
        <v>162</v>
      </c>
      <c r="L245" s="106">
        <v>388</v>
      </c>
      <c r="M245" s="106">
        <v>760</v>
      </c>
      <c r="N245" s="106">
        <v>300</v>
      </c>
      <c r="O245" s="106">
        <v>1609</v>
      </c>
      <c r="P245" s="106">
        <v>1</v>
      </c>
      <c r="Q245" s="107">
        <v>0.12936610608020699</v>
      </c>
      <c r="R245" s="107">
        <v>0.118343195266272</v>
      </c>
      <c r="S245" s="107">
        <v>0.14265335235377999</v>
      </c>
      <c r="T245" s="107">
        <v>0</v>
      </c>
      <c r="U245" s="107">
        <v>0.26809651474530799</v>
      </c>
      <c r="V245" s="107">
        <v>0.13642564802182799</v>
      </c>
      <c r="W245" s="107">
        <v>0</v>
      </c>
      <c r="X245" s="107">
        <v>0.129449838187702</v>
      </c>
      <c r="Y245" s="107">
        <v>0</v>
      </c>
      <c r="Z245" s="106">
        <v>2323</v>
      </c>
      <c r="AA245" s="106">
        <v>1269</v>
      </c>
      <c r="AB245" s="106">
        <v>1054</v>
      </c>
      <c r="AC245" s="106">
        <v>154</v>
      </c>
      <c r="AD245" s="106">
        <v>709</v>
      </c>
      <c r="AE245" s="106">
        <v>1071</v>
      </c>
      <c r="AF245" s="106">
        <v>389</v>
      </c>
      <c r="AG245" s="106">
        <v>2015</v>
      </c>
      <c r="AH245" s="106">
        <v>279</v>
      </c>
      <c r="AI245" s="106">
        <v>29</v>
      </c>
      <c r="AJ245" s="106">
        <v>2317</v>
      </c>
      <c r="AK245" s="106">
        <v>0</v>
      </c>
      <c r="AL245" s="106">
        <v>6</v>
      </c>
      <c r="AM245" s="106">
        <v>222</v>
      </c>
      <c r="AN245" s="106">
        <v>2047</v>
      </c>
      <c r="AO245" s="106">
        <v>54</v>
      </c>
      <c r="AP245" s="107">
        <v>0.89928057553956797</v>
      </c>
      <c r="AQ245" s="107">
        <v>0.74196207749381704</v>
      </c>
      <c r="AR245" s="107">
        <v>1.0880316518298701</v>
      </c>
      <c r="AS245" s="107">
        <v>2.0270270270270299</v>
      </c>
      <c r="AT245" s="107">
        <v>0.89552238805970197</v>
      </c>
      <c r="AU245" s="107">
        <v>0.87548638132295697</v>
      </c>
      <c r="AV245" s="107">
        <v>0.52910052910052896</v>
      </c>
      <c r="AW245" s="107">
        <v>0.88037286380113899</v>
      </c>
      <c r="AX245" s="107">
        <v>1.1278195488721801</v>
      </c>
      <c r="AY245" s="107">
        <v>0</v>
      </c>
      <c r="AZ245" s="107">
        <v>0.90171325518485101</v>
      </c>
      <c r="BA245" s="107">
        <v>0</v>
      </c>
      <c r="BB245" s="107">
        <v>0</v>
      </c>
      <c r="BC245" s="107">
        <v>0.45871559633027498</v>
      </c>
      <c r="BD245" s="107">
        <v>0.97286226318484403</v>
      </c>
      <c r="BE245" s="107">
        <v>0</v>
      </c>
    </row>
    <row r="246" spans="2:57" ht="15" customHeight="1" x14ac:dyDescent="0.25">
      <c r="B246" s="91">
        <v>236</v>
      </c>
      <c r="C246" s="92" t="s">
        <v>504</v>
      </c>
      <c r="D246" s="92" t="s">
        <v>43</v>
      </c>
      <c r="E246" s="92" t="s">
        <v>354</v>
      </c>
      <c r="F246" s="92" t="s">
        <v>54</v>
      </c>
      <c r="G246" s="101" t="s">
        <v>501</v>
      </c>
      <c r="H246" s="94">
        <v>0</v>
      </c>
      <c r="I246" s="94">
        <v>0</v>
      </c>
      <c r="J246" s="94">
        <v>0</v>
      </c>
      <c r="K246" s="94">
        <v>0</v>
      </c>
      <c r="L246" s="94">
        <v>0</v>
      </c>
      <c r="M246" s="94">
        <v>0</v>
      </c>
      <c r="N246" s="94">
        <v>0</v>
      </c>
      <c r="O246" s="94">
        <v>0</v>
      </c>
      <c r="P246" s="94">
        <v>0</v>
      </c>
      <c r="Q246" s="95">
        <v>0</v>
      </c>
      <c r="R246" s="95">
        <v>0</v>
      </c>
      <c r="S246" s="95">
        <v>0</v>
      </c>
      <c r="T246" s="95">
        <v>0</v>
      </c>
      <c r="U246" s="95">
        <v>0</v>
      </c>
      <c r="V246" s="95">
        <v>0</v>
      </c>
      <c r="W246" s="95">
        <v>0</v>
      </c>
      <c r="X246" s="95">
        <v>0</v>
      </c>
      <c r="Y246" s="95">
        <v>0</v>
      </c>
      <c r="Z246" s="94">
        <v>0</v>
      </c>
      <c r="AA246" s="94">
        <v>0</v>
      </c>
      <c r="AB246" s="94">
        <v>0</v>
      </c>
      <c r="AC246" s="94">
        <v>0</v>
      </c>
      <c r="AD246" s="94">
        <v>0</v>
      </c>
      <c r="AE246" s="94">
        <v>0</v>
      </c>
      <c r="AF246" s="94">
        <v>0</v>
      </c>
      <c r="AG246" s="94">
        <v>0</v>
      </c>
      <c r="AH246" s="94">
        <v>0</v>
      </c>
      <c r="AI246" s="94">
        <v>0</v>
      </c>
      <c r="AJ246" s="94">
        <v>0</v>
      </c>
      <c r="AK246" s="94">
        <v>0</v>
      </c>
      <c r="AL246" s="94">
        <v>0</v>
      </c>
      <c r="AM246" s="94">
        <v>0</v>
      </c>
      <c r="AN246" s="94">
        <v>0</v>
      </c>
      <c r="AO246" s="94">
        <v>0</v>
      </c>
      <c r="AP246" s="95">
        <v>0</v>
      </c>
      <c r="AQ246" s="95">
        <v>0</v>
      </c>
      <c r="AR246" s="95">
        <v>0</v>
      </c>
      <c r="AS246" s="95">
        <v>0</v>
      </c>
      <c r="AT246" s="95">
        <v>0</v>
      </c>
      <c r="AU246" s="95">
        <v>0</v>
      </c>
      <c r="AV246" s="95">
        <v>0</v>
      </c>
      <c r="AW246" s="95">
        <v>0</v>
      </c>
      <c r="AX246" s="95">
        <v>0</v>
      </c>
      <c r="AY246" s="95">
        <v>0</v>
      </c>
      <c r="AZ246" s="95">
        <v>0</v>
      </c>
      <c r="BA246" s="95">
        <v>0</v>
      </c>
      <c r="BB246" s="95">
        <v>0</v>
      </c>
      <c r="BC246" s="95">
        <v>0</v>
      </c>
      <c r="BD246" s="95">
        <v>0</v>
      </c>
      <c r="BE246" s="95">
        <v>0</v>
      </c>
    </row>
    <row r="247" spans="2:57" ht="15" customHeight="1" x14ac:dyDescent="0.25">
      <c r="B247" s="91">
        <v>237</v>
      </c>
      <c r="C247" s="92" t="s">
        <v>504</v>
      </c>
      <c r="D247" s="92" t="s">
        <v>43</v>
      </c>
      <c r="E247" s="92" t="s">
        <v>354</v>
      </c>
      <c r="F247" s="92" t="s">
        <v>54</v>
      </c>
      <c r="G247" s="101" t="s">
        <v>502</v>
      </c>
      <c r="H247" s="94">
        <v>1610</v>
      </c>
      <c r="I247" s="94">
        <v>885</v>
      </c>
      <c r="J247" s="94">
        <v>725</v>
      </c>
      <c r="K247" s="94">
        <v>162</v>
      </c>
      <c r="L247" s="94">
        <v>388</v>
      </c>
      <c r="M247" s="94">
        <v>760</v>
      </c>
      <c r="N247" s="94">
        <v>300</v>
      </c>
      <c r="O247" s="94">
        <v>1609</v>
      </c>
      <c r="P247" s="94">
        <v>1</v>
      </c>
      <c r="Q247" s="95">
        <v>0.12936610608020699</v>
      </c>
      <c r="R247" s="95">
        <v>0.118343195266272</v>
      </c>
      <c r="S247" s="95">
        <v>0.14265335235377999</v>
      </c>
      <c r="T247" s="95">
        <v>0</v>
      </c>
      <c r="U247" s="95">
        <v>0.26809651474530799</v>
      </c>
      <c r="V247" s="95">
        <v>0.13642564802182799</v>
      </c>
      <c r="W247" s="95">
        <v>0</v>
      </c>
      <c r="X247" s="95">
        <v>0.129449838187702</v>
      </c>
      <c r="Y247" s="95">
        <v>0</v>
      </c>
      <c r="Z247" s="94">
        <v>2323</v>
      </c>
      <c r="AA247" s="94">
        <v>1269</v>
      </c>
      <c r="AB247" s="94">
        <v>1054</v>
      </c>
      <c r="AC247" s="94">
        <v>154</v>
      </c>
      <c r="AD247" s="94">
        <v>709</v>
      </c>
      <c r="AE247" s="94">
        <v>1071</v>
      </c>
      <c r="AF247" s="94">
        <v>389</v>
      </c>
      <c r="AG247" s="94">
        <v>2015</v>
      </c>
      <c r="AH247" s="94">
        <v>279</v>
      </c>
      <c r="AI247" s="94">
        <v>29</v>
      </c>
      <c r="AJ247" s="94">
        <v>2317</v>
      </c>
      <c r="AK247" s="94">
        <v>0</v>
      </c>
      <c r="AL247" s="94">
        <v>6</v>
      </c>
      <c r="AM247" s="94">
        <v>222</v>
      </c>
      <c r="AN247" s="94">
        <v>2047</v>
      </c>
      <c r="AO247" s="94">
        <v>54</v>
      </c>
      <c r="AP247" s="95">
        <v>0.89928057553956797</v>
      </c>
      <c r="AQ247" s="95">
        <v>0.74196207749381704</v>
      </c>
      <c r="AR247" s="95">
        <v>1.0880316518298701</v>
      </c>
      <c r="AS247" s="95">
        <v>2.0270270270270299</v>
      </c>
      <c r="AT247" s="95">
        <v>0.89552238805970197</v>
      </c>
      <c r="AU247" s="95">
        <v>0.87548638132295697</v>
      </c>
      <c r="AV247" s="95">
        <v>0.52910052910052896</v>
      </c>
      <c r="AW247" s="95">
        <v>0.88037286380113899</v>
      </c>
      <c r="AX247" s="95">
        <v>1.1278195488721801</v>
      </c>
      <c r="AY247" s="95">
        <v>0</v>
      </c>
      <c r="AZ247" s="95">
        <v>0.90171325518485101</v>
      </c>
      <c r="BA247" s="95">
        <v>0</v>
      </c>
      <c r="BB247" s="95">
        <v>0</v>
      </c>
      <c r="BC247" s="95">
        <v>0.45871559633027498</v>
      </c>
      <c r="BD247" s="95">
        <v>0.97286226318484403</v>
      </c>
      <c r="BE247" s="95">
        <v>0</v>
      </c>
    </row>
    <row r="248" spans="2:57" ht="15" customHeight="1" x14ac:dyDescent="0.25">
      <c r="B248" s="96">
        <v>238</v>
      </c>
      <c r="C248" s="97" t="s">
        <v>504</v>
      </c>
      <c r="D248" s="104" t="s">
        <v>43</v>
      </c>
      <c r="E248" s="104" t="s">
        <v>354</v>
      </c>
      <c r="F248" s="104" t="s">
        <v>62</v>
      </c>
      <c r="G248" s="105" t="s">
        <v>62</v>
      </c>
      <c r="H248" s="106">
        <v>2379</v>
      </c>
      <c r="I248" s="106">
        <v>1295</v>
      </c>
      <c r="J248" s="106">
        <v>1084</v>
      </c>
      <c r="K248" s="106">
        <v>131</v>
      </c>
      <c r="L248" s="106">
        <v>564</v>
      </c>
      <c r="M248" s="106">
        <v>1162</v>
      </c>
      <c r="N248" s="106">
        <v>522</v>
      </c>
      <c r="O248" s="106">
        <v>2377</v>
      </c>
      <c r="P248" s="106">
        <v>2</v>
      </c>
      <c r="Q248" s="107">
        <v>0.17241379310344801</v>
      </c>
      <c r="R248" s="107">
        <v>0.158102766798419</v>
      </c>
      <c r="S248" s="107">
        <v>0.18957345971563999</v>
      </c>
      <c r="T248" s="107">
        <v>0</v>
      </c>
      <c r="U248" s="107">
        <v>0</v>
      </c>
      <c r="V248" s="107">
        <v>0.35149384885764501</v>
      </c>
      <c r="W248" s="107">
        <v>0</v>
      </c>
      <c r="X248" s="107">
        <v>0.172562553925798</v>
      </c>
      <c r="Y248" s="107">
        <v>0</v>
      </c>
      <c r="Z248" s="106">
        <v>2217</v>
      </c>
      <c r="AA248" s="106">
        <v>1203</v>
      </c>
      <c r="AB248" s="106">
        <v>1014</v>
      </c>
      <c r="AC248" s="106">
        <v>71</v>
      </c>
      <c r="AD248" s="106">
        <v>454</v>
      </c>
      <c r="AE248" s="106">
        <v>1107</v>
      </c>
      <c r="AF248" s="106">
        <v>585</v>
      </c>
      <c r="AG248" s="106">
        <v>2026</v>
      </c>
      <c r="AH248" s="106">
        <v>178</v>
      </c>
      <c r="AI248" s="106">
        <v>13</v>
      </c>
      <c r="AJ248" s="106">
        <v>2206</v>
      </c>
      <c r="AK248" s="106">
        <v>2</v>
      </c>
      <c r="AL248" s="106">
        <v>9</v>
      </c>
      <c r="AM248" s="106">
        <v>141</v>
      </c>
      <c r="AN248" s="106">
        <v>2045</v>
      </c>
      <c r="AO248" s="106">
        <v>31</v>
      </c>
      <c r="AP248" s="107">
        <v>0.701262272089762</v>
      </c>
      <c r="AQ248" s="107">
        <v>0.258397932816538</v>
      </c>
      <c r="AR248" s="107">
        <v>1.22699386503067</v>
      </c>
      <c r="AS248" s="107">
        <v>0</v>
      </c>
      <c r="AT248" s="107">
        <v>1.16550116550117</v>
      </c>
      <c r="AU248" s="107">
        <v>0.74626865671641796</v>
      </c>
      <c r="AV248" s="107">
        <v>0.34965034965035002</v>
      </c>
      <c r="AW248" s="107">
        <v>0.458015267175573</v>
      </c>
      <c r="AX248" s="107">
        <v>3.0674846625766898</v>
      </c>
      <c r="AY248" s="107">
        <v>9.0909090909090899</v>
      </c>
      <c r="AZ248" s="107">
        <v>0.70455612963832803</v>
      </c>
      <c r="BA248" s="107">
        <v>0</v>
      </c>
      <c r="BB248" s="107">
        <v>0</v>
      </c>
      <c r="BC248" s="107">
        <v>0</v>
      </c>
      <c r="BD248" s="107">
        <v>0.76219512195121997</v>
      </c>
      <c r="BE248" s="107">
        <v>0</v>
      </c>
    </row>
    <row r="249" spans="2:57" ht="15" customHeight="1" x14ac:dyDescent="0.25">
      <c r="B249" s="91">
        <v>239</v>
      </c>
      <c r="C249" s="92" t="s">
        <v>504</v>
      </c>
      <c r="D249" s="92" t="s">
        <v>43</v>
      </c>
      <c r="E249" s="92" t="s">
        <v>354</v>
      </c>
      <c r="F249" s="92" t="s">
        <v>62</v>
      </c>
      <c r="G249" s="101" t="s">
        <v>501</v>
      </c>
      <c r="H249" s="94">
        <v>0</v>
      </c>
      <c r="I249" s="94">
        <v>0</v>
      </c>
      <c r="J249" s="94">
        <v>0</v>
      </c>
      <c r="K249" s="94">
        <v>0</v>
      </c>
      <c r="L249" s="94">
        <v>0</v>
      </c>
      <c r="M249" s="94">
        <v>0</v>
      </c>
      <c r="N249" s="94">
        <v>0</v>
      </c>
      <c r="O249" s="94">
        <v>0</v>
      </c>
      <c r="P249" s="94">
        <v>0</v>
      </c>
      <c r="Q249" s="95">
        <v>0</v>
      </c>
      <c r="R249" s="95">
        <v>0</v>
      </c>
      <c r="S249" s="95">
        <v>0</v>
      </c>
      <c r="T249" s="95">
        <v>0</v>
      </c>
      <c r="U249" s="95">
        <v>0</v>
      </c>
      <c r="V249" s="95">
        <v>0</v>
      </c>
      <c r="W249" s="95">
        <v>0</v>
      </c>
      <c r="X249" s="95">
        <v>0</v>
      </c>
      <c r="Y249" s="95">
        <v>0</v>
      </c>
      <c r="Z249" s="94">
        <v>0</v>
      </c>
      <c r="AA249" s="94">
        <v>0</v>
      </c>
      <c r="AB249" s="94">
        <v>0</v>
      </c>
      <c r="AC249" s="94">
        <v>0</v>
      </c>
      <c r="AD249" s="94">
        <v>0</v>
      </c>
      <c r="AE249" s="94">
        <v>0</v>
      </c>
      <c r="AF249" s="94">
        <v>0</v>
      </c>
      <c r="AG249" s="94">
        <v>0</v>
      </c>
      <c r="AH249" s="94">
        <v>0</v>
      </c>
      <c r="AI249" s="94">
        <v>0</v>
      </c>
      <c r="AJ249" s="94">
        <v>0</v>
      </c>
      <c r="AK249" s="94">
        <v>0</v>
      </c>
      <c r="AL249" s="94">
        <v>0</v>
      </c>
      <c r="AM249" s="94">
        <v>0</v>
      </c>
      <c r="AN249" s="94">
        <v>0</v>
      </c>
      <c r="AO249" s="94">
        <v>0</v>
      </c>
      <c r="AP249" s="95">
        <v>0</v>
      </c>
      <c r="AQ249" s="95">
        <v>0</v>
      </c>
      <c r="AR249" s="95">
        <v>0</v>
      </c>
      <c r="AS249" s="95">
        <v>0</v>
      </c>
      <c r="AT249" s="95">
        <v>0</v>
      </c>
      <c r="AU249" s="95">
        <v>0</v>
      </c>
      <c r="AV249" s="95">
        <v>0</v>
      </c>
      <c r="AW249" s="95">
        <v>0</v>
      </c>
      <c r="AX249" s="95">
        <v>0</v>
      </c>
      <c r="AY249" s="95">
        <v>0</v>
      </c>
      <c r="AZ249" s="95">
        <v>0</v>
      </c>
      <c r="BA249" s="95">
        <v>0</v>
      </c>
      <c r="BB249" s="95">
        <v>0</v>
      </c>
      <c r="BC249" s="95">
        <v>0</v>
      </c>
      <c r="BD249" s="95">
        <v>0</v>
      </c>
      <c r="BE249" s="95">
        <v>0</v>
      </c>
    </row>
    <row r="250" spans="2:57" ht="15" customHeight="1" x14ac:dyDescent="0.25">
      <c r="B250" s="91">
        <v>240</v>
      </c>
      <c r="C250" s="92" t="s">
        <v>504</v>
      </c>
      <c r="D250" s="92" t="s">
        <v>43</v>
      </c>
      <c r="E250" s="92" t="s">
        <v>354</v>
      </c>
      <c r="F250" s="92" t="s">
        <v>62</v>
      </c>
      <c r="G250" s="101" t="s">
        <v>502</v>
      </c>
      <c r="H250" s="94">
        <v>2379</v>
      </c>
      <c r="I250" s="94">
        <v>1295</v>
      </c>
      <c r="J250" s="94">
        <v>1084</v>
      </c>
      <c r="K250" s="94">
        <v>131</v>
      </c>
      <c r="L250" s="94">
        <v>564</v>
      </c>
      <c r="M250" s="94">
        <v>1162</v>
      </c>
      <c r="N250" s="94">
        <v>522</v>
      </c>
      <c r="O250" s="94">
        <v>2377</v>
      </c>
      <c r="P250" s="94">
        <v>2</v>
      </c>
      <c r="Q250" s="95">
        <v>0.17241379310344801</v>
      </c>
      <c r="R250" s="95">
        <v>0.158102766798419</v>
      </c>
      <c r="S250" s="95">
        <v>0.18957345971563999</v>
      </c>
      <c r="T250" s="95">
        <v>0</v>
      </c>
      <c r="U250" s="95">
        <v>0</v>
      </c>
      <c r="V250" s="95">
        <v>0.35149384885764501</v>
      </c>
      <c r="W250" s="95">
        <v>0</v>
      </c>
      <c r="X250" s="95">
        <v>0.172562553925798</v>
      </c>
      <c r="Y250" s="95">
        <v>0</v>
      </c>
      <c r="Z250" s="94">
        <v>2217</v>
      </c>
      <c r="AA250" s="94">
        <v>1203</v>
      </c>
      <c r="AB250" s="94">
        <v>1014</v>
      </c>
      <c r="AC250" s="94">
        <v>71</v>
      </c>
      <c r="AD250" s="94">
        <v>454</v>
      </c>
      <c r="AE250" s="94">
        <v>1107</v>
      </c>
      <c r="AF250" s="94">
        <v>585</v>
      </c>
      <c r="AG250" s="94">
        <v>2026</v>
      </c>
      <c r="AH250" s="94">
        <v>178</v>
      </c>
      <c r="AI250" s="94">
        <v>13</v>
      </c>
      <c r="AJ250" s="94">
        <v>2206</v>
      </c>
      <c r="AK250" s="94">
        <v>2</v>
      </c>
      <c r="AL250" s="94">
        <v>9</v>
      </c>
      <c r="AM250" s="94">
        <v>141</v>
      </c>
      <c r="AN250" s="94">
        <v>2045</v>
      </c>
      <c r="AO250" s="94">
        <v>31</v>
      </c>
      <c r="AP250" s="95">
        <v>0.701262272089762</v>
      </c>
      <c r="AQ250" s="95">
        <v>0.258397932816538</v>
      </c>
      <c r="AR250" s="95">
        <v>1.22699386503067</v>
      </c>
      <c r="AS250" s="95">
        <v>0</v>
      </c>
      <c r="AT250" s="95">
        <v>1.16550116550117</v>
      </c>
      <c r="AU250" s="95">
        <v>0.74626865671641796</v>
      </c>
      <c r="AV250" s="95">
        <v>0.34965034965035002</v>
      </c>
      <c r="AW250" s="95">
        <v>0.458015267175573</v>
      </c>
      <c r="AX250" s="95">
        <v>3.0674846625766898</v>
      </c>
      <c r="AY250" s="95">
        <v>9.0909090909090899</v>
      </c>
      <c r="AZ250" s="95">
        <v>0.70455612963832803</v>
      </c>
      <c r="BA250" s="95">
        <v>0</v>
      </c>
      <c r="BB250" s="95">
        <v>0</v>
      </c>
      <c r="BC250" s="95">
        <v>0</v>
      </c>
      <c r="BD250" s="95">
        <v>0.76219512195121997</v>
      </c>
      <c r="BE250" s="95">
        <v>0</v>
      </c>
    </row>
    <row r="251" spans="2:57" ht="15" customHeight="1" x14ac:dyDescent="0.25">
      <c r="B251" s="96">
        <v>241</v>
      </c>
      <c r="C251" s="97" t="s">
        <v>504</v>
      </c>
      <c r="D251" s="104" t="s">
        <v>43</v>
      </c>
      <c r="E251" s="104" t="s">
        <v>354</v>
      </c>
      <c r="F251" s="104" t="s">
        <v>140</v>
      </c>
      <c r="G251" s="105" t="s">
        <v>140</v>
      </c>
      <c r="H251" s="106">
        <v>4862</v>
      </c>
      <c r="I251" s="106">
        <v>3124</v>
      </c>
      <c r="J251" s="106">
        <v>1738</v>
      </c>
      <c r="K251" s="106">
        <v>238</v>
      </c>
      <c r="L251" s="106">
        <v>1395</v>
      </c>
      <c r="M251" s="106">
        <v>2775</v>
      </c>
      <c r="N251" s="106">
        <v>454</v>
      </c>
      <c r="O251" s="106">
        <v>4847</v>
      </c>
      <c r="P251" s="106">
        <v>15</v>
      </c>
      <c r="Q251" s="107">
        <v>2.71668822768435</v>
      </c>
      <c r="R251" s="107">
        <v>0.80053368912608402</v>
      </c>
      <c r="S251" s="107">
        <v>6.2195121951219496</v>
      </c>
      <c r="T251" s="107">
        <v>3.3816425120772902</v>
      </c>
      <c r="U251" s="107">
        <v>3.7565740045078901</v>
      </c>
      <c r="V251" s="107">
        <v>2.1763602251407099</v>
      </c>
      <c r="W251" s="107">
        <v>2.5287356321839098</v>
      </c>
      <c r="X251" s="107">
        <v>2.72491349480969</v>
      </c>
      <c r="Y251" s="107">
        <v>0</v>
      </c>
      <c r="Z251" s="106">
        <v>4049</v>
      </c>
      <c r="AA251" s="106">
        <v>2581</v>
      </c>
      <c r="AB251" s="106">
        <v>1468</v>
      </c>
      <c r="AC251" s="106">
        <v>135</v>
      </c>
      <c r="AD251" s="106">
        <v>1007</v>
      </c>
      <c r="AE251" s="106">
        <v>2298</v>
      </c>
      <c r="AF251" s="106">
        <v>609</v>
      </c>
      <c r="AG251" s="106">
        <v>1695</v>
      </c>
      <c r="AH251" s="106">
        <v>2316</v>
      </c>
      <c r="AI251" s="106">
        <v>38</v>
      </c>
      <c r="AJ251" s="106">
        <v>4007</v>
      </c>
      <c r="AK251" s="106">
        <v>25</v>
      </c>
      <c r="AL251" s="106">
        <v>17</v>
      </c>
      <c r="AM251" s="106">
        <v>295</v>
      </c>
      <c r="AN251" s="106">
        <v>3710</v>
      </c>
      <c r="AO251" s="106">
        <v>44</v>
      </c>
      <c r="AP251" s="107">
        <v>6.9539925965097797</v>
      </c>
      <c r="AQ251" s="107">
        <v>1.58597662771285</v>
      </c>
      <c r="AR251" s="107">
        <v>16.2337662337662</v>
      </c>
      <c r="AS251" s="107">
        <v>9.7560975609756095</v>
      </c>
      <c r="AT251" s="107">
        <v>8.0173347778981601</v>
      </c>
      <c r="AU251" s="107">
        <v>6.8645640074211496</v>
      </c>
      <c r="AV251" s="107">
        <v>5</v>
      </c>
      <c r="AW251" s="107">
        <v>6.8125</v>
      </c>
      <c r="AX251" s="107">
        <v>7.11959050721266</v>
      </c>
      <c r="AY251" s="107">
        <v>3.0303030303030298</v>
      </c>
      <c r="AZ251" s="107">
        <v>6.9978632478632496</v>
      </c>
      <c r="BA251" s="107">
        <v>0</v>
      </c>
      <c r="BB251" s="107">
        <v>5.8823529411764701</v>
      </c>
      <c r="BC251" s="107">
        <v>4.7272727272727302</v>
      </c>
      <c r="BD251" s="107">
        <v>7.0727482678983797</v>
      </c>
      <c r="BE251" s="107">
        <v>11.6279069767442</v>
      </c>
    </row>
    <row r="252" spans="2:57" ht="15" customHeight="1" x14ac:dyDescent="0.25">
      <c r="B252" s="91">
        <v>242</v>
      </c>
      <c r="C252" s="92" t="s">
        <v>504</v>
      </c>
      <c r="D252" s="92" t="s">
        <v>43</v>
      </c>
      <c r="E252" s="92" t="s">
        <v>354</v>
      </c>
      <c r="F252" s="92" t="s">
        <v>140</v>
      </c>
      <c r="G252" s="101" t="s">
        <v>501</v>
      </c>
      <c r="H252" s="94">
        <v>1240</v>
      </c>
      <c r="I252" s="94">
        <v>735</v>
      </c>
      <c r="J252" s="94">
        <v>505</v>
      </c>
      <c r="K252" s="94">
        <v>57</v>
      </c>
      <c r="L252" s="94">
        <v>391</v>
      </c>
      <c r="M252" s="94">
        <v>662</v>
      </c>
      <c r="N252" s="94">
        <v>130</v>
      </c>
      <c r="O252" s="94">
        <v>1240</v>
      </c>
      <c r="P252" s="94">
        <v>0</v>
      </c>
      <c r="Q252" s="95">
        <v>3.2121724429416698</v>
      </c>
      <c r="R252" s="95">
        <v>1.8518518518518501</v>
      </c>
      <c r="S252" s="95">
        <v>5.1975051975052002</v>
      </c>
      <c r="T252" s="95">
        <v>1.9607843137254899</v>
      </c>
      <c r="U252" s="95">
        <v>4.2780748663101598</v>
      </c>
      <c r="V252" s="95">
        <v>2.36593059936909</v>
      </c>
      <c r="W252" s="95">
        <v>4.8387096774193497</v>
      </c>
      <c r="X252" s="95">
        <v>3.2121724429416698</v>
      </c>
      <c r="Y252" s="95">
        <v>0</v>
      </c>
      <c r="Z252" s="94">
        <v>1222</v>
      </c>
      <c r="AA252" s="94">
        <v>726</v>
      </c>
      <c r="AB252" s="94">
        <v>496</v>
      </c>
      <c r="AC252" s="94">
        <v>43</v>
      </c>
      <c r="AD252" s="94">
        <v>312</v>
      </c>
      <c r="AE252" s="94">
        <v>694</v>
      </c>
      <c r="AF252" s="94">
        <v>173</v>
      </c>
      <c r="AG252" s="94">
        <v>393</v>
      </c>
      <c r="AH252" s="94">
        <v>807</v>
      </c>
      <c r="AI252" s="94">
        <v>22</v>
      </c>
      <c r="AJ252" s="94">
        <v>1205</v>
      </c>
      <c r="AK252" s="94">
        <v>15</v>
      </c>
      <c r="AL252" s="94">
        <v>2</v>
      </c>
      <c r="AM252" s="94">
        <v>84</v>
      </c>
      <c r="AN252" s="94">
        <v>1116</v>
      </c>
      <c r="AO252" s="94">
        <v>22</v>
      </c>
      <c r="AP252" s="95">
        <v>7.4336283185840699</v>
      </c>
      <c r="AQ252" s="95">
        <v>1.6417910447761199</v>
      </c>
      <c r="AR252" s="95">
        <v>15.869565217391299</v>
      </c>
      <c r="AS252" s="95">
        <v>2.6315789473684199</v>
      </c>
      <c r="AT252" s="95">
        <v>10.071942446043201</v>
      </c>
      <c r="AU252" s="95">
        <v>7.5734157650695497</v>
      </c>
      <c r="AV252" s="95">
        <v>3.59281437125748</v>
      </c>
      <c r="AW252" s="95">
        <v>5.6910569105691096</v>
      </c>
      <c r="AX252" s="95">
        <v>8.3783783783783807</v>
      </c>
      <c r="AY252" s="95">
        <v>4.7619047619047601</v>
      </c>
      <c r="AZ252" s="95">
        <v>7.5268817204301097</v>
      </c>
      <c r="BA252" s="95">
        <v>0</v>
      </c>
      <c r="BB252" s="95">
        <v>0</v>
      </c>
      <c r="BC252" s="95">
        <v>5.1948051948051903</v>
      </c>
      <c r="BD252" s="95">
        <v>7.4612403100775202</v>
      </c>
      <c r="BE252" s="95">
        <v>14.285714285714301</v>
      </c>
    </row>
    <row r="253" spans="2:57" ht="15" customHeight="1" x14ac:dyDescent="0.25">
      <c r="B253" s="91">
        <v>243</v>
      </c>
      <c r="C253" s="92" t="s">
        <v>504</v>
      </c>
      <c r="D253" s="92" t="s">
        <v>43</v>
      </c>
      <c r="E253" s="92" t="s">
        <v>354</v>
      </c>
      <c r="F253" s="92" t="s">
        <v>140</v>
      </c>
      <c r="G253" s="101" t="s">
        <v>502</v>
      </c>
      <c r="H253" s="94">
        <v>3622</v>
      </c>
      <c r="I253" s="94">
        <v>2389</v>
      </c>
      <c r="J253" s="94">
        <v>1233</v>
      </c>
      <c r="K253" s="94">
        <v>181</v>
      </c>
      <c r="L253" s="94">
        <v>1004</v>
      </c>
      <c r="M253" s="94">
        <v>2113</v>
      </c>
      <c r="N253" s="94">
        <v>324</v>
      </c>
      <c r="O253" s="94">
        <v>3607</v>
      </c>
      <c r="P253" s="94">
        <v>15</v>
      </c>
      <c r="Q253" s="95">
        <v>2.54703328509407</v>
      </c>
      <c r="R253" s="95">
        <v>0.47909407665505199</v>
      </c>
      <c r="S253" s="95">
        <v>6.64365832614323</v>
      </c>
      <c r="T253" s="95">
        <v>3.8461538461538498</v>
      </c>
      <c r="U253" s="95">
        <v>3.5527690700104499</v>
      </c>
      <c r="V253" s="95">
        <v>2.1171836533727202</v>
      </c>
      <c r="W253" s="95">
        <v>1.6077170418006399</v>
      </c>
      <c r="X253" s="95">
        <v>2.5573961057832002</v>
      </c>
      <c r="Y253" s="95">
        <v>0</v>
      </c>
      <c r="Z253" s="94">
        <v>2827</v>
      </c>
      <c r="AA253" s="94">
        <v>1855</v>
      </c>
      <c r="AB253" s="94">
        <v>972</v>
      </c>
      <c r="AC253" s="94">
        <v>92</v>
      </c>
      <c r="AD253" s="94">
        <v>695</v>
      </c>
      <c r="AE253" s="94">
        <v>1604</v>
      </c>
      <c r="AF253" s="94">
        <v>436</v>
      </c>
      <c r="AG253" s="94">
        <v>1302</v>
      </c>
      <c r="AH253" s="94">
        <v>1509</v>
      </c>
      <c r="AI253" s="94">
        <v>16</v>
      </c>
      <c r="AJ253" s="94">
        <v>2802</v>
      </c>
      <c r="AK253" s="94">
        <v>10</v>
      </c>
      <c r="AL253" s="94">
        <v>15</v>
      </c>
      <c r="AM253" s="94">
        <v>211</v>
      </c>
      <c r="AN253" s="94">
        <v>2594</v>
      </c>
      <c r="AO253" s="94">
        <v>22</v>
      </c>
      <c r="AP253" s="95">
        <v>6.7496229260935099</v>
      </c>
      <c r="AQ253" s="95">
        <v>1.56431054461182</v>
      </c>
      <c r="AR253" s="95">
        <v>16.414686825054002</v>
      </c>
      <c r="AS253" s="95">
        <v>12.9411764705882</v>
      </c>
      <c r="AT253" s="95">
        <v>7.1317829457364299</v>
      </c>
      <c r="AU253" s="95">
        <v>6.5606361829025897</v>
      </c>
      <c r="AV253" s="95">
        <v>5.5690072639225203</v>
      </c>
      <c r="AW253" s="95">
        <v>7.1486596263200699</v>
      </c>
      <c r="AX253" s="95">
        <v>6.4584811923349896</v>
      </c>
      <c r="AY253" s="95">
        <v>0</v>
      </c>
      <c r="AZ253" s="95">
        <v>6.7732115677321199</v>
      </c>
      <c r="BA253" s="95">
        <v>0</v>
      </c>
      <c r="BB253" s="95">
        <v>6.6666666666666696</v>
      </c>
      <c r="BC253" s="95">
        <v>4.5454545454545503</v>
      </c>
      <c r="BD253" s="95">
        <v>6.9078947368421098</v>
      </c>
      <c r="BE253" s="95">
        <v>9.0909090909090899</v>
      </c>
    </row>
    <row r="254" spans="2:57" ht="15" customHeight="1" x14ac:dyDescent="0.25">
      <c r="B254" s="96">
        <v>244</v>
      </c>
      <c r="C254" s="97" t="s">
        <v>504</v>
      </c>
      <c r="D254" s="104" t="s">
        <v>43</v>
      </c>
      <c r="E254" s="104" t="s">
        <v>354</v>
      </c>
      <c r="F254" s="104" t="s">
        <v>167</v>
      </c>
      <c r="G254" s="105" t="s">
        <v>167</v>
      </c>
      <c r="H254" s="106">
        <v>6585</v>
      </c>
      <c r="I254" s="106">
        <v>4457</v>
      </c>
      <c r="J254" s="106">
        <v>2128</v>
      </c>
      <c r="K254" s="106">
        <v>438</v>
      </c>
      <c r="L254" s="106">
        <v>2147</v>
      </c>
      <c r="M254" s="106">
        <v>3454</v>
      </c>
      <c r="N254" s="106">
        <v>546</v>
      </c>
      <c r="O254" s="106">
        <v>6574</v>
      </c>
      <c r="P254" s="106">
        <v>11</v>
      </c>
      <c r="Q254" s="107">
        <v>1.3722957701001</v>
      </c>
      <c r="R254" s="107">
        <v>0.45173561578697102</v>
      </c>
      <c r="S254" s="107">
        <v>3.3199195171026199</v>
      </c>
      <c r="T254" s="107">
        <v>3.5</v>
      </c>
      <c r="U254" s="107">
        <v>2.2066198595787401</v>
      </c>
      <c r="V254" s="107">
        <v>0.73014907210222102</v>
      </c>
      <c r="W254" s="107">
        <v>0.58479532163742698</v>
      </c>
      <c r="X254" s="107">
        <v>1.3581244947453499</v>
      </c>
      <c r="Y254" s="107">
        <v>11.1111111111111</v>
      </c>
      <c r="Z254" s="106">
        <v>11124</v>
      </c>
      <c r="AA254" s="106">
        <v>6932</v>
      </c>
      <c r="AB254" s="106">
        <v>4192</v>
      </c>
      <c r="AC254" s="106">
        <v>454</v>
      </c>
      <c r="AD254" s="106">
        <v>3758</v>
      </c>
      <c r="AE254" s="106">
        <v>5987</v>
      </c>
      <c r="AF254" s="106">
        <v>925</v>
      </c>
      <c r="AG254" s="106">
        <v>6095</v>
      </c>
      <c r="AH254" s="106">
        <v>4885</v>
      </c>
      <c r="AI254" s="106">
        <v>144</v>
      </c>
      <c r="AJ254" s="106">
        <v>10923</v>
      </c>
      <c r="AK254" s="106">
        <v>161</v>
      </c>
      <c r="AL254" s="106">
        <v>40</v>
      </c>
      <c r="AM254" s="106">
        <v>541</v>
      </c>
      <c r="AN254" s="106">
        <v>10440</v>
      </c>
      <c r="AO254" s="106">
        <v>143</v>
      </c>
      <c r="AP254" s="107">
        <v>6.1753371868978801</v>
      </c>
      <c r="AQ254" s="107">
        <v>1.9711314604997701</v>
      </c>
      <c r="AR254" s="107">
        <v>13.055626111252201</v>
      </c>
      <c r="AS254" s="107">
        <v>12.348668280871699</v>
      </c>
      <c r="AT254" s="107">
        <v>6.9432440218957101</v>
      </c>
      <c r="AU254" s="107">
        <v>5.6781772872908496</v>
      </c>
      <c r="AV254" s="107">
        <v>3.4168564920273301</v>
      </c>
      <c r="AW254" s="107">
        <v>5.0659630606860198</v>
      </c>
      <c r="AX254" s="107">
        <v>7.6265614727153199</v>
      </c>
      <c r="AY254" s="107">
        <v>3.7878787878787898</v>
      </c>
      <c r="AZ254" s="107">
        <v>6.2261005980978501</v>
      </c>
      <c r="BA254" s="107">
        <v>2.7972027972028002</v>
      </c>
      <c r="BB254" s="107">
        <v>5.2631578947368398</v>
      </c>
      <c r="BC254" s="107">
        <v>4.9115913555992101</v>
      </c>
      <c r="BD254" s="107">
        <v>6.2467945430300498</v>
      </c>
      <c r="BE254" s="107">
        <v>5.7377049180327901</v>
      </c>
    </row>
    <row r="255" spans="2:57" ht="15" customHeight="1" x14ac:dyDescent="0.25">
      <c r="B255" s="91">
        <v>245</v>
      </c>
      <c r="C255" s="92" t="s">
        <v>504</v>
      </c>
      <c r="D255" s="92" t="s">
        <v>43</v>
      </c>
      <c r="E255" s="92" t="s">
        <v>354</v>
      </c>
      <c r="F255" s="92" t="s">
        <v>167</v>
      </c>
      <c r="G255" s="101" t="s">
        <v>501</v>
      </c>
      <c r="H255" s="94">
        <v>2600</v>
      </c>
      <c r="I255" s="94">
        <v>1571</v>
      </c>
      <c r="J255" s="94">
        <v>1029</v>
      </c>
      <c r="K255" s="94">
        <v>199</v>
      </c>
      <c r="L255" s="94">
        <v>874</v>
      </c>
      <c r="M255" s="94">
        <v>1348</v>
      </c>
      <c r="N255" s="94">
        <v>179</v>
      </c>
      <c r="O255" s="94">
        <v>2595</v>
      </c>
      <c r="P255" s="94">
        <v>5</v>
      </c>
      <c r="Q255" s="95">
        <v>2.06728820429672</v>
      </c>
      <c r="R255" s="95">
        <v>0.53050397877984101</v>
      </c>
      <c r="S255" s="95">
        <v>4.4838373305526602</v>
      </c>
      <c r="T255" s="95">
        <v>5.5555555555555598</v>
      </c>
      <c r="U255" s="95">
        <v>3.3694344163658201</v>
      </c>
      <c r="V255" s="95">
        <v>0.93023255813953498</v>
      </c>
      <c r="W255" s="95">
        <v>0.60240963855421703</v>
      </c>
      <c r="X255" s="95">
        <v>2.0714865962631999</v>
      </c>
      <c r="Y255" s="95">
        <v>0</v>
      </c>
      <c r="Z255" s="94">
        <v>5216</v>
      </c>
      <c r="AA255" s="94">
        <v>3004</v>
      </c>
      <c r="AB255" s="94">
        <v>2212</v>
      </c>
      <c r="AC255" s="94">
        <v>246</v>
      </c>
      <c r="AD255" s="94">
        <v>1727</v>
      </c>
      <c r="AE255" s="94">
        <v>2816</v>
      </c>
      <c r="AF255" s="94">
        <v>427</v>
      </c>
      <c r="AG255" s="94">
        <v>2217</v>
      </c>
      <c r="AH255" s="94">
        <v>2906</v>
      </c>
      <c r="AI255" s="94">
        <v>93</v>
      </c>
      <c r="AJ255" s="94">
        <v>5142</v>
      </c>
      <c r="AK255" s="94">
        <v>49</v>
      </c>
      <c r="AL255" s="94">
        <v>25</v>
      </c>
      <c r="AM255" s="94">
        <v>283</v>
      </c>
      <c r="AN255" s="94">
        <v>4886</v>
      </c>
      <c r="AO255" s="94">
        <v>47</v>
      </c>
      <c r="AP255" s="95">
        <v>8.6432366162648098</v>
      </c>
      <c r="AQ255" s="95">
        <v>3.0442477876106202</v>
      </c>
      <c r="AR255" s="95">
        <v>16.288061865635601</v>
      </c>
      <c r="AS255" s="95">
        <v>15.3508771929825</v>
      </c>
      <c r="AT255" s="95">
        <v>9.6794081381011097</v>
      </c>
      <c r="AU255" s="95">
        <v>7.9833522512296602</v>
      </c>
      <c r="AV255" s="95">
        <v>4.9875311720698301</v>
      </c>
      <c r="AW255" s="95">
        <v>7.6849642004773298</v>
      </c>
      <c r="AX255" s="95">
        <v>9.4659300184162092</v>
      </c>
      <c r="AY255" s="95">
        <v>5.9523809523809499</v>
      </c>
      <c r="AZ255" s="95">
        <v>8.6821384169084102</v>
      </c>
      <c r="BA255" s="95">
        <v>6.6666666666666696</v>
      </c>
      <c r="BB255" s="95">
        <v>4.3478260869565197</v>
      </c>
      <c r="BC255" s="95">
        <v>6.2962962962963003</v>
      </c>
      <c r="BD255" s="95">
        <v>8.7933667903120192</v>
      </c>
      <c r="BE255" s="95">
        <v>7.3170731707317103</v>
      </c>
    </row>
    <row r="256" spans="2:57" ht="15" customHeight="1" x14ac:dyDescent="0.25">
      <c r="B256" s="91">
        <v>246</v>
      </c>
      <c r="C256" s="92" t="s">
        <v>504</v>
      </c>
      <c r="D256" s="92" t="s">
        <v>43</v>
      </c>
      <c r="E256" s="92" t="s">
        <v>354</v>
      </c>
      <c r="F256" s="92" t="s">
        <v>167</v>
      </c>
      <c r="G256" s="101" t="s">
        <v>502</v>
      </c>
      <c r="H256" s="94">
        <v>3985</v>
      </c>
      <c r="I256" s="94">
        <v>2886</v>
      </c>
      <c r="J256" s="94">
        <v>1099</v>
      </c>
      <c r="K256" s="94">
        <v>239</v>
      </c>
      <c r="L256" s="94">
        <v>1273</v>
      </c>
      <c r="M256" s="94">
        <v>2106</v>
      </c>
      <c r="N256" s="94">
        <v>367</v>
      </c>
      <c r="O256" s="94">
        <v>3979</v>
      </c>
      <c r="P256" s="94">
        <v>6</v>
      </c>
      <c r="Q256" s="95">
        <v>0.91226187281996296</v>
      </c>
      <c r="R256" s="95">
        <v>0.40770941438102298</v>
      </c>
      <c r="S256" s="95">
        <v>2.2351797862001899</v>
      </c>
      <c r="T256" s="95">
        <v>1.8181818181818199</v>
      </c>
      <c r="U256" s="95">
        <v>1.3757523645743801</v>
      </c>
      <c r="V256" s="95">
        <v>0.60090135202804196</v>
      </c>
      <c r="W256" s="95">
        <v>0.57636887608069198</v>
      </c>
      <c r="X256" s="95">
        <v>0.88638195004028997</v>
      </c>
      <c r="Y256" s="95">
        <v>25</v>
      </c>
      <c r="Z256" s="94">
        <v>5908</v>
      </c>
      <c r="AA256" s="94">
        <v>3928</v>
      </c>
      <c r="AB256" s="94">
        <v>1980</v>
      </c>
      <c r="AC256" s="94">
        <v>208</v>
      </c>
      <c r="AD256" s="94">
        <v>2031</v>
      </c>
      <c r="AE256" s="94">
        <v>3171</v>
      </c>
      <c r="AF256" s="94">
        <v>498</v>
      </c>
      <c r="AG256" s="94">
        <v>3878</v>
      </c>
      <c r="AH256" s="94">
        <v>1979</v>
      </c>
      <c r="AI256" s="94">
        <v>51</v>
      </c>
      <c r="AJ256" s="94">
        <v>5781</v>
      </c>
      <c r="AK256" s="94">
        <v>112</v>
      </c>
      <c r="AL256" s="94">
        <v>15</v>
      </c>
      <c r="AM256" s="94">
        <v>258</v>
      </c>
      <c r="AN256" s="94">
        <v>5554</v>
      </c>
      <c r="AO256" s="94">
        <v>96</v>
      </c>
      <c r="AP256" s="95">
        <v>3.9737513671163001</v>
      </c>
      <c r="AQ256" s="95">
        <v>1.13322277501382</v>
      </c>
      <c r="AR256" s="95">
        <v>9.4753747323340498</v>
      </c>
      <c r="AS256" s="95">
        <v>8.6486486486486491</v>
      </c>
      <c r="AT256" s="95">
        <v>4.5429962141698201</v>
      </c>
      <c r="AU256" s="95">
        <v>3.6302521008403401</v>
      </c>
      <c r="AV256" s="95">
        <v>2.0964360587002102</v>
      </c>
      <c r="AW256" s="95">
        <v>3.5376044568245102</v>
      </c>
      <c r="AX256" s="95">
        <v>4.9242424242424203</v>
      </c>
      <c r="AY256" s="95">
        <v>0</v>
      </c>
      <c r="AZ256" s="95">
        <v>4.0201005025125598</v>
      </c>
      <c r="BA256" s="95">
        <v>1.0204081632653099</v>
      </c>
      <c r="BB256" s="95">
        <v>6.6666666666666696</v>
      </c>
      <c r="BC256" s="95">
        <v>3.3472803347280302</v>
      </c>
      <c r="BD256" s="95">
        <v>3.9876113046844801</v>
      </c>
      <c r="BE256" s="95">
        <v>4.9382716049382704</v>
      </c>
    </row>
    <row r="257" spans="2:57" ht="15" customHeight="1" x14ac:dyDescent="0.25">
      <c r="B257" s="96">
        <v>247</v>
      </c>
      <c r="C257" s="97" t="s">
        <v>504</v>
      </c>
      <c r="D257" s="104" t="s">
        <v>43</v>
      </c>
      <c r="E257" s="104" t="s">
        <v>354</v>
      </c>
      <c r="F257" s="104" t="s">
        <v>200</v>
      </c>
      <c r="G257" s="105" t="s">
        <v>200</v>
      </c>
      <c r="H257" s="106">
        <v>5228</v>
      </c>
      <c r="I257" s="106">
        <v>3297</v>
      </c>
      <c r="J257" s="106">
        <v>1931</v>
      </c>
      <c r="K257" s="106">
        <v>441</v>
      </c>
      <c r="L257" s="106">
        <v>1657</v>
      </c>
      <c r="M257" s="106">
        <v>2594</v>
      </c>
      <c r="N257" s="106">
        <v>536</v>
      </c>
      <c r="O257" s="106">
        <v>5214</v>
      </c>
      <c r="P257" s="106">
        <v>14</v>
      </c>
      <c r="Q257" s="107">
        <v>0.76320546294436598</v>
      </c>
      <c r="R257" s="107">
        <v>0.414540816326531</v>
      </c>
      <c r="S257" s="107">
        <v>1.3564839934888799</v>
      </c>
      <c r="T257" s="107">
        <v>0.970873786407767</v>
      </c>
      <c r="U257" s="107">
        <v>0.89743589743589702</v>
      </c>
      <c r="V257" s="107">
        <v>0.68300522298111699</v>
      </c>
      <c r="W257" s="107">
        <v>0.57915057915057899</v>
      </c>
      <c r="X257" s="107">
        <v>0.76520338300443003</v>
      </c>
      <c r="Y257" s="107">
        <v>0</v>
      </c>
      <c r="Z257" s="106">
        <v>7632</v>
      </c>
      <c r="AA257" s="106">
        <v>4579</v>
      </c>
      <c r="AB257" s="106">
        <v>3053</v>
      </c>
      <c r="AC257" s="106">
        <v>418</v>
      </c>
      <c r="AD257" s="106">
        <v>2364</v>
      </c>
      <c r="AE257" s="106">
        <v>4010</v>
      </c>
      <c r="AF257" s="106">
        <v>840</v>
      </c>
      <c r="AG257" s="106">
        <v>4895</v>
      </c>
      <c r="AH257" s="106">
        <v>2650</v>
      </c>
      <c r="AI257" s="106">
        <v>87</v>
      </c>
      <c r="AJ257" s="106">
        <v>7439</v>
      </c>
      <c r="AK257" s="106">
        <v>162</v>
      </c>
      <c r="AL257" s="106">
        <v>31</v>
      </c>
      <c r="AM257" s="106">
        <v>325</v>
      </c>
      <c r="AN257" s="106">
        <v>7247</v>
      </c>
      <c r="AO257" s="106">
        <v>60</v>
      </c>
      <c r="AP257" s="107">
        <v>3.2670652022799902</v>
      </c>
      <c r="AQ257" s="107">
        <v>1.39567341242149</v>
      </c>
      <c r="AR257" s="107">
        <v>6.0469937802349696</v>
      </c>
      <c r="AS257" s="107">
        <v>4.8969072164948502</v>
      </c>
      <c r="AT257" s="107">
        <v>3.4904805077062599</v>
      </c>
      <c r="AU257" s="107">
        <v>3.3262935586061202</v>
      </c>
      <c r="AV257" s="107">
        <v>1.6029593094944501</v>
      </c>
      <c r="AW257" s="107">
        <v>3.0159414045670001</v>
      </c>
      <c r="AX257" s="107">
        <v>3.8056680161943301</v>
      </c>
      <c r="AY257" s="107">
        <v>1.2345679012345701</v>
      </c>
      <c r="AZ257" s="107">
        <v>3.24232081911263</v>
      </c>
      <c r="BA257" s="107">
        <v>5.1470588235294104</v>
      </c>
      <c r="BB257" s="107">
        <v>0</v>
      </c>
      <c r="BC257" s="107">
        <v>1.26182965299685</v>
      </c>
      <c r="BD257" s="107">
        <v>3.3431085043988298</v>
      </c>
      <c r="BE257" s="107">
        <v>5.3571428571428603</v>
      </c>
    </row>
    <row r="258" spans="2:57" ht="15" customHeight="1" x14ac:dyDescent="0.25">
      <c r="B258" s="91">
        <v>248</v>
      </c>
      <c r="C258" s="92" t="s">
        <v>504</v>
      </c>
      <c r="D258" s="92" t="s">
        <v>43</v>
      </c>
      <c r="E258" s="92" t="s">
        <v>354</v>
      </c>
      <c r="F258" s="92" t="s">
        <v>200</v>
      </c>
      <c r="G258" s="101" t="s">
        <v>501</v>
      </c>
      <c r="H258" s="94">
        <v>0</v>
      </c>
      <c r="I258" s="94">
        <v>0</v>
      </c>
      <c r="J258" s="94">
        <v>0</v>
      </c>
      <c r="K258" s="94">
        <v>0</v>
      </c>
      <c r="L258" s="94">
        <v>0</v>
      </c>
      <c r="M258" s="94">
        <v>0</v>
      </c>
      <c r="N258" s="94">
        <v>0</v>
      </c>
      <c r="O258" s="94">
        <v>0</v>
      </c>
      <c r="P258" s="94">
        <v>0</v>
      </c>
      <c r="Q258" s="95">
        <v>0</v>
      </c>
      <c r="R258" s="95">
        <v>0</v>
      </c>
      <c r="S258" s="95">
        <v>0</v>
      </c>
      <c r="T258" s="95">
        <v>0</v>
      </c>
      <c r="U258" s="95">
        <v>0</v>
      </c>
      <c r="V258" s="95">
        <v>0</v>
      </c>
      <c r="W258" s="95">
        <v>0</v>
      </c>
      <c r="X258" s="95">
        <v>0</v>
      </c>
      <c r="Y258" s="95">
        <v>0</v>
      </c>
      <c r="Z258" s="94">
        <v>1536</v>
      </c>
      <c r="AA258" s="94">
        <v>841</v>
      </c>
      <c r="AB258" s="94">
        <v>695</v>
      </c>
      <c r="AC258" s="94">
        <v>103</v>
      </c>
      <c r="AD258" s="94">
        <v>512</v>
      </c>
      <c r="AE258" s="94">
        <v>795</v>
      </c>
      <c r="AF258" s="94">
        <v>126</v>
      </c>
      <c r="AG258" s="94">
        <v>775</v>
      </c>
      <c r="AH258" s="94">
        <v>728</v>
      </c>
      <c r="AI258" s="94">
        <v>33</v>
      </c>
      <c r="AJ258" s="94">
        <v>1491</v>
      </c>
      <c r="AK258" s="94">
        <v>37</v>
      </c>
      <c r="AL258" s="94">
        <v>8</v>
      </c>
      <c r="AM258" s="94">
        <v>70</v>
      </c>
      <c r="AN258" s="94">
        <v>1447</v>
      </c>
      <c r="AO258" s="94">
        <v>19</v>
      </c>
      <c r="AP258" s="95">
        <v>7.0212765957446797</v>
      </c>
      <c r="AQ258" s="95">
        <v>4.4098573281452698</v>
      </c>
      <c r="AR258" s="95">
        <v>10.1721439749609</v>
      </c>
      <c r="AS258" s="95">
        <v>10.752688172042999</v>
      </c>
      <c r="AT258" s="95">
        <v>5.4585152838427904</v>
      </c>
      <c r="AU258" s="95">
        <v>7.5778078484438396</v>
      </c>
      <c r="AV258" s="95">
        <v>6.6666666666666696</v>
      </c>
      <c r="AW258" s="95">
        <v>8.3682008368200798</v>
      </c>
      <c r="AX258" s="95">
        <v>5.7228915662650603</v>
      </c>
      <c r="AY258" s="95">
        <v>3.4482758620689702</v>
      </c>
      <c r="AZ258" s="95">
        <v>6.8313953488372103</v>
      </c>
      <c r="BA258" s="95">
        <v>17.241379310344801</v>
      </c>
      <c r="BB258" s="95">
        <v>0</v>
      </c>
      <c r="BC258" s="95">
        <v>2.9411764705882399</v>
      </c>
      <c r="BD258" s="95">
        <v>7.2452830188679203</v>
      </c>
      <c r="BE258" s="95">
        <v>5.8823529411764701</v>
      </c>
    </row>
    <row r="259" spans="2:57" ht="15" customHeight="1" x14ac:dyDescent="0.25">
      <c r="B259" s="91">
        <v>249</v>
      </c>
      <c r="C259" s="92" t="s">
        <v>504</v>
      </c>
      <c r="D259" s="92" t="s">
        <v>43</v>
      </c>
      <c r="E259" s="92" t="s">
        <v>354</v>
      </c>
      <c r="F259" s="92" t="s">
        <v>200</v>
      </c>
      <c r="G259" s="101" t="s">
        <v>502</v>
      </c>
      <c r="H259" s="94">
        <v>5228</v>
      </c>
      <c r="I259" s="94">
        <v>3297</v>
      </c>
      <c r="J259" s="94">
        <v>1931</v>
      </c>
      <c r="K259" s="94">
        <v>441</v>
      </c>
      <c r="L259" s="94">
        <v>1657</v>
      </c>
      <c r="M259" s="94">
        <v>2594</v>
      </c>
      <c r="N259" s="94">
        <v>536</v>
      </c>
      <c r="O259" s="94">
        <v>5214</v>
      </c>
      <c r="P259" s="94">
        <v>14</v>
      </c>
      <c r="Q259" s="95">
        <v>0.76320546294436598</v>
      </c>
      <c r="R259" s="95">
        <v>0.414540816326531</v>
      </c>
      <c r="S259" s="95">
        <v>1.3564839934888799</v>
      </c>
      <c r="T259" s="95">
        <v>0.970873786407767</v>
      </c>
      <c r="U259" s="95">
        <v>0.89743589743589702</v>
      </c>
      <c r="V259" s="95">
        <v>0.68300522298111699</v>
      </c>
      <c r="W259" s="95">
        <v>0.57915057915057899</v>
      </c>
      <c r="X259" s="95">
        <v>0.76520338300443003</v>
      </c>
      <c r="Y259" s="95">
        <v>0</v>
      </c>
      <c r="Z259" s="94">
        <v>6096</v>
      </c>
      <c r="AA259" s="94">
        <v>3738</v>
      </c>
      <c r="AB259" s="94">
        <v>2358</v>
      </c>
      <c r="AC259" s="94">
        <v>315</v>
      </c>
      <c r="AD259" s="94">
        <v>1852</v>
      </c>
      <c r="AE259" s="94">
        <v>3215</v>
      </c>
      <c r="AF259" s="94">
        <v>714</v>
      </c>
      <c r="AG259" s="94">
        <v>4120</v>
      </c>
      <c r="AH259" s="94">
        <v>1922</v>
      </c>
      <c r="AI259" s="94">
        <v>54</v>
      </c>
      <c r="AJ259" s="94">
        <v>5948</v>
      </c>
      <c r="AK259" s="94">
        <v>125</v>
      </c>
      <c r="AL259" s="94">
        <v>23</v>
      </c>
      <c r="AM259" s="94">
        <v>255</v>
      </c>
      <c r="AN259" s="94">
        <v>5800</v>
      </c>
      <c r="AO259" s="94">
        <v>41</v>
      </c>
      <c r="AP259" s="95">
        <v>2.3517205602628399</v>
      </c>
      <c r="AQ259" s="95">
        <v>0.73696145124716494</v>
      </c>
      <c r="AR259" s="95">
        <v>4.8780487804878003</v>
      </c>
      <c r="AS259" s="95">
        <v>3.0508474576271198</v>
      </c>
      <c r="AT259" s="95">
        <v>2.97482837528604</v>
      </c>
      <c r="AU259" s="95">
        <v>2.2958346999016102</v>
      </c>
      <c r="AV259" s="95">
        <v>0.72358900144717797</v>
      </c>
      <c r="AW259" s="95">
        <v>2.0382165605095501</v>
      </c>
      <c r="AX259" s="95">
        <v>3.1007751937984498</v>
      </c>
      <c r="AY259" s="95">
        <v>0</v>
      </c>
      <c r="AZ259" s="95">
        <v>2.3691654879773698</v>
      </c>
      <c r="BA259" s="95">
        <v>1.86915887850467</v>
      </c>
      <c r="BB259" s="95">
        <v>0</v>
      </c>
      <c r="BC259" s="95">
        <v>0.80321285140562204</v>
      </c>
      <c r="BD259" s="95">
        <v>2.4021838034576901</v>
      </c>
      <c r="BE259" s="95">
        <v>5.1282051282051304</v>
      </c>
    </row>
    <row r="260" spans="2:57" ht="15" customHeight="1" x14ac:dyDescent="0.25">
      <c r="B260" s="86">
        <v>250</v>
      </c>
      <c r="C260" s="87" t="s">
        <v>503</v>
      </c>
      <c r="D260" s="103" t="s">
        <v>43</v>
      </c>
      <c r="E260" s="103" t="s">
        <v>355</v>
      </c>
      <c r="F260" s="103"/>
      <c r="G260" s="88" t="s">
        <v>355</v>
      </c>
      <c r="H260" s="89">
        <v>12410</v>
      </c>
      <c r="I260" s="89">
        <v>7728</v>
      </c>
      <c r="J260" s="89">
        <v>4682</v>
      </c>
      <c r="K260" s="89">
        <v>887</v>
      </c>
      <c r="L260" s="89">
        <v>3851</v>
      </c>
      <c r="M260" s="89">
        <v>6039</v>
      </c>
      <c r="N260" s="89">
        <v>1633</v>
      </c>
      <c r="O260" s="89">
        <v>12372</v>
      </c>
      <c r="P260" s="89">
        <v>38</v>
      </c>
      <c r="Q260" s="90">
        <v>0.55913978494623695</v>
      </c>
      <c r="R260" s="90">
        <v>0.38684719535783402</v>
      </c>
      <c r="S260" s="90">
        <v>0.84340095737405996</v>
      </c>
      <c r="T260" s="90">
        <v>0.63451776649746205</v>
      </c>
      <c r="U260" s="90">
        <v>0.59088351153629703</v>
      </c>
      <c r="V260" s="90">
        <v>0.62827225130890096</v>
      </c>
      <c r="W260" s="90">
        <v>0.19317450096587299</v>
      </c>
      <c r="X260" s="90">
        <v>0.56087669341617097</v>
      </c>
      <c r="Y260" s="90">
        <v>0</v>
      </c>
      <c r="Z260" s="89">
        <v>14856</v>
      </c>
      <c r="AA260" s="89">
        <v>8910</v>
      </c>
      <c r="AB260" s="89">
        <v>5946</v>
      </c>
      <c r="AC260" s="89">
        <v>910</v>
      </c>
      <c r="AD260" s="89">
        <v>4361</v>
      </c>
      <c r="AE260" s="89">
        <v>7483</v>
      </c>
      <c r="AF260" s="89">
        <v>2102</v>
      </c>
      <c r="AG260" s="89">
        <v>11627</v>
      </c>
      <c r="AH260" s="89">
        <v>3092</v>
      </c>
      <c r="AI260" s="89">
        <v>137</v>
      </c>
      <c r="AJ260" s="89">
        <v>14666</v>
      </c>
      <c r="AK260" s="89">
        <v>144</v>
      </c>
      <c r="AL260" s="89">
        <v>46</v>
      </c>
      <c r="AM260" s="89">
        <v>1194</v>
      </c>
      <c r="AN260" s="89">
        <v>13455</v>
      </c>
      <c r="AO260" s="89">
        <v>207</v>
      </c>
      <c r="AP260" s="90">
        <v>2.2613424932016599</v>
      </c>
      <c r="AQ260" s="90">
        <v>0.742426056759669</v>
      </c>
      <c r="AR260" s="90">
        <v>4.5171616574782103</v>
      </c>
      <c r="AS260" s="90">
        <v>4.0914560770156401</v>
      </c>
      <c r="AT260" s="90">
        <v>2.5201612903225801</v>
      </c>
      <c r="AU260" s="90">
        <v>2.27336514173449</v>
      </c>
      <c r="AV260" s="90">
        <v>0.97608589555880898</v>
      </c>
      <c r="AW260" s="90">
        <v>1.72240955071539</v>
      </c>
      <c r="AX260" s="90">
        <v>4.3841336116910199</v>
      </c>
      <c r="AY260" s="90">
        <v>0.78740157480314998</v>
      </c>
      <c r="AZ260" s="90">
        <v>2.2750326039704398</v>
      </c>
      <c r="BA260" s="90">
        <v>0.75757575757575801</v>
      </c>
      <c r="BB260" s="90">
        <v>2.5</v>
      </c>
      <c r="BC260" s="90">
        <v>0.94909404659189001</v>
      </c>
      <c r="BD260" s="90">
        <v>2.3856701276056098</v>
      </c>
      <c r="BE260" s="90">
        <v>2.0202020202020199</v>
      </c>
    </row>
    <row r="261" spans="2:57" ht="15" customHeight="1" x14ac:dyDescent="0.25">
      <c r="B261" s="91">
        <v>251</v>
      </c>
      <c r="C261" s="92" t="s">
        <v>503</v>
      </c>
      <c r="D261" s="92" t="s">
        <v>43</v>
      </c>
      <c r="E261" s="92" t="s">
        <v>355</v>
      </c>
      <c r="F261" s="92"/>
      <c r="G261" s="93" t="s">
        <v>501</v>
      </c>
      <c r="H261" s="94">
        <v>2628</v>
      </c>
      <c r="I261" s="94">
        <v>1574</v>
      </c>
      <c r="J261" s="94">
        <v>1054</v>
      </c>
      <c r="K261" s="94">
        <v>185</v>
      </c>
      <c r="L261" s="94">
        <v>841</v>
      </c>
      <c r="M261" s="94">
        <v>1306</v>
      </c>
      <c r="N261" s="94">
        <v>296</v>
      </c>
      <c r="O261" s="94">
        <v>2624</v>
      </c>
      <c r="P261" s="94">
        <v>4</v>
      </c>
      <c r="Q261" s="95">
        <v>1.64812525751957</v>
      </c>
      <c r="R261" s="95">
        <v>1.1675824175824201</v>
      </c>
      <c r="S261" s="95">
        <v>2.3686920700309</v>
      </c>
      <c r="T261" s="95">
        <v>1.8518518518518501</v>
      </c>
      <c r="U261" s="95">
        <v>1.4285714285714299</v>
      </c>
      <c r="V261" s="95">
        <v>1.88370188370188</v>
      </c>
      <c r="W261" s="95">
        <v>1.09489051094891</v>
      </c>
      <c r="X261" s="95">
        <v>1.65084605860504</v>
      </c>
      <c r="Y261" s="95">
        <v>0</v>
      </c>
      <c r="Z261" s="94">
        <v>2607</v>
      </c>
      <c r="AA261" s="94">
        <v>1440</v>
      </c>
      <c r="AB261" s="94">
        <v>1167</v>
      </c>
      <c r="AC261" s="94">
        <v>146</v>
      </c>
      <c r="AD261" s="94">
        <v>751</v>
      </c>
      <c r="AE261" s="94">
        <v>1312</v>
      </c>
      <c r="AF261" s="94">
        <v>398</v>
      </c>
      <c r="AG261" s="94">
        <v>1312</v>
      </c>
      <c r="AH261" s="94">
        <v>1273</v>
      </c>
      <c r="AI261" s="94">
        <v>22</v>
      </c>
      <c r="AJ261" s="94">
        <v>2589</v>
      </c>
      <c r="AK261" s="94">
        <v>12</v>
      </c>
      <c r="AL261" s="94">
        <v>6</v>
      </c>
      <c r="AM261" s="94">
        <v>201</v>
      </c>
      <c r="AN261" s="94">
        <v>2371</v>
      </c>
      <c r="AO261" s="94">
        <v>35</v>
      </c>
      <c r="AP261" s="95">
        <v>6.2807881773399004</v>
      </c>
      <c r="AQ261" s="95">
        <v>2.0879940343027599</v>
      </c>
      <c r="AR261" s="95">
        <v>11.415525114155299</v>
      </c>
      <c r="AS261" s="95">
        <v>13.953488372093</v>
      </c>
      <c r="AT261" s="95">
        <v>6.5088757396449699</v>
      </c>
      <c r="AU261" s="95">
        <v>6.2751407884151202</v>
      </c>
      <c r="AV261" s="95">
        <v>3.3505154639175299</v>
      </c>
      <c r="AW261" s="95">
        <v>5.3322395406070502</v>
      </c>
      <c r="AX261" s="95">
        <v>7.3578595317725801</v>
      </c>
      <c r="AY261" s="95">
        <v>0</v>
      </c>
      <c r="AZ261" s="95">
        <v>6.2422488631666004</v>
      </c>
      <c r="BA261" s="95">
        <v>9.0909090909090899</v>
      </c>
      <c r="BB261" s="95">
        <v>16.6666666666667</v>
      </c>
      <c r="BC261" s="95">
        <v>4.1025641025641004</v>
      </c>
      <c r="BD261" s="95">
        <v>6.4793837788853601</v>
      </c>
      <c r="BE261" s="95">
        <v>5.8823529411764701</v>
      </c>
    </row>
    <row r="262" spans="2:57" ht="15" customHeight="1" x14ac:dyDescent="0.25">
      <c r="B262" s="91">
        <v>252</v>
      </c>
      <c r="C262" s="92" t="s">
        <v>503</v>
      </c>
      <c r="D262" s="92" t="s">
        <v>43</v>
      </c>
      <c r="E262" s="92" t="s">
        <v>355</v>
      </c>
      <c r="F262" s="92"/>
      <c r="G262" s="93" t="s">
        <v>502</v>
      </c>
      <c r="H262" s="94">
        <v>9782</v>
      </c>
      <c r="I262" s="94">
        <v>6154</v>
      </c>
      <c r="J262" s="94">
        <v>3628</v>
      </c>
      <c r="K262" s="94">
        <v>702</v>
      </c>
      <c r="L262" s="94">
        <v>3010</v>
      </c>
      <c r="M262" s="94">
        <v>4733</v>
      </c>
      <c r="N262" s="94">
        <v>1337</v>
      </c>
      <c r="O262" s="94">
        <v>9748</v>
      </c>
      <c r="P262" s="94">
        <v>34</v>
      </c>
      <c r="Q262" s="95">
        <v>0.271798217003696</v>
      </c>
      <c r="R262" s="95">
        <v>0.19024558976132799</v>
      </c>
      <c r="S262" s="95">
        <v>0.409836065573771</v>
      </c>
      <c r="T262" s="95">
        <v>0.31948881789137401</v>
      </c>
      <c r="U262" s="95">
        <v>0.359195402298851</v>
      </c>
      <c r="V262" s="95">
        <v>0.28831226436016899</v>
      </c>
      <c r="W262" s="95">
        <v>0</v>
      </c>
      <c r="X262" s="95">
        <v>0.27274710888064602</v>
      </c>
      <c r="Y262" s="95">
        <v>0</v>
      </c>
      <c r="Z262" s="94">
        <v>12249</v>
      </c>
      <c r="AA262" s="94">
        <v>7470</v>
      </c>
      <c r="AB262" s="94">
        <v>4779</v>
      </c>
      <c r="AC262" s="94">
        <v>764</v>
      </c>
      <c r="AD262" s="94">
        <v>3610</v>
      </c>
      <c r="AE262" s="94">
        <v>6171</v>
      </c>
      <c r="AF262" s="94">
        <v>1704</v>
      </c>
      <c r="AG262" s="94">
        <v>10315</v>
      </c>
      <c r="AH262" s="94">
        <v>1819</v>
      </c>
      <c r="AI262" s="94">
        <v>115</v>
      </c>
      <c r="AJ262" s="94">
        <v>12077</v>
      </c>
      <c r="AK262" s="94">
        <v>132</v>
      </c>
      <c r="AL262" s="94">
        <v>40</v>
      </c>
      <c r="AM262" s="94">
        <v>993</v>
      </c>
      <c r="AN262" s="94">
        <v>11084</v>
      </c>
      <c r="AO262" s="94">
        <v>172</v>
      </c>
      <c r="AP262" s="95">
        <v>1.41272317559369</v>
      </c>
      <c r="AQ262" s="95">
        <v>0.48502139800285299</v>
      </c>
      <c r="AR262" s="95">
        <v>2.8489399293286199</v>
      </c>
      <c r="AS262" s="95">
        <v>2.2792022792022801</v>
      </c>
      <c r="AT262" s="95">
        <v>1.7010935601458099</v>
      </c>
      <c r="AU262" s="95">
        <v>1.4278429372768999</v>
      </c>
      <c r="AV262" s="95">
        <v>0.42143287176399802</v>
      </c>
      <c r="AW262" s="95">
        <v>1.2712733237646101</v>
      </c>
      <c r="AX262" s="95">
        <v>2.2646007151370702</v>
      </c>
      <c r="AY262" s="95">
        <v>0.94339622641509402</v>
      </c>
      <c r="AZ262" s="95">
        <v>1.43195994026179</v>
      </c>
      <c r="BA262" s="95">
        <v>0</v>
      </c>
      <c r="BB262" s="95">
        <v>0</v>
      </c>
      <c r="BC262" s="95">
        <v>0.31120331950207503</v>
      </c>
      <c r="BD262" s="95">
        <v>1.51777137367915</v>
      </c>
      <c r="BE262" s="95">
        <v>1.2195121951219501</v>
      </c>
    </row>
    <row r="263" spans="2:57" ht="15" customHeight="1" x14ac:dyDescent="0.25">
      <c r="B263" s="96">
        <v>253</v>
      </c>
      <c r="C263" s="97" t="s">
        <v>504</v>
      </c>
      <c r="D263" s="104" t="s">
        <v>43</v>
      </c>
      <c r="E263" s="104" t="s">
        <v>355</v>
      </c>
      <c r="F263" s="104" t="s">
        <v>241</v>
      </c>
      <c r="G263" s="105" t="s">
        <v>241</v>
      </c>
      <c r="H263" s="106">
        <v>8948</v>
      </c>
      <c r="I263" s="106">
        <v>5431</v>
      </c>
      <c r="J263" s="106">
        <v>3517</v>
      </c>
      <c r="K263" s="106">
        <v>648</v>
      </c>
      <c r="L263" s="106">
        <v>2563</v>
      </c>
      <c r="M263" s="106">
        <v>4472</v>
      </c>
      <c r="N263" s="106">
        <v>1265</v>
      </c>
      <c r="O263" s="106">
        <v>8936</v>
      </c>
      <c r="P263" s="106">
        <v>12</v>
      </c>
      <c r="Q263" s="107">
        <v>0.65429455151082605</v>
      </c>
      <c r="R263" s="107">
        <v>0.48904538341158099</v>
      </c>
      <c r="S263" s="107">
        <v>0.91074681238615696</v>
      </c>
      <c r="T263" s="107">
        <v>0.696864111498258</v>
      </c>
      <c r="U263" s="107">
        <v>0.76013513513513498</v>
      </c>
      <c r="V263" s="107">
        <v>0.70488721804511301</v>
      </c>
      <c r="W263" s="107">
        <v>0.24834437086092701</v>
      </c>
      <c r="X263" s="107">
        <v>0.65522992613771702</v>
      </c>
      <c r="Y263" s="107">
        <v>0</v>
      </c>
      <c r="Z263" s="106">
        <v>9616</v>
      </c>
      <c r="AA263" s="106">
        <v>5555</v>
      </c>
      <c r="AB263" s="106">
        <v>4061</v>
      </c>
      <c r="AC263" s="106">
        <v>659</v>
      </c>
      <c r="AD263" s="106">
        <v>2599</v>
      </c>
      <c r="AE263" s="106">
        <v>4769</v>
      </c>
      <c r="AF263" s="106">
        <v>1589</v>
      </c>
      <c r="AG263" s="106">
        <v>7319</v>
      </c>
      <c r="AH263" s="106">
        <v>2202</v>
      </c>
      <c r="AI263" s="106">
        <v>95</v>
      </c>
      <c r="AJ263" s="106">
        <v>9554</v>
      </c>
      <c r="AK263" s="106">
        <v>36</v>
      </c>
      <c r="AL263" s="106">
        <v>26</v>
      </c>
      <c r="AM263" s="106">
        <v>925</v>
      </c>
      <c r="AN263" s="106">
        <v>8536</v>
      </c>
      <c r="AO263" s="106">
        <v>155</v>
      </c>
      <c r="AP263" s="107">
        <v>2.5244831338411302</v>
      </c>
      <c r="AQ263" s="107">
        <v>0.88262910798122096</v>
      </c>
      <c r="AR263" s="107">
        <v>4.7865459249676601</v>
      </c>
      <c r="AS263" s="107">
        <v>4.5454545454545503</v>
      </c>
      <c r="AT263" s="107">
        <v>2.7640264026402601</v>
      </c>
      <c r="AU263" s="107">
        <v>2.6739130434782599</v>
      </c>
      <c r="AV263" s="107">
        <v>0.90322580645161299</v>
      </c>
      <c r="AW263" s="107">
        <v>1.7961511047754799</v>
      </c>
      <c r="AX263" s="107">
        <v>5.0408065290446498</v>
      </c>
      <c r="AY263" s="107">
        <v>1.0869565217391299</v>
      </c>
      <c r="AZ263" s="107">
        <v>2.5194435316025898</v>
      </c>
      <c r="BA263" s="107">
        <v>2.8571428571428599</v>
      </c>
      <c r="BB263" s="107">
        <v>3.8461538461538498</v>
      </c>
      <c r="BC263" s="107">
        <v>1.22086570477248</v>
      </c>
      <c r="BD263" s="107">
        <v>2.6671583087512301</v>
      </c>
      <c r="BE263" s="107">
        <v>2.6143790849673199</v>
      </c>
    </row>
    <row r="264" spans="2:57" ht="15" customHeight="1" x14ac:dyDescent="0.25">
      <c r="B264" s="91">
        <v>254</v>
      </c>
      <c r="C264" s="92" t="s">
        <v>504</v>
      </c>
      <c r="D264" s="92" t="s">
        <v>43</v>
      </c>
      <c r="E264" s="92" t="s">
        <v>355</v>
      </c>
      <c r="F264" s="92" t="s">
        <v>241</v>
      </c>
      <c r="G264" s="101" t="s">
        <v>501</v>
      </c>
      <c r="H264" s="94">
        <v>2628</v>
      </c>
      <c r="I264" s="94">
        <v>1574</v>
      </c>
      <c r="J264" s="94">
        <v>1054</v>
      </c>
      <c r="K264" s="94">
        <v>185</v>
      </c>
      <c r="L264" s="94">
        <v>841</v>
      </c>
      <c r="M264" s="94">
        <v>1306</v>
      </c>
      <c r="N264" s="94">
        <v>296</v>
      </c>
      <c r="O264" s="94">
        <v>2624</v>
      </c>
      <c r="P264" s="94">
        <v>4</v>
      </c>
      <c r="Q264" s="95">
        <v>1.64812525751957</v>
      </c>
      <c r="R264" s="95">
        <v>1.1675824175824201</v>
      </c>
      <c r="S264" s="95">
        <v>2.3686920700309</v>
      </c>
      <c r="T264" s="95">
        <v>1.8518518518518501</v>
      </c>
      <c r="U264" s="95">
        <v>1.4285714285714299</v>
      </c>
      <c r="V264" s="95">
        <v>1.88370188370188</v>
      </c>
      <c r="W264" s="95">
        <v>1.09489051094891</v>
      </c>
      <c r="X264" s="95">
        <v>1.65084605860504</v>
      </c>
      <c r="Y264" s="95">
        <v>0</v>
      </c>
      <c r="Z264" s="94">
        <v>2607</v>
      </c>
      <c r="AA264" s="94">
        <v>1440</v>
      </c>
      <c r="AB264" s="94">
        <v>1167</v>
      </c>
      <c r="AC264" s="94">
        <v>146</v>
      </c>
      <c r="AD264" s="94">
        <v>751</v>
      </c>
      <c r="AE264" s="94">
        <v>1312</v>
      </c>
      <c r="AF264" s="94">
        <v>398</v>
      </c>
      <c r="AG264" s="94">
        <v>1312</v>
      </c>
      <c r="AH264" s="94">
        <v>1273</v>
      </c>
      <c r="AI264" s="94">
        <v>22</v>
      </c>
      <c r="AJ264" s="94">
        <v>2589</v>
      </c>
      <c r="AK264" s="94">
        <v>12</v>
      </c>
      <c r="AL264" s="94">
        <v>6</v>
      </c>
      <c r="AM264" s="94">
        <v>201</v>
      </c>
      <c r="AN264" s="94">
        <v>2371</v>
      </c>
      <c r="AO264" s="94">
        <v>35</v>
      </c>
      <c r="AP264" s="95">
        <v>6.2807881773399004</v>
      </c>
      <c r="AQ264" s="95">
        <v>2.0879940343027599</v>
      </c>
      <c r="AR264" s="95">
        <v>11.415525114155299</v>
      </c>
      <c r="AS264" s="95">
        <v>13.953488372093</v>
      </c>
      <c r="AT264" s="95">
        <v>6.5088757396449699</v>
      </c>
      <c r="AU264" s="95">
        <v>6.2751407884151202</v>
      </c>
      <c r="AV264" s="95">
        <v>3.3505154639175299</v>
      </c>
      <c r="AW264" s="95">
        <v>5.3322395406070502</v>
      </c>
      <c r="AX264" s="95">
        <v>7.3578595317725801</v>
      </c>
      <c r="AY264" s="95">
        <v>0</v>
      </c>
      <c r="AZ264" s="95">
        <v>6.2422488631666004</v>
      </c>
      <c r="BA264" s="95">
        <v>9.0909090909090899</v>
      </c>
      <c r="BB264" s="95">
        <v>16.6666666666667</v>
      </c>
      <c r="BC264" s="95">
        <v>4.1025641025641004</v>
      </c>
      <c r="BD264" s="95">
        <v>6.4793837788853601</v>
      </c>
      <c r="BE264" s="95">
        <v>5.8823529411764701</v>
      </c>
    </row>
    <row r="265" spans="2:57" ht="15" customHeight="1" x14ac:dyDescent="0.25">
      <c r="B265" s="91">
        <v>255</v>
      </c>
      <c r="C265" s="92" t="s">
        <v>504</v>
      </c>
      <c r="D265" s="92" t="s">
        <v>43</v>
      </c>
      <c r="E265" s="92" t="s">
        <v>355</v>
      </c>
      <c r="F265" s="92" t="s">
        <v>241</v>
      </c>
      <c r="G265" s="101" t="s">
        <v>502</v>
      </c>
      <c r="H265" s="94">
        <v>6320</v>
      </c>
      <c r="I265" s="94">
        <v>3857</v>
      </c>
      <c r="J265" s="94">
        <v>2463</v>
      </c>
      <c r="K265" s="94">
        <v>463</v>
      </c>
      <c r="L265" s="94">
        <v>1722</v>
      </c>
      <c r="M265" s="94">
        <v>3166</v>
      </c>
      <c r="N265" s="94">
        <v>969</v>
      </c>
      <c r="O265" s="94">
        <v>6312</v>
      </c>
      <c r="P265" s="94">
        <v>8</v>
      </c>
      <c r="Q265" s="95">
        <v>0.25087807325639699</v>
      </c>
      <c r="R265" s="95">
        <v>0.21881838074398199</v>
      </c>
      <c r="S265" s="95">
        <v>0.30133448127421403</v>
      </c>
      <c r="T265" s="95">
        <v>0.242718446601942</v>
      </c>
      <c r="U265" s="95">
        <v>0.43804755944931201</v>
      </c>
      <c r="V265" s="95">
        <v>0.230642504118616</v>
      </c>
      <c r="W265" s="95">
        <v>0</v>
      </c>
      <c r="X265" s="95">
        <v>0.25121420197621802</v>
      </c>
      <c r="Y265" s="95">
        <v>0</v>
      </c>
      <c r="Z265" s="94">
        <v>7009</v>
      </c>
      <c r="AA265" s="94">
        <v>4115</v>
      </c>
      <c r="AB265" s="94">
        <v>2894</v>
      </c>
      <c r="AC265" s="94">
        <v>513</v>
      </c>
      <c r="AD265" s="94">
        <v>1848</v>
      </c>
      <c r="AE265" s="94">
        <v>3457</v>
      </c>
      <c r="AF265" s="94">
        <v>1191</v>
      </c>
      <c r="AG265" s="94">
        <v>6007</v>
      </c>
      <c r="AH265" s="94">
        <v>929</v>
      </c>
      <c r="AI265" s="94">
        <v>73</v>
      </c>
      <c r="AJ265" s="94">
        <v>6965</v>
      </c>
      <c r="AK265" s="94">
        <v>24</v>
      </c>
      <c r="AL265" s="94">
        <v>20</v>
      </c>
      <c r="AM265" s="94">
        <v>724</v>
      </c>
      <c r="AN265" s="94">
        <v>6165</v>
      </c>
      <c r="AO265" s="94">
        <v>120</v>
      </c>
      <c r="AP265" s="95">
        <v>1.1696772283091501</v>
      </c>
      <c r="AQ265" s="95">
        <v>0.47690763052208801</v>
      </c>
      <c r="AR265" s="95">
        <v>2.16606498194946</v>
      </c>
      <c r="AS265" s="95">
        <v>2.0533880903490802</v>
      </c>
      <c r="AT265" s="95">
        <v>1.31578947368421</v>
      </c>
      <c r="AU265" s="95">
        <v>1.34048257372654</v>
      </c>
      <c r="AV265" s="95">
        <v>8.6058519793459604E-2</v>
      </c>
      <c r="AW265" s="95">
        <v>1.0524499654934401</v>
      </c>
      <c r="AX265" s="95">
        <v>1.9165727170236799</v>
      </c>
      <c r="AY265" s="95">
        <v>1.40845070422535</v>
      </c>
      <c r="AZ265" s="95">
        <v>1.1773472429210099</v>
      </c>
      <c r="BA265" s="95">
        <v>0</v>
      </c>
      <c r="BB265" s="95">
        <v>0</v>
      </c>
      <c r="BC265" s="95">
        <v>0.42492917847025502</v>
      </c>
      <c r="BD265" s="95">
        <v>1.24810254680385</v>
      </c>
      <c r="BE265" s="95">
        <v>1.6806722689075599</v>
      </c>
    </row>
    <row r="266" spans="2:57" ht="15" customHeight="1" x14ac:dyDescent="0.25">
      <c r="B266" s="96">
        <v>256</v>
      </c>
      <c r="C266" s="97" t="s">
        <v>504</v>
      </c>
      <c r="D266" s="104" t="s">
        <v>43</v>
      </c>
      <c r="E266" s="104" t="s">
        <v>355</v>
      </c>
      <c r="F266" s="104" t="s">
        <v>41</v>
      </c>
      <c r="G266" s="105" t="s">
        <v>41</v>
      </c>
      <c r="H266" s="106">
        <v>3462</v>
      </c>
      <c r="I266" s="106">
        <v>2297</v>
      </c>
      <c r="J266" s="106">
        <v>1165</v>
      </c>
      <c r="K266" s="106">
        <v>239</v>
      </c>
      <c r="L266" s="106">
        <v>1288</v>
      </c>
      <c r="M266" s="106">
        <v>1567</v>
      </c>
      <c r="N266" s="106">
        <v>368</v>
      </c>
      <c r="O266" s="106">
        <v>3436</v>
      </c>
      <c r="P266" s="106">
        <v>26</v>
      </c>
      <c r="Q266" s="107">
        <v>0.31065548306927598</v>
      </c>
      <c r="R266" s="107">
        <v>0.14111006585136401</v>
      </c>
      <c r="S266" s="107">
        <v>0.64043915827996301</v>
      </c>
      <c r="T266" s="107">
        <v>0.467289719626168</v>
      </c>
      <c r="U266" s="107">
        <v>0.25295109612141697</v>
      </c>
      <c r="V266" s="107">
        <v>0.40705563093622799</v>
      </c>
      <c r="W266" s="107">
        <v>0</v>
      </c>
      <c r="X266" s="107">
        <v>0.31298904538341199</v>
      </c>
      <c r="Y266" s="107">
        <v>0</v>
      </c>
      <c r="Z266" s="106">
        <v>5240</v>
      </c>
      <c r="AA266" s="106">
        <v>3355</v>
      </c>
      <c r="AB266" s="106">
        <v>1885</v>
      </c>
      <c r="AC266" s="106">
        <v>251</v>
      </c>
      <c r="AD266" s="106">
        <v>1762</v>
      </c>
      <c r="AE266" s="106">
        <v>2714</v>
      </c>
      <c r="AF266" s="106">
        <v>513</v>
      </c>
      <c r="AG266" s="106">
        <v>4308</v>
      </c>
      <c r="AH266" s="106">
        <v>890</v>
      </c>
      <c r="AI266" s="106">
        <v>42</v>
      </c>
      <c r="AJ266" s="106">
        <v>5112</v>
      </c>
      <c r="AK266" s="106">
        <v>108</v>
      </c>
      <c r="AL266" s="106">
        <v>20</v>
      </c>
      <c r="AM266" s="106">
        <v>269</v>
      </c>
      <c r="AN266" s="106">
        <v>4919</v>
      </c>
      <c r="AO266" s="106">
        <v>52</v>
      </c>
      <c r="AP266" s="107">
        <v>1.75585284280936</v>
      </c>
      <c r="AQ266" s="107">
        <v>0.49570389953734301</v>
      </c>
      <c r="AR266" s="107">
        <v>3.9249146757679201</v>
      </c>
      <c r="AS266" s="107">
        <v>2.7906976744185998</v>
      </c>
      <c r="AT266" s="107">
        <v>2.1373056994818702</v>
      </c>
      <c r="AU266" s="107">
        <v>1.54394299287411</v>
      </c>
      <c r="AV266" s="107">
        <v>1.2024048096192399</v>
      </c>
      <c r="AW266" s="107">
        <v>1.5917129863567501</v>
      </c>
      <c r="AX266" s="107">
        <v>2.65486725663717</v>
      </c>
      <c r="AY266" s="107">
        <v>0</v>
      </c>
      <c r="AZ266" s="107">
        <v>1.79756045367002</v>
      </c>
      <c r="BA266" s="107">
        <v>0</v>
      </c>
      <c r="BB266" s="107">
        <v>0</v>
      </c>
      <c r="BC266" s="107">
        <v>0</v>
      </c>
      <c r="BD266" s="107">
        <v>1.8745815666146</v>
      </c>
      <c r="BE266" s="107">
        <v>0</v>
      </c>
    </row>
    <row r="267" spans="2:57" ht="15" customHeight="1" x14ac:dyDescent="0.25">
      <c r="B267" s="91">
        <v>257</v>
      </c>
      <c r="C267" s="92" t="s">
        <v>504</v>
      </c>
      <c r="D267" s="92" t="s">
        <v>43</v>
      </c>
      <c r="E267" s="92" t="s">
        <v>355</v>
      </c>
      <c r="F267" s="92" t="s">
        <v>41</v>
      </c>
      <c r="G267" s="101" t="s">
        <v>501</v>
      </c>
      <c r="H267" s="94">
        <v>0</v>
      </c>
      <c r="I267" s="94">
        <v>0</v>
      </c>
      <c r="J267" s="94">
        <v>0</v>
      </c>
      <c r="K267" s="94">
        <v>0</v>
      </c>
      <c r="L267" s="94">
        <v>0</v>
      </c>
      <c r="M267" s="94">
        <v>0</v>
      </c>
      <c r="N267" s="94">
        <v>0</v>
      </c>
      <c r="O267" s="94">
        <v>0</v>
      </c>
      <c r="P267" s="94">
        <v>0</v>
      </c>
      <c r="Q267" s="95">
        <v>0</v>
      </c>
      <c r="R267" s="95">
        <v>0</v>
      </c>
      <c r="S267" s="95">
        <v>0</v>
      </c>
      <c r="T267" s="95">
        <v>0</v>
      </c>
      <c r="U267" s="95">
        <v>0</v>
      </c>
      <c r="V267" s="95">
        <v>0</v>
      </c>
      <c r="W267" s="95">
        <v>0</v>
      </c>
      <c r="X267" s="95">
        <v>0</v>
      </c>
      <c r="Y267" s="95">
        <v>0</v>
      </c>
      <c r="Z267" s="94">
        <v>0</v>
      </c>
      <c r="AA267" s="94">
        <v>0</v>
      </c>
      <c r="AB267" s="94">
        <v>0</v>
      </c>
      <c r="AC267" s="94">
        <v>0</v>
      </c>
      <c r="AD267" s="94">
        <v>0</v>
      </c>
      <c r="AE267" s="94">
        <v>0</v>
      </c>
      <c r="AF267" s="94">
        <v>0</v>
      </c>
      <c r="AG267" s="94">
        <v>0</v>
      </c>
      <c r="AH267" s="94">
        <v>0</v>
      </c>
      <c r="AI267" s="94">
        <v>0</v>
      </c>
      <c r="AJ267" s="94">
        <v>0</v>
      </c>
      <c r="AK267" s="94">
        <v>0</v>
      </c>
      <c r="AL267" s="94">
        <v>0</v>
      </c>
      <c r="AM267" s="94">
        <v>0</v>
      </c>
      <c r="AN267" s="94">
        <v>0</v>
      </c>
      <c r="AO267" s="94">
        <v>0</v>
      </c>
      <c r="AP267" s="95">
        <v>0</v>
      </c>
      <c r="AQ267" s="95">
        <v>0</v>
      </c>
      <c r="AR267" s="95">
        <v>0</v>
      </c>
      <c r="AS267" s="95">
        <v>0</v>
      </c>
      <c r="AT267" s="95">
        <v>0</v>
      </c>
      <c r="AU267" s="95">
        <v>0</v>
      </c>
      <c r="AV267" s="95">
        <v>0</v>
      </c>
      <c r="AW267" s="95">
        <v>0</v>
      </c>
      <c r="AX267" s="95">
        <v>0</v>
      </c>
      <c r="AY267" s="95">
        <v>0</v>
      </c>
      <c r="AZ267" s="95">
        <v>0</v>
      </c>
      <c r="BA267" s="95">
        <v>0</v>
      </c>
      <c r="BB267" s="95">
        <v>0</v>
      </c>
      <c r="BC267" s="95">
        <v>0</v>
      </c>
      <c r="BD267" s="95">
        <v>0</v>
      </c>
      <c r="BE267" s="95">
        <v>0</v>
      </c>
    </row>
    <row r="268" spans="2:57" ht="15" customHeight="1" x14ac:dyDescent="0.25">
      <c r="B268" s="91">
        <v>258</v>
      </c>
      <c r="C268" s="92" t="s">
        <v>504</v>
      </c>
      <c r="D268" s="92" t="s">
        <v>43</v>
      </c>
      <c r="E268" s="92" t="s">
        <v>355</v>
      </c>
      <c r="F268" s="92" t="s">
        <v>41</v>
      </c>
      <c r="G268" s="101" t="s">
        <v>502</v>
      </c>
      <c r="H268" s="94">
        <v>3462</v>
      </c>
      <c r="I268" s="94">
        <v>2297</v>
      </c>
      <c r="J268" s="94">
        <v>1165</v>
      </c>
      <c r="K268" s="94">
        <v>239</v>
      </c>
      <c r="L268" s="94">
        <v>1288</v>
      </c>
      <c r="M268" s="94">
        <v>1567</v>
      </c>
      <c r="N268" s="94">
        <v>368</v>
      </c>
      <c r="O268" s="94">
        <v>3436</v>
      </c>
      <c r="P268" s="94">
        <v>26</v>
      </c>
      <c r="Q268" s="95">
        <v>0.31065548306927598</v>
      </c>
      <c r="R268" s="95">
        <v>0.14111006585136401</v>
      </c>
      <c r="S268" s="95">
        <v>0.64043915827996301</v>
      </c>
      <c r="T268" s="95">
        <v>0.467289719626168</v>
      </c>
      <c r="U268" s="95">
        <v>0.25295109612141697</v>
      </c>
      <c r="V268" s="95">
        <v>0.40705563093622799</v>
      </c>
      <c r="W268" s="95">
        <v>0</v>
      </c>
      <c r="X268" s="95">
        <v>0.31298904538341199</v>
      </c>
      <c r="Y268" s="95">
        <v>0</v>
      </c>
      <c r="Z268" s="94">
        <v>5240</v>
      </c>
      <c r="AA268" s="94">
        <v>3355</v>
      </c>
      <c r="AB268" s="94">
        <v>1885</v>
      </c>
      <c r="AC268" s="94">
        <v>251</v>
      </c>
      <c r="AD268" s="94">
        <v>1762</v>
      </c>
      <c r="AE268" s="94">
        <v>2714</v>
      </c>
      <c r="AF268" s="94">
        <v>513</v>
      </c>
      <c r="AG268" s="94">
        <v>4308</v>
      </c>
      <c r="AH268" s="94">
        <v>890</v>
      </c>
      <c r="AI268" s="94">
        <v>42</v>
      </c>
      <c r="AJ268" s="94">
        <v>5112</v>
      </c>
      <c r="AK268" s="94">
        <v>108</v>
      </c>
      <c r="AL268" s="94">
        <v>20</v>
      </c>
      <c r="AM268" s="94">
        <v>269</v>
      </c>
      <c r="AN268" s="94">
        <v>4919</v>
      </c>
      <c r="AO268" s="94">
        <v>52</v>
      </c>
      <c r="AP268" s="95">
        <v>1.75585284280936</v>
      </c>
      <c r="AQ268" s="95">
        <v>0.49570389953734301</v>
      </c>
      <c r="AR268" s="95">
        <v>3.9249146757679201</v>
      </c>
      <c r="AS268" s="95">
        <v>2.7906976744185998</v>
      </c>
      <c r="AT268" s="95">
        <v>2.1373056994818702</v>
      </c>
      <c r="AU268" s="95">
        <v>1.54394299287411</v>
      </c>
      <c r="AV268" s="95">
        <v>1.2024048096192399</v>
      </c>
      <c r="AW268" s="95">
        <v>1.5917129863567501</v>
      </c>
      <c r="AX268" s="95">
        <v>2.65486725663717</v>
      </c>
      <c r="AY268" s="95">
        <v>0</v>
      </c>
      <c r="AZ268" s="95">
        <v>1.79756045367002</v>
      </c>
      <c r="BA268" s="95">
        <v>0</v>
      </c>
      <c r="BB268" s="95">
        <v>0</v>
      </c>
      <c r="BC268" s="95">
        <v>0</v>
      </c>
      <c r="BD268" s="95">
        <v>1.8745815666146</v>
      </c>
      <c r="BE268" s="95">
        <v>0</v>
      </c>
    </row>
    <row r="269" spans="2:57" ht="15" customHeight="1" x14ac:dyDescent="0.25">
      <c r="B269" s="86">
        <v>259</v>
      </c>
      <c r="C269" s="87" t="s">
        <v>503</v>
      </c>
      <c r="D269" s="103" t="s">
        <v>43</v>
      </c>
      <c r="E269" s="103" t="s">
        <v>14</v>
      </c>
      <c r="F269" s="103"/>
      <c r="G269" s="88" t="s">
        <v>14</v>
      </c>
      <c r="H269" s="89">
        <v>66963</v>
      </c>
      <c r="I269" s="89">
        <v>36345</v>
      </c>
      <c r="J269" s="89">
        <v>30618</v>
      </c>
      <c r="K269" s="89">
        <v>2882</v>
      </c>
      <c r="L269" s="89">
        <v>16220</v>
      </c>
      <c r="M269" s="89">
        <v>35651</v>
      </c>
      <c r="N269" s="89">
        <v>12210</v>
      </c>
      <c r="O269" s="89">
        <v>66830</v>
      </c>
      <c r="P269" s="89">
        <v>133</v>
      </c>
      <c r="Q269" s="90">
        <v>0.91596719114033098</v>
      </c>
      <c r="R269" s="90">
        <v>0.97365237659693704</v>
      </c>
      <c r="S269" s="90">
        <v>0.84801723838320597</v>
      </c>
      <c r="T269" s="90">
        <v>1.4758675708017599</v>
      </c>
      <c r="U269" s="90">
        <v>1.4423076923076901</v>
      </c>
      <c r="V269" s="90">
        <v>0.86793128131710795</v>
      </c>
      <c r="W269" s="90">
        <v>0.25740025740025702</v>
      </c>
      <c r="X269" s="90">
        <v>0.90817517547926996</v>
      </c>
      <c r="Y269" s="90">
        <v>4.8780487804878003</v>
      </c>
      <c r="Z269" s="89">
        <v>98797</v>
      </c>
      <c r="AA269" s="89">
        <v>51563</v>
      </c>
      <c r="AB269" s="89">
        <v>47234</v>
      </c>
      <c r="AC269" s="89">
        <v>4544</v>
      </c>
      <c r="AD269" s="89">
        <v>23800</v>
      </c>
      <c r="AE269" s="89">
        <v>52514</v>
      </c>
      <c r="AF269" s="89">
        <v>17939</v>
      </c>
      <c r="AG269" s="89">
        <v>77770</v>
      </c>
      <c r="AH269" s="89">
        <v>20561</v>
      </c>
      <c r="AI269" s="89">
        <v>466</v>
      </c>
      <c r="AJ269" s="89">
        <v>98109</v>
      </c>
      <c r="AK269" s="89">
        <v>442</v>
      </c>
      <c r="AL269" s="89">
        <v>246</v>
      </c>
      <c r="AM269" s="89">
        <v>6762</v>
      </c>
      <c r="AN269" s="89">
        <v>91142</v>
      </c>
      <c r="AO269" s="89">
        <v>893</v>
      </c>
      <c r="AP269" s="90">
        <v>3.9276913926416901</v>
      </c>
      <c r="AQ269" s="90">
        <v>2.1039326415363599</v>
      </c>
      <c r="AR269" s="90">
        <v>5.9111771357619602</v>
      </c>
      <c r="AS269" s="90">
        <v>6.0521415270018597</v>
      </c>
      <c r="AT269" s="90">
        <v>5.5812491580979797</v>
      </c>
      <c r="AU269" s="90">
        <v>3.7672324488007001</v>
      </c>
      <c r="AV269" s="90">
        <v>1.7482316406923899</v>
      </c>
      <c r="AW269" s="90">
        <v>3.4328077573934301</v>
      </c>
      <c r="AX269" s="90">
        <v>5.8432797093928404</v>
      </c>
      <c r="AY269" s="90">
        <v>3.7735849056603801</v>
      </c>
      <c r="AZ269" s="90">
        <v>3.9038268198250199</v>
      </c>
      <c r="BA269" s="90">
        <v>8.0760095011876505</v>
      </c>
      <c r="BB269" s="90">
        <v>6.0085836909871198</v>
      </c>
      <c r="BC269" s="90">
        <v>3.26988025790605</v>
      </c>
      <c r="BD269" s="90">
        <v>3.9912432307869601</v>
      </c>
      <c r="BE269" s="90">
        <v>2.4764150943396199</v>
      </c>
    </row>
    <row r="270" spans="2:57" ht="15" customHeight="1" x14ac:dyDescent="0.25">
      <c r="B270" s="91">
        <v>260</v>
      </c>
      <c r="C270" s="92" t="s">
        <v>503</v>
      </c>
      <c r="D270" s="92" t="s">
        <v>43</v>
      </c>
      <c r="E270" s="92" t="s">
        <v>14</v>
      </c>
      <c r="F270" s="92"/>
      <c r="G270" s="93" t="s">
        <v>501</v>
      </c>
      <c r="H270" s="94">
        <v>30298</v>
      </c>
      <c r="I270" s="94">
        <v>17188</v>
      </c>
      <c r="J270" s="94">
        <v>13110</v>
      </c>
      <c r="K270" s="94">
        <v>1163</v>
      </c>
      <c r="L270" s="94">
        <v>9233</v>
      </c>
      <c r="M270" s="94">
        <v>17566</v>
      </c>
      <c r="N270" s="94">
        <v>2336</v>
      </c>
      <c r="O270" s="94">
        <v>30194</v>
      </c>
      <c r="P270" s="94">
        <v>104</v>
      </c>
      <c r="Q270" s="95">
        <v>1.69631034606163</v>
      </c>
      <c r="R270" s="95">
        <v>1.72078125981285</v>
      </c>
      <c r="S270" s="95">
        <v>1.6638935108153099</v>
      </c>
      <c r="T270" s="95">
        <v>3.5246727089627399</v>
      </c>
      <c r="U270" s="95">
        <v>2.1808699774801501</v>
      </c>
      <c r="V270" s="95">
        <v>1.4238572476167199</v>
      </c>
      <c r="W270" s="95">
        <v>1.02373196835738</v>
      </c>
      <c r="X270" s="95">
        <v>1.68055156564206</v>
      </c>
      <c r="Y270" s="95">
        <v>6.3157894736842097</v>
      </c>
      <c r="Z270" s="94">
        <v>48246</v>
      </c>
      <c r="AA270" s="94">
        <v>25876</v>
      </c>
      <c r="AB270" s="94">
        <v>22370</v>
      </c>
      <c r="AC270" s="94">
        <v>1855</v>
      </c>
      <c r="AD270" s="94">
        <v>14234</v>
      </c>
      <c r="AE270" s="94">
        <v>27558</v>
      </c>
      <c r="AF270" s="94">
        <v>4599</v>
      </c>
      <c r="AG270" s="94">
        <v>32198</v>
      </c>
      <c r="AH270" s="94">
        <v>15813</v>
      </c>
      <c r="AI270" s="94">
        <v>235</v>
      </c>
      <c r="AJ270" s="94">
        <v>47822</v>
      </c>
      <c r="AK270" s="94">
        <v>311</v>
      </c>
      <c r="AL270" s="94">
        <v>113</v>
      </c>
      <c r="AM270" s="94">
        <v>2720</v>
      </c>
      <c r="AN270" s="94">
        <v>45182</v>
      </c>
      <c r="AO270" s="94">
        <v>344</v>
      </c>
      <c r="AP270" s="95">
        <v>6.1399657549282196</v>
      </c>
      <c r="AQ270" s="95">
        <v>3.2348111658456502</v>
      </c>
      <c r="AR270" s="95">
        <v>9.4790978578843106</v>
      </c>
      <c r="AS270" s="95">
        <v>11.9360365505425</v>
      </c>
      <c r="AT270" s="95">
        <v>7.4620095259696102</v>
      </c>
      <c r="AU270" s="95">
        <v>5.4132468028249701</v>
      </c>
      <c r="AV270" s="95">
        <v>4.1771285094727197</v>
      </c>
      <c r="AW270" s="95">
        <v>5.8796569108885004</v>
      </c>
      <c r="AX270" s="95">
        <v>6.6734279918864097</v>
      </c>
      <c r="AY270" s="95">
        <v>6.4220183486238502</v>
      </c>
      <c r="AZ270" s="95">
        <v>6.11738648947951</v>
      </c>
      <c r="BA270" s="95">
        <v>9.1216216216216193</v>
      </c>
      <c r="BB270" s="95">
        <v>7.4074074074074101</v>
      </c>
      <c r="BC270" s="95">
        <v>5.9050559629486701</v>
      </c>
      <c r="BD270" s="95">
        <v>6.1651384752479901</v>
      </c>
      <c r="BE270" s="95">
        <v>4.6875</v>
      </c>
    </row>
    <row r="271" spans="2:57" ht="15" customHeight="1" x14ac:dyDescent="0.25">
      <c r="B271" s="91">
        <v>261</v>
      </c>
      <c r="C271" s="92" t="s">
        <v>503</v>
      </c>
      <c r="D271" s="92" t="s">
        <v>43</v>
      </c>
      <c r="E271" s="92" t="s">
        <v>14</v>
      </c>
      <c r="F271" s="92"/>
      <c r="G271" s="93" t="s">
        <v>502</v>
      </c>
      <c r="H271" s="94">
        <v>36665</v>
      </c>
      <c r="I271" s="94">
        <v>19157</v>
      </c>
      <c r="J271" s="94">
        <v>17508</v>
      </c>
      <c r="K271" s="94">
        <v>1719</v>
      </c>
      <c r="L271" s="94">
        <v>6987</v>
      </c>
      <c r="M271" s="94">
        <v>18085</v>
      </c>
      <c r="N271" s="94">
        <v>9874</v>
      </c>
      <c r="O271" s="94">
        <v>36636</v>
      </c>
      <c r="P271" s="94">
        <v>29</v>
      </c>
      <c r="Q271" s="95">
        <v>0.28799354894450402</v>
      </c>
      <c r="R271" s="95">
        <v>0.311630495269894</v>
      </c>
      <c r="S271" s="95">
        <v>0.26263952724885098</v>
      </c>
      <c r="T271" s="95">
        <v>0.132100396301189</v>
      </c>
      <c r="U271" s="95">
        <v>0.48937146352653299</v>
      </c>
      <c r="V271" s="95">
        <v>0.33791656956420402</v>
      </c>
      <c r="W271" s="95">
        <v>8.4157374289922093E-2</v>
      </c>
      <c r="X271" s="95">
        <v>0.28822596915982102</v>
      </c>
      <c r="Y271" s="95">
        <v>0</v>
      </c>
      <c r="Z271" s="94">
        <v>50551</v>
      </c>
      <c r="AA271" s="94">
        <v>25687</v>
      </c>
      <c r="AB271" s="94">
        <v>24864</v>
      </c>
      <c r="AC271" s="94">
        <v>2689</v>
      </c>
      <c r="AD271" s="94">
        <v>9566</v>
      </c>
      <c r="AE271" s="94">
        <v>24956</v>
      </c>
      <c r="AF271" s="94">
        <v>13340</v>
      </c>
      <c r="AG271" s="94">
        <v>45572</v>
      </c>
      <c r="AH271" s="94">
        <v>4748</v>
      </c>
      <c r="AI271" s="94">
        <v>231</v>
      </c>
      <c r="AJ271" s="94">
        <v>50287</v>
      </c>
      <c r="AK271" s="94">
        <v>131</v>
      </c>
      <c r="AL271" s="94">
        <v>133</v>
      </c>
      <c r="AM271" s="94">
        <v>4042</v>
      </c>
      <c r="AN271" s="94">
        <v>45960</v>
      </c>
      <c r="AO271" s="94">
        <v>549</v>
      </c>
      <c r="AP271" s="95">
        <v>1.8539857607308901</v>
      </c>
      <c r="AQ271" s="95">
        <v>0.98821432910777196</v>
      </c>
      <c r="AR271" s="95">
        <v>2.7481490776759898</v>
      </c>
      <c r="AS271" s="95">
        <v>2.0039292730844802</v>
      </c>
      <c r="AT271" s="95">
        <v>2.8306059265811601</v>
      </c>
      <c r="AU271" s="95">
        <v>1.97075121869922</v>
      </c>
      <c r="AV271" s="95">
        <v>0.93019680196802002</v>
      </c>
      <c r="AW271" s="95">
        <v>1.7307341956640601</v>
      </c>
      <c r="AX271" s="95">
        <v>3.1026785714285698</v>
      </c>
      <c r="AY271" s="95">
        <v>0.970873786407767</v>
      </c>
      <c r="AZ271" s="95">
        <v>1.8366840407048901</v>
      </c>
      <c r="BA271" s="95">
        <v>5.6</v>
      </c>
      <c r="BB271" s="95">
        <v>4.8</v>
      </c>
      <c r="BC271" s="95">
        <v>1.5294417537598799</v>
      </c>
      <c r="BD271" s="95">
        <v>1.8914082497111899</v>
      </c>
      <c r="BE271" s="95">
        <v>1.13636363636364</v>
      </c>
    </row>
    <row r="272" spans="2:57" ht="15" customHeight="1" x14ac:dyDescent="0.25">
      <c r="B272" s="96">
        <v>262</v>
      </c>
      <c r="C272" s="97" t="s">
        <v>504</v>
      </c>
      <c r="D272" s="104" t="s">
        <v>43</v>
      </c>
      <c r="E272" s="104" t="s">
        <v>14</v>
      </c>
      <c r="F272" s="104" t="s">
        <v>244</v>
      </c>
      <c r="G272" s="105" t="s">
        <v>244</v>
      </c>
      <c r="H272" s="106">
        <v>37528</v>
      </c>
      <c r="I272" s="106">
        <v>20879</v>
      </c>
      <c r="J272" s="106">
        <v>16649</v>
      </c>
      <c r="K272" s="106">
        <v>1603</v>
      </c>
      <c r="L272" s="106">
        <v>10158</v>
      </c>
      <c r="M272" s="106">
        <v>21105</v>
      </c>
      <c r="N272" s="106">
        <v>4662</v>
      </c>
      <c r="O272" s="106">
        <v>37469</v>
      </c>
      <c r="P272" s="106">
        <v>59</v>
      </c>
      <c r="Q272" s="107">
        <v>1.0817169746355999</v>
      </c>
      <c r="R272" s="107">
        <v>0.96059494912978405</v>
      </c>
      <c r="S272" s="107">
        <v>1.23313319129705</v>
      </c>
      <c r="T272" s="107">
        <v>1.9957234497505301</v>
      </c>
      <c r="U272" s="107">
        <v>1.61429186396901</v>
      </c>
      <c r="V272" s="107">
        <v>0.92747453246160905</v>
      </c>
      <c r="W272" s="107">
        <v>0.36150022593764097</v>
      </c>
      <c r="X272" s="107">
        <v>1.0777100816185801</v>
      </c>
      <c r="Y272" s="107">
        <v>3.5714285714285698</v>
      </c>
      <c r="Z272" s="106">
        <v>59696</v>
      </c>
      <c r="AA272" s="106">
        <v>31793</v>
      </c>
      <c r="AB272" s="106">
        <v>27903</v>
      </c>
      <c r="AC272" s="106">
        <v>2486</v>
      </c>
      <c r="AD272" s="106">
        <v>16071</v>
      </c>
      <c r="AE272" s="106">
        <v>33192</v>
      </c>
      <c r="AF272" s="106">
        <v>7947</v>
      </c>
      <c r="AG272" s="106">
        <v>42435</v>
      </c>
      <c r="AH272" s="106">
        <v>16981</v>
      </c>
      <c r="AI272" s="106">
        <v>280</v>
      </c>
      <c r="AJ272" s="106">
        <v>59304</v>
      </c>
      <c r="AK272" s="106">
        <v>249</v>
      </c>
      <c r="AL272" s="106">
        <v>143</v>
      </c>
      <c r="AM272" s="106">
        <v>3947</v>
      </c>
      <c r="AN272" s="106">
        <v>55289</v>
      </c>
      <c r="AO272" s="106">
        <v>460</v>
      </c>
      <c r="AP272" s="107">
        <v>5.0563190705582297</v>
      </c>
      <c r="AQ272" s="107">
        <v>2.4640245734700001</v>
      </c>
      <c r="AR272" s="107">
        <v>7.9847621921321599</v>
      </c>
      <c r="AS272" s="107">
        <v>9.2924126172207995</v>
      </c>
      <c r="AT272" s="107">
        <v>6.8160535117056904</v>
      </c>
      <c r="AU272" s="107">
        <v>4.5182155426614701</v>
      </c>
      <c r="AV272" s="107">
        <v>2.5298204220736702</v>
      </c>
      <c r="AW272" s="107">
        <v>4.6200773732764597</v>
      </c>
      <c r="AX272" s="107">
        <v>6.1512308757791399</v>
      </c>
      <c r="AY272" s="107">
        <v>5.8365758754863801</v>
      </c>
      <c r="AZ272" s="107">
        <v>5.0383312533428404</v>
      </c>
      <c r="BA272" s="107">
        <v>8.4388185654008403</v>
      </c>
      <c r="BB272" s="107">
        <v>6.5693430656934302</v>
      </c>
      <c r="BC272" s="107">
        <v>4.21750663129973</v>
      </c>
      <c r="BD272" s="107">
        <v>5.1279107590455997</v>
      </c>
      <c r="BE272" s="107">
        <v>3.7122969837587001</v>
      </c>
    </row>
    <row r="273" spans="2:57" ht="15" customHeight="1" x14ac:dyDescent="0.25">
      <c r="B273" s="91">
        <v>263</v>
      </c>
      <c r="C273" s="92" t="s">
        <v>504</v>
      </c>
      <c r="D273" s="92" t="s">
        <v>43</v>
      </c>
      <c r="E273" s="92" t="s">
        <v>14</v>
      </c>
      <c r="F273" s="92" t="s">
        <v>244</v>
      </c>
      <c r="G273" s="101" t="s">
        <v>501</v>
      </c>
      <c r="H273" s="94">
        <v>27330</v>
      </c>
      <c r="I273" s="94">
        <v>15494</v>
      </c>
      <c r="J273" s="94">
        <v>11836</v>
      </c>
      <c r="K273" s="94">
        <v>1080</v>
      </c>
      <c r="L273" s="94">
        <v>8335</v>
      </c>
      <c r="M273" s="94">
        <v>15932</v>
      </c>
      <c r="N273" s="94">
        <v>1983</v>
      </c>
      <c r="O273" s="94">
        <v>27278</v>
      </c>
      <c r="P273" s="94">
        <v>52</v>
      </c>
      <c r="Q273" s="95">
        <v>1.4144775941994501</v>
      </c>
      <c r="R273" s="95">
        <v>1.19952576888207</v>
      </c>
      <c r="S273" s="95">
        <v>1.6972477064220199</v>
      </c>
      <c r="T273" s="95">
        <v>3.0042918454935599</v>
      </c>
      <c r="U273" s="95">
        <v>1.8761479926528499</v>
      </c>
      <c r="V273" s="95">
        <v>1.1516702586206899</v>
      </c>
      <c r="W273" s="95">
        <v>0.81654872074033702</v>
      </c>
      <c r="X273" s="95">
        <v>1.4092894005557799</v>
      </c>
      <c r="Y273" s="95">
        <v>4.0816326530612201</v>
      </c>
      <c r="Z273" s="94">
        <v>45683</v>
      </c>
      <c r="AA273" s="94">
        <v>24479</v>
      </c>
      <c r="AB273" s="94">
        <v>21204</v>
      </c>
      <c r="AC273" s="94">
        <v>1770</v>
      </c>
      <c r="AD273" s="94">
        <v>13635</v>
      </c>
      <c r="AE273" s="94">
        <v>25991</v>
      </c>
      <c r="AF273" s="94">
        <v>4287</v>
      </c>
      <c r="AG273" s="94">
        <v>30243</v>
      </c>
      <c r="AH273" s="94">
        <v>15211</v>
      </c>
      <c r="AI273" s="94">
        <v>229</v>
      </c>
      <c r="AJ273" s="94">
        <v>45367</v>
      </c>
      <c r="AK273" s="94">
        <v>209</v>
      </c>
      <c r="AL273" s="94">
        <v>107</v>
      </c>
      <c r="AM273" s="94">
        <v>2558</v>
      </c>
      <c r="AN273" s="94">
        <v>42809</v>
      </c>
      <c r="AO273" s="94">
        <v>316</v>
      </c>
      <c r="AP273" s="95">
        <v>5.9089433909777904</v>
      </c>
      <c r="AQ273" s="95">
        <v>2.89634808285206</v>
      </c>
      <c r="AR273" s="95">
        <v>9.3589934855039996</v>
      </c>
      <c r="AS273" s="95">
        <v>11.715481171548101</v>
      </c>
      <c r="AT273" s="95">
        <v>7.3407530191806796</v>
      </c>
      <c r="AU273" s="95">
        <v>5.1276862681614004</v>
      </c>
      <c r="AV273" s="95">
        <v>3.8169806704183999</v>
      </c>
      <c r="AW273" s="95">
        <v>5.6126537295753103</v>
      </c>
      <c r="AX273" s="95">
        <v>6.4969765152580496</v>
      </c>
      <c r="AY273" s="95">
        <v>6.5727699530516404</v>
      </c>
      <c r="AZ273" s="95">
        <v>5.8944370520811402</v>
      </c>
      <c r="BA273" s="95">
        <v>8.0402010050251196</v>
      </c>
      <c r="BB273" s="95">
        <v>7.8431372549019596</v>
      </c>
      <c r="BC273" s="95">
        <v>5.5350553505535096</v>
      </c>
      <c r="BD273" s="95">
        <v>5.94203974558864</v>
      </c>
      <c r="BE273" s="95">
        <v>4.4520547945205502</v>
      </c>
    </row>
    <row r="274" spans="2:57" ht="15" customHeight="1" x14ac:dyDescent="0.25">
      <c r="B274" s="91">
        <v>264</v>
      </c>
      <c r="C274" s="92" t="s">
        <v>504</v>
      </c>
      <c r="D274" s="92" t="s">
        <v>43</v>
      </c>
      <c r="E274" s="92" t="s">
        <v>14</v>
      </c>
      <c r="F274" s="92" t="s">
        <v>244</v>
      </c>
      <c r="G274" s="101" t="s">
        <v>502</v>
      </c>
      <c r="H274" s="94">
        <v>10198</v>
      </c>
      <c r="I274" s="94">
        <v>5385</v>
      </c>
      <c r="J274" s="94">
        <v>4813</v>
      </c>
      <c r="K274" s="94">
        <v>523</v>
      </c>
      <c r="L274" s="94">
        <v>1823</v>
      </c>
      <c r="M274" s="94">
        <v>5173</v>
      </c>
      <c r="N274" s="94">
        <v>2679</v>
      </c>
      <c r="O274" s="94">
        <v>10191</v>
      </c>
      <c r="P274" s="94">
        <v>7</v>
      </c>
      <c r="Q274" s="95">
        <v>0.20805159679600499</v>
      </c>
      <c r="R274" s="95">
        <v>0.27866242038216599</v>
      </c>
      <c r="S274" s="95">
        <v>0.13074743952930901</v>
      </c>
      <c r="T274" s="95">
        <v>0</v>
      </c>
      <c r="U274" s="95">
        <v>0.419161676646707</v>
      </c>
      <c r="V274" s="95">
        <v>0.24575056317837399</v>
      </c>
      <c r="W274" s="95">
        <v>3.8624951718810301E-2</v>
      </c>
      <c r="X274" s="95">
        <v>0.208203206329377</v>
      </c>
      <c r="Y274" s="95">
        <v>0</v>
      </c>
      <c r="Z274" s="94">
        <v>14013</v>
      </c>
      <c r="AA274" s="94">
        <v>7314</v>
      </c>
      <c r="AB274" s="94">
        <v>6699</v>
      </c>
      <c r="AC274" s="94">
        <v>716</v>
      </c>
      <c r="AD274" s="94">
        <v>2436</v>
      </c>
      <c r="AE274" s="94">
        <v>7201</v>
      </c>
      <c r="AF274" s="94">
        <v>3660</v>
      </c>
      <c r="AG274" s="94">
        <v>12192</v>
      </c>
      <c r="AH274" s="94">
        <v>1770</v>
      </c>
      <c r="AI274" s="94">
        <v>51</v>
      </c>
      <c r="AJ274" s="94">
        <v>13937</v>
      </c>
      <c r="AK274" s="94">
        <v>40</v>
      </c>
      <c r="AL274" s="94">
        <v>36</v>
      </c>
      <c r="AM274" s="94">
        <v>1389</v>
      </c>
      <c r="AN274" s="94">
        <v>12480</v>
      </c>
      <c r="AO274" s="94">
        <v>144</v>
      </c>
      <c r="AP274" s="95">
        <v>2.2962629446195399</v>
      </c>
      <c r="AQ274" s="95">
        <v>1.02571511123953</v>
      </c>
      <c r="AR274" s="95">
        <v>3.6695815115552799</v>
      </c>
      <c r="AS274" s="95">
        <v>3.2689450222882601</v>
      </c>
      <c r="AT274" s="95">
        <v>3.90179745725559</v>
      </c>
      <c r="AU274" s="95">
        <v>2.3133235724743799</v>
      </c>
      <c r="AV274" s="95">
        <v>1.0446075663467</v>
      </c>
      <c r="AW274" s="95">
        <v>2.16848808192066</v>
      </c>
      <c r="AX274" s="95">
        <v>3.1908488862131201</v>
      </c>
      <c r="AY274" s="95">
        <v>2.2727272727272698</v>
      </c>
      <c r="AZ274" s="95">
        <v>2.27118388289444</v>
      </c>
      <c r="BA274" s="95">
        <v>10.526315789473699</v>
      </c>
      <c r="BB274" s="95">
        <v>2.8571428571428599</v>
      </c>
      <c r="BC274" s="95">
        <v>1.80315552216379</v>
      </c>
      <c r="BD274" s="95">
        <v>2.3532388663967598</v>
      </c>
      <c r="BE274" s="95">
        <v>2.1582733812949599</v>
      </c>
    </row>
    <row r="275" spans="2:57" ht="15" customHeight="1" x14ac:dyDescent="0.25">
      <c r="B275" s="96">
        <v>265</v>
      </c>
      <c r="C275" s="97" t="s">
        <v>504</v>
      </c>
      <c r="D275" s="104" t="s">
        <v>43</v>
      </c>
      <c r="E275" s="104" t="s">
        <v>14</v>
      </c>
      <c r="F275" s="104" t="s">
        <v>461</v>
      </c>
      <c r="G275" s="105" t="s">
        <v>461</v>
      </c>
      <c r="H275" s="106">
        <v>3717</v>
      </c>
      <c r="I275" s="106">
        <v>1890</v>
      </c>
      <c r="J275" s="106">
        <v>1827</v>
      </c>
      <c r="K275" s="106">
        <v>201</v>
      </c>
      <c r="L275" s="106">
        <v>672</v>
      </c>
      <c r="M275" s="106">
        <v>1756</v>
      </c>
      <c r="N275" s="106">
        <v>1088</v>
      </c>
      <c r="O275" s="106">
        <v>3715</v>
      </c>
      <c r="P275" s="106">
        <v>2</v>
      </c>
      <c r="Q275" s="107">
        <v>0.37768739105171401</v>
      </c>
      <c r="R275" s="107">
        <v>0.40935672514619897</v>
      </c>
      <c r="S275" s="107">
        <v>0.34642032332563499</v>
      </c>
      <c r="T275" s="107">
        <v>0</v>
      </c>
      <c r="U275" s="107">
        <v>0.95846645367412098</v>
      </c>
      <c r="V275" s="107">
        <v>0.37082818294190401</v>
      </c>
      <c r="W275" s="107">
        <v>9.8231827111984305E-2</v>
      </c>
      <c r="X275" s="107">
        <v>0.377906976744186</v>
      </c>
      <c r="Y275" s="107">
        <v>0</v>
      </c>
      <c r="Z275" s="106">
        <v>5352</v>
      </c>
      <c r="AA275" s="106">
        <v>2639</v>
      </c>
      <c r="AB275" s="106">
        <v>2713</v>
      </c>
      <c r="AC275" s="106">
        <v>308</v>
      </c>
      <c r="AD275" s="106">
        <v>930</v>
      </c>
      <c r="AE275" s="106">
        <v>2541</v>
      </c>
      <c r="AF275" s="106">
        <v>1573</v>
      </c>
      <c r="AG275" s="106">
        <v>4650</v>
      </c>
      <c r="AH275" s="106">
        <v>666</v>
      </c>
      <c r="AI275" s="106">
        <v>36</v>
      </c>
      <c r="AJ275" s="106">
        <v>5312</v>
      </c>
      <c r="AK275" s="106">
        <v>22</v>
      </c>
      <c r="AL275" s="106">
        <v>18</v>
      </c>
      <c r="AM275" s="106">
        <v>482</v>
      </c>
      <c r="AN275" s="106">
        <v>4835</v>
      </c>
      <c r="AO275" s="106">
        <v>35</v>
      </c>
      <c r="AP275" s="107">
        <v>3.2089696501063201</v>
      </c>
      <c r="AQ275" s="107">
        <v>1.84025058731402</v>
      </c>
      <c r="AR275" s="107">
        <v>4.5437189767086696</v>
      </c>
      <c r="AS275" s="107">
        <v>1.6611295681063101</v>
      </c>
      <c r="AT275" s="107">
        <v>3.7246049661399501</v>
      </c>
      <c r="AU275" s="107">
        <v>3.6193574623830802</v>
      </c>
      <c r="AV275" s="107">
        <v>2.5540275049115899</v>
      </c>
      <c r="AW275" s="107">
        <v>2.9281277728482702</v>
      </c>
      <c r="AX275" s="107">
        <v>5.2297939778129896</v>
      </c>
      <c r="AY275" s="107">
        <v>2.9411764705882399</v>
      </c>
      <c r="AZ275" s="107">
        <v>3.1542056074766398</v>
      </c>
      <c r="BA275" s="107">
        <v>15</v>
      </c>
      <c r="BB275" s="107">
        <v>5.8823529411764701</v>
      </c>
      <c r="BC275" s="107">
        <v>4.0598290598290596</v>
      </c>
      <c r="BD275" s="107">
        <v>3.1243312647121799</v>
      </c>
      <c r="BE275" s="107">
        <v>3.125</v>
      </c>
    </row>
    <row r="276" spans="2:57" ht="15" customHeight="1" x14ac:dyDescent="0.25">
      <c r="B276" s="91">
        <v>266</v>
      </c>
      <c r="C276" s="92" t="s">
        <v>504</v>
      </c>
      <c r="D276" s="92" t="s">
        <v>43</v>
      </c>
      <c r="E276" s="92" t="s">
        <v>14</v>
      </c>
      <c r="F276" s="92" t="s">
        <v>461</v>
      </c>
      <c r="G276" s="101" t="s">
        <v>501</v>
      </c>
      <c r="H276" s="94">
        <v>0</v>
      </c>
      <c r="I276" s="94">
        <v>0</v>
      </c>
      <c r="J276" s="94">
        <v>0</v>
      </c>
      <c r="K276" s="94">
        <v>0</v>
      </c>
      <c r="L276" s="94">
        <v>0</v>
      </c>
      <c r="M276" s="94">
        <v>0</v>
      </c>
      <c r="N276" s="94">
        <v>0</v>
      </c>
      <c r="O276" s="94">
        <v>0</v>
      </c>
      <c r="P276" s="94">
        <v>0</v>
      </c>
      <c r="Q276" s="95">
        <v>0</v>
      </c>
      <c r="R276" s="95">
        <v>0</v>
      </c>
      <c r="S276" s="95">
        <v>0</v>
      </c>
      <c r="T276" s="95">
        <v>0</v>
      </c>
      <c r="U276" s="95">
        <v>0</v>
      </c>
      <c r="V276" s="95">
        <v>0</v>
      </c>
      <c r="W276" s="95">
        <v>0</v>
      </c>
      <c r="X276" s="95">
        <v>0</v>
      </c>
      <c r="Y276" s="95">
        <v>0</v>
      </c>
      <c r="Z276" s="94">
        <v>0</v>
      </c>
      <c r="AA276" s="94">
        <v>0</v>
      </c>
      <c r="AB276" s="94">
        <v>0</v>
      </c>
      <c r="AC276" s="94">
        <v>0</v>
      </c>
      <c r="AD276" s="94">
        <v>0</v>
      </c>
      <c r="AE276" s="94">
        <v>0</v>
      </c>
      <c r="AF276" s="94">
        <v>0</v>
      </c>
      <c r="AG276" s="94">
        <v>0</v>
      </c>
      <c r="AH276" s="94">
        <v>0</v>
      </c>
      <c r="AI276" s="94">
        <v>0</v>
      </c>
      <c r="AJ276" s="94">
        <v>0</v>
      </c>
      <c r="AK276" s="94">
        <v>0</v>
      </c>
      <c r="AL276" s="94">
        <v>0</v>
      </c>
      <c r="AM276" s="94">
        <v>0</v>
      </c>
      <c r="AN276" s="94">
        <v>0</v>
      </c>
      <c r="AO276" s="94">
        <v>0</v>
      </c>
      <c r="AP276" s="95">
        <v>0</v>
      </c>
      <c r="AQ276" s="95">
        <v>0</v>
      </c>
      <c r="AR276" s="95">
        <v>0</v>
      </c>
      <c r="AS276" s="95">
        <v>0</v>
      </c>
      <c r="AT276" s="95">
        <v>0</v>
      </c>
      <c r="AU276" s="95">
        <v>0</v>
      </c>
      <c r="AV276" s="95">
        <v>0</v>
      </c>
      <c r="AW276" s="95">
        <v>0</v>
      </c>
      <c r="AX276" s="95">
        <v>0</v>
      </c>
      <c r="AY276" s="95">
        <v>0</v>
      </c>
      <c r="AZ276" s="95">
        <v>0</v>
      </c>
      <c r="BA276" s="95">
        <v>0</v>
      </c>
      <c r="BB276" s="95">
        <v>0</v>
      </c>
      <c r="BC276" s="95">
        <v>0</v>
      </c>
      <c r="BD276" s="95">
        <v>0</v>
      </c>
      <c r="BE276" s="95">
        <v>0</v>
      </c>
    </row>
    <row r="277" spans="2:57" ht="15" customHeight="1" x14ac:dyDescent="0.25">
      <c r="B277" s="91">
        <v>267</v>
      </c>
      <c r="C277" s="92" t="s">
        <v>504</v>
      </c>
      <c r="D277" s="92" t="s">
        <v>43</v>
      </c>
      <c r="E277" s="92" t="s">
        <v>14</v>
      </c>
      <c r="F277" s="92" t="s">
        <v>461</v>
      </c>
      <c r="G277" s="101" t="s">
        <v>502</v>
      </c>
      <c r="H277" s="94">
        <v>3717</v>
      </c>
      <c r="I277" s="94">
        <v>1890</v>
      </c>
      <c r="J277" s="94">
        <v>1827</v>
      </c>
      <c r="K277" s="94">
        <v>201</v>
      </c>
      <c r="L277" s="94">
        <v>672</v>
      </c>
      <c r="M277" s="94">
        <v>1756</v>
      </c>
      <c r="N277" s="94">
        <v>1088</v>
      </c>
      <c r="O277" s="94">
        <v>3715</v>
      </c>
      <c r="P277" s="94">
        <v>2</v>
      </c>
      <c r="Q277" s="95">
        <v>0.37768739105171401</v>
      </c>
      <c r="R277" s="95">
        <v>0.40935672514619897</v>
      </c>
      <c r="S277" s="95">
        <v>0.34642032332563499</v>
      </c>
      <c r="T277" s="95">
        <v>0</v>
      </c>
      <c r="U277" s="95">
        <v>0.95846645367412098</v>
      </c>
      <c r="V277" s="95">
        <v>0.37082818294190401</v>
      </c>
      <c r="W277" s="95">
        <v>9.8231827111984305E-2</v>
      </c>
      <c r="X277" s="95">
        <v>0.377906976744186</v>
      </c>
      <c r="Y277" s="95">
        <v>0</v>
      </c>
      <c r="Z277" s="94">
        <v>5352</v>
      </c>
      <c r="AA277" s="94">
        <v>2639</v>
      </c>
      <c r="AB277" s="94">
        <v>2713</v>
      </c>
      <c r="AC277" s="94">
        <v>308</v>
      </c>
      <c r="AD277" s="94">
        <v>930</v>
      </c>
      <c r="AE277" s="94">
        <v>2541</v>
      </c>
      <c r="AF277" s="94">
        <v>1573</v>
      </c>
      <c r="AG277" s="94">
        <v>4650</v>
      </c>
      <c r="AH277" s="94">
        <v>666</v>
      </c>
      <c r="AI277" s="94">
        <v>36</v>
      </c>
      <c r="AJ277" s="94">
        <v>5312</v>
      </c>
      <c r="AK277" s="94">
        <v>22</v>
      </c>
      <c r="AL277" s="94">
        <v>18</v>
      </c>
      <c r="AM277" s="94">
        <v>482</v>
      </c>
      <c r="AN277" s="94">
        <v>4835</v>
      </c>
      <c r="AO277" s="94">
        <v>35</v>
      </c>
      <c r="AP277" s="95">
        <v>3.2089696501063201</v>
      </c>
      <c r="AQ277" s="95">
        <v>1.84025058731402</v>
      </c>
      <c r="AR277" s="95">
        <v>4.5437189767086696</v>
      </c>
      <c r="AS277" s="95">
        <v>1.6611295681063101</v>
      </c>
      <c r="AT277" s="95">
        <v>3.7246049661399501</v>
      </c>
      <c r="AU277" s="95">
        <v>3.6193574623830802</v>
      </c>
      <c r="AV277" s="95">
        <v>2.5540275049115899</v>
      </c>
      <c r="AW277" s="95">
        <v>2.9281277728482702</v>
      </c>
      <c r="AX277" s="95">
        <v>5.2297939778129896</v>
      </c>
      <c r="AY277" s="95">
        <v>2.9411764705882399</v>
      </c>
      <c r="AZ277" s="95">
        <v>3.1542056074766398</v>
      </c>
      <c r="BA277" s="95">
        <v>15</v>
      </c>
      <c r="BB277" s="95">
        <v>5.8823529411764701</v>
      </c>
      <c r="BC277" s="95">
        <v>4.0598290598290596</v>
      </c>
      <c r="BD277" s="95">
        <v>3.1243312647121799</v>
      </c>
      <c r="BE277" s="95">
        <v>3.125</v>
      </c>
    </row>
    <row r="278" spans="2:57" ht="15" customHeight="1" x14ac:dyDescent="0.25">
      <c r="B278" s="96">
        <v>268</v>
      </c>
      <c r="C278" s="97" t="s">
        <v>504</v>
      </c>
      <c r="D278" s="104" t="s">
        <v>43</v>
      </c>
      <c r="E278" s="104" t="s">
        <v>14</v>
      </c>
      <c r="F278" s="104" t="s">
        <v>217</v>
      </c>
      <c r="G278" s="105" t="s">
        <v>217</v>
      </c>
      <c r="H278" s="106">
        <v>5946</v>
      </c>
      <c r="I278" s="106">
        <v>3203</v>
      </c>
      <c r="J278" s="106">
        <v>2743</v>
      </c>
      <c r="K278" s="106">
        <v>338</v>
      </c>
      <c r="L278" s="106">
        <v>1372</v>
      </c>
      <c r="M278" s="106">
        <v>2921</v>
      </c>
      <c r="N278" s="106">
        <v>1315</v>
      </c>
      <c r="O278" s="106">
        <v>5945</v>
      </c>
      <c r="P278" s="106">
        <v>1</v>
      </c>
      <c r="Q278" s="107">
        <v>0.87288597926895795</v>
      </c>
      <c r="R278" s="107">
        <v>0.85091899251191305</v>
      </c>
      <c r="S278" s="107">
        <v>0.89808668488871501</v>
      </c>
      <c r="T278" s="107">
        <v>0.70175438596491202</v>
      </c>
      <c r="U278" s="107">
        <v>1.1783189316575</v>
      </c>
      <c r="V278" s="107">
        <v>0.99741411156261595</v>
      </c>
      <c r="W278" s="107">
        <v>0.324149108589951</v>
      </c>
      <c r="X278" s="107">
        <v>0.87304474354310602</v>
      </c>
      <c r="Y278" s="107">
        <v>0</v>
      </c>
      <c r="Z278" s="106">
        <v>8649</v>
      </c>
      <c r="AA278" s="106">
        <v>4171</v>
      </c>
      <c r="AB278" s="106">
        <v>4478</v>
      </c>
      <c r="AC278" s="106">
        <v>507</v>
      </c>
      <c r="AD278" s="106">
        <v>1978</v>
      </c>
      <c r="AE278" s="106">
        <v>4113</v>
      </c>
      <c r="AF278" s="106">
        <v>2051</v>
      </c>
      <c r="AG278" s="106">
        <v>7775</v>
      </c>
      <c r="AH278" s="106">
        <v>827</v>
      </c>
      <c r="AI278" s="106">
        <v>47</v>
      </c>
      <c r="AJ278" s="106">
        <v>8623</v>
      </c>
      <c r="AK278" s="106">
        <v>9</v>
      </c>
      <c r="AL278" s="106">
        <v>17</v>
      </c>
      <c r="AM278" s="106">
        <v>547</v>
      </c>
      <c r="AN278" s="106">
        <v>7983</v>
      </c>
      <c r="AO278" s="106">
        <v>119</v>
      </c>
      <c r="AP278" s="107">
        <v>1.71503957783641</v>
      </c>
      <c r="AQ278" s="107">
        <v>1.14143920595534</v>
      </c>
      <c r="AR278" s="107">
        <v>2.2516248839368602</v>
      </c>
      <c r="AS278" s="107">
        <v>2.1008403361344499</v>
      </c>
      <c r="AT278" s="107">
        <v>2.0766773162939298</v>
      </c>
      <c r="AU278" s="107">
        <v>2.0628930817610098</v>
      </c>
      <c r="AV278" s="107">
        <v>0.59731209556993503</v>
      </c>
      <c r="AW278" s="107">
        <v>1.63716225209637</v>
      </c>
      <c r="AX278" s="107">
        <v>2.5673940949935798</v>
      </c>
      <c r="AY278" s="107">
        <v>0</v>
      </c>
      <c r="AZ278" s="107">
        <v>1.69613857813064</v>
      </c>
      <c r="BA278" s="107">
        <v>0</v>
      </c>
      <c r="BB278" s="107">
        <v>11.764705882352899</v>
      </c>
      <c r="BC278" s="107">
        <v>1.13421550094518</v>
      </c>
      <c r="BD278" s="107">
        <v>1.78060826618144</v>
      </c>
      <c r="BE278" s="107">
        <v>0</v>
      </c>
    </row>
    <row r="279" spans="2:57" ht="15" customHeight="1" x14ac:dyDescent="0.25">
      <c r="B279" s="91">
        <v>269</v>
      </c>
      <c r="C279" s="92" t="s">
        <v>504</v>
      </c>
      <c r="D279" s="92" t="s">
        <v>43</v>
      </c>
      <c r="E279" s="92" t="s">
        <v>14</v>
      </c>
      <c r="F279" s="92" t="s">
        <v>217</v>
      </c>
      <c r="G279" s="101" t="s">
        <v>501</v>
      </c>
      <c r="H279" s="94">
        <v>872</v>
      </c>
      <c r="I279" s="94">
        <v>556</v>
      </c>
      <c r="J279" s="94">
        <v>316</v>
      </c>
      <c r="K279" s="94">
        <v>30</v>
      </c>
      <c r="L279" s="94">
        <v>274</v>
      </c>
      <c r="M279" s="94">
        <v>438</v>
      </c>
      <c r="N279" s="94">
        <v>130</v>
      </c>
      <c r="O279" s="94">
        <v>872</v>
      </c>
      <c r="P279" s="94">
        <v>0</v>
      </c>
      <c r="Q279" s="95">
        <v>0.50825921219822101</v>
      </c>
      <c r="R279" s="95">
        <v>0.59523809523809501</v>
      </c>
      <c r="S279" s="95">
        <v>0.35335689045936403</v>
      </c>
      <c r="T279" s="95">
        <v>4.7619047619047601</v>
      </c>
      <c r="U279" s="95">
        <v>1.22448979591837</v>
      </c>
      <c r="V279" s="95">
        <v>0</v>
      </c>
      <c r="W279" s="95">
        <v>0</v>
      </c>
      <c r="X279" s="95">
        <v>0.50825921219822101</v>
      </c>
      <c r="Y279" s="95">
        <v>0</v>
      </c>
      <c r="Z279" s="94">
        <v>0</v>
      </c>
      <c r="AA279" s="94">
        <v>0</v>
      </c>
      <c r="AB279" s="94">
        <v>0</v>
      </c>
      <c r="AC279" s="94">
        <v>0</v>
      </c>
      <c r="AD279" s="94">
        <v>0</v>
      </c>
      <c r="AE279" s="94">
        <v>0</v>
      </c>
      <c r="AF279" s="94">
        <v>0</v>
      </c>
      <c r="AG279" s="94">
        <v>0</v>
      </c>
      <c r="AH279" s="94">
        <v>0</v>
      </c>
      <c r="AI279" s="94">
        <v>0</v>
      </c>
      <c r="AJ279" s="94">
        <v>0</v>
      </c>
      <c r="AK279" s="94">
        <v>0</v>
      </c>
      <c r="AL279" s="94">
        <v>0</v>
      </c>
      <c r="AM279" s="94">
        <v>0</v>
      </c>
      <c r="AN279" s="94">
        <v>0</v>
      </c>
      <c r="AO279" s="94">
        <v>0</v>
      </c>
      <c r="AP279" s="95">
        <v>0</v>
      </c>
      <c r="AQ279" s="95">
        <v>0</v>
      </c>
      <c r="AR279" s="95">
        <v>0</v>
      </c>
      <c r="AS279" s="95">
        <v>0</v>
      </c>
      <c r="AT279" s="95">
        <v>0</v>
      </c>
      <c r="AU279" s="95">
        <v>0</v>
      </c>
      <c r="AV279" s="95">
        <v>0</v>
      </c>
      <c r="AW279" s="95">
        <v>0</v>
      </c>
      <c r="AX279" s="95">
        <v>0</v>
      </c>
      <c r="AY279" s="95">
        <v>0</v>
      </c>
      <c r="AZ279" s="95">
        <v>0</v>
      </c>
      <c r="BA279" s="95">
        <v>0</v>
      </c>
      <c r="BB279" s="95">
        <v>0</v>
      </c>
      <c r="BC279" s="95">
        <v>0</v>
      </c>
      <c r="BD279" s="95">
        <v>0</v>
      </c>
      <c r="BE279" s="95">
        <v>0</v>
      </c>
    </row>
    <row r="280" spans="2:57" ht="15" customHeight="1" x14ac:dyDescent="0.25">
      <c r="B280" s="91">
        <v>270</v>
      </c>
      <c r="C280" s="92" t="s">
        <v>504</v>
      </c>
      <c r="D280" s="92" t="s">
        <v>43</v>
      </c>
      <c r="E280" s="92" t="s">
        <v>14</v>
      </c>
      <c r="F280" s="92" t="s">
        <v>217</v>
      </c>
      <c r="G280" s="101" t="s">
        <v>502</v>
      </c>
      <c r="H280" s="94">
        <v>5074</v>
      </c>
      <c r="I280" s="94">
        <v>2647</v>
      </c>
      <c r="J280" s="94">
        <v>2427</v>
      </c>
      <c r="K280" s="94">
        <v>308</v>
      </c>
      <c r="L280" s="94">
        <v>1098</v>
      </c>
      <c r="M280" s="94">
        <v>2483</v>
      </c>
      <c r="N280" s="94">
        <v>1185</v>
      </c>
      <c r="O280" s="94">
        <v>5073</v>
      </c>
      <c r="P280" s="94">
        <v>1</v>
      </c>
      <c r="Q280" s="95">
        <v>0.93378607809847203</v>
      </c>
      <c r="R280" s="95">
        <v>0.90386195562859495</v>
      </c>
      <c r="S280" s="95">
        <v>0.96575943810359999</v>
      </c>
      <c r="T280" s="95">
        <v>0.37878787878787901</v>
      </c>
      <c r="U280" s="95">
        <v>1.1673151750972799</v>
      </c>
      <c r="V280" s="95">
        <v>1.1754462342185501</v>
      </c>
      <c r="W280" s="95">
        <v>0.35618878005342802</v>
      </c>
      <c r="X280" s="95">
        <v>0.93398429208236</v>
      </c>
      <c r="Y280" s="95">
        <v>0</v>
      </c>
      <c r="Z280" s="94">
        <v>8649</v>
      </c>
      <c r="AA280" s="94">
        <v>4171</v>
      </c>
      <c r="AB280" s="94">
        <v>4478</v>
      </c>
      <c r="AC280" s="94">
        <v>507</v>
      </c>
      <c r="AD280" s="94">
        <v>1978</v>
      </c>
      <c r="AE280" s="94">
        <v>4113</v>
      </c>
      <c r="AF280" s="94">
        <v>2051</v>
      </c>
      <c r="AG280" s="94">
        <v>7775</v>
      </c>
      <c r="AH280" s="94">
        <v>827</v>
      </c>
      <c r="AI280" s="94">
        <v>47</v>
      </c>
      <c r="AJ280" s="94">
        <v>8623</v>
      </c>
      <c r="AK280" s="94">
        <v>9</v>
      </c>
      <c r="AL280" s="94">
        <v>17</v>
      </c>
      <c r="AM280" s="94">
        <v>547</v>
      </c>
      <c r="AN280" s="94">
        <v>7983</v>
      </c>
      <c r="AO280" s="94">
        <v>119</v>
      </c>
      <c r="AP280" s="95">
        <v>1.71503957783641</v>
      </c>
      <c r="AQ280" s="95">
        <v>1.14143920595534</v>
      </c>
      <c r="AR280" s="95">
        <v>2.2516248839368602</v>
      </c>
      <c r="AS280" s="95">
        <v>2.1008403361344499</v>
      </c>
      <c r="AT280" s="95">
        <v>2.0766773162939298</v>
      </c>
      <c r="AU280" s="95">
        <v>2.0628930817610098</v>
      </c>
      <c r="AV280" s="95">
        <v>0.59731209556993503</v>
      </c>
      <c r="AW280" s="95">
        <v>1.63716225209637</v>
      </c>
      <c r="AX280" s="95">
        <v>2.5673940949935798</v>
      </c>
      <c r="AY280" s="95">
        <v>0</v>
      </c>
      <c r="AZ280" s="95">
        <v>1.69613857813064</v>
      </c>
      <c r="BA280" s="95">
        <v>0</v>
      </c>
      <c r="BB280" s="95">
        <v>11.764705882352899</v>
      </c>
      <c r="BC280" s="95">
        <v>1.13421550094518</v>
      </c>
      <c r="BD280" s="95">
        <v>1.78060826618144</v>
      </c>
      <c r="BE280" s="95">
        <v>0</v>
      </c>
    </row>
    <row r="281" spans="2:57" ht="15" customHeight="1" x14ac:dyDescent="0.25">
      <c r="B281" s="96">
        <v>271</v>
      </c>
      <c r="C281" s="97" t="s">
        <v>504</v>
      </c>
      <c r="D281" s="104" t="s">
        <v>43</v>
      </c>
      <c r="E281" s="104" t="s">
        <v>14</v>
      </c>
      <c r="F281" s="104" t="s">
        <v>113</v>
      </c>
      <c r="G281" s="105" t="s">
        <v>113</v>
      </c>
      <c r="H281" s="106">
        <v>3892</v>
      </c>
      <c r="I281" s="106">
        <v>2054</v>
      </c>
      <c r="J281" s="106">
        <v>1838</v>
      </c>
      <c r="K281" s="106">
        <v>128</v>
      </c>
      <c r="L281" s="106">
        <v>878</v>
      </c>
      <c r="M281" s="106">
        <v>2047</v>
      </c>
      <c r="N281" s="106">
        <v>839</v>
      </c>
      <c r="O281" s="106">
        <v>3834</v>
      </c>
      <c r="P281" s="106">
        <v>58</v>
      </c>
      <c r="Q281" s="107">
        <v>3.2670841274162798</v>
      </c>
      <c r="R281" s="107">
        <v>5.20991401112797</v>
      </c>
      <c r="S281" s="107">
        <v>1.0023584905660401</v>
      </c>
      <c r="T281" s="107">
        <v>5.4545454545454497</v>
      </c>
      <c r="U281" s="107">
        <v>5.03685503685504</v>
      </c>
      <c r="V281" s="107">
        <v>3.4003091190108199</v>
      </c>
      <c r="W281" s="107">
        <v>0.866336633663366</v>
      </c>
      <c r="X281" s="107">
        <v>3.2035349351007998</v>
      </c>
      <c r="Y281" s="107">
        <v>7.6923076923076898</v>
      </c>
      <c r="Z281" s="106">
        <v>4443</v>
      </c>
      <c r="AA281" s="106">
        <v>2337</v>
      </c>
      <c r="AB281" s="106">
        <v>2106</v>
      </c>
      <c r="AC281" s="106">
        <v>191</v>
      </c>
      <c r="AD281" s="106">
        <v>914</v>
      </c>
      <c r="AE281" s="106">
        <v>2438</v>
      </c>
      <c r="AF281" s="106">
        <v>900</v>
      </c>
      <c r="AG281" s="106">
        <v>3694</v>
      </c>
      <c r="AH281" s="106">
        <v>741</v>
      </c>
      <c r="AI281" s="106">
        <v>8</v>
      </c>
      <c r="AJ281" s="106">
        <v>4324</v>
      </c>
      <c r="AK281" s="106">
        <v>109</v>
      </c>
      <c r="AL281" s="106">
        <v>10</v>
      </c>
      <c r="AM281" s="106">
        <v>332</v>
      </c>
      <c r="AN281" s="106">
        <v>4067</v>
      </c>
      <c r="AO281" s="106">
        <v>44</v>
      </c>
      <c r="AP281" s="107">
        <v>6.6745843230403796</v>
      </c>
      <c r="AQ281" s="107">
        <v>5.83482944344704</v>
      </c>
      <c r="AR281" s="107">
        <v>7.6185671039354199</v>
      </c>
      <c r="AS281" s="107">
        <v>8.4269662921348303</v>
      </c>
      <c r="AT281" s="107">
        <v>7.9532163742690098</v>
      </c>
      <c r="AU281" s="107">
        <v>7.1243523316062198</v>
      </c>
      <c r="AV281" s="107">
        <v>3.8327526132404199</v>
      </c>
      <c r="AW281" s="107">
        <v>6.1107938320959496</v>
      </c>
      <c r="AX281" s="107">
        <v>9.5577746077032799</v>
      </c>
      <c r="AY281" s="107">
        <v>0</v>
      </c>
      <c r="AZ281" s="107">
        <v>6.5885797950219596</v>
      </c>
      <c r="BA281" s="107">
        <v>10.5769230769231</v>
      </c>
      <c r="BB281" s="107">
        <v>0</v>
      </c>
      <c r="BC281" s="107">
        <v>5.9936908517350203</v>
      </c>
      <c r="BD281" s="107">
        <v>6.7532467532467502</v>
      </c>
      <c r="BE281" s="107">
        <v>4.6511627906976702</v>
      </c>
    </row>
    <row r="282" spans="2:57" ht="15" customHeight="1" x14ac:dyDescent="0.25">
      <c r="B282" s="91">
        <v>272</v>
      </c>
      <c r="C282" s="92" t="s">
        <v>504</v>
      </c>
      <c r="D282" s="92" t="s">
        <v>43</v>
      </c>
      <c r="E282" s="92" t="s">
        <v>14</v>
      </c>
      <c r="F282" s="92" t="s">
        <v>113</v>
      </c>
      <c r="G282" s="101" t="s">
        <v>501</v>
      </c>
      <c r="H282" s="94">
        <v>2096</v>
      </c>
      <c r="I282" s="94">
        <v>1138</v>
      </c>
      <c r="J282" s="94">
        <v>958</v>
      </c>
      <c r="K282" s="94">
        <v>53</v>
      </c>
      <c r="L282" s="94">
        <v>624</v>
      </c>
      <c r="M282" s="94">
        <v>1196</v>
      </c>
      <c r="N282" s="94">
        <v>223</v>
      </c>
      <c r="O282" s="94">
        <v>2044</v>
      </c>
      <c r="P282" s="94">
        <v>52</v>
      </c>
      <c r="Q282" s="95">
        <v>5.8946270213875804</v>
      </c>
      <c r="R282" s="95">
        <v>9.1666666666666696</v>
      </c>
      <c r="S282" s="95">
        <v>1.6726403823178</v>
      </c>
      <c r="T282" s="95">
        <v>15</v>
      </c>
      <c r="U282" s="95">
        <v>6.6666666666666696</v>
      </c>
      <c r="V282" s="95">
        <v>5.6057866184448502</v>
      </c>
      <c r="W282" s="95">
        <v>3.4825870646766202</v>
      </c>
      <c r="X282" s="95">
        <v>5.8257616247995703</v>
      </c>
      <c r="Y282" s="95">
        <v>8.6956521739130395</v>
      </c>
      <c r="Z282" s="94">
        <v>2563</v>
      </c>
      <c r="AA282" s="94">
        <v>1397</v>
      </c>
      <c r="AB282" s="94">
        <v>1166</v>
      </c>
      <c r="AC282" s="94">
        <v>85</v>
      </c>
      <c r="AD282" s="94">
        <v>599</v>
      </c>
      <c r="AE282" s="94">
        <v>1567</v>
      </c>
      <c r="AF282" s="94">
        <v>312</v>
      </c>
      <c r="AG282" s="94">
        <v>1955</v>
      </c>
      <c r="AH282" s="94">
        <v>602</v>
      </c>
      <c r="AI282" s="94">
        <v>6</v>
      </c>
      <c r="AJ282" s="94">
        <v>2455</v>
      </c>
      <c r="AK282" s="94">
        <v>102</v>
      </c>
      <c r="AL282" s="94">
        <v>6</v>
      </c>
      <c r="AM282" s="94">
        <v>162</v>
      </c>
      <c r="AN282" s="94">
        <v>2373</v>
      </c>
      <c r="AO282" s="94">
        <v>28</v>
      </c>
      <c r="AP282" s="95">
        <v>10.2649006622517</v>
      </c>
      <c r="AQ282" s="95">
        <v>9.0909090909090899</v>
      </c>
      <c r="AR282" s="95">
        <v>11.705069124424</v>
      </c>
      <c r="AS282" s="95">
        <v>16.6666666666667</v>
      </c>
      <c r="AT282" s="95">
        <v>10.215053763440901</v>
      </c>
      <c r="AU282" s="95">
        <v>10.1615074024226</v>
      </c>
      <c r="AV282" s="95">
        <v>9.1836734693877595</v>
      </c>
      <c r="AW282" s="95">
        <v>10.037981551817699</v>
      </c>
      <c r="AX282" s="95">
        <v>11.0915492957746</v>
      </c>
      <c r="AY282" s="95">
        <v>0</v>
      </c>
      <c r="AZ282" s="95">
        <v>10.2464332036316</v>
      </c>
      <c r="BA282" s="95">
        <v>11.340206185567</v>
      </c>
      <c r="BB282" s="95">
        <v>0</v>
      </c>
      <c r="BC282" s="95">
        <v>11.842105263157899</v>
      </c>
      <c r="BD282" s="95">
        <v>10.1967799642218</v>
      </c>
      <c r="BE282" s="95">
        <v>7.1428571428571397</v>
      </c>
    </row>
    <row r="283" spans="2:57" ht="15" customHeight="1" x14ac:dyDescent="0.25">
      <c r="B283" s="91">
        <v>273</v>
      </c>
      <c r="C283" s="92" t="s">
        <v>504</v>
      </c>
      <c r="D283" s="92" t="s">
        <v>43</v>
      </c>
      <c r="E283" s="92" t="s">
        <v>14</v>
      </c>
      <c r="F283" s="92" t="s">
        <v>113</v>
      </c>
      <c r="G283" s="101" t="s">
        <v>502</v>
      </c>
      <c r="H283" s="94">
        <v>1796</v>
      </c>
      <c r="I283" s="94">
        <v>916</v>
      </c>
      <c r="J283" s="94">
        <v>880</v>
      </c>
      <c r="K283" s="94">
        <v>75</v>
      </c>
      <c r="L283" s="94">
        <v>254</v>
      </c>
      <c r="M283" s="94">
        <v>851</v>
      </c>
      <c r="N283" s="94">
        <v>616</v>
      </c>
      <c r="O283" s="94">
        <v>1790</v>
      </c>
      <c r="P283" s="94">
        <v>6</v>
      </c>
      <c r="Q283" s="95">
        <v>0.398633257403189</v>
      </c>
      <c r="R283" s="95">
        <v>0.44593088071348902</v>
      </c>
      <c r="S283" s="95">
        <v>0.34924330616996502</v>
      </c>
      <c r="T283" s="95">
        <v>0</v>
      </c>
      <c r="U283" s="95">
        <v>1.22950819672131</v>
      </c>
      <c r="V283" s="95">
        <v>0.47904191616766501</v>
      </c>
      <c r="W283" s="95">
        <v>0</v>
      </c>
      <c r="X283" s="95">
        <v>0.4</v>
      </c>
      <c r="Y283" s="95">
        <v>0</v>
      </c>
      <c r="Z283" s="94">
        <v>1880</v>
      </c>
      <c r="AA283" s="94">
        <v>940</v>
      </c>
      <c r="AB283" s="94">
        <v>940</v>
      </c>
      <c r="AC283" s="94">
        <v>106</v>
      </c>
      <c r="AD283" s="94">
        <v>315</v>
      </c>
      <c r="AE283" s="94">
        <v>871</v>
      </c>
      <c r="AF283" s="94">
        <v>588</v>
      </c>
      <c r="AG283" s="94">
        <v>1739</v>
      </c>
      <c r="AH283" s="94">
        <v>139</v>
      </c>
      <c r="AI283" s="94">
        <v>2</v>
      </c>
      <c r="AJ283" s="94">
        <v>1869</v>
      </c>
      <c r="AK283" s="94">
        <v>7</v>
      </c>
      <c r="AL283" s="94">
        <v>4</v>
      </c>
      <c r="AM283" s="94">
        <v>170</v>
      </c>
      <c r="AN283" s="94">
        <v>1694</v>
      </c>
      <c r="AO283" s="94">
        <v>16</v>
      </c>
      <c r="AP283" s="95">
        <v>1.8394648829431399</v>
      </c>
      <c r="AQ283" s="95">
        <v>1.0033444816053501</v>
      </c>
      <c r="AR283" s="95">
        <v>2.67558528428094</v>
      </c>
      <c r="AS283" s="95">
        <v>2</v>
      </c>
      <c r="AT283" s="95">
        <v>3.7037037037037002</v>
      </c>
      <c r="AU283" s="95">
        <v>1.68674698795181</v>
      </c>
      <c r="AV283" s="95">
        <v>1.0582010582010599</v>
      </c>
      <c r="AW283" s="95">
        <v>1.74804098854732</v>
      </c>
      <c r="AX283" s="95">
        <v>3.0075187969924801</v>
      </c>
      <c r="AY283" s="95">
        <v>0</v>
      </c>
      <c r="AZ283" s="95">
        <v>1.8487394957983201</v>
      </c>
      <c r="BA283" s="95">
        <v>0</v>
      </c>
      <c r="BB283" s="95">
        <v>0</v>
      </c>
      <c r="BC283" s="95">
        <v>0.60606060606060597</v>
      </c>
      <c r="BD283" s="95">
        <v>1.98265179677819</v>
      </c>
      <c r="BE283" s="95">
        <v>0</v>
      </c>
    </row>
    <row r="284" spans="2:57" ht="15" customHeight="1" x14ac:dyDescent="0.25">
      <c r="B284" s="96">
        <v>274</v>
      </c>
      <c r="C284" s="97" t="s">
        <v>504</v>
      </c>
      <c r="D284" s="104" t="s">
        <v>43</v>
      </c>
      <c r="E284" s="104" t="s">
        <v>14</v>
      </c>
      <c r="F284" s="104" t="s">
        <v>462</v>
      </c>
      <c r="G284" s="105" t="s">
        <v>462</v>
      </c>
      <c r="H284" s="106">
        <v>3521</v>
      </c>
      <c r="I284" s="106">
        <v>1856</v>
      </c>
      <c r="J284" s="106">
        <v>1665</v>
      </c>
      <c r="K284" s="106">
        <v>96</v>
      </c>
      <c r="L284" s="106">
        <v>649</v>
      </c>
      <c r="M284" s="106">
        <v>1729</v>
      </c>
      <c r="N284" s="106">
        <v>1047</v>
      </c>
      <c r="O284" s="106">
        <v>3520</v>
      </c>
      <c r="P284" s="106">
        <v>1</v>
      </c>
      <c r="Q284" s="107">
        <v>5.9119125036949501E-2</v>
      </c>
      <c r="R284" s="107">
        <v>5.6785917092560999E-2</v>
      </c>
      <c r="S284" s="107">
        <v>6.1652281134402E-2</v>
      </c>
      <c r="T284" s="107">
        <v>1.19047619047619</v>
      </c>
      <c r="U284" s="107">
        <v>0.162866449511401</v>
      </c>
      <c r="V284" s="107">
        <v>0</v>
      </c>
      <c r="W284" s="107">
        <v>0</v>
      </c>
      <c r="X284" s="107">
        <v>5.9136605558840899E-2</v>
      </c>
      <c r="Y284" s="107">
        <v>0</v>
      </c>
      <c r="Z284" s="106">
        <v>5252</v>
      </c>
      <c r="AA284" s="106">
        <v>2735</v>
      </c>
      <c r="AB284" s="106">
        <v>2517</v>
      </c>
      <c r="AC284" s="106">
        <v>270</v>
      </c>
      <c r="AD284" s="106">
        <v>942</v>
      </c>
      <c r="AE284" s="106">
        <v>2622</v>
      </c>
      <c r="AF284" s="106">
        <v>1418</v>
      </c>
      <c r="AG284" s="106">
        <v>4937</v>
      </c>
      <c r="AH284" s="106">
        <v>295</v>
      </c>
      <c r="AI284" s="106">
        <v>20</v>
      </c>
      <c r="AJ284" s="106">
        <v>5209</v>
      </c>
      <c r="AK284" s="106">
        <v>28</v>
      </c>
      <c r="AL284" s="106">
        <v>15</v>
      </c>
      <c r="AM284" s="106">
        <v>410</v>
      </c>
      <c r="AN284" s="106">
        <v>4752</v>
      </c>
      <c r="AO284" s="106">
        <v>90</v>
      </c>
      <c r="AP284" s="107">
        <v>1.1539213768824601</v>
      </c>
      <c r="AQ284" s="107">
        <v>0.60377358490566002</v>
      </c>
      <c r="AR284" s="107">
        <v>1.7458384084449901</v>
      </c>
      <c r="AS284" s="107">
        <v>1.5686274509803899</v>
      </c>
      <c r="AT284" s="107">
        <v>2.2421524663677102</v>
      </c>
      <c r="AU284" s="107">
        <v>1.05509964830012</v>
      </c>
      <c r="AV284" s="107">
        <v>0.56858564321250904</v>
      </c>
      <c r="AW284" s="107">
        <v>1.0567757977621199</v>
      </c>
      <c r="AX284" s="107">
        <v>2.9197080291970798</v>
      </c>
      <c r="AY284" s="107">
        <v>0</v>
      </c>
      <c r="AZ284" s="107">
        <v>1.1437586274896501</v>
      </c>
      <c r="BA284" s="107">
        <v>0</v>
      </c>
      <c r="BB284" s="107">
        <v>7.1428571428571397</v>
      </c>
      <c r="BC284" s="107">
        <v>0.73710073710073698</v>
      </c>
      <c r="BD284" s="107">
        <v>1.21317157712305</v>
      </c>
      <c r="BE284" s="107">
        <v>0</v>
      </c>
    </row>
    <row r="285" spans="2:57" ht="15" customHeight="1" x14ac:dyDescent="0.25">
      <c r="B285" s="91">
        <v>275</v>
      </c>
      <c r="C285" s="92" t="s">
        <v>504</v>
      </c>
      <c r="D285" s="92" t="s">
        <v>43</v>
      </c>
      <c r="E285" s="92" t="s">
        <v>14</v>
      </c>
      <c r="F285" s="92" t="s">
        <v>462</v>
      </c>
      <c r="G285" s="101" t="s">
        <v>501</v>
      </c>
      <c r="H285" s="94">
        <v>0</v>
      </c>
      <c r="I285" s="94">
        <v>0</v>
      </c>
      <c r="J285" s="94">
        <v>0</v>
      </c>
      <c r="K285" s="94">
        <v>0</v>
      </c>
      <c r="L285" s="94">
        <v>0</v>
      </c>
      <c r="M285" s="94">
        <v>0</v>
      </c>
      <c r="N285" s="94">
        <v>0</v>
      </c>
      <c r="O285" s="94">
        <v>0</v>
      </c>
      <c r="P285" s="94">
        <v>0</v>
      </c>
      <c r="Q285" s="95">
        <v>0</v>
      </c>
      <c r="R285" s="95">
        <v>0</v>
      </c>
      <c r="S285" s="95">
        <v>0</v>
      </c>
      <c r="T285" s="95">
        <v>0</v>
      </c>
      <c r="U285" s="95">
        <v>0</v>
      </c>
      <c r="V285" s="95">
        <v>0</v>
      </c>
      <c r="W285" s="95">
        <v>0</v>
      </c>
      <c r="X285" s="95">
        <v>0</v>
      </c>
      <c r="Y285" s="95">
        <v>0</v>
      </c>
      <c r="Z285" s="94">
        <v>0</v>
      </c>
      <c r="AA285" s="94">
        <v>0</v>
      </c>
      <c r="AB285" s="94">
        <v>0</v>
      </c>
      <c r="AC285" s="94">
        <v>0</v>
      </c>
      <c r="AD285" s="94">
        <v>0</v>
      </c>
      <c r="AE285" s="94">
        <v>0</v>
      </c>
      <c r="AF285" s="94">
        <v>0</v>
      </c>
      <c r="AG285" s="94">
        <v>0</v>
      </c>
      <c r="AH285" s="94">
        <v>0</v>
      </c>
      <c r="AI285" s="94">
        <v>0</v>
      </c>
      <c r="AJ285" s="94">
        <v>0</v>
      </c>
      <c r="AK285" s="94">
        <v>0</v>
      </c>
      <c r="AL285" s="94">
        <v>0</v>
      </c>
      <c r="AM285" s="94">
        <v>0</v>
      </c>
      <c r="AN285" s="94">
        <v>0</v>
      </c>
      <c r="AO285" s="94">
        <v>0</v>
      </c>
      <c r="AP285" s="95">
        <v>0</v>
      </c>
      <c r="AQ285" s="95">
        <v>0</v>
      </c>
      <c r="AR285" s="95">
        <v>0</v>
      </c>
      <c r="AS285" s="95">
        <v>0</v>
      </c>
      <c r="AT285" s="95">
        <v>0</v>
      </c>
      <c r="AU285" s="95">
        <v>0</v>
      </c>
      <c r="AV285" s="95">
        <v>0</v>
      </c>
      <c r="AW285" s="95">
        <v>0</v>
      </c>
      <c r="AX285" s="95">
        <v>0</v>
      </c>
      <c r="AY285" s="95">
        <v>0</v>
      </c>
      <c r="AZ285" s="95">
        <v>0</v>
      </c>
      <c r="BA285" s="95">
        <v>0</v>
      </c>
      <c r="BB285" s="95">
        <v>0</v>
      </c>
      <c r="BC285" s="95">
        <v>0</v>
      </c>
      <c r="BD285" s="95">
        <v>0</v>
      </c>
      <c r="BE285" s="95">
        <v>0</v>
      </c>
    </row>
    <row r="286" spans="2:57" ht="15" customHeight="1" x14ac:dyDescent="0.25">
      <c r="B286" s="91">
        <v>276</v>
      </c>
      <c r="C286" s="92" t="s">
        <v>504</v>
      </c>
      <c r="D286" s="92" t="s">
        <v>43</v>
      </c>
      <c r="E286" s="92" t="s">
        <v>14</v>
      </c>
      <c r="F286" s="92" t="s">
        <v>462</v>
      </c>
      <c r="G286" s="101" t="s">
        <v>502</v>
      </c>
      <c r="H286" s="94">
        <v>3521</v>
      </c>
      <c r="I286" s="94">
        <v>1856</v>
      </c>
      <c r="J286" s="94">
        <v>1665</v>
      </c>
      <c r="K286" s="94">
        <v>96</v>
      </c>
      <c r="L286" s="94">
        <v>649</v>
      </c>
      <c r="M286" s="94">
        <v>1729</v>
      </c>
      <c r="N286" s="94">
        <v>1047</v>
      </c>
      <c r="O286" s="94">
        <v>3520</v>
      </c>
      <c r="P286" s="94">
        <v>1</v>
      </c>
      <c r="Q286" s="95">
        <v>5.9119125036949501E-2</v>
      </c>
      <c r="R286" s="95">
        <v>5.6785917092560999E-2</v>
      </c>
      <c r="S286" s="95">
        <v>6.1652281134402E-2</v>
      </c>
      <c r="T286" s="95">
        <v>1.19047619047619</v>
      </c>
      <c r="U286" s="95">
        <v>0.162866449511401</v>
      </c>
      <c r="V286" s="95">
        <v>0</v>
      </c>
      <c r="W286" s="95">
        <v>0</v>
      </c>
      <c r="X286" s="95">
        <v>5.9136605558840899E-2</v>
      </c>
      <c r="Y286" s="95">
        <v>0</v>
      </c>
      <c r="Z286" s="94">
        <v>5252</v>
      </c>
      <c r="AA286" s="94">
        <v>2735</v>
      </c>
      <c r="AB286" s="94">
        <v>2517</v>
      </c>
      <c r="AC286" s="94">
        <v>270</v>
      </c>
      <c r="AD286" s="94">
        <v>942</v>
      </c>
      <c r="AE286" s="94">
        <v>2622</v>
      </c>
      <c r="AF286" s="94">
        <v>1418</v>
      </c>
      <c r="AG286" s="94">
        <v>4937</v>
      </c>
      <c r="AH286" s="94">
        <v>295</v>
      </c>
      <c r="AI286" s="94">
        <v>20</v>
      </c>
      <c r="AJ286" s="94">
        <v>5209</v>
      </c>
      <c r="AK286" s="94">
        <v>28</v>
      </c>
      <c r="AL286" s="94">
        <v>15</v>
      </c>
      <c r="AM286" s="94">
        <v>410</v>
      </c>
      <c r="AN286" s="94">
        <v>4752</v>
      </c>
      <c r="AO286" s="94">
        <v>90</v>
      </c>
      <c r="AP286" s="95">
        <v>1.1539213768824601</v>
      </c>
      <c r="AQ286" s="95">
        <v>0.60377358490566002</v>
      </c>
      <c r="AR286" s="95">
        <v>1.7458384084449901</v>
      </c>
      <c r="AS286" s="95">
        <v>1.5686274509803899</v>
      </c>
      <c r="AT286" s="95">
        <v>2.2421524663677102</v>
      </c>
      <c r="AU286" s="95">
        <v>1.05509964830012</v>
      </c>
      <c r="AV286" s="95">
        <v>0.56858564321250904</v>
      </c>
      <c r="AW286" s="95">
        <v>1.0567757977621199</v>
      </c>
      <c r="AX286" s="95">
        <v>2.9197080291970798</v>
      </c>
      <c r="AY286" s="95">
        <v>0</v>
      </c>
      <c r="AZ286" s="95">
        <v>1.1437586274896501</v>
      </c>
      <c r="BA286" s="95">
        <v>0</v>
      </c>
      <c r="BB286" s="95">
        <v>7.1428571428571397</v>
      </c>
      <c r="BC286" s="95">
        <v>0.73710073710073698</v>
      </c>
      <c r="BD286" s="95">
        <v>1.21317157712305</v>
      </c>
      <c r="BE286" s="95">
        <v>0</v>
      </c>
    </row>
    <row r="287" spans="2:57" ht="15" customHeight="1" x14ac:dyDescent="0.25">
      <c r="B287" s="96">
        <v>277</v>
      </c>
      <c r="C287" s="97" t="s">
        <v>504</v>
      </c>
      <c r="D287" s="104" t="s">
        <v>43</v>
      </c>
      <c r="E287" s="104" t="s">
        <v>14</v>
      </c>
      <c r="F287" s="104" t="s">
        <v>463</v>
      </c>
      <c r="G287" s="105" t="s">
        <v>463</v>
      </c>
      <c r="H287" s="106">
        <v>8336</v>
      </c>
      <c r="I287" s="106">
        <v>4362</v>
      </c>
      <c r="J287" s="106">
        <v>3974</v>
      </c>
      <c r="K287" s="106">
        <v>365</v>
      </c>
      <c r="L287" s="106">
        <v>1821</v>
      </c>
      <c r="M287" s="106">
        <v>4082</v>
      </c>
      <c r="N287" s="106">
        <v>2068</v>
      </c>
      <c r="O287" s="106">
        <v>8333</v>
      </c>
      <c r="P287" s="106">
        <v>3</v>
      </c>
      <c r="Q287" s="107">
        <v>0.10094637223974801</v>
      </c>
      <c r="R287" s="107">
        <v>0.16990291262135901</v>
      </c>
      <c r="S287" s="107">
        <v>2.6281208935610999E-2</v>
      </c>
      <c r="T287" s="107">
        <v>0</v>
      </c>
      <c r="U287" s="107">
        <v>0.116414435389988</v>
      </c>
      <c r="V287" s="107">
        <v>0.127746550843127</v>
      </c>
      <c r="W287" s="107">
        <v>5.0479555779909098E-2</v>
      </c>
      <c r="X287" s="107">
        <v>0.100971854095671</v>
      </c>
      <c r="Y287" s="107">
        <v>0</v>
      </c>
      <c r="Z287" s="106">
        <v>10471</v>
      </c>
      <c r="AA287" s="106">
        <v>5428</v>
      </c>
      <c r="AB287" s="106">
        <v>5043</v>
      </c>
      <c r="AC287" s="106">
        <v>547</v>
      </c>
      <c r="AD287" s="106">
        <v>2137</v>
      </c>
      <c r="AE287" s="106">
        <v>5222</v>
      </c>
      <c r="AF287" s="106">
        <v>2565</v>
      </c>
      <c r="AG287" s="106">
        <v>9756</v>
      </c>
      <c r="AH287" s="106">
        <v>649</v>
      </c>
      <c r="AI287" s="106">
        <v>66</v>
      </c>
      <c r="AJ287" s="106">
        <v>10424</v>
      </c>
      <c r="AK287" s="106">
        <v>13</v>
      </c>
      <c r="AL287" s="106">
        <v>34</v>
      </c>
      <c r="AM287" s="106">
        <v>699</v>
      </c>
      <c r="AN287" s="106">
        <v>9650</v>
      </c>
      <c r="AO287" s="106">
        <v>122</v>
      </c>
      <c r="AP287" s="107">
        <v>1.4207650273224</v>
      </c>
      <c r="AQ287" s="107">
        <v>0.76204991426938495</v>
      </c>
      <c r="AR287" s="107">
        <v>2.1387043189368802</v>
      </c>
      <c r="AS287" s="107">
        <v>1.34615384615385</v>
      </c>
      <c r="AT287" s="107">
        <v>2.42814667988107</v>
      </c>
      <c r="AU287" s="107">
        <v>1.49075730471079</v>
      </c>
      <c r="AV287" s="107">
        <v>0.480769230769231</v>
      </c>
      <c r="AW287" s="107">
        <v>1.3425679275439499</v>
      </c>
      <c r="AX287" s="107">
        <v>2.7419354838709702</v>
      </c>
      <c r="AY287" s="107">
        <v>0</v>
      </c>
      <c r="AZ287" s="107">
        <v>1.4171656686626699</v>
      </c>
      <c r="BA287" s="107">
        <v>0</v>
      </c>
      <c r="BB287" s="107">
        <v>3.125</v>
      </c>
      <c r="BC287" s="107">
        <v>0.58565153733528597</v>
      </c>
      <c r="BD287" s="107">
        <v>1.48931577811353</v>
      </c>
      <c r="BE287" s="107">
        <v>0.86206896551724099</v>
      </c>
    </row>
    <row r="288" spans="2:57" ht="15" customHeight="1" x14ac:dyDescent="0.25">
      <c r="B288" s="91">
        <v>278</v>
      </c>
      <c r="C288" s="92" t="s">
        <v>504</v>
      </c>
      <c r="D288" s="92" t="s">
        <v>43</v>
      </c>
      <c r="E288" s="92" t="s">
        <v>14</v>
      </c>
      <c r="F288" s="92" t="s">
        <v>463</v>
      </c>
      <c r="G288" s="101" t="s">
        <v>501</v>
      </c>
      <c r="H288" s="94">
        <v>0</v>
      </c>
      <c r="I288" s="94">
        <v>0</v>
      </c>
      <c r="J288" s="94">
        <v>0</v>
      </c>
      <c r="K288" s="94">
        <v>0</v>
      </c>
      <c r="L288" s="94">
        <v>0</v>
      </c>
      <c r="M288" s="94">
        <v>0</v>
      </c>
      <c r="N288" s="94">
        <v>0</v>
      </c>
      <c r="O288" s="94">
        <v>0</v>
      </c>
      <c r="P288" s="94">
        <v>0</v>
      </c>
      <c r="Q288" s="95">
        <v>0</v>
      </c>
      <c r="R288" s="95">
        <v>0</v>
      </c>
      <c r="S288" s="95">
        <v>0</v>
      </c>
      <c r="T288" s="95">
        <v>0</v>
      </c>
      <c r="U288" s="95">
        <v>0</v>
      </c>
      <c r="V288" s="95">
        <v>0</v>
      </c>
      <c r="W288" s="95">
        <v>0</v>
      </c>
      <c r="X288" s="95">
        <v>0</v>
      </c>
      <c r="Y288" s="95">
        <v>0</v>
      </c>
      <c r="Z288" s="94">
        <v>0</v>
      </c>
      <c r="AA288" s="94">
        <v>0</v>
      </c>
      <c r="AB288" s="94">
        <v>0</v>
      </c>
      <c r="AC288" s="94">
        <v>0</v>
      </c>
      <c r="AD288" s="94">
        <v>0</v>
      </c>
      <c r="AE288" s="94">
        <v>0</v>
      </c>
      <c r="AF288" s="94">
        <v>0</v>
      </c>
      <c r="AG288" s="94">
        <v>0</v>
      </c>
      <c r="AH288" s="94">
        <v>0</v>
      </c>
      <c r="AI288" s="94">
        <v>0</v>
      </c>
      <c r="AJ288" s="94">
        <v>0</v>
      </c>
      <c r="AK288" s="94">
        <v>0</v>
      </c>
      <c r="AL288" s="94">
        <v>0</v>
      </c>
      <c r="AM288" s="94">
        <v>0</v>
      </c>
      <c r="AN288" s="94">
        <v>0</v>
      </c>
      <c r="AO288" s="94">
        <v>0</v>
      </c>
      <c r="AP288" s="95">
        <v>0</v>
      </c>
      <c r="AQ288" s="95">
        <v>0</v>
      </c>
      <c r="AR288" s="95">
        <v>0</v>
      </c>
      <c r="AS288" s="95">
        <v>0</v>
      </c>
      <c r="AT288" s="95">
        <v>0</v>
      </c>
      <c r="AU288" s="95">
        <v>0</v>
      </c>
      <c r="AV288" s="95">
        <v>0</v>
      </c>
      <c r="AW288" s="95">
        <v>0</v>
      </c>
      <c r="AX288" s="95">
        <v>0</v>
      </c>
      <c r="AY288" s="95">
        <v>0</v>
      </c>
      <c r="AZ288" s="95">
        <v>0</v>
      </c>
      <c r="BA288" s="95">
        <v>0</v>
      </c>
      <c r="BB288" s="95">
        <v>0</v>
      </c>
      <c r="BC288" s="95">
        <v>0</v>
      </c>
      <c r="BD288" s="95">
        <v>0</v>
      </c>
      <c r="BE288" s="95">
        <v>0</v>
      </c>
    </row>
    <row r="289" spans="2:57" ht="15" customHeight="1" x14ac:dyDescent="0.25">
      <c r="B289" s="91">
        <v>279</v>
      </c>
      <c r="C289" s="92" t="s">
        <v>504</v>
      </c>
      <c r="D289" s="92" t="s">
        <v>43</v>
      </c>
      <c r="E289" s="92" t="s">
        <v>14</v>
      </c>
      <c r="F289" s="92" t="s">
        <v>463</v>
      </c>
      <c r="G289" s="101" t="s">
        <v>502</v>
      </c>
      <c r="H289" s="94">
        <v>8336</v>
      </c>
      <c r="I289" s="94">
        <v>4362</v>
      </c>
      <c r="J289" s="94">
        <v>3974</v>
      </c>
      <c r="K289" s="94">
        <v>365</v>
      </c>
      <c r="L289" s="94">
        <v>1821</v>
      </c>
      <c r="M289" s="94">
        <v>4082</v>
      </c>
      <c r="N289" s="94">
        <v>2068</v>
      </c>
      <c r="O289" s="94">
        <v>8333</v>
      </c>
      <c r="P289" s="94">
        <v>3</v>
      </c>
      <c r="Q289" s="95">
        <v>0.10094637223974801</v>
      </c>
      <c r="R289" s="95">
        <v>0.16990291262135901</v>
      </c>
      <c r="S289" s="95">
        <v>2.6281208935610999E-2</v>
      </c>
      <c r="T289" s="95">
        <v>0</v>
      </c>
      <c r="U289" s="95">
        <v>0.116414435389988</v>
      </c>
      <c r="V289" s="95">
        <v>0.127746550843127</v>
      </c>
      <c r="W289" s="95">
        <v>5.0479555779909098E-2</v>
      </c>
      <c r="X289" s="95">
        <v>0.100971854095671</v>
      </c>
      <c r="Y289" s="95">
        <v>0</v>
      </c>
      <c r="Z289" s="94">
        <v>10471</v>
      </c>
      <c r="AA289" s="94">
        <v>5428</v>
      </c>
      <c r="AB289" s="94">
        <v>5043</v>
      </c>
      <c r="AC289" s="94">
        <v>547</v>
      </c>
      <c r="AD289" s="94">
        <v>2137</v>
      </c>
      <c r="AE289" s="94">
        <v>5222</v>
      </c>
      <c r="AF289" s="94">
        <v>2565</v>
      </c>
      <c r="AG289" s="94">
        <v>9756</v>
      </c>
      <c r="AH289" s="94">
        <v>649</v>
      </c>
      <c r="AI289" s="94">
        <v>66</v>
      </c>
      <c r="AJ289" s="94">
        <v>10424</v>
      </c>
      <c r="AK289" s="94">
        <v>13</v>
      </c>
      <c r="AL289" s="94">
        <v>34</v>
      </c>
      <c r="AM289" s="94">
        <v>699</v>
      </c>
      <c r="AN289" s="94">
        <v>9650</v>
      </c>
      <c r="AO289" s="94">
        <v>122</v>
      </c>
      <c r="AP289" s="95">
        <v>1.4207650273224</v>
      </c>
      <c r="AQ289" s="95">
        <v>0.76204991426938495</v>
      </c>
      <c r="AR289" s="95">
        <v>2.1387043189368802</v>
      </c>
      <c r="AS289" s="95">
        <v>1.34615384615385</v>
      </c>
      <c r="AT289" s="95">
        <v>2.42814667988107</v>
      </c>
      <c r="AU289" s="95">
        <v>1.49075730471079</v>
      </c>
      <c r="AV289" s="95">
        <v>0.480769230769231</v>
      </c>
      <c r="AW289" s="95">
        <v>1.3425679275439499</v>
      </c>
      <c r="AX289" s="95">
        <v>2.7419354838709702</v>
      </c>
      <c r="AY289" s="95">
        <v>0</v>
      </c>
      <c r="AZ289" s="95">
        <v>1.4171656686626699</v>
      </c>
      <c r="BA289" s="95">
        <v>0</v>
      </c>
      <c r="BB289" s="95">
        <v>3.125</v>
      </c>
      <c r="BC289" s="95">
        <v>0.58565153733528597</v>
      </c>
      <c r="BD289" s="95">
        <v>1.48931577811353</v>
      </c>
      <c r="BE289" s="95">
        <v>0.86206896551724099</v>
      </c>
    </row>
    <row r="290" spans="2:57" ht="15" customHeight="1" x14ac:dyDescent="0.25">
      <c r="B290" s="96">
        <v>280</v>
      </c>
      <c r="C290" s="97" t="s">
        <v>504</v>
      </c>
      <c r="D290" s="104" t="s">
        <v>43</v>
      </c>
      <c r="E290" s="104" t="s">
        <v>14</v>
      </c>
      <c r="F290" s="104" t="s">
        <v>123</v>
      </c>
      <c r="G290" s="105" t="s">
        <v>123</v>
      </c>
      <c r="H290" s="106">
        <v>4023</v>
      </c>
      <c r="I290" s="106">
        <v>2101</v>
      </c>
      <c r="J290" s="106">
        <v>1922</v>
      </c>
      <c r="K290" s="106">
        <v>151</v>
      </c>
      <c r="L290" s="106">
        <v>670</v>
      </c>
      <c r="M290" s="106">
        <v>2011</v>
      </c>
      <c r="N290" s="106">
        <v>1191</v>
      </c>
      <c r="O290" s="106">
        <v>4014</v>
      </c>
      <c r="P290" s="106">
        <v>9</v>
      </c>
      <c r="Q290" s="107">
        <v>0.154162384378212</v>
      </c>
      <c r="R290" s="107">
        <v>4.94071146245059E-2</v>
      </c>
      <c r="S290" s="107">
        <v>0.26766595289079198</v>
      </c>
      <c r="T290" s="107">
        <v>0</v>
      </c>
      <c r="U290" s="107">
        <v>0.156494522691706</v>
      </c>
      <c r="V290" s="107">
        <v>0.20554984583761601</v>
      </c>
      <c r="W290" s="107">
        <v>8.5178875638841606E-2</v>
      </c>
      <c r="X290" s="107">
        <v>0.154519701261911</v>
      </c>
      <c r="Y290" s="107">
        <v>0</v>
      </c>
      <c r="Z290" s="106">
        <v>4934</v>
      </c>
      <c r="AA290" s="106">
        <v>2460</v>
      </c>
      <c r="AB290" s="106">
        <v>2474</v>
      </c>
      <c r="AC290" s="106">
        <v>235</v>
      </c>
      <c r="AD290" s="106">
        <v>828</v>
      </c>
      <c r="AE290" s="106">
        <v>2386</v>
      </c>
      <c r="AF290" s="106">
        <v>1485</v>
      </c>
      <c r="AG290" s="106">
        <v>4523</v>
      </c>
      <c r="AH290" s="106">
        <v>402</v>
      </c>
      <c r="AI290" s="106">
        <v>9</v>
      </c>
      <c r="AJ290" s="106">
        <v>4913</v>
      </c>
      <c r="AK290" s="106">
        <v>12</v>
      </c>
      <c r="AL290" s="106">
        <v>9</v>
      </c>
      <c r="AM290" s="106">
        <v>345</v>
      </c>
      <c r="AN290" s="106">
        <v>4566</v>
      </c>
      <c r="AO290" s="106">
        <v>23</v>
      </c>
      <c r="AP290" s="107">
        <v>1.06494048861975</v>
      </c>
      <c r="AQ290" s="107">
        <v>0.62787777312683102</v>
      </c>
      <c r="AR290" s="107">
        <v>1.5</v>
      </c>
      <c r="AS290" s="107">
        <v>0.45454545454545497</v>
      </c>
      <c r="AT290" s="107">
        <v>1.89393939393939</v>
      </c>
      <c r="AU290" s="107">
        <v>1.2084592145015101</v>
      </c>
      <c r="AV290" s="107">
        <v>0.47945205479452102</v>
      </c>
      <c r="AW290" s="107">
        <v>1.0681818181818199</v>
      </c>
      <c r="AX290" s="107">
        <v>1.04712041884817</v>
      </c>
      <c r="AY290" s="107">
        <v>0</v>
      </c>
      <c r="AZ290" s="107">
        <v>1.06918238993711</v>
      </c>
      <c r="BA290" s="107">
        <v>0</v>
      </c>
      <c r="BB290" s="107">
        <v>0</v>
      </c>
      <c r="BC290" s="107">
        <v>0.88235294117647101</v>
      </c>
      <c r="BD290" s="107">
        <v>1.06142728093948</v>
      </c>
      <c r="BE290" s="107">
        <v>4.7619047619047601</v>
      </c>
    </row>
    <row r="291" spans="2:57" ht="15" customHeight="1" x14ac:dyDescent="0.25">
      <c r="B291" s="91">
        <v>281</v>
      </c>
      <c r="C291" s="92" t="s">
        <v>504</v>
      </c>
      <c r="D291" s="92" t="s">
        <v>43</v>
      </c>
      <c r="E291" s="92" t="s">
        <v>14</v>
      </c>
      <c r="F291" s="92" t="s">
        <v>123</v>
      </c>
      <c r="G291" s="101" t="s">
        <v>501</v>
      </c>
      <c r="H291" s="94">
        <v>0</v>
      </c>
      <c r="I291" s="94">
        <v>0</v>
      </c>
      <c r="J291" s="94">
        <v>0</v>
      </c>
      <c r="K291" s="94">
        <v>0</v>
      </c>
      <c r="L291" s="94">
        <v>0</v>
      </c>
      <c r="M291" s="94">
        <v>0</v>
      </c>
      <c r="N291" s="94">
        <v>0</v>
      </c>
      <c r="O291" s="94">
        <v>0</v>
      </c>
      <c r="P291" s="94">
        <v>0</v>
      </c>
      <c r="Q291" s="95">
        <v>0</v>
      </c>
      <c r="R291" s="95">
        <v>0</v>
      </c>
      <c r="S291" s="95">
        <v>0</v>
      </c>
      <c r="T291" s="95">
        <v>0</v>
      </c>
      <c r="U291" s="95">
        <v>0</v>
      </c>
      <c r="V291" s="95">
        <v>0</v>
      </c>
      <c r="W291" s="95">
        <v>0</v>
      </c>
      <c r="X291" s="95">
        <v>0</v>
      </c>
      <c r="Y291" s="95">
        <v>0</v>
      </c>
      <c r="Z291" s="94">
        <v>0</v>
      </c>
      <c r="AA291" s="94">
        <v>0</v>
      </c>
      <c r="AB291" s="94">
        <v>0</v>
      </c>
      <c r="AC291" s="94">
        <v>0</v>
      </c>
      <c r="AD291" s="94">
        <v>0</v>
      </c>
      <c r="AE291" s="94">
        <v>0</v>
      </c>
      <c r="AF291" s="94">
        <v>0</v>
      </c>
      <c r="AG291" s="94">
        <v>0</v>
      </c>
      <c r="AH291" s="94">
        <v>0</v>
      </c>
      <c r="AI291" s="94">
        <v>0</v>
      </c>
      <c r="AJ291" s="94">
        <v>0</v>
      </c>
      <c r="AK291" s="94">
        <v>0</v>
      </c>
      <c r="AL291" s="94">
        <v>0</v>
      </c>
      <c r="AM291" s="94">
        <v>0</v>
      </c>
      <c r="AN291" s="94">
        <v>0</v>
      </c>
      <c r="AO291" s="94">
        <v>0</v>
      </c>
      <c r="AP291" s="95">
        <v>0</v>
      </c>
      <c r="AQ291" s="95">
        <v>0</v>
      </c>
      <c r="AR291" s="95">
        <v>0</v>
      </c>
      <c r="AS291" s="95">
        <v>0</v>
      </c>
      <c r="AT291" s="95">
        <v>0</v>
      </c>
      <c r="AU291" s="95">
        <v>0</v>
      </c>
      <c r="AV291" s="95">
        <v>0</v>
      </c>
      <c r="AW291" s="95">
        <v>0</v>
      </c>
      <c r="AX291" s="95">
        <v>0</v>
      </c>
      <c r="AY291" s="95">
        <v>0</v>
      </c>
      <c r="AZ291" s="95">
        <v>0</v>
      </c>
      <c r="BA291" s="95">
        <v>0</v>
      </c>
      <c r="BB291" s="95">
        <v>0</v>
      </c>
      <c r="BC291" s="95">
        <v>0</v>
      </c>
      <c r="BD291" s="95">
        <v>0</v>
      </c>
      <c r="BE291" s="95">
        <v>0</v>
      </c>
    </row>
    <row r="292" spans="2:57" ht="15" customHeight="1" x14ac:dyDescent="0.25">
      <c r="B292" s="91">
        <v>282</v>
      </c>
      <c r="C292" s="92" t="s">
        <v>504</v>
      </c>
      <c r="D292" s="92" t="s">
        <v>43</v>
      </c>
      <c r="E292" s="92" t="s">
        <v>14</v>
      </c>
      <c r="F292" s="92" t="s">
        <v>123</v>
      </c>
      <c r="G292" s="101" t="s">
        <v>502</v>
      </c>
      <c r="H292" s="94">
        <v>4023</v>
      </c>
      <c r="I292" s="94">
        <v>2101</v>
      </c>
      <c r="J292" s="94">
        <v>1922</v>
      </c>
      <c r="K292" s="94">
        <v>151</v>
      </c>
      <c r="L292" s="94">
        <v>670</v>
      </c>
      <c r="M292" s="94">
        <v>2011</v>
      </c>
      <c r="N292" s="94">
        <v>1191</v>
      </c>
      <c r="O292" s="94">
        <v>4014</v>
      </c>
      <c r="P292" s="94">
        <v>9</v>
      </c>
      <c r="Q292" s="95">
        <v>0.154162384378212</v>
      </c>
      <c r="R292" s="95">
        <v>4.94071146245059E-2</v>
      </c>
      <c r="S292" s="95">
        <v>0.26766595289079198</v>
      </c>
      <c r="T292" s="95">
        <v>0</v>
      </c>
      <c r="U292" s="95">
        <v>0.156494522691706</v>
      </c>
      <c r="V292" s="95">
        <v>0.20554984583761601</v>
      </c>
      <c r="W292" s="95">
        <v>8.5178875638841606E-2</v>
      </c>
      <c r="X292" s="95">
        <v>0.154519701261911</v>
      </c>
      <c r="Y292" s="95">
        <v>0</v>
      </c>
      <c r="Z292" s="94">
        <v>4934</v>
      </c>
      <c r="AA292" s="94">
        <v>2460</v>
      </c>
      <c r="AB292" s="94">
        <v>2474</v>
      </c>
      <c r="AC292" s="94">
        <v>235</v>
      </c>
      <c r="AD292" s="94">
        <v>828</v>
      </c>
      <c r="AE292" s="94">
        <v>2386</v>
      </c>
      <c r="AF292" s="94">
        <v>1485</v>
      </c>
      <c r="AG292" s="94">
        <v>4523</v>
      </c>
      <c r="AH292" s="94">
        <v>402</v>
      </c>
      <c r="AI292" s="94">
        <v>9</v>
      </c>
      <c r="AJ292" s="94">
        <v>4913</v>
      </c>
      <c r="AK292" s="94">
        <v>12</v>
      </c>
      <c r="AL292" s="94">
        <v>9</v>
      </c>
      <c r="AM292" s="94">
        <v>345</v>
      </c>
      <c r="AN292" s="94">
        <v>4566</v>
      </c>
      <c r="AO292" s="94">
        <v>23</v>
      </c>
      <c r="AP292" s="95">
        <v>1.06494048861975</v>
      </c>
      <c r="AQ292" s="95">
        <v>0.62787777312683102</v>
      </c>
      <c r="AR292" s="95">
        <v>1.5</v>
      </c>
      <c r="AS292" s="95">
        <v>0.45454545454545497</v>
      </c>
      <c r="AT292" s="95">
        <v>1.89393939393939</v>
      </c>
      <c r="AU292" s="95">
        <v>1.2084592145015101</v>
      </c>
      <c r="AV292" s="95">
        <v>0.47945205479452102</v>
      </c>
      <c r="AW292" s="95">
        <v>1.0681818181818199</v>
      </c>
      <c r="AX292" s="95">
        <v>1.04712041884817</v>
      </c>
      <c r="AY292" s="95">
        <v>0</v>
      </c>
      <c r="AZ292" s="95">
        <v>1.06918238993711</v>
      </c>
      <c r="BA292" s="95">
        <v>0</v>
      </c>
      <c r="BB292" s="95">
        <v>0</v>
      </c>
      <c r="BC292" s="95">
        <v>0.88235294117647101</v>
      </c>
      <c r="BD292" s="95">
        <v>1.06142728093948</v>
      </c>
      <c r="BE292" s="95">
        <v>4.7619047619047601</v>
      </c>
    </row>
    <row r="293" spans="2:57" ht="15" customHeight="1" x14ac:dyDescent="0.25">
      <c r="B293" s="86">
        <v>283</v>
      </c>
      <c r="C293" s="87" t="s">
        <v>503</v>
      </c>
      <c r="D293" s="103" t="s">
        <v>43</v>
      </c>
      <c r="E293" s="103" t="s">
        <v>356</v>
      </c>
      <c r="F293" s="103"/>
      <c r="G293" s="88" t="s">
        <v>356</v>
      </c>
      <c r="H293" s="89">
        <v>27076</v>
      </c>
      <c r="I293" s="89">
        <v>15159</v>
      </c>
      <c r="J293" s="89">
        <v>11917</v>
      </c>
      <c r="K293" s="89">
        <v>1805</v>
      </c>
      <c r="L293" s="89">
        <v>6423</v>
      </c>
      <c r="M293" s="89">
        <v>13921</v>
      </c>
      <c r="N293" s="89">
        <v>4927</v>
      </c>
      <c r="O293" s="89">
        <v>27056</v>
      </c>
      <c r="P293" s="89">
        <v>20</v>
      </c>
      <c r="Q293" s="90">
        <v>9.1971642077026294E-2</v>
      </c>
      <c r="R293" s="90">
        <v>8.8888888888888906E-2</v>
      </c>
      <c r="S293" s="90">
        <v>9.5902353966870094E-2</v>
      </c>
      <c r="T293" s="90">
        <v>5.9206631142688003E-2</v>
      </c>
      <c r="U293" s="90">
        <v>9.7560975609756101E-2</v>
      </c>
      <c r="V293" s="90">
        <v>8.1517711575515003E-2</v>
      </c>
      <c r="W293" s="90">
        <v>0.12599748005039901</v>
      </c>
      <c r="X293" s="90">
        <v>9.2038656235619007E-2</v>
      </c>
      <c r="Y293" s="90">
        <v>0</v>
      </c>
      <c r="Z293" s="89">
        <v>35922</v>
      </c>
      <c r="AA293" s="89">
        <v>19575</v>
      </c>
      <c r="AB293" s="89">
        <v>16347</v>
      </c>
      <c r="AC293" s="89">
        <v>1879</v>
      </c>
      <c r="AD293" s="89">
        <v>8989</v>
      </c>
      <c r="AE293" s="89">
        <v>18069</v>
      </c>
      <c r="AF293" s="89">
        <v>6985</v>
      </c>
      <c r="AG293" s="89">
        <v>31846</v>
      </c>
      <c r="AH293" s="89">
        <v>3942</v>
      </c>
      <c r="AI293" s="89">
        <v>134</v>
      </c>
      <c r="AJ293" s="89">
        <v>35751</v>
      </c>
      <c r="AK293" s="89">
        <v>73</v>
      </c>
      <c r="AL293" s="89">
        <v>98</v>
      </c>
      <c r="AM293" s="89">
        <v>1942</v>
      </c>
      <c r="AN293" s="89">
        <v>33584</v>
      </c>
      <c r="AO293" s="89">
        <v>396</v>
      </c>
      <c r="AP293" s="90">
        <v>0.90441873151683905</v>
      </c>
      <c r="AQ293" s="90">
        <v>0.34564021995286698</v>
      </c>
      <c r="AR293" s="90">
        <v>1.58256006101436</v>
      </c>
      <c r="AS293" s="90">
        <v>1.0215664018161199</v>
      </c>
      <c r="AT293" s="90">
        <v>1.0773864689527299</v>
      </c>
      <c r="AU293" s="90">
        <v>0.99954566106315301</v>
      </c>
      <c r="AV293" s="90">
        <v>0.410136223817196</v>
      </c>
      <c r="AW293" s="90">
        <v>0.86697722567287805</v>
      </c>
      <c r="AX293" s="90">
        <v>1.2150026413100901</v>
      </c>
      <c r="AY293" s="90">
        <v>0.76335877862595403</v>
      </c>
      <c r="AZ293" s="90">
        <v>0.90292802538583605</v>
      </c>
      <c r="BA293" s="90">
        <v>2.8571428571428599</v>
      </c>
      <c r="BB293" s="90">
        <v>0</v>
      </c>
      <c r="BC293" s="90">
        <v>0.84656084656084696</v>
      </c>
      <c r="BD293" s="90">
        <v>0.91233028199299604</v>
      </c>
      <c r="BE293" s="90">
        <v>0.51948051948051899</v>
      </c>
    </row>
    <row r="294" spans="2:57" ht="15" customHeight="1" x14ac:dyDescent="0.25">
      <c r="B294" s="91">
        <v>284</v>
      </c>
      <c r="C294" s="92" t="s">
        <v>503</v>
      </c>
      <c r="D294" s="92" t="s">
        <v>43</v>
      </c>
      <c r="E294" s="92" t="s">
        <v>356</v>
      </c>
      <c r="F294" s="92"/>
      <c r="G294" s="93" t="s">
        <v>501</v>
      </c>
      <c r="H294" s="94">
        <v>0</v>
      </c>
      <c r="I294" s="94">
        <v>0</v>
      </c>
      <c r="J294" s="94">
        <v>0</v>
      </c>
      <c r="K294" s="94">
        <v>0</v>
      </c>
      <c r="L294" s="94">
        <v>0</v>
      </c>
      <c r="M294" s="94">
        <v>0</v>
      </c>
      <c r="N294" s="94">
        <v>0</v>
      </c>
      <c r="O294" s="94">
        <v>0</v>
      </c>
      <c r="P294" s="94">
        <v>0</v>
      </c>
      <c r="Q294" s="95">
        <v>0</v>
      </c>
      <c r="R294" s="95">
        <v>0</v>
      </c>
      <c r="S294" s="95">
        <v>0</v>
      </c>
      <c r="T294" s="95">
        <v>0</v>
      </c>
      <c r="U294" s="95">
        <v>0</v>
      </c>
      <c r="V294" s="95">
        <v>0</v>
      </c>
      <c r="W294" s="95">
        <v>0</v>
      </c>
      <c r="X294" s="95">
        <v>0</v>
      </c>
      <c r="Y294" s="95">
        <v>0</v>
      </c>
      <c r="Z294" s="94">
        <v>1369</v>
      </c>
      <c r="AA294" s="94">
        <v>897</v>
      </c>
      <c r="AB294" s="94">
        <v>472</v>
      </c>
      <c r="AC294" s="94">
        <v>81</v>
      </c>
      <c r="AD294" s="94">
        <v>406</v>
      </c>
      <c r="AE294" s="94">
        <v>689</v>
      </c>
      <c r="AF294" s="94">
        <v>193</v>
      </c>
      <c r="AG294" s="94">
        <v>779</v>
      </c>
      <c r="AH294" s="94">
        <v>576</v>
      </c>
      <c r="AI294" s="94">
        <v>14</v>
      </c>
      <c r="AJ294" s="94">
        <v>1366</v>
      </c>
      <c r="AK294" s="94">
        <v>0</v>
      </c>
      <c r="AL294" s="94">
        <v>3</v>
      </c>
      <c r="AM294" s="94">
        <v>69</v>
      </c>
      <c r="AN294" s="94">
        <v>1292</v>
      </c>
      <c r="AO294" s="94">
        <v>8</v>
      </c>
      <c r="AP294" s="95">
        <v>0.98784194528875402</v>
      </c>
      <c r="AQ294" s="95">
        <v>0.229885057471264</v>
      </c>
      <c r="AR294" s="95">
        <v>2.4663677130044799</v>
      </c>
      <c r="AS294" s="95">
        <v>0</v>
      </c>
      <c r="AT294" s="95">
        <v>0.258397932816538</v>
      </c>
      <c r="AU294" s="95">
        <v>1.35135135135135</v>
      </c>
      <c r="AV294" s="95">
        <v>1.6304347826087</v>
      </c>
      <c r="AW294" s="95">
        <v>1.2</v>
      </c>
      <c r="AX294" s="95">
        <v>0.54347826086956497</v>
      </c>
      <c r="AY294" s="95">
        <v>7.1428571428571397</v>
      </c>
      <c r="AZ294" s="95">
        <v>0.99009900990098998</v>
      </c>
      <c r="BA294" s="95">
        <v>0</v>
      </c>
      <c r="BB294" s="95">
        <v>0</v>
      </c>
      <c r="BC294" s="95">
        <v>0</v>
      </c>
      <c r="BD294" s="95">
        <v>1.04838709677419</v>
      </c>
      <c r="BE294" s="95">
        <v>0</v>
      </c>
    </row>
    <row r="295" spans="2:57" ht="15" customHeight="1" x14ac:dyDescent="0.25">
      <c r="B295" s="91">
        <v>285</v>
      </c>
      <c r="C295" s="92" t="s">
        <v>503</v>
      </c>
      <c r="D295" s="92" t="s">
        <v>43</v>
      </c>
      <c r="E295" s="92" t="s">
        <v>356</v>
      </c>
      <c r="F295" s="92"/>
      <c r="G295" s="93" t="s">
        <v>502</v>
      </c>
      <c r="H295" s="94">
        <v>27076</v>
      </c>
      <c r="I295" s="94">
        <v>15159</v>
      </c>
      <c r="J295" s="94">
        <v>11917</v>
      </c>
      <c r="K295" s="94">
        <v>1805</v>
      </c>
      <c r="L295" s="94">
        <v>6423</v>
      </c>
      <c r="M295" s="94">
        <v>13921</v>
      </c>
      <c r="N295" s="94">
        <v>4927</v>
      </c>
      <c r="O295" s="94">
        <v>27056</v>
      </c>
      <c r="P295" s="94">
        <v>20</v>
      </c>
      <c r="Q295" s="95">
        <v>9.1971642077026294E-2</v>
      </c>
      <c r="R295" s="95">
        <v>8.8888888888888906E-2</v>
      </c>
      <c r="S295" s="95">
        <v>9.5902353966870094E-2</v>
      </c>
      <c r="T295" s="95">
        <v>5.9206631142688003E-2</v>
      </c>
      <c r="U295" s="95">
        <v>9.7560975609756101E-2</v>
      </c>
      <c r="V295" s="95">
        <v>8.1517711575515003E-2</v>
      </c>
      <c r="W295" s="95">
        <v>0.12599748005039901</v>
      </c>
      <c r="X295" s="95">
        <v>9.2038656235619007E-2</v>
      </c>
      <c r="Y295" s="95">
        <v>0</v>
      </c>
      <c r="Z295" s="94">
        <v>34553</v>
      </c>
      <c r="AA295" s="94">
        <v>18678</v>
      </c>
      <c r="AB295" s="94">
        <v>15875</v>
      </c>
      <c r="AC295" s="94">
        <v>1798</v>
      </c>
      <c r="AD295" s="94">
        <v>8583</v>
      </c>
      <c r="AE295" s="94">
        <v>17380</v>
      </c>
      <c r="AF295" s="94">
        <v>6792</v>
      </c>
      <c r="AG295" s="94">
        <v>31067</v>
      </c>
      <c r="AH295" s="94">
        <v>3366</v>
      </c>
      <c r="AI295" s="94">
        <v>120</v>
      </c>
      <c r="AJ295" s="94">
        <v>34385</v>
      </c>
      <c r="AK295" s="94">
        <v>73</v>
      </c>
      <c r="AL295" s="94">
        <v>95</v>
      </c>
      <c r="AM295" s="94">
        <v>1873</v>
      </c>
      <c r="AN295" s="94">
        <v>32292</v>
      </c>
      <c r="AO295" s="94">
        <v>388</v>
      </c>
      <c r="AP295" s="95">
        <v>0.90114284009190504</v>
      </c>
      <c r="AQ295" s="95">
        <v>0.35116598079561001</v>
      </c>
      <c r="AR295" s="95">
        <v>1.5567765567765599</v>
      </c>
      <c r="AS295" s="95">
        <v>1.0695187165775399</v>
      </c>
      <c r="AT295" s="95">
        <v>1.1158277744087299</v>
      </c>
      <c r="AU295" s="95">
        <v>0.98571597214024298</v>
      </c>
      <c r="AV295" s="95">
        <v>0.37633599277434898</v>
      </c>
      <c r="AW295" s="95">
        <v>0.85869637291956802</v>
      </c>
      <c r="AX295" s="95">
        <v>1.32962275819419</v>
      </c>
      <c r="AY295" s="95">
        <v>0</v>
      </c>
      <c r="AZ295" s="95">
        <v>0.89949628208203403</v>
      </c>
      <c r="BA295" s="95">
        <v>2.8571428571428599</v>
      </c>
      <c r="BB295" s="95">
        <v>0</v>
      </c>
      <c r="BC295" s="95">
        <v>0.87815587266739803</v>
      </c>
      <c r="BD295" s="95">
        <v>0.90694258159289798</v>
      </c>
      <c r="BE295" s="95">
        <v>0.53050397877984101</v>
      </c>
    </row>
    <row r="296" spans="2:57" ht="15" customHeight="1" x14ac:dyDescent="0.25">
      <c r="B296" s="96">
        <v>286</v>
      </c>
      <c r="C296" s="97" t="s">
        <v>504</v>
      </c>
      <c r="D296" s="104" t="s">
        <v>43</v>
      </c>
      <c r="E296" s="104" t="s">
        <v>356</v>
      </c>
      <c r="F296" s="104" t="s">
        <v>253</v>
      </c>
      <c r="G296" s="105" t="s">
        <v>253</v>
      </c>
      <c r="H296" s="106">
        <v>6776</v>
      </c>
      <c r="I296" s="106">
        <v>3762</v>
      </c>
      <c r="J296" s="106">
        <v>3014</v>
      </c>
      <c r="K296" s="106">
        <v>456</v>
      </c>
      <c r="L296" s="106">
        <v>1539</v>
      </c>
      <c r="M296" s="106">
        <v>3574</v>
      </c>
      <c r="N296" s="106">
        <v>1207</v>
      </c>
      <c r="O296" s="106">
        <v>6770</v>
      </c>
      <c r="P296" s="106">
        <v>6</v>
      </c>
      <c r="Q296" s="107">
        <v>9.0607067351253401E-2</v>
      </c>
      <c r="R296" s="107">
        <v>5.4406964091403699E-2</v>
      </c>
      <c r="S296" s="107">
        <v>0.135777325186694</v>
      </c>
      <c r="T296" s="107">
        <v>0</v>
      </c>
      <c r="U296" s="107">
        <v>6.6577896138482001E-2</v>
      </c>
      <c r="V296" s="107">
        <v>8.5543199315654406E-2</v>
      </c>
      <c r="W296" s="107">
        <v>0.16992353440951599</v>
      </c>
      <c r="X296" s="107">
        <v>9.0689238210398995E-2</v>
      </c>
      <c r="Y296" s="107">
        <v>0</v>
      </c>
      <c r="Z296" s="106">
        <v>6806</v>
      </c>
      <c r="AA296" s="106">
        <v>3646</v>
      </c>
      <c r="AB296" s="106">
        <v>3160</v>
      </c>
      <c r="AC296" s="106">
        <v>290</v>
      </c>
      <c r="AD296" s="106">
        <v>1387</v>
      </c>
      <c r="AE296" s="106">
        <v>3461</v>
      </c>
      <c r="AF296" s="106">
        <v>1668</v>
      </c>
      <c r="AG296" s="106">
        <v>6121</v>
      </c>
      <c r="AH296" s="106">
        <v>662</v>
      </c>
      <c r="AI296" s="106">
        <v>23</v>
      </c>
      <c r="AJ296" s="106">
        <v>6775</v>
      </c>
      <c r="AK296" s="106">
        <v>21</v>
      </c>
      <c r="AL296" s="106">
        <v>10</v>
      </c>
      <c r="AM296" s="106">
        <v>501</v>
      </c>
      <c r="AN296" s="106">
        <v>6233</v>
      </c>
      <c r="AO296" s="106">
        <v>72</v>
      </c>
      <c r="AP296" s="107">
        <v>1.0551703346397301</v>
      </c>
      <c r="AQ296" s="107">
        <v>0.47539149888143201</v>
      </c>
      <c r="AR296" s="107">
        <v>1.7331589274035299</v>
      </c>
      <c r="AS296" s="107">
        <v>1.4598540145985399</v>
      </c>
      <c r="AT296" s="107">
        <v>0.97524381095273804</v>
      </c>
      <c r="AU296" s="107">
        <v>1.4467080011809901</v>
      </c>
      <c r="AV296" s="107">
        <v>0.24390243902438999</v>
      </c>
      <c r="AW296" s="107">
        <v>0.97119892833221699</v>
      </c>
      <c r="AX296" s="107">
        <v>1.87207488299532</v>
      </c>
      <c r="AY296" s="107">
        <v>0</v>
      </c>
      <c r="AZ296" s="107">
        <v>1.0601241859760699</v>
      </c>
      <c r="BA296" s="107">
        <v>0</v>
      </c>
      <c r="BB296" s="107">
        <v>0</v>
      </c>
      <c r="BC296" s="107">
        <v>1.0309278350515501</v>
      </c>
      <c r="BD296" s="107">
        <v>1.06925481164665</v>
      </c>
      <c r="BE296" s="107">
        <v>0</v>
      </c>
    </row>
    <row r="297" spans="2:57" ht="15" customHeight="1" x14ac:dyDescent="0.25">
      <c r="B297" s="91">
        <v>287</v>
      </c>
      <c r="C297" s="92" t="s">
        <v>504</v>
      </c>
      <c r="D297" s="92" t="s">
        <v>43</v>
      </c>
      <c r="E297" s="92" t="s">
        <v>356</v>
      </c>
      <c r="F297" s="92" t="s">
        <v>253</v>
      </c>
      <c r="G297" s="101" t="s">
        <v>501</v>
      </c>
      <c r="H297" s="94">
        <v>0</v>
      </c>
      <c r="I297" s="94">
        <v>0</v>
      </c>
      <c r="J297" s="94">
        <v>0</v>
      </c>
      <c r="K297" s="94">
        <v>0</v>
      </c>
      <c r="L297" s="94">
        <v>0</v>
      </c>
      <c r="M297" s="94">
        <v>0</v>
      </c>
      <c r="N297" s="94">
        <v>0</v>
      </c>
      <c r="O297" s="94">
        <v>0</v>
      </c>
      <c r="P297" s="94">
        <v>0</v>
      </c>
      <c r="Q297" s="95">
        <v>0</v>
      </c>
      <c r="R297" s="95">
        <v>0</v>
      </c>
      <c r="S297" s="95">
        <v>0</v>
      </c>
      <c r="T297" s="95">
        <v>0</v>
      </c>
      <c r="U297" s="95">
        <v>0</v>
      </c>
      <c r="V297" s="95">
        <v>0</v>
      </c>
      <c r="W297" s="95">
        <v>0</v>
      </c>
      <c r="X297" s="95">
        <v>0</v>
      </c>
      <c r="Y297" s="95">
        <v>0</v>
      </c>
      <c r="Z297" s="94">
        <v>0</v>
      </c>
      <c r="AA297" s="94">
        <v>0</v>
      </c>
      <c r="AB297" s="94">
        <v>0</v>
      </c>
      <c r="AC297" s="94">
        <v>0</v>
      </c>
      <c r="AD297" s="94">
        <v>0</v>
      </c>
      <c r="AE297" s="94">
        <v>0</v>
      </c>
      <c r="AF297" s="94">
        <v>0</v>
      </c>
      <c r="AG297" s="94">
        <v>0</v>
      </c>
      <c r="AH297" s="94">
        <v>0</v>
      </c>
      <c r="AI297" s="94">
        <v>0</v>
      </c>
      <c r="AJ297" s="94">
        <v>0</v>
      </c>
      <c r="AK297" s="94">
        <v>0</v>
      </c>
      <c r="AL297" s="94">
        <v>0</v>
      </c>
      <c r="AM297" s="94">
        <v>0</v>
      </c>
      <c r="AN297" s="94">
        <v>0</v>
      </c>
      <c r="AO297" s="94">
        <v>0</v>
      </c>
      <c r="AP297" s="95">
        <v>0</v>
      </c>
      <c r="AQ297" s="95">
        <v>0</v>
      </c>
      <c r="AR297" s="95">
        <v>0</v>
      </c>
      <c r="AS297" s="95">
        <v>0</v>
      </c>
      <c r="AT297" s="95">
        <v>0</v>
      </c>
      <c r="AU297" s="95">
        <v>0</v>
      </c>
      <c r="AV297" s="95">
        <v>0</v>
      </c>
      <c r="AW297" s="95">
        <v>0</v>
      </c>
      <c r="AX297" s="95">
        <v>0</v>
      </c>
      <c r="AY297" s="95">
        <v>0</v>
      </c>
      <c r="AZ297" s="95">
        <v>0</v>
      </c>
      <c r="BA297" s="95">
        <v>0</v>
      </c>
      <c r="BB297" s="95">
        <v>0</v>
      </c>
      <c r="BC297" s="95">
        <v>0</v>
      </c>
      <c r="BD297" s="95">
        <v>0</v>
      </c>
      <c r="BE297" s="95">
        <v>0</v>
      </c>
    </row>
    <row r="298" spans="2:57" ht="15" customHeight="1" x14ac:dyDescent="0.25">
      <c r="B298" s="91">
        <v>288</v>
      </c>
      <c r="C298" s="92" t="s">
        <v>504</v>
      </c>
      <c r="D298" s="92" t="s">
        <v>43</v>
      </c>
      <c r="E298" s="92" t="s">
        <v>356</v>
      </c>
      <c r="F298" s="92" t="s">
        <v>253</v>
      </c>
      <c r="G298" s="101" t="s">
        <v>502</v>
      </c>
      <c r="H298" s="94">
        <v>6776</v>
      </c>
      <c r="I298" s="94">
        <v>3762</v>
      </c>
      <c r="J298" s="94">
        <v>3014</v>
      </c>
      <c r="K298" s="94">
        <v>456</v>
      </c>
      <c r="L298" s="94">
        <v>1539</v>
      </c>
      <c r="M298" s="94">
        <v>3574</v>
      </c>
      <c r="N298" s="94">
        <v>1207</v>
      </c>
      <c r="O298" s="94">
        <v>6770</v>
      </c>
      <c r="P298" s="94">
        <v>6</v>
      </c>
      <c r="Q298" s="95">
        <v>9.0607067351253401E-2</v>
      </c>
      <c r="R298" s="95">
        <v>5.4406964091403699E-2</v>
      </c>
      <c r="S298" s="95">
        <v>0.135777325186694</v>
      </c>
      <c r="T298" s="95">
        <v>0</v>
      </c>
      <c r="U298" s="95">
        <v>6.6577896138482001E-2</v>
      </c>
      <c r="V298" s="95">
        <v>8.5543199315654406E-2</v>
      </c>
      <c r="W298" s="95">
        <v>0.16992353440951599</v>
      </c>
      <c r="X298" s="95">
        <v>9.0689238210398995E-2</v>
      </c>
      <c r="Y298" s="95">
        <v>0</v>
      </c>
      <c r="Z298" s="94">
        <v>6806</v>
      </c>
      <c r="AA298" s="94">
        <v>3646</v>
      </c>
      <c r="AB298" s="94">
        <v>3160</v>
      </c>
      <c r="AC298" s="94">
        <v>290</v>
      </c>
      <c r="AD298" s="94">
        <v>1387</v>
      </c>
      <c r="AE298" s="94">
        <v>3461</v>
      </c>
      <c r="AF298" s="94">
        <v>1668</v>
      </c>
      <c r="AG298" s="94">
        <v>6121</v>
      </c>
      <c r="AH298" s="94">
        <v>662</v>
      </c>
      <c r="AI298" s="94">
        <v>23</v>
      </c>
      <c r="AJ298" s="94">
        <v>6775</v>
      </c>
      <c r="AK298" s="94">
        <v>21</v>
      </c>
      <c r="AL298" s="94">
        <v>10</v>
      </c>
      <c r="AM298" s="94">
        <v>501</v>
      </c>
      <c r="AN298" s="94">
        <v>6233</v>
      </c>
      <c r="AO298" s="94">
        <v>72</v>
      </c>
      <c r="AP298" s="95">
        <v>1.0551703346397301</v>
      </c>
      <c r="AQ298" s="95">
        <v>0.47539149888143201</v>
      </c>
      <c r="AR298" s="95">
        <v>1.7331589274035299</v>
      </c>
      <c r="AS298" s="95">
        <v>1.4598540145985399</v>
      </c>
      <c r="AT298" s="95">
        <v>0.97524381095273804</v>
      </c>
      <c r="AU298" s="95">
        <v>1.4467080011809901</v>
      </c>
      <c r="AV298" s="95">
        <v>0.24390243902438999</v>
      </c>
      <c r="AW298" s="95">
        <v>0.97119892833221699</v>
      </c>
      <c r="AX298" s="95">
        <v>1.87207488299532</v>
      </c>
      <c r="AY298" s="95">
        <v>0</v>
      </c>
      <c r="AZ298" s="95">
        <v>1.0601241859760699</v>
      </c>
      <c r="BA298" s="95">
        <v>0</v>
      </c>
      <c r="BB298" s="95">
        <v>0</v>
      </c>
      <c r="BC298" s="95">
        <v>1.0309278350515501</v>
      </c>
      <c r="BD298" s="95">
        <v>1.06925481164665</v>
      </c>
      <c r="BE298" s="95">
        <v>0</v>
      </c>
    </row>
    <row r="299" spans="2:57" ht="15" customHeight="1" x14ac:dyDescent="0.25">
      <c r="B299" s="96">
        <v>289</v>
      </c>
      <c r="C299" s="97" t="s">
        <v>504</v>
      </c>
      <c r="D299" s="104" t="s">
        <v>43</v>
      </c>
      <c r="E299" s="104" t="s">
        <v>356</v>
      </c>
      <c r="F299" s="104" t="s">
        <v>172</v>
      </c>
      <c r="G299" s="105" t="s">
        <v>172</v>
      </c>
      <c r="H299" s="106">
        <v>7506</v>
      </c>
      <c r="I299" s="106">
        <v>3961</v>
      </c>
      <c r="J299" s="106">
        <v>3545</v>
      </c>
      <c r="K299" s="106">
        <v>485</v>
      </c>
      <c r="L299" s="106">
        <v>1583</v>
      </c>
      <c r="M299" s="106">
        <v>3954</v>
      </c>
      <c r="N299" s="106">
        <v>1484</v>
      </c>
      <c r="O299" s="106">
        <v>7500</v>
      </c>
      <c r="P299" s="106">
        <v>6</v>
      </c>
      <c r="Q299" s="107">
        <v>0.13989927252378301</v>
      </c>
      <c r="R299" s="107">
        <v>0.15923566878980899</v>
      </c>
      <c r="S299" s="107">
        <v>0.118343195266272</v>
      </c>
      <c r="T299" s="107">
        <v>0.22222222222222199</v>
      </c>
      <c r="U299" s="107">
        <v>0</v>
      </c>
      <c r="V299" s="107">
        <v>0.15868817773075899</v>
      </c>
      <c r="W299" s="107">
        <v>0.21126760563380301</v>
      </c>
      <c r="X299" s="107">
        <v>0.140016802016242</v>
      </c>
      <c r="Y299" s="107">
        <v>0</v>
      </c>
      <c r="Z299" s="106">
        <v>10676</v>
      </c>
      <c r="AA299" s="106">
        <v>5514</v>
      </c>
      <c r="AB299" s="106">
        <v>5162</v>
      </c>
      <c r="AC299" s="106">
        <v>537</v>
      </c>
      <c r="AD299" s="106">
        <v>2491</v>
      </c>
      <c r="AE299" s="106">
        <v>5407</v>
      </c>
      <c r="AF299" s="106">
        <v>2241</v>
      </c>
      <c r="AG299" s="106">
        <v>9644</v>
      </c>
      <c r="AH299" s="106">
        <v>1010</v>
      </c>
      <c r="AI299" s="106">
        <v>22</v>
      </c>
      <c r="AJ299" s="106">
        <v>10627</v>
      </c>
      <c r="AK299" s="106">
        <v>19</v>
      </c>
      <c r="AL299" s="106">
        <v>30</v>
      </c>
      <c r="AM299" s="106">
        <v>555</v>
      </c>
      <c r="AN299" s="106">
        <v>9976</v>
      </c>
      <c r="AO299" s="106">
        <v>145</v>
      </c>
      <c r="AP299" s="107">
        <v>0.75881279416002301</v>
      </c>
      <c r="AQ299" s="107">
        <v>0.518902891030393</v>
      </c>
      <c r="AR299" s="107">
        <v>1.0169491525423699</v>
      </c>
      <c r="AS299" s="107">
        <v>0.78125</v>
      </c>
      <c r="AT299" s="107">
        <v>1.12312811980033</v>
      </c>
      <c r="AU299" s="107">
        <v>0.71698113207547198</v>
      </c>
      <c r="AV299" s="107">
        <v>0.45558086560364502</v>
      </c>
      <c r="AW299" s="107">
        <v>0.732328592655487</v>
      </c>
      <c r="AX299" s="107">
        <v>1.0341261633919301</v>
      </c>
      <c r="AY299" s="107">
        <v>0</v>
      </c>
      <c r="AZ299" s="107">
        <v>0.74295638749517601</v>
      </c>
      <c r="BA299" s="107">
        <v>11.764705882352899</v>
      </c>
      <c r="BB299" s="107">
        <v>0</v>
      </c>
      <c r="BC299" s="107">
        <v>0.73529411764705899</v>
      </c>
      <c r="BD299" s="107">
        <v>0.76100370218017299</v>
      </c>
      <c r="BE299" s="107">
        <v>0.69930069930069905</v>
      </c>
    </row>
    <row r="300" spans="2:57" ht="15" customHeight="1" x14ac:dyDescent="0.25">
      <c r="B300" s="91">
        <v>290</v>
      </c>
      <c r="C300" s="92" t="s">
        <v>504</v>
      </c>
      <c r="D300" s="92" t="s">
        <v>43</v>
      </c>
      <c r="E300" s="92" t="s">
        <v>356</v>
      </c>
      <c r="F300" s="92" t="s">
        <v>172</v>
      </c>
      <c r="G300" s="101" t="s">
        <v>501</v>
      </c>
      <c r="H300" s="94">
        <v>0</v>
      </c>
      <c r="I300" s="94">
        <v>0</v>
      </c>
      <c r="J300" s="94">
        <v>0</v>
      </c>
      <c r="K300" s="94">
        <v>0</v>
      </c>
      <c r="L300" s="94">
        <v>0</v>
      </c>
      <c r="M300" s="94">
        <v>0</v>
      </c>
      <c r="N300" s="94">
        <v>0</v>
      </c>
      <c r="O300" s="94">
        <v>0</v>
      </c>
      <c r="P300" s="94">
        <v>0</v>
      </c>
      <c r="Q300" s="95">
        <v>0</v>
      </c>
      <c r="R300" s="95">
        <v>0</v>
      </c>
      <c r="S300" s="95">
        <v>0</v>
      </c>
      <c r="T300" s="95">
        <v>0</v>
      </c>
      <c r="U300" s="95">
        <v>0</v>
      </c>
      <c r="V300" s="95">
        <v>0</v>
      </c>
      <c r="W300" s="95">
        <v>0</v>
      </c>
      <c r="X300" s="95">
        <v>0</v>
      </c>
      <c r="Y300" s="95">
        <v>0</v>
      </c>
      <c r="Z300" s="94">
        <v>0</v>
      </c>
      <c r="AA300" s="94">
        <v>0</v>
      </c>
      <c r="AB300" s="94">
        <v>0</v>
      </c>
      <c r="AC300" s="94">
        <v>0</v>
      </c>
      <c r="AD300" s="94">
        <v>0</v>
      </c>
      <c r="AE300" s="94">
        <v>0</v>
      </c>
      <c r="AF300" s="94">
        <v>0</v>
      </c>
      <c r="AG300" s="94">
        <v>0</v>
      </c>
      <c r="AH300" s="94">
        <v>0</v>
      </c>
      <c r="AI300" s="94">
        <v>0</v>
      </c>
      <c r="AJ300" s="94">
        <v>0</v>
      </c>
      <c r="AK300" s="94">
        <v>0</v>
      </c>
      <c r="AL300" s="94">
        <v>0</v>
      </c>
      <c r="AM300" s="94">
        <v>0</v>
      </c>
      <c r="AN300" s="94">
        <v>0</v>
      </c>
      <c r="AO300" s="94">
        <v>0</v>
      </c>
      <c r="AP300" s="95">
        <v>0</v>
      </c>
      <c r="AQ300" s="95">
        <v>0</v>
      </c>
      <c r="AR300" s="95">
        <v>0</v>
      </c>
      <c r="AS300" s="95">
        <v>0</v>
      </c>
      <c r="AT300" s="95">
        <v>0</v>
      </c>
      <c r="AU300" s="95">
        <v>0</v>
      </c>
      <c r="AV300" s="95">
        <v>0</v>
      </c>
      <c r="AW300" s="95">
        <v>0</v>
      </c>
      <c r="AX300" s="95">
        <v>0</v>
      </c>
      <c r="AY300" s="95">
        <v>0</v>
      </c>
      <c r="AZ300" s="95">
        <v>0</v>
      </c>
      <c r="BA300" s="95">
        <v>0</v>
      </c>
      <c r="BB300" s="95">
        <v>0</v>
      </c>
      <c r="BC300" s="95">
        <v>0</v>
      </c>
      <c r="BD300" s="95">
        <v>0</v>
      </c>
      <c r="BE300" s="95">
        <v>0</v>
      </c>
    </row>
    <row r="301" spans="2:57" ht="15" customHeight="1" x14ac:dyDescent="0.25">
      <c r="B301" s="91">
        <v>291</v>
      </c>
      <c r="C301" s="92" t="s">
        <v>504</v>
      </c>
      <c r="D301" s="92" t="s">
        <v>43</v>
      </c>
      <c r="E301" s="92" t="s">
        <v>356</v>
      </c>
      <c r="F301" s="92" t="s">
        <v>172</v>
      </c>
      <c r="G301" s="101" t="s">
        <v>502</v>
      </c>
      <c r="H301" s="94">
        <v>7506</v>
      </c>
      <c r="I301" s="94">
        <v>3961</v>
      </c>
      <c r="J301" s="94">
        <v>3545</v>
      </c>
      <c r="K301" s="94">
        <v>485</v>
      </c>
      <c r="L301" s="94">
        <v>1583</v>
      </c>
      <c r="M301" s="94">
        <v>3954</v>
      </c>
      <c r="N301" s="94">
        <v>1484</v>
      </c>
      <c r="O301" s="94">
        <v>7500</v>
      </c>
      <c r="P301" s="94">
        <v>6</v>
      </c>
      <c r="Q301" s="95">
        <v>0.13989927252378301</v>
      </c>
      <c r="R301" s="95">
        <v>0.15923566878980899</v>
      </c>
      <c r="S301" s="95">
        <v>0.118343195266272</v>
      </c>
      <c r="T301" s="95">
        <v>0.22222222222222199</v>
      </c>
      <c r="U301" s="95">
        <v>0</v>
      </c>
      <c r="V301" s="95">
        <v>0.15868817773075899</v>
      </c>
      <c r="W301" s="95">
        <v>0.21126760563380301</v>
      </c>
      <c r="X301" s="95">
        <v>0.140016802016242</v>
      </c>
      <c r="Y301" s="95">
        <v>0</v>
      </c>
      <c r="Z301" s="94">
        <v>10676</v>
      </c>
      <c r="AA301" s="94">
        <v>5514</v>
      </c>
      <c r="AB301" s="94">
        <v>5162</v>
      </c>
      <c r="AC301" s="94">
        <v>537</v>
      </c>
      <c r="AD301" s="94">
        <v>2491</v>
      </c>
      <c r="AE301" s="94">
        <v>5407</v>
      </c>
      <c r="AF301" s="94">
        <v>2241</v>
      </c>
      <c r="AG301" s="94">
        <v>9644</v>
      </c>
      <c r="AH301" s="94">
        <v>1010</v>
      </c>
      <c r="AI301" s="94">
        <v>22</v>
      </c>
      <c r="AJ301" s="94">
        <v>10627</v>
      </c>
      <c r="AK301" s="94">
        <v>19</v>
      </c>
      <c r="AL301" s="94">
        <v>30</v>
      </c>
      <c r="AM301" s="94">
        <v>555</v>
      </c>
      <c r="AN301" s="94">
        <v>9976</v>
      </c>
      <c r="AO301" s="94">
        <v>145</v>
      </c>
      <c r="AP301" s="95">
        <v>0.75881279416002301</v>
      </c>
      <c r="AQ301" s="95">
        <v>0.518902891030393</v>
      </c>
      <c r="AR301" s="95">
        <v>1.0169491525423699</v>
      </c>
      <c r="AS301" s="95">
        <v>0.78125</v>
      </c>
      <c r="AT301" s="95">
        <v>1.12312811980033</v>
      </c>
      <c r="AU301" s="95">
        <v>0.71698113207547198</v>
      </c>
      <c r="AV301" s="95">
        <v>0.45558086560364502</v>
      </c>
      <c r="AW301" s="95">
        <v>0.732328592655487</v>
      </c>
      <c r="AX301" s="95">
        <v>1.0341261633919301</v>
      </c>
      <c r="AY301" s="95">
        <v>0</v>
      </c>
      <c r="AZ301" s="95">
        <v>0.74295638749517601</v>
      </c>
      <c r="BA301" s="95">
        <v>11.764705882352899</v>
      </c>
      <c r="BB301" s="95">
        <v>0</v>
      </c>
      <c r="BC301" s="95">
        <v>0.73529411764705899</v>
      </c>
      <c r="BD301" s="95">
        <v>0.76100370218017299</v>
      </c>
      <c r="BE301" s="95">
        <v>0.69930069930069905</v>
      </c>
    </row>
    <row r="302" spans="2:57" ht="15" customHeight="1" x14ac:dyDescent="0.25">
      <c r="B302" s="96">
        <v>292</v>
      </c>
      <c r="C302" s="97" t="s">
        <v>504</v>
      </c>
      <c r="D302" s="104" t="s">
        <v>43</v>
      </c>
      <c r="E302" s="104" t="s">
        <v>356</v>
      </c>
      <c r="F302" s="104" t="s">
        <v>198</v>
      </c>
      <c r="G302" s="105" t="s">
        <v>198</v>
      </c>
      <c r="H302" s="106">
        <v>3896</v>
      </c>
      <c r="I302" s="106">
        <v>2202</v>
      </c>
      <c r="J302" s="106">
        <v>1694</v>
      </c>
      <c r="K302" s="106">
        <v>243</v>
      </c>
      <c r="L302" s="106">
        <v>916</v>
      </c>
      <c r="M302" s="106">
        <v>1905</v>
      </c>
      <c r="N302" s="106">
        <v>832</v>
      </c>
      <c r="O302" s="106">
        <v>3896</v>
      </c>
      <c r="P302" s="106">
        <v>0</v>
      </c>
      <c r="Q302" s="107">
        <v>2.68096514745308E-2</v>
      </c>
      <c r="R302" s="107">
        <v>0</v>
      </c>
      <c r="S302" s="107">
        <v>6.14628149969269E-2</v>
      </c>
      <c r="T302" s="107">
        <v>0</v>
      </c>
      <c r="U302" s="107">
        <v>0</v>
      </c>
      <c r="V302" s="107">
        <v>0</v>
      </c>
      <c r="W302" s="107">
        <v>0.125470514429109</v>
      </c>
      <c r="X302" s="107">
        <v>2.68096514745308E-2</v>
      </c>
      <c r="Y302" s="107">
        <v>0</v>
      </c>
      <c r="Z302" s="106">
        <v>7299</v>
      </c>
      <c r="AA302" s="106">
        <v>4165</v>
      </c>
      <c r="AB302" s="106">
        <v>3134</v>
      </c>
      <c r="AC302" s="106">
        <v>426</v>
      </c>
      <c r="AD302" s="106">
        <v>1947</v>
      </c>
      <c r="AE302" s="106">
        <v>3621</v>
      </c>
      <c r="AF302" s="106">
        <v>1305</v>
      </c>
      <c r="AG302" s="106">
        <v>6319</v>
      </c>
      <c r="AH302" s="106">
        <v>943</v>
      </c>
      <c r="AI302" s="106">
        <v>37</v>
      </c>
      <c r="AJ302" s="106">
        <v>7260</v>
      </c>
      <c r="AK302" s="106">
        <v>7</v>
      </c>
      <c r="AL302" s="106">
        <v>32</v>
      </c>
      <c r="AM302" s="106">
        <v>351</v>
      </c>
      <c r="AN302" s="106">
        <v>6877</v>
      </c>
      <c r="AO302" s="106">
        <v>71</v>
      </c>
      <c r="AP302" s="107">
        <v>0.90012858979854304</v>
      </c>
      <c r="AQ302" s="107">
        <v>0.222937825117662</v>
      </c>
      <c r="AR302" s="107">
        <v>1.82309250506415</v>
      </c>
      <c r="AS302" s="107">
        <v>1.53061224489796</v>
      </c>
      <c r="AT302" s="107">
        <v>0.97349918875067598</v>
      </c>
      <c r="AU302" s="107">
        <v>0.85665334094803003</v>
      </c>
      <c r="AV302" s="107">
        <v>0.71656050955413997</v>
      </c>
      <c r="AW302" s="107">
        <v>0.92439749092109602</v>
      </c>
      <c r="AX302" s="107">
        <v>0.66371681415929196</v>
      </c>
      <c r="AY302" s="107">
        <v>2.7027027027027</v>
      </c>
      <c r="AZ302" s="107">
        <v>0.90491238149956899</v>
      </c>
      <c r="BA302" s="107">
        <v>0</v>
      </c>
      <c r="BB302" s="107">
        <v>0</v>
      </c>
      <c r="BC302" s="107">
        <v>0.87976539589442804</v>
      </c>
      <c r="BD302" s="107">
        <v>0.89556769884638698</v>
      </c>
      <c r="BE302" s="107">
        <v>1.4285714285714299</v>
      </c>
    </row>
    <row r="303" spans="2:57" ht="15" customHeight="1" x14ac:dyDescent="0.25">
      <c r="B303" s="91">
        <v>293</v>
      </c>
      <c r="C303" s="92" t="s">
        <v>504</v>
      </c>
      <c r="D303" s="92" t="s">
        <v>43</v>
      </c>
      <c r="E303" s="92" t="s">
        <v>356</v>
      </c>
      <c r="F303" s="92" t="s">
        <v>198</v>
      </c>
      <c r="G303" s="101" t="s">
        <v>501</v>
      </c>
      <c r="H303" s="94">
        <v>0</v>
      </c>
      <c r="I303" s="94">
        <v>0</v>
      </c>
      <c r="J303" s="94">
        <v>0</v>
      </c>
      <c r="K303" s="94">
        <v>0</v>
      </c>
      <c r="L303" s="94">
        <v>0</v>
      </c>
      <c r="M303" s="94">
        <v>0</v>
      </c>
      <c r="N303" s="94">
        <v>0</v>
      </c>
      <c r="O303" s="94">
        <v>0</v>
      </c>
      <c r="P303" s="94">
        <v>0</v>
      </c>
      <c r="Q303" s="95">
        <v>0</v>
      </c>
      <c r="R303" s="95">
        <v>0</v>
      </c>
      <c r="S303" s="95">
        <v>0</v>
      </c>
      <c r="T303" s="95">
        <v>0</v>
      </c>
      <c r="U303" s="95">
        <v>0</v>
      </c>
      <c r="V303" s="95">
        <v>0</v>
      </c>
      <c r="W303" s="95">
        <v>0</v>
      </c>
      <c r="X303" s="95">
        <v>0</v>
      </c>
      <c r="Y303" s="95">
        <v>0</v>
      </c>
      <c r="Z303" s="94">
        <v>1369</v>
      </c>
      <c r="AA303" s="94">
        <v>897</v>
      </c>
      <c r="AB303" s="94">
        <v>472</v>
      </c>
      <c r="AC303" s="94">
        <v>81</v>
      </c>
      <c r="AD303" s="94">
        <v>406</v>
      </c>
      <c r="AE303" s="94">
        <v>689</v>
      </c>
      <c r="AF303" s="94">
        <v>193</v>
      </c>
      <c r="AG303" s="94">
        <v>779</v>
      </c>
      <c r="AH303" s="94">
        <v>576</v>
      </c>
      <c r="AI303" s="94">
        <v>14</v>
      </c>
      <c r="AJ303" s="94">
        <v>1366</v>
      </c>
      <c r="AK303" s="94">
        <v>0</v>
      </c>
      <c r="AL303" s="94">
        <v>3</v>
      </c>
      <c r="AM303" s="94">
        <v>69</v>
      </c>
      <c r="AN303" s="94">
        <v>1292</v>
      </c>
      <c r="AO303" s="94">
        <v>8</v>
      </c>
      <c r="AP303" s="95">
        <v>0.98784194528875402</v>
      </c>
      <c r="AQ303" s="95">
        <v>0.229885057471264</v>
      </c>
      <c r="AR303" s="95">
        <v>2.4663677130044799</v>
      </c>
      <c r="AS303" s="95">
        <v>0</v>
      </c>
      <c r="AT303" s="95">
        <v>0.258397932816538</v>
      </c>
      <c r="AU303" s="95">
        <v>1.35135135135135</v>
      </c>
      <c r="AV303" s="95">
        <v>1.6304347826087</v>
      </c>
      <c r="AW303" s="95">
        <v>1.2</v>
      </c>
      <c r="AX303" s="95">
        <v>0.54347826086956497</v>
      </c>
      <c r="AY303" s="95">
        <v>7.1428571428571397</v>
      </c>
      <c r="AZ303" s="95">
        <v>0.99009900990098998</v>
      </c>
      <c r="BA303" s="95">
        <v>0</v>
      </c>
      <c r="BB303" s="95">
        <v>0</v>
      </c>
      <c r="BC303" s="95">
        <v>0</v>
      </c>
      <c r="BD303" s="95">
        <v>1.04838709677419</v>
      </c>
      <c r="BE303" s="95">
        <v>0</v>
      </c>
    </row>
    <row r="304" spans="2:57" ht="15" customHeight="1" x14ac:dyDescent="0.25">
      <c r="B304" s="91">
        <v>294</v>
      </c>
      <c r="C304" s="92" t="s">
        <v>504</v>
      </c>
      <c r="D304" s="92" t="s">
        <v>43</v>
      </c>
      <c r="E304" s="92" t="s">
        <v>356</v>
      </c>
      <c r="F304" s="92" t="s">
        <v>198</v>
      </c>
      <c r="G304" s="101" t="s">
        <v>502</v>
      </c>
      <c r="H304" s="94">
        <v>3896</v>
      </c>
      <c r="I304" s="94">
        <v>2202</v>
      </c>
      <c r="J304" s="94">
        <v>1694</v>
      </c>
      <c r="K304" s="94">
        <v>243</v>
      </c>
      <c r="L304" s="94">
        <v>916</v>
      </c>
      <c r="M304" s="94">
        <v>1905</v>
      </c>
      <c r="N304" s="94">
        <v>832</v>
      </c>
      <c r="O304" s="94">
        <v>3896</v>
      </c>
      <c r="P304" s="94">
        <v>0</v>
      </c>
      <c r="Q304" s="95">
        <v>2.68096514745308E-2</v>
      </c>
      <c r="R304" s="95">
        <v>0</v>
      </c>
      <c r="S304" s="95">
        <v>6.14628149969269E-2</v>
      </c>
      <c r="T304" s="95">
        <v>0</v>
      </c>
      <c r="U304" s="95">
        <v>0</v>
      </c>
      <c r="V304" s="95">
        <v>0</v>
      </c>
      <c r="W304" s="95">
        <v>0.125470514429109</v>
      </c>
      <c r="X304" s="95">
        <v>2.68096514745308E-2</v>
      </c>
      <c r="Y304" s="95">
        <v>0</v>
      </c>
      <c r="Z304" s="94">
        <v>5930</v>
      </c>
      <c r="AA304" s="94">
        <v>3268</v>
      </c>
      <c r="AB304" s="94">
        <v>2662</v>
      </c>
      <c r="AC304" s="94">
        <v>345</v>
      </c>
      <c r="AD304" s="94">
        <v>1541</v>
      </c>
      <c r="AE304" s="94">
        <v>2932</v>
      </c>
      <c r="AF304" s="94">
        <v>1112</v>
      </c>
      <c r="AG304" s="94">
        <v>5540</v>
      </c>
      <c r="AH304" s="94">
        <v>367</v>
      </c>
      <c r="AI304" s="94">
        <v>23</v>
      </c>
      <c r="AJ304" s="94">
        <v>5894</v>
      </c>
      <c r="AK304" s="94">
        <v>7</v>
      </c>
      <c r="AL304" s="94">
        <v>29</v>
      </c>
      <c r="AM304" s="94">
        <v>282</v>
      </c>
      <c r="AN304" s="94">
        <v>5585</v>
      </c>
      <c r="AO304" s="94">
        <v>63</v>
      </c>
      <c r="AP304" s="95">
        <v>0.87981699806440306</v>
      </c>
      <c r="AQ304" s="95">
        <v>0.22102936532996501</v>
      </c>
      <c r="AR304" s="95">
        <v>1.70906200317965</v>
      </c>
      <c r="AS304" s="95">
        <v>1.91693290734824</v>
      </c>
      <c r="AT304" s="95">
        <v>1.16279069767442</v>
      </c>
      <c r="AU304" s="95">
        <v>0.74047954866008503</v>
      </c>
      <c r="AV304" s="95">
        <v>0.55970149253731305</v>
      </c>
      <c r="AW304" s="95">
        <v>0.88545591559909598</v>
      </c>
      <c r="AX304" s="95">
        <v>0.85227272727272696</v>
      </c>
      <c r="AY304" s="95">
        <v>0</v>
      </c>
      <c r="AZ304" s="95">
        <v>0.88511240927597801</v>
      </c>
      <c r="BA304" s="95">
        <v>0</v>
      </c>
      <c r="BB304" s="95">
        <v>0</v>
      </c>
      <c r="BC304" s="95">
        <v>1.0989010989011001</v>
      </c>
      <c r="BD304" s="95">
        <v>0.86013462976813804</v>
      </c>
      <c r="BE304" s="95">
        <v>1.61290322580645</v>
      </c>
    </row>
    <row r="305" spans="2:57" ht="15" customHeight="1" x14ac:dyDescent="0.25">
      <c r="B305" s="96">
        <v>295</v>
      </c>
      <c r="C305" s="97" t="s">
        <v>504</v>
      </c>
      <c r="D305" s="104" t="s">
        <v>43</v>
      </c>
      <c r="E305" s="104" t="s">
        <v>356</v>
      </c>
      <c r="F305" s="104" t="s">
        <v>107</v>
      </c>
      <c r="G305" s="105" t="s">
        <v>107</v>
      </c>
      <c r="H305" s="106">
        <v>2588</v>
      </c>
      <c r="I305" s="106">
        <v>1561</v>
      </c>
      <c r="J305" s="106">
        <v>1027</v>
      </c>
      <c r="K305" s="106">
        <v>146</v>
      </c>
      <c r="L305" s="106">
        <v>743</v>
      </c>
      <c r="M305" s="106">
        <v>1318</v>
      </c>
      <c r="N305" s="106">
        <v>381</v>
      </c>
      <c r="O305" s="106">
        <v>2586</v>
      </c>
      <c r="P305" s="106">
        <v>2</v>
      </c>
      <c r="Q305" s="107">
        <v>0.20259319286871999</v>
      </c>
      <c r="R305" s="107">
        <v>0.200400801603206</v>
      </c>
      <c r="S305" s="107">
        <v>0.20597322348094699</v>
      </c>
      <c r="T305" s="107">
        <v>0</v>
      </c>
      <c r="U305" s="107">
        <v>0.57553956834532405</v>
      </c>
      <c r="V305" s="107">
        <v>7.86163522012579E-2</v>
      </c>
      <c r="W305" s="107">
        <v>0</v>
      </c>
      <c r="X305" s="107">
        <v>0.202757502027575</v>
      </c>
      <c r="Y305" s="107">
        <v>0</v>
      </c>
      <c r="Z305" s="106">
        <v>3000</v>
      </c>
      <c r="AA305" s="106">
        <v>1735</v>
      </c>
      <c r="AB305" s="106">
        <v>1265</v>
      </c>
      <c r="AC305" s="106">
        <v>173</v>
      </c>
      <c r="AD305" s="106">
        <v>995</v>
      </c>
      <c r="AE305" s="106">
        <v>1469</v>
      </c>
      <c r="AF305" s="106">
        <v>363</v>
      </c>
      <c r="AG305" s="106">
        <v>2722</v>
      </c>
      <c r="AH305" s="106">
        <v>265</v>
      </c>
      <c r="AI305" s="106">
        <v>13</v>
      </c>
      <c r="AJ305" s="106">
        <v>2987</v>
      </c>
      <c r="AK305" s="106">
        <v>3</v>
      </c>
      <c r="AL305" s="106">
        <v>10</v>
      </c>
      <c r="AM305" s="106">
        <v>125</v>
      </c>
      <c r="AN305" s="106">
        <v>2835</v>
      </c>
      <c r="AO305" s="106">
        <v>40</v>
      </c>
      <c r="AP305" s="107">
        <v>1.3869625520111</v>
      </c>
      <c r="AQ305" s="107">
        <v>0.41371158392434998</v>
      </c>
      <c r="AR305" s="107">
        <v>2.7684563758389298</v>
      </c>
      <c r="AS305" s="107">
        <v>0.625</v>
      </c>
      <c r="AT305" s="107">
        <v>1.5739769150052501</v>
      </c>
      <c r="AU305" s="107">
        <v>1.48619957537155</v>
      </c>
      <c r="AV305" s="107">
        <v>0.83798882681564202</v>
      </c>
      <c r="AW305" s="107">
        <v>1.3766730401529601</v>
      </c>
      <c r="AX305" s="107">
        <v>1.5564202334630399</v>
      </c>
      <c r="AY305" s="107">
        <v>0</v>
      </c>
      <c r="AZ305" s="107">
        <v>1.3922728854855599</v>
      </c>
      <c r="BA305" s="107">
        <v>0</v>
      </c>
      <c r="BB305" s="107">
        <v>0</v>
      </c>
      <c r="BC305" s="107">
        <v>0.81967213114754101</v>
      </c>
      <c r="BD305" s="107">
        <v>1.4306676449009501</v>
      </c>
      <c r="BE305" s="107">
        <v>0</v>
      </c>
    </row>
    <row r="306" spans="2:57" ht="15" customHeight="1" x14ac:dyDescent="0.25">
      <c r="B306" s="91">
        <v>296</v>
      </c>
      <c r="C306" s="92" t="s">
        <v>504</v>
      </c>
      <c r="D306" s="92" t="s">
        <v>43</v>
      </c>
      <c r="E306" s="92" t="s">
        <v>356</v>
      </c>
      <c r="F306" s="92" t="s">
        <v>107</v>
      </c>
      <c r="G306" s="101" t="s">
        <v>501</v>
      </c>
      <c r="H306" s="94">
        <v>0</v>
      </c>
      <c r="I306" s="94">
        <v>0</v>
      </c>
      <c r="J306" s="94">
        <v>0</v>
      </c>
      <c r="K306" s="94">
        <v>0</v>
      </c>
      <c r="L306" s="94">
        <v>0</v>
      </c>
      <c r="M306" s="94">
        <v>0</v>
      </c>
      <c r="N306" s="94">
        <v>0</v>
      </c>
      <c r="O306" s="94">
        <v>0</v>
      </c>
      <c r="P306" s="94">
        <v>0</v>
      </c>
      <c r="Q306" s="95">
        <v>0</v>
      </c>
      <c r="R306" s="95">
        <v>0</v>
      </c>
      <c r="S306" s="95">
        <v>0</v>
      </c>
      <c r="T306" s="95">
        <v>0</v>
      </c>
      <c r="U306" s="95">
        <v>0</v>
      </c>
      <c r="V306" s="95">
        <v>0</v>
      </c>
      <c r="W306" s="95">
        <v>0</v>
      </c>
      <c r="X306" s="95">
        <v>0</v>
      </c>
      <c r="Y306" s="95">
        <v>0</v>
      </c>
      <c r="Z306" s="94">
        <v>0</v>
      </c>
      <c r="AA306" s="94">
        <v>0</v>
      </c>
      <c r="AB306" s="94">
        <v>0</v>
      </c>
      <c r="AC306" s="94">
        <v>0</v>
      </c>
      <c r="AD306" s="94">
        <v>0</v>
      </c>
      <c r="AE306" s="94">
        <v>0</v>
      </c>
      <c r="AF306" s="94">
        <v>0</v>
      </c>
      <c r="AG306" s="94">
        <v>0</v>
      </c>
      <c r="AH306" s="94">
        <v>0</v>
      </c>
      <c r="AI306" s="94">
        <v>0</v>
      </c>
      <c r="AJ306" s="94">
        <v>0</v>
      </c>
      <c r="AK306" s="94">
        <v>0</v>
      </c>
      <c r="AL306" s="94">
        <v>0</v>
      </c>
      <c r="AM306" s="94">
        <v>0</v>
      </c>
      <c r="AN306" s="94">
        <v>0</v>
      </c>
      <c r="AO306" s="94">
        <v>0</v>
      </c>
      <c r="AP306" s="95">
        <v>0</v>
      </c>
      <c r="AQ306" s="95">
        <v>0</v>
      </c>
      <c r="AR306" s="95">
        <v>0</v>
      </c>
      <c r="AS306" s="95">
        <v>0</v>
      </c>
      <c r="AT306" s="95">
        <v>0</v>
      </c>
      <c r="AU306" s="95">
        <v>0</v>
      </c>
      <c r="AV306" s="95">
        <v>0</v>
      </c>
      <c r="AW306" s="95">
        <v>0</v>
      </c>
      <c r="AX306" s="95">
        <v>0</v>
      </c>
      <c r="AY306" s="95">
        <v>0</v>
      </c>
      <c r="AZ306" s="95">
        <v>0</v>
      </c>
      <c r="BA306" s="95">
        <v>0</v>
      </c>
      <c r="BB306" s="95">
        <v>0</v>
      </c>
      <c r="BC306" s="95">
        <v>0</v>
      </c>
      <c r="BD306" s="95">
        <v>0</v>
      </c>
      <c r="BE306" s="95">
        <v>0</v>
      </c>
    </row>
    <row r="307" spans="2:57" ht="15" customHeight="1" x14ac:dyDescent="0.25">
      <c r="B307" s="91">
        <v>297</v>
      </c>
      <c r="C307" s="92" t="s">
        <v>504</v>
      </c>
      <c r="D307" s="92" t="s">
        <v>43</v>
      </c>
      <c r="E307" s="92" t="s">
        <v>356</v>
      </c>
      <c r="F307" s="92" t="s">
        <v>107</v>
      </c>
      <c r="G307" s="101" t="s">
        <v>502</v>
      </c>
      <c r="H307" s="94">
        <v>2588</v>
      </c>
      <c r="I307" s="94">
        <v>1561</v>
      </c>
      <c r="J307" s="94">
        <v>1027</v>
      </c>
      <c r="K307" s="94">
        <v>146</v>
      </c>
      <c r="L307" s="94">
        <v>743</v>
      </c>
      <c r="M307" s="94">
        <v>1318</v>
      </c>
      <c r="N307" s="94">
        <v>381</v>
      </c>
      <c r="O307" s="94">
        <v>2586</v>
      </c>
      <c r="P307" s="94">
        <v>2</v>
      </c>
      <c r="Q307" s="95">
        <v>0.20259319286871999</v>
      </c>
      <c r="R307" s="95">
        <v>0.200400801603206</v>
      </c>
      <c r="S307" s="95">
        <v>0.20597322348094699</v>
      </c>
      <c r="T307" s="95">
        <v>0</v>
      </c>
      <c r="U307" s="95">
        <v>0.57553956834532405</v>
      </c>
      <c r="V307" s="95">
        <v>7.86163522012579E-2</v>
      </c>
      <c r="W307" s="95">
        <v>0</v>
      </c>
      <c r="X307" s="95">
        <v>0.202757502027575</v>
      </c>
      <c r="Y307" s="95">
        <v>0</v>
      </c>
      <c r="Z307" s="94">
        <v>3000</v>
      </c>
      <c r="AA307" s="94">
        <v>1735</v>
      </c>
      <c r="AB307" s="94">
        <v>1265</v>
      </c>
      <c r="AC307" s="94">
        <v>173</v>
      </c>
      <c r="AD307" s="94">
        <v>995</v>
      </c>
      <c r="AE307" s="94">
        <v>1469</v>
      </c>
      <c r="AF307" s="94">
        <v>363</v>
      </c>
      <c r="AG307" s="94">
        <v>2722</v>
      </c>
      <c r="AH307" s="94">
        <v>265</v>
      </c>
      <c r="AI307" s="94">
        <v>13</v>
      </c>
      <c r="AJ307" s="94">
        <v>2987</v>
      </c>
      <c r="AK307" s="94">
        <v>3</v>
      </c>
      <c r="AL307" s="94">
        <v>10</v>
      </c>
      <c r="AM307" s="94">
        <v>125</v>
      </c>
      <c r="AN307" s="94">
        <v>2835</v>
      </c>
      <c r="AO307" s="94">
        <v>40</v>
      </c>
      <c r="AP307" s="95">
        <v>1.3869625520111</v>
      </c>
      <c r="AQ307" s="95">
        <v>0.41371158392434998</v>
      </c>
      <c r="AR307" s="95">
        <v>2.7684563758389298</v>
      </c>
      <c r="AS307" s="95">
        <v>0.625</v>
      </c>
      <c r="AT307" s="95">
        <v>1.5739769150052501</v>
      </c>
      <c r="AU307" s="95">
        <v>1.48619957537155</v>
      </c>
      <c r="AV307" s="95">
        <v>0.83798882681564202</v>
      </c>
      <c r="AW307" s="95">
        <v>1.3766730401529601</v>
      </c>
      <c r="AX307" s="95">
        <v>1.5564202334630399</v>
      </c>
      <c r="AY307" s="95">
        <v>0</v>
      </c>
      <c r="AZ307" s="95">
        <v>1.3922728854855599</v>
      </c>
      <c r="BA307" s="95">
        <v>0</v>
      </c>
      <c r="BB307" s="95">
        <v>0</v>
      </c>
      <c r="BC307" s="95">
        <v>0.81967213114754101</v>
      </c>
      <c r="BD307" s="95">
        <v>1.4306676449009501</v>
      </c>
      <c r="BE307" s="95">
        <v>0</v>
      </c>
    </row>
    <row r="308" spans="2:57" ht="15" customHeight="1" x14ac:dyDescent="0.25">
      <c r="B308" s="96">
        <v>298</v>
      </c>
      <c r="C308" s="97" t="s">
        <v>504</v>
      </c>
      <c r="D308" s="104" t="s">
        <v>43</v>
      </c>
      <c r="E308" s="104" t="s">
        <v>356</v>
      </c>
      <c r="F308" s="104" t="s">
        <v>191</v>
      </c>
      <c r="G308" s="105" t="s">
        <v>191</v>
      </c>
      <c r="H308" s="106">
        <v>6310</v>
      </c>
      <c r="I308" s="106">
        <v>3673</v>
      </c>
      <c r="J308" s="106">
        <v>2637</v>
      </c>
      <c r="K308" s="106">
        <v>475</v>
      </c>
      <c r="L308" s="106">
        <v>1642</v>
      </c>
      <c r="M308" s="106">
        <v>3170</v>
      </c>
      <c r="N308" s="106">
        <v>1023</v>
      </c>
      <c r="O308" s="106">
        <v>6304</v>
      </c>
      <c r="P308" s="106">
        <v>6</v>
      </c>
      <c r="Q308" s="107">
        <v>3.2642402480822598E-2</v>
      </c>
      <c r="R308" s="107">
        <v>5.5850321139346501E-2</v>
      </c>
      <c r="S308" s="107">
        <v>0</v>
      </c>
      <c r="T308" s="107">
        <v>0</v>
      </c>
      <c r="U308" s="107">
        <v>6.3131313131313094E-2</v>
      </c>
      <c r="V308" s="107">
        <v>3.22164948453608E-2</v>
      </c>
      <c r="W308" s="107">
        <v>0</v>
      </c>
      <c r="X308" s="107">
        <v>3.2669062397909197E-2</v>
      </c>
      <c r="Y308" s="107">
        <v>0</v>
      </c>
      <c r="Z308" s="106">
        <v>8141</v>
      </c>
      <c r="AA308" s="106">
        <v>4515</v>
      </c>
      <c r="AB308" s="106">
        <v>3626</v>
      </c>
      <c r="AC308" s="106">
        <v>453</v>
      </c>
      <c r="AD308" s="106">
        <v>2169</v>
      </c>
      <c r="AE308" s="106">
        <v>4111</v>
      </c>
      <c r="AF308" s="106">
        <v>1408</v>
      </c>
      <c r="AG308" s="106">
        <v>7040</v>
      </c>
      <c r="AH308" s="106">
        <v>1062</v>
      </c>
      <c r="AI308" s="106">
        <v>39</v>
      </c>
      <c r="AJ308" s="106">
        <v>8102</v>
      </c>
      <c r="AK308" s="106">
        <v>23</v>
      </c>
      <c r="AL308" s="106">
        <v>16</v>
      </c>
      <c r="AM308" s="106">
        <v>410</v>
      </c>
      <c r="AN308" s="106">
        <v>7663</v>
      </c>
      <c r="AO308" s="106">
        <v>68</v>
      </c>
      <c r="AP308" s="107">
        <v>0.79736742184533604</v>
      </c>
      <c r="AQ308" s="107">
        <v>0.11379153390987699</v>
      </c>
      <c r="AR308" s="107">
        <v>1.65383518676932</v>
      </c>
      <c r="AS308" s="107">
        <v>0.70754716981132104</v>
      </c>
      <c r="AT308" s="107">
        <v>0.95556617295747703</v>
      </c>
      <c r="AU308" s="107">
        <v>0.94857713429855195</v>
      </c>
      <c r="AV308" s="107">
        <v>0.145137880986938</v>
      </c>
      <c r="AW308" s="107">
        <v>0.71585098612125597</v>
      </c>
      <c r="AX308" s="107">
        <v>1.3765978367748299</v>
      </c>
      <c r="AY308" s="107">
        <v>0</v>
      </c>
      <c r="AZ308" s="107">
        <v>0.80122090805036195</v>
      </c>
      <c r="BA308" s="107">
        <v>0</v>
      </c>
      <c r="BB308" s="107">
        <v>0</v>
      </c>
      <c r="BC308" s="107">
        <v>0.75376884422110502</v>
      </c>
      <c r="BD308" s="107">
        <v>0.80677692617991104</v>
      </c>
      <c r="BE308" s="107">
        <v>0</v>
      </c>
    </row>
    <row r="309" spans="2:57" ht="15" customHeight="1" x14ac:dyDescent="0.25">
      <c r="B309" s="91">
        <v>299</v>
      </c>
      <c r="C309" s="92" t="s">
        <v>504</v>
      </c>
      <c r="D309" s="92" t="s">
        <v>43</v>
      </c>
      <c r="E309" s="92" t="s">
        <v>356</v>
      </c>
      <c r="F309" s="92" t="s">
        <v>191</v>
      </c>
      <c r="G309" s="101" t="s">
        <v>501</v>
      </c>
      <c r="H309" s="94">
        <v>0</v>
      </c>
      <c r="I309" s="94">
        <v>0</v>
      </c>
      <c r="J309" s="94">
        <v>0</v>
      </c>
      <c r="K309" s="94">
        <v>0</v>
      </c>
      <c r="L309" s="94">
        <v>0</v>
      </c>
      <c r="M309" s="94">
        <v>0</v>
      </c>
      <c r="N309" s="94">
        <v>0</v>
      </c>
      <c r="O309" s="94">
        <v>0</v>
      </c>
      <c r="P309" s="94">
        <v>0</v>
      </c>
      <c r="Q309" s="95">
        <v>0</v>
      </c>
      <c r="R309" s="95">
        <v>0</v>
      </c>
      <c r="S309" s="95">
        <v>0</v>
      </c>
      <c r="T309" s="95">
        <v>0</v>
      </c>
      <c r="U309" s="95">
        <v>0</v>
      </c>
      <c r="V309" s="95">
        <v>0</v>
      </c>
      <c r="W309" s="95">
        <v>0</v>
      </c>
      <c r="X309" s="95">
        <v>0</v>
      </c>
      <c r="Y309" s="95">
        <v>0</v>
      </c>
      <c r="Z309" s="94">
        <v>0</v>
      </c>
      <c r="AA309" s="94">
        <v>0</v>
      </c>
      <c r="AB309" s="94">
        <v>0</v>
      </c>
      <c r="AC309" s="94">
        <v>0</v>
      </c>
      <c r="AD309" s="94">
        <v>0</v>
      </c>
      <c r="AE309" s="94">
        <v>0</v>
      </c>
      <c r="AF309" s="94">
        <v>0</v>
      </c>
      <c r="AG309" s="94">
        <v>0</v>
      </c>
      <c r="AH309" s="94">
        <v>0</v>
      </c>
      <c r="AI309" s="94">
        <v>0</v>
      </c>
      <c r="AJ309" s="94">
        <v>0</v>
      </c>
      <c r="AK309" s="94">
        <v>0</v>
      </c>
      <c r="AL309" s="94">
        <v>0</v>
      </c>
      <c r="AM309" s="94">
        <v>0</v>
      </c>
      <c r="AN309" s="94">
        <v>0</v>
      </c>
      <c r="AO309" s="94">
        <v>0</v>
      </c>
      <c r="AP309" s="95">
        <v>0</v>
      </c>
      <c r="AQ309" s="95">
        <v>0</v>
      </c>
      <c r="AR309" s="95">
        <v>0</v>
      </c>
      <c r="AS309" s="95">
        <v>0</v>
      </c>
      <c r="AT309" s="95">
        <v>0</v>
      </c>
      <c r="AU309" s="95">
        <v>0</v>
      </c>
      <c r="AV309" s="95">
        <v>0</v>
      </c>
      <c r="AW309" s="95">
        <v>0</v>
      </c>
      <c r="AX309" s="95">
        <v>0</v>
      </c>
      <c r="AY309" s="95">
        <v>0</v>
      </c>
      <c r="AZ309" s="95">
        <v>0</v>
      </c>
      <c r="BA309" s="95">
        <v>0</v>
      </c>
      <c r="BB309" s="95">
        <v>0</v>
      </c>
      <c r="BC309" s="95">
        <v>0</v>
      </c>
      <c r="BD309" s="95">
        <v>0</v>
      </c>
      <c r="BE309" s="95">
        <v>0</v>
      </c>
    </row>
    <row r="310" spans="2:57" ht="15" customHeight="1" x14ac:dyDescent="0.25">
      <c r="B310" s="91">
        <v>300</v>
      </c>
      <c r="C310" s="92" t="s">
        <v>504</v>
      </c>
      <c r="D310" s="92" t="s">
        <v>43</v>
      </c>
      <c r="E310" s="92" t="s">
        <v>356</v>
      </c>
      <c r="F310" s="92" t="s">
        <v>191</v>
      </c>
      <c r="G310" s="101" t="s">
        <v>502</v>
      </c>
      <c r="H310" s="94">
        <v>6310</v>
      </c>
      <c r="I310" s="94">
        <v>3673</v>
      </c>
      <c r="J310" s="94">
        <v>2637</v>
      </c>
      <c r="K310" s="94">
        <v>475</v>
      </c>
      <c r="L310" s="94">
        <v>1642</v>
      </c>
      <c r="M310" s="94">
        <v>3170</v>
      </c>
      <c r="N310" s="94">
        <v>1023</v>
      </c>
      <c r="O310" s="94">
        <v>6304</v>
      </c>
      <c r="P310" s="94">
        <v>6</v>
      </c>
      <c r="Q310" s="95">
        <v>3.2642402480822598E-2</v>
      </c>
      <c r="R310" s="95">
        <v>5.5850321139346501E-2</v>
      </c>
      <c r="S310" s="95">
        <v>0</v>
      </c>
      <c r="T310" s="95">
        <v>0</v>
      </c>
      <c r="U310" s="95">
        <v>6.3131313131313094E-2</v>
      </c>
      <c r="V310" s="95">
        <v>3.22164948453608E-2</v>
      </c>
      <c r="W310" s="95">
        <v>0</v>
      </c>
      <c r="X310" s="95">
        <v>3.2669062397909197E-2</v>
      </c>
      <c r="Y310" s="95">
        <v>0</v>
      </c>
      <c r="Z310" s="94">
        <v>8141</v>
      </c>
      <c r="AA310" s="94">
        <v>4515</v>
      </c>
      <c r="AB310" s="94">
        <v>3626</v>
      </c>
      <c r="AC310" s="94">
        <v>453</v>
      </c>
      <c r="AD310" s="94">
        <v>2169</v>
      </c>
      <c r="AE310" s="94">
        <v>4111</v>
      </c>
      <c r="AF310" s="94">
        <v>1408</v>
      </c>
      <c r="AG310" s="94">
        <v>7040</v>
      </c>
      <c r="AH310" s="94">
        <v>1062</v>
      </c>
      <c r="AI310" s="94">
        <v>39</v>
      </c>
      <c r="AJ310" s="94">
        <v>8102</v>
      </c>
      <c r="AK310" s="94">
        <v>23</v>
      </c>
      <c r="AL310" s="94">
        <v>16</v>
      </c>
      <c r="AM310" s="94">
        <v>410</v>
      </c>
      <c r="AN310" s="94">
        <v>7663</v>
      </c>
      <c r="AO310" s="94">
        <v>68</v>
      </c>
      <c r="AP310" s="95">
        <v>0.79736742184533604</v>
      </c>
      <c r="AQ310" s="95">
        <v>0.11379153390987699</v>
      </c>
      <c r="AR310" s="95">
        <v>1.65383518676932</v>
      </c>
      <c r="AS310" s="95">
        <v>0.70754716981132104</v>
      </c>
      <c r="AT310" s="95">
        <v>0.95556617295747703</v>
      </c>
      <c r="AU310" s="95">
        <v>0.94857713429855195</v>
      </c>
      <c r="AV310" s="95">
        <v>0.145137880986938</v>
      </c>
      <c r="AW310" s="95">
        <v>0.71585098612125597</v>
      </c>
      <c r="AX310" s="95">
        <v>1.3765978367748299</v>
      </c>
      <c r="AY310" s="95">
        <v>0</v>
      </c>
      <c r="AZ310" s="95">
        <v>0.80122090805036195</v>
      </c>
      <c r="BA310" s="95">
        <v>0</v>
      </c>
      <c r="BB310" s="95">
        <v>0</v>
      </c>
      <c r="BC310" s="95">
        <v>0.75376884422110502</v>
      </c>
      <c r="BD310" s="95">
        <v>0.80677692617991104</v>
      </c>
      <c r="BE310" s="95">
        <v>0</v>
      </c>
    </row>
    <row r="311" spans="2:57" ht="15" customHeight="1" x14ac:dyDescent="0.25">
      <c r="B311" s="86">
        <v>301</v>
      </c>
      <c r="C311" s="87" t="s">
        <v>503</v>
      </c>
      <c r="D311" s="103" t="s">
        <v>43</v>
      </c>
      <c r="E311" s="103" t="s">
        <v>138</v>
      </c>
      <c r="F311" s="103"/>
      <c r="G311" s="88" t="s">
        <v>138</v>
      </c>
      <c r="H311" s="89">
        <v>33890</v>
      </c>
      <c r="I311" s="89">
        <v>21097</v>
      </c>
      <c r="J311" s="89">
        <v>12793</v>
      </c>
      <c r="K311" s="89">
        <v>2197</v>
      </c>
      <c r="L311" s="89">
        <v>8750</v>
      </c>
      <c r="M311" s="89">
        <v>17251</v>
      </c>
      <c r="N311" s="89">
        <v>5692</v>
      </c>
      <c r="O311" s="89">
        <v>33878</v>
      </c>
      <c r="P311" s="89">
        <v>12</v>
      </c>
      <c r="Q311" s="90">
        <v>0.21992791251756399</v>
      </c>
      <c r="R311" s="90">
        <v>0.180505415162455</v>
      </c>
      <c r="S311" s="90">
        <v>0.28594771241830103</v>
      </c>
      <c r="T311" s="90">
        <v>0.24473813020068499</v>
      </c>
      <c r="U311" s="90">
        <v>0.24988100904331301</v>
      </c>
      <c r="V311" s="90">
        <v>0.25644083969465598</v>
      </c>
      <c r="W311" s="90">
        <v>5.43183052688756E-2</v>
      </c>
      <c r="X311" s="90">
        <v>0.220008555888285</v>
      </c>
      <c r="Y311" s="90">
        <v>0</v>
      </c>
      <c r="Z311" s="89">
        <v>48180</v>
      </c>
      <c r="AA311" s="89">
        <v>28254</v>
      </c>
      <c r="AB311" s="89">
        <v>19926</v>
      </c>
      <c r="AC311" s="89">
        <v>2427</v>
      </c>
      <c r="AD311" s="89">
        <v>12765</v>
      </c>
      <c r="AE311" s="89">
        <v>24990</v>
      </c>
      <c r="AF311" s="89">
        <v>7998</v>
      </c>
      <c r="AG311" s="89">
        <v>36904</v>
      </c>
      <c r="AH311" s="89">
        <v>10886</v>
      </c>
      <c r="AI311" s="89">
        <v>390</v>
      </c>
      <c r="AJ311" s="89">
        <v>47926</v>
      </c>
      <c r="AK311" s="89">
        <v>91</v>
      </c>
      <c r="AL311" s="89">
        <v>163</v>
      </c>
      <c r="AM311" s="89">
        <v>2682</v>
      </c>
      <c r="AN311" s="89">
        <v>44890</v>
      </c>
      <c r="AO311" s="89">
        <v>608</v>
      </c>
      <c r="AP311" s="90">
        <v>1.4703020605850901</v>
      </c>
      <c r="AQ311" s="90">
        <v>0.50815237259632995</v>
      </c>
      <c r="AR311" s="90">
        <v>2.86319132045515</v>
      </c>
      <c r="AS311" s="90">
        <v>1.84129767645769</v>
      </c>
      <c r="AT311" s="90">
        <v>1.7151810010719899</v>
      </c>
      <c r="AU311" s="90">
        <v>1.58888611596373</v>
      </c>
      <c r="AV311" s="90">
        <v>0.61546352096422596</v>
      </c>
      <c r="AW311" s="90">
        <v>1.2292199938117101</v>
      </c>
      <c r="AX311" s="90">
        <v>2.2949549724024401</v>
      </c>
      <c r="AY311" s="90">
        <v>1.6172506738544501</v>
      </c>
      <c r="AZ311" s="90">
        <v>1.46716803964614</v>
      </c>
      <c r="BA311" s="90">
        <v>2.29885057471264</v>
      </c>
      <c r="BB311" s="90">
        <v>1.93548387096774</v>
      </c>
      <c r="BC311" s="90">
        <v>1.4925373134328399</v>
      </c>
      <c r="BD311" s="90">
        <v>1.4774205538004099</v>
      </c>
      <c r="BE311" s="90">
        <v>0.85034013605442205</v>
      </c>
    </row>
    <row r="312" spans="2:57" ht="15" customHeight="1" x14ac:dyDescent="0.25">
      <c r="B312" s="91">
        <v>302</v>
      </c>
      <c r="C312" s="92" t="s">
        <v>503</v>
      </c>
      <c r="D312" s="92" t="s">
        <v>43</v>
      </c>
      <c r="E312" s="92" t="s">
        <v>138</v>
      </c>
      <c r="F312" s="92"/>
      <c r="G312" s="93" t="s">
        <v>501</v>
      </c>
      <c r="H312" s="94">
        <v>4405</v>
      </c>
      <c r="I312" s="94">
        <v>2974</v>
      </c>
      <c r="J312" s="94">
        <v>1431</v>
      </c>
      <c r="K312" s="94">
        <v>133</v>
      </c>
      <c r="L312" s="94">
        <v>1428</v>
      </c>
      <c r="M312" s="94">
        <v>2404</v>
      </c>
      <c r="N312" s="94">
        <v>440</v>
      </c>
      <c r="O312" s="94">
        <v>4400</v>
      </c>
      <c r="P312" s="94">
        <v>5</v>
      </c>
      <c r="Q312" s="95">
        <v>0.83412774070543405</v>
      </c>
      <c r="R312" s="95">
        <v>0.73761854583772402</v>
      </c>
      <c r="S312" s="95">
        <v>1.03780578206079</v>
      </c>
      <c r="T312" s="95">
        <v>1.7543859649122799</v>
      </c>
      <c r="U312" s="95">
        <v>0.73855243722304298</v>
      </c>
      <c r="V312" s="95">
        <v>0.90517241379310398</v>
      </c>
      <c r="W312" s="95">
        <v>0.49019607843137297</v>
      </c>
      <c r="X312" s="95">
        <v>0.83512288236697696</v>
      </c>
      <c r="Y312" s="95">
        <v>0</v>
      </c>
      <c r="Z312" s="94">
        <v>8883</v>
      </c>
      <c r="AA312" s="94">
        <v>5150</v>
      </c>
      <c r="AB312" s="94">
        <v>3733</v>
      </c>
      <c r="AC312" s="94">
        <v>477</v>
      </c>
      <c r="AD312" s="94">
        <v>2613</v>
      </c>
      <c r="AE312" s="94">
        <v>4809</v>
      </c>
      <c r="AF312" s="94">
        <v>984</v>
      </c>
      <c r="AG312" s="94">
        <v>5350</v>
      </c>
      <c r="AH312" s="94">
        <v>3408</v>
      </c>
      <c r="AI312" s="94">
        <v>125</v>
      </c>
      <c r="AJ312" s="94">
        <v>8834</v>
      </c>
      <c r="AK312" s="94">
        <v>18</v>
      </c>
      <c r="AL312" s="94">
        <v>31</v>
      </c>
      <c r="AM312" s="94">
        <v>459</v>
      </c>
      <c r="AN312" s="94">
        <v>8313</v>
      </c>
      <c r="AO312" s="94">
        <v>111</v>
      </c>
      <c r="AP312" s="95">
        <v>3.56461611826419</v>
      </c>
      <c r="AQ312" s="95">
        <v>1.12382509194933</v>
      </c>
      <c r="AR312" s="95">
        <v>6.9834001144819702</v>
      </c>
      <c r="AS312" s="95">
        <v>4.4943820224719104</v>
      </c>
      <c r="AT312" s="95">
        <v>3.6124794745484401</v>
      </c>
      <c r="AU312" s="95">
        <v>3.77524143985953</v>
      </c>
      <c r="AV312" s="95">
        <v>1.9978969505783399</v>
      </c>
      <c r="AW312" s="95">
        <v>3.33201892744479</v>
      </c>
      <c r="AX312" s="95">
        <v>3.9350405996252298</v>
      </c>
      <c r="AY312" s="95">
        <v>3.5087719298245599</v>
      </c>
      <c r="AZ312" s="95">
        <v>3.55944391179291</v>
      </c>
      <c r="BA312" s="95">
        <v>5.8823529411764701</v>
      </c>
      <c r="BB312" s="95">
        <v>3.7037037037037002</v>
      </c>
      <c r="BC312" s="95">
        <v>3.8548752834467099</v>
      </c>
      <c r="BD312" s="95">
        <v>3.5577658760520299</v>
      </c>
      <c r="BE312" s="95">
        <v>2.8571428571428599</v>
      </c>
    </row>
    <row r="313" spans="2:57" ht="15" customHeight="1" x14ac:dyDescent="0.25">
      <c r="B313" s="91">
        <v>303</v>
      </c>
      <c r="C313" s="92" t="s">
        <v>503</v>
      </c>
      <c r="D313" s="92" t="s">
        <v>43</v>
      </c>
      <c r="E313" s="92" t="s">
        <v>138</v>
      </c>
      <c r="F313" s="92"/>
      <c r="G313" s="93" t="s">
        <v>502</v>
      </c>
      <c r="H313" s="94">
        <v>29485</v>
      </c>
      <c r="I313" s="94">
        <v>18123</v>
      </c>
      <c r="J313" s="94">
        <v>11362</v>
      </c>
      <c r="K313" s="94">
        <v>2064</v>
      </c>
      <c r="L313" s="94">
        <v>7322</v>
      </c>
      <c r="M313" s="94">
        <v>14847</v>
      </c>
      <c r="N313" s="94">
        <v>5252</v>
      </c>
      <c r="O313" s="94">
        <v>29478</v>
      </c>
      <c r="P313" s="94">
        <v>7</v>
      </c>
      <c r="Q313" s="95">
        <v>0.12963352252820401</v>
      </c>
      <c r="R313" s="95">
        <v>9.0646422299019896E-2</v>
      </c>
      <c r="S313" s="95">
        <v>0.192819759434395</v>
      </c>
      <c r="T313" s="95">
        <v>0.15552099533437</v>
      </c>
      <c r="U313" s="95">
        <v>0.15602836879432599</v>
      </c>
      <c r="V313" s="95">
        <v>0.152270210409745</v>
      </c>
      <c r="W313" s="95">
        <v>1.9550342130987299E-2</v>
      </c>
      <c r="X313" s="95">
        <v>0.12966532328719099</v>
      </c>
      <c r="Y313" s="95">
        <v>0</v>
      </c>
      <c r="Z313" s="94">
        <v>39297</v>
      </c>
      <c r="AA313" s="94">
        <v>23104</v>
      </c>
      <c r="AB313" s="94">
        <v>16193</v>
      </c>
      <c r="AC313" s="94">
        <v>1950</v>
      </c>
      <c r="AD313" s="94">
        <v>10152</v>
      </c>
      <c r="AE313" s="94">
        <v>20181</v>
      </c>
      <c r="AF313" s="94">
        <v>7014</v>
      </c>
      <c r="AG313" s="94">
        <v>31554</v>
      </c>
      <c r="AH313" s="94">
        <v>7478</v>
      </c>
      <c r="AI313" s="94">
        <v>265</v>
      </c>
      <c r="AJ313" s="94">
        <v>39092</v>
      </c>
      <c r="AK313" s="94">
        <v>73</v>
      </c>
      <c r="AL313" s="94">
        <v>132</v>
      </c>
      <c r="AM313" s="94">
        <v>2223</v>
      </c>
      <c r="AN313" s="94">
        <v>36577</v>
      </c>
      <c r="AO313" s="94">
        <v>497</v>
      </c>
      <c r="AP313" s="95">
        <v>1.00631256438023</v>
      </c>
      <c r="AQ313" s="95">
        <v>0.37399821905609998</v>
      </c>
      <c r="AR313" s="95">
        <v>1.9284462047919</v>
      </c>
      <c r="AS313" s="95">
        <v>1.1982570806100199</v>
      </c>
      <c r="AT313" s="95">
        <v>1.2382623052316599</v>
      </c>
      <c r="AU313" s="95">
        <v>1.07769680796469</v>
      </c>
      <c r="AV313" s="95">
        <v>0.42348130841121501</v>
      </c>
      <c r="AW313" s="95">
        <v>0.87929394008989803</v>
      </c>
      <c r="AX313" s="95">
        <v>1.5578947368421101</v>
      </c>
      <c r="AY313" s="95">
        <v>0.77821011673151796</v>
      </c>
      <c r="AZ313" s="95">
        <v>1.00363752223668</v>
      </c>
      <c r="BA313" s="95">
        <v>1.4285714285714299</v>
      </c>
      <c r="BB313" s="95">
        <v>1.5625</v>
      </c>
      <c r="BC313" s="95">
        <v>1.0128913443830601</v>
      </c>
      <c r="BD313" s="95">
        <v>1.01403169914219</v>
      </c>
      <c r="BE313" s="95">
        <v>0.41407867494824002</v>
      </c>
    </row>
    <row r="314" spans="2:57" ht="15" customHeight="1" x14ac:dyDescent="0.25">
      <c r="B314" s="96">
        <v>304</v>
      </c>
      <c r="C314" s="97" t="s">
        <v>504</v>
      </c>
      <c r="D314" s="104" t="s">
        <v>43</v>
      </c>
      <c r="E314" s="104" t="s">
        <v>138</v>
      </c>
      <c r="F314" s="104" t="s">
        <v>138</v>
      </c>
      <c r="G314" s="105" t="s">
        <v>138</v>
      </c>
      <c r="H314" s="106">
        <v>7728</v>
      </c>
      <c r="I314" s="106">
        <v>4757</v>
      </c>
      <c r="J314" s="106">
        <v>2971</v>
      </c>
      <c r="K314" s="106">
        <v>623</v>
      </c>
      <c r="L314" s="106">
        <v>1689</v>
      </c>
      <c r="M314" s="106">
        <v>3893</v>
      </c>
      <c r="N314" s="106">
        <v>1523</v>
      </c>
      <c r="O314" s="106">
        <v>7728</v>
      </c>
      <c r="P314" s="106">
        <v>0</v>
      </c>
      <c r="Q314" s="107">
        <v>0.12017625851248501</v>
      </c>
      <c r="R314" s="107">
        <v>8.5892205282370598E-2</v>
      </c>
      <c r="S314" s="107">
        <v>0.176553672316384</v>
      </c>
      <c r="T314" s="107">
        <v>0</v>
      </c>
      <c r="U314" s="107">
        <v>6.1387354205033801E-2</v>
      </c>
      <c r="V314" s="107">
        <v>0.18469656992084399</v>
      </c>
      <c r="W314" s="107">
        <v>6.7249495628782796E-2</v>
      </c>
      <c r="X314" s="107">
        <v>0.12017625851248501</v>
      </c>
      <c r="Y314" s="107">
        <v>0</v>
      </c>
      <c r="Z314" s="106">
        <v>11140</v>
      </c>
      <c r="AA314" s="106">
        <v>6486</v>
      </c>
      <c r="AB314" s="106">
        <v>4654</v>
      </c>
      <c r="AC314" s="106">
        <v>665</v>
      </c>
      <c r="AD314" s="106">
        <v>2848</v>
      </c>
      <c r="AE314" s="106">
        <v>5405</v>
      </c>
      <c r="AF314" s="106">
        <v>2222</v>
      </c>
      <c r="AG314" s="106">
        <v>9760</v>
      </c>
      <c r="AH314" s="106">
        <v>1322</v>
      </c>
      <c r="AI314" s="106">
        <v>58</v>
      </c>
      <c r="AJ314" s="106">
        <v>11098</v>
      </c>
      <c r="AK314" s="106">
        <v>10</v>
      </c>
      <c r="AL314" s="106">
        <v>32</v>
      </c>
      <c r="AM314" s="106">
        <v>666</v>
      </c>
      <c r="AN314" s="106">
        <v>10331</v>
      </c>
      <c r="AO314" s="106">
        <v>143</v>
      </c>
      <c r="AP314" s="107">
        <v>0.78937592867756301</v>
      </c>
      <c r="AQ314" s="107">
        <v>0.283509214049457</v>
      </c>
      <c r="AR314" s="107">
        <v>1.51618013125141</v>
      </c>
      <c r="AS314" s="107">
        <v>1.4423076923076901</v>
      </c>
      <c r="AT314" s="107">
        <v>1.0603290676416799</v>
      </c>
      <c r="AU314" s="107">
        <v>0.72505247090250002</v>
      </c>
      <c r="AV314" s="107">
        <v>0.41512915129151301</v>
      </c>
      <c r="AW314" s="107">
        <v>0.71858818556483095</v>
      </c>
      <c r="AX314" s="107">
        <v>1.2779552715655</v>
      </c>
      <c r="AY314" s="107">
        <v>1.88679245283019</v>
      </c>
      <c r="AZ314" s="107">
        <v>0.78307075603617005</v>
      </c>
      <c r="BA314" s="107">
        <v>10</v>
      </c>
      <c r="BB314" s="107">
        <v>0</v>
      </c>
      <c r="BC314" s="107">
        <v>0.30674846625766899</v>
      </c>
      <c r="BD314" s="107">
        <v>0.83191340082189003</v>
      </c>
      <c r="BE314" s="107">
        <v>0</v>
      </c>
    </row>
    <row r="315" spans="2:57" ht="15" customHeight="1" x14ac:dyDescent="0.25">
      <c r="B315" s="91">
        <v>305</v>
      </c>
      <c r="C315" s="92" t="s">
        <v>504</v>
      </c>
      <c r="D315" s="92" t="s">
        <v>43</v>
      </c>
      <c r="E315" s="92" t="s">
        <v>138</v>
      </c>
      <c r="F315" s="92" t="s">
        <v>138</v>
      </c>
      <c r="G315" s="101" t="s">
        <v>501</v>
      </c>
      <c r="H315" s="94">
        <v>0</v>
      </c>
      <c r="I315" s="94">
        <v>0</v>
      </c>
      <c r="J315" s="94">
        <v>0</v>
      </c>
      <c r="K315" s="94">
        <v>0</v>
      </c>
      <c r="L315" s="94">
        <v>0</v>
      </c>
      <c r="M315" s="94">
        <v>0</v>
      </c>
      <c r="N315" s="94">
        <v>0</v>
      </c>
      <c r="O315" s="94">
        <v>0</v>
      </c>
      <c r="P315" s="94">
        <v>0</v>
      </c>
      <c r="Q315" s="95">
        <v>0</v>
      </c>
      <c r="R315" s="95">
        <v>0</v>
      </c>
      <c r="S315" s="95">
        <v>0</v>
      </c>
      <c r="T315" s="95">
        <v>0</v>
      </c>
      <c r="U315" s="95">
        <v>0</v>
      </c>
      <c r="V315" s="95">
        <v>0</v>
      </c>
      <c r="W315" s="95">
        <v>0</v>
      </c>
      <c r="X315" s="95">
        <v>0</v>
      </c>
      <c r="Y315" s="95">
        <v>0</v>
      </c>
      <c r="Z315" s="94">
        <v>0</v>
      </c>
      <c r="AA315" s="94">
        <v>0</v>
      </c>
      <c r="AB315" s="94">
        <v>0</v>
      </c>
      <c r="AC315" s="94">
        <v>0</v>
      </c>
      <c r="AD315" s="94">
        <v>0</v>
      </c>
      <c r="AE315" s="94">
        <v>0</v>
      </c>
      <c r="AF315" s="94">
        <v>0</v>
      </c>
      <c r="AG315" s="94">
        <v>0</v>
      </c>
      <c r="AH315" s="94">
        <v>0</v>
      </c>
      <c r="AI315" s="94">
        <v>0</v>
      </c>
      <c r="AJ315" s="94">
        <v>0</v>
      </c>
      <c r="AK315" s="94">
        <v>0</v>
      </c>
      <c r="AL315" s="94">
        <v>0</v>
      </c>
      <c r="AM315" s="94">
        <v>0</v>
      </c>
      <c r="AN315" s="94">
        <v>0</v>
      </c>
      <c r="AO315" s="94">
        <v>0</v>
      </c>
      <c r="AP315" s="95">
        <v>0</v>
      </c>
      <c r="AQ315" s="95">
        <v>0</v>
      </c>
      <c r="AR315" s="95">
        <v>0</v>
      </c>
      <c r="AS315" s="95">
        <v>0</v>
      </c>
      <c r="AT315" s="95">
        <v>0</v>
      </c>
      <c r="AU315" s="95">
        <v>0</v>
      </c>
      <c r="AV315" s="95">
        <v>0</v>
      </c>
      <c r="AW315" s="95">
        <v>0</v>
      </c>
      <c r="AX315" s="95">
        <v>0</v>
      </c>
      <c r="AY315" s="95">
        <v>0</v>
      </c>
      <c r="AZ315" s="95">
        <v>0</v>
      </c>
      <c r="BA315" s="95">
        <v>0</v>
      </c>
      <c r="BB315" s="95">
        <v>0</v>
      </c>
      <c r="BC315" s="95">
        <v>0</v>
      </c>
      <c r="BD315" s="95">
        <v>0</v>
      </c>
      <c r="BE315" s="95">
        <v>0</v>
      </c>
    </row>
    <row r="316" spans="2:57" ht="15" customHeight="1" x14ac:dyDescent="0.25">
      <c r="B316" s="91">
        <v>306</v>
      </c>
      <c r="C316" s="92" t="s">
        <v>504</v>
      </c>
      <c r="D316" s="92" t="s">
        <v>43</v>
      </c>
      <c r="E316" s="92" t="s">
        <v>138</v>
      </c>
      <c r="F316" s="92" t="s">
        <v>138</v>
      </c>
      <c r="G316" s="101" t="s">
        <v>502</v>
      </c>
      <c r="H316" s="94">
        <v>7728</v>
      </c>
      <c r="I316" s="94">
        <v>4757</v>
      </c>
      <c r="J316" s="94">
        <v>2971</v>
      </c>
      <c r="K316" s="94">
        <v>623</v>
      </c>
      <c r="L316" s="94">
        <v>1689</v>
      </c>
      <c r="M316" s="94">
        <v>3893</v>
      </c>
      <c r="N316" s="94">
        <v>1523</v>
      </c>
      <c r="O316" s="94">
        <v>7728</v>
      </c>
      <c r="P316" s="94">
        <v>0</v>
      </c>
      <c r="Q316" s="95">
        <v>0.12017625851248501</v>
      </c>
      <c r="R316" s="95">
        <v>8.5892205282370598E-2</v>
      </c>
      <c r="S316" s="95">
        <v>0.176553672316384</v>
      </c>
      <c r="T316" s="95">
        <v>0</v>
      </c>
      <c r="U316" s="95">
        <v>6.1387354205033801E-2</v>
      </c>
      <c r="V316" s="95">
        <v>0.18469656992084399</v>
      </c>
      <c r="W316" s="95">
        <v>6.7249495628782796E-2</v>
      </c>
      <c r="X316" s="95">
        <v>0.12017625851248501</v>
      </c>
      <c r="Y316" s="95">
        <v>0</v>
      </c>
      <c r="Z316" s="94">
        <v>11140</v>
      </c>
      <c r="AA316" s="94">
        <v>6486</v>
      </c>
      <c r="AB316" s="94">
        <v>4654</v>
      </c>
      <c r="AC316" s="94">
        <v>665</v>
      </c>
      <c r="AD316" s="94">
        <v>2848</v>
      </c>
      <c r="AE316" s="94">
        <v>5405</v>
      </c>
      <c r="AF316" s="94">
        <v>2222</v>
      </c>
      <c r="AG316" s="94">
        <v>9760</v>
      </c>
      <c r="AH316" s="94">
        <v>1322</v>
      </c>
      <c r="AI316" s="94">
        <v>58</v>
      </c>
      <c r="AJ316" s="94">
        <v>11098</v>
      </c>
      <c r="AK316" s="94">
        <v>10</v>
      </c>
      <c r="AL316" s="94">
        <v>32</v>
      </c>
      <c r="AM316" s="94">
        <v>666</v>
      </c>
      <c r="AN316" s="94">
        <v>10331</v>
      </c>
      <c r="AO316" s="94">
        <v>143</v>
      </c>
      <c r="AP316" s="95">
        <v>0.78937592867756301</v>
      </c>
      <c r="AQ316" s="95">
        <v>0.283509214049457</v>
      </c>
      <c r="AR316" s="95">
        <v>1.51618013125141</v>
      </c>
      <c r="AS316" s="95">
        <v>1.4423076923076901</v>
      </c>
      <c r="AT316" s="95">
        <v>1.0603290676416799</v>
      </c>
      <c r="AU316" s="95">
        <v>0.72505247090250002</v>
      </c>
      <c r="AV316" s="95">
        <v>0.41512915129151301</v>
      </c>
      <c r="AW316" s="95">
        <v>0.71858818556483095</v>
      </c>
      <c r="AX316" s="95">
        <v>1.2779552715655</v>
      </c>
      <c r="AY316" s="95">
        <v>1.88679245283019</v>
      </c>
      <c r="AZ316" s="95">
        <v>0.78307075603617005</v>
      </c>
      <c r="BA316" s="95">
        <v>10</v>
      </c>
      <c r="BB316" s="95">
        <v>0</v>
      </c>
      <c r="BC316" s="95">
        <v>0.30674846625766899</v>
      </c>
      <c r="BD316" s="95">
        <v>0.83191340082189003</v>
      </c>
      <c r="BE316" s="95">
        <v>0</v>
      </c>
    </row>
    <row r="317" spans="2:57" ht="15" customHeight="1" x14ac:dyDescent="0.25">
      <c r="B317" s="96">
        <v>307</v>
      </c>
      <c r="C317" s="97" t="s">
        <v>504</v>
      </c>
      <c r="D317" s="104" t="s">
        <v>43</v>
      </c>
      <c r="E317" s="104" t="s">
        <v>138</v>
      </c>
      <c r="F317" s="104" t="s">
        <v>231</v>
      </c>
      <c r="G317" s="105" t="s">
        <v>231</v>
      </c>
      <c r="H317" s="106">
        <v>4246</v>
      </c>
      <c r="I317" s="106">
        <v>2857</v>
      </c>
      <c r="J317" s="106">
        <v>1389</v>
      </c>
      <c r="K317" s="106">
        <v>198</v>
      </c>
      <c r="L317" s="106">
        <v>1076</v>
      </c>
      <c r="M317" s="106">
        <v>2174</v>
      </c>
      <c r="N317" s="106">
        <v>798</v>
      </c>
      <c r="O317" s="106">
        <v>4242</v>
      </c>
      <c r="P317" s="106">
        <v>4</v>
      </c>
      <c r="Q317" s="107">
        <v>0.44422507403751199</v>
      </c>
      <c r="R317" s="107">
        <v>0.32942898975109802</v>
      </c>
      <c r="S317" s="107">
        <v>0.68181818181818199</v>
      </c>
      <c r="T317" s="107">
        <v>1.6042780748663099</v>
      </c>
      <c r="U317" s="107">
        <v>0.39643211100099102</v>
      </c>
      <c r="V317" s="107">
        <v>0.43000477783086499</v>
      </c>
      <c r="W317" s="107">
        <v>0.26212319790301403</v>
      </c>
      <c r="X317" s="107">
        <v>0.44466403162055301</v>
      </c>
      <c r="Y317" s="107">
        <v>0</v>
      </c>
      <c r="Z317" s="106">
        <v>6127</v>
      </c>
      <c r="AA317" s="106">
        <v>3962</v>
      </c>
      <c r="AB317" s="106">
        <v>2165</v>
      </c>
      <c r="AC317" s="106">
        <v>209</v>
      </c>
      <c r="AD317" s="106">
        <v>1524</v>
      </c>
      <c r="AE317" s="106">
        <v>3435</v>
      </c>
      <c r="AF317" s="106">
        <v>959</v>
      </c>
      <c r="AG317" s="106">
        <v>4491</v>
      </c>
      <c r="AH317" s="106">
        <v>1613</v>
      </c>
      <c r="AI317" s="106">
        <v>23</v>
      </c>
      <c r="AJ317" s="106">
        <v>6078</v>
      </c>
      <c r="AK317" s="106">
        <v>32</v>
      </c>
      <c r="AL317" s="106">
        <v>17</v>
      </c>
      <c r="AM317" s="106">
        <v>378</v>
      </c>
      <c r="AN317" s="106">
        <v>5684</v>
      </c>
      <c r="AO317" s="106">
        <v>65</v>
      </c>
      <c r="AP317" s="107">
        <v>2.6063100137174202</v>
      </c>
      <c r="AQ317" s="107">
        <v>0.81880612783940798</v>
      </c>
      <c r="AR317" s="107">
        <v>5.9139784946236604</v>
      </c>
      <c r="AS317" s="107">
        <v>6.25</v>
      </c>
      <c r="AT317" s="107">
        <v>3.0726256983240199</v>
      </c>
      <c r="AU317" s="107">
        <v>2.8108768713718302</v>
      </c>
      <c r="AV317" s="107">
        <v>0.42780748663101598</v>
      </c>
      <c r="AW317" s="107">
        <v>2.40149218932152</v>
      </c>
      <c r="AX317" s="107">
        <v>3.2236842105263199</v>
      </c>
      <c r="AY317" s="107">
        <v>0</v>
      </c>
      <c r="AZ317" s="107">
        <v>2.6097476667818902</v>
      </c>
      <c r="BA317" s="107">
        <v>3.3333333333333299</v>
      </c>
      <c r="BB317" s="107">
        <v>0</v>
      </c>
      <c r="BC317" s="107">
        <v>2.1917808219178099</v>
      </c>
      <c r="BD317" s="107">
        <v>2.6271970397779798</v>
      </c>
      <c r="BE317" s="107">
        <v>3.2258064516128999</v>
      </c>
    </row>
    <row r="318" spans="2:57" ht="15" customHeight="1" x14ac:dyDescent="0.25">
      <c r="B318" s="91">
        <v>308</v>
      </c>
      <c r="C318" s="92" t="s">
        <v>504</v>
      </c>
      <c r="D318" s="92" t="s">
        <v>43</v>
      </c>
      <c r="E318" s="92" t="s">
        <v>138</v>
      </c>
      <c r="F318" s="92" t="s">
        <v>231</v>
      </c>
      <c r="G318" s="101" t="s">
        <v>501</v>
      </c>
      <c r="H318" s="94">
        <v>1130</v>
      </c>
      <c r="I318" s="94">
        <v>662</v>
      </c>
      <c r="J318" s="94">
        <v>468</v>
      </c>
      <c r="K318" s="94">
        <v>66</v>
      </c>
      <c r="L318" s="94">
        <v>297</v>
      </c>
      <c r="M318" s="94">
        <v>564</v>
      </c>
      <c r="N318" s="94">
        <v>203</v>
      </c>
      <c r="O318" s="94">
        <v>1128</v>
      </c>
      <c r="P318" s="94">
        <v>2</v>
      </c>
      <c r="Q318" s="95">
        <v>1.4231499051233401</v>
      </c>
      <c r="R318" s="95">
        <v>1.13452188006483</v>
      </c>
      <c r="S318" s="95">
        <v>1.8306636155606399</v>
      </c>
      <c r="T318" s="95">
        <v>3.4482758620689702</v>
      </c>
      <c r="U318" s="95">
        <v>1.4760147601475999</v>
      </c>
      <c r="V318" s="95">
        <v>1.2962962962963001</v>
      </c>
      <c r="W318" s="95">
        <v>1.08108108108108</v>
      </c>
      <c r="X318" s="95">
        <v>1.42585551330798</v>
      </c>
      <c r="Y318" s="95">
        <v>0</v>
      </c>
      <c r="Z318" s="94">
        <v>2066</v>
      </c>
      <c r="AA318" s="94">
        <v>1133</v>
      </c>
      <c r="AB318" s="94">
        <v>933</v>
      </c>
      <c r="AC318" s="94">
        <v>99</v>
      </c>
      <c r="AD318" s="94">
        <v>545</v>
      </c>
      <c r="AE318" s="94">
        <v>1123</v>
      </c>
      <c r="AF318" s="94">
        <v>299</v>
      </c>
      <c r="AG318" s="94">
        <v>1283</v>
      </c>
      <c r="AH318" s="94">
        <v>773</v>
      </c>
      <c r="AI318" s="94">
        <v>10</v>
      </c>
      <c r="AJ318" s="94">
        <v>2049</v>
      </c>
      <c r="AK318" s="94">
        <v>6</v>
      </c>
      <c r="AL318" s="94">
        <v>11</v>
      </c>
      <c r="AM318" s="94">
        <v>129</v>
      </c>
      <c r="AN318" s="94">
        <v>1899</v>
      </c>
      <c r="AO318" s="94">
        <v>38</v>
      </c>
      <c r="AP318" s="95">
        <v>4.73041709053917</v>
      </c>
      <c r="AQ318" s="95">
        <v>1.56826568265683</v>
      </c>
      <c r="AR318" s="95">
        <v>8.6167800453514705</v>
      </c>
      <c r="AS318" s="95">
        <v>9.8901098901098905</v>
      </c>
      <c r="AT318" s="95">
        <v>5.2325581395348797</v>
      </c>
      <c r="AU318" s="95">
        <v>5.1546391752577296</v>
      </c>
      <c r="AV318" s="95">
        <v>0.68493150684931503</v>
      </c>
      <c r="AW318" s="95">
        <v>4.6191247974068101</v>
      </c>
      <c r="AX318" s="95">
        <v>4.9861495844875297</v>
      </c>
      <c r="AY318" s="95">
        <v>0</v>
      </c>
      <c r="AZ318" s="95">
        <v>4.7179487179487198</v>
      </c>
      <c r="BA318" s="95">
        <v>20</v>
      </c>
      <c r="BB318" s="95">
        <v>0</v>
      </c>
      <c r="BC318" s="95">
        <v>3.2520325203252001</v>
      </c>
      <c r="BD318" s="95">
        <v>4.8146098505810704</v>
      </c>
      <c r="BE318" s="95">
        <v>5.5555555555555598</v>
      </c>
    </row>
    <row r="319" spans="2:57" ht="15" customHeight="1" x14ac:dyDescent="0.25">
      <c r="B319" s="91">
        <v>309</v>
      </c>
      <c r="C319" s="92" t="s">
        <v>504</v>
      </c>
      <c r="D319" s="92" t="s">
        <v>43</v>
      </c>
      <c r="E319" s="92" t="s">
        <v>138</v>
      </c>
      <c r="F319" s="92" t="s">
        <v>231</v>
      </c>
      <c r="G319" s="101" t="s">
        <v>502</v>
      </c>
      <c r="H319" s="94">
        <v>3116</v>
      </c>
      <c r="I319" s="94">
        <v>2195</v>
      </c>
      <c r="J319" s="94">
        <v>921</v>
      </c>
      <c r="K319" s="94">
        <v>132</v>
      </c>
      <c r="L319" s="94">
        <v>779</v>
      </c>
      <c r="M319" s="94">
        <v>1610</v>
      </c>
      <c r="N319" s="94">
        <v>595</v>
      </c>
      <c r="O319" s="94">
        <v>3114</v>
      </c>
      <c r="P319" s="94">
        <v>2</v>
      </c>
      <c r="Q319" s="95">
        <v>0.100066711140761</v>
      </c>
      <c r="R319" s="95">
        <v>9.45626477541371E-2</v>
      </c>
      <c r="S319" s="95">
        <v>0.11325028312570801</v>
      </c>
      <c r="T319" s="95">
        <v>0.775193798449612</v>
      </c>
      <c r="U319" s="95">
        <v>0</v>
      </c>
      <c r="V319" s="95">
        <v>0.12878300064391501</v>
      </c>
      <c r="W319" s="95">
        <v>0</v>
      </c>
      <c r="X319" s="95">
        <v>0.100133511348465</v>
      </c>
      <c r="Y319" s="95">
        <v>0</v>
      </c>
      <c r="Z319" s="94">
        <v>4061</v>
      </c>
      <c r="AA319" s="94">
        <v>2829</v>
      </c>
      <c r="AB319" s="94">
        <v>1232</v>
      </c>
      <c r="AC319" s="94">
        <v>110</v>
      </c>
      <c r="AD319" s="94">
        <v>979</v>
      </c>
      <c r="AE319" s="94">
        <v>2312</v>
      </c>
      <c r="AF319" s="94">
        <v>660</v>
      </c>
      <c r="AG319" s="94">
        <v>3208</v>
      </c>
      <c r="AH319" s="94">
        <v>840</v>
      </c>
      <c r="AI319" s="94">
        <v>13</v>
      </c>
      <c r="AJ319" s="94">
        <v>4029</v>
      </c>
      <c r="AK319" s="94">
        <v>26</v>
      </c>
      <c r="AL319" s="94">
        <v>6</v>
      </c>
      <c r="AM319" s="94">
        <v>249</v>
      </c>
      <c r="AN319" s="94">
        <v>3785</v>
      </c>
      <c r="AO319" s="94">
        <v>27</v>
      </c>
      <c r="AP319" s="95">
        <v>1.52612519399897</v>
      </c>
      <c r="AQ319" s="95">
        <v>0.51813471502590702</v>
      </c>
      <c r="AR319" s="95">
        <v>3.8659793814432999</v>
      </c>
      <c r="AS319" s="95">
        <v>2.9702970297029698</v>
      </c>
      <c r="AT319" s="95">
        <v>1.85589519650655</v>
      </c>
      <c r="AU319" s="95">
        <v>1.6772438803263801</v>
      </c>
      <c r="AV319" s="95">
        <v>0.31104199066874</v>
      </c>
      <c r="AW319" s="95">
        <v>1.5057283142389499</v>
      </c>
      <c r="AX319" s="95">
        <v>1.62907268170426</v>
      </c>
      <c r="AY319" s="95">
        <v>0</v>
      </c>
      <c r="AZ319" s="95">
        <v>1.53806047966632</v>
      </c>
      <c r="BA319" s="95">
        <v>0</v>
      </c>
      <c r="BB319" s="95">
        <v>0</v>
      </c>
      <c r="BC319" s="95">
        <v>1.65289256198347</v>
      </c>
      <c r="BD319" s="95">
        <v>1.5286270150083401</v>
      </c>
      <c r="BE319" s="95">
        <v>0</v>
      </c>
    </row>
    <row r="320" spans="2:57" ht="15" customHeight="1" x14ac:dyDescent="0.25">
      <c r="B320" s="96">
        <v>310</v>
      </c>
      <c r="C320" s="97" t="s">
        <v>504</v>
      </c>
      <c r="D320" s="104" t="s">
        <v>43</v>
      </c>
      <c r="E320" s="104" t="s">
        <v>138</v>
      </c>
      <c r="F320" s="104" t="s">
        <v>149</v>
      </c>
      <c r="G320" s="105" t="s">
        <v>149</v>
      </c>
      <c r="H320" s="106">
        <v>5967</v>
      </c>
      <c r="I320" s="106">
        <v>3384</v>
      </c>
      <c r="J320" s="106">
        <v>2583</v>
      </c>
      <c r="K320" s="106">
        <v>516</v>
      </c>
      <c r="L320" s="106">
        <v>1648</v>
      </c>
      <c r="M320" s="106">
        <v>2968</v>
      </c>
      <c r="N320" s="106">
        <v>835</v>
      </c>
      <c r="O320" s="106">
        <v>5962</v>
      </c>
      <c r="P320" s="106">
        <v>5</v>
      </c>
      <c r="Q320" s="107">
        <v>0.10305736860185501</v>
      </c>
      <c r="R320" s="107">
        <v>6.0532687651331699E-2</v>
      </c>
      <c r="S320" s="107">
        <v>0.15885623510722799</v>
      </c>
      <c r="T320" s="107">
        <v>0</v>
      </c>
      <c r="U320" s="107">
        <v>0.18761726078799201</v>
      </c>
      <c r="V320" s="107">
        <v>0.102810143934202</v>
      </c>
      <c r="W320" s="107">
        <v>0</v>
      </c>
      <c r="X320" s="107">
        <v>0.103145951521403</v>
      </c>
      <c r="Y320" s="107">
        <v>0</v>
      </c>
      <c r="Z320" s="106">
        <v>9247</v>
      </c>
      <c r="AA320" s="106">
        <v>5136</v>
      </c>
      <c r="AB320" s="106">
        <v>4111</v>
      </c>
      <c r="AC320" s="106">
        <v>504</v>
      </c>
      <c r="AD320" s="106">
        <v>2816</v>
      </c>
      <c r="AE320" s="106">
        <v>4733</v>
      </c>
      <c r="AF320" s="106">
        <v>1194</v>
      </c>
      <c r="AG320" s="106">
        <v>5340</v>
      </c>
      <c r="AH320" s="106">
        <v>3826</v>
      </c>
      <c r="AI320" s="106">
        <v>81</v>
      </c>
      <c r="AJ320" s="106">
        <v>9194</v>
      </c>
      <c r="AK320" s="106">
        <v>24</v>
      </c>
      <c r="AL320" s="106">
        <v>29</v>
      </c>
      <c r="AM320" s="106">
        <v>490</v>
      </c>
      <c r="AN320" s="106">
        <v>8661</v>
      </c>
      <c r="AO320" s="106">
        <v>96</v>
      </c>
      <c r="AP320" s="107">
        <v>1.4393343078826</v>
      </c>
      <c r="AQ320" s="107">
        <v>0.48096192384769498</v>
      </c>
      <c r="AR320" s="107">
        <v>2.6646169613118098</v>
      </c>
      <c r="AS320" s="107">
        <v>1.7167381974248901</v>
      </c>
      <c r="AT320" s="107">
        <v>1.3015991074749</v>
      </c>
      <c r="AU320" s="107">
        <v>1.59423454902817</v>
      </c>
      <c r="AV320" s="107">
        <v>1.03537532355479</v>
      </c>
      <c r="AW320" s="107">
        <v>1.3196196390452199</v>
      </c>
      <c r="AX320" s="107">
        <v>1.6107016107016101</v>
      </c>
      <c r="AY320" s="107">
        <v>1.2987012987013</v>
      </c>
      <c r="AZ320" s="107">
        <v>1.4364890849451399</v>
      </c>
      <c r="BA320" s="107">
        <v>0</v>
      </c>
      <c r="BB320" s="107">
        <v>3.5714285714285698</v>
      </c>
      <c r="BC320" s="107">
        <v>2.0833333333333299</v>
      </c>
      <c r="BD320" s="107">
        <v>1.4177580199447299</v>
      </c>
      <c r="BE320" s="107">
        <v>0</v>
      </c>
    </row>
    <row r="321" spans="2:57" ht="15" customHeight="1" x14ac:dyDescent="0.25">
      <c r="B321" s="91">
        <v>311</v>
      </c>
      <c r="C321" s="92" t="s">
        <v>504</v>
      </c>
      <c r="D321" s="92" t="s">
        <v>43</v>
      </c>
      <c r="E321" s="92" t="s">
        <v>138</v>
      </c>
      <c r="F321" s="92" t="s">
        <v>149</v>
      </c>
      <c r="G321" s="101" t="s">
        <v>501</v>
      </c>
      <c r="H321" s="94">
        <v>0</v>
      </c>
      <c r="I321" s="94">
        <v>0</v>
      </c>
      <c r="J321" s="94">
        <v>0</v>
      </c>
      <c r="K321" s="94">
        <v>0</v>
      </c>
      <c r="L321" s="94">
        <v>0</v>
      </c>
      <c r="M321" s="94">
        <v>0</v>
      </c>
      <c r="N321" s="94">
        <v>0</v>
      </c>
      <c r="O321" s="94">
        <v>0</v>
      </c>
      <c r="P321" s="94">
        <v>0</v>
      </c>
      <c r="Q321" s="95">
        <v>0</v>
      </c>
      <c r="R321" s="95">
        <v>0</v>
      </c>
      <c r="S321" s="95">
        <v>0</v>
      </c>
      <c r="T321" s="95">
        <v>0</v>
      </c>
      <c r="U321" s="95">
        <v>0</v>
      </c>
      <c r="V321" s="95">
        <v>0</v>
      </c>
      <c r="W321" s="95">
        <v>0</v>
      </c>
      <c r="X321" s="95">
        <v>0</v>
      </c>
      <c r="Y321" s="95">
        <v>0</v>
      </c>
      <c r="Z321" s="94">
        <v>1146</v>
      </c>
      <c r="AA321" s="94">
        <v>617</v>
      </c>
      <c r="AB321" s="94">
        <v>529</v>
      </c>
      <c r="AC321" s="94">
        <v>88</v>
      </c>
      <c r="AD321" s="94">
        <v>437</v>
      </c>
      <c r="AE321" s="94">
        <v>533</v>
      </c>
      <c r="AF321" s="94">
        <v>88</v>
      </c>
      <c r="AG321" s="94">
        <v>696</v>
      </c>
      <c r="AH321" s="94">
        <v>442</v>
      </c>
      <c r="AI321" s="94">
        <v>8</v>
      </c>
      <c r="AJ321" s="94">
        <v>1140</v>
      </c>
      <c r="AK321" s="94">
        <v>4</v>
      </c>
      <c r="AL321" s="94">
        <v>2</v>
      </c>
      <c r="AM321" s="94">
        <v>50</v>
      </c>
      <c r="AN321" s="94">
        <v>1090</v>
      </c>
      <c r="AO321" s="94">
        <v>6</v>
      </c>
      <c r="AP321" s="95">
        <v>1.6498625114573799</v>
      </c>
      <c r="AQ321" s="95">
        <v>0.50335570469798696</v>
      </c>
      <c r="AR321" s="95">
        <v>3.0303030303030298</v>
      </c>
      <c r="AS321" s="95">
        <v>0</v>
      </c>
      <c r="AT321" s="95">
        <v>1.92771084337349</v>
      </c>
      <c r="AU321" s="95">
        <v>1.3618677042801599</v>
      </c>
      <c r="AV321" s="95">
        <v>3.5714285714285698</v>
      </c>
      <c r="AW321" s="95">
        <v>1.6691957511380899</v>
      </c>
      <c r="AX321" s="95">
        <v>1.6431924882629101</v>
      </c>
      <c r="AY321" s="95">
        <v>0</v>
      </c>
      <c r="AZ321" s="95">
        <v>1.65745856353591</v>
      </c>
      <c r="BA321" s="95">
        <v>0</v>
      </c>
      <c r="BB321" s="95">
        <v>0</v>
      </c>
      <c r="BC321" s="95">
        <v>6.12244897959184</v>
      </c>
      <c r="BD321" s="95">
        <v>1.4478764478764501</v>
      </c>
      <c r="BE321" s="95">
        <v>0</v>
      </c>
    </row>
    <row r="322" spans="2:57" ht="15" customHeight="1" x14ac:dyDescent="0.25">
      <c r="B322" s="91">
        <v>312</v>
      </c>
      <c r="C322" s="92" t="s">
        <v>504</v>
      </c>
      <c r="D322" s="92" t="s">
        <v>43</v>
      </c>
      <c r="E322" s="92" t="s">
        <v>138</v>
      </c>
      <c r="F322" s="92" t="s">
        <v>149</v>
      </c>
      <c r="G322" s="101" t="s">
        <v>502</v>
      </c>
      <c r="H322" s="94">
        <v>5967</v>
      </c>
      <c r="I322" s="94">
        <v>3384</v>
      </c>
      <c r="J322" s="94">
        <v>2583</v>
      </c>
      <c r="K322" s="94">
        <v>516</v>
      </c>
      <c r="L322" s="94">
        <v>1648</v>
      </c>
      <c r="M322" s="94">
        <v>2968</v>
      </c>
      <c r="N322" s="94">
        <v>835</v>
      </c>
      <c r="O322" s="94">
        <v>5962</v>
      </c>
      <c r="P322" s="94">
        <v>5</v>
      </c>
      <c r="Q322" s="95">
        <v>0.10305736860185501</v>
      </c>
      <c r="R322" s="95">
        <v>6.0532687651331699E-2</v>
      </c>
      <c r="S322" s="95">
        <v>0.15885623510722799</v>
      </c>
      <c r="T322" s="95">
        <v>0</v>
      </c>
      <c r="U322" s="95">
        <v>0.18761726078799201</v>
      </c>
      <c r="V322" s="95">
        <v>0.102810143934202</v>
      </c>
      <c r="W322" s="95">
        <v>0</v>
      </c>
      <c r="X322" s="95">
        <v>0.103145951521403</v>
      </c>
      <c r="Y322" s="95">
        <v>0</v>
      </c>
      <c r="Z322" s="94">
        <v>8101</v>
      </c>
      <c r="AA322" s="94">
        <v>4519</v>
      </c>
      <c r="AB322" s="94">
        <v>3582</v>
      </c>
      <c r="AC322" s="94">
        <v>416</v>
      </c>
      <c r="AD322" s="94">
        <v>2379</v>
      </c>
      <c r="AE322" s="94">
        <v>4200</v>
      </c>
      <c r="AF322" s="94">
        <v>1106</v>
      </c>
      <c r="AG322" s="94">
        <v>4644</v>
      </c>
      <c r="AH322" s="94">
        <v>3384</v>
      </c>
      <c r="AI322" s="94">
        <v>73</v>
      </c>
      <c r="AJ322" s="94">
        <v>8054</v>
      </c>
      <c r="AK322" s="94">
        <v>20</v>
      </c>
      <c r="AL322" s="94">
        <v>27</v>
      </c>
      <c r="AM322" s="94">
        <v>440</v>
      </c>
      <c r="AN322" s="94">
        <v>7571</v>
      </c>
      <c r="AO322" s="94">
        <v>90</v>
      </c>
      <c r="AP322" s="95">
        <v>1.4098948987439099</v>
      </c>
      <c r="AQ322" s="95">
        <v>0.47792444242148402</v>
      </c>
      <c r="AR322" s="95">
        <v>2.61150234741784</v>
      </c>
      <c r="AS322" s="95">
        <v>2.0618556701030899</v>
      </c>
      <c r="AT322" s="95">
        <v>1.1873350923482799</v>
      </c>
      <c r="AU322" s="95">
        <v>1.6236162361623601</v>
      </c>
      <c r="AV322" s="95">
        <v>0.837209302325581</v>
      </c>
      <c r="AW322" s="95">
        <v>1.26835781041389</v>
      </c>
      <c r="AX322" s="95">
        <v>1.6064257028112401</v>
      </c>
      <c r="AY322" s="95">
        <v>1.40845070422535</v>
      </c>
      <c r="AZ322" s="95">
        <v>1.40554480980013</v>
      </c>
      <c r="BA322" s="95">
        <v>0</v>
      </c>
      <c r="BB322" s="95">
        <v>3.7037037037037002</v>
      </c>
      <c r="BC322" s="95">
        <v>1.6241299303944301</v>
      </c>
      <c r="BD322" s="95">
        <v>1.41347605324551</v>
      </c>
      <c r="BE322" s="95">
        <v>0</v>
      </c>
    </row>
    <row r="323" spans="2:57" ht="15" customHeight="1" x14ac:dyDescent="0.25">
      <c r="B323" s="96">
        <v>313</v>
      </c>
      <c r="C323" s="97" t="s">
        <v>504</v>
      </c>
      <c r="D323" s="104" t="s">
        <v>43</v>
      </c>
      <c r="E323" s="104" t="s">
        <v>138</v>
      </c>
      <c r="F323" s="104" t="s">
        <v>268</v>
      </c>
      <c r="G323" s="105" t="s">
        <v>268</v>
      </c>
      <c r="H323" s="106">
        <v>8976</v>
      </c>
      <c r="I323" s="106">
        <v>6013</v>
      </c>
      <c r="J323" s="106">
        <v>2963</v>
      </c>
      <c r="K323" s="106">
        <v>438</v>
      </c>
      <c r="L323" s="106">
        <v>2359</v>
      </c>
      <c r="M323" s="106">
        <v>4738</v>
      </c>
      <c r="N323" s="106">
        <v>1441</v>
      </c>
      <c r="O323" s="106">
        <v>8973</v>
      </c>
      <c r="P323" s="106">
        <v>3</v>
      </c>
      <c r="Q323" s="107">
        <v>0.222612770943175</v>
      </c>
      <c r="R323" s="107">
        <v>0.207182320441989</v>
      </c>
      <c r="S323" s="107">
        <v>0.2551950419249</v>
      </c>
      <c r="T323" s="107">
        <v>0.26737967914438499</v>
      </c>
      <c r="U323" s="107">
        <v>0.35858359480053797</v>
      </c>
      <c r="V323" s="107">
        <v>0.21978021978022</v>
      </c>
      <c r="W323" s="107">
        <v>0</v>
      </c>
      <c r="X323" s="107">
        <v>0.222691045475856</v>
      </c>
      <c r="Y323" s="107">
        <v>0</v>
      </c>
      <c r="Z323" s="106">
        <v>11981</v>
      </c>
      <c r="AA323" s="106">
        <v>7292</v>
      </c>
      <c r="AB323" s="106">
        <v>4689</v>
      </c>
      <c r="AC323" s="106">
        <v>509</v>
      </c>
      <c r="AD323" s="106">
        <v>2836</v>
      </c>
      <c r="AE323" s="106">
        <v>6545</v>
      </c>
      <c r="AF323" s="106">
        <v>2091</v>
      </c>
      <c r="AG323" s="106">
        <v>10006</v>
      </c>
      <c r="AH323" s="106">
        <v>1891</v>
      </c>
      <c r="AI323" s="106">
        <v>84</v>
      </c>
      <c r="AJ323" s="106">
        <v>11930</v>
      </c>
      <c r="AK323" s="106">
        <v>6</v>
      </c>
      <c r="AL323" s="106">
        <v>45</v>
      </c>
      <c r="AM323" s="106">
        <v>708</v>
      </c>
      <c r="AN323" s="106">
        <v>11080</v>
      </c>
      <c r="AO323" s="106">
        <v>193</v>
      </c>
      <c r="AP323" s="107">
        <v>1.8350227193289099</v>
      </c>
      <c r="AQ323" s="107">
        <v>0.485853100885967</v>
      </c>
      <c r="AR323" s="107">
        <v>3.95861448493027</v>
      </c>
      <c r="AS323" s="107">
        <v>1.66320166320166</v>
      </c>
      <c r="AT323" s="107">
        <v>2.6286143447239998</v>
      </c>
      <c r="AU323" s="107">
        <v>1.8530351437699699</v>
      </c>
      <c r="AV323" s="107">
        <v>0.78431372549019596</v>
      </c>
      <c r="AW323" s="107">
        <v>1.4574224443056401</v>
      </c>
      <c r="AX323" s="107">
        <v>3.8111490329920401</v>
      </c>
      <c r="AY323" s="107">
        <v>3.75</v>
      </c>
      <c r="AZ323" s="107">
        <v>1.8427518427518399</v>
      </c>
      <c r="BA323" s="107">
        <v>0</v>
      </c>
      <c r="BB323" s="107">
        <v>0</v>
      </c>
      <c r="BC323" s="107">
        <v>2.3391812865497101</v>
      </c>
      <c r="BD323" s="107">
        <v>1.8255769958380601</v>
      </c>
      <c r="BE323" s="107">
        <v>0.53191489361702105</v>
      </c>
    </row>
    <row r="324" spans="2:57" ht="15" customHeight="1" x14ac:dyDescent="0.25">
      <c r="B324" s="91">
        <v>314</v>
      </c>
      <c r="C324" s="92" t="s">
        <v>504</v>
      </c>
      <c r="D324" s="92" t="s">
        <v>43</v>
      </c>
      <c r="E324" s="92" t="s">
        <v>138</v>
      </c>
      <c r="F324" s="92" t="s">
        <v>268</v>
      </c>
      <c r="G324" s="101" t="s">
        <v>501</v>
      </c>
      <c r="H324" s="94">
        <v>2089</v>
      </c>
      <c r="I324" s="94">
        <v>1655</v>
      </c>
      <c r="J324" s="94">
        <v>434</v>
      </c>
      <c r="K324" s="94">
        <v>31</v>
      </c>
      <c r="L324" s="94">
        <v>703</v>
      </c>
      <c r="M324" s="94">
        <v>1246</v>
      </c>
      <c r="N324" s="94">
        <v>109</v>
      </c>
      <c r="O324" s="94">
        <v>2086</v>
      </c>
      <c r="P324" s="94">
        <v>3</v>
      </c>
      <c r="Q324" s="95">
        <v>0.556962025316456</v>
      </c>
      <c r="R324" s="95">
        <v>0.44247787610619499</v>
      </c>
      <c r="S324" s="95">
        <v>1.01781170483461</v>
      </c>
      <c r="T324" s="95">
        <v>0</v>
      </c>
      <c r="U324" s="95">
        <v>0.75414781297134204</v>
      </c>
      <c r="V324" s="95">
        <v>0.504201680672269</v>
      </c>
      <c r="W324" s="95">
        <v>0</v>
      </c>
      <c r="X324" s="95">
        <v>0.557809330628803</v>
      </c>
      <c r="Y324" s="95">
        <v>0</v>
      </c>
      <c r="Z324" s="94">
        <v>2614</v>
      </c>
      <c r="AA324" s="94">
        <v>1784</v>
      </c>
      <c r="AB324" s="94">
        <v>830</v>
      </c>
      <c r="AC324" s="94">
        <v>86</v>
      </c>
      <c r="AD324" s="94">
        <v>680</v>
      </c>
      <c r="AE324" s="94">
        <v>1632</v>
      </c>
      <c r="AF324" s="94">
        <v>216</v>
      </c>
      <c r="AG324" s="94">
        <v>1624</v>
      </c>
      <c r="AH324" s="94">
        <v>958</v>
      </c>
      <c r="AI324" s="94">
        <v>32</v>
      </c>
      <c r="AJ324" s="94">
        <v>2603</v>
      </c>
      <c r="AK324" s="94">
        <v>2</v>
      </c>
      <c r="AL324" s="94">
        <v>9</v>
      </c>
      <c r="AM324" s="94">
        <v>170</v>
      </c>
      <c r="AN324" s="94">
        <v>2415</v>
      </c>
      <c r="AO324" s="94">
        <v>29</v>
      </c>
      <c r="AP324" s="95">
        <v>5.0805452292441098</v>
      </c>
      <c r="AQ324" s="95">
        <v>1.3293051359516601</v>
      </c>
      <c r="AR324" s="95">
        <v>13.185378590078299</v>
      </c>
      <c r="AS324" s="95">
        <v>7.2289156626505999</v>
      </c>
      <c r="AT324" s="95">
        <v>6.25</v>
      </c>
      <c r="AU324" s="95">
        <v>4.4560943643512498</v>
      </c>
      <c r="AV324" s="95">
        <v>5.3921568627451002</v>
      </c>
      <c r="AW324" s="95">
        <v>4.5755968169761303</v>
      </c>
      <c r="AX324" s="95">
        <v>5.7627118644067803</v>
      </c>
      <c r="AY324" s="95">
        <v>10.714285714285699</v>
      </c>
      <c r="AZ324" s="95">
        <v>5.0995024875621899</v>
      </c>
      <c r="BA324" s="95">
        <v>0</v>
      </c>
      <c r="BB324" s="95">
        <v>0</v>
      </c>
      <c r="BC324" s="95">
        <v>5.625</v>
      </c>
      <c r="BD324" s="95">
        <v>5.1006711409395997</v>
      </c>
      <c r="BE324" s="95">
        <v>0</v>
      </c>
    </row>
    <row r="325" spans="2:57" ht="15" customHeight="1" x14ac:dyDescent="0.25">
      <c r="B325" s="91">
        <v>315</v>
      </c>
      <c r="C325" s="92" t="s">
        <v>504</v>
      </c>
      <c r="D325" s="92" t="s">
        <v>43</v>
      </c>
      <c r="E325" s="92" t="s">
        <v>138</v>
      </c>
      <c r="F325" s="92" t="s">
        <v>268</v>
      </c>
      <c r="G325" s="101" t="s">
        <v>502</v>
      </c>
      <c r="H325" s="94">
        <v>6887</v>
      </c>
      <c r="I325" s="94">
        <v>4358</v>
      </c>
      <c r="J325" s="94">
        <v>2529</v>
      </c>
      <c r="K325" s="94">
        <v>407</v>
      </c>
      <c r="L325" s="94">
        <v>1656</v>
      </c>
      <c r="M325" s="94">
        <v>3492</v>
      </c>
      <c r="N325" s="94">
        <v>1332</v>
      </c>
      <c r="O325" s="94">
        <v>6887</v>
      </c>
      <c r="P325" s="94">
        <v>0</v>
      </c>
      <c r="Q325" s="95">
        <v>0.12195121951219499</v>
      </c>
      <c r="R325" s="95">
        <v>0.118764845605701</v>
      </c>
      <c r="S325" s="95">
        <v>0.12765957446808501</v>
      </c>
      <c r="T325" s="95">
        <v>0.28490028490028502</v>
      </c>
      <c r="U325" s="95">
        <v>0.191326530612245</v>
      </c>
      <c r="V325" s="95">
        <v>0.119047619047619</v>
      </c>
      <c r="W325" s="95">
        <v>0</v>
      </c>
      <c r="X325" s="95">
        <v>0.12195121951219499</v>
      </c>
      <c r="Y325" s="95">
        <v>0</v>
      </c>
      <c r="Z325" s="94">
        <v>9367</v>
      </c>
      <c r="AA325" s="94">
        <v>5508</v>
      </c>
      <c r="AB325" s="94">
        <v>3859</v>
      </c>
      <c r="AC325" s="94">
        <v>423</v>
      </c>
      <c r="AD325" s="94">
        <v>2156</v>
      </c>
      <c r="AE325" s="94">
        <v>4913</v>
      </c>
      <c r="AF325" s="94">
        <v>1875</v>
      </c>
      <c r="AG325" s="94">
        <v>8382</v>
      </c>
      <c r="AH325" s="94">
        <v>933</v>
      </c>
      <c r="AI325" s="94">
        <v>52</v>
      </c>
      <c r="AJ325" s="94">
        <v>9327</v>
      </c>
      <c r="AK325" s="94">
        <v>4</v>
      </c>
      <c r="AL325" s="94">
        <v>36</v>
      </c>
      <c r="AM325" s="94">
        <v>538</v>
      </c>
      <c r="AN325" s="94">
        <v>8665</v>
      </c>
      <c r="AO325" s="94">
        <v>164</v>
      </c>
      <c r="AP325" s="95">
        <v>0.96420259337249303</v>
      </c>
      <c r="AQ325" s="95">
        <v>0.22459292532285199</v>
      </c>
      <c r="AR325" s="95">
        <v>2.0380434782608701</v>
      </c>
      <c r="AS325" s="95">
        <v>0.50251256281406997</v>
      </c>
      <c r="AT325" s="95">
        <v>1.55717761557178</v>
      </c>
      <c r="AU325" s="95">
        <v>1.0139416983523399</v>
      </c>
      <c r="AV325" s="95">
        <v>0.27233115468409602</v>
      </c>
      <c r="AW325" s="95">
        <v>0.87675969375154394</v>
      </c>
      <c r="AX325" s="95">
        <v>1.83276059564719</v>
      </c>
      <c r="AY325" s="95">
        <v>0</v>
      </c>
      <c r="AZ325" s="95">
        <v>0.96838824577025795</v>
      </c>
      <c r="BA325" s="95">
        <v>0</v>
      </c>
      <c r="BB325" s="95">
        <v>0</v>
      </c>
      <c r="BC325" s="95">
        <v>1.33587786259542</v>
      </c>
      <c r="BD325" s="95">
        <v>0.94758306345208099</v>
      </c>
      <c r="BE325" s="95">
        <v>0.61728395061728403</v>
      </c>
    </row>
    <row r="326" spans="2:57" ht="15" customHeight="1" x14ac:dyDescent="0.25">
      <c r="B326" s="96">
        <v>316</v>
      </c>
      <c r="C326" s="97" t="s">
        <v>504</v>
      </c>
      <c r="D326" s="104" t="s">
        <v>43</v>
      </c>
      <c r="E326" s="104" t="s">
        <v>138</v>
      </c>
      <c r="F326" s="104" t="s">
        <v>132</v>
      </c>
      <c r="G326" s="105" t="s">
        <v>132</v>
      </c>
      <c r="H326" s="106">
        <v>4067</v>
      </c>
      <c r="I326" s="106">
        <v>2403</v>
      </c>
      <c r="J326" s="106">
        <v>1664</v>
      </c>
      <c r="K326" s="106">
        <v>306</v>
      </c>
      <c r="L326" s="106">
        <v>1040</v>
      </c>
      <c r="M326" s="106">
        <v>2008</v>
      </c>
      <c r="N326" s="106">
        <v>713</v>
      </c>
      <c r="O326" s="106">
        <v>4067</v>
      </c>
      <c r="P326" s="106">
        <v>0</v>
      </c>
      <c r="Q326" s="107">
        <v>5.0352467270896303E-2</v>
      </c>
      <c r="R326" s="107">
        <v>4.2571306939122998E-2</v>
      </c>
      <c r="S326" s="107">
        <v>6.16142945163278E-2</v>
      </c>
      <c r="T326" s="107">
        <v>0.334448160535117</v>
      </c>
      <c r="U326" s="107">
        <v>0</v>
      </c>
      <c r="V326" s="107">
        <v>5.1072522982635302E-2</v>
      </c>
      <c r="W326" s="107">
        <v>0</v>
      </c>
      <c r="X326" s="107">
        <v>5.0352467270896303E-2</v>
      </c>
      <c r="Y326" s="107">
        <v>0</v>
      </c>
      <c r="Z326" s="106">
        <v>5552</v>
      </c>
      <c r="AA326" s="106">
        <v>3185</v>
      </c>
      <c r="AB326" s="106">
        <v>2367</v>
      </c>
      <c r="AC326" s="106">
        <v>376</v>
      </c>
      <c r="AD326" s="106">
        <v>1508</v>
      </c>
      <c r="AE326" s="106">
        <v>2668</v>
      </c>
      <c r="AF326" s="106">
        <v>1000</v>
      </c>
      <c r="AG326" s="106">
        <v>5011</v>
      </c>
      <c r="AH326" s="106">
        <v>493</v>
      </c>
      <c r="AI326" s="106">
        <v>48</v>
      </c>
      <c r="AJ326" s="106">
        <v>5524</v>
      </c>
      <c r="AK326" s="106">
        <v>2</v>
      </c>
      <c r="AL326" s="106">
        <v>26</v>
      </c>
      <c r="AM326" s="106">
        <v>277</v>
      </c>
      <c r="AN326" s="106">
        <v>5193</v>
      </c>
      <c r="AO326" s="106">
        <v>82</v>
      </c>
      <c r="AP326" s="107">
        <v>0.55782818891781305</v>
      </c>
      <c r="AQ326" s="107">
        <v>0.25706940874035999</v>
      </c>
      <c r="AR326" s="107">
        <v>0.970873786407767</v>
      </c>
      <c r="AS326" s="107">
        <v>0.54794520547945202</v>
      </c>
      <c r="AT326" s="107">
        <v>1.10497237569061</v>
      </c>
      <c r="AU326" s="107">
        <v>0.42536736272235098</v>
      </c>
      <c r="AV326" s="107">
        <v>0.10214504596527101</v>
      </c>
      <c r="AW326" s="107">
        <v>0.49352251696483701</v>
      </c>
      <c r="AX326" s="107">
        <v>1.27659574468085</v>
      </c>
      <c r="AY326" s="107">
        <v>0</v>
      </c>
      <c r="AZ326" s="107">
        <v>0.54175228843639101</v>
      </c>
      <c r="BA326" s="107">
        <v>0</v>
      </c>
      <c r="BB326" s="107">
        <v>4.1666666666666696</v>
      </c>
      <c r="BC326" s="107">
        <v>0</v>
      </c>
      <c r="BD326" s="107">
        <v>0.577114427860697</v>
      </c>
      <c r="BE326" s="107">
        <v>1.2345679012345701</v>
      </c>
    </row>
    <row r="327" spans="2:57" ht="15" customHeight="1" x14ac:dyDescent="0.25">
      <c r="B327" s="91">
        <v>317</v>
      </c>
      <c r="C327" s="92" t="s">
        <v>504</v>
      </c>
      <c r="D327" s="92" t="s">
        <v>43</v>
      </c>
      <c r="E327" s="92" t="s">
        <v>138</v>
      </c>
      <c r="F327" s="92" t="s">
        <v>132</v>
      </c>
      <c r="G327" s="101" t="s">
        <v>501</v>
      </c>
      <c r="H327" s="94">
        <v>0</v>
      </c>
      <c r="I327" s="94">
        <v>0</v>
      </c>
      <c r="J327" s="94">
        <v>0</v>
      </c>
      <c r="K327" s="94">
        <v>0</v>
      </c>
      <c r="L327" s="94">
        <v>0</v>
      </c>
      <c r="M327" s="94">
        <v>0</v>
      </c>
      <c r="N327" s="94">
        <v>0</v>
      </c>
      <c r="O327" s="94">
        <v>0</v>
      </c>
      <c r="P327" s="94">
        <v>0</v>
      </c>
      <c r="Q327" s="95">
        <v>0</v>
      </c>
      <c r="R327" s="95">
        <v>0</v>
      </c>
      <c r="S327" s="95">
        <v>0</v>
      </c>
      <c r="T327" s="95">
        <v>0</v>
      </c>
      <c r="U327" s="95">
        <v>0</v>
      </c>
      <c r="V327" s="95">
        <v>0</v>
      </c>
      <c r="W327" s="95">
        <v>0</v>
      </c>
      <c r="X327" s="95">
        <v>0</v>
      </c>
      <c r="Y327" s="95">
        <v>0</v>
      </c>
      <c r="Z327" s="94">
        <v>1258</v>
      </c>
      <c r="AA327" s="94">
        <v>689</v>
      </c>
      <c r="AB327" s="94">
        <v>569</v>
      </c>
      <c r="AC327" s="94">
        <v>107</v>
      </c>
      <c r="AD327" s="94">
        <v>380</v>
      </c>
      <c r="AE327" s="94">
        <v>601</v>
      </c>
      <c r="AF327" s="94">
        <v>170</v>
      </c>
      <c r="AG327" s="94">
        <v>989</v>
      </c>
      <c r="AH327" s="94">
        <v>249</v>
      </c>
      <c r="AI327" s="94">
        <v>20</v>
      </c>
      <c r="AJ327" s="94">
        <v>1253</v>
      </c>
      <c r="AK327" s="94">
        <v>0</v>
      </c>
      <c r="AL327" s="94">
        <v>5</v>
      </c>
      <c r="AM327" s="94">
        <v>41</v>
      </c>
      <c r="AN327" s="94">
        <v>1190</v>
      </c>
      <c r="AO327" s="94">
        <v>27</v>
      </c>
      <c r="AP327" s="95">
        <v>1.0797342192691</v>
      </c>
      <c r="AQ327" s="95">
        <v>0.296296296296296</v>
      </c>
      <c r="AR327" s="95">
        <v>2.0793950850661602</v>
      </c>
      <c r="AS327" s="95">
        <v>1.92307692307692</v>
      </c>
      <c r="AT327" s="95">
        <v>1.3736263736263701</v>
      </c>
      <c r="AU327" s="95">
        <v>0.87412587412587395</v>
      </c>
      <c r="AV327" s="95">
        <v>0.60975609756097604</v>
      </c>
      <c r="AW327" s="95">
        <v>1.05042016806723</v>
      </c>
      <c r="AX327" s="95">
        <v>1.2820512820512799</v>
      </c>
      <c r="AY327" s="95">
        <v>0</v>
      </c>
      <c r="AZ327" s="95">
        <v>1.0842368640533799</v>
      </c>
      <c r="BA327" s="95">
        <v>0</v>
      </c>
      <c r="BB327" s="95">
        <v>0</v>
      </c>
      <c r="BC327" s="95">
        <v>0</v>
      </c>
      <c r="BD327" s="95">
        <v>1.05633802816901</v>
      </c>
      <c r="BE327" s="95">
        <v>3.7037037037037002</v>
      </c>
    </row>
    <row r="328" spans="2:57" ht="15" customHeight="1" x14ac:dyDescent="0.25">
      <c r="B328" s="91">
        <v>318</v>
      </c>
      <c r="C328" s="92" t="s">
        <v>504</v>
      </c>
      <c r="D328" s="92" t="s">
        <v>43</v>
      </c>
      <c r="E328" s="92" t="s">
        <v>138</v>
      </c>
      <c r="F328" s="92" t="s">
        <v>132</v>
      </c>
      <c r="G328" s="101" t="s">
        <v>502</v>
      </c>
      <c r="H328" s="94">
        <v>4067</v>
      </c>
      <c r="I328" s="94">
        <v>2403</v>
      </c>
      <c r="J328" s="94">
        <v>1664</v>
      </c>
      <c r="K328" s="94">
        <v>306</v>
      </c>
      <c r="L328" s="94">
        <v>1040</v>
      </c>
      <c r="M328" s="94">
        <v>2008</v>
      </c>
      <c r="N328" s="94">
        <v>713</v>
      </c>
      <c r="O328" s="94">
        <v>4067</v>
      </c>
      <c r="P328" s="94">
        <v>0</v>
      </c>
      <c r="Q328" s="95">
        <v>5.0352467270896303E-2</v>
      </c>
      <c r="R328" s="95">
        <v>4.2571306939122998E-2</v>
      </c>
      <c r="S328" s="95">
        <v>6.16142945163278E-2</v>
      </c>
      <c r="T328" s="95">
        <v>0.334448160535117</v>
      </c>
      <c r="U328" s="95">
        <v>0</v>
      </c>
      <c r="V328" s="95">
        <v>5.1072522982635302E-2</v>
      </c>
      <c r="W328" s="95">
        <v>0</v>
      </c>
      <c r="X328" s="95">
        <v>5.0352467270896303E-2</v>
      </c>
      <c r="Y328" s="95">
        <v>0</v>
      </c>
      <c r="Z328" s="94">
        <v>4294</v>
      </c>
      <c r="AA328" s="94">
        <v>2496</v>
      </c>
      <c r="AB328" s="94">
        <v>1798</v>
      </c>
      <c r="AC328" s="94">
        <v>269</v>
      </c>
      <c r="AD328" s="94">
        <v>1128</v>
      </c>
      <c r="AE328" s="94">
        <v>2067</v>
      </c>
      <c r="AF328" s="94">
        <v>830</v>
      </c>
      <c r="AG328" s="94">
        <v>4022</v>
      </c>
      <c r="AH328" s="94">
        <v>244</v>
      </c>
      <c r="AI328" s="94">
        <v>28</v>
      </c>
      <c r="AJ328" s="94">
        <v>4271</v>
      </c>
      <c r="AK328" s="94">
        <v>2</v>
      </c>
      <c r="AL328" s="94">
        <v>21</v>
      </c>
      <c r="AM328" s="94">
        <v>236</v>
      </c>
      <c r="AN328" s="94">
        <v>4003</v>
      </c>
      <c r="AO328" s="94">
        <v>55</v>
      </c>
      <c r="AP328" s="95">
        <v>0.40728318160038302</v>
      </c>
      <c r="AQ328" s="95">
        <v>0.24620434961017601</v>
      </c>
      <c r="AR328" s="95">
        <v>0.63327576280944198</v>
      </c>
      <c r="AS328" s="95">
        <v>0</v>
      </c>
      <c r="AT328" s="95">
        <v>1.01476014760148</v>
      </c>
      <c r="AU328" s="95">
        <v>0.297914597815293</v>
      </c>
      <c r="AV328" s="95">
        <v>0</v>
      </c>
      <c r="AW328" s="95">
        <v>0.35796471490667298</v>
      </c>
      <c r="AX328" s="95">
        <v>1.27118644067797</v>
      </c>
      <c r="AY328" s="95">
        <v>0</v>
      </c>
      <c r="AZ328" s="95">
        <v>0.38517091959557098</v>
      </c>
      <c r="BA328" s="95">
        <v>0</v>
      </c>
      <c r="BB328" s="95">
        <v>5.2631578947368398</v>
      </c>
      <c r="BC328" s="95">
        <v>0</v>
      </c>
      <c r="BD328" s="95">
        <v>0.43713036770378</v>
      </c>
      <c r="BE328" s="95">
        <v>0</v>
      </c>
    </row>
    <row r="329" spans="2:57" ht="15" customHeight="1" x14ac:dyDescent="0.25">
      <c r="B329" s="96">
        <v>319</v>
      </c>
      <c r="C329" s="97" t="s">
        <v>504</v>
      </c>
      <c r="D329" s="104" t="s">
        <v>43</v>
      </c>
      <c r="E329" s="104" t="s">
        <v>138</v>
      </c>
      <c r="F329" s="104" t="s">
        <v>67</v>
      </c>
      <c r="G329" s="105" t="s">
        <v>67</v>
      </c>
      <c r="H329" s="106">
        <v>2906</v>
      </c>
      <c r="I329" s="106">
        <v>1683</v>
      </c>
      <c r="J329" s="106">
        <v>1223</v>
      </c>
      <c r="K329" s="106">
        <v>116</v>
      </c>
      <c r="L329" s="106">
        <v>938</v>
      </c>
      <c r="M329" s="106">
        <v>1470</v>
      </c>
      <c r="N329" s="106">
        <v>382</v>
      </c>
      <c r="O329" s="106">
        <v>2906</v>
      </c>
      <c r="P329" s="106">
        <v>0</v>
      </c>
      <c r="Q329" s="107">
        <v>0.62761506276150603</v>
      </c>
      <c r="R329" s="107">
        <v>0.54086538461538503</v>
      </c>
      <c r="S329" s="107">
        <v>0.74750830564784099</v>
      </c>
      <c r="T329" s="107">
        <v>0</v>
      </c>
      <c r="U329" s="107">
        <v>0.54112554112554101</v>
      </c>
      <c r="V329" s="107">
        <v>0.89102124742974698</v>
      </c>
      <c r="W329" s="107">
        <v>0</v>
      </c>
      <c r="X329" s="107">
        <v>0.62761506276150603</v>
      </c>
      <c r="Y329" s="107">
        <v>0</v>
      </c>
      <c r="Z329" s="106">
        <v>4133</v>
      </c>
      <c r="AA329" s="106">
        <v>2193</v>
      </c>
      <c r="AB329" s="106">
        <v>1940</v>
      </c>
      <c r="AC329" s="106">
        <v>164</v>
      </c>
      <c r="AD329" s="106">
        <v>1233</v>
      </c>
      <c r="AE329" s="106">
        <v>2204</v>
      </c>
      <c r="AF329" s="106">
        <v>532</v>
      </c>
      <c r="AG329" s="106">
        <v>2296</v>
      </c>
      <c r="AH329" s="106">
        <v>1741</v>
      </c>
      <c r="AI329" s="106">
        <v>96</v>
      </c>
      <c r="AJ329" s="106">
        <v>4102</v>
      </c>
      <c r="AK329" s="106">
        <v>17</v>
      </c>
      <c r="AL329" s="106">
        <v>14</v>
      </c>
      <c r="AM329" s="106">
        <v>163</v>
      </c>
      <c r="AN329" s="106">
        <v>3941</v>
      </c>
      <c r="AO329" s="106">
        <v>29</v>
      </c>
      <c r="AP329" s="107">
        <v>1.9064565327910501</v>
      </c>
      <c r="AQ329" s="107">
        <v>1.1326097215667801</v>
      </c>
      <c r="AR329" s="107">
        <v>2.8099173553718999</v>
      </c>
      <c r="AS329" s="107">
        <v>1.9607843137254899</v>
      </c>
      <c r="AT329" s="107">
        <v>1.2068965517241399</v>
      </c>
      <c r="AU329" s="107">
        <v>2.4726581074655298</v>
      </c>
      <c r="AV329" s="107">
        <v>1.15830115830116</v>
      </c>
      <c r="AW329" s="107">
        <v>1.5617822691777701</v>
      </c>
      <c r="AX329" s="107">
        <v>2.4038461538461502</v>
      </c>
      <c r="AY329" s="107">
        <v>1.0752688172042999</v>
      </c>
      <c r="AZ329" s="107">
        <v>1.89549180327869</v>
      </c>
      <c r="BA329" s="107">
        <v>0</v>
      </c>
      <c r="BB329" s="107">
        <v>7.6923076923076898</v>
      </c>
      <c r="BC329" s="107">
        <v>1.875</v>
      </c>
      <c r="BD329" s="107">
        <v>1.89535504538174</v>
      </c>
      <c r="BE329" s="107">
        <v>3.5714285714285698</v>
      </c>
    </row>
    <row r="330" spans="2:57" ht="15" customHeight="1" x14ac:dyDescent="0.25">
      <c r="B330" s="91">
        <v>320</v>
      </c>
      <c r="C330" s="92" t="s">
        <v>504</v>
      </c>
      <c r="D330" s="92" t="s">
        <v>43</v>
      </c>
      <c r="E330" s="92" t="s">
        <v>138</v>
      </c>
      <c r="F330" s="92" t="s">
        <v>67</v>
      </c>
      <c r="G330" s="101" t="s">
        <v>501</v>
      </c>
      <c r="H330" s="94">
        <v>1186</v>
      </c>
      <c r="I330" s="94">
        <v>657</v>
      </c>
      <c r="J330" s="94">
        <v>529</v>
      </c>
      <c r="K330" s="94">
        <v>36</v>
      </c>
      <c r="L330" s="94">
        <v>428</v>
      </c>
      <c r="M330" s="94">
        <v>594</v>
      </c>
      <c r="N330" s="94">
        <v>128</v>
      </c>
      <c r="O330" s="94">
        <v>1186</v>
      </c>
      <c r="P330" s="94">
        <v>0</v>
      </c>
      <c r="Q330" s="95">
        <v>0.77120822622107998</v>
      </c>
      <c r="R330" s="95">
        <v>1.0802469135802499</v>
      </c>
      <c r="S330" s="95">
        <v>0.38535645472061703</v>
      </c>
      <c r="T330" s="95">
        <v>0</v>
      </c>
      <c r="U330" s="95">
        <v>0.238095238095238</v>
      </c>
      <c r="V330" s="95">
        <v>1.35593220338983</v>
      </c>
      <c r="W330" s="95">
        <v>0</v>
      </c>
      <c r="X330" s="95">
        <v>0.77120822622107998</v>
      </c>
      <c r="Y330" s="95">
        <v>0</v>
      </c>
      <c r="Z330" s="94">
        <v>1799</v>
      </c>
      <c r="AA330" s="94">
        <v>927</v>
      </c>
      <c r="AB330" s="94">
        <v>872</v>
      </c>
      <c r="AC330" s="94">
        <v>97</v>
      </c>
      <c r="AD330" s="94">
        <v>571</v>
      </c>
      <c r="AE330" s="94">
        <v>920</v>
      </c>
      <c r="AF330" s="94">
        <v>211</v>
      </c>
      <c r="AG330" s="94">
        <v>758</v>
      </c>
      <c r="AH330" s="94">
        <v>986</v>
      </c>
      <c r="AI330" s="94">
        <v>55</v>
      </c>
      <c r="AJ330" s="94">
        <v>1789</v>
      </c>
      <c r="AK330" s="94">
        <v>6</v>
      </c>
      <c r="AL330" s="94">
        <v>4</v>
      </c>
      <c r="AM330" s="94">
        <v>69</v>
      </c>
      <c r="AN330" s="94">
        <v>1719</v>
      </c>
      <c r="AO330" s="94">
        <v>11</v>
      </c>
      <c r="AP330" s="95">
        <v>3.0480656506447801</v>
      </c>
      <c r="AQ330" s="95">
        <v>1.2443438914027101</v>
      </c>
      <c r="AR330" s="95">
        <v>4.9878345498783503</v>
      </c>
      <c r="AS330" s="95">
        <v>3.3707865168539302</v>
      </c>
      <c r="AT330" s="95">
        <v>1.8761726078799299</v>
      </c>
      <c r="AU330" s="95">
        <v>4.2189281641961198</v>
      </c>
      <c r="AV330" s="95">
        <v>0.96618357487922701</v>
      </c>
      <c r="AW330" s="95">
        <v>3.05980528511822</v>
      </c>
      <c r="AX330" s="95">
        <v>3.1016042780748698</v>
      </c>
      <c r="AY330" s="95">
        <v>1.92307692307692</v>
      </c>
      <c r="AZ330" s="95">
        <v>3.00530347672363</v>
      </c>
      <c r="BA330" s="95">
        <v>0</v>
      </c>
      <c r="BB330" s="95">
        <v>33.3333333333333</v>
      </c>
      <c r="BC330" s="95">
        <v>1.47058823529412</v>
      </c>
      <c r="BD330" s="95">
        <v>3.1326781326781301</v>
      </c>
      <c r="BE330" s="95">
        <v>0</v>
      </c>
    </row>
    <row r="331" spans="2:57" ht="15" customHeight="1" x14ac:dyDescent="0.25">
      <c r="B331" s="91">
        <v>321</v>
      </c>
      <c r="C331" s="92" t="s">
        <v>504</v>
      </c>
      <c r="D331" s="92" t="s">
        <v>43</v>
      </c>
      <c r="E331" s="92" t="s">
        <v>138</v>
      </c>
      <c r="F331" s="92" t="s">
        <v>67</v>
      </c>
      <c r="G331" s="101" t="s">
        <v>502</v>
      </c>
      <c r="H331" s="94">
        <v>1720</v>
      </c>
      <c r="I331" s="94">
        <v>1026</v>
      </c>
      <c r="J331" s="94">
        <v>694</v>
      </c>
      <c r="K331" s="94">
        <v>80</v>
      </c>
      <c r="L331" s="94">
        <v>510</v>
      </c>
      <c r="M331" s="94">
        <v>876</v>
      </c>
      <c r="N331" s="94">
        <v>254</v>
      </c>
      <c r="O331" s="94">
        <v>1720</v>
      </c>
      <c r="P331" s="94">
        <v>0</v>
      </c>
      <c r="Q331" s="95">
        <v>0.52910052910052896</v>
      </c>
      <c r="R331" s="95">
        <v>0.196850393700787</v>
      </c>
      <c r="S331" s="95">
        <v>1.02189781021898</v>
      </c>
      <c r="T331" s="95">
        <v>0</v>
      </c>
      <c r="U331" s="95">
        <v>0.79365079365079405</v>
      </c>
      <c r="V331" s="95">
        <v>0.57537399309551196</v>
      </c>
      <c r="W331" s="95">
        <v>0</v>
      </c>
      <c r="X331" s="95">
        <v>0.52910052910052896</v>
      </c>
      <c r="Y331" s="95">
        <v>0</v>
      </c>
      <c r="Z331" s="94">
        <v>2334</v>
      </c>
      <c r="AA331" s="94">
        <v>1266</v>
      </c>
      <c r="AB331" s="94">
        <v>1068</v>
      </c>
      <c r="AC331" s="94">
        <v>67</v>
      </c>
      <c r="AD331" s="94">
        <v>662</v>
      </c>
      <c r="AE331" s="94">
        <v>1284</v>
      </c>
      <c r="AF331" s="94">
        <v>321</v>
      </c>
      <c r="AG331" s="94">
        <v>1538</v>
      </c>
      <c r="AH331" s="94">
        <v>755</v>
      </c>
      <c r="AI331" s="94">
        <v>41</v>
      </c>
      <c r="AJ331" s="94">
        <v>2313</v>
      </c>
      <c r="AK331" s="94">
        <v>11</v>
      </c>
      <c r="AL331" s="94">
        <v>10</v>
      </c>
      <c r="AM331" s="94">
        <v>94</v>
      </c>
      <c r="AN331" s="94">
        <v>2222</v>
      </c>
      <c r="AO331" s="94">
        <v>18</v>
      </c>
      <c r="AP331" s="95">
        <v>1.0323159784560101</v>
      </c>
      <c r="AQ331" s="95">
        <v>1.0526315789473699</v>
      </c>
      <c r="AR331" s="95">
        <v>1.0070493454179299</v>
      </c>
      <c r="AS331" s="95">
        <v>0</v>
      </c>
      <c r="AT331" s="95">
        <v>0.63795853269537495</v>
      </c>
      <c r="AU331" s="95">
        <v>1.22349102773246</v>
      </c>
      <c r="AV331" s="95">
        <v>1.2861736334405101</v>
      </c>
      <c r="AW331" s="95">
        <v>0.82304526748971196</v>
      </c>
      <c r="AX331" s="95">
        <v>1.50891632373114</v>
      </c>
      <c r="AY331" s="95">
        <v>0</v>
      </c>
      <c r="AZ331" s="95">
        <v>1.0421386497507901</v>
      </c>
      <c r="BA331" s="95">
        <v>0</v>
      </c>
      <c r="BB331" s="95">
        <v>0</v>
      </c>
      <c r="BC331" s="95">
        <v>2.1739130434782599</v>
      </c>
      <c r="BD331" s="95">
        <v>0.944287063267233</v>
      </c>
      <c r="BE331" s="95">
        <v>5.5555555555555598</v>
      </c>
    </row>
    <row r="332" spans="2:57" ht="15" customHeight="1" x14ac:dyDescent="0.25">
      <c r="B332" s="86">
        <v>322</v>
      </c>
      <c r="C332" s="87" t="s">
        <v>503</v>
      </c>
      <c r="D332" s="103" t="s">
        <v>43</v>
      </c>
      <c r="E332" s="103" t="s">
        <v>506</v>
      </c>
      <c r="F332" s="103"/>
      <c r="G332" s="88" t="s">
        <v>506</v>
      </c>
      <c r="H332" s="89">
        <v>61012</v>
      </c>
      <c r="I332" s="89">
        <v>34568</v>
      </c>
      <c r="J332" s="89">
        <v>26444</v>
      </c>
      <c r="K332" s="89">
        <v>4340</v>
      </c>
      <c r="L332" s="89">
        <v>20179</v>
      </c>
      <c r="M332" s="89">
        <v>30362</v>
      </c>
      <c r="N332" s="89">
        <v>6131</v>
      </c>
      <c r="O332" s="89">
        <v>60934</v>
      </c>
      <c r="P332" s="89">
        <v>78</v>
      </c>
      <c r="Q332" s="90">
        <v>0.47458536667169798</v>
      </c>
      <c r="R332" s="90">
        <v>0.31110189327723597</v>
      </c>
      <c r="S332" s="90">
        <v>0.68778979907264304</v>
      </c>
      <c r="T332" s="90">
        <v>0.88410991636798097</v>
      </c>
      <c r="U332" s="90">
        <v>0.50774308200050799</v>
      </c>
      <c r="V332" s="90">
        <v>0.39301310043668097</v>
      </c>
      <c r="W332" s="90">
        <v>0.48486875104497601</v>
      </c>
      <c r="X332" s="90">
        <v>0.468450921790524</v>
      </c>
      <c r="Y332" s="90">
        <v>5.4794520547945202</v>
      </c>
      <c r="Z332" s="89">
        <v>74011</v>
      </c>
      <c r="AA332" s="89">
        <v>40885</v>
      </c>
      <c r="AB332" s="89">
        <v>33126</v>
      </c>
      <c r="AC332" s="89">
        <v>4446</v>
      </c>
      <c r="AD332" s="89">
        <v>21382</v>
      </c>
      <c r="AE332" s="89">
        <v>39456</v>
      </c>
      <c r="AF332" s="89">
        <v>8727</v>
      </c>
      <c r="AG332" s="89">
        <v>53023</v>
      </c>
      <c r="AH332" s="89">
        <v>20261</v>
      </c>
      <c r="AI332" s="89">
        <v>727</v>
      </c>
      <c r="AJ332" s="89">
        <v>73549</v>
      </c>
      <c r="AK332" s="89">
        <v>175</v>
      </c>
      <c r="AL332" s="89">
        <v>287</v>
      </c>
      <c r="AM332" s="89">
        <v>3632</v>
      </c>
      <c r="AN332" s="89">
        <v>69494</v>
      </c>
      <c r="AO332" s="89">
        <v>885</v>
      </c>
      <c r="AP332" s="90">
        <v>1.6949387438328101</v>
      </c>
      <c r="AQ332" s="90">
        <v>0.700420252151291</v>
      </c>
      <c r="AR332" s="90">
        <v>2.9303915475450601</v>
      </c>
      <c r="AS332" s="90">
        <v>2.8394178000477202</v>
      </c>
      <c r="AT332" s="90">
        <v>1.7434020419957601</v>
      </c>
      <c r="AU332" s="90">
        <v>1.69316004763631</v>
      </c>
      <c r="AV332" s="90">
        <v>1.02623906705539</v>
      </c>
      <c r="AW332" s="90">
        <v>1.32546159634196</v>
      </c>
      <c r="AX332" s="90">
        <v>2.6597370834607199</v>
      </c>
      <c r="AY332" s="90">
        <v>2.0028612303290401</v>
      </c>
      <c r="AZ332" s="90">
        <v>1.6886521460244901</v>
      </c>
      <c r="BA332" s="90">
        <v>5.9880239520958103</v>
      </c>
      <c r="BB332" s="90">
        <v>0.72727272727272696</v>
      </c>
      <c r="BC332" s="90">
        <v>1.91441441441441</v>
      </c>
      <c r="BD332" s="90">
        <v>1.69443993446591</v>
      </c>
      <c r="BE332" s="90">
        <v>0.82063305978898005</v>
      </c>
    </row>
    <row r="333" spans="2:57" ht="15" customHeight="1" x14ac:dyDescent="0.25">
      <c r="B333" s="91">
        <v>323</v>
      </c>
      <c r="C333" s="92" t="s">
        <v>503</v>
      </c>
      <c r="D333" s="92" t="s">
        <v>43</v>
      </c>
      <c r="E333" s="92" t="s">
        <v>506</v>
      </c>
      <c r="F333" s="92"/>
      <c r="G333" s="93" t="s">
        <v>501</v>
      </c>
      <c r="H333" s="94">
        <v>5178</v>
      </c>
      <c r="I333" s="94">
        <v>2773</v>
      </c>
      <c r="J333" s="94">
        <v>2405</v>
      </c>
      <c r="K333" s="94">
        <v>383</v>
      </c>
      <c r="L333" s="94">
        <v>1672</v>
      </c>
      <c r="M333" s="94">
        <v>2625</v>
      </c>
      <c r="N333" s="94">
        <v>498</v>
      </c>
      <c r="O333" s="94">
        <v>5160</v>
      </c>
      <c r="P333" s="94">
        <v>18</v>
      </c>
      <c r="Q333" s="95">
        <v>3.3340109778410199</v>
      </c>
      <c r="R333" s="95">
        <v>2.1000381825124101</v>
      </c>
      <c r="S333" s="95">
        <v>4.7391304347826102</v>
      </c>
      <c r="T333" s="95">
        <v>5.5555555555555598</v>
      </c>
      <c r="U333" s="95">
        <v>3.4438775510204098</v>
      </c>
      <c r="V333" s="95">
        <v>2.8174603174603199</v>
      </c>
      <c r="W333" s="95">
        <v>4.0339702760084899</v>
      </c>
      <c r="X333" s="95">
        <v>3.3251733986128098</v>
      </c>
      <c r="Y333" s="95">
        <v>5.8823529411764701</v>
      </c>
      <c r="Z333" s="94">
        <v>9363</v>
      </c>
      <c r="AA333" s="94">
        <v>4730</v>
      </c>
      <c r="AB333" s="94">
        <v>4633</v>
      </c>
      <c r="AC333" s="94">
        <v>536</v>
      </c>
      <c r="AD333" s="94">
        <v>2589</v>
      </c>
      <c r="AE333" s="94">
        <v>5042</v>
      </c>
      <c r="AF333" s="94">
        <v>1196</v>
      </c>
      <c r="AG333" s="94">
        <v>5156</v>
      </c>
      <c r="AH333" s="94">
        <v>4112</v>
      </c>
      <c r="AI333" s="94">
        <v>95</v>
      </c>
      <c r="AJ333" s="94">
        <v>9304</v>
      </c>
      <c r="AK333" s="94">
        <v>34</v>
      </c>
      <c r="AL333" s="94">
        <v>25</v>
      </c>
      <c r="AM333" s="94">
        <v>607</v>
      </c>
      <c r="AN333" s="94">
        <v>8688</v>
      </c>
      <c r="AO333" s="94">
        <v>68</v>
      </c>
      <c r="AP333" s="95">
        <v>6.9211082674975</v>
      </c>
      <c r="AQ333" s="95">
        <v>3.1875137392833599</v>
      </c>
      <c r="AR333" s="95">
        <v>10.7480847228481</v>
      </c>
      <c r="AS333" s="95">
        <v>12.007874015748</v>
      </c>
      <c r="AT333" s="95">
        <v>6.5050505050505096</v>
      </c>
      <c r="AU333" s="95">
        <v>7.2182006204756997</v>
      </c>
      <c r="AV333" s="95">
        <v>4.3627031650983703</v>
      </c>
      <c r="AW333" s="95">
        <v>6.2411918663177</v>
      </c>
      <c r="AX333" s="95">
        <v>7.7353689567429997</v>
      </c>
      <c r="AY333" s="95">
        <v>8.8888888888888893</v>
      </c>
      <c r="AZ333" s="95">
        <v>6.8973239278916099</v>
      </c>
      <c r="BA333" s="95">
        <v>12.1212121212121</v>
      </c>
      <c r="BB333" s="95">
        <v>8.6956521739130395</v>
      </c>
      <c r="BC333" s="95">
        <v>6.73400673400673</v>
      </c>
      <c r="BD333" s="95">
        <v>6.9756273262096302</v>
      </c>
      <c r="BE333" s="95">
        <v>1.5625</v>
      </c>
    </row>
    <row r="334" spans="2:57" ht="15" customHeight="1" x14ac:dyDescent="0.25">
      <c r="B334" s="91">
        <v>324</v>
      </c>
      <c r="C334" s="92" t="s">
        <v>503</v>
      </c>
      <c r="D334" s="92" t="s">
        <v>43</v>
      </c>
      <c r="E334" s="92" t="s">
        <v>506</v>
      </c>
      <c r="F334" s="92"/>
      <c r="G334" s="93" t="s">
        <v>502</v>
      </c>
      <c r="H334" s="94">
        <v>55834</v>
      </c>
      <c r="I334" s="94">
        <v>31795</v>
      </c>
      <c r="J334" s="94">
        <v>24039</v>
      </c>
      <c r="K334" s="94">
        <v>3957</v>
      </c>
      <c r="L334" s="94">
        <v>18507</v>
      </c>
      <c r="M334" s="94">
        <v>27737</v>
      </c>
      <c r="N334" s="94">
        <v>5633</v>
      </c>
      <c r="O334" s="94">
        <v>55774</v>
      </c>
      <c r="P334" s="94">
        <v>60</v>
      </c>
      <c r="Q334" s="95">
        <v>0.21750255885363401</v>
      </c>
      <c r="R334" s="95">
        <v>0.16060644995503001</v>
      </c>
      <c r="S334" s="95">
        <v>0.292620865139949</v>
      </c>
      <c r="T334" s="95">
        <v>0.44444444444444398</v>
      </c>
      <c r="U334" s="95">
        <v>0.253765101781872</v>
      </c>
      <c r="V334" s="95">
        <v>0.16880733944954099</v>
      </c>
      <c r="W334" s="95">
        <v>0.181488203266788</v>
      </c>
      <c r="X334" s="95">
        <v>0.212236533957845</v>
      </c>
      <c r="Y334" s="95">
        <v>5.3571428571428603</v>
      </c>
      <c r="Z334" s="94">
        <v>64648</v>
      </c>
      <c r="AA334" s="94">
        <v>36155</v>
      </c>
      <c r="AB334" s="94">
        <v>28493</v>
      </c>
      <c r="AC334" s="94">
        <v>3910</v>
      </c>
      <c r="AD334" s="94">
        <v>18793</v>
      </c>
      <c r="AE334" s="94">
        <v>34414</v>
      </c>
      <c r="AF334" s="94">
        <v>7531</v>
      </c>
      <c r="AG334" s="94">
        <v>47867</v>
      </c>
      <c r="AH334" s="94">
        <v>16149</v>
      </c>
      <c r="AI334" s="94">
        <v>632</v>
      </c>
      <c r="AJ334" s="94">
        <v>64245</v>
      </c>
      <c r="AK334" s="94">
        <v>141</v>
      </c>
      <c r="AL334" s="94">
        <v>262</v>
      </c>
      <c r="AM334" s="94">
        <v>3025</v>
      </c>
      <c r="AN334" s="94">
        <v>60806</v>
      </c>
      <c r="AO334" s="94">
        <v>817</v>
      </c>
      <c r="AP334" s="95">
        <v>0.95141604267916202</v>
      </c>
      <c r="AQ334" s="95">
        <v>0.38106528918621402</v>
      </c>
      <c r="AR334" s="95">
        <v>1.67976353543364</v>
      </c>
      <c r="AS334" s="95">
        <v>1.5748031496063</v>
      </c>
      <c r="AT334" s="95">
        <v>1.0990212696156201</v>
      </c>
      <c r="AU334" s="95">
        <v>0.90260720310141795</v>
      </c>
      <c r="AV334" s="95">
        <v>0.499594923035377</v>
      </c>
      <c r="AW334" s="95">
        <v>0.80445544554455495</v>
      </c>
      <c r="AX334" s="95">
        <v>1.3888888888888899</v>
      </c>
      <c r="AY334" s="95">
        <v>0.98522167487684698</v>
      </c>
      <c r="AZ334" s="95">
        <v>0.94770877466830195</v>
      </c>
      <c r="BA334" s="95">
        <v>4.4776119402985097</v>
      </c>
      <c r="BB334" s="95">
        <v>0</v>
      </c>
      <c r="BC334" s="95">
        <v>0.94658553076402996</v>
      </c>
      <c r="BD334" s="95">
        <v>0.954192050082461</v>
      </c>
      <c r="BE334" s="95">
        <v>0.76045627376425895</v>
      </c>
    </row>
    <row r="335" spans="2:57" ht="15" customHeight="1" x14ac:dyDescent="0.25">
      <c r="B335" s="96">
        <v>325</v>
      </c>
      <c r="C335" s="97" t="s">
        <v>504</v>
      </c>
      <c r="D335" s="104" t="s">
        <v>43</v>
      </c>
      <c r="E335" s="104" t="s">
        <v>506</v>
      </c>
      <c r="F335" s="104" t="s">
        <v>245</v>
      </c>
      <c r="G335" s="105" t="s">
        <v>245</v>
      </c>
      <c r="H335" s="106">
        <v>10723</v>
      </c>
      <c r="I335" s="106">
        <v>5489</v>
      </c>
      <c r="J335" s="106">
        <v>5234</v>
      </c>
      <c r="K335" s="106">
        <v>630</v>
      </c>
      <c r="L335" s="106">
        <v>2993</v>
      </c>
      <c r="M335" s="106">
        <v>5669</v>
      </c>
      <c r="N335" s="106">
        <v>1431</v>
      </c>
      <c r="O335" s="106">
        <v>10698</v>
      </c>
      <c r="P335" s="106">
        <v>25</v>
      </c>
      <c r="Q335" s="107">
        <v>0.78236809464745705</v>
      </c>
      <c r="R335" s="107">
        <v>0.59701492537313405</v>
      </c>
      <c r="S335" s="107">
        <v>0.976371802382347</v>
      </c>
      <c r="T335" s="107">
        <v>1.1666666666666701</v>
      </c>
      <c r="U335" s="107">
        <v>0.71893187264635405</v>
      </c>
      <c r="V335" s="107">
        <v>0.70055685288306102</v>
      </c>
      <c r="W335" s="107">
        <v>1.0768126346015801</v>
      </c>
      <c r="X335" s="107">
        <v>0.74576919399560204</v>
      </c>
      <c r="Y335" s="107">
        <v>18.181818181818201</v>
      </c>
      <c r="Z335" s="106">
        <v>11504</v>
      </c>
      <c r="AA335" s="106">
        <v>5783</v>
      </c>
      <c r="AB335" s="106">
        <v>5721</v>
      </c>
      <c r="AC335" s="106">
        <v>598</v>
      </c>
      <c r="AD335" s="106">
        <v>2636</v>
      </c>
      <c r="AE335" s="106">
        <v>6438</v>
      </c>
      <c r="AF335" s="106">
        <v>1832</v>
      </c>
      <c r="AG335" s="106">
        <v>7738</v>
      </c>
      <c r="AH335" s="106">
        <v>3645</v>
      </c>
      <c r="AI335" s="106">
        <v>121</v>
      </c>
      <c r="AJ335" s="106">
        <v>11447</v>
      </c>
      <c r="AK335" s="106">
        <v>24</v>
      </c>
      <c r="AL335" s="106">
        <v>33</v>
      </c>
      <c r="AM335" s="106">
        <v>844</v>
      </c>
      <c r="AN335" s="106">
        <v>10554</v>
      </c>
      <c r="AO335" s="106">
        <v>106</v>
      </c>
      <c r="AP335" s="107">
        <v>2.2309477065857601</v>
      </c>
      <c r="AQ335" s="107">
        <v>1.4564831261101201</v>
      </c>
      <c r="AR335" s="107">
        <v>3.012912482066</v>
      </c>
      <c r="AS335" s="107">
        <v>3.8869257950530001</v>
      </c>
      <c r="AT335" s="107">
        <v>2.2807707432166699</v>
      </c>
      <c r="AU335" s="107">
        <v>2.26876090750436</v>
      </c>
      <c r="AV335" s="107">
        <v>1.50501672240803</v>
      </c>
      <c r="AW335" s="107">
        <v>1.53358011634056</v>
      </c>
      <c r="AX335" s="107">
        <v>3.7730496453900702</v>
      </c>
      <c r="AY335" s="107">
        <v>0.854700854700855</v>
      </c>
      <c r="AZ335" s="107">
        <v>2.1969153515064601</v>
      </c>
      <c r="BA335" s="107">
        <v>16.6666666666667</v>
      </c>
      <c r="BB335" s="107">
        <v>3.3333333333333299</v>
      </c>
      <c r="BC335" s="107">
        <v>2.7878787878787898</v>
      </c>
      <c r="BD335" s="107">
        <v>2.1988713757540399</v>
      </c>
      <c r="BE335" s="107">
        <v>0.970873786407767</v>
      </c>
    </row>
    <row r="336" spans="2:57" ht="15" customHeight="1" x14ac:dyDescent="0.25">
      <c r="B336" s="91">
        <v>326</v>
      </c>
      <c r="C336" s="92" t="s">
        <v>504</v>
      </c>
      <c r="D336" s="92" t="s">
        <v>43</v>
      </c>
      <c r="E336" s="92" t="s">
        <v>506</v>
      </c>
      <c r="F336" s="92" t="s">
        <v>245</v>
      </c>
      <c r="G336" s="101" t="s">
        <v>501</v>
      </c>
      <c r="H336" s="94">
        <v>1169</v>
      </c>
      <c r="I336" s="94">
        <v>596</v>
      </c>
      <c r="J336" s="94">
        <v>573</v>
      </c>
      <c r="K336" s="94">
        <v>73</v>
      </c>
      <c r="L336" s="94">
        <v>325</v>
      </c>
      <c r="M336" s="94">
        <v>596</v>
      </c>
      <c r="N336" s="94">
        <v>175</v>
      </c>
      <c r="O336" s="94">
        <v>1162</v>
      </c>
      <c r="P336" s="94">
        <v>7</v>
      </c>
      <c r="Q336" s="95">
        <v>5.2914798206278002</v>
      </c>
      <c r="R336" s="95">
        <v>4.0998217468805702</v>
      </c>
      <c r="S336" s="95">
        <v>6.4981949458483701</v>
      </c>
      <c r="T336" s="95">
        <v>5.7971014492753596</v>
      </c>
      <c r="U336" s="95">
        <v>4.8701298701298699</v>
      </c>
      <c r="V336" s="95">
        <v>5.2356020942408401</v>
      </c>
      <c r="W336" s="95">
        <v>6.0606060606060597</v>
      </c>
      <c r="X336" s="95">
        <v>5.22993688007214</v>
      </c>
      <c r="Y336" s="95">
        <v>16.6666666666667</v>
      </c>
      <c r="Z336" s="94">
        <v>1591</v>
      </c>
      <c r="AA336" s="94">
        <v>782</v>
      </c>
      <c r="AB336" s="94">
        <v>809</v>
      </c>
      <c r="AC336" s="94">
        <v>83</v>
      </c>
      <c r="AD336" s="94">
        <v>342</v>
      </c>
      <c r="AE336" s="94">
        <v>899</v>
      </c>
      <c r="AF336" s="94">
        <v>267</v>
      </c>
      <c r="AG336" s="94">
        <v>760</v>
      </c>
      <c r="AH336" s="94">
        <v>824</v>
      </c>
      <c r="AI336" s="94">
        <v>7</v>
      </c>
      <c r="AJ336" s="94">
        <v>1581</v>
      </c>
      <c r="AK336" s="94">
        <v>6</v>
      </c>
      <c r="AL336" s="94">
        <v>4</v>
      </c>
      <c r="AM336" s="94">
        <v>120</v>
      </c>
      <c r="AN336" s="94">
        <v>1462</v>
      </c>
      <c r="AO336" s="94">
        <v>9</v>
      </c>
      <c r="AP336" s="95">
        <v>10.9007832898172</v>
      </c>
      <c r="AQ336" s="95">
        <v>6.71140939597315</v>
      </c>
      <c r="AR336" s="95">
        <v>14.866581956798001</v>
      </c>
      <c r="AS336" s="95">
        <v>22.5</v>
      </c>
      <c r="AT336" s="95">
        <v>8.0495356037151709</v>
      </c>
      <c r="AU336" s="95">
        <v>11.811926605504601</v>
      </c>
      <c r="AV336" s="95">
        <v>7.7821011673151697</v>
      </c>
      <c r="AW336" s="95">
        <v>10.8843537414966</v>
      </c>
      <c r="AX336" s="95">
        <v>11.0126582278481</v>
      </c>
      <c r="AY336" s="95">
        <v>0</v>
      </c>
      <c r="AZ336" s="95">
        <v>10.840998685939599</v>
      </c>
      <c r="BA336" s="95">
        <v>16.6666666666667</v>
      </c>
      <c r="BB336" s="95">
        <v>25</v>
      </c>
      <c r="BC336" s="95">
        <v>13.675213675213699</v>
      </c>
      <c r="BD336" s="95">
        <v>10.7396870554765</v>
      </c>
      <c r="BE336" s="95">
        <v>0</v>
      </c>
    </row>
    <row r="337" spans="2:57" ht="15" customHeight="1" x14ac:dyDescent="0.25">
      <c r="B337" s="91">
        <v>327</v>
      </c>
      <c r="C337" s="92" t="s">
        <v>504</v>
      </c>
      <c r="D337" s="92" t="s">
        <v>43</v>
      </c>
      <c r="E337" s="92" t="s">
        <v>506</v>
      </c>
      <c r="F337" s="92" t="s">
        <v>245</v>
      </c>
      <c r="G337" s="101" t="s">
        <v>502</v>
      </c>
      <c r="H337" s="94">
        <v>9554</v>
      </c>
      <c r="I337" s="94">
        <v>4893</v>
      </c>
      <c r="J337" s="94">
        <v>4661</v>
      </c>
      <c r="K337" s="94">
        <v>557</v>
      </c>
      <c r="L337" s="94">
        <v>2668</v>
      </c>
      <c r="M337" s="94">
        <v>5073</v>
      </c>
      <c r="N337" s="94">
        <v>1256</v>
      </c>
      <c r="O337" s="94">
        <v>9536</v>
      </c>
      <c r="P337" s="94">
        <v>18</v>
      </c>
      <c r="Q337" s="95">
        <v>0.24556907964979699</v>
      </c>
      <c r="R337" s="95">
        <v>0.187539070639717</v>
      </c>
      <c r="S337" s="95">
        <v>0.30654696737464399</v>
      </c>
      <c r="T337" s="95">
        <v>0.56497175141242895</v>
      </c>
      <c r="U337" s="95">
        <v>0.22962112514351299</v>
      </c>
      <c r="V337" s="95">
        <v>0.18021625951141401</v>
      </c>
      <c r="W337" s="95">
        <v>0.40716612377850198</v>
      </c>
      <c r="X337" s="95">
        <v>0.21390374331550799</v>
      </c>
      <c r="Y337" s="95">
        <v>18.75</v>
      </c>
      <c r="Z337" s="94">
        <v>9913</v>
      </c>
      <c r="AA337" s="94">
        <v>5001</v>
      </c>
      <c r="AB337" s="94">
        <v>4912</v>
      </c>
      <c r="AC337" s="94">
        <v>515</v>
      </c>
      <c r="AD337" s="94">
        <v>2294</v>
      </c>
      <c r="AE337" s="94">
        <v>5539</v>
      </c>
      <c r="AF337" s="94">
        <v>1565</v>
      </c>
      <c r="AG337" s="94">
        <v>6978</v>
      </c>
      <c r="AH337" s="94">
        <v>2821</v>
      </c>
      <c r="AI337" s="94">
        <v>114</v>
      </c>
      <c r="AJ337" s="94">
        <v>9866</v>
      </c>
      <c r="AK337" s="94">
        <v>18</v>
      </c>
      <c r="AL337" s="94">
        <v>29</v>
      </c>
      <c r="AM337" s="94">
        <v>724</v>
      </c>
      <c r="AN337" s="94">
        <v>9092</v>
      </c>
      <c r="AO337" s="94">
        <v>97</v>
      </c>
      <c r="AP337" s="95">
        <v>0.85796981600165401</v>
      </c>
      <c r="AQ337" s="95">
        <v>0.65506653019447303</v>
      </c>
      <c r="AR337" s="95">
        <v>1.06494048861975</v>
      </c>
      <c r="AS337" s="95">
        <v>0.82304526748971196</v>
      </c>
      <c r="AT337" s="95">
        <v>1.44144144144144</v>
      </c>
      <c r="AU337" s="95">
        <v>0.736512612778494</v>
      </c>
      <c r="AV337" s="95">
        <v>0.45543266102797703</v>
      </c>
      <c r="AW337" s="95">
        <v>0.52716356714013801</v>
      </c>
      <c r="AX337" s="95">
        <v>1.6819012797074999</v>
      </c>
      <c r="AY337" s="95">
        <v>0.90909090909090895</v>
      </c>
      <c r="AZ337" s="95">
        <v>0.83073727933540997</v>
      </c>
      <c r="BA337" s="95">
        <v>16.6666666666667</v>
      </c>
      <c r="BB337" s="95">
        <v>0</v>
      </c>
      <c r="BC337" s="95">
        <v>0.98870056497175196</v>
      </c>
      <c r="BD337" s="95">
        <v>0.84535617673579799</v>
      </c>
      <c r="BE337" s="95">
        <v>1.0638297872340401</v>
      </c>
    </row>
    <row r="338" spans="2:57" ht="15" customHeight="1" x14ac:dyDescent="0.25">
      <c r="B338" s="96">
        <v>328</v>
      </c>
      <c r="C338" s="97" t="s">
        <v>504</v>
      </c>
      <c r="D338" s="104" t="s">
        <v>43</v>
      </c>
      <c r="E338" s="104" t="s">
        <v>506</v>
      </c>
      <c r="F338" s="104" t="s">
        <v>273</v>
      </c>
      <c r="G338" s="105" t="s">
        <v>273</v>
      </c>
      <c r="H338" s="106">
        <v>10395</v>
      </c>
      <c r="I338" s="106">
        <v>6129</v>
      </c>
      <c r="J338" s="106">
        <v>4266</v>
      </c>
      <c r="K338" s="106">
        <v>522</v>
      </c>
      <c r="L338" s="106">
        <v>2928</v>
      </c>
      <c r="M338" s="106">
        <v>5427</v>
      </c>
      <c r="N338" s="106">
        <v>1518</v>
      </c>
      <c r="O338" s="106">
        <v>10382</v>
      </c>
      <c r="P338" s="106">
        <v>13</v>
      </c>
      <c r="Q338" s="107">
        <v>0.30401098362263401</v>
      </c>
      <c r="R338" s="107">
        <v>0.21652231845436401</v>
      </c>
      <c r="S338" s="107">
        <v>0.429286906749344</v>
      </c>
      <c r="T338" s="107">
        <v>0.39682539682539703</v>
      </c>
      <c r="U338" s="107">
        <v>0.383408853258975</v>
      </c>
      <c r="V338" s="107">
        <v>0.262319655237025</v>
      </c>
      <c r="W338" s="107">
        <v>0.26899798251513102</v>
      </c>
      <c r="X338" s="107">
        <v>0.30439905734485501</v>
      </c>
      <c r="Y338" s="107">
        <v>0</v>
      </c>
      <c r="Z338" s="106">
        <v>14520</v>
      </c>
      <c r="AA338" s="106">
        <v>8601</v>
      </c>
      <c r="AB338" s="106">
        <v>5919</v>
      </c>
      <c r="AC338" s="106">
        <v>661</v>
      </c>
      <c r="AD338" s="106">
        <v>4124</v>
      </c>
      <c r="AE338" s="106">
        <v>7735</v>
      </c>
      <c r="AF338" s="106">
        <v>2000</v>
      </c>
      <c r="AG338" s="106">
        <v>10760</v>
      </c>
      <c r="AH338" s="106">
        <v>3660</v>
      </c>
      <c r="AI338" s="106">
        <v>100</v>
      </c>
      <c r="AJ338" s="106">
        <v>14433</v>
      </c>
      <c r="AK338" s="106">
        <v>45</v>
      </c>
      <c r="AL338" s="106">
        <v>42</v>
      </c>
      <c r="AM338" s="106">
        <v>775</v>
      </c>
      <c r="AN338" s="106">
        <v>13605</v>
      </c>
      <c r="AO338" s="106">
        <v>140</v>
      </c>
      <c r="AP338" s="107">
        <v>1.37634105025409</v>
      </c>
      <c r="AQ338" s="107">
        <v>0.56925996204933604</v>
      </c>
      <c r="AR338" s="107">
        <v>2.56276150627615</v>
      </c>
      <c r="AS338" s="107">
        <v>2.2544283413848598</v>
      </c>
      <c r="AT338" s="107">
        <v>1.65289256198347</v>
      </c>
      <c r="AU338" s="107">
        <v>1.2526371308016899</v>
      </c>
      <c r="AV338" s="107">
        <v>1.0152284263959399</v>
      </c>
      <c r="AW338" s="107">
        <v>1.1595855907233199</v>
      </c>
      <c r="AX338" s="107">
        <v>2.0293122886132999</v>
      </c>
      <c r="AY338" s="107">
        <v>1.0101010101010099</v>
      </c>
      <c r="AZ338" s="107">
        <v>1.3772540110748299</v>
      </c>
      <c r="BA338" s="107">
        <v>2.38095238095238</v>
      </c>
      <c r="BB338" s="107">
        <v>0</v>
      </c>
      <c r="BC338" s="107">
        <v>1.7082785808147201</v>
      </c>
      <c r="BD338" s="107">
        <v>1.3639788997739299</v>
      </c>
      <c r="BE338" s="107">
        <v>0.72992700729926996</v>
      </c>
    </row>
    <row r="339" spans="2:57" ht="15" customHeight="1" x14ac:dyDescent="0.25">
      <c r="B339" s="91">
        <v>329</v>
      </c>
      <c r="C339" s="92" t="s">
        <v>504</v>
      </c>
      <c r="D339" s="92" t="s">
        <v>43</v>
      </c>
      <c r="E339" s="92" t="s">
        <v>506</v>
      </c>
      <c r="F339" s="92" t="s">
        <v>273</v>
      </c>
      <c r="G339" s="101" t="s">
        <v>501</v>
      </c>
      <c r="H339" s="94">
        <v>0</v>
      </c>
      <c r="I339" s="94">
        <v>0</v>
      </c>
      <c r="J339" s="94">
        <v>0</v>
      </c>
      <c r="K339" s="94">
        <v>0</v>
      </c>
      <c r="L339" s="94">
        <v>0</v>
      </c>
      <c r="M339" s="94">
        <v>0</v>
      </c>
      <c r="N339" s="94">
        <v>0</v>
      </c>
      <c r="O339" s="94">
        <v>0</v>
      </c>
      <c r="P339" s="94">
        <v>0</v>
      </c>
      <c r="Q339" s="95">
        <v>0</v>
      </c>
      <c r="R339" s="95">
        <v>0</v>
      </c>
      <c r="S339" s="95">
        <v>0</v>
      </c>
      <c r="T339" s="95">
        <v>0</v>
      </c>
      <c r="U339" s="95">
        <v>0</v>
      </c>
      <c r="V339" s="95">
        <v>0</v>
      </c>
      <c r="W339" s="95">
        <v>0</v>
      </c>
      <c r="X339" s="95">
        <v>0</v>
      </c>
      <c r="Y339" s="95">
        <v>0</v>
      </c>
      <c r="Z339" s="94">
        <v>1665</v>
      </c>
      <c r="AA339" s="94">
        <v>789</v>
      </c>
      <c r="AB339" s="94">
        <v>876</v>
      </c>
      <c r="AC339" s="94">
        <v>101</v>
      </c>
      <c r="AD339" s="94">
        <v>402</v>
      </c>
      <c r="AE339" s="94">
        <v>838</v>
      </c>
      <c r="AF339" s="94">
        <v>324</v>
      </c>
      <c r="AG339" s="94">
        <v>936</v>
      </c>
      <c r="AH339" s="94">
        <v>714</v>
      </c>
      <c r="AI339" s="94">
        <v>15</v>
      </c>
      <c r="AJ339" s="94">
        <v>1652</v>
      </c>
      <c r="AK339" s="94">
        <v>6</v>
      </c>
      <c r="AL339" s="94">
        <v>7</v>
      </c>
      <c r="AM339" s="94">
        <v>149</v>
      </c>
      <c r="AN339" s="94">
        <v>1505</v>
      </c>
      <c r="AO339" s="94">
        <v>11</v>
      </c>
      <c r="AP339" s="95">
        <v>5.01547987616099</v>
      </c>
      <c r="AQ339" s="95">
        <v>3.00261096605744</v>
      </c>
      <c r="AR339" s="95">
        <v>6.8315665488810398</v>
      </c>
      <c r="AS339" s="95">
        <v>4.0816326530612201</v>
      </c>
      <c r="AT339" s="95">
        <v>5.71428571428571</v>
      </c>
      <c r="AU339" s="95">
        <v>5.3020961775585702</v>
      </c>
      <c r="AV339" s="95">
        <v>3.7383177570093502</v>
      </c>
      <c r="AW339" s="95">
        <v>4.0393013100436699</v>
      </c>
      <c r="AX339" s="95">
        <v>6.2865497076023402</v>
      </c>
      <c r="AY339" s="95">
        <v>6.6666666666666696</v>
      </c>
      <c r="AZ339" s="95">
        <v>4.9906425452276997</v>
      </c>
      <c r="BA339" s="95">
        <v>16.6666666666667</v>
      </c>
      <c r="BB339" s="95">
        <v>0</v>
      </c>
      <c r="BC339" s="95">
        <v>3.4246575342465801</v>
      </c>
      <c r="BD339" s="95">
        <v>5.2054794520547896</v>
      </c>
      <c r="BE339" s="95">
        <v>0</v>
      </c>
    </row>
    <row r="340" spans="2:57" ht="15" customHeight="1" x14ac:dyDescent="0.25">
      <c r="B340" s="91">
        <v>330</v>
      </c>
      <c r="C340" s="92" t="s">
        <v>504</v>
      </c>
      <c r="D340" s="92" t="s">
        <v>43</v>
      </c>
      <c r="E340" s="92" t="s">
        <v>506</v>
      </c>
      <c r="F340" s="92" t="s">
        <v>273</v>
      </c>
      <c r="G340" s="101" t="s">
        <v>502</v>
      </c>
      <c r="H340" s="94">
        <v>10395</v>
      </c>
      <c r="I340" s="94">
        <v>6129</v>
      </c>
      <c r="J340" s="94">
        <v>4266</v>
      </c>
      <c r="K340" s="94">
        <v>522</v>
      </c>
      <c r="L340" s="94">
        <v>2928</v>
      </c>
      <c r="M340" s="94">
        <v>5427</v>
      </c>
      <c r="N340" s="94">
        <v>1518</v>
      </c>
      <c r="O340" s="94">
        <v>10382</v>
      </c>
      <c r="P340" s="94">
        <v>13</v>
      </c>
      <c r="Q340" s="95">
        <v>0.30401098362263401</v>
      </c>
      <c r="R340" s="95">
        <v>0.21652231845436401</v>
      </c>
      <c r="S340" s="95">
        <v>0.429286906749344</v>
      </c>
      <c r="T340" s="95">
        <v>0.39682539682539703</v>
      </c>
      <c r="U340" s="95">
        <v>0.383408853258975</v>
      </c>
      <c r="V340" s="95">
        <v>0.262319655237025</v>
      </c>
      <c r="W340" s="95">
        <v>0.26899798251513102</v>
      </c>
      <c r="X340" s="95">
        <v>0.30439905734485501</v>
      </c>
      <c r="Y340" s="95">
        <v>0</v>
      </c>
      <c r="Z340" s="94">
        <v>12855</v>
      </c>
      <c r="AA340" s="94">
        <v>7812</v>
      </c>
      <c r="AB340" s="94">
        <v>5043</v>
      </c>
      <c r="AC340" s="94">
        <v>560</v>
      </c>
      <c r="AD340" s="94">
        <v>3722</v>
      </c>
      <c r="AE340" s="94">
        <v>6897</v>
      </c>
      <c r="AF340" s="94">
        <v>1676</v>
      </c>
      <c r="AG340" s="94">
        <v>9824</v>
      </c>
      <c r="AH340" s="94">
        <v>2946</v>
      </c>
      <c r="AI340" s="94">
        <v>85</v>
      </c>
      <c r="AJ340" s="94">
        <v>12781</v>
      </c>
      <c r="AK340" s="94">
        <v>39</v>
      </c>
      <c r="AL340" s="94">
        <v>35</v>
      </c>
      <c r="AM340" s="94">
        <v>626</v>
      </c>
      <c r="AN340" s="94">
        <v>12100</v>
      </c>
      <c r="AO340" s="94">
        <v>129</v>
      </c>
      <c r="AP340" s="95">
        <v>0.90814944634748695</v>
      </c>
      <c r="AQ340" s="95">
        <v>0.326115314375163</v>
      </c>
      <c r="AR340" s="95">
        <v>1.8211581747493399</v>
      </c>
      <c r="AS340" s="95">
        <v>1.9120458891013401</v>
      </c>
      <c r="AT340" s="95">
        <v>1.2195121951219501</v>
      </c>
      <c r="AU340" s="95">
        <v>0.767754318618042</v>
      </c>
      <c r="AV340" s="95">
        <v>0.48514251061249197</v>
      </c>
      <c r="AW340" s="95">
        <v>0.88495575221238898</v>
      </c>
      <c r="AX340" s="95">
        <v>1.0125698324022301</v>
      </c>
      <c r="AY340" s="95">
        <v>0</v>
      </c>
      <c r="AZ340" s="95">
        <v>0.91324200913242004</v>
      </c>
      <c r="BA340" s="95">
        <v>0</v>
      </c>
      <c r="BB340" s="95">
        <v>0</v>
      </c>
      <c r="BC340" s="95">
        <v>1.3008130081300799</v>
      </c>
      <c r="BD340" s="95">
        <v>0.88907705334462295</v>
      </c>
      <c r="BE340" s="95">
        <v>0.78125</v>
      </c>
    </row>
    <row r="341" spans="2:57" ht="15" customHeight="1" x14ac:dyDescent="0.25">
      <c r="B341" s="96">
        <v>331</v>
      </c>
      <c r="C341" s="97" t="s">
        <v>504</v>
      </c>
      <c r="D341" s="104" t="s">
        <v>43</v>
      </c>
      <c r="E341" s="104" t="s">
        <v>506</v>
      </c>
      <c r="F341" s="104" t="s">
        <v>94</v>
      </c>
      <c r="G341" s="105" t="s">
        <v>94</v>
      </c>
      <c r="H341" s="106">
        <v>3545</v>
      </c>
      <c r="I341" s="106">
        <v>2236</v>
      </c>
      <c r="J341" s="106">
        <v>1309</v>
      </c>
      <c r="K341" s="106">
        <v>117</v>
      </c>
      <c r="L341" s="106">
        <v>989</v>
      </c>
      <c r="M341" s="106">
        <v>1927</v>
      </c>
      <c r="N341" s="106">
        <v>512</v>
      </c>
      <c r="O341" s="106">
        <v>3542</v>
      </c>
      <c r="P341" s="106">
        <v>3</v>
      </c>
      <c r="Q341" s="107">
        <v>0.70859167404782997</v>
      </c>
      <c r="R341" s="107">
        <v>0.42016806722689098</v>
      </c>
      <c r="S341" s="107">
        <v>1.2048192771084301</v>
      </c>
      <c r="T341" s="107">
        <v>1.88679245283019</v>
      </c>
      <c r="U341" s="107">
        <v>1.3771186440678</v>
      </c>
      <c r="V341" s="107">
        <v>0.43431053203040199</v>
      </c>
      <c r="W341" s="107">
        <v>0.20202020202020199</v>
      </c>
      <c r="X341" s="107">
        <v>0.70921985815602795</v>
      </c>
      <c r="Y341" s="107">
        <v>0</v>
      </c>
      <c r="Z341" s="106">
        <v>4335</v>
      </c>
      <c r="AA341" s="106">
        <v>2491</v>
      </c>
      <c r="AB341" s="106">
        <v>1844</v>
      </c>
      <c r="AC341" s="106">
        <v>149</v>
      </c>
      <c r="AD341" s="106">
        <v>988</v>
      </c>
      <c r="AE341" s="106">
        <v>2494</v>
      </c>
      <c r="AF341" s="106">
        <v>704</v>
      </c>
      <c r="AG341" s="106">
        <v>2775</v>
      </c>
      <c r="AH341" s="106">
        <v>1536</v>
      </c>
      <c r="AI341" s="106">
        <v>24</v>
      </c>
      <c r="AJ341" s="106">
        <v>4308</v>
      </c>
      <c r="AK341" s="106">
        <v>16</v>
      </c>
      <c r="AL341" s="106">
        <v>11</v>
      </c>
      <c r="AM341" s="106">
        <v>249</v>
      </c>
      <c r="AN341" s="106">
        <v>4046</v>
      </c>
      <c r="AO341" s="106">
        <v>40</v>
      </c>
      <c r="AP341" s="107">
        <v>2.6309437605599801</v>
      </c>
      <c r="AQ341" s="107">
        <v>1.0495382031906</v>
      </c>
      <c r="AR341" s="107">
        <v>4.7700170357751297</v>
      </c>
      <c r="AS341" s="107">
        <v>4.2253521126760596</v>
      </c>
      <c r="AT341" s="107">
        <v>2.7896995708154502</v>
      </c>
      <c r="AU341" s="107">
        <v>2.8846153846153801</v>
      </c>
      <c r="AV341" s="107">
        <v>1.1816838995568699</v>
      </c>
      <c r="AW341" s="107">
        <v>2.2530980097634199</v>
      </c>
      <c r="AX341" s="107">
        <v>3.2235939643346998</v>
      </c>
      <c r="AY341" s="107">
        <v>9.0909090909090899</v>
      </c>
      <c r="AZ341" s="107">
        <v>2.5996112730806602</v>
      </c>
      <c r="BA341" s="107">
        <v>12.5</v>
      </c>
      <c r="BB341" s="107">
        <v>0</v>
      </c>
      <c r="BC341" s="107">
        <v>2.9661016949152499</v>
      </c>
      <c r="BD341" s="107">
        <v>2.6111685625646301</v>
      </c>
      <c r="BE341" s="107">
        <v>2.5641025641025599</v>
      </c>
    </row>
    <row r="342" spans="2:57" ht="15" customHeight="1" x14ac:dyDescent="0.25">
      <c r="B342" s="91">
        <v>332</v>
      </c>
      <c r="C342" s="92" t="s">
        <v>504</v>
      </c>
      <c r="D342" s="92" t="s">
        <v>43</v>
      </c>
      <c r="E342" s="92" t="s">
        <v>506</v>
      </c>
      <c r="F342" s="92" t="s">
        <v>94</v>
      </c>
      <c r="G342" s="101" t="s">
        <v>501</v>
      </c>
      <c r="H342" s="94">
        <v>0</v>
      </c>
      <c r="I342" s="94">
        <v>0</v>
      </c>
      <c r="J342" s="94">
        <v>0</v>
      </c>
      <c r="K342" s="94">
        <v>0</v>
      </c>
      <c r="L342" s="94">
        <v>0</v>
      </c>
      <c r="M342" s="94">
        <v>0</v>
      </c>
      <c r="N342" s="94">
        <v>0</v>
      </c>
      <c r="O342" s="94">
        <v>0</v>
      </c>
      <c r="P342" s="94">
        <v>0</v>
      </c>
      <c r="Q342" s="95">
        <v>0</v>
      </c>
      <c r="R342" s="95">
        <v>0</v>
      </c>
      <c r="S342" s="95">
        <v>0</v>
      </c>
      <c r="T342" s="95">
        <v>0</v>
      </c>
      <c r="U342" s="95">
        <v>0</v>
      </c>
      <c r="V342" s="95">
        <v>0</v>
      </c>
      <c r="W342" s="95">
        <v>0</v>
      </c>
      <c r="X342" s="95">
        <v>0</v>
      </c>
      <c r="Y342" s="95">
        <v>0</v>
      </c>
      <c r="Z342" s="94">
        <v>0</v>
      </c>
      <c r="AA342" s="94">
        <v>0</v>
      </c>
      <c r="AB342" s="94">
        <v>0</v>
      </c>
      <c r="AC342" s="94">
        <v>0</v>
      </c>
      <c r="AD342" s="94">
        <v>0</v>
      </c>
      <c r="AE342" s="94">
        <v>0</v>
      </c>
      <c r="AF342" s="94">
        <v>0</v>
      </c>
      <c r="AG342" s="94">
        <v>0</v>
      </c>
      <c r="AH342" s="94">
        <v>0</v>
      </c>
      <c r="AI342" s="94">
        <v>0</v>
      </c>
      <c r="AJ342" s="94">
        <v>0</v>
      </c>
      <c r="AK342" s="94">
        <v>0</v>
      </c>
      <c r="AL342" s="94">
        <v>0</v>
      </c>
      <c r="AM342" s="94">
        <v>0</v>
      </c>
      <c r="AN342" s="94">
        <v>0</v>
      </c>
      <c r="AO342" s="94">
        <v>0</v>
      </c>
      <c r="AP342" s="95">
        <v>0</v>
      </c>
      <c r="AQ342" s="95">
        <v>0</v>
      </c>
      <c r="AR342" s="95">
        <v>0</v>
      </c>
      <c r="AS342" s="95">
        <v>0</v>
      </c>
      <c r="AT342" s="95">
        <v>0</v>
      </c>
      <c r="AU342" s="95">
        <v>0</v>
      </c>
      <c r="AV342" s="95">
        <v>0</v>
      </c>
      <c r="AW342" s="95">
        <v>0</v>
      </c>
      <c r="AX342" s="95">
        <v>0</v>
      </c>
      <c r="AY342" s="95">
        <v>0</v>
      </c>
      <c r="AZ342" s="95">
        <v>0</v>
      </c>
      <c r="BA342" s="95">
        <v>0</v>
      </c>
      <c r="BB342" s="95">
        <v>0</v>
      </c>
      <c r="BC342" s="95">
        <v>0</v>
      </c>
      <c r="BD342" s="95">
        <v>0</v>
      </c>
      <c r="BE342" s="95">
        <v>0</v>
      </c>
    </row>
    <row r="343" spans="2:57" ht="15" customHeight="1" x14ac:dyDescent="0.25">
      <c r="B343" s="91">
        <v>333</v>
      </c>
      <c r="C343" s="92" t="s">
        <v>504</v>
      </c>
      <c r="D343" s="92" t="s">
        <v>43</v>
      </c>
      <c r="E343" s="92" t="s">
        <v>506</v>
      </c>
      <c r="F343" s="92" t="s">
        <v>94</v>
      </c>
      <c r="G343" s="101" t="s">
        <v>502</v>
      </c>
      <c r="H343" s="94">
        <v>3545</v>
      </c>
      <c r="I343" s="94">
        <v>2236</v>
      </c>
      <c r="J343" s="94">
        <v>1309</v>
      </c>
      <c r="K343" s="94">
        <v>117</v>
      </c>
      <c r="L343" s="94">
        <v>989</v>
      </c>
      <c r="M343" s="94">
        <v>1927</v>
      </c>
      <c r="N343" s="94">
        <v>512</v>
      </c>
      <c r="O343" s="94">
        <v>3542</v>
      </c>
      <c r="P343" s="94">
        <v>3</v>
      </c>
      <c r="Q343" s="95">
        <v>0.70859167404782997</v>
      </c>
      <c r="R343" s="95">
        <v>0.42016806722689098</v>
      </c>
      <c r="S343" s="95">
        <v>1.2048192771084301</v>
      </c>
      <c r="T343" s="95">
        <v>1.88679245283019</v>
      </c>
      <c r="U343" s="95">
        <v>1.3771186440678</v>
      </c>
      <c r="V343" s="95">
        <v>0.43431053203040199</v>
      </c>
      <c r="W343" s="95">
        <v>0.20202020202020199</v>
      </c>
      <c r="X343" s="95">
        <v>0.70921985815602795</v>
      </c>
      <c r="Y343" s="95">
        <v>0</v>
      </c>
      <c r="Z343" s="94">
        <v>4335</v>
      </c>
      <c r="AA343" s="94">
        <v>2491</v>
      </c>
      <c r="AB343" s="94">
        <v>1844</v>
      </c>
      <c r="AC343" s="94">
        <v>149</v>
      </c>
      <c r="AD343" s="94">
        <v>988</v>
      </c>
      <c r="AE343" s="94">
        <v>2494</v>
      </c>
      <c r="AF343" s="94">
        <v>704</v>
      </c>
      <c r="AG343" s="94">
        <v>2775</v>
      </c>
      <c r="AH343" s="94">
        <v>1536</v>
      </c>
      <c r="AI343" s="94">
        <v>24</v>
      </c>
      <c r="AJ343" s="94">
        <v>4308</v>
      </c>
      <c r="AK343" s="94">
        <v>16</v>
      </c>
      <c r="AL343" s="94">
        <v>11</v>
      </c>
      <c r="AM343" s="94">
        <v>249</v>
      </c>
      <c r="AN343" s="94">
        <v>4046</v>
      </c>
      <c r="AO343" s="94">
        <v>40</v>
      </c>
      <c r="AP343" s="95">
        <v>2.6309437605599801</v>
      </c>
      <c r="AQ343" s="95">
        <v>1.0495382031906</v>
      </c>
      <c r="AR343" s="95">
        <v>4.7700170357751297</v>
      </c>
      <c r="AS343" s="95">
        <v>4.2253521126760596</v>
      </c>
      <c r="AT343" s="95">
        <v>2.7896995708154502</v>
      </c>
      <c r="AU343" s="95">
        <v>2.8846153846153801</v>
      </c>
      <c r="AV343" s="95">
        <v>1.1816838995568699</v>
      </c>
      <c r="AW343" s="95">
        <v>2.2530980097634199</v>
      </c>
      <c r="AX343" s="95">
        <v>3.2235939643346998</v>
      </c>
      <c r="AY343" s="95">
        <v>9.0909090909090899</v>
      </c>
      <c r="AZ343" s="95">
        <v>2.5996112730806602</v>
      </c>
      <c r="BA343" s="95">
        <v>12.5</v>
      </c>
      <c r="BB343" s="95">
        <v>0</v>
      </c>
      <c r="BC343" s="95">
        <v>2.9661016949152499</v>
      </c>
      <c r="BD343" s="95">
        <v>2.6111685625646301</v>
      </c>
      <c r="BE343" s="95">
        <v>2.5641025641025599</v>
      </c>
    </row>
    <row r="344" spans="2:57" ht="15" customHeight="1" x14ac:dyDescent="0.25">
      <c r="B344" s="96">
        <v>334</v>
      </c>
      <c r="C344" s="97" t="s">
        <v>504</v>
      </c>
      <c r="D344" s="104" t="s">
        <v>43</v>
      </c>
      <c r="E344" s="104" t="s">
        <v>506</v>
      </c>
      <c r="F344" s="104" t="s">
        <v>258</v>
      </c>
      <c r="G344" s="105" t="s">
        <v>258</v>
      </c>
      <c r="H344" s="106">
        <v>13252</v>
      </c>
      <c r="I344" s="106">
        <v>8040</v>
      </c>
      <c r="J344" s="106">
        <v>5212</v>
      </c>
      <c r="K344" s="106">
        <v>1145</v>
      </c>
      <c r="L344" s="106">
        <v>4144</v>
      </c>
      <c r="M344" s="106">
        <v>6705</v>
      </c>
      <c r="N344" s="106">
        <v>1258</v>
      </c>
      <c r="O344" s="106">
        <v>13236</v>
      </c>
      <c r="P344" s="106">
        <v>16</v>
      </c>
      <c r="Q344" s="107">
        <v>0.83508936236634701</v>
      </c>
      <c r="R344" s="107">
        <v>0.47570069426587802</v>
      </c>
      <c r="S344" s="107">
        <v>1.3902681231380301</v>
      </c>
      <c r="T344" s="107">
        <v>1.93192272309108</v>
      </c>
      <c r="U344" s="107">
        <v>0.957178841309824</v>
      </c>
      <c r="V344" s="107">
        <v>0.612463634971674</v>
      </c>
      <c r="W344" s="107">
        <v>0.65306122448979598</v>
      </c>
      <c r="X344" s="107">
        <v>0.83600281271974397</v>
      </c>
      <c r="Y344" s="107">
        <v>0</v>
      </c>
      <c r="Z344" s="106">
        <v>16152</v>
      </c>
      <c r="AA344" s="106">
        <v>9215</v>
      </c>
      <c r="AB344" s="106">
        <v>6937</v>
      </c>
      <c r="AC344" s="106">
        <v>1034</v>
      </c>
      <c r="AD344" s="106">
        <v>4805</v>
      </c>
      <c r="AE344" s="106">
        <v>8364</v>
      </c>
      <c r="AF344" s="106">
        <v>1949</v>
      </c>
      <c r="AG344" s="106">
        <v>11954</v>
      </c>
      <c r="AH344" s="106">
        <v>4039</v>
      </c>
      <c r="AI344" s="106">
        <v>159</v>
      </c>
      <c r="AJ344" s="106">
        <v>16040</v>
      </c>
      <c r="AK344" s="106">
        <v>48</v>
      </c>
      <c r="AL344" s="106">
        <v>64</v>
      </c>
      <c r="AM344" s="106">
        <v>783</v>
      </c>
      <c r="AN344" s="106">
        <v>15138</v>
      </c>
      <c r="AO344" s="106">
        <v>231</v>
      </c>
      <c r="AP344" s="107">
        <v>2.6981990642825102</v>
      </c>
      <c r="AQ344" s="107">
        <v>0.81555133504636401</v>
      </c>
      <c r="AR344" s="107">
        <v>5.2315093205051104</v>
      </c>
      <c r="AS344" s="107">
        <v>5.1652892561983501</v>
      </c>
      <c r="AT344" s="107">
        <v>2.8348842241939001</v>
      </c>
      <c r="AU344" s="107">
        <v>2.6543209876543199</v>
      </c>
      <c r="AV344" s="107">
        <v>1.3061650992685501</v>
      </c>
      <c r="AW344" s="107">
        <v>2.1675302245250401</v>
      </c>
      <c r="AX344" s="107">
        <v>4.2591636551368097</v>
      </c>
      <c r="AY344" s="107">
        <v>3.3557046979865799</v>
      </c>
      <c r="AZ344" s="107">
        <v>2.6908433890430401</v>
      </c>
      <c r="BA344" s="107">
        <v>6.8181818181818201</v>
      </c>
      <c r="BB344" s="107">
        <v>1.61290322580645</v>
      </c>
      <c r="BC344" s="107">
        <v>2.0969855832241202</v>
      </c>
      <c r="BD344" s="107">
        <v>2.7553671543826099</v>
      </c>
      <c r="BE344" s="107">
        <v>0.934579439252336</v>
      </c>
    </row>
    <row r="345" spans="2:57" ht="15" customHeight="1" x14ac:dyDescent="0.25">
      <c r="B345" s="91">
        <v>335</v>
      </c>
      <c r="C345" s="92" t="s">
        <v>504</v>
      </c>
      <c r="D345" s="92" t="s">
        <v>43</v>
      </c>
      <c r="E345" s="92" t="s">
        <v>506</v>
      </c>
      <c r="F345" s="92" t="s">
        <v>258</v>
      </c>
      <c r="G345" s="101" t="s">
        <v>501</v>
      </c>
      <c r="H345" s="94">
        <v>2714</v>
      </c>
      <c r="I345" s="94">
        <v>1494</v>
      </c>
      <c r="J345" s="94">
        <v>1220</v>
      </c>
      <c r="K345" s="94">
        <v>221</v>
      </c>
      <c r="L345" s="94">
        <v>854</v>
      </c>
      <c r="M345" s="94">
        <v>1415</v>
      </c>
      <c r="N345" s="94">
        <v>224</v>
      </c>
      <c r="O345" s="94">
        <v>2706</v>
      </c>
      <c r="P345" s="94">
        <v>8</v>
      </c>
      <c r="Q345" s="95">
        <v>3.0648330058939099</v>
      </c>
      <c r="R345" s="95">
        <v>1.72043010752688</v>
      </c>
      <c r="S345" s="95">
        <v>4.6956521739130404</v>
      </c>
      <c r="T345" s="95">
        <v>6.4356435643564396</v>
      </c>
      <c r="U345" s="95">
        <v>3.4351145038167901</v>
      </c>
      <c r="V345" s="95">
        <v>2.2255192878338299</v>
      </c>
      <c r="W345" s="95">
        <v>3.8277511961722501</v>
      </c>
      <c r="X345" s="95">
        <v>3.0744974379187999</v>
      </c>
      <c r="Y345" s="95">
        <v>0</v>
      </c>
      <c r="Z345" s="94">
        <v>4422</v>
      </c>
      <c r="AA345" s="94">
        <v>2321</v>
      </c>
      <c r="AB345" s="94">
        <v>2101</v>
      </c>
      <c r="AC345" s="94">
        <v>233</v>
      </c>
      <c r="AD345" s="94">
        <v>1301</v>
      </c>
      <c r="AE345" s="94">
        <v>2438</v>
      </c>
      <c r="AF345" s="94">
        <v>450</v>
      </c>
      <c r="AG345" s="94">
        <v>2684</v>
      </c>
      <c r="AH345" s="94">
        <v>1698</v>
      </c>
      <c r="AI345" s="94">
        <v>40</v>
      </c>
      <c r="AJ345" s="94">
        <v>4395</v>
      </c>
      <c r="AK345" s="94">
        <v>18</v>
      </c>
      <c r="AL345" s="94">
        <v>9</v>
      </c>
      <c r="AM345" s="94">
        <v>228</v>
      </c>
      <c r="AN345" s="94">
        <v>4156</v>
      </c>
      <c r="AO345" s="94">
        <v>38</v>
      </c>
      <c r="AP345" s="95">
        <v>6.4248458985301102</v>
      </c>
      <c r="AQ345" s="95">
        <v>2.0646319569120299</v>
      </c>
      <c r="AR345" s="95">
        <v>11.306532663316601</v>
      </c>
      <c r="AS345" s="95">
        <v>13.181818181818199</v>
      </c>
      <c r="AT345" s="95">
        <v>6.92431561996779</v>
      </c>
      <c r="AU345" s="95">
        <v>6.1259706643658296</v>
      </c>
      <c r="AV345" s="95">
        <v>3.1963470319634699</v>
      </c>
      <c r="AW345" s="95">
        <v>5.7309941520467804</v>
      </c>
      <c r="AX345" s="95">
        <v>7.5448361162646904</v>
      </c>
      <c r="AY345" s="95">
        <v>5.5555555555555598</v>
      </c>
      <c r="AZ345" s="95">
        <v>6.3931297709923696</v>
      </c>
      <c r="BA345" s="95">
        <v>11.764705882352899</v>
      </c>
      <c r="BB345" s="95">
        <v>11.1111111111111</v>
      </c>
      <c r="BC345" s="95">
        <v>5.8295964125560502</v>
      </c>
      <c r="BD345" s="95">
        <v>6.4915382672391999</v>
      </c>
      <c r="BE345" s="95">
        <v>2.7777777777777799</v>
      </c>
    </row>
    <row r="346" spans="2:57" ht="15" customHeight="1" x14ac:dyDescent="0.25">
      <c r="B346" s="91">
        <v>336</v>
      </c>
      <c r="C346" s="92" t="s">
        <v>504</v>
      </c>
      <c r="D346" s="92" t="s">
        <v>43</v>
      </c>
      <c r="E346" s="92" t="s">
        <v>506</v>
      </c>
      <c r="F346" s="92" t="s">
        <v>258</v>
      </c>
      <c r="G346" s="101" t="s">
        <v>502</v>
      </c>
      <c r="H346" s="94">
        <v>10538</v>
      </c>
      <c r="I346" s="94">
        <v>6546</v>
      </c>
      <c r="J346" s="94">
        <v>3992</v>
      </c>
      <c r="K346" s="94">
        <v>924</v>
      </c>
      <c r="L346" s="94">
        <v>3290</v>
      </c>
      <c r="M346" s="94">
        <v>5290</v>
      </c>
      <c r="N346" s="94">
        <v>1034</v>
      </c>
      <c r="O346" s="94">
        <v>10530</v>
      </c>
      <c r="P346" s="94">
        <v>8</v>
      </c>
      <c r="Q346" s="95">
        <v>0.28243085313595601</v>
      </c>
      <c r="R346" s="95">
        <v>0.203665987780041</v>
      </c>
      <c r="S346" s="95">
        <v>0.41184041184041198</v>
      </c>
      <c r="T346" s="95">
        <v>0.903954802259887</v>
      </c>
      <c r="U346" s="95">
        <v>0.345477386934673</v>
      </c>
      <c r="V346" s="95">
        <v>0.19293845263361001</v>
      </c>
      <c r="W346" s="95">
        <v>0</v>
      </c>
      <c r="X346" s="95">
        <v>0.282595985188072</v>
      </c>
      <c r="Y346" s="95">
        <v>0</v>
      </c>
      <c r="Z346" s="94">
        <v>11730</v>
      </c>
      <c r="AA346" s="94">
        <v>6894</v>
      </c>
      <c r="AB346" s="94">
        <v>4836</v>
      </c>
      <c r="AC346" s="94">
        <v>801</v>
      </c>
      <c r="AD346" s="94">
        <v>3504</v>
      </c>
      <c r="AE346" s="94">
        <v>5926</v>
      </c>
      <c r="AF346" s="94">
        <v>1499</v>
      </c>
      <c r="AG346" s="94">
        <v>9270</v>
      </c>
      <c r="AH346" s="94">
        <v>2341</v>
      </c>
      <c r="AI346" s="94">
        <v>119</v>
      </c>
      <c r="AJ346" s="94">
        <v>11645</v>
      </c>
      <c r="AK346" s="94">
        <v>30</v>
      </c>
      <c r="AL346" s="94">
        <v>55</v>
      </c>
      <c r="AM346" s="94">
        <v>555</v>
      </c>
      <c r="AN346" s="94">
        <v>10982</v>
      </c>
      <c r="AO346" s="94">
        <v>193</v>
      </c>
      <c r="AP346" s="95">
        <v>1.3175230566534899</v>
      </c>
      <c r="AQ346" s="95">
        <v>0.40160642570281102</v>
      </c>
      <c r="AR346" s="95">
        <v>2.6383526383526399</v>
      </c>
      <c r="AS346" s="95">
        <v>2.8074866310160398</v>
      </c>
      <c r="AT346" s="95">
        <v>1.3317549570878999</v>
      </c>
      <c r="AU346" s="95">
        <v>1.26253891387063</v>
      </c>
      <c r="AV346" s="95">
        <v>0.74525745257452602</v>
      </c>
      <c r="AW346" s="95">
        <v>1.15363283416528</v>
      </c>
      <c r="AX346" s="95">
        <v>1.9051838723969901</v>
      </c>
      <c r="AY346" s="95">
        <v>2.65486725663717</v>
      </c>
      <c r="AZ346" s="95">
        <v>1.3180008845643501</v>
      </c>
      <c r="BA346" s="95">
        <v>3.7037037037037002</v>
      </c>
      <c r="BB346" s="95">
        <v>0</v>
      </c>
      <c r="BC346" s="95">
        <v>0.55555555555555602</v>
      </c>
      <c r="BD346" s="95">
        <v>1.3687072278991299</v>
      </c>
      <c r="BE346" s="95">
        <v>0.56179775280898903</v>
      </c>
    </row>
    <row r="347" spans="2:57" ht="15" customHeight="1" x14ac:dyDescent="0.25">
      <c r="B347" s="96">
        <v>337</v>
      </c>
      <c r="C347" s="97" t="s">
        <v>504</v>
      </c>
      <c r="D347" s="104" t="s">
        <v>43</v>
      </c>
      <c r="E347" s="104" t="s">
        <v>506</v>
      </c>
      <c r="F347" s="104" t="s">
        <v>70</v>
      </c>
      <c r="G347" s="105" t="s">
        <v>70</v>
      </c>
      <c r="H347" s="106">
        <v>23097</v>
      </c>
      <c r="I347" s="106">
        <v>12674</v>
      </c>
      <c r="J347" s="106">
        <v>10423</v>
      </c>
      <c r="K347" s="106">
        <v>1926</v>
      </c>
      <c r="L347" s="106">
        <v>9125</v>
      </c>
      <c r="M347" s="106">
        <v>10634</v>
      </c>
      <c r="N347" s="106">
        <v>1412</v>
      </c>
      <c r="O347" s="106">
        <v>23076</v>
      </c>
      <c r="P347" s="106">
        <v>21</v>
      </c>
      <c r="Q347" s="107">
        <v>0.171405968443722</v>
      </c>
      <c r="R347" s="107">
        <v>0.112296462661426</v>
      </c>
      <c r="S347" s="107">
        <v>0.24304880419988301</v>
      </c>
      <c r="T347" s="107">
        <v>0.26483050847457601</v>
      </c>
      <c r="U347" s="107">
        <v>0.18907796685574499</v>
      </c>
      <c r="V347" s="107">
        <v>0.15248260745258699</v>
      </c>
      <c r="W347" s="107">
        <v>7.2411296162201294E-2</v>
      </c>
      <c r="X347" s="107">
        <v>0.171564314622559</v>
      </c>
      <c r="Y347" s="107">
        <v>0</v>
      </c>
      <c r="Z347" s="106">
        <v>27500</v>
      </c>
      <c r="AA347" s="106">
        <v>14795</v>
      </c>
      <c r="AB347" s="106">
        <v>12705</v>
      </c>
      <c r="AC347" s="106">
        <v>2004</v>
      </c>
      <c r="AD347" s="106">
        <v>8829</v>
      </c>
      <c r="AE347" s="106">
        <v>14425</v>
      </c>
      <c r="AF347" s="106">
        <v>2242</v>
      </c>
      <c r="AG347" s="106">
        <v>19796</v>
      </c>
      <c r="AH347" s="106">
        <v>7381</v>
      </c>
      <c r="AI347" s="106">
        <v>323</v>
      </c>
      <c r="AJ347" s="106">
        <v>27321</v>
      </c>
      <c r="AK347" s="106">
        <v>42</v>
      </c>
      <c r="AL347" s="106">
        <v>137</v>
      </c>
      <c r="AM347" s="106">
        <v>981</v>
      </c>
      <c r="AN347" s="106">
        <v>26151</v>
      </c>
      <c r="AO347" s="106">
        <v>368</v>
      </c>
      <c r="AP347" s="107">
        <v>0.91729545790797495</v>
      </c>
      <c r="AQ347" s="107">
        <v>0.35662848912968897</v>
      </c>
      <c r="AR347" s="107">
        <v>1.5736651947009199</v>
      </c>
      <c r="AS347" s="107">
        <v>1.42555438225977</v>
      </c>
      <c r="AT347" s="107">
        <v>0.93371757925072096</v>
      </c>
      <c r="AU347" s="107">
        <v>0.92651084438829201</v>
      </c>
      <c r="AV347" s="107">
        <v>0.36036036036036001</v>
      </c>
      <c r="AW347" s="107">
        <v>0.70758344870019996</v>
      </c>
      <c r="AX347" s="107">
        <v>1.45409223099294</v>
      </c>
      <c r="AY347" s="107">
        <v>1.6025641025641</v>
      </c>
      <c r="AZ347" s="107">
        <v>0.92320291851245195</v>
      </c>
      <c r="BA347" s="107">
        <v>0</v>
      </c>
      <c r="BB347" s="107">
        <v>0</v>
      </c>
      <c r="BC347" s="107">
        <v>0.93071354705274001</v>
      </c>
      <c r="BD347" s="107">
        <v>0.921856159321638</v>
      </c>
      <c r="BE347" s="107">
        <v>0.55555555555555602</v>
      </c>
    </row>
    <row r="348" spans="2:57" ht="15" customHeight="1" x14ac:dyDescent="0.25">
      <c r="B348" s="91">
        <v>338</v>
      </c>
      <c r="C348" s="92" t="s">
        <v>504</v>
      </c>
      <c r="D348" s="92" t="s">
        <v>43</v>
      </c>
      <c r="E348" s="92" t="s">
        <v>506</v>
      </c>
      <c r="F348" s="92" t="s">
        <v>70</v>
      </c>
      <c r="G348" s="101" t="s">
        <v>501</v>
      </c>
      <c r="H348" s="94">
        <v>1295</v>
      </c>
      <c r="I348" s="94">
        <v>683</v>
      </c>
      <c r="J348" s="94">
        <v>612</v>
      </c>
      <c r="K348" s="94">
        <v>89</v>
      </c>
      <c r="L348" s="94">
        <v>493</v>
      </c>
      <c r="M348" s="94">
        <v>614</v>
      </c>
      <c r="N348" s="94">
        <v>99</v>
      </c>
      <c r="O348" s="94">
        <v>1292</v>
      </c>
      <c r="P348" s="94">
        <v>3</v>
      </c>
      <c r="Q348" s="95">
        <v>2.14455917394758</v>
      </c>
      <c r="R348" s="95">
        <v>1.20663650075415</v>
      </c>
      <c r="S348" s="95">
        <v>3.1879194630872498</v>
      </c>
      <c r="T348" s="95">
        <v>3.3707865168539302</v>
      </c>
      <c r="U348" s="95">
        <v>2.5316455696202498</v>
      </c>
      <c r="V348" s="95">
        <v>1.8363939899833099</v>
      </c>
      <c r="W348" s="95">
        <v>1.0309278350515501</v>
      </c>
      <c r="X348" s="95">
        <v>2.1496815286624198</v>
      </c>
      <c r="Y348" s="95">
        <v>0</v>
      </c>
      <c r="Z348" s="94">
        <v>1685</v>
      </c>
      <c r="AA348" s="94">
        <v>838</v>
      </c>
      <c r="AB348" s="94">
        <v>847</v>
      </c>
      <c r="AC348" s="94">
        <v>119</v>
      </c>
      <c r="AD348" s="94">
        <v>544</v>
      </c>
      <c r="AE348" s="94">
        <v>867</v>
      </c>
      <c r="AF348" s="94">
        <v>155</v>
      </c>
      <c r="AG348" s="94">
        <v>776</v>
      </c>
      <c r="AH348" s="94">
        <v>876</v>
      </c>
      <c r="AI348" s="94">
        <v>33</v>
      </c>
      <c r="AJ348" s="94">
        <v>1676</v>
      </c>
      <c r="AK348" s="94">
        <v>4</v>
      </c>
      <c r="AL348" s="94">
        <v>5</v>
      </c>
      <c r="AM348" s="94">
        <v>110</v>
      </c>
      <c r="AN348" s="94">
        <v>1565</v>
      </c>
      <c r="AO348" s="94">
        <v>10</v>
      </c>
      <c r="AP348" s="95">
        <v>6.3501849568433997</v>
      </c>
      <c r="AQ348" s="95">
        <v>3.2098765432098801</v>
      </c>
      <c r="AR348" s="95">
        <v>9.4827586206896495</v>
      </c>
      <c r="AS348" s="95">
        <v>9.0909090909090899</v>
      </c>
      <c r="AT348" s="95">
        <v>5.1428571428571397</v>
      </c>
      <c r="AU348" s="95">
        <v>7.3141486810551601</v>
      </c>
      <c r="AV348" s="95">
        <v>3.2679738562091498</v>
      </c>
      <c r="AW348" s="95">
        <v>6.1251664447403504</v>
      </c>
      <c r="AX348" s="95">
        <v>6.19785458879619</v>
      </c>
      <c r="AY348" s="95">
        <v>15.625</v>
      </c>
      <c r="AZ348" s="95">
        <v>6.3816604708798002</v>
      </c>
      <c r="BA348" s="95">
        <v>0</v>
      </c>
      <c r="BB348" s="95">
        <v>0</v>
      </c>
      <c r="BC348" s="95">
        <v>5.5555555555555598</v>
      </c>
      <c r="BD348" s="95">
        <v>6.4494680851063801</v>
      </c>
      <c r="BE348" s="95">
        <v>0</v>
      </c>
    </row>
    <row r="349" spans="2:57" ht="15" customHeight="1" x14ac:dyDescent="0.25">
      <c r="B349" s="91">
        <v>339</v>
      </c>
      <c r="C349" s="92" t="s">
        <v>504</v>
      </c>
      <c r="D349" s="92" t="s">
        <v>43</v>
      </c>
      <c r="E349" s="92" t="s">
        <v>506</v>
      </c>
      <c r="F349" s="92" t="s">
        <v>70</v>
      </c>
      <c r="G349" s="101" t="s">
        <v>502</v>
      </c>
      <c r="H349" s="94">
        <v>21802</v>
      </c>
      <c r="I349" s="94">
        <v>11991</v>
      </c>
      <c r="J349" s="94">
        <v>9811</v>
      </c>
      <c r="K349" s="94">
        <v>1837</v>
      </c>
      <c r="L349" s="94">
        <v>8632</v>
      </c>
      <c r="M349" s="94">
        <v>10020</v>
      </c>
      <c r="N349" s="94">
        <v>1313</v>
      </c>
      <c r="O349" s="94">
        <v>21784</v>
      </c>
      <c r="P349" s="94">
        <v>18</v>
      </c>
      <c r="Q349" s="95">
        <v>5.5829533823392598E-2</v>
      </c>
      <c r="R349" s="95">
        <v>5.0830227041680803E-2</v>
      </c>
      <c r="S349" s="95">
        <v>6.1919504643962897E-2</v>
      </c>
      <c r="T349" s="95">
        <v>0.111172873818788</v>
      </c>
      <c r="U349" s="95">
        <v>5.8706117177409901E-2</v>
      </c>
      <c r="V349" s="95">
        <v>5.0535678188801302E-2</v>
      </c>
      <c r="W349" s="95">
        <v>0</v>
      </c>
      <c r="X349" s="95">
        <v>5.5876327062767697E-2</v>
      </c>
      <c r="Y349" s="95">
        <v>0</v>
      </c>
      <c r="Z349" s="94">
        <v>25815</v>
      </c>
      <c r="AA349" s="94">
        <v>13957</v>
      </c>
      <c r="AB349" s="94">
        <v>11858</v>
      </c>
      <c r="AC349" s="94">
        <v>1885</v>
      </c>
      <c r="AD349" s="94">
        <v>8285</v>
      </c>
      <c r="AE349" s="94">
        <v>13558</v>
      </c>
      <c r="AF349" s="94">
        <v>2087</v>
      </c>
      <c r="AG349" s="94">
        <v>19020</v>
      </c>
      <c r="AH349" s="94">
        <v>6505</v>
      </c>
      <c r="AI349" s="94">
        <v>290</v>
      </c>
      <c r="AJ349" s="94">
        <v>25645</v>
      </c>
      <c r="AK349" s="94">
        <v>38</v>
      </c>
      <c r="AL349" s="94">
        <v>132</v>
      </c>
      <c r="AM349" s="94">
        <v>871</v>
      </c>
      <c r="AN349" s="94">
        <v>24586</v>
      </c>
      <c r="AO349" s="94">
        <v>358</v>
      </c>
      <c r="AP349" s="95">
        <v>0.57055166443692495</v>
      </c>
      <c r="AQ349" s="95">
        <v>0.18880255609614399</v>
      </c>
      <c r="AR349" s="95">
        <v>1.0220733487932701</v>
      </c>
      <c r="AS349" s="95">
        <v>0.952914798206278</v>
      </c>
      <c r="AT349" s="95">
        <v>0.66257668711656403</v>
      </c>
      <c r="AU349" s="95">
        <v>0.52933721016923896</v>
      </c>
      <c r="AV349" s="95">
        <v>0.145137880986938</v>
      </c>
      <c r="AW349" s="95">
        <v>0.49061433447099001</v>
      </c>
      <c r="AX349" s="95">
        <v>0.83046067063616402</v>
      </c>
      <c r="AY349" s="95">
        <v>0</v>
      </c>
      <c r="AZ349" s="95">
        <v>0.57428016951166405</v>
      </c>
      <c r="BA349" s="95">
        <v>0</v>
      </c>
      <c r="BB349" s="95">
        <v>0</v>
      </c>
      <c r="BC349" s="95">
        <v>0.34924330616996502</v>
      </c>
      <c r="BD349" s="95">
        <v>0.57839289403015903</v>
      </c>
      <c r="BE349" s="95">
        <v>0.57142857142857095</v>
      </c>
    </row>
    <row r="350" spans="2:57" ht="15" customHeight="1" x14ac:dyDescent="0.25">
      <c r="B350" s="86">
        <v>340</v>
      </c>
      <c r="C350" s="87" t="s">
        <v>503</v>
      </c>
      <c r="D350" s="103" t="s">
        <v>43</v>
      </c>
      <c r="E350" s="103" t="s">
        <v>358</v>
      </c>
      <c r="F350" s="103"/>
      <c r="G350" s="88" t="s">
        <v>358</v>
      </c>
      <c r="H350" s="89">
        <v>40701</v>
      </c>
      <c r="I350" s="89">
        <v>21641</v>
      </c>
      <c r="J350" s="89">
        <v>19060</v>
      </c>
      <c r="K350" s="89">
        <v>2502</v>
      </c>
      <c r="L350" s="89">
        <v>9662</v>
      </c>
      <c r="M350" s="89">
        <v>20116</v>
      </c>
      <c r="N350" s="89">
        <v>8421</v>
      </c>
      <c r="O350" s="89">
        <v>40686</v>
      </c>
      <c r="P350" s="89">
        <v>15</v>
      </c>
      <c r="Q350" s="90">
        <v>0.20807865373111001</v>
      </c>
      <c r="R350" s="90">
        <v>0.21185396856678301</v>
      </c>
      <c r="S350" s="90">
        <v>0.20385674931129499</v>
      </c>
      <c r="T350" s="90">
        <v>0.22351363433169399</v>
      </c>
      <c r="U350" s="90">
        <v>0.35571365051133802</v>
      </c>
      <c r="V350" s="90">
        <v>0.19347416858397801</v>
      </c>
      <c r="W350" s="90">
        <v>7.4165636588380698E-2</v>
      </c>
      <c r="X350" s="90">
        <v>0.208154450602347</v>
      </c>
      <c r="Y350" s="90">
        <v>0</v>
      </c>
      <c r="Z350" s="89">
        <v>68633</v>
      </c>
      <c r="AA350" s="89">
        <v>34675</v>
      </c>
      <c r="AB350" s="89">
        <v>33958</v>
      </c>
      <c r="AC350" s="89">
        <v>3569</v>
      </c>
      <c r="AD350" s="89">
        <v>16218</v>
      </c>
      <c r="AE350" s="89">
        <v>35256</v>
      </c>
      <c r="AF350" s="89">
        <v>13590</v>
      </c>
      <c r="AG350" s="89">
        <v>60321</v>
      </c>
      <c r="AH350" s="89">
        <v>7948</v>
      </c>
      <c r="AI350" s="89">
        <v>364</v>
      </c>
      <c r="AJ350" s="89">
        <v>68260</v>
      </c>
      <c r="AK350" s="89">
        <v>164</v>
      </c>
      <c r="AL350" s="89">
        <v>209</v>
      </c>
      <c r="AM350" s="89">
        <v>4602</v>
      </c>
      <c r="AN350" s="89">
        <v>63268</v>
      </c>
      <c r="AO350" s="89">
        <v>763</v>
      </c>
      <c r="AP350" s="90">
        <v>2.1431293346543701</v>
      </c>
      <c r="AQ350" s="90">
        <v>0.89563040921564496</v>
      </c>
      <c r="AR350" s="90">
        <v>3.41819750955493</v>
      </c>
      <c r="AS350" s="90">
        <v>2.65354800238521</v>
      </c>
      <c r="AT350" s="90">
        <v>3.1339963360376899</v>
      </c>
      <c r="AU350" s="90">
        <v>2.1061973080905201</v>
      </c>
      <c r="AV350" s="90">
        <v>0.95730132198754003</v>
      </c>
      <c r="AW350" s="90">
        <v>1.89877799702288</v>
      </c>
      <c r="AX350" s="90">
        <v>4.0571199786467398</v>
      </c>
      <c r="AY350" s="90">
        <v>1.4792899408283999</v>
      </c>
      <c r="AZ350" s="90">
        <v>2.1392668873360301</v>
      </c>
      <c r="BA350" s="90">
        <v>4.6357615894039697</v>
      </c>
      <c r="BB350" s="90">
        <v>1.51515151515152</v>
      </c>
      <c r="BC350" s="90">
        <v>1.82022471910112</v>
      </c>
      <c r="BD350" s="90">
        <v>2.17240238252813</v>
      </c>
      <c r="BE350" s="90">
        <v>1.6783216783216801</v>
      </c>
    </row>
    <row r="351" spans="2:57" ht="15" customHeight="1" x14ac:dyDescent="0.25">
      <c r="B351" s="91">
        <v>341</v>
      </c>
      <c r="C351" s="92" t="s">
        <v>503</v>
      </c>
      <c r="D351" s="92" t="s">
        <v>43</v>
      </c>
      <c r="E351" s="92" t="s">
        <v>358</v>
      </c>
      <c r="F351" s="92"/>
      <c r="G351" s="93" t="s">
        <v>501</v>
      </c>
      <c r="H351" s="94">
        <v>1140</v>
      </c>
      <c r="I351" s="94">
        <v>582</v>
      </c>
      <c r="J351" s="94">
        <v>558</v>
      </c>
      <c r="K351" s="94">
        <v>57</v>
      </c>
      <c r="L351" s="94">
        <v>278</v>
      </c>
      <c r="M351" s="94">
        <v>634</v>
      </c>
      <c r="N351" s="94">
        <v>171</v>
      </c>
      <c r="O351" s="94">
        <v>1140</v>
      </c>
      <c r="P351" s="94">
        <v>0</v>
      </c>
      <c r="Q351" s="95">
        <v>0.54794520547945202</v>
      </c>
      <c r="R351" s="95">
        <v>0.54054054054054101</v>
      </c>
      <c r="S351" s="95">
        <v>0.55555555555555602</v>
      </c>
      <c r="T351" s="95">
        <v>0</v>
      </c>
      <c r="U351" s="95">
        <v>1.4925373134328399</v>
      </c>
      <c r="V351" s="95">
        <v>0.32786885245901598</v>
      </c>
      <c r="W351" s="95">
        <v>0</v>
      </c>
      <c r="X351" s="95">
        <v>0.54794520547945202</v>
      </c>
      <c r="Y351" s="95">
        <v>0</v>
      </c>
      <c r="Z351" s="94">
        <v>15658</v>
      </c>
      <c r="AA351" s="94">
        <v>8219</v>
      </c>
      <c r="AB351" s="94">
        <v>7439</v>
      </c>
      <c r="AC351" s="94">
        <v>689</v>
      </c>
      <c r="AD351" s="94">
        <v>4434</v>
      </c>
      <c r="AE351" s="94">
        <v>9018</v>
      </c>
      <c r="AF351" s="94">
        <v>1517</v>
      </c>
      <c r="AG351" s="94">
        <v>11985</v>
      </c>
      <c r="AH351" s="94">
        <v>3586</v>
      </c>
      <c r="AI351" s="94">
        <v>87</v>
      </c>
      <c r="AJ351" s="94">
        <v>15562</v>
      </c>
      <c r="AK351" s="94">
        <v>59</v>
      </c>
      <c r="AL351" s="94">
        <v>37</v>
      </c>
      <c r="AM351" s="94">
        <v>736</v>
      </c>
      <c r="AN351" s="94">
        <v>14806</v>
      </c>
      <c r="AO351" s="94">
        <v>116</v>
      </c>
      <c r="AP351" s="95">
        <v>4.9044671689989201</v>
      </c>
      <c r="AQ351" s="95">
        <v>1.83098591549296</v>
      </c>
      <c r="AR351" s="95">
        <v>8.3073433512900507</v>
      </c>
      <c r="AS351" s="95">
        <v>8.2942097026604102</v>
      </c>
      <c r="AT351" s="95">
        <v>6.4189189189189202</v>
      </c>
      <c r="AU351" s="95">
        <v>4.2043085476025004</v>
      </c>
      <c r="AV351" s="95">
        <v>3.2480995162405</v>
      </c>
      <c r="AW351" s="95">
        <v>4.5518207282913199</v>
      </c>
      <c r="AX351" s="95">
        <v>6.1236623067776499</v>
      </c>
      <c r="AY351" s="95">
        <v>3.9473684210526301</v>
      </c>
      <c r="AZ351" s="95">
        <v>4.9262417106509702</v>
      </c>
      <c r="BA351" s="95">
        <v>1.8518518518518501</v>
      </c>
      <c r="BB351" s="95">
        <v>0</v>
      </c>
      <c r="BC351" s="95">
        <v>5.5084745762711904</v>
      </c>
      <c r="BD351" s="95">
        <v>4.87544483985765</v>
      </c>
      <c r="BE351" s="95">
        <v>4.7169811320754702</v>
      </c>
    </row>
    <row r="352" spans="2:57" ht="15" customHeight="1" x14ac:dyDescent="0.25">
      <c r="B352" s="91">
        <v>342</v>
      </c>
      <c r="C352" s="92" t="s">
        <v>503</v>
      </c>
      <c r="D352" s="92" t="s">
        <v>43</v>
      </c>
      <c r="E352" s="92" t="s">
        <v>358</v>
      </c>
      <c r="F352" s="92"/>
      <c r="G352" s="93" t="s">
        <v>502</v>
      </c>
      <c r="H352" s="94">
        <v>39561</v>
      </c>
      <c r="I352" s="94">
        <v>21059</v>
      </c>
      <c r="J352" s="94">
        <v>18502</v>
      </c>
      <c r="K352" s="94">
        <v>2445</v>
      </c>
      <c r="L352" s="94">
        <v>9384</v>
      </c>
      <c r="M352" s="94">
        <v>19482</v>
      </c>
      <c r="N352" s="94">
        <v>8250</v>
      </c>
      <c r="O352" s="94">
        <v>39546</v>
      </c>
      <c r="P352" s="94">
        <v>15</v>
      </c>
      <c r="Q352" s="95">
        <v>0.19811522810023599</v>
      </c>
      <c r="R352" s="95">
        <v>0.202613716948637</v>
      </c>
      <c r="S352" s="95">
        <v>0.19307211811470801</v>
      </c>
      <c r="T352" s="95">
        <v>0.22862368541380901</v>
      </c>
      <c r="U352" s="95">
        <v>0.32080659945004603</v>
      </c>
      <c r="V352" s="95">
        <v>0.18904612725504999</v>
      </c>
      <c r="W352" s="95">
        <v>7.5728890571753096E-2</v>
      </c>
      <c r="X352" s="95">
        <v>0.19818951202528301</v>
      </c>
      <c r="Y352" s="95">
        <v>0</v>
      </c>
      <c r="Z352" s="94">
        <v>52975</v>
      </c>
      <c r="AA352" s="94">
        <v>26456</v>
      </c>
      <c r="AB352" s="94">
        <v>26519</v>
      </c>
      <c r="AC352" s="94">
        <v>2880</v>
      </c>
      <c r="AD352" s="94">
        <v>11784</v>
      </c>
      <c r="AE352" s="94">
        <v>26238</v>
      </c>
      <c r="AF352" s="94">
        <v>12073</v>
      </c>
      <c r="AG352" s="94">
        <v>48336</v>
      </c>
      <c r="AH352" s="94">
        <v>4362</v>
      </c>
      <c r="AI352" s="94">
        <v>277</v>
      </c>
      <c r="AJ352" s="94">
        <v>52698</v>
      </c>
      <c r="AK352" s="94">
        <v>105</v>
      </c>
      <c r="AL352" s="94">
        <v>172</v>
      </c>
      <c r="AM352" s="94">
        <v>3866</v>
      </c>
      <c r="AN352" s="94">
        <v>48462</v>
      </c>
      <c r="AO352" s="94">
        <v>647</v>
      </c>
      <c r="AP352" s="95">
        <v>1.3342267594253201</v>
      </c>
      <c r="AQ352" s="95">
        <v>0.60747110567630502</v>
      </c>
      <c r="AR352" s="95">
        <v>2.05986608901142</v>
      </c>
      <c r="AS352" s="95">
        <v>1.3259668508287299</v>
      </c>
      <c r="AT352" s="95">
        <v>1.9120287253141801</v>
      </c>
      <c r="AU352" s="95">
        <v>1.3865162289936801</v>
      </c>
      <c r="AV352" s="95">
        <v>0.67434912505334998</v>
      </c>
      <c r="AW352" s="95">
        <v>1.2448759439050701</v>
      </c>
      <c r="AX352" s="95">
        <v>2.3734560426253299</v>
      </c>
      <c r="AY352" s="95">
        <v>0.76335877862595403</v>
      </c>
      <c r="AZ352" s="95">
        <v>1.32334878560957</v>
      </c>
      <c r="BA352" s="95">
        <v>6.1855670103092804</v>
      </c>
      <c r="BB352" s="95">
        <v>1.80722891566265</v>
      </c>
      <c r="BC352" s="95">
        <v>1.1223944414751501</v>
      </c>
      <c r="BD352" s="95">
        <v>1.35374003017892</v>
      </c>
      <c r="BE352" s="95">
        <v>1.14942528735632</v>
      </c>
    </row>
    <row r="353" spans="2:57" ht="15" customHeight="1" x14ac:dyDescent="0.25">
      <c r="B353" s="96">
        <v>343</v>
      </c>
      <c r="C353" s="97" t="s">
        <v>504</v>
      </c>
      <c r="D353" s="104" t="s">
        <v>43</v>
      </c>
      <c r="E353" s="104" t="s">
        <v>358</v>
      </c>
      <c r="F353" s="104" t="s">
        <v>255</v>
      </c>
      <c r="G353" s="105" t="s">
        <v>255</v>
      </c>
      <c r="H353" s="106">
        <v>15241</v>
      </c>
      <c r="I353" s="106">
        <v>7995</v>
      </c>
      <c r="J353" s="106">
        <v>7246</v>
      </c>
      <c r="K353" s="106">
        <v>1030</v>
      </c>
      <c r="L353" s="106">
        <v>3812</v>
      </c>
      <c r="M353" s="106">
        <v>7410</v>
      </c>
      <c r="N353" s="106">
        <v>2989</v>
      </c>
      <c r="O353" s="106">
        <v>15238</v>
      </c>
      <c r="P353" s="106">
        <v>3</v>
      </c>
      <c r="Q353" s="107">
        <v>0.23210015473343601</v>
      </c>
      <c r="R353" s="107">
        <v>0.230321094702615</v>
      </c>
      <c r="S353" s="107">
        <v>0.23402076934327901</v>
      </c>
      <c r="T353" s="107">
        <v>0.22172949002217299</v>
      </c>
      <c r="U353" s="107">
        <v>0.37164093767867401</v>
      </c>
      <c r="V353" s="107">
        <v>0.22942357327215401</v>
      </c>
      <c r="W353" s="107">
        <v>7.0323488045007002E-2</v>
      </c>
      <c r="X353" s="107">
        <v>0.232132808103545</v>
      </c>
      <c r="Y353" s="107">
        <v>0</v>
      </c>
      <c r="Z353" s="106">
        <v>28688</v>
      </c>
      <c r="AA353" s="106">
        <v>14555</v>
      </c>
      <c r="AB353" s="106">
        <v>14133</v>
      </c>
      <c r="AC353" s="106">
        <v>1589</v>
      </c>
      <c r="AD353" s="106">
        <v>7087</v>
      </c>
      <c r="AE353" s="106">
        <v>14758</v>
      </c>
      <c r="AF353" s="106">
        <v>5254</v>
      </c>
      <c r="AG353" s="106">
        <v>25242</v>
      </c>
      <c r="AH353" s="106">
        <v>3250</v>
      </c>
      <c r="AI353" s="106">
        <v>196</v>
      </c>
      <c r="AJ353" s="106">
        <v>28527</v>
      </c>
      <c r="AK353" s="106">
        <v>51</v>
      </c>
      <c r="AL353" s="106">
        <v>110</v>
      </c>
      <c r="AM353" s="106">
        <v>1727</v>
      </c>
      <c r="AN353" s="106">
        <v>26603</v>
      </c>
      <c r="AO353" s="106">
        <v>358</v>
      </c>
      <c r="AP353" s="107">
        <v>2.2219789842381799</v>
      </c>
      <c r="AQ353" s="107">
        <v>0.89915120126600501</v>
      </c>
      <c r="AR353" s="107">
        <v>3.5835924774174401</v>
      </c>
      <c r="AS353" s="107">
        <v>2.5554808338937498</v>
      </c>
      <c r="AT353" s="107">
        <v>3.0416541804015602</v>
      </c>
      <c r="AU353" s="107">
        <v>2.2560113154172599</v>
      </c>
      <c r="AV353" s="107">
        <v>0.959467397689446</v>
      </c>
      <c r="AW353" s="107">
        <v>2.05204584005627</v>
      </c>
      <c r="AX353" s="107">
        <v>3.6286368094148398</v>
      </c>
      <c r="AY353" s="107">
        <v>1.1235955056179801</v>
      </c>
      <c r="AZ353" s="107">
        <v>2.2194504567298901</v>
      </c>
      <c r="BA353" s="107">
        <v>4.2553191489361701</v>
      </c>
      <c r="BB353" s="107">
        <v>1.9607843137254899</v>
      </c>
      <c r="BC353" s="107">
        <v>2.3325358851674598</v>
      </c>
      <c r="BD353" s="107">
        <v>2.2287851939358099</v>
      </c>
      <c r="BE353" s="107">
        <v>1.17302052785924</v>
      </c>
    </row>
    <row r="354" spans="2:57" ht="15" customHeight="1" x14ac:dyDescent="0.25">
      <c r="B354" s="91">
        <v>344</v>
      </c>
      <c r="C354" s="92" t="s">
        <v>504</v>
      </c>
      <c r="D354" s="92" t="s">
        <v>43</v>
      </c>
      <c r="E354" s="92" t="s">
        <v>358</v>
      </c>
      <c r="F354" s="92" t="s">
        <v>255</v>
      </c>
      <c r="G354" s="101" t="s">
        <v>501</v>
      </c>
      <c r="H354" s="94">
        <v>0</v>
      </c>
      <c r="I354" s="94">
        <v>0</v>
      </c>
      <c r="J354" s="94">
        <v>0</v>
      </c>
      <c r="K354" s="94">
        <v>0</v>
      </c>
      <c r="L354" s="94">
        <v>0</v>
      </c>
      <c r="M354" s="94">
        <v>0</v>
      </c>
      <c r="N354" s="94">
        <v>0</v>
      </c>
      <c r="O354" s="94">
        <v>0</v>
      </c>
      <c r="P354" s="94">
        <v>0</v>
      </c>
      <c r="Q354" s="95">
        <v>0</v>
      </c>
      <c r="R354" s="95">
        <v>0</v>
      </c>
      <c r="S354" s="95">
        <v>0</v>
      </c>
      <c r="T354" s="95">
        <v>0</v>
      </c>
      <c r="U354" s="95">
        <v>0</v>
      </c>
      <c r="V354" s="95">
        <v>0</v>
      </c>
      <c r="W354" s="95">
        <v>0</v>
      </c>
      <c r="X354" s="95">
        <v>0</v>
      </c>
      <c r="Y354" s="95">
        <v>0</v>
      </c>
      <c r="Z354" s="94">
        <v>8305</v>
      </c>
      <c r="AA354" s="94">
        <v>4417</v>
      </c>
      <c r="AB354" s="94">
        <v>3888</v>
      </c>
      <c r="AC354" s="94">
        <v>415</v>
      </c>
      <c r="AD354" s="94">
        <v>2462</v>
      </c>
      <c r="AE354" s="94">
        <v>4662</v>
      </c>
      <c r="AF354" s="94">
        <v>766</v>
      </c>
      <c r="AG354" s="94">
        <v>6736</v>
      </c>
      <c r="AH354" s="94">
        <v>1513</v>
      </c>
      <c r="AI354" s="94">
        <v>56</v>
      </c>
      <c r="AJ354" s="94">
        <v>8253</v>
      </c>
      <c r="AK354" s="94">
        <v>21</v>
      </c>
      <c r="AL354" s="94">
        <v>31</v>
      </c>
      <c r="AM354" s="94">
        <v>361</v>
      </c>
      <c r="AN354" s="94">
        <v>7879</v>
      </c>
      <c r="AO354" s="94">
        <v>65</v>
      </c>
      <c r="AP354" s="95">
        <v>3.97965670692943</v>
      </c>
      <c r="AQ354" s="95">
        <v>1.38358778625954</v>
      </c>
      <c r="AR354" s="95">
        <v>6.9425537707596003</v>
      </c>
      <c r="AS354" s="95">
        <v>5.95854922279793</v>
      </c>
      <c r="AT354" s="95">
        <v>5.0240279598077802</v>
      </c>
      <c r="AU354" s="95">
        <v>3.5272972365760502</v>
      </c>
      <c r="AV354" s="95">
        <v>2.43572395128552</v>
      </c>
      <c r="AW354" s="95">
        <v>3.7019681349578302</v>
      </c>
      <c r="AX354" s="95">
        <v>5.2966101694915304</v>
      </c>
      <c r="AY354" s="95">
        <v>2.12765957446809</v>
      </c>
      <c r="AZ354" s="95">
        <v>3.9897698209718699</v>
      </c>
      <c r="BA354" s="95">
        <v>5.2631578947368398</v>
      </c>
      <c r="BB354" s="95">
        <v>0</v>
      </c>
      <c r="BC354" s="95">
        <v>5.1575931232091703</v>
      </c>
      <c r="BD354" s="95">
        <v>3.9426042644495101</v>
      </c>
      <c r="BE354" s="95">
        <v>1.6949152542372901</v>
      </c>
    </row>
    <row r="355" spans="2:57" ht="15" customHeight="1" x14ac:dyDescent="0.25">
      <c r="B355" s="91">
        <v>345</v>
      </c>
      <c r="C355" s="92" t="s">
        <v>504</v>
      </c>
      <c r="D355" s="92" t="s">
        <v>43</v>
      </c>
      <c r="E355" s="92" t="s">
        <v>358</v>
      </c>
      <c r="F355" s="92" t="s">
        <v>255</v>
      </c>
      <c r="G355" s="101" t="s">
        <v>502</v>
      </c>
      <c r="H355" s="94">
        <v>15241</v>
      </c>
      <c r="I355" s="94">
        <v>7995</v>
      </c>
      <c r="J355" s="94">
        <v>7246</v>
      </c>
      <c r="K355" s="94">
        <v>1030</v>
      </c>
      <c r="L355" s="94">
        <v>3812</v>
      </c>
      <c r="M355" s="94">
        <v>7410</v>
      </c>
      <c r="N355" s="94">
        <v>2989</v>
      </c>
      <c r="O355" s="94">
        <v>15238</v>
      </c>
      <c r="P355" s="94">
        <v>3</v>
      </c>
      <c r="Q355" s="95">
        <v>0.23210015473343601</v>
      </c>
      <c r="R355" s="95">
        <v>0.230321094702615</v>
      </c>
      <c r="S355" s="95">
        <v>0.23402076934327901</v>
      </c>
      <c r="T355" s="95">
        <v>0.22172949002217299</v>
      </c>
      <c r="U355" s="95">
        <v>0.37164093767867401</v>
      </c>
      <c r="V355" s="95">
        <v>0.22942357327215401</v>
      </c>
      <c r="W355" s="95">
        <v>7.0323488045007002E-2</v>
      </c>
      <c r="X355" s="95">
        <v>0.232132808103545</v>
      </c>
      <c r="Y355" s="95">
        <v>0</v>
      </c>
      <c r="Z355" s="94">
        <v>20383</v>
      </c>
      <c r="AA355" s="94">
        <v>10138</v>
      </c>
      <c r="AB355" s="94">
        <v>10245</v>
      </c>
      <c r="AC355" s="94">
        <v>1174</v>
      </c>
      <c r="AD355" s="94">
        <v>4625</v>
      </c>
      <c r="AE355" s="94">
        <v>10096</v>
      </c>
      <c r="AF355" s="94">
        <v>4488</v>
      </c>
      <c r="AG355" s="94">
        <v>18506</v>
      </c>
      <c r="AH355" s="94">
        <v>1737</v>
      </c>
      <c r="AI355" s="94">
        <v>140</v>
      </c>
      <c r="AJ355" s="94">
        <v>20274</v>
      </c>
      <c r="AK355" s="94">
        <v>30</v>
      </c>
      <c r="AL355" s="94">
        <v>79</v>
      </c>
      <c r="AM355" s="94">
        <v>1366</v>
      </c>
      <c r="AN355" s="94">
        <v>18724</v>
      </c>
      <c r="AO355" s="94">
        <v>293</v>
      </c>
      <c r="AP355" s="95">
        <v>1.5146088113391001</v>
      </c>
      <c r="AQ355" s="95">
        <v>0.69001029866117403</v>
      </c>
      <c r="AR355" s="95">
        <v>2.3288925048306699</v>
      </c>
      <c r="AS355" s="95">
        <v>1.3623978201634901</v>
      </c>
      <c r="AT355" s="95">
        <v>2.0068415051311299</v>
      </c>
      <c r="AU355" s="95">
        <v>1.6719991743214</v>
      </c>
      <c r="AV355" s="95">
        <v>0.70970695970695996</v>
      </c>
      <c r="AW355" s="95">
        <v>1.4575946873768899</v>
      </c>
      <c r="AX355" s="95">
        <v>2.1911138161899002</v>
      </c>
      <c r="AY355" s="95">
        <v>0.76335877862595403</v>
      </c>
      <c r="AZ355" s="95">
        <v>1.5072791810278301</v>
      </c>
      <c r="BA355" s="95">
        <v>3.5714285714285698</v>
      </c>
      <c r="BB355" s="95">
        <v>2.6315789473684199</v>
      </c>
      <c r="BC355" s="95">
        <v>1.5873015873015901</v>
      </c>
      <c r="BD355" s="95">
        <v>1.5163340394692799</v>
      </c>
      <c r="BE355" s="95">
        <v>1.0638297872340401</v>
      </c>
    </row>
    <row r="356" spans="2:57" ht="15" customHeight="1" x14ac:dyDescent="0.25">
      <c r="B356" s="96">
        <v>346</v>
      </c>
      <c r="C356" s="97" t="s">
        <v>504</v>
      </c>
      <c r="D356" s="104" t="s">
        <v>43</v>
      </c>
      <c r="E356" s="104" t="s">
        <v>358</v>
      </c>
      <c r="F356" s="104" t="s">
        <v>267</v>
      </c>
      <c r="G356" s="105" t="s">
        <v>267</v>
      </c>
      <c r="H356" s="106">
        <v>12977</v>
      </c>
      <c r="I356" s="106">
        <v>7094</v>
      </c>
      <c r="J356" s="106">
        <v>5883</v>
      </c>
      <c r="K356" s="106">
        <v>841</v>
      </c>
      <c r="L356" s="106">
        <v>3308</v>
      </c>
      <c r="M356" s="106">
        <v>6430</v>
      </c>
      <c r="N356" s="106">
        <v>2398</v>
      </c>
      <c r="O356" s="106">
        <v>12967</v>
      </c>
      <c r="P356" s="106">
        <v>10</v>
      </c>
      <c r="Q356" s="107">
        <v>0.195902375316301</v>
      </c>
      <c r="R356" s="107">
        <v>0.19572417946401699</v>
      </c>
      <c r="S356" s="107">
        <v>0.19611338919593499</v>
      </c>
      <c r="T356" s="107">
        <v>0.13157894736842099</v>
      </c>
      <c r="U356" s="107">
        <v>0.32530904359141199</v>
      </c>
      <c r="V356" s="107">
        <v>0.179826712440739</v>
      </c>
      <c r="W356" s="107">
        <v>8.6956521739130405E-2</v>
      </c>
      <c r="X356" s="107">
        <v>0.196062413201536</v>
      </c>
      <c r="Y356" s="107">
        <v>0</v>
      </c>
      <c r="Z356" s="106">
        <v>22347</v>
      </c>
      <c r="AA356" s="106">
        <v>11398</v>
      </c>
      <c r="AB356" s="106">
        <v>10949</v>
      </c>
      <c r="AC356" s="106">
        <v>1175</v>
      </c>
      <c r="AD356" s="106">
        <v>5468</v>
      </c>
      <c r="AE356" s="106">
        <v>11852</v>
      </c>
      <c r="AF356" s="106">
        <v>3852</v>
      </c>
      <c r="AG356" s="106">
        <v>18929</v>
      </c>
      <c r="AH356" s="106">
        <v>3347</v>
      </c>
      <c r="AI356" s="106">
        <v>71</v>
      </c>
      <c r="AJ356" s="106">
        <v>22235</v>
      </c>
      <c r="AK356" s="106">
        <v>60</v>
      </c>
      <c r="AL356" s="106">
        <v>52</v>
      </c>
      <c r="AM356" s="106">
        <v>1436</v>
      </c>
      <c r="AN356" s="106">
        <v>20727</v>
      </c>
      <c r="AO356" s="106">
        <v>184</v>
      </c>
      <c r="AP356" s="107">
        <v>2.3744975226699099</v>
      </c>
      <c r="AQ356" s="107">
        <v>0.98111131487254699</v>
      </c>
      <c r="AR356" s="107">
        <v>3.8234172387490499</v>
      </c>
      <c r="AS356" s="107">
        <v>2.8776978417266199</v>
      </c>
      <c r="AT356" s="107">
        <v>3.5203094777562902</v>
      </c>
      <c r="AU356" s="107">
        <v>2.2739244951712001</v>
      </c>
      <c r="AV356" s="107">
        <v>0.94035464803868896</v>
      </c>
      <c r="AW356" s="107">
        <v>1.9042377545404501</v>
      </c>
      <c r="AX356" s="107">
        <v>5.0697084917617197</v>
      </c>
      <c r="AY356" s="107">
        <v>2.9411764705882399</v>
      </c>
      <c r="AZ356" s="107">
        <v>2.3866572703781999</v>
      </c>
      <c r="BA356" s="107">
        <v>0</v>
      </c>
      <c r="BB356" s="107">
        <v>0</v>
      </c>
      <c r="BC356" s="107">
        <v>1.58387329013679</v>
      </c>
      <c r="BD356" s="107">
        <v>2.4296804113317898</v>
      </c>
      <c r="BE356" s="107">
        <v>2.39520958083832</v>
      </c>
    </row>
    <row r="357" spans="2:57" ht="15" customHeight="1" x14ac:dyDescent="0.25">
      <c r="B357" s="91">
        <v>347</v>
      </c>
      <c r="C357" s="92" t="s">
        <v>504</v>
      </c>
      <c r="D357" s="92" t="s">
        <v>43</v>
      </c>
      <c r="E357" s="92" t="s">
        <v>358</v>
      </c>
      <c r="F357" s="92" t="s">
        <v>267</v>
      </c>
      <c r="G357" s="101" t="s">
        <v>501</v>
      </c>
      <c r="H357" s="94">
        <v>0</v>
      </c>
      <c r="I357" s="94">
        <v>0</v>
      </c>
      <c r="J357" s="94">
        <v>0</v>
      </c>
      <c r="K357" s="94">
        <v>0</v>
      </c>
      <c r="L357" s="94">
        <v>0</v>
      </c>
      <c r="M357" s="94">
        <v>0</v>
      </c>
      <c r="N357" s="94">
        <v>0</v>
      </c>
      <c r="O357" s="94">
        <v>0</v>
      </c>
      <c r="P357" s="94">
        <v>0</v>
      </c>
      <c r="Q357" s="95">
        <v>0</v>
      </c>
      <c r="R357" s="95">
        <v>0</v>
      </c>
      <c r="S357" s="95">
        <v>0</v>
      </c>
      <c r="T357" s="95">
        <v>0</v>
      </c>
      <c r="U357" s="95">
        <v>0</v>
      </c>
      <c r="V357" s="95">
        <v>0</v>
      </c>
      <c r="W357" s="95">
        <v>0</v>
      </c>
      <c r="X357" s="95">
        <v>0</v>
      </c>
      <c r="Y357" s="95">
        <v>0</v>
      </c>
      <c r="Z357" s="94">
        <v>5673</v>
      </c>
      <c r="AA357" s="94">
        <v>2993</v>
      </c>
      <c r="AB357" s="94">
        <v>2680</v>
      </c>
      <c r="AC357" s="94">
        <v>209</v>
      </c>
      <c r="AD357" s="94">
        <v>1554</v>
      </c>
      <c r="AE357" s="94">
        <v>3440</v>
      </c>
      <c r="AF357" s="94">
        <v>470</v>
      </c>
      <c r="AG357" s="94">
        <v>3755</v>
      </c>
      <c r="AH357" s="94">
        <v>1892</v>
      </c>
      <c r="AI357" s="94">
        <v>26</v>
      </c>
      <c r="AJ357" s="94">
        <v>5644</v>
      </c>
      <c r="AK357" s="94">
        <v>24</v>
      </c>
      <c r="AL357" s="94">
        <v>5</v>
      </c>
      <c r="AM357" s="94">
        <v>294</v>
      </c>
      <c r="AN357" s="94">
        <v>5343</v>
      </c>
      <c r="AO357" s="94">
        <v>36</v>
      </c>
      <c r="AP357" s="95">
        <v>6.0577991848832902</v>
      </c>
      <c r="AQ357" s="95">
        <v>2.2831050228310499</v>
      </c>
      <c r="AR357" s="95">
        <v>10.270482163857301</v>
      </c>
      <c r="AS357" s="95">
        <v>11.917098445595901</v>
      </c>
      <c r="AT357" s="95">
        <v>8.1967213114754092</v>
      </c>
      <c r="AU357" s="95">
        <v>4.9712033949681702</v>
      </c>
      <c r="AV357" s="95">
        <v>4.5248868778280498</v>
      </c>
      <c r="AW357" s="95">
        <v>5.6204785754034496</v>
      </c>
      <c r="AX357" s="95">
        <v>6.9101123595505598</v>
      </c>
      <c r="AY357" s="95">
        <v>8.3333333333333304</v>
      </c>
      <c r="AZ357" s="95">
        <v>6.0893854748603404</v>
      </c>
      <c r="BA357" s="95">
        <v>0</v>
      </c>
      <c r="BB357" s="95">
        <v>0</v>
      </c>
      <c r="BC357" s="95">
        <v>5.7347670250896101</v>
      </c>
      <c r="BD357" s="95">
        <v>6.0570304818092398</v>
      </c>
      <c r="BE357" s="95">
        <v>8.8235294117647101</v>
      </c>
    </row>
    <row r="358" spans="2:57" ht="15" customHeight="1" x14ac:dyDescent="0.25">
      <c r="B358" s="91">
        <v>348</v>
      </c>
      <c r="C358" s="92" t="s">
        <v>504</v>
      </c>
      <c r="D358" s="92" t="s">
        <v>43</v>
      </c>
      <c r="E358" s="92" t="s">
        <v>358</v>
      </c>
      <c r="F358" s="92" t="s">
        <v>267</v>
      </c>
      <c r="G358" s="101" t="s">
        <v>502</v>
      </c>
      <c r="H358" s="94">
        <v>12977</v>
      </c>
      <c r="I358" s="94">
        <v>7094</v>
      </c>
      <c r="J358" s="94">
        <v>5883</v>
      </c>
      <c r="K358" s="94">
        <v>841</v>
      </c>
      <c r="L358" s="94">
        <v>3308</v>
      </c>
      <c r="M358" s="94">
        <v>6430</v>
      </c>
      <c r="N358" s="94">
        <v>2398</v>
      </c>
      <c r="O358" s="94">
        <v>12967</v>
      </c>
      <c r="P358" s="94">
        <v>10</v>
      </c>
      <c r="Q358" s="95">
        <v>0.195902375316301</v>
      </c>
      <c r="R358" s="95">
        <v>0.19572417946401699</v>
      </c>
      <c r="S358" s="95">
        <v>0.19611338919593499</v>
      </c>
      <c r="T358" s="95">
        <v>0.13157894736842099</v>
      </c>
      <c r="U358" s="95">
        <v>0.32530904359141199</v>
      </c>
      <c r="V358" s="95">
        <v>0.179826712440739</v>
      </c>
      <c r="W358" s="95">
        <v>8.6956521739130405E-2</v>
      </c>
      <c r="X358" s="95">
        <v>0.196062413201536</v>
      </c>
      <c r="Y358" s="95">
        <v>0</v>
      </c>
      <c r="Z358" s="94">
        <v>16674</v>
      </c>
      <c r="AA358" s="94">
        <v>8405</v>
      </c>
      <c r="AB358" s="94">
        <v>8269</v>
      </c>
      <c r="AC358" s="94">
        <v>966</v>
      </c>
      <c r="AD358" s="94">
        <v>3914</v>
      </c>
      <c r="AE358" s="94">
        <v>8412</v>
      </c>
      <c r="AF358" s="94">
        <v>3382</v>
      </c>
      <c r="AG358" s="94">
        <v>15174</v>
      </c>
      <c r="AH358" s="94">
        <v>1455</v>
      </c>
      <c r="AI358" s="94">
        <v>45</v>
      </c>
      <c r="AJ358" s="94">
        <v>16591</v>
      </c>
      <c r="AK358" s="94">
        <v>36</v>
      </c>
      <c r="AL358" s="94">
        <v>47</v>
      </c>
      <c r="AM358" s="94">
        <v>1142</v>
      </c>
      <c r="AN358" s="94">
        <v>15384</v>
      </c>
      <c r="AO358" s="94">
        <v>148</v>
      </c>
      <c r="AP358" s="95">
        <v>1.13153288322081</v>
      </c>
      <c r="AQ358" s="95">
        <v>0.52115647102618201</v>
      </c>
      <c r="AR358" s="95">
        <v>1.75129141993196</v>
      </c>
      <c r="AS358" s="95">
        <v>0.97932535364526696</v>
      </c>
      <c r="AT358" s="95">
        <v>1.67296276308689</v>
      </c>
      <c r="AU358" s="95">
        <v>1.1741441107403301</v>
      </c>
      <c r="AV358" s="95">
        <v>0.457317073170732</v>
      </c>
      <c r="AW358" s="95">
        <v>0.98792535675082305</v>
      </c>
      <c r="AX358" s="95">
        <v>2.68895348837209</v>
      </c>
      <c r="AY358" s="95">
        <v>0</v>
      </c>
      <c r="AZ358" s="95">
        <v>1.1372918630223099</v>
      </c>
      <c r="BA358" s="95">
        <v>0</v>
      </c>
      <c r="BB358" s="95">
        <v>0</v>
      </c>
      <c r="BC358" s="95">
        <v>0.54054054054054101</v>
      </c>
      <c r="BD358" s="95">
        <v>1.1794211346844701</v>
      </c>
      <c r="BE358" s="95">
        <v>0.75187969924812004</v>
      </c>
    </row>
    <row r="359" spans="2:57" ht="15" customHeight="1" x14ac:dyDescent="0.25">
      <c r="B359" s="96">
        <v>349</v>
      </c>
      <c r="C359" s="97" t="s">
        <v>504</v>
      </c>
      <c r="D359" s="104" t="s">
        <v>43</v>
      </c>
      <c r="E359" s="104" t="s">
        <v>358</v>
      </c>
      <c r="F359" s="104" t="s">
        <v>277</v>
      </c>
      <c r="G359" s="105" t="s">
        <v>277</v>
      </c>
      <c r="H359" s="106">
        <v>9063</v>
      </c>
      <c r="I359" s="106">
        <v>4652</v>
      </c>
      <c r="J359" s="106">
        <v>4411</v>
      </c>
      <c r="K359" s="106">
        <v>497</v>
      </c>
      <c r="L359" s="106">
        <v>1883</v>
      </c>
      <c r="M359" s="106">
        <v>4558</v>
      </c>
      <c r="N359" s="106">
        <v>2125</v>
      </c>
      <c r="O359" s="106">
        <v>9062</v>
      </c>
      <c r="P359" s="106">
        <v>1</v>
      </c>
      <c r="Q359" s="107">
        <v>0.21682072349651901</v>
      </c>
      <c r="R359" s="107">
        <v>0.20017793594305999</v>
      </c>
      <c r="S359" s="107">
        <v>0.23435669088352501</v>
      </c>
      <c r="T359" s="107">
        <v>0.42643923240938197</v>
      </c>
      <c r="U359" s="107">
        <v>0.38781163434902999</v>
      </c>
      <c r="V359" s="107">
        <v>0.20426690876078099</v>
      </c>
      <c r="W359" s="107">
        <v>4.8007681228996603E-2</v>
      </c>
      <c r="X359" s="107">
        <v>0.21684546907098801</v>
      </c>
      <c r="Y359" s="107">
        <v>0</v>
      </c>
      <c r="Z359" s="106">
        <v>12792</v>
      </c>
      <c r="AA359" s="106">
        <v>6231</v>
      </c>
      <c r="AB359" s="106">
        <v>6561</v>
      </c>
      <c r="AC359" s="106">
        <v>663</v>
      </c>
      <c r="AD359" s="106">
        <v>2767</v>
      </c>
      <c r="AE359" s="106">
        <v>6191</v>
      </c>
      <c r="AF359" s="106">
        <v>3171</v>
      </c>
      <c r="AG359" s="106">
        <v>11599</v>
      </c>
      <c r="AH359" s="106">
        <v>1119</v>
      </c>
      <c r="AI359" s="106">
        <v>74</v>
      </c>
      <c r="AJ359" s="106">
        <v>12711</v>
      </c>
      <c r="AK359" s="106">
        <v>47</v>
      </c>
      <c r="AL359" s="106">
        <v>34</v>
      </c>
      <c r="AM359" s="106">
        <v>1071</v>
      </c>
      <c r="AN359" s="106">
        <v>11570</v>
      </c>
      <c r="AO359" s="106">
        <v>151</v>
      </c>
      <c r="AP359" s="107">
        <v>1.8940321658910899</v>
      </c>
      <c r="AQ359" s="107">
        <v>0.93880972338642099</v>
      </c>
      <c r="AR359" s="107">
        <v>2.8007638446849099</v>
      </c>
      <c r="AS359" s="107">
        <v>2.8846153846153801</v>
      </c>
      <c r="AT359" s="107">
        <v>3.1034482758620698</v>
      </c>
      <c r="AU359" s="107">
        <v>1.7505470459518599</v>
      </c>
      <c r="AV359" s="107">
        <v>0.94339622641509402</v>
      </c>
      <c r="AW359" s="107">
        <v>1.8260322029324501</v>
      </c>
      <c r="AX359" s="107">
        <v>2.7306967984934101</v>
      </c>
      <c r="AY359" s="107">
        <v>0</v>
      </c>
      <c r="AZ359" s="107">
        <v>1.85626283367556</v>
      </c>
      <c r="BA359" s="107">
        <v>11.9047619047619</v>
      </c>
      <c r="BB359" s="107">
        <v>3.125</v>
      </c>
      <c r="BC359" s="107">
        <v>1.4464802314368399</v>
      </c>
      <c r="BD359" s="107">
        <v>1.9421860885275499</v>
      </c>
      <c r="BE359" s="107">
        <v>1.40845070422535</v>
      </c>
    </row>
    <row r="360" spans="2:57" ht="15" customHeight="1" x14ac:dyDescent="0.25">
      <c r="B360" s="91">
        <v>350</v>
      </c>
      <c r="C360" s="92" t="s">
        <v>504</v>
      </c>
      <c r="D360" s="92" t="s">
        <v>43</v>
      </c>
      <c r="E360" s="92" t="s">
        <v>358</v>
      </c>
      <c r="F360" s="92" t="s">
        <v>277</v>
      </c>
      <c r="G360" s="101" t="s">
        <v>501</v>
      </c>
      <c r="H360" s="94">
        <v>1140</v>
      </c>
      <c r="I360" s="94">
        <v>582</v>
      </c>
      <c r="J360" s="94">
        <v>558</v>
      </c>
      <c r="K360" s="94">
        <v>57</v>
      </c>
      <c r="L360" s="94">
        <v>278</v>
      </c>
      <c r="M360" s="94">
        <v>634</v>
      </c>
      <c r="N360" s="94">
        <v>171</v>
      </c>
      <c r="O360" s="94">
        <v>1140</v>
      </c>
      <c r="P360" s="94">
        <v>0</v>
      </c>
      <c r="Q360" s="95">
        <v>0.54794520547945202</v>
      </c>
      <c r="R360" s="95">
        <v>0.54054054054054101</v>
      </c>
      <c r="S360" s="95">
        <v>0.55555555555555602</v>
      </c>
      <c r="T360" s="95">
        <v>0</v>
      </c>
      <c r="U360" s="95">
        <v>1.4925373134328399</v>
      </c>
      <c r="V360" s="95">
        <v>0.32786885245901598</v>
      </c>
      <c r="W360" s="95">
        <v>0</v>
      </c>
      <c r="X360" s="95">
        <v>0.54794520547945202</v>
      </c>
      <c r="Y360" s="95">
        <v>0</v>
      </c>
      <c r="Z360" s="94">
        <v>1680</v>
      </c>
      <c r="AA360" s="94">
        <v>809</v>
      </c>
      <c r="AB360" s="94">
        <v>871</v>
      </c>
      <c r="AC360" s="94">
        <v>65</v>
      </c>
      <c r="AD360" s="94">
        <v>418</v>
      </c>
      <c r="AE360" s="94">
        <v>916</v>
      </c>
      <c r="AF360" s="94">
        <v>281</v>
      </c>
      <c r="AG360" s="94">
        <v>1494</v>
      </c>
      <c r="AH360" s="94">
        <v>181</v>
      </c>
      <c r="AI360" s="94">
        <v>5</v>
      </c>
      <c r="AJ360" s="94">
        <v>1665</v>
      </c>
      <c r="AK360" s="94">
        <v>14</v>
      </c>
      <c r="AL360" s="94">
        <v>1</v>
      </c>
      <c r="AM360" s="94">
        <v>81</v>
      </c>
      <c r="AN360" s="94">
        <v>1584</v>
      </c>
      <c r="AO360" s="94">
        <v>15</v>
      </c>
      <c r="AP360" s="95">
        <v>5.5590256089943804</v>
      </c>
      <c r="AQ360" s="95">
        <v>2.59403372243839</v>
      </c>
      <c r="AR360" s="95">
        <v>8.3132530120481896</v>
      </c>
      <c r="AS360" s="95">
        <v>11.6666666666667</v>
      </c>
      <c r="AT360" s="95">
        <v>7.92838874680307</v>
      </c>
      <c r="AU360" s="95">
        <v>4.7511312217194597</v>
      </c>
      <c r="AV360" s="95">
        <v>3.3834586466165399</v>
      </c>
      <c r="AW360" s="95">
        <v>5.6722689075630299</v>
      </c>
      <c r="AX360" s="95">
        <v>4.7619047619047601</v>
      </c>
      <c r="AY360" s="95">
        <v>0</v>
      </c>
      <c r="AZ360" s="95">
        <v>5.6045340050377801</v>
      </c>
      <c r="BA360" s="95">
        <v>0</v>
      </c>
      <c r="BB360" s="95">
        <v>0</v>
      </c>
      <c r="BC360" s="95">
        <v>6.25</v>
      </c>
      <c r="BD360" s="95">
        <v>5.5039787798408497</v>
      </c>
      <c r="BE360" s="95">
        <v>7.6923076923076898</v>
      </c>
    </row>
    <row r="361" spans="2:57" ht="15" customHeight="1" x14ac:dyDescent="0.25">
      <c r="B361" s="91">
        <v>351</v>
      </c>
      <c r="C361" s="92" t="s">
        <v>504</v>
      </c>
      <c r="D361" s="92" t="s">
        <v>43</v>
      </c>
      <c r="E361" s="92" t="s">
        <v>358</v>
      </c>
      <c r="F361" s="92" t="s">
        <v>277</v>
      </c>
      <c r="G361" s="101" t="s">
        <v>502</v>
      </c>
      <c r="H361" s="94">
        <v>7923</v>
      </c>
      <c r="I361" s="94">
        <v>4070</v>
      </c>
      <c r="J361" s="94">
        <v>3853</v>
      </c>
      <c r="K361" s="94">
        <v>440</v>
      </c>
      <c r="L361" s="94">
        <v>1605</v>
      </c>
      <c r="M361" s="94">
        <v>3924</v>
      </c>
      <c r="N361" s="94">
        <v>1954</v>
      </c>
      <c r="O361" s="94">
        <v>7922</v>
      </c>
      <c r="P361" s="94">
        <v>1</v>
      </c>
      <c r="Q361" s="95">
        <v>0.16953573291601501</v>
      </c>
      <c r="R361" s="95">
        <v>0.15224562293834101</v>
      </c>
      <c r="S361" s="95">
        <v>0.187818620874698</v>
      </c>
      <c r="T361" s="95">
        <v>0.47732696897374699</v>
      </c>
      <c r="U361" s="95">
        <v>0.19518542615484699</v>
      </c>
      <c r="V361" s="95">
        <v>0.184404636459431</v>
      </c>
      <c r="W361" s="95">
        <v>5.2192066805845497E-2</v>
      </c>
      <c r="X361" s="95">
        <v>0.16955784531107301</v>
      </c>
      <c r="Y361" s="95">
        <v>0</v>
      </c>
      <c r="Z361" s="94">
        <v>11112</v>
      </c>
      <c r="AA361" s="94">
        <v>5422</v>
      </c>
      <c r="AB361" s="94">
        <v>5690</v>
      </c>
      <c r="AC361" s="94">
        <v>598</v>
      </c>
      <c r="AD361" s="94">
        <v>2349</v>
      </c>
      <c r="AE361" s="94">
        <v>5275</v>
      </c>
      <c r="AF361" s="94">
        <v>2890</v>
      </c>
      <c r="AG361" s="94">
        <v>10105</v>
      </c>
      <c r="AH361" s="94">
        <v>938</v>
      </c>
      <c r="AI361" s="94">
        <v>69</v>
      </c>
      <c r="AJ361" s="94">
        <v>11046</v>
      </c>
      <c r="AK361" s="94">
        <v>33</v>
      </c>
      <c r="AL361" s="94">
        <v>33</v>
      </c>
      <c r="AM361" s="94">
        <v>990</v>
      </c>
      <c r="AN361" s="94">
        <v>9986</v>
      </c>
      <c r="AO361" s="94">
        <v>136</v>
      </c>
      <c r="AP361" s="95">
        <v>1.3429752066115701</v>
      </c>
      <c r="AQ361" s="95">
        <v>0.69310743165190603</v>
      </c>
      <c r="AR361" s="95">
        <v>1.9618628529519599</v>
      </c>
      <c r="AS361" s="95">
        <v>1.9503546099290801</v>
      </c>
      <c r="AT361" s="95">
        <v>2.2532672374943701</v>
      </c>
      <c r="AU361" s="95">
        <v>1.22602333399249</v>
      </c>
      <c r="AV361" s="95">
        <v>0.71225071225071201</v>
      </c>
      <c r="AW361" s="95">
        <v>1.25915987201982</v>
      </c>
      <c r="AX361" s="95">
        <v>2.3489932885906</v>
      </c>
      <c r="AY361" s="95">
        <v>0</v>
      </c>
      <c r="AZ361" s="95">
        <v>1.29403986020591</v>
      </c>
      <c r="BA361" s="95">
        <v>16.6666666666667</v>
      </c>
      <c r="BB361" s="95">
        <v>3.2258064516128999</v>
      </c>
      <c r="BC361" s="95">
        <v>1.04493207941484</v>
      </c>
      <c r="BD361" s="95">
        <v>1.3804643380046</v>
      </c>
      <c r="BE361" s="95">
        <v>0.775193798449612</v>
      </c>
    </row>
    <row r="362" spans="2:57" ht="15" customHeight="1" x14ac:dyDescent="0.25">
      <c r="B362" s="96">
        <v>352</v>
      </c>
      <c r="C362" s="97" t="s">
        <v>504</v>
      </c>
      <c r="D362" s="104" t="s">
        <v>43</v>
      </c>
      <c r="E362" s="104" t="s">
        <v>358</v>
      </c>
      <c r="F362" s="104" t="s">
        <v>199</v>
      </c>
      <c r="G362" s="105" t="s">
        <v>199</v>
      </c>
      <c r="H362" s="106">
        <v>3420</v>
      </c>
      <c r="I362" s="106">
        <v>1900</v>
      </c>
      <c r="J362" s="106">
        <v>1520</v>
      </c>
      <c r="K362" s="106">
        <v>134</v>
      </c>
      <c r="L362" s="106">
        <v>659</v>
      </c>
      <c r="M362" s="106">
        <v>1718</v>
      </c>
      <c r="N362" s="106">
        <v>909</v>
      </c>
      <c r="O362" s="106">
        <v>3419</v>
      </c>
      <c r="P362" s="106">
        <v>1</v>
      </c>
      <c r="Q362" s="107">
        <v>0.12441679626749599</v>
      </c>
      <c r="R362" s="107">
        <v>0.22497187851518599</v>
      </c>
      <c r="S362" s="107">
        <v>0</v>
      </c>
      <c r="T362" s="107">
        <v>0</v>
      </c>
      <c r="U362" s="107">
        <v>0.323101777059774</v>
      </c>
      <c r="V362" s="107">
        <v>6.14628149969269E-2</v>
      </c>
      <c r="W362" s="107">
        <v>0.11587485515643101</v>
      </c>
      <c r="X362" s="107">
        <v>0.124455507156192</v>
      </c>
      <c r="Y362" s="107">
        <v>0</v>
      </c>
      <c r="Z362" s="106">
        <v>4806</v>
      </c>
      <c r="AA362" s="106">
        <v>2491</v>
      </c>
      <c r="AB362" s="106">
        <v>2315</v>
      </c>
      <c r="AC362" s="106">
        <v>142</v>
      </c>
      <c r="AD362" s="106">
        <v>896</v>
      </c>
      <c r="AE362" s="106">
        <v>2455</v>
      </c>
      <c r="AF362" s="106">
        <v>1313</v>
      </c>
      <c r="AG362" s="106">
        <v>4551</v>
      </c>
      <c r="AH362" s="106">
        <v>232</v>
      </c>
      <c r="AI362" s="106">
        <v>23</v>
      </c>
      <c r="AJ362" s="106">
        <v>4787</v>
      </c>
      <c r="AK362" s="106">
        <v>6</v>
      </c>
      <c r="AL362" s="106">
        <v>13</v>
      </c>
      <c r="AM362" s="106">
        <v>368</v>
      </c>
      <c r="AN362" s="106">
        <v>4368</v>
      </c>
      <c r="AO362" s="106">
        <v>70</v>
      </c>
      <c r="AP362" s="107">
        <v>1.25164690382082</v>
      </c>
      <c r="AQ362" s="107">
        <v>0.37688442211055301</v>
      </c>
      <c r="AR362" s="107">
        <v>2.21606648199446</v>
      </c>
      <c r="AS362" s="107">
        <v>0.76335877862595403</v>
      </c>
      <c r="AT362" s="107">
        <v>1.56626506024096</v>
      </c>
      <c r="AU362" s="107">
        <v>1.2853470437018</v>
      </c>
      <c r="AV362" s="107">
        <v>1.0325655281969801</v>
      </c>
      <c r="AW362" s="107">
        <v>1.2048192771084301</v>
      </c>
      <c r="AX362" s="107">
        <v>1.8518518518518501</v>
      </c>
      <c r="AY362" s="107">
        <v>4.5454545454545503</v>
      </c>
      <c r="AZ362" s="107">
        <v>1.2563367864227499</v>
      </c>
      <c r="BA362" s="107">
        <v>0</v>
      </c>
      <c r="BB362" s="107">
        <v>0</v>
      </c>
      <c r="BC362" s="107">
        <v>1.4204545454545501</v>
      </c>
      <c r="BD362" s="107">
        <v>1.20860526951898</v>
      </c>
      <c r="BE362" s="107">
        <v>3.0769230769230802</v>
      </c>
    </row>
    <row r="363" spans="2:57" ht="15" customHeight="1" x14ac:dyDescent="0.25">
      <c r="B363" s="91">
        <v>353</v>
      </c>
      <c r="C363" s="92" t="s">
        <v>504</v>
      </c>
      <c r="D363" s="92" t="s">
        <v>43</v>
      </c>
      <c r="E363" s="92" t="s">
        <v>358</v>
      </c>
      <c r="F363" s="92" t="s">
        <v>199</v>
      </c>
      <c r="G363" s="101" t="s">
        <v>501</v>
      </c>
      <c r="H363" s="94">
        <v>0</v>
      </c>
      <c r="I363" s="94">
        <v>0</v>
      </c>
      <c r="J363" s="94">
        <v>0</v>
      </c>
      <c r="K363" s="94">
        <v>0</v>
      </c>
      <c r="L363" s="94">
        <v>0</v>
      </c>
      <c r="M363" s="94">
        <v>0</v>
      </c>
      <c r="N363" s="94">
        <v>0</v>
      </c>
      <c r="O363" s="94">
        <v>0</v>
      </c>
      <c r="P363" s="94">
        <v>0</v>
      </c>
      <c r="Q363" s="95">
        <v>0</v>
      </c>
      <c r="R363" s="95">
        <v>0</v>
      </c>
      <c r="S363" s="95">
        <v>0</v>
      </c>
      <c r="T363" s="95">
        <v>0</v>
      </c>
      <c r="U363" s="95">
        <v>0</v>
      </c>
      <c r="V363" s="95">
        <v>0</v>
      </c>
      <c r="W363" s="95">
        <v>0</v>
      </c>
      <c r="X363" s="95">
        <v>0</v>
      </c>
      <c r="Y363" s="95">
        <v>0</v>
      </c>
      <c r="Z363" s="94">
        <v>0</v>
      </c>
      <c r="AA363" s="94">
        <v>0</v>
      </c>
      <c r="AB363" s="94">
        <v>0</v>
      </c>
      <c r="AC363" s="94">
        <v>0</v>
      </c>
      <c r="AD363" s="94">
        <v>0</v>
      </c>
      <c r="AE363" s="94">
        <v>0</v>
      </c>
      <c r="AF363" s="94">
        <v>0</v>
      </c>
      <c r="AG363" s="94">
        <v>0</v>
      </c>
      <c r="AH363" s="94">
        <v>0</v>
      </c>
      <c r="AI363" s="94">
        <v>0</v>
      </c>
      <c r="AJ363" s="94">
        <v>0</v>
      </c>
      <c r="AK363" s="94">
        <v>0</v>
      </c>
      <c r="AL363" s="94">
        <v>0</v>
      </c>
      <c r="AM363" s="94">
        <v>0</v>
      </c>
      <c r="AN363" s="94">
        <v>0</v>
      </c>
      <c r="AO363" s="94">
        <v>0</v>
      </c>
      <c r="AP363" s="95">
        <v>0</v>
      </c>
      <c r="AQ363" s="95">
        <v>0</v>
      </c>
      <c r="AR363" s="95">
        <v>0</v>
      </c>
      <c r="AS363" s="95">
        <v>0</v>
      </c>
      <c r="AT363" s="95">
        <v>0</v>
      </c>
      <c r="AU363" s="95">
        <v>0</v>
      </c>
      <c r="AV363" s="95">
        <v>0</v>
      </c>
      <c r="AW363" s="95">
        <v>0</v>
      </c>
      <c r="AX363" s="95">
        <v>0</v>
      </c>
      <c r="AY363" s="95">
        <v>0</v>
      </c>
      <c r="AZ363" s="95">
        <v>0</v>
      </c>
      <c r="BA363" s="95">
        <v>0</v>
      </c>
      <c r="BB363" s="95">
        <v>0</v>
      </c>
      <c r="BC363" s="95">
        <v>0</v>
      </c>
      <c r="BD363" s="95">
        <v>0</v>
      </c>
      <c r="BE363" s="95">
        <v>0</v>
      </c>
    </row>
    <row r="364" spans="2:57" ht="15" customHeight="1" x14ac:dyDescent="0.25">
      <c r="B364" s="91">
        <v>354</v>
      </c>
      <c r="C364" s="92" t="s">
        <v>504</v>
      </c>
      <c r="D364" s="92" t="s">
        <v>43</v>
      </c>
      <c r="E364" s="92" t="s">
        <v>358</v>
      </c>
      <c r="F364" s="92" t="s">
        <v>199</v>
      </c>
      <c r="G364" s="101" t="s">
        <v>502</v>
      </c>
      <c r="H364" s="94">
        <v>3420</v>
      </c>
      <c r="I364" s="94">
        <v>1900</v>
      </c>
      <c r="J364" s="94">
        <v>1520</v>
      </c>
      <c r="K364" s="94">
        <v>134</v>
      </c>
      <c r="L364" s="94">
        <v>659</v>
      </c>
      <c r="M364" s="94">
        <v>1718</v>
      </c>
      <c r="N364" s="94">
        <v>909</v>
      </c>
      <c r="O364" s="94">
        <v>3419</v>
      </c>
      <c r="P364" s="94">
        <v>1</v>
      </c>
      <c r="Q364" s="95">
        <v>0.12441679626749599</v>
      </c>
      <c r="R364" s="95">
        <v>0.22497187851518599</v>
      </c>
      <c r="S364" s="95">
        <v>0</v>
      </c>
      <c r="T364" s="95">
        <v>0</v>
      </c>
      <c r="U364" s="95">
        <v>0.323101777059774</v>
      </c>
      <c r="V364" s="95">
        <v>6.14628149969269E-2</v>
      </c>
      <c r="W364" s="95">
        <v>0.11587485515643101</v>
      </c>
      <c r="X364" s="95">
        <v>0.124455507156192</v>
      </c>
      <c r="Y364" s="95">
        <v>0</v>
      </c>
      <c r="Z364" s="94">
        <v>4806</v>
      </c>
      <c r="AA364" s="94">
        <v>2491</v>
      </c>
      <c r="AB364" s="94">
        <v>2315</v>
      </c>
      <c r="AC364" s="94">
        <v>142</v>
      </c>
      <c r="AD364" s="94">
        <v>896</v>
      </c>
      <c r="AE364" s="94">
        <v>2455</v>
      </c>
      <c r="AF364" s="94">
        <v>1313</v>
      </c>
      <c r="AG364" s="94">
        <v>4551</v>
      </c>
      <c r="AH364" s="94">
        <v>232</v>
      </c>
      <c r="AI364" s="94">
        <v>23</v>
      </c>
      <c r="AJ364" s="94">
        <v>4787</v>
      </c>
      <c r="AK364" s="94">
        <v>6</v>
      </c>
      <c r="AL364" s="94">
        <v>13</v>
      </c>
      <c r="AM364" s="94">
        <v>368</v>
      </c>
      <c r="AN364" s="94">
        <v>4368</v>
      </c>
      <c r="AO364" s="94">
        <v>70</v>
      </c>
      <c r="AP364" s="95">
        <v>1.25164690382082</v>
      </c>
      <c r="AQ364" s="95">
        <v>0.37688442211055301</v>
      </c>
      <c r="AR364" s="95">
        <v>2.21606648199446</v>
      </c>
      <c r="AS364" s="95">
        <v>0.76335877862595403</v>
      </c>
      <c r="AT364" s="95">
        <v>1.56626506024096</v>
      </c>
      <c r="AU364" s="95">
        <v>1.2853470437018</v>
      </c>
      <c r="AV364" s="95">
        <v>1.0325655281969801</v>
      </c>
      <c r="AW364" s="95">
        <v>1.2048192771084301</v>
      </c>
      <c r="AX364" s="95">
        <v>1.8518518518518501</v>
      </c>
      <c r="AY364" s="95">
        <v>4.5454545454545503</v>
      </c>
      <c r="AZ364" s="95">
        <v>1.2563367864227499</v>
      </c>
      <c r="BA364" s="95">
        <v>0</v>
      </c>
      <c r="BB364" s="95">
        <v>0</v>
      </c>
      <c r="BC364" s="95">
        <v>1.4204545454545501</v>
      </c>
      <c r="BD364" s="95">
        <v>1.20860526951898</v>
      </c>
      <c r="BE364" s="95">
        <v>3.0769230769230802</v>
      </c>
    </row>
    <row r="365" spans="2:57" ht="15" customHeight="1" x14ac:dyDescent="0.25">
      <c r="B365" s="86">
        <v>355</v>
      </c>
      <c r="C365" s="87" t="s">
        <v>503</v>
      </c>
      <c r="D365" s="103" t="s">
        <v>43</v>
      </c>
      <c r="E365" s="103" t="s">
        <v>359</v>
      </c>
      <c r="F365" s="103"/>
      <c r="G365" s="88" t="s">
        <v>359</v>
      </c>
      <c r="H365" s="89">
        <v>51203</v>
      </c>
      <c r="I365" s="89">
        <v>28379</v>
      </c>
      <c r="J365" s="89">
        <v>22824</v>
      </c>
      <c r="K365" s="89">
        <v>3362</v>
      </c>
      <c r="L365" s="89">
        <v>12599</v>
      </c>
      <c r="M365" s="89">
        <v>25887</v>
      </c>
      <c r="N365" s="89">
        <v>9355</v>
      </c>
      <c r="O365" s="89">
        <v>51140</v>
      </c>
      <c r="P365" s="89">
        <v>63</v>
      </c>
      <c r="Q365" s="90">
        <v>0.38281844937946402</v>
      </c>
      <c r="R365" s="90">
        <v>0.32886131768750698</v>
      </c>
      <c r="S365" s="90">
        <v>0.44896463258200497</v>
      </c>
      <c r="T365" s="90">
        <v>0.81806282722513102</v>
      </c>
      <c r="U365" s="90">
        <v>0.53124209461168703</v>
      </c>
      <c r="V365" s="90">
        <v>0.33217208134165099</v>
      </c>
      <c r="W365" s="90">
        <v>0.17805475183618999</v>
      </c>
      <c r="X365" s="90">
        <v>0.38327597931134</v>
      </c>
      <c r="Y365" s="90">
        <v>0</v>
      </c>
      <c r="Z365" s="89">
        <v>65500</v>
      </c>
      <c r="AA365" s="89">
        <v>34795</v>
      </c>
      <c r="AB365" s="89">
        <v>30705</v>
      </c>
      <c r="AC365" s="89">
        <v>3566</v>
      </c>
      <c r="AD365" s="89">
        <v>15837</v>
      </c>
      <c r="AE365" s="89">
        <v>32744</v>
      </c>
      <c r="AF365" s="89">
        <v>13353</v>
      </c>
      <c r="AG365" s="89">
        <v>57848</v>
      </c>
      <c r="AH365" s="89">
        <v>7297</v>
      </c>
      <c r="AI365" s="89">
        <v>355</v>
      </c>
      <c r="AJ365" s="89">
        <v>65140</v>
      </c>
      <c r="AK365" s="89">
        <v>131</v>
      </c>
      <c r="AL365" s="89">
        <v>229</v>
      </c>
      <c r="AM365" s="89">
        <v>3846</v>
      </c>
      <c r="AN365" s="89">
        <v>60841</v>
      </c>
      <c r="AO365" s="89">
        <v>813</v>
      </c>
      <c r="AP365" s="90">
        <v>2.1907833807045001</v>
      </c>
      <c r="AQ365" s="90">
        <v>1.0657725354010099</v>
      </c>
      <c r="AR365" s="90">
        <v>3.4767135475481599</v>
      </c>
      <c r="AS365" s="90">
        <v>2.9553679131483701</v>
      </c>
      <c r="AT365" s="90">
        <v>2.8688249882699899</v>
      </c>
      <c r="AU365" s="90">
        <v>2.21388129015841</v>
      </c>
      <c r="AV365" s="90">
        <v>1.1580328881340201</v>
      </c>
      <c r="AW365" s="90">
        <v>1.9979803808424701</v>
      </c>
      <c r="AX365" s="90">
        <v>3.7562116340251399</v>
      </c>
      <c r="AY365" s="90">
        <v>2.1341463414634099</v>
      </c>
      <c r="AZ365" s="90">
        <v>2.1803702454923499</v>
      </c>
      <c r="BA365" s="90">
        <v>7.2</v>
      </c>
      <c r="BB365" s="90">
        <v>2.2935779816513802</v>
      </c>
      <c r="BC365" s="90">
        <v>1.6702586206896599</v>
      </c>
      <c r="BD365" s="90">
        <v>2.2408337346082399</v>
      </c>
      <c r="BE365" s="90">
        <v>0.91383812010443899</v>
      </c>
    </row>
    <row r="366" spans="2:57" ht="15" customHeight="1" x14ac:dyDescent="0.25">
      <c r="B366" s="91">
        <v>356</v>
      </c>
      <c r="C366" s="92" t="s">
        <v>503</v>
      </c>
      <c r="D366" s="92" t="s">
        <v>43</v>
      </c>
      <c r="E366" s="92" t="s">
        <v>359</v>
      </c>
      <c r="F366" s="92"/>
      <c r="G366" s="93" t="s">
        <v>501</v>
      </c>
      <c r="H366" s="94">
        <v>12799</v>
      </c>
      <c r="I366" s="94">
        <v>6920</v>
      </c>
      <c r="J366" s="94">
        <v>5879</v>
      </c>
      <c r="K366" s="94">
        <v>801</v>
      </c>
      <c r="L366" s="94">
        <v>3888</v>
      </c>
      <c r="M366" s="94">
        <v>6603</v>
      </c>
      <c r="N366" s="94">
        <v>1507</v>
      </c>
      <c r="O366" s="94">
        <v>12749</v>
      </c>
      <c r="P366" s="94">
        <v>50</v>
      </c>
      <c r="Q366" s="95">
        <v>0.92685370741482997</v>
      </c>
      <c r="R366" s="95">
        <v>0.61977068484660702</v>
      </c>
      <c r="S366" s="95">
        <v>1.28576602680188</v>
      </c>
      <c r="T366" s="95">
        <v>2.8776978417266199</v>
      </c>
      <c r="U366" s="95">
        <v>1.05001381597126</v>
      </c>
      <c r="V366" s="95">
        <v>0.718964690845183</v>
      </c>
      <c r="W366" s="95">
        <v>0.57020669992872397</v>
      </c>
      <c r="X366" s="95">
        <v>0.93034950968066399</v>
      </c>
      <c r="Y366" s="95">
        <v>0</v>
      </c>
      <c r="Z366" s="94">
        <v>17833</v>
      </c>
      <c r="AA366" s="94">
        <v>9227</v>
      </c>
      <c r="AB366" s="94">
        <v>8606</v>
      </c>
      <c r="AC366" s="94">
        <v>969</v>
      </c>
      <c r="AD366" s="94">
        <v>5330</v>
      </c>
      <c r="AE366" s="94">
        <v>9186</v>
      </c>
      <c r="AF366" s="94">
        <v>2348</v>
      </c>
      <c r="AG366" s="94">
        <v>14835</v>
      </c>
      <c r="AH366" s="94">
        <v>2915</v>
      </c>
      <c r="AI366" s="94">
        <v>83</v>
      </c>
      <c r="AJ366" s="94">
        <v>17725</v>
      </c>
      <c r="AK366" s="94">
        <v>62</v>
      </c>
      <c r="AL366" s="94">
        <v>46</v>
      </c>
      <c r="AM366" s="94">
        <v>907</v>
      </c>
      <c r="AN366" s="94">
        <v>16765</v>
      </c>
      <c r="AO366" s="94">
        <v>161</v>
      </c>
      <c r="AP366" s="95">
        <v>4.6332726525339103</v>
      </c>
      <c r="AQ366" s="95">
        <v>2.44596131968146</v>
      </c>
      <c r="AR366" s="95">
        <v>6.9668649107901404</v>
      </c>
      <c r="AS366" s="95">
        <v>8.2781456953642394</v>
      </c>
      <c r="AT366" s="95">
        <v>4.9493142516398301</v>
      </c>
      <c r="AU366" s="95">
        <v>4.4361243476287697</v>
      </c>
      <c r="AV366" s="95">
        <v>3.2484635645302902</v>
      </c>
      <c r="AW366" s="95">
        <v>4.3487439307578599</v>
      </c>
      <c r="AX366" s="95">
        <v>6.1588921282798799</v>
      </c>
      <c r="AY366" s="95">
        <v>2.7027027027027</v>
      </c>
      <c r="AZ366" s="95">
        <v>4.6026587887739998</v>
      </c>
      <c r="BA366" s="95">
        <v>11.6666666666667</v>
      </c>
      <c r="BB366" s="95">
        <v>6.8181818181818201</v>
      </c>
      <c r="BC366" s="95">
        <v>4.5243619489559199</v>
      </c>
      <c r="BD366" s="95">
        <v>4.6640859140859101</v>
      </c>
      <c r="BE366" s="95">
        <v>1.98675496688742</v>
      </c>
    </row>
    <row r="367" spans="2:57" ht="15" customHeight="1" x14ac:dyDescent="0.25">
      <c r="B367" s="91">
        <v>357</v>
      </c>
      <c r="C367" s="92" t="s">
        <v>503</v>
      </c>
      <c r="D367" s="92" t="s">
        <v>43</v>
      </c>
      <c r="E367" s="92" t="s">
        <v>359</v>
      </c>
      <c r="F367" s="92"/>
      <c r="G367" s="93" t="s">
        <v>502</v>
      </c>
      <c r="H367" s="94">
        <v>38404</v>
      </c>
      <c r="I367" s="94">
        <v>21459</v>
      </c>
      <c r="J367" s="94">
        <v>16945</v>
      </c>
      <c r="K367" s="94">
        <v>2561</v>
      </c>
      <c r="L367" s="94">
        <v>8711</v>
      </c>
      <c r="M367" s="94">
        <v>19284</v>
      </c>
      <c r="N367" s="94">
        <v>7848</v>
      </c>
      <c r="O367" s="94">
        <v>38391</v>
      </c>
      <c r="P367" s="94">
        <v>13</v>
      </c>
      <c r="Q367" s="95">
        <v>0.20485646390429099</v>
      </c>
      <c r="R367" s="95">
        <v>0.23639497660674699</v>
      </c>
      <c r="S367" s="95">
        <v>0.16558322090028199</v>
      </c>
      <c r="T367" s="95">
        <v>0.21177467174925901</v>
      </c>
      <c r="U367" s="95">
        <v>0.30339805825242699</v>
      </c>
      <c r="V367" s="95">
        <v>0.200792315623813</v>
      </c>
      <c r="W367" s="95">
        <v>0.105499142819465</v>
      </c>
      <c r="X367" s="95">
        <v>0.20492923110552499</v>
      </c>
      <c r="Y367" s="95">
        <v>0</v>
      </c>
      <c r="Z367" s="94">
        <v>47667</v>
      </c>
      <c r="AA367" s="94">
        <v>25568</v>
      </c>
      <c r="AB367" s="94">
        <v>22099</v>
      </c>
      <c r="AC367" s="94">
        <v>2597</v>
      </c>
      <c r="AD367" s="94">
        <v>10507</v>
      </c>
      <c r="AE367" s="94">
        <v>23558</v>
      </c>
      <c r="AF367" s="94">
        <v>11005</v>
      </c>
      <c r="AG367" s="94">
        <v>43013</v>
      </c>
      <c r="AH367" s="94">
        <v>4382</v>
      </c>
      <c r="AI367" s="94">
        <v>272</v>
      </c>
      <c r="AJ367" s="94">
        <v>47415</v>
      </c>
      <c r="AK367" s="94">
        <v>69</v>
      </c>
      <c r="AL367" s="94">
        <v>183</v>
      </c>
      <c r="AM367" s="94">
        <v>2939</v>
      </c>
      <c r="AN367" s="94">
        <v>44076</v>
      </c>
      <c r="AO367" s="94">
        <v>652</v>
      </c>
      <c r="AP367" s="95">
        <v>1.27859288988311</v>
      </c>
      <c r="AQ367" s="95">
        <v>0.57286799658716903</v>
      </c>
      <c r="AR367" s="95">
        <v>2.1063667556233301</v>
      </c>
      <c r="AS367" s="95">
        <v>0.95435684647302899</v>
      </c>
      <c r="AT367" s="95">
        <v>1.8102750809061501</v>
      </c>
      <c r="AU367" s="95">
        <v>1.3481258840169701</v>
      </c>
      <c r="AV367" s="95">
        <v>0.71194379391100704</v>
      </c>
      <c r="AW367" s="95">
        <v>1.1880227906412899</v>
      </c>
      <c r="AX367" s="95">
        <v>2.1473889702293798</v>
      </c>
      <c r="AY367" s="95">
        <v>1.9685039370078701</v>
      </c>
      <c r="AZ367" s="95">
        <v>1.2765113100224901</v>
      </c>
      <c r="BA367" s="95">
        <v>3.0769230769230802</v>
      </c>
      <c r="BB367" s="95">
        <v>1.14942528735632</v>
      </c>
      <c r="BC367" s="95">
        <v>0.80701754385964897</v>
      </c>
      <c r="BD367" s="95">
        <v>1.3196620146207201</v>
      </c>
      <c r="BE367" s="95">
        <v>0.65040650406504097</v>
      </c>
    </row>
    <row r="368" spans="2:57" ht="15" customHeight="1" x14ac:dyDescent="0.25">
      <c r="B368" s="96">
        <v>358</v>
      </c>
      <c r="C368" s="97" t="s">
        <v>504</v>
      </c>
      <c r="D368" s="104" t="s">
        <v>43</v>
      </c>
      <c r="E368" s="104" t="s">
        <v>359</v>
      </c>
      <c r="F368" s="104" t="s">
        <v>464</v>
      </c>
      <c r="G368" s="105" t="s">
        <v>464</v>
      </c>
      <c r="H368" s="106">
        <v>15817</v>
      </c>
      <c r="I368" s="106">
        <v>8951</v>
      </c>
      <c r="J368" s="106">
        <v>6866</v>
      </c>
      <c r="K368" s="106">
        <v>954</v>
      </c>
      <c r="L368" s="106">
        <v>3957</v>
      </c>
      <c r="M368" s="106">
        <v>8133</v>
      </c>
      <c r="N368" s="106">
        <v>2773</v>
      </c>
      <c r="O368" s="106">
        <v>15812</v>
      </c>
      <c r="P368" s="106">
        <v>5</v>
      </c>
      <c r="Q368" s="107">
        <v>0.29019918216594098</v>
      </c>
      <c r="R368" s="107">
        <v>0.21001050052502601</v>
      </c>
      <c r="S368" s="107">
        <v>0.39447731755424098</v>
      </c>
      <c r="T368" s="107">
        <v>0.58411214953270996</v>
      </c>
      <c r="U368" s="107">
        <v>0.39872408293460898</v>
      </c>
      <c r="V368" s="107">
        <v>0.27943604725009502</v>
      </c>
      <c r="W368" s="107">
        <v>7.4878322725570906E-2</v>
      </c>
      <c r="X368" s="107">
        <v>0.290275761973875</v>
      </c>
      <c r="Y368" s="107">
        <v>0</v>
      </c>
      <c r="Z368" s="106">
        <v>19837</v>
      </c>
      <c r="AA368" s="106">
        <v>10700</v>
      </c>
      <c r="AB368" s="106">
        <v>9137</v>
      </c>
      <c r="AC368" s="106">
        <v>992</v>
      </c>
      <c r="AD368" s="106">
        <v>4958</v>
      </c>
      <c r="AE368" s="106">
        <v>9954</v>
      </c>
      <c r="AF368" s="106">
        <v>3933</v>
      </c>
      <c r="AG368" s="106">
        <v>17833</v>
      </c>
      <c r="AH368" s="106">
        <v>1897</v>
      </c>
      <c r="AI368" s="106">
        <v>107</v>
      </c>
      <c r="AJ368" s="106">
        <v>19727</v>
      </c>
      <c r="AK368" s="106">
        <v>34</v>
      </c>
      <c r="AL368" s="106">
        <v>76</v>
      </c>
      <c r="AM368" s="106">
        <v>1058</v>
      </c>
      <c r="AN368" s="106">
        <v>18513</v>
      </c>
      <c r="AO368" s="106">
        <v>266</v>
      </c>
      <c r="AP368" s="107">
        <v>1.7480124256305001</v>
      </c>
      <c r="AQ368" s="107">
        <v>0.795807453416149</v>
      </c>
      <c r="AR368" s="107">
        <v>2.8772010588099901</v>
      </c>
      <c r="AS368" s="107">
        <v>2.0674646354733399</v>
      </c>
      <c r="AT368" s="107">
        <v>2.2003845332193999</v>
      </c>
      <c r="AU368" s="107">
        <v>1.81723237597911</v>
      </c>
      <c r="AV368" s="107">
        <v>0.94290204295442603</v>
      </c>
      <c r="AW368" s="107">
        <v>1.6932329071057399</v>
      </c>
      <c r="AX368" s="107">
        <v>2.2598870056497198</v>
      </c>
      <c r="AY368" s="107">
        <v>2.0833333333333299</v>
      </c>
      <c r="AZ368" s="107">
        <v>1.7260549584370199</v>
      </c>
      <c r="BA368" s="107">
        <v>12.5</v>
      </c>
      <c r="BB368" s="107">
        <v>2.7027027027027</v>
      </c>
      <c r="BC368" s="107">
        <v>1.37120470127326</v>
      </c>
      <c r="BD368" s="107">
        <v>1.7779533781114201</v>
      </c>
      <c r="BE368" s="107">
        <v>1.1764705882352899</v>
      </c>
    </row>
    <row r="369" spans="2:57" ht="15" customHeight="1" x14ac:dyDescent="0.25">
      <c r="B369" s="91">
        <v>359</v>
      </c>
      <c r="C369" s="92" t="s">
        <v>504</v>
      </c>
      <c r="D369" s="92" t="s">
        <v>43</v>
      </c>
      <c r="E369" s="92" t="s">
        <v>359</v>
      </c>
      <c r="F369" s="92" t="s">
        <v>464</v>
      </c>
      <c r="G369" s="101" t="s">
        <v>501</v>
      </c>
      <c r="H369" s="94">
        <v>5066</v>
      </c>
      <c r="I369" s="94">
        <v>2711</v>
      </c>
      <c r="J369" s="94">
        <v>2355</v>
      </c>
      <c r="K369" s="94">
        <v>277</v>
      </c>
      <c r="L369" s="94">
        <v>1527</v>
      </c>
      <c r="M369" s="94">
        <v>2628</v>
      </c>
      <c r="N369" s="94">
        <v>634</v>
      </c>
      <c r="O369" s="94">
        <v>5064</v>
      </c>
      <c r="P369" s="94">
        <v>2</v>
      </c>
      <c r="Q369" s="95">
        <v>0.577557755775578</v>
      </c>
      <c r="R369" s="95">
        <v>0.42471042471042503</v>
      </c>
      <c r="S369" s="95">
        <v>0.75287865367581897</v>
      </c>
      <c r="T369" s="95">
        <v>1.2195121951219501</v>
      </c>
      <c r="U369" s="95">
        <v>0.75705437026841005</v>
      </c>
      <c r="V369" s="95">
        <v>0.51000392310710096</v>
      </c>
      <c r="W369" s="95">
        <v>0.16666666666666699</v>
      </c>
      <c r="X369" s="95">
        <v>0.57767691355477602</v>
      </c>
      <c r="Y369" s="95">
        <v>0</v>
      </c>
      <c r="Z369" s="94">
        <v>5160</v>
      </c>
      <c r="AA369" s="94">
        <v>2612</v>
      </c>
      <c r="AB369" s="94">
        <v>2548</v>
      </c>
      <c r="AC369" s="94">
        <v>275</v>
      </c>
      <c r="AD369" s="94">
        <v>1573</v>
      </c>
      <c r="AE369" s="94">
        <v>2610</v>
      </c>
      <c r="AF369" s="94">
        <v>702</v>
      </c>
      <c r="AG369" s="94">
        <v>4434</v>
      </c>
      <c r="AH369" s="94">
        <v>708</v>
      </c>
      <c r="AI369" s="94">
        <v>18</v>
      </c>
      <c r="AJ369" s="94">
        <v>5136</v>
      </c>
      <c r="AK369" s="94">
        <v>14</v>
      </c>
      <c r="AL369" s="94">
        <v>10</v>
      </c>
      <c r="AM369" s="94">
        <v>256</v>
      </c>
      <c r="AN369" s="94">
        <v>4837</v>
      </c>
      <c r="AO369" s="94">
        <v>67</v>
      </c>
      <c r="AP369" s="95">
        <v>3.3925686591276301</v>
      </c>
      <c r="AQ369" s="95">
        <v>2.07501995211492</v>
      </c>
      <c r="AR369" s="95">
        <v>4.7424366312346704</v>
      </c>
      <c r="AS369" s="95">
        <v>6.58914728682171</v>
      </c>
      <c r="AT369" s="95">
        <v>3.27978580990629</v>
      </c>
      <c r="AU369" s="95">
        <v>3.4592445328031798</v>
      </c>
      <c r="AV369" s="95">
        <v>2.1897810218978102</v>
      </c>
      <c r="AW369" s="95">
        <v>3.4208059981255898</v>
      </c>
      <c r="AX369" s="95">
        <v>3.1390134529148002</v>
      </c>
      <c r="AY369" s="95">
        <v>6.6666666666666696</v>
      </c>
      <c r="AZ369" s="95">
        <v>3.3279220779220799</v>
      </c>
      <c r="BA369" s="95">
        <v>21.428571428571399</v>
      </c>
      <c r="BB369" s="95">
        <v>10</v>
      </c>
      <c r="BC369" s="95">
        <v>2.8806584362139902</v>
      </c>
      <c r="BD369" s="95">
        <v>3.4245100150764598</v>
      </c>
      <c r="BE369" s="95">
        <v>3.0303030303030298</v>
      </c>
    </row>
    <row r="370" spans="2:57" ht="15" customHeight="1" x14ac:dyDescent="0.25">
      <c r="B370" s="91">
        <v>360</v>
      </c>
      <c r="C370" s="92" t="s">
        <v>504</v>
      </c>
      <c r="D370" s="92" t="s">
        <v>43</v>
      </c>
      <c r="E370" s="92" t="s">
        <v>359</v>
      </c>
      <c r="F370" s="92" t="s">
        <v>464</v>
      </c>
      <c r="G370" s="101" t="s">
        <v>502</v>
      </c>
      <c r="H370" s="94">
        <v>10751</v>
      </c>
      <c r="I370" s="94">
        <v>6240</v>
      </c>
      <c r="J370" s="94">
        <v>4511</v>
      </c>
      <c r="K370" s="94">
        <v>677</v>
      </c>
      <c r="L370" s="94">
        <v>2430</v>
      </c>
      <c r="M370" s="94">
        <v>5505</v>
      </c>
      <c r="N370" s="94">
        <v>2139</v>
      </c>
      <c r="O370" s="94">
        <v>10748</v>
      </c>
      <c r="P370" s="94">
        <v>3</v>
      </c>
      <c r="Q370" s="95">
        <v>0.155128950940469</v>
      </c>
      <c r="R370" s="95">
        <v>0.117037284734994</v>
      </c>
      <c r="S370" s="95">
        <v>0.20770828525271201</v>
      </c>
      <c r="T370" s="95">
        <v>0.32786885245901598</v>
      </c>
      <c r="U370" s="95">
        <v>0.17323516673884801</v>
      </c>
      <c r="V370" s="95">
        <v>0.16904583020285499</v>
      </c>
      <c r="W370" s="95">
        <v>4.8285852245292103E-2</v>
      </c>
      <c r="X370" s="95">
        <v>0.15517408592765</v>
      </c>
      <c r="Y370" s="95">
        <v>0</v>
      </c>
      <c r="Z370" s="94">
        <v>14677</v>
      </c>
      <c r="AA370" s="94">
        <v>8088</v>
      </c>
      <c r="AB370" s="94">
        <v>6589</v>
      </c>
      <c r="AC370" s="94">
        <v>717</v>
      </c>
      <c r="AD370" s="94">
        <v>3385</v>
      </c>
      <c r="AE370" s="94">
        <v>7344</v>
      </c>
      <c r="AF370" s="94">
        <v>3231</v>
      </c>
      <c r="AG370" s="94">
        <v>13399</v>
      </c>
      <c r="AH370" s="94">
        <v>1189</v>
      </c>
      <c r="AI370" s="94">
        <v>89</v>
      </c>
      <c r="AJ370" s="94">
        <v>14591</v>
      </c>
      <c r="AK370" s="94">
        <v>20</v>
      </c>
      <c r="AL370" s="94">
        <v>66</v>
      </c>
      <c r="AM370" s="94">
        <v>802</v>
      </c>
      <c r="AN370" s="94">
        <v>13676</v>
      </c>
      <c r="AO370" s="94">
        <v>199</v>
      </c>
      <c r="AP370" s="95">
        <v>1.1680079766398399</v>
      </c>
      <c r="AQ370" s="95">
        <v>0.38471402923826598</v>
      </c>
      <c r="AR370" s="95">
        <v>2.1464039724491402</v>
      </c>
      <c r="AS370" s="95">
        <v>0.30257186081694398</v>
      </c>
      <c r="AT370" s="95">
        <v>1.69438343269532</v>
      </c>
      <c r="AU370" s="95">
        <v>1.2322946175637399</v>
      </c>
      <c r="AV370" s="95">
        <v>0.67028407277369895</v>
      </c>
      <c r="AW370" s="95">
        <v>1.1198382455867499</v>
      </c>
      <c r="AX370" s="95">
        <v>1.72570390554042</v>
      </c>
      <c r="AY370" s="95">
        <v>1.2345679012345701</v>
      </c>
      <c r="AZ370" s="95">
        <v>1.1605415860735</v>
      </c>
      <c r="BA370" s="95">
        <v>5.5555555555555598</v>
      </c>
      <c r="BB370" s="95">
        <v>1.5625</v>
      </c>
      <c r="BC370" s="95">
        <v>0.89974293059125998</v>
      </c>
      <c r="BD370" s="95">
        <v>1.1932078935291399</v>
      </c>
      <c r="BE370" s="95">
        <v>0.52910052910052896</v>
      </c>
    </row>
    <row r="371" spans="2:57" ht="15" customHeight="1" x14ac:dyDescent="0.25">
      <c r="B371" s="96">
        <v>361</v>
      </c>
      <c r="C371" s="97" t="s">
        <v>504</v>
      </c>
      <c r="D371" s="104" t="s">
        <v>43</v>
      </c>
      <c r="E371" s="104" t="s">
        <v>359</v>
      </c>
      <c r="F371" s="104" t="s">
        <v>232</v>
      </c>
      <c r="G371" s="105" t="s">
        <v>232</v>
      </c>
      <c r="H371" s="106">
        <v>5649</v>
      </c>
      <c r="I371" s="106">
        <v>3036</v>
      </c>
      <c r="J371" s="106">
        <v>2613</v>
      </c>
      <c r="K371" s="106">
        <v>402</v>
      </c>
      <c r="L371" s="106">
        <v>992</v>
      </c>
      <c r="M371" s="106">
        <v>2738</v>
      </c>
      <c r="N371" s="106">
        <v>1517</v>
      </c>
      <c r="O371" s="106">
        <v>5647</v>
      </c>
      <c r="P371" s="106">
        <v>2</v>
      </c>
      <c r="Q371" s="107">
        <v>3.61925443358668E-2</v>
      </c>
      <c r="R371" s="107">
        <v>6.7681895093062605E-2</v>
      </c>
      <c r="S371" s="107">
        <v>0</v>
      </c>
      <c r="T371" s="107">
        <v>0</v>
      </c>
      <c r="U371" s="107">
        <v>0.103305785123967</v>
      </c>
      <c r="V371" s="107">
        <v>3.7327360955580403E-2</v>
      </c>
      <c r="W371" s="107">
        <v>0</v>
      </c>
      <c r="X371" s="107">
        <v>3.6205648081100598E-2</v>
      </c>
      <c r="Y371" s="107">
        <v>0</v>
      </c>
      <c r="Z371" s="106">
        <v>5809</v>
      </c>
      <c r="AA371" s="106">
        <v>3064</v>
      </c>
      <c r="AB371" s="106">
        <v>2745</v>
      </c>
      <c r="AC371" s="106">
        <v>330</v>
      </c>
      <c r="AD371" s="106">
        <v>954</v>
      </c>
      <c r="AE371" s="106">
        <v>2772</v>
      </c>
      <c r="AF371" s="106">
        <v>1753</v>
      </c>
      <c r="AG371" s="106">
        <v>5196</v>
      </c>
      <c r="AH371" s="106">
        <v>577</v>
      </c>
      <c r="AI371" s="106">
        <v>36</v>
      </c>
      <c r="AJ371" s="106">
        <v>5778</v>
      </c>
      <c r="AK371" s="106">
        <v>12</v>
      </c>
      <c r="AL371" s="106">
        <v>19</v>
      </c>
      <c r="AM371" s="106">
        <v>514</v>
      </c>
      <c r="AN371" s="106">
        <v>5180</v>
      </c>
      <c r="AO371" s="106">
        <v>115</v>
      </c>
      <c r="AP371" s="107">
        <v>0.84608460846084599</v>
      </c>
      <c r="AQ371" s="107">
        <v>0.30549898167006101</v>
      </c>
      <c r="AR371" s="107">
        <v>1.4564967420467601</v>
      </c>
      <c r="AS371" s="107">
        <v>0.98684210526315796</v>
      </c>
      <c r="AT371" s="107">
        <v>1.5590200445434299</v>
      </c>
      <c r="AU371" s="107">
        <v>0.826446280991736</v>
      </c>
      <c r="AV371" s="107">
        <v>0.47309284447072703</v>
      </c>
      <c r="AW371" s="107">
        <v>0.76213397513036496</v>
      </c>
      <c r="AX371" s="107">
        <v>1.68224299065421</v>
      </c>
      <c r="AY371" s="107">
        <v>0</v>
      </c>
      <c r="AZ371" s="107">
        <v>0.83257918552036203</v>
      </c>
      <c r="BA371" s="107">
        <v>9.0909090909090899</v>
      </c>
      <c r="BB371" s="107">
        <v>0</v>
      </c>
      <c r="BC371" s="107">
        <v>0.80482897384305796</v>
      </c>
      <c r="BD371" s="107">
        <v>0.84865629420084898</v>
      </c>
      <c r="BE371" s="107">
        <v>0.91743119266055095</v>
      </c>
    </row>
    <row r="372" spans="2:57" ht="15" customHeight="1" x14ac:dyDescent="0.25">
      <c r="B372" s="91">
        <v>362</v>
      </c>
      <c r="C372" s="92" t="s">
        <v>504</v>
      </c>
      <c r="D372" s="92" t="s">
        <v>43</v>
      </c>
      <c r="E372" s="92" t="s">
        <v>359</v>
      </c>
      <c r="F372" s="92" t="s">
        <v>232</v>
      </c>
      <c r="G372" s="101" t="s">
        <v>501</v>
      </c>
      <c r="H372" s="94">
        <v>0</v>
      </c>
      <c r="I372" s="94">
        <v>0</v>
      </c>
      <c r="J372" s="94">
        <v>0</v>
      </c>
      <c r="K372" s="94">
        <v>0</v>
      </c>
      <c r="L372" s="94">
        <v>0</v>
      </c>
      <c r="M372" s="94">
        <v>0</v>
      </c>
      <c r="N372" s="94">
        <v>0</v>
      </c>
      <c r="O372" s="94">
        <v>0</v>
      </c>
      <c r="P372" s="94">
        <v>0</v>
      </c>
      <c r="Q372" s="95">
        <v>0</v>
      </c>
      <c r="R372" s="95">
        <v>0</v>
      </c>
      <c r="S372" s="95">
        <v>0</v>
      </c>
      <c r="T372" s="95">
        <v>0</v>
      </c>
      <c r="U372" s="95">
        <v>0</v>
      </c>
      <c r="V372" s="95">
        <v>0</v>
      </c>
      <c r="W372" s="95">
        <v>0</v>
      </c>
      <c r="X372" s="95">
        <v>0</v>
      </c>
      <c r="Y372" s="95">
        <v>0</v>
      </c>
      <c r="Z372" s="94">
        <v>0</v>
      </c>
      <c r="AA372" s="94">
        <v>0</v>
      </c>
      <c r="AB372" s="94">
        <v>0</v>
      </c>
      <c r="AC372" s="94">
        <v>0</v>
      </c>
      <c r="AD372" s="94">
        <v>0</v>
      </c>
      <c r="AE372" s="94">
        <v>0</v>
      </c>
      <c r="AF372" s="94">
        <v>0</v>
      </c>
      <c r="AG372" s="94">
        <v>0</v>
      </c>
      <c r="AH372" s="94">
        <v>0</v>
      </c>
      <c r="AI372" s="94">
        <v>0</v>
      </c>
      <c r="AJ372" s="94">
        <v>0</v>
      </c>
      <c r="AK372" s="94">
        <v>0</v>
      </c>
      <c r="AL372" s="94">
        <v>0</v>
      </c>
      <c r="AM372" s="94">
        <v>0</v>
      </c>
      <c r="AN372" s="94">
        <v>0</v>
      </c>
      <c r="AO372" s="94">
        <v>0</v>
      </c>
      <c r="AP372" s="95">
        <v>0</v>
      </c>
      <c r="AQ372" s="95">
        <v>0</v>
      </c>
      <c r="AR372" s="95">
        <v>0</v>
      </c>
      <c r="AS372" s="95">
        <v>0</v>
      </c>
      <c r="AT372" s="95">
        <v>0</v>
      </c>
      <c r="AU372" s="95">
        <v>0</v>
      </c>
      <c r="AV372" s="95">
        <v>0</v>
      </c>
      <c r="AW372" s="95">
        <v>0</v>
      </c>
      <c r="AX372" s="95">
        <v>0</v>
      </c>
      <c r="AY372" s="95">
        <v>0</v>
      </c>
      <c r="AZ372" s="95">
        <v>0</v>
      </c>
      <c r="BA372" s="95">
        <v>0</v>
      </c>
      <c r="BB372" s="95">
        <v>0</v>
      </c>
      <c r="BC372" s="95">
        <v>0</v>
      </c>
      <c r="BD372" s="95">
        <v>0</v>
      </c>
      <c r="BE372" s="95">
        <v>0</v>
      </c>
    </row>
    <row r="373" spans="2:57" ht="15" customHeight="1" x14ac:dyDescent="0.25">
      <c r="B373" s="91">
        <v>363</v>
      </c>
      <c r="C373" s="92" t="s">
        <v>504</v>
      </c>
      <c r="D373" s="92" t="s">
        <v>43</v>
      </c>
      <c r="E373" s="92" t="s">
        <v>359</v>
      </c>
      <c r="F373" s="92" t="s">
        <v>232</v>
      </c>
      <c r="G373" s="101" t="s">
        <v>502</v>
      </c>
      <c r="H373" s="94">
        <v>5649</v>
      </c>
      <c r="I373" s="94">
        <v>3036</v>
      </c>
      <c r="J373" s="94">
        <v>2613</v>
      </c>
      <c r="K373" s="94">
        <v>402</v>
      </c>
      <c r="L373" s="94">
        <v>992</v>
      </c>
      <c r="M373" s="94">
        <v>2738</v>
      </c>
      <c r="N373" s="94">
        <v>1517</v>
      </c>
      <c r="O373" s="94">
        <v>5647</v>
      </c>
      <c r="P373" s="94">
        <v>2</v>
      </c>
      <c r="Q373" s="95">
        <v>3.61925443358668E-2</v>
      </c>
      <c r="R373" s="95">
        <v>6.7681895093062605E-2</v>
      </c>
      <c r="S373" s="95">
        <v>0</v>
      </c>
      <c r="T373" s="95">
        <v>0</v>
      </c>
      <c r="U373" s="95">
        <v>0.103305785123967</v>
      </c>
      <c r="V373" s="95">
        <v>3.7327360955580403E-2</v>
      </c>
      <c r="W373" s="95">
        <v>0</v>
      </c>
      <c r="X373" s="95">
        <v>3.6205648081100598E-2</v>
      </c>
      <c r="Y373" s="95">
        <v>0</v>
      </c>
      <c r="Z373" s="94">
        <v>5809</v>
      </c>
      <c r="AA373" s="94">
        <v>3064</v>
      </c>
      <c r="AB373" s="94">
        <v>2745</v>
      </c>
      <c r="AC373" s="94">
        <v>330</v>
      </c>
      <c r="AD373" s="94">
        <v>954</v>
      </c>
      <c r="AE373" s="94">
        <v>2772</v>
      </c>
      <c r="AF373" s="94">
        <v>1753</v>
      </c>
      <c r="AG373" s="94">
        <v>5196</v>
      </c>
      <c r="AH373" s="94">
        <v>577</v>
      </c>
      <c r="AI373" s="94">
        <v>36</v>
      </c>
      <c r="AJ373" s="94">
        <v>5778</v>
      </c>
      <c r="AK373" s="94">
        <v>12</v>
      </c>
      <c r="AL373" s="94">
        <v>19</v>
      </c>
      <c r="AM373" s="94">
        <v>514</v>
      </c>
      <c r="AN373" s="94">
        <v>5180</v>
      </c>
      <c r="AO373" s="94">
        <v>115</v>
      </c>
      <c r="AP373" s="95">
        <v>0.84608460846084599</v>
      </c>
      <c r="AQ373" s="95">
        <v>0.30549898167006101</v>
      </c>
      <c r="AR373" s="95">
        <v>1.4564967420467601</v>
      </c>
      <c r="AS373" s="95">
        <v>0.98684210526315796</v>
      </c>
      <c r="AT373" s="95">
        <v>1.5590200445434299</v>
      </c>
      <c r="AU373" s="95">
        <v>0.826446280991736</v>
      </c>
      <c r="AV373" s="95">
        <v>0.47309284447072703</v>
      </c>
      <c r="AW373" s="95">
        <v>0.76213397513036496</v>
      </c>
      <c r="AX373" s="95">
        <v>1.68224299065421</v>
      </c>
      <c r="AY373" s="95">
        <v>0</v>
      </c>
      <c r="AZ373" s="95">
        <v>0.83257918552036203</v>
      </c>
      <c r="BA373" s="95">
        <v>9.0909090909090899</v>
      </c>
      <c r="BB373" s="95">
        <v>0</v>
      </c>
      <c r="BC373" s="95">
        <v>0.80482897384305796</v>
      </c>
      <c r="BD373" s="95">
        <v>0.84865629420084898</v>
      </c>
      <c r="BE373" s="95">
        <v>0.91743119266055095</v>
      </c>
    </row>
    <row r="374" spans="2:57" ht="15" customHeight="1" x14ac:dyDescent="0.25">
      <c r="B374" s="96">
        <v>364</v>
      </c>
      <c r="C374" s="97" t="s">
        <v>504</v>
      </c>
      <c r="D374" s="104" t="s">
        <v>43</v>
      </c>
      <c r="E374" s="104" t="s">
        <v>359</v>
      </c>
      <c r="F374" s="104" t="s">
        <v>218</v>
      </c>
      <c r="G374" s="105" t="s">
        <v>218</v>
      </c>
      <c r="H374" s="106">
        <v>4604</v>
      </c>
      <c r="I374" s="106">
        <v>2471</v>
      </c>
      <c r="J374" s="106">
        <v>2133</v>
      </c>
      <c r="K374" s="106">
        <v>318</v>
      </c>
      <c r="L374" s="106">
        <v>1060</v>
      </c>
      <c r="M374" s="106">
        <v>2258</v>
      </c>
      <c r="N374" s="106">
        <v>968</v>
      </c>
      <c r="O374" s="106">
        <v>4603</v>
      </c>
      <c r="P374" s="106">
        <v>1</v>
      </c>
      <c r="Q374" s="107">
        <v>0.38392050587172499</v>
      </c>
      <c r="R374" s="107">
        <v>0.38461538461538503</v>
      </c>
      <c r="S374" s="107">
        <v>0.38314176245210702</v>
      </c>
      <c r="T374" s="107">
        <v>0</v>
      </c>
      <c r="U374" s="107">
        <v>0.29644268774703603</v>
      </c>
      <c r="V374" s="107">
        <v>0.45977011494252901</v>
      </c>
      <c r="W374" s="107">
        <v>0.42462845010615702</v>
      </c>
      <c r="X374" s="107">
        <v>0.38400722837135798</v>
      </c>
      <c r="Y374" s="107">
        <v>0</v>
      </c>
      <c r="Z374" s="106">
        <v>7019</v>
      </c>
      <c r="AA374" s="106">
        <v>3712</v>
      </c>
      <c r="AB374" s="106">
        <v>3307</v>
      </c>
      <c r="AC374" s="106">
        <v>429</v>
      </c>
      <c r="AD374" s="106">
        <v>1716</v>
      </c>
      <c r="AE374" s="106">
        <v>3398</v>
      </c>
      <c r="AF374" s="106">
        <v>1476</v>
      </c>
      <c r="AG374" s="106">
        <v>6193</v>
      </c>
      <c r="AH374" s="106">
        <v>794</v>
      </c>
      <c r="AI374" s="106">
        <v>32</v>
      </c>
      <c r="AJ374" s="106">
        <v>6994</v>
      </c>
      <c r="AK374" s="106">
        <v>5</v>
      </c>
      <c r="AL374" s="106">
        <v>20</v>
      </c>
      <c r="AM374" s="106">
        <v>393</v>
      </c>
      <c r="AN374" s="106">
        <v>6544</v>
      </c>
      <c r="AO374" s="106">
        <v>82</v>
      </c>
      <c r="AP374" s="107">
        <v>1.58424637251999</v>
      </c>
      <c r="AQ374" s="107">
        <v>0.92075892857142905</v>
      </c>
      <c r="AR374" s="107">
        <v>2.3343848580441602</v>
      </c>
      <c r="AS374" s="107">
        <v>1.2345679012345701</v>
      </c>
      <c r="AT374" s="107">
        <v>2.3838630806846002</v>
      </c>
      <c r="AU374" s="107">
        <v>1.4674411494955699</v>
      </c>
      <c r="AV374" s="107">
        <v>1.04022191400832</v>
      </c>
      <c r="AW374" s="107">
        <v>1.35655669067158</v>
      </c>
      <c r="AX374" s="107">
        <v>3.1872509960159401</v>
      </c>
      <c r="AY374" s="107">
        <v>6.6666666666666696</v>
      </c>
      <c r="AZ374" s="107">
        <v>1.58965978309315</v>
      </c>
      <c r="BA374" s="107">
        <v>0</v>
      </c>
      <c r="BB374" s="107">
        <v>0</v>
      </c>
      <c r="BC374" s="107">
        <v>0.78534031413612604</v>
      </c>
      <c r="BD374" s="107">
        <v>1.63647918652685</v>
      </c>
      <c r="BE374" s="107">
        <v>1.2820512820512799</v>
      </c>
    </row>
    <row r="375" spans="2:57" ht="15" customHeight="1" x14ac:dyDescent="0.25">
      <c r="B375" s="91">
        <v>365</v>
      </c>
      <c r="C375" s="92" t="s">
        <v>504</v>
      </c>
      <c r="D375" s="92" t="s">
        <v>43</v>
      </c>
      <c r="E375" s="92" t="s">
        <v>359</v>
      </c>
      <c r="F375" s="92" t="s">
        <v>218</v>
      </c>
      <c r="G375" s="101" t="s">
        <v>501</v>
      </c>
      <c r="H375" s="94">
        <v>0</v>
      </c>
      <c r="I375" s="94">
        <v>0</v>
      </c>
      <c r="J375" s="94">
        <v>0</v>
      </c>
      <c r="K375" s="94">
        <v>0</v>
      </c>
      <c r="L375" s="94">
        <v>0</v>
      </c>
      <c r="M375" s="94">
        <v>0</v>
      </c>
      <c r="N375" s="94">
        <v>0</v>
      </c>
      <c r="O375" s="94">
        <v>0</v>
      </c>
      <c r="P375" s="94">
        <v>0</v>
      </c>
      <c r="Q375" s="95">
        <v>0</v>
      </c>
      <c r="R375" s="95">
        <v>0</v>
      </c>
      <c r="S375" s="95">
        <v>0</v>
      </c>
      <c r="T375" s="95">
        <v>0</v>
      </c>
      <c r="U375" s="95">
        <v>0</v>
      </c>
      <c r="V375" s="95">
        <v>0</v>
      </c>
      <c r="W375" s="95">
        <v>0</v>
      </c>
      <c r="X375" s="95">
        <v>0</v>
      </c>
      <c r="Y375" s="95">
        <v>0</v>
      </c>
      <c r="Z375" s="94">
        <v>0</v>
      </c>
      <c r="AA375" s="94">
        <v>0</v>
      </c>
      <c r="AB375" s="94">
        <v>0</v>
      </c>
      <c r="AC375" s="94">
        <v>0</v>
      </c>
      <c r="AD375" s="94">
        <v>0</v>
      </c>
      <c r="AE375" s="94">
        <v>0</v>
      </c>
      <c r="AF375" s="94">
        <v>0</v>
      </c>
      <c r="AG375" s="94">
        <v>0</v>
      </c>
      <c r="AH375" s="94">
        <v>0</v>
      </c>
      <c r="AI375" s="94">
        <v>0</v>
      </c>
      <c r="AJ375" s="94">
        <v>0</v>
      </c>
      <c r="AK375" s="94">
        <v>0</v>
      </c>
      <c r="AL375" s="94">
        <v>0</v>
      </c>
      <c r="AM375" s="94">
        <v>0</v>
      </c>
      <c r="AN375" s="94">
        <v>0</v>
      </c>
      <c r="AO375" s="94">
        <v>0</v>
      </c>
      <c r="AP375" s="95">
        <v>0</v>
      </c>
      <c r="AQ375" s="95">
        <v>0</v>
      </c>
      <c r="AR375" s="95">
        <v>0</v>
      </c>
      <c r="AS375" s="95">
        <v>0</v>
      </c>
      <c r="AT375" s="95">
        <v>0</v>
      </c>
      <c r="AU375" s="95">
        <v>0</v>
      </c>
      <c r="AV375" s="95">
        <v>0</v>
      </c>
      <c r="AW375" s="95">
        <v>0</v>
      </c>
      <c r="AX375" s="95">
        <v>0</v>
      </c>
      <c r="AY375" s="95">
        <v>0</v>
      </c>
      <c r="AZ375" s="95">
        <v>0</v>
      </c>
      <c r="BA375" s="95">
        <v>0</v>
      </c>
      <c r="BB375" s="95">
        <v>0</v>
      </c>
      <c r="BC375" s="95">
        <v>0</v>
      </c>
      <c r="BD375" s="95">
        <v>0</v>
      </c>
      <c r="BE375" s="95">
        <v>0</v>
      </c>
    </row>
    <row r="376" spans="2:57" ht="15" customHeight="1" x14ac:dyDescent="0.25">
      <c r="B376" s="91">
        <v>366</v>
      </c>
      <c r="C376" s="92" t="s">
        <v>504</v>
      </c>
      <c r="D376" s="92" t="s">
        <v>43</v>
      </c>
      <c r="E376" s="92" t="s">
        <v>359</v>
      </c>
      <c r="F376" s="92" t="s">
        <v>218</v>
      </c>
      <c r="G376" s="101" t="s">
        <v>502</v>
      </c>
      <c r="H376" s="94">
        <v>4604</v>
      </c>
      <c r="I376" s="94">
        <v>2471</v>
      </c>
      <c r="J376" s="94">
        <v>2133</v>
      </c>
      <c r="K376" s="94">
        <v>318</v>
      </c>
      <c r="L376" s="94">
        <v>1060</v>
      </c>
      <c r="M376" s="94">
        <v>2258</v>
      </c>
      <c r="N376" s="94">
        <v>968</v>
      </c>
      <c r="O376" s="94">
        <v>4603</v>
      </c>
      <c r="P376" s="94">
        <v>1</v>
      </c>
      <c r="Q376" s="95">
        <v>0.38392050587172499</v>
      </c>
      <c r="R376" s="95">
        <v>0.38461538461538503</v>
      </c>
      <c r="S376" s="95">
        <v>0.38314176245210702</v>
      </c>
      <c r="T376" s="95">
        <v>0</v>
      </c>
      <c r="U376" s="95">
        <v>0.29644268774703603</v>
      </c>
      <c r="V376" s="95">
        <v>0.45977011494252901</v>
      </c>
      <c r="W376" s="95">
        <v>0.42462845010615702</v>
      </c>
      <c r="X376" s="95">
        <v>0.38400722837135798</v>
      </c>
      <c r="Y376" s="95">
        <v>0</v>
      </c>
      <c r="Z376" s="94">
        <v>7019</v>
      </c>
      <c r="AA376" s="94">
        <v>3712</v>
      </c>
      <c r="AB376" s="94">
        <v>3307</v>
      </c>
      <c r="AC376" s="94">
        <v>429</v>
      </c>
      <c r="AD376" s="94">
        <v>1716</v>
      </c>
      <c r="AE376" s="94">
        <v>3398</v>
      </c>
      <c r="AF376" s="94">
        <v>1476</v>
      </c>
      <c r="AG376" s="94">
        <v>6193</v>
      </c>
      <c r="AH376" s="94">
        <v>794</v>
      </c>
      <c r="AI376" s="94">
        <v>32</v>
      </c>
      <c r="AJ376" s="94">
        <v>6994</v>
      </c>
      <c r="AK376" s="94">
        <v>5</v>
      </c>
      <c r="AL376" s="94">
        <v>20</v>
      </c>
      <c r="AM376" s="94">
        <v>393</v>
      </c>
      <c r="AN376" s="94">
        <v>6544</v>
      </c>
      <c r="AO376" s="94">
        <v>82</v>
      </c>
      <c r="AP376" s="95">
        <v>1.58424637251999</v>
      </c>
      <c r="AQ376" s="95">
        <v>0.92075892857142905</v>
      </c>
      <c r="AR376" s="95">
        <v>2.3343848580441602</v>
      </c>
      <c r="AS376" s="95">
        <v>1.2345679012345701</v>
      </c>
      <c r="AT376" s="95">
        <v>2.3838630806846002</v>
      </c>
      <c r="AU376" s="95">
        <v>1.4674411494955699</v>
      </c>
      <c r="AV376" s="95">
        <v>1.04022191400832</v>
      </c>
      <c r="AW376" s="95">
        <v>1.35655669067158</v>
      </c>
      <c r="AX376" s="95">
        <v>3.1872509960159401</v>
      </c>
      <c r="AY376" s="95">
        <v>6.6666666666666696</v>
      </c>
      <c r="AZ376" s="95">
        <v>1.58965978309315</v>
      </c>
      <c r="BA376" s="95">
        <v>0</v>
      </c>
      <c r="BB376" s="95">
        <v>0</v>
      </c>
      <c r="BC376" s="95">
        <v>0.78534031413612604</v>
      </c>
      <c r="BD376" s="95">
        <v>1.63647918652685</v>
      </c>
      <c r="BE376" s="95">
        <v>1.2820512820512799</v>
      </c>
    </row>
    <row r="377" spans="2:57" ht="15" customHeight="1" x14ac:dyDescent="0.25">
      <c r="B377" s="96">
        <v>367</v>
      </c>
      <c r="C377" s="97" t="s">
        <v>504</v>
      </c>
      <c r="D377" s="104" t="s">
        <v>43</v>
      </c>
      <c r="E377" s="104" t="s">
        <v>359</v>
      </c>
      <c r="F377" s="104" t="s">
        <v>249</v>
      </c>
      <c r="G377" s="105" t="s">
        <v>249</v>
      </c>
      <c r="H377" s="106">
        <v>6161</v>
      </c>
      <c r="I377" s="106">
        <v>3496</v>
      </c>
      <c r="J377" s="106">
        <v>2665</v>
      </c>
      <c r="K377" s="106">
        <v>378</v>
      </c>
      <c r="L377" s="106">
        <v>1465</v>
      </c>
      <c r="M377" s="106">
        <v>3205</v>
      </c>
      <c r="N377" s="106">
        <v>1113</v>
      </c>
      <c r="O377" s="106">
        <v>6159</v>
      </c>
      <c r="P377" s="106">
        <v>2</v>
      </c>
      <c r="Q377" s="107">
        <v>0.314740339220143</v>
      </c>
      <c r="R377" s="107">
        <v>0.37220843672456599</v>
      </c>
      <c r="S377" s="107">
        <v>0.24048096192384799</v>
      </c>
      <c r="T377" s="107">
        <v>0.29411764705882398</v>
      </c>
      <c r="U377" s="107">
        <v>0.66964285714285698</v>
      </c>
      <c r="V377" s="107">
        <v>0.20147750167897899</v>
      </c>
      <c r="W377" s="107">
        <v>0.18921475875118299</v>
      </c>
      <c r="X377" s="107">
        <v>0.314850446038132</v>
      </c>
      <c r="Y377" s="107">
        <v>0</v>
      </c>
      <c r="Z377" s="106">
        <v>9007</v>
      </c>
      <c r="AA377" s="106">
        <v>4799</v>
      </c>
      <c r="AB377" s="106">
        <v>4208</v>
      </c>
      <c r="AC377" s="106">
        <v>474</v>
      </c>
      <c r="AD377" s="106">
        <v>2043</v>
      </c>
      <c r="AE377" s="106">
        <v>4535</v>
      </c>
      <c r="AF377" s="106">
        <v>1955</v>
      </c>
      <c r="AG377" s="106">
        <v>8099</v>
      </c>
      <c r="AH377" s="106">
        <v>850</v>
      </c>
      <c r="AI377" s="106">
        <v>58</v>
      </c>
      <c r="AJ377" s="106">
        <v>8954</v>
      </c>
      <c r="AK377" s="106">
        <v>16</v>
      </c>
      <c r="AL377" s="106">
        <v>37</v>
      </c>
      <c r="AM377" s="106">
        <v>553</v>
      </c>
      <c r="AN377" s="106">
        <v>8340</v>
      </c>
      <c r="AO377" s="106">
        <v>114</v>
      </c>
      <c r="AP377" s="107">
        <v>1.4270674932740699</v>
      </c>
      <c r="AQ377" s="107">
        <v>0.63471219085138997</v>
      </c>
      <c r="AR377" s="107">
        <v>2.33668341708543</v>
      </c>
      <c r="AS377" s="107">
        <v>2.01793721973094</v>
      </c>
      <c r="AT377" s="107">
        <v>1.63329820864067</v>
      </c>
      <c r="AU377" s="107">
        <v>1.5711645101663601</v>
      </c>
      <c r="AV377" s="107">
        <v>0.74587107085775195</v>
      </c>
      <c r="AW377" s="107">
        <v>1.32415941840841</v>
      </c>
      <c r="AX377" s="107">
        <v>2.2784810126582302</v>
      </c>
      <c r="AY377" s="107">
        <v>3.5714285714285698</v>
      </c>
      <c r="AZ377" s="107">
        <v>1.43563191339139</v>
      </c>
      <c r="BA377" s="107">
        <v>0</v>
      </c>
      <c r="BB377" s="107">
        <v>0</v>
      </c>
      <c r="BC377" s="107">
        <v>0.56179775280898903</v>
      </c>
      <c r="BD377" s="107">
        <v>1.4915939830615601</v>
      </c>
      <c r="BE377" s="107">
        <v>0.96153846153846201</v>
      </c>
    </row>
    <row r="378" spans="2:57" ht="15" customHeight="1" x14ac:dyDescent="0.25">
      <c r="B378" s="91">
        <v>368</v>
      </c>
      <c r="C378" s="92" t="s">
        <v>504</v>
      </c>
      <c r="D378" s="92" t="s">
        <v>43</v>
      </c>
      <c r="E378" s="92" t="s">
        <v>359</v>
      </c>
      <c r="F378" s="92" t="s">
        <v>249</v>
      </c>
      <c r="G378" s="101" t="s">
        <v>501</v>
      </c>
      <c r="H378" s="94">
        <v>0</v>
      </c>
      <c r="I378" s="94">
        <v>0</v>
      </c>
      <c r="J378" s="94">
        <v>0</v>
      </c>
      <c r="K378" s="94">
        <v>0</v>
      </c>
      <c r="L378" s="94">
        <v>0</v>
      </c>
      <c r="M378" s="94">
        <v>0</v>
      </c>
      <c r="N378" s="94">
        <v>0</v>
      </c>
      <c r="O378" s="94">
        <v>0</v>
      </c>
      <c r="P378" s="94">
        <v>0</v>
      </c>
      <c r="Q378" s="95">
        <v>0</v>
      </c>
      <c r="R378" s="95">
        <v>0</v>
      </c>
      <c r="S378" s="95">
        <v>0</v>
      </c>
      <c r="T378" s="95">
        <v>0</v>
      </c>
      <c r="U378" s="95">
        <v>0</v>
      </c>
      <c r="V378" s="95">
        <v>0</v>
      </c>
      <c r="W378" s="95">
        <v>0</v>
      </c>
      <c r="X378" s="95">
        <v>0</v>
      </c>
      <c r="Y378" s="95">
        <v>0</v>
      </c>
      <c r="Z378" s="94">
        <v>0</v>
      </c>
      <c r="AA378" s="94">
        <v>0</v>
      </c>
      <c r="AB378" s="94">
        <v>0</v>
      </c>
      <c r="AC378" s="94">
        <v>0</v>
      </c>
      <c r="AD378" s="94">
        <v>0</v>
      </c>
      <c r="AE378" s="94">
        <v>0</v>
      </c>
      <c r="AF378" s="94">
        <v>0</v>
      </c>
      <c r="AG378" s="94">
        <v>0</v>
      </c>
      <c r="AH378" s="94">
        <v>0</v>
      </c>
      <c r="AI378" s="94">
        <v>0</v>
      </c>
      <c r="AJ378" s="94">
        <v>0</v>
      </c>
      <c r="AK378" s="94">
        <v>0</v>
      </c>
      <c r="AL378" s="94">
        <v>0</v>
      </c>
      <c r="AM378" s="94">
        <v>0</v>
      </c>
      <c r="AN378" s="94">
        <v>0</v>
      </c>
      <c r="AO378" s="94">
        <v>0</v>
      </c>
      <c r="AP378" s="95">
        <v>0</v>
      </c>
      <c r="AQ378" s="95">
        <v>0</v>
      </c>
      <c r="AR378" s="95">
        <v>0</v>
      </c>
      <c r="AS378" s="95">
        <v>0</v>
      </c>
      <c r="AT378" s="95">
        <v>0</v>
      </c>
      <c r="AU378" s="95">
        <v>0</v>
      </c>
      <c r="AV378" s="95">
        <v>0</v>
      </c>
      <c r="AW378" s="95">
        <v>0</v>
      </c>
      <c r="AX378" s="95">
        <v>0</v>
      </c>
      <c r="AY378" s="95">
        <v>0</v>
      </c>
      <c r="AZ378" s="95">
        <v>0</v>
      </c>
      <c r="BA378" s="95">
        <v>0</v>
      </c>
      <c r="BB378" s="95">
        <v>0</v>
      </c>
      <c r="BC378" s="95">
        <v>0</v>
      </c>
      <c r="BD378" s="95">
        <v>0</v>
      </c>
      <c r="BE378" s="95">
        <v>0</v>
      </c>
    </row>
    <row r="379" spans="2:57" ht="15" customHeight="1" x14ac:dyDescent="0.25">
      <c r="B379" s="91">
        <v>369</v>
      </c>
      <c r="C379" s="92" t="s">
        <v>504</v>
      </c>
      <c r="D379" s="92" t="s">
        <v>43</v>
      </c>
      <c r="E379" s="92" t="s">
        <v>359</v>
      </c>
      <c r="F379" s="92" t="s">
        <v>249</v>
      </c>
      <c r="G379" s="101" t="s">
        <v>502</v>
      </c>
      <c r="H379" s="94">
        <v>6161</v>
      </c>
      <c r="I379" s="94">
        <v>3496</v>
      </c>
      <c r="J379" s="94">
        <v>2665</v>
      </c>
      <c r="K379" s="94">
        <v>378</v>
      </c>
      <c r="L379" s="94">
        <v>1465</v>
      </c>
      <c r="M379" s="94">
        <v>3205</v>
      </c>
      <c r="N379" s="94">
        <v>1113</v>
      </c>
      <c r="O379" s="94">
        <v>6159</v>
      </c>
      <c r="P379" s="94">
        <v>2</v>
      </c>
      <c r="Q379" s="95">
        <v>0.314740339220143</v>
      </c>
      <c r="R379" s="95">
        <v>0.37220843672456599</v>
      </c>
      <c r="S379" s="95">
        <v>0.24048096192384799</v>
      </c>
      <c r="T379" s="95">
        <v>0.29411764705882398</v>
      </c>
      <c r="U379" s="95">
        <v>0.66964285714285698</v>
      </c>
      <c r="V379" s="95">
        <v>0.20147750167897899</v>
      </c>
      <c r="W379" s="95">
        <v>0.18921475875118299</v>
      </c>
      <c r="X379" s="95">
        <v>0.314850446038132</v>
      </c>
      <c r="Y379" s="95">
        <v>0</v>
      </c>
      <c r="Z379" s="94">
        <v>9007</v>
      </c>
      <c r="AA379" s="94">
        <v>4799</v>
      </c>
      <c r="AB379" s="94">
        <v>4208</v>
      </c>
      <c r="AC379" s="94">
        <v>474</v>
      </c>
      <c r="AD379" s="94">
        <v>2043</v>
      </c>
      <c r="AE379" s="94">
        <v>4535</v>
      </c>
      <c r="AF379" s="94">
        <v>1955</v>
      </c>
      <c r="AG379" s="94">
        <v>8099</v>
      </c>
      <c r="AH379" s="94">
        <v>850</v>
      </c>
      <c r="AI379" s="94">
        <v>58</v>
      </c>
      <c r="AJ379" s="94">
        <v>8954</v>
      </c>
      <c r="AK379" s="94">
        <v>16</v>
      </c>
      <c r="AL379" s="94">
        <v>37</v>
      </c>
      <c r="AM379" s="94">
        <v>553</v>
      </c>
      <c r="AN379" s="94">
        <v>8340</v>
      </c>
      <c r="AO379" s="94">
        <v>114</v>
      </c>
      <c r="AP379" s="95">
        <v>1.4270674932740699</v>
      </c>
      <c r="AQ379" s="95">
        <v>0.63471219085138997</v>
      </c>
      <c r="AR379" s="95">
        <v>2.33668341708543</v>
      </c>
      <c r="AS379" s="95">
        <v>2.01793721973094</v>
      </c>
      <c r="AT379" s="95">
        <v>1.63329820864067</v>
      </c>
      <c r="AU379" s="95">
        <v>1.5711645101663601</v>
      </c>
      <c r="AV379" s="95">
        <v>0.74587107085775195</v>
      </c>
      <c r="AW379" s="95">
        <v>1.32415941840841</v>
      </c>
      <c r="AX379" s="95">
        <v>2.2784810126582302</v>
      </c>
      <c r="AY379" s="95">
        <v>3.5714285714285698</v>
      </c>
      <c r="AZ379" s="95">
        <v>1.43563191339139</v>
      </c>
      <c r="BA379" s="95">
        <v>0</v>
      </c>
      <c r="BB379" s="95">
        <v>0</v>
      </c>
      <c r="BC379" s="95">
        <v>0.56179775280898903</v>
      </c>
      <c r="BD379" s="95">
        <v>1.4915939830615601</v>
      </c>
      <c r="BE379" s="95">
        <v>0.96153846153846201</v>
      </c>
    </row>
    <row r="380" spans="2:57" ht="15" customHeight="1" x14ac:dyDescent="0.25">
      <c r="B380" s="96">
        <v>370</v>
      </c>
      <c r="C380" s="97" t="s">
        <v>504</v>
      </c>
      <c r="D380" s="104" t="s">
        <v>43</v>
      </c>
      <c r="E380" s="104" t="s">
        <v>359</v>
      </c>
      <c r="F380" s="104" t="s">
        <v>280</v>
      </c>
      <c r="G380" s="105" t="s">
        <v>280</v>
      </c>
      <c r="H380" s="106">
        <v>11327</v>
      </c>
      <c r="I380" s="106">
        <v>6091</v>
      </c>
      <c r="J380" s="106">
        <v>5236</v>
      </c>
      <c r="K380" s="106">
        <v>853</v>
      </c>
      <c r="L380" s="106">
        <v>3146</v>
      </c>
      <c r="M380" s="106">
        <v>5547</v>
      </c>
      <c r="N380" s="106">
        <v>1781</v>
      </c>
      <c r="O380" s="106">
        <v>11279</v>
      </c>
      <c r="P380" s="106">
        <v>48</v>
      </c>
      <c r="Q380" s="107">
        <v>0.70237872260723</v>
      </c>
      <c r="R380" s="107">
        <v>0.45750483899348898</v>
      </c>
      <c r="S380" s="107">
        <v>0.98098098098098097</v>
      </c>
      <c r="T380" s="107">
        <v>2.2193211488250699</v>
      </c>
      <c r="U380" s="107">
        <v>0.810536980749747</v>
      </c>
      <c r="V380" s="107">
        <v>0.51389417586600705</v>
      </c>
      <c r="W380" s="107">
        <v>0.412492634060106</v>
      </c>
      <c r="X380" s="107">
        <v>0.70528493511378598</v>
      </c>
      <c r="Y380" s="107">
        <v>0</v>
      </c>
      <c r="Z380" s="106">
        <v>14080</v>
      </c>
      <c r="AA380" s="106">
        <v>7340</v>
      </c>
      <c r="AB380" s="106">
        <v>6740</v>
      </c>
      <c r="AC380" s="106">
        <v>893</v>
      </c>
      <c r="AD380" s="106">
        <v>3750</v>
      </c>
      <c r="AE380" s="106">
        <v>6975</v>
      </c>
      <c r="AF380" s="106">
        <v>2462</v>
      </c>
      <c r="AG380" s="106">
        <v>11899</v>
      </c>
      <c r="AH380" s="106">
        <v>2112</v>
      </c>
      <c r="AI380" s="106">
        <v>69</v>
      </c>
      <c r="AJ380" s="106">
        <v>14005</v>
      </c>
      <c r="AK380" s="106">
        <v>40</v>
      </c>
      <c r="AL380" s="106">
        <v>35</v>
      </c>
      <c r="AM380" s="106">
        <v>810</v>
      </c>
      <c r="AN380" s="106">
        <v>13145</v>
      </c>
      <c r="AO380" s="106">
        <v>125</v>
      </c>
      <c r="AP380" s="107">
        <v>4.4903724630138999</v>
      </c>
      <c r="AQ380" s="107">
        <v>2.1875</v>
      </c>
      <c r="AR380" s="107">
        <v>7.0191857744501602</v>
      </c>
      <c r="AS380" s="107">
        <v>6.8711656441717803</v>
      </c>
      <c r="AT380" s="107">
        <v>5.5351595594464804</v>
      </c>
      <c r="AU380" s="107">
        <v>4.4348215618933899</v>
      </c>
      <c r="AV380" s="107">
        <v>2.2935779816513802</v>
      </c>
      <c r="AW380" s="107">
        <v>4.01296766844826</v>
      </c>
      <c r="AX380" s="107">
        <v>7.33805668016194</v>
      </c>
      <c r="AY380" s="107">
        <v>1.61290322580645</v>
      </c>
      <c r="AZ380" s="107">
        <v>4.4622169070932101</v>
      </c>
      <c r="BA380" s="107">
        <v>10.2564102564103</v>
      </c>
      <c r="BB380" s="107">
        <v>9.0909090909090899</v>
      </c>
      <c r="BC380" s="107">
        <v>4.2525773195876297</v>
      </c>
      <c r="BD380" s="107">
        <v>4.5393007884048702</v>
      </c>
      <c r="BE380" s="107">
        <v>0.84745762711864403</v>
      </c>
    </row>
    <row r="381" spans="2:57" ht="15" customHeight="1" x14ac:dyDescent="0.25">
      <c r="B381" s="91">
        <v>371</v>
      </c>
      <c r="C381" s="92" t="s">
        <v>504</v>
      </c>
      <c r="D381" s="92" t="s">
        <v>43</v>
      </c>
      <c r="E381" s="92" t="s">
        <v>359</v>
      </c>
      <c r="F381" s="92" t="s">
        <v>280</v>
      </c>
      <c r="G381" s="101" t="s">
        <v>501</v>
      </c>
      <c r="H381" s="94">
        <v>4811</v>
      </c>
      <c r="I381" s="94">
        <v>2555</v>
      </c>
      <c r="J381" s="94">
        <v>2256</v>
      </c>
      <c r="K381" s="94">
        <v>354</v>
      </c>
      <c r="L381" s="94">
        <v>1574</v>
      </c>
      <c r="M381" s="94">
        <v>2394</v>
      </c>
      <c r="N381" s="94">
        <v>489</v>
      </c>
      <c r="O381" s="94">
        <v>4765</v>
      </c>
      <c r="P381" s="94">
        <v>46</v>
      </c>
      <c r="Q381" s="95">
        <v>1.60249276652571</v>
      </c>
      <c r="R381" s="95">
        <v>0.96679277007145903</v>
      </c>
      <c r="S381" s="95">
        <v>2.3178807947019902</v>
      </c>
      <c r="T381" s="95">
        <v>5.5194805194805197</v>
      </c>
      <c r="U381" s="95">
        <v>1.64496230294722</v>
      </c>
      <c r="V381" s="95">
        <v>1.05866784296427</v>
      </c>
      <c r="W381" s="95">
        <v>1.52505446623094</v>
      </c>
      <c r="X381" s="95">
        <v>1.6176140193215001</v>
      </c>
      <c r="Y381" s="95">
        <v>0</v>
      </c>
      <c r="Z381" s="94">
        <v>6864</v>
      </c>
      <c r="AA381" s="94">
        <v>3541</v>
      </c>
      <c r="AB381" s="94">
        <v>3323</v>
      </c>
      <c r="AC381" s="94">
        <v>429</v>
      </c>
      <c r="AD381" s="94">
        <v>2216</v>
      </c>
      <c r="AE381" s="94">
        <v>3476</v>
      </c>
      <c r="AF381" s="94">
        <v>743</v>
      </c>
      <c r="AG381" s="94">
        <v>5322</v>
      </c>
      <c r="AH381" s="94">
        <v>1505</v>
      </c>
      <c r="AI381" s="94">
        <v>37</v>
      </c>
      <c r="AJ381" s="94">
        <v>6814</v>
      </c>
      <c r="AK381" s="94">
        <v>35</v>
      </c>
      <c r="AL381" s="94">
        <v>15</v>
      </c>
      <c r="AM381" s="94">
        <v>389</v>
      </c>
      <c r="AN381" s="94">
        <v>6434</v>
      </c>
      <c r="AO381" s="94">
        <v>41</v>
      </c>
      <c r="AP381" s="95">
        <v>7.8834355828220897</v>
      </c>
      <c r="AQ381" s="95">
        <v>4.0214477211796202</v>
      </c>
      <c r="AR381" s="95">
        <v>11.9822952892823</v>
      </c>
      <c r="AS381" s="95">
        <v>13.265306122448999</v>
      </c>
      <c r="AT381" s="95">
        <v>8.1339712918660307</v>
      </c>
      <c r="AU381" s="95">
        <v>7.5022597167821603</v>
      </c>
      <c r="AV381" s="95">
        <v>5.9805285118219702</v>
      </c>
      <c r="AW381" s="95">
        <v>7.4970484061393199</v>
      </c>
      <c r="AX381" s="95">
        <v>9.3950177935943096</v>
      </c>
      <c r="AY381" s="95">
        <v>3.0303030303030298</v>
      </c>
      <c r="AZ381" s="95">
        <v>7.85040951939422</v>
      </c>
      <c r="BA381" s="95">
        <v>11.764705882352899</v>
      </c>
      <c r="BB381" s="95">
        <v>13.3333333333333</v>
      </c>
      <c r="BC381" s="95">
        <v>7.6294277929155303</v>
      </c>
      <c r="BD381" s="95">
        <v>7.9313164349959102</v>
      </c>
      <c r="BE381" s="95">
        <v>2.6315789473684199</v>
      </c>
    </row>
    <row r="382" spans="2:57" ht="15" customHeight="1" x14ac:dyDescent="0.25">
      <c r="B382" s="91">
        <v>372</v>
      </c>
      <c r="C382" s="92" t="s">
        <v>504</v>
      </c>
      <c r="D382" s="92" t="s">
        <v>43</v>
      </c>
      <c r="E382" s="92" t="s">
        <v>359</v>
      </c>
      <c r="F382" s="92" t="s">
        <v>280</v>
      </c>
      <c r="G382" s="101" t="s">
        <v>502</v>
      </c>
      <c r="H382" s="94">
        <v>6516</v>
      </c>
      <c r="I382" s="94">
        <v>3536</v>
      </c>
      <c r="J382" s="94">
        <v>2980</v>
      </c>
      <c r="K382" s="94">
        <v>499</v>
      </c>
      <c r="L382" s="94">
        <v>1572</v>
      </c>
      <c r="M382" s="94">
        <v>3153</v>
      </c>
      <c r="N382" s="94">
        <v>1292</v>
      </c>
      <c r="O382" s="94">
        <v>6514</v>
      </c>
      <c r="P382" s="94">
        <v>2</v>
      </c>
      <c r="Q382" s="95">
        <v>4.8504446240905399E-2</v>
      </c>
      <c r="R382" s="95">
        <v>9.0799031476997596E-2</v>
      </c>
      <c r="S382" s="95">
        <v>0</v>
      </c>
      <c r="T382" s="95">
        <v>0</v>
      </c>
      <c r="U382" s="95">
        <v>0</v>
      </c>
      <c r="V382" s="95">
        <v>0.100435219283562</v>
      </c>
      <c r="W382" s="95">
        <v>0</v>
      </c>
      <c r="X382" s="95">
        <v>4.8520135856380403E-2</v>
      </c>
      <c r="Y382" s="95">
        <v>0</v>
      </c>
      <c r="Z382" s="94">
        <v>7216</v>
      </c>
      <c r="AA382" s="94">
        <v>3799</v>
      </c>
      <c r="AB382" s="94">
        <v>3417</v>
      </c>
      <c r="AC382" s="94">
        <v>464</v>
      </c>
      <c r="AD382" s="94">
        <v>1534</v>
      </c>
      <c r="AE382" s="94">
        <v>3499</v>
      </c>
      <c r="AF382" s="94">
        <v>1719</v>
      </c>
      <c r="AG382" s="94">
        <v>6577</v>
      </c>
      <c r="AH382" s="94">
        <v>607</v>
      </c>
      <c r="AI382" s="94">
        <v>32</v>
      </c>
      <c r="AJ382" s="94">
        <v>7191</v>
      </c>
      <c r="AK382" s="94">
        <v>5</v>
      </c>
      <c r="AL382" s="94">
        <v>20</v>
      </c>
      <c r="AM382" s="94">
        <v>421</v>
      </c>
      <c r="AN382" s="94">
        <v>6711</v>
      </c>
      <c r="AO382" s="94">
        <v>84</v>
      </c>
      <c r="AP382" s="95">
        <v>1.2985139229548399</v>
      </c>
      <c r="AQ382" s="95">
        <v>0.51588379038827004</v>
      </c>
      <c r="AR382" s="95">
        <v>2.185960591133</v>
      </c>
      <c r="AS382" s="95">
        <v>0.94562647754137097</v>
      </c>
      <c r="AT382" s="95">
        <v>1.79186767746382</v>
      </c>
      <c r="AU382" s="95">
        <v>1.42095914742451</v>
      </c>
      <c r="AV382" s="95">
        <v>0.71471113758189397</v>
      </c>
      <c r="AW382" s="95">
        <v>1.21623756120676</v>
      </c>
      <c r="AX382" s="95">
        <v>2.27670753064799</v>
      </c>
      <c r="AY382" s="95">
        <v>0</v>
      </c>
      <c r="AZ382" s="95">
        <v>1.2883613202084501</v>
      </c>
      <c r="BA382" s="95">
        <v>0</v>
      </c>
      <c r="BB382" s="95">
        <v>5.5555555555555598</v>
      </c>
      <c r="BC382" s="95">
        <v>1.22249388753056</v>
      </c>
      <c r="BD382" s="95">
        <v>1.3194660043464801</v>
      </c>
      <c r="BE382" s="95">
        <v>0</v>
      </c>
    </row>
    <row r="383" spans="2:57" ht="15" customHeight="1" x14ac:dyDescent="0.25">
      <c r="B383" s="96">
        <v>373</v>
      </c>
      <c r="C383" s="97" t="s">
        <v>504</v>
      </c>
      <c r="D383" s="104" t="s">
        <v>43</v>
      </c>
      <c r="E383" s="104" t="s">
        <v>359</v>
      </c>
      <c r="F383" s="104" t="s">
        <v>229</v>
      </c>
      <c r="G383" s="105" t="s">
        <v>229</v>
      </c>
      <c r="H383" s="106">
        <v>5000</v>
      </c>
      <c r="I383" s="106">
        <v>2862</v>
      </c>
      <c r="J383" s="106">
        <v>2138</v>
      </c>
      <c r="K383" s="106">
        <v>325</v>
      </c>
      <c r="L383" s="106">
        <v>1293</v>
      </c>
      <c r="M383" s="106">
        <v>2605</v>
      </c>
      <c r="N383" s="106">
        <v>777</v>
      </c>
      <c r="O383" s="106">
        <v>4997</v>
      </c>
      <c r="P383" s="106">
        <v>3</v>
      </c>
      <c r="Q383" s="107">
        <v>0.45132172791747299</v>
      </c>
      <c r="R383" s="107">
        <v>0.56625141562853898</v>
      </c>
      <c r="S383" s="107">
        <v>0.29940119760479</v>
      </c>
      <c r="T383" s="107">
        <v>0.696864111498258</v>
      </c>
      <c r="U383" s="107">
        <v>0.58675607711651301</v>
      </c>
      <c r="V383" s="107">
        <v>0.45174537987679703</v>
      </c>
      <c r="W383" s="107">
        <v>0.13550135501355001</v>
      </c>
      <c r="X383" s="107">
        <v>0.45161290322580599</v>
      </c>
      <c r="Y383" s="107">
        <v>0</v>
      </c>
      <c r="Z383" s="106">
        <v>6872</v>
      </c>
      <c r="AA383" s="106">
        <v>3696</v>
      </c>
      <c r="AB383" s="106">
        <v>3176</v>
      </c>
      <c r="AC383" s="106">
        <v>355</v>
      </c>
      <c r="AD383" s="106">
        <v>1771</v>
      </c>
      <c r="AE383" s="106">
        <v>3536</v>
      </c>
      <c r="AF383" s="106">
        <v>1210</v>
      </c>
      <c r="AG383" s="106">
        <v>6383</v>
      </c>
      <c r="AH383" s="106">
        <v>458</v>
      </c>
      <c r="AI383" s="106">
        <v>31</v>
      </c>
      <c r="AJ383" s="106">
        <v>6826</v>
      </c>
      <c r="AK383" s="106">
        <v>18</v>
      </c>
      <c r="AL383" s="106">
        <v>28</v>
      </c>
      <c r="AM383" s="106">
        <v>312</v>
      </c>
      <c r="AN383" s="106">
        <v>6485</v>
      </c>
      <c r="AO383" s="106">
        <v>75</v>
      </c>
      <c r="AP383" s="107">
        <v>1.4852985753258601</v>
      </c>
      <c r="AQ383" s="107">
        <v>0.73054228715931402</v>
      </c>
      <c r="AR383" s="107">
        <v>2.3692003948667302</v>
      </c>
      <c r="AS383" s="107">
        <v>1.16959064327485</v>
      </c>
      <c r="AT383" s="107">
        <v>1.67464114832536</v>
      </c>
      <c r="AU383" s="107">
        <v>1.5583651867097901</v>
      </c>
      <c r="AV383" s="107">
        <v>1.0989010989011001</v>
      </c>
      <c r="AW383" s="107">
        <v>1.50057086935247</v>
      </c>
      <c r="AX383" s="107">
        <v>1.3667425968109299</v>
      </c>
      <c r="AY383" s="107">
        <v>0</v>
      </c>
      <c r="AZ383" s="107">
        <v>1.49504195270786</v>
      </c>
      <c r="BA383" s="107">
        <v>0</v>
      </c>
      <c r="BB383" s="107">
        <v>0</v>
      </c>
      <c r="BC383" s="107">
        <v>0</v>
      </c>
      <c r="BD383" s="107">
        <v>1.5745501285347001</v>
      </c>
      <c r="BE383" s="107">
        <v>0</v>
      </c>
    </row>
    <row r="384" spans="2:57" ht="15" customHeight="1" x14ac:dyDescent="0.25">
      <c r="B384" s="91">
        <v>374</v>
      </c>
      <c r="C384" s="92" t="s">
        <v>504</v>
      </c>
      <c r="D384" s="92" t="s">
        <v>43</v>
      </c>
      <c r="E384" s="92" t="s">
        <v>359</v>
      </c>
      <c r="F384" s="92" t="s">
        <v>229</v>
      </c>
      <c r="G384" s="101" t="s">
        <v>501</v>
      </c>
      <c r="H384" s="94">
        <v>1502</v>
      </c>
      <c r="I384" s="94">
        <v>861</v>
      </c>
      <c r="J384" s="94">
        <v>641</v>
      </c>
      <c r="K384" s="94">
        <v>108</v>
      </c>
      <c r="L384" s="94">
        <v>415</v>
      </c>
      <c r="M384" s="94">
        <v>807</v>
      </c>
      <c r="N384" s="94">
        <v>172</v>
      </c>
      <c r="O384" s="94">
        <v>1501</v>
      </c>
      <c r="P384" s="94">
        <v>1</v>
      </c>
      <c r="Q384" s="95">
        <v>0.443131462333826</v>
      </c>
      <c r="R384" s="95">
        <v>0.25906735751295301</v>
      </c>
      <c r="S384" s="95">
        <v>0.68728522336769804</v>
      </c>
      <c r="T384" s="95">
        <v>0</v>
      </c>
      <c r="U384" s="95">
        <v>0.26455026455026498</v>
      </c>
      <c r="V384" s="95">
        <v>0.68119891008174405</v>
      </c>
      <c r="W384" s="95">
        <v>0</v>
      </c>
      <c r="X384" s="95">
        <v>0.44345898004434597</v>
      </c>
      <c r="Y384" s="95">
        <v>0</v>
      </c>
      <c r="Z384" s="94">
        <v>3984</v>
      </c>
      <c r="AA384" s="94">
        <v>2151</v>
      </c>
      <c r="AB384" s="94">
        <v>1833</v>
      </c>
      <c r="AC384" s="94">
        <v>195</v>
      </c>
      <c r="AD384" s="94">
        <v>1109</v>
      </c>
      <c r="AE384" s="94">
        <v>2091</v>
      </c>
      <c r="AF384" s="94">
        <v>589</v>
      </c>
      <c r="AG384" s="94">
        <v>3663</v>
      </c>
      <c r="AH384" s="94">
        <v>305</v>
      </c>
      <c r="AI384" s="94">
        <v>16</v>
      </c>
      <c r="AJ384" s="94">
        <v>3964</v>
      </c>
      <c r="AK384" s="94">
        <v>9</v>
      </c>
      <c r="AL384" s="94">
        <v>11</v>
      </c>
      <c r="AM384" s="94">
        <v>131</v>
      </c>
      <c r="AN384" s="94">
        <v>3821</v>
      </c>
      <c r="AO384" s="94">
        <v>32</v>
      </c>
      <c r="AP384" s="95">
        <v>1.61122661122661</v>
      </c>
      <c r="AQ384" s="95">
        <v>0.57999033349444196</v>
      </c>
      <c r="AR384" s="95">
        <v>2.8105677346824098</v>
      </c>
      <c r="AS384" s="95">
        <v>2.09424083769634</v>
      </c>
      <c r="AT384" s="95">
        <v>1.89035916824197</v>
      </c>
      <c r="AU384" s="95">
        <v>1.4320987654321</v>
      </c>
      <c r="AV384" s="95">
        <v>1.5679442508710799</v>
      </c>
      <c r="AW384" s="95">
        <v>1.5828151498021501</v>
      </c>
      <c r="AX384" s="95">
        <v>2.0270270270270299</v>
      </c>
      <c r="AY384" s="95">
        <v>0</v>
      </c>
      <c r="AZ384" s="95">
        <v>1.6192217289109401</v>
      </c>
      <c r="BA384" s="95">
        <v>0</v>
      </c>
      <c r="BB384" s="95">
        <v>0</v>
      </c>
      <c r="BC384" s="95">
        <v>0</v>
      </c>
      <c r="BD384" s="95">
        <v>1.67930660888407</v>
      </c>
      <c r="BE384" s="95">
        <v>0</v>
      </c>
    </row>
    <row r="385" spans="2:57" ht="15" customHeight="1" x14ac:dyDescent="0.25">
      <c r="B385" s="91">
        <v>375</v>
      </c>
      <c r="C385" s="92" t="s">
        <v>504</v>
      </c>
      <c r="D385" s="92" t="s">
        <v>43</v>
      </c>
      <c r="E385" s="92" t="s">
        <v>359</v>
      </c>
      <c r="F385" s="92" t="s">
        <v>229</v>
      </c>
      <c r="G385" s="101" t="s">
        <v>502</v>
      </c>
      <c r="H385" s="94">
        <v>3498</v>
      </c>
      <c r="I385" s="94">
        <v>2001</v>
      </c>
      <c r="J385" s="94">
        <v>1497</v>
      </c>
      <c r="K385" s="94">
        <v>217</v>
      </c>
      <c r="L385" s="94">
        <v>878</v>
      </c>
      <c r="M385" s="94">
        <v>1798</v>
      </c>
      <c r="N385" s="94">
        <v>605</v>
      </c>
      <c r="O385" s="94">
        <v>3496</v>
      </c>
      <c r="P385" s="94">
        <v>2</v>
      </c>
      <c r="Q385" s="95">
        <v>0.45468323734464999</v>
      </c>
      <c r="R385" s="95">
        <v>0.69259456579648404</v>
      </c>
      <c r="S385" s="95">
        <v>0.140646976090014</v>
      </c>
      <c r="T385" s="95">
        <v>1.0050251256281399</v>
      </c>
      <c r="U385" s="95">
        <v>0.73619631901840499</v>
      </c>
      <c r="V385" s="95">
        <v>0.35273368606701899</v>
      </c>
      <c r="W385" s="95">
        <v>0.17123287671232901</v>
      </c>
      <c r="X385" s="95">
        <v>0.45495905368516798</v>
      </c>
      <c r="Y385" s="95">
        <v>0</v>
      </c>
      <c r="Z385" s="94">
        <v>2888</v>
      </c>
      <c r="AA385" s="94">
        <v>1545</v>
      </c>
      <c r="AB385" s="94">
        <v>1343</v>
      </c>
      <c r="AC385" s="94">
        <v>160</v>
      </c>
      <c r="AD385" s="94">
        <v>662</v>
      </c>
      <c r="AE385" s="94">
        <v>1445</v>
      </c>
      <c r="AF385" s="94">
        <v>621</v>
      </c>
      <c r="AG385" s="94">
        <v>2720</v>
      </c>
      <c r="AH385" s="94">
        <v>153</v>
      </c>
      <c r="AI385" s="94">
        <v>15</v>
      </c>
      <c r="AJ385" s="94">
        <v>2862</v>
      </c>
      <c r="AK385" s="94">
        <v>9</v>
      </c>
      <c r="AL385" s="94">
        <v>17</v>
      </c>
      <c r="AM385" s="94">
        <v>181</v>
      </c>
      <c r="AN385" s="94">
        <v>2664</v>
      </c>
      <c r="AO385" s="94">
        <v>43</v>
      </c>
      <c r="AP385" s="95">
        <v>1.30909090909091</v>
      </c>
      <c r="AQ385" s="95">
        <v>0.93959731543624203</v>
      </c>
      <c r="AR385" s="95">
        <v>1.74603174603175</v>
      </c>
      <c r="AS385" s="95">
        <v>0</v>
      </c>
      <c r="AT385" s="95">
        <v>1.30293159609121</v>
      </c>
      <c r="AU385" s="95">
        <v>1.7441860465116299</v>
      </c>
      <c r="AV385" s="95">
        <v>0.65681444991789795</v>
      </c>
      <c r="AW385" s="95">
        <v>1.38835325877362</v>
      </c>
      <c r="AX385" s="95">
        <v>0</v>
      </c>
      <c r="AY385" s="95">
        <v>0</v>
      </c>
      <c r="AZ385" s="95">
        <v>1.32061628760088</v>
      </c>
      <c r="BA385" s="95">
        <v>0</v>
      </c>
      <c r="BB385" s="95">
        <v>0</v>
      </c>
      <c r="BC385" s="95">
        <v>0</v>
      </c>
      <c r="BD385" s="95">
        <v>1.4218009478672999</v>
      </c>
      <c r="BE385" s="95">
        <v>0</v>
      </c>
    </row>
    <row r="386" spans="2:57" ht="15" customHeight="1" x14ac:dyDescent="0.25">
      <c r="B386" s="96">
        <v>376</v>
      </c>
      <c r="C386" s="97" t="s">
        <v>504</v>
      </c>
      <c r="D386" s="104" t="s">
        <v>43</v>
      </c>
      <c r="E386" s="104" t="s">
        <v>359</v>
      </c>
      <c r="F386" s="104" t="s">
        <v>100</v>
      </c>
      <c r="G386" s="105" t="s">
        <v>100</v>
      </c>
      <c r="H386" s="106">
        <v>2645</v>
      </c>
      <c r="I386" s="106">
        <v>1472</v>
      </c>
      <c r="J386" s="106">
        <v>1173</v>
      </c>
      <c r="K386" s="106">
        <v>132</v>
      </c>
      <c r="L386" s="106">
        <v>686</v>
      </c>
      <c r="M386" s="106">
        <v>1401</v>
      </c>
      <c r="N386" s="106">
        <v>426</v>
      </c>
      <c r="O386" s="106">
        <v>2643</v>
      </c>
      <c r="P386" s="106">
        <v>2</v>
      </c>
      <c r="Q386" s="107">
        <v>0.37174721189591098</v>
      </c>
      <c r="R386" s="107">
        <v>0.44876589379207199</v>
      </c>
      <c r="S386" s="107">
        <v>0.27675276752767503</v>
      </c>
      <c r="T386" s="107">
        <v>0</v>
      </c>
      <c r="U386" s="107">
        <v>0.646203554119548</v>
      </c>
      <c r="V386" s="107">
        <v>0.386996904024768</v>
      </c>
      <c r="W386" s="107">
        <v>0</v>
      </c>
      <c r="X386" s="107">
        <v>0.372054568003307</v>
      </c>
      <c r="Y386" s="107">
        <v>0</v>
      </c>
      <c r="Z386" s="106">
        <v>2876</v>
      </c>
      <c r="AA386" s="106">
        <v>1484</v>
      </c>
      <c r="AB386" s="106">
        <v>1392</v>
      </c>
      <c r="AC386" s="106">
        <v>93</v>
      </c>
      <c r="AD386" s="106">
        <v>645</v>
      </c>
      <c r="AE386" s="106">
        <v>1574</v>
      </c>
      <c r="AF386" s="106">
        <v>564</v>
      </c>
      <c r="AG386" s="106">
        <v>2245</v>
      </c>
      <c r="AH386" s="106">
        <v>609</v>
      </c>
      <c r="AI386" s="106">
        <v>22</v>
      </c>
      <c r="AJ386" s="106">
        <v>2856</v>
      </c>
      <c r="AK386" s="106">
        <v>6</v>
      </c>
      <c r="AL386" s="106">
        <v>14</v>
      </c>
      <c r="AM386" s="106">
        <v>206</v>
      </c>
      <c r="AN386" s="106">
        <v>2634</v>
      </c>
      <c r="AO386" s="106">
        <v>36</v>
      </c>
      <c r="AP386" s="107">
        <v>2.2743947175348498</v>
      </c>
      <c r="AQ386" s="107">
        <v>1.6416845110635301</v>
      </c>
      <c r="AR386" s="107">
        <v>2.9433962264150901</v>
      </c>
      <c r="AS386" s="107">
        <v>2.3529411764705901</v>
      </c>
      <c r="AT386" s="107">
        <v>2.8667790893760499</v>
      </c>
      <c r="AU386" s="107">
        <v>2.2606382978723398</v>
      </c>
      <c r="AV386" s="107">
        <v>1.65441176470588</v>
      </c>
      <c r="AW386" s="107">
        <v>2.21176470588235</v>
      </c>
      <c r="AX386" s="107">
        <v>2.59067357512953</v>
      </c>
      <c r="AY386" s="107">
        <v>0</v>
      </c>
      <c r="AZ386" s="107">
        <v>2.2895125553914299</v>
      </c>
      <c r="BA386" s="107">
        <v>0</v>
      </c>
      <c r="BB386" s="107">
        <v>0</v>
      </c>
      <c r="BC386" s="107">
        <v>2.5510204081632701</v>
      </c>
      <c r="BD386" s="107">
        <v>2.2836538461538498</v>
      </c>
      <c r="BE386" s="107">
        <v>0</v>
      </c>
    </row>
    <row r="387" spans="2:57" ht="15" customHeight="1" x14ac:dyDescent="0.25">
      <c r="B387" s="91">
        <v>377</v>
      </c>
      <c r="C387" s="92" t="s">
        <v>504</v>
      </c>
      <c r="D387" s="92" t="s">
        <v>43</v>
      </c>
      <c r="E387" s="92" t="s">
        <v>359</v>
      </c>
      <c r="F387" s="92" t="s">
        <v>100</v>
      </c>
      <c r="G387" s="101" t="s">
        <v>501</v>
      </c>
      <c r="H387" s="94">
        <v>1420</v>
      </c>
      <c r="I387" s="94">
        <v>793</v>
      </c>
      <c r="J387" s="94">
        <v>627</v>
      </c>
      <c r="K387" s="94">
        <v>62</v>
      </c>
      <c r="L387" s="94">
        <v>372</v>
      </c>
      <c r="M387" s="94">
        <v>774</v>
      </c>
      <c r="N387" s="94">
        <v>212</v>
      </c>
      <c r="O387" s="94">
        <v>1419</v>
      </c>
      <c r="P387" s="94">
        <v>1</v>
      </c>
      <c r="Q387" s="95">
        <v>0.39032006245120998</v>
      </c>
      <c r="R387" s="95">
        <v>0.56100981767180902</v>
      </c>
      <c r="S387" s="95">
        <v>0.176056338028169</v>
      </c>
      <c r="T387" s="95">
        <v>0</v>
      </c>
      <c r="U387" s="95">
        <v>0.60790273556231</v>
      </c>
      <c r="V387" s="95">
        <v>0.42313117066290601</v>
      </c>
      <c r="W387" s="95">
        <v>0</v>
      </c>
      <c r="X387" s="95">
        <v>0.390625</v>
      </c>
      <c r="Y387" s="95">
        <v>0</v>
      </c>
      <c r="Z387" s="94">
        <v>1825</v>
      </c>
      <c r="AA387" s="94">
        <v>923</v>
      </c>
      <c r="AB387" s="94">
        <v>902</v>
      </c>
      <c r="AC387" s="94">
        <v>70</v>
      </c>
      <c r="AD387" s="94">
        <v>432</v>
      </c>
      <c r="AE387" s="94">
        <v>1009</v>
      </c>
      <c r="AF387" s="94">
        <v>314</v>
      </c>
      <c r="AG387" s="94">
        <v>1416</v>
      </c>
      <c r="AH387" s="94">
        <v>397</v>
      </c>
      <c r="AI387" s="94">
        <v>12</v>
      </c>
      <c r="AJ387" s="94">
        <v>1811</v>
      </c>
      <c r="AK387" s="94">
        <v>4</v>
      </c>
      <c r="AL387" s="94">
        <v>10</v>
      </c>
      <c r="AM387" s="94">
        <v>131</v>
      </c>
      <c r="AN387" s="94">
        <v>1673</v>
      </c>
      <c r="AO387" s="94">
        <v>21</v>
      </c>
      <c r="AP387" s="95">
        <v>2.6331187829139799</v>
      </c>
      <c r="AQ387" s="95">
        <v>1.8648018648018601</v>
      </c>
      <c r="AR387" s="95">
        <v>3.4077555816686198</v>
      </c>
      <c r="AS387" s="95">
        <v>3.0769230769230802</v>
      </c>
      <c r="AT387" s="95">
        <v>2.5706940874035999</v>
      </c>
      <c r="AU387" s="95">
        <v>2.7225130890052398</v>
      </c>
      <c r="AV387" s="95">
        <v>2.3333333333333299</v>
      </c>
      <c r="AW387" s="95">
        <v>2.64550264550265</v>
      </c>
      <c r="AX387" s="95">
        <v>2.6737967914438499</v>
      </c>
      <c r="AY387" s="95">
        <v>0</v>
      </c>
      <c r="AZ387" s="95">
        <v>2.6517383618149699</v>
      </c>
      <c r="BA387" s="95">
        <v>0</v>
      </c>
      <c r="BB387" s="95">
        <v>0</v>
      </c>
      <c r="BC387" s="95">
        <v>3.2258064516128999</v>
      </c>
      <c r="BD387" s="95">
        <v>2.61813537675607</v>
      </c>
      <c r="BE387" s="95">
        <v>0</v>
      </c>
    </row>
    <row r="388" spans="2:57" ht="15" customHeight="1" x14ac:dyDescent="0.25">
      <c r="B388" s="91">
        <v>378</v>
      </c>
      <c r="C388" s="92" t="s">
        <v>504</v>
      </c>
      <c r="D388" s="92" t="s">
        <v>43</v>
      </c>
      <c r="E388" s="92" t="s">
        <v>359</v>
      </c>
      <c r="F388" s="92" t="s">
        <v>100</v>
      </c>
      <c r="G388" s="101" t="s">
        <v>502</v>
      </c>
      <c r="H388" s="94">
        <v>1225</v>
      </c>
      <c r="I388" s="94">
        <v>679</v>
      </c>
      <c r="J388" s="94">
        <v>546</v>
      </c>
      <c r="K388" s="94">
        <v>70</v>
      </c>
      <c r="L388" s="94">
        <v>314</v>
      </c>
      <c r="M388" s="94">
        <v>627</v>
      </c>
      <c r="N388" s="94">
        <v>214</v>
      </c>
      <c r="O388" s="94">
        <v>1224</v>
      </c>
      <c r="P388" s="94">
        <v>1</v>
      </c>
      <c r="Q388" s="95">
        <v>0.35087719298245601</v>
      </c>
      <c r="R388" s="95">
        <v>0.32051282051281998</v>
      </c>
      <c r="S388" s="95">
        <v>0.387596899224806</v>
      </c>
      <c r="T388" s="95">
        <v>0</v>
      </c>
      <c r="U388" s="95">
        <v>0.68965517241379304</v>
      </c>
      <c r="V388" s="95">
        <v>0.34305317324185203</v>
      </c>
      <c r="W388" s="95">
        <v>0</v>
      </c>
      <c r="X388" s="95">
        <v>0.35118525021949099</v>
      </c>
      <c r="Y388" s="95">
        <v>0</v>
      </c>
      <c r="Z388" s="94">
        <v>1051</v>
      </c>
      <c r="AA388" s="94">
        <v>561</v>
      </c>
      <c r="AB388" s="94">
        <v>490</v>
      </c>
      <c r="AC388" s="94">
        <v>23</v>
      </c>
      <c r="AD388" s="94">
        <v>213</v>
      </c>
      <c r="AE388" s="94">
        <v>565</v>
      </c>
      <c r="AF388" s="94">
        <v>250</v>
      </c>
      <c r="AG388" s="94">
        <v>829</v>
      </c>
      <c r="AH388" s="94">
        <v>212</v>
      </c>
      <c r="AI388" s="94">
        <v>10</v>
      </c>
      <c r="AJ388" s="94">
        <v>1045</v>
      </c>
      <c r="AK388" s="94">
        <v>2</v>
      </c>
      <c r="AL388" s="94">
        <v>4</v>
      </c>
      <c r="AM388" s="94">
        <v>75</v>
      </c>
      <c r="AN388" s="94">
        <v>961</v>
      </c>
      <c r="AO388" s="94">
        <v>15</v>
      </c>
      <c r="AP388" s="95">
        <v>1.6715830875122899</v>
      </c>
      <c r="AQ388" s="95">
        <v>1.28913443830571</v>
      </c>
      <c r="AR388" s="95">
        <v>2.1097046413502101</v>
      </c>
      <c r="AS388" s="95">
        <v>0</v>
      </c>
      <c r="AT388" s="95">
        <v>3.4313725490196099</v>
      </c>
      <c r="AU388" s="95">
        <v>1.4571948998178501</v>
      </c>
      <c r="AV388" s="95">
        <v>0.81967213114754101</v>
      </c>
      <c r="AW388" s="95">
        <v>1.4962593516209499</v>
      </c>
      <c r="AX388" s="95">
        <v>2.4390243902439002</v>
      </c>
      <c r="AY388" s="95">
        <v>0</v>
      </c>
      <c r="AZ388" s="95">
        <v>1.68150346191889</v>
      </c>
      <c r="BA388" s="95">
        <v>0</v>
      </c>
      <c r="BB388" s="95">
        <v>0</v>
      </c>
      <c r="BC388" s="95">
        <v>1.3888888888888899</v>
      </c>
      <c r="BD388" s="95">
        <v>1.72043010752688</v>
      </c>
      <c r="BE388" s="95">
        <v>0</v>
      </c>
    </row>
    <row r="389" spans="2:57" ht="15" customHeight="1" x14ac:dyDescent="0.25">
      <c r="B389" s="86">
        <v>379</v>
      </c>
      <c r="C389" s="87" t="s">
        <v>503</v>
      </c>
      <c r="D389" s="103" t="s">
        <v>43</v>
      </c>
      <c r="E389" s="103" t="s">
        <v>360</v>
      </c>
      <c r="F389" s="103"/>
      <c r="G389" s="88" t="s">
        <v>360</v>
      </c>
      <c r="H389" s="89">
        <v>22221</v>
      </c>
      <c r="I389" s="89">
        <v>11781</v>
      </c>
      <c r="J389" s="89">
        <v>10440</v>
      </c>
      <c r="K389" s="89">
        <v>1426</v>
      </c>
      <c r="L389" s="89">
        <v>6091</v>
      </c>
      <c r="M389" s="89">
        <v>11578</v>
      </c>
      <c r="N389" s="89">
        <v>3126</v>
      </c>
      <c r="O389" s="89">
        <v>22147</v>
      </c>
      <c r="P389" s="89">
        <v>74</v>
      </c>
      <c r="Q389" s="90">
        <v>1.1615481113227699</v>
      </c>
      <c r="R389" s="90">
        <v>0.96728807597608202</v>
      </c>
      <c r="S389" s="90">
        <v>1.3791744655698901</v>
      </c>
      <c r="T389" s="90">
        <v>1.55440414507772</v>
      </c>
      <c r="U389" s="90">
        <v>1.2589316093909499</v>
      </c>
      <c r="V389" s="90">
        <v>1.2085666044610299</v>
      </c>
      <c r="W389" s="90">
        <v>0.62479447550148004</v>
      </c>
      <c r="X389" s="90">
        <v>1.1280999440611601</v>
      </c>
      <c r="Y389" s="90">
        <v>11.2676056338028</v>
      </c>
      <c r="Z389" s="89">
        <v>31737</v>
      </c>
      <c r="AA389" s="89">
        <v>16759</v>
      </c>
      <c r="AB389" s="89">
        <v>14978</v>
      </c>
      <c r="AC389" s="89">
        <v>1514</v>
      </c>
      <c r="AD389" s="89">
        <v>8380</v>
      </c>
      <c r="AE389" s="89">
        <v>17029</v>
      </c>
      <c r="AF389" s="89">
        <v>4814</v>
      </c>
      <c r="AG389" s="89">
        <v>24014</v>
      </c>
      <c r="AH389" s="89">
        <v>7514</v>
      </c>
      <c r="AI389" s="89">
        <v>209</v>
      </c>
      <c r="AJ389" s="89">
        <v>31502</v>
      </c>
      <c r="AK389" s="89">
        <v>139</v>
      </c>
      <c r="AL389" s="89">
        <v>96</v>
      </c>
      <c r="AM389" s="89">
        <v>1939</v>
      </c>
      <c r="AN389" s="89">
        <v>29524</v>
      </c>
      <c r="AO389" s="89">
        <v>274</v>
      </c>
      <c r="AP389" s="90">
        <v>2.6667538154841699</v>
      </c>
      <c r="AQ389" s="90">
        <v>1.53941267387944</v>
      </c>
      <c r="AR389" s="90">
        <v>3.9309484193011599</v>
      </c>
      <c r="AS389" s="90">
        <v>3.5</v>
      </c>
      <c r="AT389" s="90">
        <v>3.0859570214892602</v>
      </c>
      <c r="AU389" s="90">
        <v>2.5737297886513701</v>
      </c>
      <c r="AV389" s="90">
        <v>2.0290474156343401</v>
      </c>
      <c r="AW389" s="90">
        <v>2.1015987622485799</v>
      </c>
      <c r="AX389" s="90">
        <v>4.4868199663488504</v>
      </c>
      <c r="AY389" s="90">
        <v>3.5175879396984899</v>
      </c>
      <c r="AZ389" s="90">
        <v>2.6238683127572</v>
      </c>
      <c r="BA389" s="90">
        <v>12.8787878787879</v>
      </c>
      <c r="BB389" s="90">
        <v>2.1739130434782599</v>
      </c>
      <c r="BC389" s="90">
        <v>1.9576719576719599</v>
      </c>
      <c r="BD389" s="90">
        <v>2.7174295155733699</v>
      </c>
      <c r="BE389" s="90">
        <v>2.2813688212927801</v>
      </c>
    </row>
    <row r="390" spans="2:57" ht="15" customHeight="1" x14ac:dyDescent="0.25">
      <c r="B390" s="91">
        <v>380</v>
      </c>
      <c r="C390" s="92" t="s">
        <v>503</v>
      </c>
      <c r="D390" s="92" t="s">
        <v>43</v>
      </c>
      <c r="E390" s="92" t="s">
        <v>360</v>
      </c>
      <c r="F390" s="92"/>
      <c r="G390" s="93" t="s">
        <v>501</v>
      </c>
      <c r="H390" s="94">
        <v>1273</v>
      </c>
      <c r="I390" s="94">
        <v>675</v>
      </c>
      <c r="J390" s="94">
        <v>598</v>
      </c>
      <c r="K390" s="94">
        <v>67</v>
      </c>
      <c r="L390" s="94">
        <v>340</v>
      </c>
      <c r="M390" s="94">
        <v>682</v>
      </c>
      <c r="N390" s="94">
        <v>184</v>
      </c>
      <c r="O390" s="94">
        <v>1256</v>
      </c>
      <c r="P390" s="94">
        <v>17</v>
      </c>
      <c r="Q390" s="95">
        <v>8.5596707818930007</v>
      </c>
      <c r="R390" s="95">
        <v>6.9767441860465098</v>
      </c>
      <c r="S390" s="95">
        <v>10.3508771929825</v>
      </c>
      <c r="T390" s="95">
        <v>19.047619047619001</v>
      </c>
      <c r="U390" s="95">
        <v>7.9754601226993902</v>
      </c>
      <c r="V390" s="95">
        <v>8.7022900763358795</v>
      </c>
      <c r="W390" s="95">
        <v>5.2631578947368398</v>
      </c>
      <c r="X390" s="95">
        <v>8.4307178631051691</v>
      </c>
      <c r="Y390" s="95">
        <v>17.647058823529399</v>
      </c>
      <c r="Z390" s="94">
        <v>3665</v>
      </c>
      <c r="AA390" s="94">
        <v>1849</v>
      </c>
      <c r="AB390" s="94">
        <v>1816</v>
      </c>
      <c r="AC390" s="94">
        <v>162</v>
      </c>
      <c r="AD390" s="94">
        <v>772</v>
      </c>
      <c r="AE390" s="94">
        <v>2017</v>
      </c>
      <c r="AF390" s="94">
        <v>714</v>
      </c>
      <c r="AG390" s="94">
        <v>2290</v>
      </c>
      <c r="AH390" s="94">
        <v>1348</v>
      </c>
      <c r="AI390" s="94">
        <v>27</v>
      </c>
      <c r="AJ390" s="94">
        <v>3620</v>
      </c>
      <c r="AK390" s="94">
        <v>34</v>
      </c>
      <c r="AL390" s="94">
        <v>11</v>
      </c>
      <c r="AM390" s="94">
        <v>311</v>
      </c>
      <c r="AN390" s="94">
        <v>3323</v>
      </c>
      <c r="AO390" s="94">
        <v>31</v>
      </c>
      <c r="AP390" s="95">
        <v>7.9805491990846704</v>
      </c>
      <c r="AQ390" s="95">
        <v>4.7297297297297298</v>
      </c>
      <c r="AR390" s="95">
        <v>11.337209302325601</v>
      </c>
      <c r="AS390" s="95">
        <v>15.6862745098039</v>
      </c>
      <c r="AT390" s="95">
        <v>8.2880434782608692</v>
      </c>
      <c r="AU390" s="95">
        <v>7.5168481078278901</v>
      </c>
      <c r="AV390" s="95">
        <v>7.2271386430678497</v>
      </c>
      <c r="AW390" s="95">
        <v>7.0255474452554703</v>
      </c>
      <c r="AX390" s="95">
        <v>9.6319498825371994</v>
      </c>
      <c r="AY390" s="95">
        <v>7.4074074074074101</v>
      </c>
      <c r="AZ390" s="95">
        <v>7.9061685490877496</v>
      </c>
      <c r="BA390" s="95">
        <v>18.75</v>
      </c>
      <c r="BB390" s="95">
        <v>0</v>
      </c>
      <c r="BC390" s="95">
        <v>5.3511705685618702</v>
      </c>
      <c r="BD390" s="95">
        <v>8.2386363636363598</v>
      </c>
      <c r="BE390" s="95">
        <v>6.8965517241379297</v>
      </c>
    </row>
    <row r="391" spans="2:57" ht="15" customHeight="1" x14ac:dyDescent="0.25">
      <c r="B391" s="91">
        <v>381</v>
      </c>
      <c r="C391" s="92" t="s">
        <v>503</v>
      </c>
      <c r="D391" s="92" t="s">
        <v>43</v>
      </c>
      <c r="E391" s="92" t="s">
        <v>360</v>
      </c>
      <c r="F391" s="92"/>
      <c r="G391" s="93" t="s">
        <v>502</v>
      </c>
      <c r="H391" s="94">
        <v>20948</v>
      </c>
      <c r="I391" s="94">
        <v>11106</v>
      </c>
      <c r="J391" s="94">
        <v>9842</v>
      </c>
      <c r="K391" s="94">
        <v>1359</v>
      </c>
      <c r="L391" s="94">
        <v>5751</v>
      </c>
      <c r="M391" s="94">
        <v>10896</v>
      </c>
      <c r="N391" s="94">
        <v>2942</v>
      </c>
      <c r="O391" s="94">
        <v>20891</v>
      </c>
      <c r="P391" s="94">
        <v>57</v>
      </c>
      <c r="Q391" s="95">
        <v>0.71892850108331696</v>
      </c>
      <c r="R391" s="95">
        <v>0.60594760883751297</v>
      </c>
      <c r="S391" s="95">
        <v>0.84542323348293502</v>
      </c>
      <c r="T391" s="95">
        <v>0.69875776397515499</v>
      </c>
      <c r="U391" s="95">
        <v>0.86455331412103797</v>
      </c>
      <c r="V391" s="95">
        <v>0.74542366484242295</v>
      </c>
      <c r="W391" s="95">
        <v>0.348432055749129</v>
      </c>
      <c r="X391" s="95">
        <v>0.69615878345018301</v>
      </c>
      <c r="Y391" s="95">
        <v>9.2592592592592595</v>
      </c>
      <c r="Z391" s="94">
        <v>28072</v>
      </c>
      <c r="AA391" s="94">
        <v>14910</v>
      </c>
      <c r="AB391" s="94">
        <v>13162</v>
      </c>
      <c r="AC391" s="94">
        <v>1352</v>
      </c>
      <c r="AD391" s="94">
        <v>7608</v>
      </c>
      <c r="AE391" s="94">
        <v>15012</v>
      </c>
      <c r="AF391" s="94">
        <v>4100</v>
      </c>
      <c r="AG391" s="94">
        <v>21724</v>
      </c>
      <c r="AH391" s="94">
        <v>6166</v>
      </c>
      <c r="AI391" s="94">
        <v>182</v>
      </c>
      <c r="AJ391" s="94">
        <v>27882</v>
      </c>
      <c r="AK391" s="94">
        <v>105</v>
      </c>
      <c r="AL391" s="94">
        <v>85</v>
      </c>
      <c r="AM391" s="94">
        <v>1628</v>
      </c>
      <c r="AN391" s="94">
        <v>26201</v>
      </c>
      <c r="AO391" s="94">
        <v>243</v>
      </c>
      <c r="AP391" s="95">
        <v>1.9813304800206599</v>
      </c>
      <c r="AQ391" s="95">
        <v>1.14591291061879</v>
      </c>
      <c r="AR391" s="95">
        <v>2.9282115869017602</v>
      </c>
      <c r="AS391" s="95">
        <v>2.0048115477145099</v>
      </c>
      <c r="AT391" s="95">
        <v>2.5591634562465599</v>
      </c>
      <c r="AU391" s="95">
        <v>1.91991223258365</v>
      </c>
      <c r="AV391" s="95">
        <v>1.1488511488511499</v>
      </c>
      <c r="AW391" s="95">
        <v>1.5894856709053</v>
      </c>
      <c r="AX391" s="95">
        <v>3.3646456020495301</v>
      </c>
      <c r="AY391" s="95">
        <v>2.9069767441860499</v>
      </c>
      <c r="AZ391" s="95">
        <v>1.9463635688284699</v>
      </c>
      <c r="BA391" s="95">
        <v>11</v>
      </c>
      <c r="BB391" s="95">
        <v>2.4691358024691401</v>
      </c>
      <c r="BC391" s="95">
        <v>1.3199245757385301</v>
      </c>
      <c r="BD391" s="95">
        <v>2.0254766991059401</v>
      </c>
      <c r="BE391" s="95">
        <v>1.70940170940171</v>
      </c>
    </row>
    <row r="392" spans="2:57" ht="15" customHeight="1" x14ac:dyDescent="0.25">
      <c r="B392" s="96">
        <v>382</v>
      </c>
      <c r="C392" s="97" t="s">
        <v>504</v>
      </c>
      <c r="D392" s="104" t="s">
        <v>43</v>
      </c>
      <c r="E392" s="104" t="s">
        <v>360</v>
      </c>
      <c r="F392" s="104" t="s">
        <v>284</v>
      </c>
      <c r="G392" s="105" t="s">
        <v>284</v>
      </c>
      <c r="H392" s="106">
        <v>11650</v>
      </c>
      <c r="I392" s="106">
        <v>6445</v>
      </c>
      <c r="J392" s="106">
        <v>5205</v>
      </c>
      <c r="K392" s="106">
        <v>712</v>
      </c>
      <c r="L392" s="106">
        <v>3134</v>
      </c>
      <c r="M392" s="106">
        <v>6066</v>
      </c>
      <c r="N392" s="106">
        <v>1738</v>
      </c>
      <c r="O392" s="106">
        <v>11588</v>
      </c>
      <c r="P392" s="106">
        <v>62</v>
      </c>
      <c r="Q392" s="107">
        <v>1.9934146124410399</v>
      </c>
      <c r="R392" s="107">
        <v>1.5826873385012901</v>
      </c>
      <c r="S392" s="107">
        <v>2.4975222993062398</v>
      </c>
      <c r="T392" s="107">
        <v>2.9806259314456001</v>
      </c>
      <c r="U392" s="107">
        <v>2.2311022311022302</v>
      </c>
      <c r="V392" s="107">
        <v>2.0616800136309399</v>
      </c>
      <c r="W392" s="107">
        <v>0.94451003541912604</v>
      </c>
      <c r="X392" s="107">
        <v>1.94148698219558</v>
      </c>
      <c r="Y392" s="107">
        <v>11.6666666666667</v>
      </c>
      <c r="Z392" s="106">
        <v>16617</v>
      </c>
      <c r="AA392" s="106">
        <v>8877</v>
      </c>
      <c r="AB392" s="106">
        <v>7740</v>
      </c>
      <c r="AC392" s="106">
        <v>784</v>
      </c>
      <c r="AD392" s="106">
        <v>4476</v>
      </c>
      <c r="AE392" s="106">
        <v>8775</v>
      </c>
      <c r="AF392" s="106">
        <v>2582</v>
      </c>
      <c r="AG392" s="106">
        <v>12273</v>
      </c>
      <c r="AH392" s="106">
        <v>4233</v>
      </c>
      <c r="AI392" s="106">
        <v>111</v>
      </c>
      <c r="AJ392" s="106">
        <v>16471</v>
      </c>
      <c r="AK392" s="106">
        <v>108</v>
      </c>
      <c r="AL392" s="106">
        <v>38</v>
      </c>
      <c r="AM392" s="106">
        <v>975</v>
      </c>
      <c r="AN392" s="106">
        <v>15496</v>
      </c>
      <c r="AO392" s="106">
        <v>146</v>
      </c>
      <c r="AP392" s="107">
        <v>4.0363843092666301</v>
      </c>
      <c r="AQ392" s="107">
        <v>2.42230887392178</v>
      </c>
      <c r="AR392" s="107">
        <v>5.8903365906623204</v>
      </c>
      <c r="AS392" s="107">
        <v>4.9655172413793096</v>
      </c>
      <c r="AT392" s="107">
        <v>4.6296296296296298</v>
      </c>
      <c r="AU392" s="107">
        <v>3.9647577092511002</v>
      </c>
      <c r="AV392" s="107">
        <v>3.0060120240481001</v>
      </c>
      <c r="AW392" s="107">
        <v>3.1809313767070999</v>
      </c>
      <c r="AX392" s="107">
        <v>6.5515490096495697</v>
      </c>
      <c r="AY392" s="107">
        <v>5.7692307692307701</v>
      </c>
      <c r="AZ392" s="107">
        <v>3.96966993755575</v>
      </c>
      <c r="BA392" s="107">
        <v>15.6862745098039</v>
      </c>
      <c r="BB392" s="107">
        <v>0</v>
      </c>
      <c r="BC392" s="107">
        <v>2.4364406779660999</v>
      </c>
      <c r="BD392" s="107">
        <v>4.1494338599227101</v>
      </c>
      <c r="BE392" s="107">
        <v>2.8985507246376798</v>
      </c>
    </row>
    <row r="393" spans="2:57" ht="15" customHeight="1" x14ac:dyDescent="0.25">
      <c r="B393" s="91">
        <v>383</v>
      </c>
      <c r="C393" s="92" t="s">
        <v>504</v>
      </c>
      <c r="D393" s="92" t="s">
        <v>43</v>
      </c>
      <c r="E393" s="92" t="s">
        <v>360</v>
      </c>
      <c r="F393" s="92" t="s">
        <v>284</v>
      </c>
      <c r="G393" s="101" t="s">
        <v>501</v>
      </c>
      <c r="H393" s="94">
        <v>1273</v>
      </c>
      <c r="I393" s="94">
        <v>675</v>
      </c>
      <c r="J393" s="94">
        <v>598</v>
      </c>
      <c r="K393" s="94">
        <v>67</v>
      </c>
      <c r="L393" s="94">
        <v>340</v>
      </c>
      <c r="M393" s="94">
        <v>682</v>
      </c>
      <c r="N393" s="94">
        <v>184</v>
      </c>
      <c r="O393" s="94">
        <v>1256</v>
      </c>
      <c r="P393" s="94">
        <v>17</v>
      </c>
      <c r="Q393" s="95">
        <v>8.5596707818930007</v>
      </c>
      <c r="R393" s="95">
        <v>6.9767441860465098</v>
      </c>
      <c r="S393" s="95">
        <v>10.3508771929825</v>
      </c>
      <c r="T393" s="95">
        <v>19.047619047619001</v>
      </c>
      <c r="U393" s="95">
        <v>7.9754601226993902</v>
      </c>
      <c r="V393" s="95">
        <v>8.7022900763358795</v>
      </c>
      <c r="W393" s="95">
        <v>5.2631578947368398</v>
      </c>
      <c r="X393" s="95">
        <v>8.4307178631051691</v>
      </c>
      <c r="Y393" s="95">
        <v>17.647058823529399</v>
      </c>
      <c r="Z393" s="94">
        <v>1671</v>
      </c>
      <c r="AA393" s="94">
        <v>841</v>
      </c>
      <c r="AB393" s="94">
        <v>830</v>
      </c>
      <c r="AC393" s="94">
        <v>61</v>
      </c>
      <c r="AD393" s="94">
        <v>371</v>
      </c>
      <c r="AE393" s="94">
        <v>908</v>
      </c>
      <c r="AF393" s="94">
        <v>331</v>
      </c>
      <c r="AG393" s="94">
        <v>952</v>
      </c>
      <c r="AH393" s="94">
        <v>707</v>
      </c>
      <c r="AI393" s="94">
        <v>12</v>
      </c>
      <c r="AJ393" s="94">
        <v>1641</v>
      </c>
      <c r="AK393" s="94">
        <v>27</v>
      </c>
      <c r="AL393" s="94">
        <v>3</v>
      </c>
      <c r="AM393" s="94">
        <v>136</v>
      </c>
      <c r="AN393" s="94">
        <v>1523</v>
      </c>
      <c r="AO393" s="94">
        <v>12</v>
      </c>
      <c r="AP393" s="95">
        <v>12.596899224806201</v>
      </c>
      <c r="AQ393" s="95">
        <v>8.3650190114068401</v>
      </c>
      <c r="AR393" s="95">
        <v>16.99604743083</v>
      </c>
      <c r="AS393" s="95">
        <v>29.824561403508799</v>
      </c>
      <c r="AT393" s="95">
        <v>13.4110787172012</v>
      </c>
      <c r="AU393" s="95">
        <v>11.652794292508901</v>
      </c>
      <c r="AV393" s="95">
        <v>11.074918566775199</v>
      </c>
      <c r="AW393" s="95">
        <v>11.837655016910899</v>
      </c>
      <c r="AX393" s="95">
        <v>13.559322033898299</v>
      </c>
      <c r="AY393" s="95">
        <v>16.6666666666667</v>
      </c>
      <c r="AZ393" s="95">
        <v>12.5</v>
      </c>
      <c r="BA393" s="95">
        <v>20</v>
      </c>
      <c r="BB393" s="95">
        <v>0</v>
      </c>
      <c r="BC393" s="95">
        <v>4.6511627906976702</v>
      </c>
      <c r="BD393" s="95">
        <v>13.2718239886444</v>
      </c>
      <c r="BE393" s="95">
        <v>20</v>
      </c>
    </row>
    <row r="394" spans="2:57" ht="15" customHeight="1" x14ac:dyDescent="0.25">
      <c r="B394" s="91">
        <v>384</v>
      </c>
      <c r="C394" s="92" t="s">
        <v>504</v>
      </c>
      <c r="D394" s="92" t="s">
        <v>43</v>
      </c>
      <c r="E394" s="92" t="s">
        <v>360</v>
      </c>
      <c r="F394" s="92" t="s">
        <v>284</v>
      </c>
      <c r="G394" s="101" t="s">
        <v>502</v>
      </c>
      <c r="H394" s="94">
        <v>10377</v>
      </c>
      <c r="I394" s="94">
        <v>5770</v>
      </c>
      <c r="J394" s="94">
        <v>4607</v>
      </c>
      <c r="K394" s="94">
        <v>645</v>
      </c>
      <c r="L394" s="94">
        <v>2794</v>
      </c>
      <c r="M394" s="94">
        <v>5384</v>
      </c>
      <c r="N394" s="94">
        <v>1554</v>
      </c>
      <c r="O394" s="94">
        <v>10332</v>
      </c>
      <c r="P394" s="94">
        <v>45</v>
      </c>
      <c r="Q394" s="95">
        <v>1.1973657952504499</v>
      </c>
      <c r="R394" s="95">
        <v>0.95547142599603396</v>
      </c>
      <c r="S394" s="95">
        <v>1.4972067039106101</v>
      </c>
      <c r="T394" s="95">
        <v>1.31578947368421</v>
      </c>
      <c r="U394" s="95">
        <v>1.5315651849084799</v>
      </c>
      <c r="V394" s="95">
        <v>1.22746451860376</v>
      </c>
      <c r="W394" s="95">
        <v>0.45961917268548902</v>
      </c>
      <c r="X394" s="95">
        <v>1.16244112636537</v>
      </c>
      <c r="Y394" s="95">
        <v>9.3023255813953494</v>
      </c>
      <c r="Z394" s="94">
        <v>14946</v>
      </c>
      <c r="AA394" s="94">
        <v>8036</v>
      </c>
      <c r="AB394" s="94">
        <v>6910</v>
      </c>
      <c r="AC394" s="94">
        <v>723</v>
      </c>
      <c r="AD394" s="94">
        <v>4105</v>
      </c>
      <c r="AE394" s="94">
        <v>7867</v>
      </c>
      <c r="AF394" s="94">
        <v>2251</v>
      </c>
      <c r="AG394" s="94">
        <v>11321</v>
      </c>
      <c r="AH394" s="94">
        <v>3526</v>
      </c>
      <c r="AI394" s="94">
        <v>99</v>
      </c>
      <c r="AJ394" s="94">
        <v>14830</v>
      </c>
      <c r="AK394" s="94">
        <v>81</v>
      </c>
      <c r="AL394" s="94">
        <v>35</v>
      </c>
      <c r="AM394" s="94">
        <v>839</v>
      </c>
      <c r="AN394" s="94">
        <v>13973</v>
      </c>
      <c r="AO394" s="94">
        <v>134</v>
      </c>
      <c r="AP394" s="95">
        <v>3.1085906322201202</v>
      </c>
      <c r="AQ394" s="95">
        <v>1.81131091998958</v>
      </c>
      <c r="AR394" s="95">
        <v>4.6149190497805996</v>
      </c>
      <c r="AS394" s="95">
        <v>2.8443113772455102</v>
      </c>
      <c r="AT394" s="95">
        <v>3.8511243215301101</v>
      </c>
      <c r="AU394" s="95">
        <v>3.10928817147393</v>
      </c>
      <c r="AV394" s="95">
        <v>1.87385740402194</v>
      </c>
      <c r="AW394" s="95">
        <v>2.4766097963676401</v>
      </c>
      <c r="AX394" s="95">
        <v>5.16874429917908</v>
      </c>
      <c r="AY394" s="95">
        <v>4.3478260869565197</v>
      </c>
      <c r="AZ394" s="95">
        <v>3.05488923380838</v>
      </c>
      <c r="BA394" s="95">
        <v>14.285714285714301</v>
      </c>
      <c r="BB394" s="95">
        <v>0</v>
      </c>
      <c r="BC394" s="95">
        <v>2.0858895705521499</v>
      </c>
      <c r="BD394" s="95">
        <v>3.18590704647676</v>
      </c>
      <c r="BE394" s="95">
        <v>1.5625</v>
      </c>
    </row>
    <row r="395" spans="2:57" ht="15" customHeight="1" x14ac:dyDescent="0.25">
      <c r="B395" s="96">
        <v>385</v>
      </c>
      <c r="C395" s="97" t="s">
        <v>504</v>
      </c>
      <c r="D395" s="104" t="s">
        <v>43</v>
      </c>
      <c r="E395" s="104" t="s">
        <v>360</v>
      </c>
      <c r="F395" s="104" t="s">
        <v>220</v>
      </c>
      <c r="G395" s="105" t="s">
        <v>220</v>
      </c>
      <c r="H395" s="106">
        <v>10571</v>
      </c>
      <c r="I395" s="106">
        <v>5336</v>
      </c>
      <c r="J395" s="106">
        <v>5235</v>
      </c>
      <c r="K395" s="106">
        <v>714</v>
      </c>
      <c r="L395" s="106">
        <v>2957</v>
      </c>
      <c r="M395" s="106">
        <v>5512</v>
      </c>
      <c r="N395" s="106">
        <v>1388</v>
      </c>
      <c r="O395" s="106">
        <v>10559</v>
      </c>
      <c r="P395" s="106">
        <v>12</v>
      </c>
      <c r="Q395" s="107">
        <v>0.25277075636787899</v>
      </c>
      <c r="R395" s="107">
        <v>0.231660231660232</v>
      </c>
      <c r="S395" s="107">
        <v>0.27418723070897</v>
      </c>
      <c r="T395" s="107">
        <v>0.14705882352941199</v>
      </c>
      <c r="U395" s="107">
        <v>0.24347826086956501</v>
      </c>
      <c r="V395" s="107">
        <v>0.27860326894502202</v>
      </c>
      <c r="W395" s="107">
        <v>0.22271714922048999</v>
      </c>
      <c r="X395" s="107">
        <v>0.24330900243309</v>
      </c>
      <c r="Y395" s="107">
        <v>9.0909090909090899</v>
      </c>
      <c r="Z395" s="106">
        <v>15120</v>
      </c>
      <c r="AA395" s="106">
        <v>7882</v>
      </c>
      <c r="AB395" s="106">
        <v>7238</v>
      </c>
      <c r="AC395" s="106">
        <v>730</v>
      </c>
      <c r="AD395" s="106">
        <v>3904</v>
      </c>
      <c r="AE395" s="106">
        <v>8254</v>
      </c>
      <c r="AF395" s="106">
        <v>2232</v>
      </c>
      <c r="AG395" s="106">
        <v>11741</v>
      </c>
      <c r="AH395" s="106">
        <v>3281</v>
      </c>
      <c r="AI395" s="106">
        <v>98</v>
      </c>
      <c r="AJ395" s="106">
        <v>15031</v>
      </c>
      <c r="AK395" s="106">
        <v>31</v>
      </c>
      <c r="AL395" s="106">
        <v>58</v>
      </c>
      <c r="AM395" s="106">
        <v>964</v>
      </c>
      <c r="AN395" s="106">
        <v>14028</v>
      </c>
      <c r="AO395" s="106">
        <v>128</v>
      </c>
      <c r="AP395" s="107">
        <v>1.1985373781148401</v>
      </c>
      <c r="AQ395" s="107">
        <v>0.57053941908713701</v>
      </c>
      <c r="AR395" s="107">
        <v>1.88492063492063</v>
      </c>
      <c r="AS395" s="107">
        <v>1.92592592592593</v>
      </c>
      <c r="AT395" s="107">
        <v>1.3713080168776399</v>
      </c>
      <c r="AU395" s="107">
        <v>1.1338427409415801</v>
      </c>
      <c r="AV395" s="107">
        <v>0.91449474165523603</v>
      </c>
      <c r="AW395" s="107">
        <v>0.99311786741005303</v>
      </c>
      <c r="AX395" s="107">
        <v>1.9411396368190399</v>
      </c>
      <c r="AY395" s="107">
        <v>1.0526315789473699</v>
      </c>
      <c r="AZ395" s="107">
        <v>1.18520536748178</v>
      </c>
      <c r="BA395" s="107">
        <v>3.3333333333333299</v>
      </c>
      <c r="BB395" s="107">
        <v>3.5087719298245599</v>
      </c>
      <c r="BC395" s="107">
        <v>1.47991543340381</v>
      </c>
      <c r="BD395" s="107">
        <v>1.1754398773454</v>
      </c>
      <c r="BE395" s="107">
        <v>1.6</v>
      </c>
    </row>
    <row r="396" spans="2:57" ht="15" customHeight="1" x14ac:dyDescent="0.25">
      <c r="B396" s="91">
        <v>386</v>
      </c>
      <c r="C396" s="92" t="s">
        <v>504</v>
      </c>
      <c r="D396" s="92" t="s">
        <v>43</v>
      </c>
      <c r="E396" s="92" t="s">
        <v>360</v>
      </c>
      <c r="F396" s="92" t="s">
        <v>220</v>
      </c>
      <c r="G396" s="101" t="s">
        <v>501</v>
      </c>
      <c r="H396" s="94">
        <v>0</v>
      </c>
      <c r="I396" s="94">
        <v>0</v>
      </c>
      <c r="J396" s="94">
        <v>0</v>
      </c>
      <c r="K396" s="94">
        <v>0</v>
      </c>
      <c r="L396" s="94">
        <v>0</v>
      </c>
      <c r="M396" s="94">
        <v>0</v>
      </c>
      <c r="N396" s="94">
        <v>0</v>
      </c>
      <c r="O396" s="94">
        <v>0</v>
      </c>
      <c r="P396" s="94">
        <v>0</v>
      </c>
      <c r="Q396" s="95">
        <v>0</v>
      </c>
      <c r="R396" s="95">
        <v>0</v>
      </c>
      <c r="S396" s="95">
        <v>0</v>
      </c>
      <c r="T396" s="95">
        <v>0</v>
      </c>
      <c r="U396" s="95">
        <v>0</v>
      </c>
      <c r="V396" s="95">
        <v>0</v>
      </c>
      <c r="W396" s="95">
        <v>0</v>
      </c>
      <c r="X396" s="95">
        <v>0</v>
      </c>
      <c r="Y396" s="95">
        <v>0</v>
      </c>
      <c r="Z396" s="94">
        <v>1994</v>
      </c>
      <c r="AA396" s="94">
        <v>1008</v>
      </c>
      <c r="AB396" s="94">
        <v>986</v>
      </c>
      <c r="AC396" s="94">
        <v>101</v>
      </c>
      <c r="AD396" s="94">
        <v>401</v>
      </c>
      <c r="AE396" s="94">
        <v>1109</v>
      </c>
      <c r="AF396" s="94">
        <v>383</v>
      </c>
      <c r="AG396" s="94">
        <v>1338</v>
      </c>
      <c r="AH396" s="94">
        <v>641</v>
      </c>
      <c r="AI396" s="94">
        <v>15</v>
      </c>
      <c r="AJ396" s="94">
        <v>1979</v>
      </c>
      <c r="AK396" s="94">
        <v>7</v>
      </c>
      <c r="AL396" s="94">
        <v>8</v>
      </c>
      <c r="AM396" s="94">
        <v>175</v>
      </c>
      <c r="AN396" s="94">
        <v>1800</v>
      </c>
      <c r="AO396" s="94">
        <v>19</v>
      </c>
      <c r="AP396" s="95">
        <v>4.3121149897330602</v>
      </c>
      <c r="AQ396" s="95">
        <v>1.8237082066869299</v>
      </c>
      <c r="AR396" s="95">
        <v>6.8678459937565002</v>
      </c>
      <c r="AS396" s="95">
        <v>7.2916666666666696</v>
      </c>
      <c r="AT396" s="95">
        <v>3.8167938931297698</v>
      </c>
      <c r="AU396" s="95">
        <v>4.3198529411764701</v>
      </c>
      <c r="AV396" s="95">
        <v>4.0431266846361202</v>
      </c>
      <c r="AW396" s="95">
        <v>3.7547892720306502</v>
      </c>
      <c r="AX396" s="95">
        <v>5.5732484076433098</v>
      </c>
      <c r="AY396" s="95">
        <v>0</v>
      </c>
      <c r="AZ396" s="95">
        <v>4.2938437661665798</v>
      </c>
      <c r="BA396" s="95">
        <v>14.285714285714301</v>
      </c>
      <c r="BB396" s="95">
        <v>0</v>
      </c>
      <c r="BC396" s="95">
        <v>5.8823529411764701</v>
      </c>
      <c r="BD396" s="95">
        <v>4.20693575895395</v>
      </c>
      <c r="BE396" s="95">
        <v>0</v>
      </c>
    </row>
    <row r="397" spans="2:57" ht="15" customHeight="1" x14ac:dyDescent="0.25">
      <c r="B397" s="91">
        <v>387</v>
      </c>
      <c r="C397" s="92" t="s">
        <v>504</v>
      </c>
      <c r="D397" s="92" t="s">
        <v>43</v>
      </c>
      <c r="E397" s="92" t="s">
        <v>360</v>
      </c>
      <c r="F397" s="92" t="s">
        <v>220</v>
      </c>
      <c r="G397" s="101" t="s">
        <v>502</v>
      </c>
      <c r="H397" s="94">
        <v>10571</v>
      </c>
      <c r="I397" s="94">
        <v>5336</v>
      </c>
      <c r="J397" s="94">
        <v>5235</v>
      </c>
      <c r="K397" s="94">
        <v>714</v>
      </c>
      <c r="L397" s="94">
        <v>2957</v>
      </c>
      <c r="M397" s="94">
        <v>5512</v>
      </c>
      <c r="N397" s="94">
        <v>1388</v>
      </c>
      <c r="O397" s="94">
        <v>10559</v>
      </c>
      <c r="P397" s="94">
        <v>12</v>
      </c>
      <c r="Q397" s="95">
        <v>0.25277075636787899</v>
      </c>
      <c r="R397" s="95">
        <v>0.231660231660232</v>
      </c>
      <c r="S397" s="95">
        <v>0.27418723070897</v>
      </c>
      <c r="T397" s="95">
        <v>0.14705882352941199</v>
      </c>
      <c r="U397" s="95">
        <v>0.24347826086956501</v>
      </c>
      <c r="V397" s="95">
        <v>0.27860326894502202</v>
      </c>
      <c r="W397" s="95">
        <v>0.22271714922048999</v>
      </c>
      <c r="X397" s="95">
        <v>0.24330900243309</v>
      </c>
      <c r="Y397" s="95">
        <v>9.0909090909090899</v>
      </c>
      <c r="Z397" s="94">
        <v>13126</v>
      </c>
      <c r="AA397" s="94">
        <v>6874</v>
      </c>
      <c r="AB397" s="94">
        <v>6252</v>
      </c>
      <c r="AC397" s="94">
        <v>629</v>
      </c>
      <c r="AD397" s="94">
        <v>3503</v>
      </c>
      <c r="AE397" s="94">
        <v>7145</v>
      </c>
      <c r="AF397" s="94">
        <v>1849</v>
      </c>
      <c r="AG397" s="94">
        <v>10403</v>
      </c>
      <c r="AH397" s="94">
        <v>2640</v>
      </c>
      <c r="AI397" s="94">
        <v>83</v>
      </c>
      <c r="AJ397" s="94">
        <v>13052</v>
      </c>
      <c r="AK397" s="94">
        <v>24</v>
      </c>
      <c r="AL397" s="94">
        <v>50</v>
      </c>
      <c r="AM397" s="94">
        <v>789</v>
      </c>
      <c r="AN397" s="94">
        <v>12228</v>
      </c>
      <c r="AO397" s="94">
        <v>109</v>
      </c>
      <c r="AP397" s="95">
        <v>0.72542901716068597</v>
      </c>
      <c r="AQ397" s="95">
        <v>0.38661710037174701</v>
      </c>
      <c r="AR397" s="95">
        <v>1.09926168990976</v>
      </c>
      <c r="AS397" s="95">
        <v>1.03626943005181</v>
      </c>
      <c r="AT397" s="95">
        <v>1.0885554574875</v>
      </c>
      <c r="AU397" s="95">
        <v>0.64047822374039298</v>
      </c>
      <c r="AV397" s="95">
        <v>0.27533039647577101</v>
      </c>
      <c r="AW397" s="95">
        <v>0.63888342834676604</v>
      </c>
      <c r="AX397" s="95">
        <v>1.05222135619641</v>
      </c>
      <c r="AY397" s="95">
        <v>1.25</v>
      </c>
      <c r="AZ397" s="95">
        <v>0.71383746470034504</v>
      </c>
      <c r="BA397" s="95">
        <v>0</v>
      </c>
      <c r="BB397" s="95">
        <v>4.0816326530612201</v>
      </c>
      <c r="BC397" s="95">
        <v>0.51546391752577303</v>
      </c>
      <c r="BD397" s="95">
        <v>0.72876528731780899</v>
      </c>
      <c r="BE397" s="95">
        <v>1.88679245283019</v>
      </c>
    </row>
    <row r="398" spans="2:57" ht="15" customHeight="1" x14ac:dyDescent="0.25">
      <c r="B398" s="86">
        <v>388</v>
      </c>
      <c r="C398" s="87" t="s">
        <v>503</v>
      </c>
      <c r="D398" s="103" t="s">
        <v>43</v>
      </c>
      <c r="E398" s="103" t="s">
        <v>361</v>
      </c>
      <c r="F398" s="103"/>
      <c r="G398" s="88" t="s">
        <v>361</v>
      </c>
      <c r="H398" s="89">
        <v>7954</v>
      </c>
      <c r="I398" s="89">
        <v>5475</v>
      </c>
      <c r="J398" s="89">
        <v>2479</v>
      </c>
      <c r="K398" s="89">
        <v>524</v>
      </c>
      <c r="L398" s="89">
        <v>2444</v>
      </c>
      <c r="M398" s="89">
        <v>4299</v>
      </c>
      <c r="N398" s="89">
        <v>687</v>
      </c>
      <c r="O398" s="89">
        <v>7815</v>
      </c>
      <c r="P398" s="89">
        <v>139</v>
      </c>
      <c r="Q398" s="90">
        <v>2.81632653061224</v>
      </c>
      <c r="R398" s="90">
        <v>2.4836081859725798</v>
      </c>
      <c r="S398" s="90">
        <v>3.5390591281830002</v>
      </c>
      <c r="T398" s="90">
        <v>2.33545647558386</v>
      </c>
      <c r="U398" s="90">
        <v>3.1527531083481399</v>
      </c>
      <c r="V398" s="90">
        <v>2.9131089904570602</v>
      </c>
      <c r="W398" s="90">
        <v>1.3953488372092999</v>
      </c>
      <c r="X398" s="90">
        <v>2.78547671840355</v>
      </c>
      <c r="Y398" s="90">
        <v>4.4776119402985097</v>
      </c>
      <c r="Z398" s="89">
        <v>11372</v>
      </c>
      <c r="AA398" s="89">
        <v>7108</v>
      </c>
      <c r="AB398" s="89">
        <v>4264</v>
      </c>
      <c r="AC398" s="89">
        <v>713</v>
      </c>
      <c r="AD398" s="89">
        <v>3034</v>
      </c>
      <c r="AE398" s="89">
        <v>6265</v>
      </c>
      <c r="AF398" s="89">
        <v>1360</v>
      </c>
      <c r="AG398" s="89">
        <v>7387</v>
      </c>
      <c r="AH398" s="89">
        <v>3891</v>
      </c>
      <c r="AI398" s="89">
        <v>94</v>
      </c>
      <c r="AJ398" s="89">
        <v>11091</v>
      </c>
      <c r="AK398" s="89">
        <v>229</v>
      </c>
      <c r="AL398" s="89">
        <v>52</v>
      </c>
      <c r="AM398" s="89">
        <v>699</v>
      </c>
      <c r="AN398" s="89">
        <v>10514</v>
      </c>
      <c r="AO398" s="89">
        <v>159</v>
      </c>
      <c r="AP398" s="90">
        <v>4.0356248260506504</v>
      </c>
      <c r="AQ398" s="90">
        <v>2.06353919239905</v>
      </c>
      <c r="AR398" s="90">
        <v>7.32129606727678</v>
      </c>
      <c r="AS398" s="90">
        <v>5.8646616541353396</v>
      </c>
      <c r="AT398" s="90">
        <v>4.29275158339198</v>
      </c>
      <c r="AU398" s="90">
        <v>4.0604026845637602</v>
      </c>
      <c r="AV398" s="90">
        <v>2.4390243902439002</v>
      </c>
      <c r="AW398" s="90">
        <v>3.50553505535055</v>
      </c>
      <c r="AX398" s="90">
        <v>5.1042810098792497</v>
      </c>
      <c r="AY398" s="90">
        <v>2.2471910112359601</v>
      </c>
      <c r="AZ398" s="90">
        <v>4.1088073045463203</v>
      </c>
      <c r="BA398" s="90">
        <v>0.45871559633027498</v>
      </c>
      <c r="BB398" s="90">
        <v>4.2553191489361701</v>
      </c>
      <c r="BC398" s="90">
        <v>2.8189910979228499</v>
      </c>
      <c r="BD398" s="90">
        <v>4.1695971064000803</v>
      </c>
      <c r="BE398" s="90">
        <v>0.65789473684210498</v>
      </c>
    </row>
    <row r="399" spans="2:57" ht="15" customHeight="1" x14ac:dyDescent="0.25">
      <c r="B399" s="91">
        <v>389</v>
      </c>
      <c r="C399" s="92" t="s">
        <v>503</v>
      </c>
      <c r="D399" s="92" t="s">
        <v>43</v>
      </c>
      <c r="E399" s="92" t="s">
        <v>361</v>
      </c>
      <c r="F399" s="92"/>
      <c r="G399" s="93" t="s">
        <v>501</v>
      </c>
      <c r="H399" s="94">
        <v>3161</v>
      </c>
      <c r="I399" s="94">
        <v>2147</v>
      </c>
      <c r="J399" s="94">
        <v>1014</v>
      </c>
      <c r="K399" s="94">
        <v>182</v>
      </c>
      <c r="L399" s="94">
        <v>1001</v>
      </c>
      <c r="M399" s="94">
        <v>1726</v>
      </c>
      <c r="N399" s="94">
        <v>252</v>
      </c>
      <c r="O399" s="94">
        <v>3135</v>
      </c>
      <c r="P399" s="94">
        <v>26</v>
      </c>
      <c r="Q399" s="95">
        <v>3.2224888584161802</v>
      </c>
      <c r="R399" s="95">
        <v>2.7480916030534401</v>
      </c>
      <c r="S399" s="95">
        <v>4.2016806722689104</v>
      </c>
      <c r="T399" s="95">
        <v>3.1446540880503102</v>
      </c>
      <c r="U399" s="95">
        <v>3.47826086956522</v>
      </c>
      <c r="V399" s="95">
        <v>3.2479700187382901</v>
      </c>
      <c r="W399" s="95">
        <v>2.1097046413502101</v>
      </c>
      <c r="X399" s="95">
        <v>3.2146560663670898</v>
      </c>
      <c r="Y399" s="95">
        <v>4.1666666666666696</v>
      </c>
      <c r="Z399" s="94">
        <v>4389</v>
      </c>
      <c r="AA399" s="94">
        <v>2613</v>
      </c>
      <c r="AB399" s="94">
        <v>1776</v>
      </c>
      <c r="AC399" s="94">
        <v>251</v>
      </c>
      <c r="AD399" s="94">
        <v>1125</v>
      </c>
      <c r="AE399" s="94">
        <v>2472</v>
      </c>
      <c r="AF399" s="94">
        <v>541</v>
      </c>
      <c r="AG399" s="94">
        <v>2325</v>
      </c>
      <c r="AH399" s="94">
        <v>2042</v>
      </c>
      <c r="AI399" s="94">
        <v>22</v>
      </c>
      <c r="AJ399" s="94">
        <v>4328</v>
      </c>
      <c r="AK399" s="94">
        <v>50</v>
      </c>
      <c r="AL399" s="94">
        <v>11</v>
      </c>
      <c r="AM399" s="94">
        <v>320</v>
      </c>
      <c r="AN399" s="94">
        <v>4026</v>
      </c>
      <c r="AO399" s="94">
        <v>43</v>
      </c>
      <c r="AP399" s="95">
        <v>7.0714459887832204</v>
      </c>
      <c r="AQ399" s="95">
        <v>3.2178217821782198</v>
      </c>
      <c r="AR399" s="95">
        <v>12.6416219439475</v>
      </c>
      <c r="AS399" s="95">
        <v>12.393162393162401</v>
      </c>
      <c r="AT399" s="95">
        <v>7.7437858508604203</v>
      </c>
      <c r="AU399" s="95">
        <v>6.5857885615251304</v>
      </c>
      <c r="AV399" s="95">
        <v>5.4580896686159797</v>
      </c>
      <c r="AW399" s="95">
        <v>5.7877813504823203</v>
      </c>
      <c r="AX399" s="95">
        <v>8.5654230162900706</v>
      </c>
      <c r="AY399" s="95">
        <v>4.7619047619047601</v>
      </c>
      <c r="AZ399" s="95">
        <v>7.1251855517070704</v>
      </c>
      <c r="BA399" s="95">
        <v>2.0408163265306101</v>
      </c>
      <c r="BB399" s="95">
        <v>10</v>
      </c>
      <c r="BC399" s="95">
        <v>5.2117263843648196</v>
      </c>
      <c r="BD399" s="95">
        <v>7.2722429408630802</v>
      </c>
      <c r="BE399" s="95">
        <v>2.5</v>
      </c>
    </row>
    <row r="400" spans="2:57" ht="15" customHeight="1" x14ac:dyDescent="0.25">
      <c r="B400" s="91">
        <v>390</v>
      </c>
      <c r="C400" s="92" t="s">
        <v>503</v>
      </c>
      <c r="D400" s="92" t="s">
        <v>43</v>
      </c>
      <c r="E400" s="92" t="s">
        <v>361</v>
      </c>
      <c r="F400" s="92"/>
      <c r="G400" s="93" t="s">
        <v>502</v>
      </c>
      <c r="H400" s="94">
        <v>4793</v>
      </c>
      <c r="I400" s="94">
        <v>3328</v>
      </c>
      <c r="J400" s="94">
        <v>1465</v>
      </c>
      <c r="K400" s="94">
        <v>342</v>
      </c>
      <c r="L400" s="94">
        <v>1443</v>
      </c>
      <c r="M400" s="94">
        <v>2573</v>
      </c>
      <c r="N400" s="94">
        <v>435</v>
      </c>
      <c r="O400" s="94">
        <v>4680</v>
      </c>
      <c r="P400" s="94">
        <v>113</v>
      </c>
      <c r="Q400" s="95">
        <v>2.5490638393864198</v>
      </c>
      <c r="R400" s="95">
        <v>2.3142112125162999</v>
      </c>
      <c r="S400" s="95">
        <v>3.0769230769230802</v>
      </c>
      <c r="T400" s="95">
        <v>1.92307692307692</v>
      </c>
      <c r="U400" s="95">
        <v>2.92792792792793</v>
      </c>
      <c r="V400" s="95">
        <v>2.68794624107518</v>
      </c>
      <c r="W400" s="95">
        <v>0.98039215686274495</v>
      </c>
      <c r="X400" s="95">
        <v>2.4982650936849402</v>
      </c>
      <c r="Y400" s="95">
        <v>4.5454545454545503</v>
      </c>
      <c r="Z400" s="94">
        <v>6983</v>
      </c>
      <c r="AA400" s="94">
        <v>4495</v>
      </c>
      <c r="AB400" s="94">
        <v>2488</v>
      </c>
      <c r="AC400" s="94">
        <v>462</v>
      </c>
      <c r="AD400" s="94">
        <v>1909</v>
      </c>
      <c r="AE400" s="94">
        <v>3793</v>
      </c>
      <c r="AF400" s="94">
        <v>819</v>
      </c>
      <c r="AG400" s="94">
        <v>5062</v>
      </c>
      <c r="AH400" s="94">
        <v>1849</v>
      </c>
      <c r="AI400" s="94">
        <v>72</v>
      </c>
      <c r="AJ400" s="94">
        <v>6763</v>
      </c>
      <c r="AK400" s="94">
        <v>179</v>
      </c>
      <c r="AL400" s="94">
        <v>41</v>
      </c>
      <c r="AM400" s="94">
        <v>379</v>
      </c>
      <c r="AN400" s="94">
        <v>6488</v>
      </c>
      <c r="AO400" s="94">
        <v>116</v>
      </c>
      <c r="AP400" s="95">
        <v>2.1713087750823599</v>
      </c>
      <c r="AQ400" s="95">
        <v>1.4146567717996299</v>
      </c>
      <c r="AR400" s="95">
        <v>3.55029585798817</v>
      </c>
      <c r="AS400" s="95">
        <v>2.3201856148491902</v>
      </c>
      <c r="AT400" s="95">
        <v>2.2828507795100199</v>
      </c>
      <c r="AU400" s="95">
        <v>2.4644030668127099</v>
      </c>
      <c r="AV400" s="95">
        <v>0.50062578222778498</v>
      </c>
      <c r="AW400" s="95">
        <v>2.4851098788252202</v>
      </c>
      <c r="AX400" s="95">
        <v>1.32107983917289</v>
      </c>
      <c r="AY400" s="95">
        <v>1.47058823529412</v>
      </c>
      <c r="AZ400" s="95">
        <v>2.22496909765142</v>
      </c>
      <c r="BA400" s="95">
        <v>0</v>
      </c>
      <c r="BB400" s="95">
        <v>2.7027027027027</v>
      </c>
      <c r="BC400" s="95">
        <v>0.81743869209809294</v>
      </c>
      <c r="BD400" s="95">
        <v>2.2906920471043701</v>
      </c>
      <c r="BE400" s="95">
        <v>0</v>
      </c>
    </row>
    <row r="401" spans="2:57" ht="15" customHeight="1" x14ac:dyDescent="0.25">
      <c r="B401" s="96">
        <v>391</v>
      </c>
      <c r="C401" s="97" t="s">
        <v>504</v>
      </c>
      <c r="D401" s="104" t="s">
        <v>43</v>
      </c>
      <c r="E401" s="104" t="s">
        <v>361</v>
      </c>
      <c r="F401" s="104" t="s">
        <v>194</v>
      </c>
      <c r="G401" s="105" t="s">
        <v>194</v>
      </c>
      <c r="H401" s="106">
        <v>4211</v>
      </c>
      <c r="I401" s="106">
        <v>2965</v>
      </c>
      <c r="J401" s="106">
        <v>1246</v>
      </c>
      <c r="K401" s="106">
        <v>306</v>
      </c>
      <c r="L401" s="106">
        <v>1341</v>
      </c>
      <c r="M401" s="106">
        <v>2261</v>
      </c>
      <c r="N401" s="106">
        <v>303</v>
      </c>
      <c r="O401" s="106">
        <v>4098</v>
      </c>
      <c r="P401" s="106">
        <v>113</v>
      </c>
      <c r="Q401" s="107">
        <v>0.97061909758656895</v>
      </c>
      <c r="R401" s="107">
        <v>0.677966101694915</v>
      </c>
      <c r="S401" s="107">
        <v>1.6421780466724301</v>
      </c>
      <c r="T401" s="107">
        <v>0.74626865671641796</v>
      </c>
      <c r="U401" s="107">
        <v>0.66170388751033904</v>
      </c>
      <c r="V401" s="107">
        <v>1.220703125</v>
      </c>
      <c r="W401" s="107">
        <v>0.696864111498258</v>
      </c>
      <c r="X401" s="107">
        <v>0.99918984607075301</v>
      </c>
      <c r="Y401" s="107">
        <v>0</v>
      </c>
      <c r="Z401" s="106">
        <v>6457</v>
      </c>
      <c r="AA401" s="106">
        <v>4202</v>
      </c>
      <c r="AB401" s="106">
        <v>2255</v>
      </c>
      <c r="AC401" s="106">
        <v>398</v>
      </c>
      <c r="AD401" s="106">
        <v>1789</v>
      </c>
      <c r="AE401" s="106">
        <v>3527</v>
      </c>
      <c r="AF401" s="106">
        <v>743</v>
      </c>
      <c r="AG401" s="106">
        <v>4026</v>
      </c>
      <c r="AH401" s="106">
        <v>2353</v>
      </c>
      <c r="AI401" s="106">
        <v>78</v>
      </c>
      <c r="AJ401" s="106">
        <v>6223</v>
      </c>
      <c r="AK401" s="106">
        <v>194</v>
      </c>
      <c r="AL401" s="106">
        <v>40</v>
      </c>
      <c r="AM401" s="106">
        <v>334</v>
      </c>
      <c r="AN401" s="106">
        <v>5995</v>
      </c>
      <c r="AO401" s="106">
        <v>128</v>
      </c>
      <c r="AP401" s="107">
        <v>2.4840660238601102</v>
      </c>
      <c r="AQ401" s="107">
        <v>0.87917608641044998</v>
      </c>
      <c r="AR401" s="107">
        <v>5.4724041159962598</v>
      </c>
      <c r="AS401" s="107">
        <v>4.3715846994535497</v>
      </c>
      <c r="AT401" s="107">
        <v>2.4955436720142599</v>
      </c>
      <c r="AU401" s="107">
        <v>2.44192972007147</v>
      </c>
      <c r="AV401" s="107">
        <v>1.68539325842697</v>
      </c>
      <c r="AW401" s="107">
        <v>2.2135416666666701</v>
      </c>
      <c r="AX401" s="107">
        <v>2.9465095194922899</v>
      </c>
      <c r="AY401" s="107">
        <v>2.7397260273972601</v>
      </c>
      <c r="AZ401" s="107">
        <v>2.56192738378012</v>
      </c>
      <c r="BA401" s="107">
        <v>0</v>
      </c>
      <c r="BB401" s="107">
        <v>2.7027027027027</v>
      </c>
      <c r="BC401" s="107">
        <v>1.5432098765432101</v>
      </c>
      <c r="BD401" s="107">
        <v>2.57359421822669</v>
      </c>
      <c r="BE401" s="107">
        <v>0.81967213114754101</v>
      </c>
    </row>
    <row r="402" spans="2:57" ht="15" customHeight="1" x14ac:dyDescent="0.25">
      <c r="B402" s="91">
        <v>392</v>
      </c>
      <c r="C402" s="92" t="s">
        <v>504</v>
      </c>
      <c r="D402" s="92" t="s">
        <v>43</v>
      </c>
      <c r="E402" s="92" t="s">
        <v>361</v>
      </c>
      <c r="F402" s="92" t="s">
        <v>194</v>
      </c>
      <c r="G402" s="101" t="s">
        <v>501</v>
      </c>
      <c r="H402" s="94">
        <v>1763</v>
      </c>
      <c r="I402" s="94">
        <v>1239</v>
      </c>
      <c r="J402" s="94">
        <v>524</v>
      </c>
      <c r="K402" s="94">
        <v>114</v>
      </c>
      <c r="L402" s="94">
        <v>576</v>
      </c>
      <c r="M402" s="94">
        <v>967</v>
      </c>
      <c r="N402" s="94">
        <v>106</v>
      </c>
      <c r="O402" s="94">
        <v>1747</v>
      </c>
      <c r="P402" s="94">
        <v>16</v>
      </c>
      <c r="Q402" s="95">
        <v>1.6677357280307901</v>
      </c>
      <c r="R402" s="95">
        <v>1.2048192771084301</v>
      </c>
      <c r="S402" s="95">
        <v>2.7083333333333299</v>
      </c>
      <c r="T402" s="95">
        <v>1.0989010989011001</v>
      </c>
      <c r="U402" s="95">
        <v>0.98231827111984305</v>
      </c>
      <c r="V402" s="95">
        <v>2.2093023255814002</v>
      </c>
      <c r="W402" s="95">
        <v>1.0101010101010099</v>
      </c>
      <c r="X402" s="95">
        <v>1.6839378238342</v>
      </c>
      <c r="Y402" s="95">
        <v>0</v>
      </c>
      <c r="Z402" s="94">
        <v>2380</v>
      </c>
      <c r="AA402" s="94">
        <v>1490</v>
      </c>
      <c r="AB402" s="94">
        <v>890</v>
      </c>
      <c r="AC402" s="94">
        <v>127</v>
      </c>
      <c r="AD402" s="94">
        <v>603</v>
      </c>
      <c r="AE402" s="94">
        <v>1365</v>
      </c>
      <c r="AF402" s="94">
        <v>285</v>
      </c>
      <c r="AG402" s="94">
        <v>1362</v>
      </c>
      <c r="AH402" s="94">
        <v>1005</v>
      </c>
      <c r="AI402" s="94">
        <v>13</v>
      </c>
      <c r="AJ402" s="94">
        <v>2345</v>
      </c>
      <c r="AK402" s="94">
        <v>30</v>
      </c>
      <c r="AL402" s="94">
        <v>5</v>
      </c>
      <c r="AM402" s="94">
        <v>148</v>
      </c>
      <c r="AN402" s="94">
        <v>2201</v>
      </c>
      <c r="AO402" s="94">
        <v>31</v>
      </c>
      <c r="AP402" s="95">
        <v>5.5379028597367199</v>
      </c>
      <c r="AQ402" s="95">
        <v>1.96936542669584</v>
      </c>
      <c r="AR402" s="95">
        <v>11.4182692307692</v>
      </c>
      <c r="AS402" s="95">
        <v>11.864406779661</v>
      </c>
      <c r="AT402" s="95">
        <v>5.7866184448462903</v>
      </c>
      <c r="AU402" s="95">
        <v>5.1383399209486198</v>
      </c>
      <c r="AV402" s="95">
        <v>4.1198501872659197</v>
      </c>
      <c r="AW402" s="95">
        <v>5.0996015936254997</v>
      </c>
      <c r="AX402" s="95">
        <v>6.0897435897435903</v>
      </c>
      <c r="AY402" s="95">
        <v>8.3333333333333304</v>
      </c>
      <c r="AZ402" s="95">
        <v>5.5786076532964497</v>
      </c>
      <c r="BA402" s="95">
        <v>0</v>
      </c>
      <c r="BB402" s="95">
        <v>20</v>
      </c>
      <c r="BC402" s="95">
        <v>3.4722222222222201</v>
      </c>
      <c r="BD402" s="95">
        <v>5.71428571428571</v>
      </c>
      <c r="BE402" s="95">
        <v>3.4482758620689702</v>
      </c>
    </row>
    <row r="403" spans="2:57" ht="15" customHeight="1" x14ac:dyDescent="0.25">
      <c r="B403" s="91">
        <v>393</v>
      </c>
      <c r="C403" s="92" t="s">
        <v>504</v>
      </c>
      <c r="D403" s="92" t="s">
        <v>43</v>
      </c>
      <c r="E403" s="92" t="s">
        <v>361</v>
      </c>
      <c r="F403" s="92" t="s">
        <v>194</v>
      </c>
      <c r="G403" s="101" t="s">
        <v>502</v>
      </c>
      <c r="H403" s="94">
        <v>2448</v>
      </c>
      <c r="I403" s="94">
        <v>1726</v>
      </c>
      <c r="J403" s="94">
        <v>722</v>
      </c>
      <c r="K403" s="94">
        <v>192</v>
      </c>
      <c r="L403" s="94">
        <v>765</v>
      </c>
      <c r="M403" s="94">
        <v>1294</v>
      </c>
      <c r="N403" s="94">
        <v>197</v>
      </c>
      <c r="O403" s="94">
        <v>2351</v>
      </c>
      <c r="P403" s="94">
        <v>97</v>
      </c>
      <c r="Q403" s="95">
        <v>0.48823790501553499</v>
      </c>
      <c r="R403" s="95">
        <v>0.31725888324873103</v>
      </c>
      <c r="S403" s="95">
        <v>0.886262924667651</v>
      </c>
      <c r="T403" s="95">
        <v>0.56497175141242895</v>
      </c>
      <c r="U403" s="95">
        <v>0.42857142857142899</v>
      </c>
      <c r="V403" s="95">
        <v>0.50505050505050497</v>
      </c>
      <c r="W403" s="95">
        <v>0.53191489361702105</v>
      </c>
      <c r="X403" s="95">
        <v>0.50949513663733204</v>
      </c>
      <c r="Y403" s="95">
        <v>0</v>
      </c>
      <c r="Z403" s="94">
        <v>4077</v>
      </c>
      <c r="AA403" s="94">
        <v>2712</v>
      </c>
      <c r="AB403" s="94">
        <v>1365</v>
      </c>
      <c r="AC403" s="94">
        <v>271</v>
      </c>
      <c r="AD403" s="94">
        <v>1186</v>
      </c>
      <c r="AE403" s="94">
        <v>2162</v>
      </c>
      <c r="AF403" s="94">
        <v>458</v>
      </c>
      <c r="AG403" s="94">
        <v>2664</v>
      </c>
      <c r="AH403" s="94">
        <v>1348</v>
      </c>
      <c r="AI403" s="94">
        <v>65</v>
      </c>
      <c r="AJ403" s="94">
        <v>3878</v>
      </c>
      <c r="AK403" s="94">
        <v>164</v>
      </c>
      <c r="AL403" s="94">
        <v>35</v>
      </c>
      <c r="AM403" s="94">
        <v>186</v>
      </c>
      <c r="AN403" s="94">
        <v>3794</v>
      </c>
      <c r="AO403" s="94">
        <v>97</v>
      </c>
      <c r="AP403" s="95">
        <v>0.76608784473952996</v>
      </c>
      <c r="AQ403" s="95">
        <v>0.30651340996168602</v>
      </c>
      <c r="AR403" s="95">
        <v>1.68453292496172</v>
      </c>
      <c r="AS403" s="95">
        <v>0.80645161290322598</v>
      </c>
      <c r="AT403" s="95">
        <v>0.88495575221238898</v>
      </c>
      <c r="AU403" s="95">
        <v>0.81223124701385596</v>
      </c>
      <c r="AV403" s="95">
        <v>0.224719101123596</v>
      </c>
      <c r="AW403" s="95">
        <v>0.81237911025145104</v>
      </c>
      <c r="AX403" s="95">
        <v>0.62992125984252001</v>
      </c>
      <c r="AY403" s="95">
        <v>1.63934426229508</v>
      </c>
      <c r="AZ403" s="95">
        <v>0.80536912751677903</v>
      </c>
      <c r="BA403" s="95">
        <v>0</v>
      </c>
      <c r="BB403" s="95">
        <v>0</v>
      </c>
      <c r="BC403" s="95">
        <v>0</v>
      </c>
      <c r="BD403" s="95">
        <v>0.82349711776008805</v>
      </c>
      <c r="BE403" s="95">
        <v>0</v>
      </c>
    </row>
    <row r="404" spans="2:57" ht="15" customHeight="1" x14ac:dyDescent="0.25">
      <c r="B404" s="96">
        <v>394</v>
      </c>
      <c r="C404" s="97" t="s">
        <v>504</v>
      </c>
      <c r="D404" s="104" t="s">
        <v>43</v>
      </c>
      <c r="E404" s="104" t="s">
        <v>361</v>
      </c>
      <c r="F404" s="104" t="s">
        <v>133</v>
      </c>
      <c r="G404" s="105" t="s">
        <v>133</v>
      </c>
      <c r="H404" s="106">
        <v>3743</v>
      </c>
      <c r="I404" s="106">
        <v>2510</v>
      </c>
      <c r="J404" s="106">
        <v>1233</v>
      </c>
      <c r="K404" s="106">
        <v>218</v>
      </c>
      <c r="L404" s="106">
        <v>1103</v>
      </c>
      <c r="M404" s="106">
        <v>2038</v>
      </c>
      <c r="N404" s="106">
        <v>384</v>
      </c>
      <c r="O404" s="106">
        <v>3717</v>
      </c>
      <c r="P404" s="106">
        <v>26</v>
      </c>
      <c r="Q404" s="107">
        <v>4.80497456189938</v>
      </c>
      <c r="R404" s="107">
        <v>4.49957947855341</v>
      </c>
      <c r="S404" s="107">
        <v>5.4310344827586201</v>
      </c>
      <c r="T404" s="107">
        <v>4.4334975369458096</v>
      </c>
      <c r="U404" s="107">
        <v>6.0402684563758404</v>
      </c>
      <c r="V404" s="107">
        <v>4.7052740434332998</v>
      </c>
      <c r="W404" s="107">
        <v>1.95530726256983</v>
      </c>
      <c r="X404" s="107">
        <v>4.6683746085966398</v>
      </c>
      <c r="Y404" s="107">
        <v>24</v>
      </c>
      <c r="Z404" s="106">
        <v>4915</v>
      </c>
      <c r="AA404" s="106">
        <v>2906</v>
      </c>
      <c r="AB404" s="106">
        <v>2009</v>
      </c>
      <c r="AC404" s="106">
        <v>315</v>
      </c>
      <c r="AD404" s="106">
        <v>1245</v>
      </c>
      <c r="AE404" s="106">
        <v>2738</v>
      </c>
      <c r="AF404" s="106">
        <v>617</v>
      </c>
      <c r="AG404" s="106">
        <v>3361</v>
      </c>
      <c r="AH404" s="106">
        <v>1538</v>
      </c>
      <c r="AI404" s="106">
        <v>16</v>
      </c>
      <c r="AJ404" s="106">
        <v>4868</v>
      </c>
      <c r="AK404" s="106">
        <v>35</v>
      </c>
      <c r="AL404" s="106">
        <v>12</v>
      </c>
      <c r="AM404" s="106">
        <v>365</v>
      </c>
      <c r="AN404" s="106">
        <v>4519</v>
      </c>
      <c r="AO404" s="106">
        <v>31</v>
      </c>
      <c r="AP404" s="107">
        <v>6.0729613733905596</v>
      </c>
      <c r="AQ404" s="107">
        <v>3.7749546279491799</v>
      </c>
      <c r="AR404" s="107">
        <v>9.3963254593175893</v>
      </c>
      <c r="AS404" s="107">
        <v>7.6923076923076898</v>
      </c>
      <c r="AT404" s="107">
        <v>6.90250215703192</v>
      </c>
      <c r="AU404" s="107">
        <v>6.1491160645657201</v>
      </c>
      <c r="AV404" s="107">
        <v>3.3333333333333299</v>
      </c>
      <c r="AW404" s="107">
        <v>5.0530255770430399</v>
      </c>
      <c r="AX404" s="107">
        <v>8.4144645340750994</v>
      </c>
      <c r="AY404" s="107">
        <v>0</v>
      </c>
      <c r="AZ404" s="107">
        <v>6.08225108225108</v>
      </c>
      <c r="BA404" s="107">
        <v>3.3333333333333299</v>
      </c>
      <c r="BB404" s="107">
        <v>10</v>
      </c>
      <c r="BC404" s="107">
        <v>4</v>
      </c>
      <c r="BD404" s="107">
        <v>6.2850467289719596</v>
      </c>
      <c r="BE404" s="107">
        <v>0</v>
      </c>
    </row>
    <row r="405" spans="2:57" ht="15" customHeight="1" x14ac:dyDescent="0.25">
      <c r="B405" s="91">
        <v>395</v>
      </c>
      <c r="C405" s="92" t="s">
        <v>504</v>
      </c>
      <c r="D405" s="92" t="s">
        <v>43</v>
      </c>
      <c r="E405" s="92" t="s">
        <v>361</v>
      </c>
      <c r="F405" s="92" t="s">
        <v>133</v>
      </c>
      <c r="G405" s="101" t="s">
        <v>501</v>
      </c>
      <c r="H405" s="94">
        <v>1398</v>
      </c>
      <c r="I405" s="94">
        <v>908</v>
      </c>
      <c r="J405" s="94">
        <v>490</v>
      </c>
      <c r="K405" s="94">
        <v>68</v>
      </c>
      <c r="L405" s="94">
        <v>425</v>
      </c>
      <c r="M405" s="94">
        <v>759</v>
      </c>
      <c r="N405" s="94">
        <v>146</v>
      </c>
      <c r="O405" s="94">
        <v>1388</v>
      </c>
      <c r="P405" s="94">
        <v>10</v>
      </c>
      <c r="Q405" s="95">
        <v>5.0073637702503699</v>
      </c>
      <c r="R405" s="95">
        <v>4.6275395033860001</v>
      </c>
      <c r="S405" s="95">
        <v>5.7203389830508504</v>
      </c>
      <c r="T405" s="95">
        <v>5.8823529411764701</v>
      </c>
      <c r="U405" s="95">
        <v>6.5693430656934302</v>
      </c>
      <c r="V405" s="95">
        <v>4.4534412955465603</v>
      </c>
      <c r="W405" s="95">
        <v>2.8985507246376798</v>
      </c>
      <c r="X405" s="95">
        <v>4.9666419570051898</v>
      </c>
      <c r="Y405" s="95">
        <v>11.1111111111111</v>
      </c>
      <c r="Z405" s="94">
        <v>2009</v>
      </c>
      <c r="AA405" s="94">
        <v>1123</v>
      </c>
      <c r="AB405" s="94">
        <v>886</v>
      </c>
      <c r="AC405" s="94">
        <v>124</v>
      </c>
      <c r="AD405" s="94">
        <v>522</v>
      </c>
      <c r="AE405" s="94">
        <v>1107</v>
      </c>
      <c r="AF405" s="94">
        <v>256</v>
      </c>
      <c r="AG405" s="94">
        <v>963</v>
      </c>
      <c r="AH405" s="94">
        <v>1037</v>
      </c>
      <c r="AI405" s="94">
        <v>9</v>
      </c>
      <c r="AJ405" s="94">
        <v>1983</v>
      </c>
      <c r="AK405" s="94">
        <v>20</v>
      </c>
      <c r="AL405" s="94">
        <v>6</v>
      </c>
      <c r="AM405" s="94">
        <v>172</v>
      </c>
      <c r="AN405" s="94">
        <v>1825</v>
      </c>
      <c r="AO405" s="94">
        <v>12</v>
      </c>
      <c r="AP405" s="95">
        <v>8.8514225500526909</v>
      </c>
      <c r="AQ405" s="95">
        <v>4.84330484330484</v>
      </c>
      <c r="AR405" s="95">
        <v>13.846153846153801</v>
      </c>
      <c r="AS405" s="95">
        <v>12.9310344827586</v>
      </c>
      <c r="AT405" s="95">
        <v>9.9391480730223094</v>
      </c>
      <c r="AU405" s="95">
        <v>8.3413231064237792</v>
      </c>
      <c r="AV405" s="95">
        <v>6.9105691056910601</v>
      </c>
      <c r="AW405" s="95">
        <v>6.7245119305856802</v>
      </c>
      <c r="AX405" s="95">
        <v>10.961737331954501</v>
      </c>
      <c r="AY405" s="95">
        <v>0</v>
      </c>
      <c r="AZ405" s="95">
        <v>8.9161772557394592</v>
      </c>
      <c r="BA405" s="95">
        <v>5</v>
      </c>
      <c r="BB405" s="95">
        <v>0</v>
      </c>
      <c r="BC405" s="95">
        <v>6.74846625766871</v>
      </c>
      <c r="BD405" s="95">
        <v>9.1067285382830594</v>
      </c>
      <c r="BE405" s="95">
        <v>0</v>
      </c>
    </row>
    <row r="406" spans="2:57" ht="15" customHeight="1" x14ac:dyDescent="0.25">
      <c r="B406" s="91">
        <v>396</v>
      </c>
      <c r="C406" s="92" t="s">
        <v>504</v>
      </c>
      <c r="D406" s="92" t="s">
        <v>43</v>
      </c>
      <c r="E406" s="92" t="s">
        <v>361</v>
      </c>
      <c r="F406" s="92" t="s">
        <v>133</v>
      </c>
      <c r="G406" s="101" t="s">
        <v>502</v>
      </c>
      <c r="H406" s="94">
        <v>2345</v>
      </c>
      <c r="I406" s="94">
        <v>1602</v>
      </c>
      <c r="J406" s="94">
        <v>743</v>
      </c>
      <c r="K406" s="94">
        <v>150</v>
      </c>
      <c r="L406" s="94">
        <v>678</v>
      </c>
      <c r="M406" s="94">
        <v>1279</v>
      </c>
      <c r="N406" s="94">
        <v>238</v>
      </c>
      <c r="O406" s="94">
        <v>2329</v>
      </c>
      <c r="P406" s="94">
        <v>16</v>
      </c>
      <c r="Q406" s="95">
        <v>4.6788990825688099</v>
      </c>
      <c r="R406" s="95">
        <v>4.4235924932975896</v>
      </c>
      <c r="S406" s="95">
        <v>5.2325581395348797</v>
      </c>
      <c r="T406" s="95">
        <v>3.7037037037037002</v>
      </c>
      <c r="U406" s="95">
        <v>5.6962025316455698</v>
      </c>
      <c r="V406" s="95">
        <v>4.8616932103939696</v>
      </c>
      <c r="W406" s="95">
        <v>1.36363636363636</v>
      </c>
      <c r="X406" s="95">
        <v>4.4824399260628498</v>
      </c>
      <c r="Y406" s="95">
        <v>31.25</v>
      </c>
      <c r="Z406" s="94">
        <v>2906</v>
      </c>
      <c r="AA406" s="94">
        <v>1783</v>
      </c>
      <c r="AB406" s="94">
        <v>1123</v>
      </c>
      <c r="AC406" s="94">
        <v>191</v>
      </c>
      <c r="AD406" s="94">
        <v>723</v>
      </c>
      <c r="AE406" s="94">
        <v>1631</v>
      </c>
      <c r="AF406" s="94">
        <v>361</v>
      </c>
      <c r="AG406" s="94">
        <v>2398</v>
      </c>
      <c r="AH406" s="94">
        <v>501</v>
      </c>
      <c r="AI406" s="94">
        <v>7</v>
      </c>
      <c r="AJ406" s="94">
        <v>2885</v>
      </c>
      <c r="AK406" s="94">
        <v>15</v>
      </c>
      <c r="AL406" s="94">
        <v>6</v>
      </c>
      <c r="AM406" s="94">
        <v>193</v>
      </c>
      <c r="AN406" s="94">
        <v>2694</v>
      </c>
      <c r="AO406" s="94">
        <v>19</v>
      </c>
      <c r="AP406" s="95">
        <v>4.1636495293265696</v>
      </c>
      <c r="AQ406" s="95">
        <v>3.1139835487661598</v>
      </c>
      <c r="AR406" s="95">
        <v>5.8490566037735796</v>
      </c>
      <c r="AS406" s="95">
        <v>4.3715846994535497</v>
      </c>
      <c r="AT406" s="95">
        <v>4.6546546546546503</v>
      </c>
      <c r="AU406" s="95">
        <v>4.6824887748556803</v>
      </c>
      <c r="AV406" s="95">
        <v>0.84745762711864403</v>
      </c>
      <c r="AW406" s="95">
        <v>4.3782837127845902</v>
      </c>
      <c r="AX406" s="95">
        <v>3.1847133757961799</v>
      </c>
      <c r="AY406" s="95">
        <v>0</v>
      </c>
      <c r="AZ406" s="95">
        <v>4.1499817983254497</v>
      </c>
      <c r="BA406" s="95">
        <v>0</v>
      </c>
      <c r="BB406" s="95">
        <v>20</v>
      </c>
      <c r="BC406" s="95">
        <v>1.6042780748663099</v>
      </c>
      <c r="BD406" s="95">
        <v>4.3818466353677596</v>
      </c>
      <c r="BE406" s="95">
        <v>0</v>
      </c>
    </row>
    <row r="407" spans="2:57" ht="15" customHeight="1" x14ac:dyDescent="0.25">
      <c r="B407" s="86">
        <v>397</v>
      </c>
      <c r="C407" s="87" t="s">
        <v>503</v>
      </c>
      <c r="D407" s="103" t="s">
        <v>43</v>
      </c>
      <c r="E407" s="103" t="s">
        <v>362</v>
      </c>
      <c r="F407" s="103"/>
      <c r="G407" s="88" t="s">
        <v>362</v>
      </c>
      <c r="H407" s="89">
        <v>8194</v>
      </c>
      <c r="I407" s="89">
        <v>4578</v>
      </c>
      <c r="J407" s="89">
        <v>3616</v>
      </c>
      <c r="K407" s="89">
        <v>579</v>
      </c>
      <c r="L407" s="89">
        <v>2324</v>
      </c>
      <c r="M407" s="89">
        <v>3915</v>
      </c>
      <c r="N407" s="89">
        <v>1376</v>
      </c>
      <c r="O407" s="89">
        <v>8190</v>
      </c>
      <c r="P407" s="89">
        <v>4</v>
      </c>
      <c r="Q407" s="90">
        <v>0.19004180919802399</v>
      </c>
      <c r="R407" s="90">
        <v>0.13599274705348999</v>
      </c>
      <c r="S407" s="90">
        <v>0.25854639471416302</v>
      </c>
      <c r="T407" s="90">
        <v>0.38095238095238099</v>
      </c>
      <c r="U407" s="90">
        <v>0.17889087656529501</v>
      </c>
      <c r="V407" s="90">
        <v>0.237717908082409</v>
      </c>
      <c r="W407" s="90">
        <v>0</v>
      </c>
      <c r="X407" s="90">
        <v>0.19013816706806899</v>
      </c>
      <c r="Y407" s="90">
        <v>0</v>
      </c>
      <c r="Z407" s="89">
        <v>12181</v>
      </c>
      <c r="AA407" s="89">
        <v>6814</v>
      </c>
      <c r="AB407" s="89">
        <v>5367</v>
      </c>
      <c r="AC407" s="89">
        <v>813</v>
      </c>
      <c r="AD407" s="89">
        <v>3724</v>
      </c>
      <c r="AE407" s="89">
        <v>5802</v>
      </c>
      <c r="AF407" s="89">
        <v>1842</v>
      </c>
      <c r="AG407" s="89">
        <v>11128</v>
      </c>
      <c r="AH407" s="89">
        <v>996</v>
      </c>
      <c r="AI407" s="89">
        <v>57</v>
      </c>
      <c r="AJ407" s="89">
        <v>12129</v>
      </c>
      <c r="AK407" s="89">
        <v>14</v>
      </c>
      <c r="AL407" s="89">
        <v>38</v>
      </c>
      <c r="AM407" s="89">
        <v>888</v>
      </c>
      <c r="AN407" s="89">
        <v>11167</v>
      </c>
      <c r="AO407" s="89">
        <v>126</v>
      </c>
      <c r="AP407" s="90">
        <v>1.08177172061329</v>
      </c>
      <c r="AQ407" s="90">
        <v>0.68670837784220995</v>
      </c>
      <c r="AR407" s="90">
        <v>1.58087526508579</v>
      </c>
      <c r="AS407" s="90">
        <v>1.40664961636829</v>
      </c>
      <c r="AT407" s="90">
        <v>0.98730606488011297</v>
      </c>
      <c r="AU407" s="90">
        <v>1.2678571428571399</v>
      </c>
      <c r="AV407" s="90">
        <v>0.55157198014340902</v>
      </c>
      <c r="AW407" s="90">
        <v>0.95831782657238596</v>
      </c>
      <c r="AX407" s="90">
        <v>2.34291799787007</v>
      </c>
      <c r="AY407" s="90">
        <v>3.7735849056603801</v>
      </c>
      <c r="AZ407" s="90">
        <v>1.0862127950735501</v>
      </c>
      <c r="BA407" s="90">
        <v>0</v>
      </c>
      <c r="BB407" s="90">
        <v>0</v>
      </c>
      <c r="BC407" s="90">
        <v>0.92165898617511499</v>
      </c>
      <c r="BD407" s="90">
        <v>1.09736817632289</v>
      </c>
      <c r="BE407" s="90">
        <v>0.84033613445378197</v>
      </c>
    </row>
    <row r="408" spans="2:57" ht="15" customHeight="1" x14ac:dyDescent="0.25">
      <c r="B408" s="91">
        <v>398</v>
      </c>
      <c r="C408" s="92" t="s">
        <v>503</v>
      </c>
      <c r="D408" s="92" t="s">
        <v>43</v>
      </c>
      <c r="E408" s="92" t="s">
        <v>362</v>
      </c>
      <c r="F408" s="92"/>
      <c r="G408" s="93" t="s">
        <v>501</v>
      </c>
      <c r="H408" s="94">
        <v>1732</v>
      </c>
      <c r="I408" s="94">
        <v>887</v>
      </c>
      <c r="J408" s="94">
        <v>845</v>
      </c>
      <c r="K408" s="94">
        <v>72</v>
      </c>
      <c r="L408" s="94">
        <v>552</v>
      </c>
      <c r="M408" s="94">
        <v>855</v>
      </c>
      <c r="N408" s="94">
        <v>253</v>
      </c>
      <c r="O408" s="94">
        <v>1732</v>
      </c>
      <c r="P408" s="94">
        <v>0</v>
      </c>
      <c r="Q408" s="95">
        <v>0.35693039857227798</v>
      </c>
      <c r="R408" s="95">
        <v>0.116959064327485</v>
      </c>
      <c r="S408" s="95">
        <v>0.60532687651331696</v>
      </c>
      <c r="T408" s="95">
        <v>0</v>
      </c>
      <c r="U408" s="95">
        <v>0.18656716417910399</v>
      </c>
      <c r="V408" s="95">
        <v>0.60168471720818295</v>
      </c>
      <c r="W408" s="95">
        <v>0</v>
      </c>
      <c r="X408" s="95">
        <v>0.35693039857227798</v>
      </c>
      <c r="Y408" s="95">
        <v>0</v>
      </c>
      <c r="Z408" s="94">
        <v>1614</v>
      </c>
      <c r="AA408" s="94">
        <v>863</v>
      </c>
      <c r="AB408" s="94">
        <v>751</v>
      </c>
      <c r="AC408" s="94">
        <v>103</v>
      </c>
      <c r="AD408" s="94">
        <v>430</v>
      </c>
      <c r="AE408" s="94">
        <v>809</v>
      </c>
      <c r="AF408" s="94">
        <v>272</v>
      </c>
      <c r="AG408" s="94">
        <v>1583</v>
      </c>
      <c r="AH408" s="94">
        <v>26</v>
      </c>
      <c r="AI408" s="94">
        <v>5</v>
      </c>
      <c r="AJ408" s="94">
        <v>1609</v>
      </c>
      <c r="AK408" s="94">
        <v>0</v>
      </c>
      <c r="AL408" s="94">
        <v>5</v>
      </c>
      <c r="AM408" s="94">
        <v>141</v>
      </c>
      <c r="AN408" s="94">
        <v>1458</v>
      </c>
      <c r="AO408" s="94">
        <v>15</v>
      </c>
      <c r="AP408" s="95">
        <v>0.77071290944123305</v>
      </c>
      <c r="AQ408" s="95">
        <v>0.36231884057970998</v>
      </c>
      <c r="AR408" s="95">
        <v>1.2345679012345701</v>
      </c>
      <c r="AS408" s="95">
        <v>0</v>
      </c>
      <c r="AT408" s="95">
        <v>0.24390243902438999</v>
      </c>
      <c r="AU408" s="95">
        <v>1.02827763496144</v>
      </c>
      <c r="AV408" s="95">
        <v>1.1152416356877299</v>
      </c>
      <c r="AW408" s="95">
        <v>0.71895424836601296</v>
      </c>
      <c r="AX408" s="95">
        <v>4.3478260869565197</v>
      </c>
      <c r="AY408" s="95">
        <v>0</v>
      </c>
      <c r="AZ408" s="95">
        <v>0.77319587628866004</v>
      </c>
      <c r="BA408" s="95">
        <v>0</v>
      </c>
      <c r="BB408" s="95">
        <v>0</v>
      </c>
      <c r="BC408" s="95">
        <v>0.72992700729926996</v>
      </c>
      <c r="BD408" s="95">
        <v>0.78291814946619198</v>
      </c>
      <c r="BE408" s="95">
        <v>0</v>
      </c>
    </row>
    <row r="409" spans="2:57" ht="15" customHeight="1" x14ac:dyDescent="0.25">
      <c r="B409" s="91">
        <v>399</v>
      </c>
      <c r="C409" s="92" t="s">
        <v>503</v>
      </c>
      <c r="D409" s="92" t="s">
        <v>43</v>
      </c>
      <c r="E409" s="92" t="s">
        <v>362</v>
      </c>
      <c r="F409" s="92"/>
      <c r="G409" s="93" t="s">
        <v>502</v>
      </c>
      <c r="H409" s="94">
        <v>6462</v>
      </c>
      <c r="I409" s="94">
        <v>3691</v>
      </c>
      <c r="J409" s="94">
        <v>2771</v>
      </c>
      <c r="K409" s="94">
        <v>507</v>
      </c>
      <c r="L409" s="94">
        <v>1772</v>
      </c>
      <c r="M409" s="94">
        <v>3060</v>
      </c>
      <c r="N409" s="94">
        <v>1123</v>
      </c>
      <c r="O409" s="94">
        <v>6458</v>
      </c>
      <c r="P409" s="94">
        <v>4</v>
      </c>
      <c r="Q409" s="95">
        <v>0.144880875724404</v>
      </c>
      <c r="R409" s="95">
        <v>0.140567894292944</v>
      </c>
      <c r="S409" s="95">
        <v>0.15065913370998099</v>
      </c>
      <c r="T409" s="95">
        <v>0.434782608695652</v>
      </c>
      <c r="U409" s="95">
        <v>0.17647058823529399</v>
      </c>
      <c r="V409" s="95">
        <v>0.13536379018612499</v>
      </c>
      <c r="W409" s="95">
        <v>0</v>
      </c>
      <c r="X409" s="95">
        <v>0.144974226804124</v>
      </c>
      <c r="Y409" s="95">
        <v>0</v>
      </c>
      <c r="Z409" s="94">
        <v>10567</v>
      </c>
      <c r="AA409" s="94">
        <v>5951</v>
      </c>
      <c r="AB409" s="94">
        <v>4616</v>
      </c>
      <c r="AC409" s="94">
        <v>710</v>
      </c>
      <c r="AD409" s="94">
        <v>3294</v>
      </c>
      <c r="AE409" s="94">
        <v>4993</v>
      </c>
      <c r="AF409" s="94">
        <v>1570</v>
      </c>
      <c r="AG409" s="94">
        <v>9545</v>
      </c>
      <c r="AH409" s="94">
        <v>970</v>
      </c>
      <c r="AI409" s="94">
        <v>52</v>
      </c>
      <c r="AJ409" s="94">
        <v>10520</v>
      </c>
      <c r="AK409" s="94">
        <v>14</v>
      </c>
      <c r="AL409" s="94">
        <v>33</v>
      </c>
      <c r="AM409" s="94">
        <v>747</v>
      </c>
      <c r="AN409" s="94">
        <v>9709</v>
      </c>
      <c r="AO409" s="94">
        <v>111</v>
      </c>
      <c r="AP409" s="95">
        <v>1.12933320239615</v>
      </c>
      <c r="AQ409" s="95">
        <v>0.73362445414847199</v>
      </c>
      <c r="AR409" s="95">
        <v>1.63750560789592</v>
      </c>
      <c r="AS409" s="95">
        <v>1.61290322580645</v>
      </c>
      <c r="AT409" s="95">
        <v>1.08452950558214</v>
      </c>
      <c r="AU409" s="95">
        <v>1.3065118208212401</v>
      </c>
      <c r="AV409" s="95">
        <v>0.45336787564766801</v>
      </c>
      <c r="AW409" s="95">
        <v>0.99804729876328901</v>
      </c>
      <c r="AX409" s="95">
        <v>2.2925764192139702</v>
      </c>
      <c r="AY409" s="95">
        <v>4.0816326530612201</v>
      </c>
      <c r="AZ409" s="95">
        <v>1.1341222879684401</v>
      </c>
      <c r="BA409" s="95">
        <v>0</v>
      </c>
      <c r="BB409" s="95">
        <v>0</v>
      </c>
      <c r="BC409" s="95">
        <v>0.95759233926128595</v>
      </c>
      <c r="BD409" s="95">
        <v>1.14462986735131</v>
      </c>
      <c r="BE409" s="95">
        <v>0.96153846153846201</v>
      </c>
    </row>
    <row r="410" spans="2:57" ht="15" customHeight="1" x14ac:dyDescent="0.25">
      <c r="B410" s="96">
        <v>400</v>
      </c>
      <c r="C410" s="97" t="s">
        <v>504</v>
      </c>
      <c r="D410" s="104" t="s">
        <v>43</v>
      </c>
      <c r="E410" s="104" t="s">
        <v>362</v>
      </c>
      <c r="F410" s="104" t="s">
        <v>465</v>
      </c>
      <c r="G410" s="105" t="s">
        <v>465</v>
      </c>
      <c r="H410" s="106">
        <v>6604</v>
      </c>
      <c r="I410" s="106">
        <v>3741</v>
      </c>
      <c r="J410" s="106">
        <v>2863</v>
      </c>
      <c r="K410" s="106">
        <v>459</v>
      </c>
      <c r="L410" s="106">
        <v>1873</v>
      </c>
      <c r="M410" s="106">
        <v>3180</v>
      </c>
      <c r="N410" s="106">
        <v>1092</v>
      </c>
      <c r="O410" s="106">
        <v>6602</v>
      </c>
      <c r="P410" s="106">
        <v>2</v>
      </c>
      <c r="Q410" s="107">
        <v>0.17257609036711599</v>
      </c>
      <c r="R410" s="107">
        <v>0.110834026045996</v>
      </c>
      <c r="S410" s="107">
        <v>0.253164556962025</v>
      </c>
      <c r="T410" s="107">
        <v>0.47961630695443602</v>
      </c>
      <c r="U410" s="107">
        <v>0.16602102933038199</v>
      </c>
      <c r="V410" s="107">
        <v>0.194678780012979</v>
      </c>
      <c r="W410" s="107">
        <v>0</v>
      </c>
      <c r="X410" s="107">
        <v>0.17263025737602</v>
      </c>
      <c r="Y410" s="107">
        <v>0</v>
      </c>
      <c r="Z410" s="106">
        <v>8963</v>
      </c>
      <c r="AA410" s="106">
        <v>4980</v>
      </c>
      <c r="AB410" s="106">
        <v>3983</v>
      </c>
      <c r="AC410" s="106">
        <v>597</v>
      </c>
      <c r="AD410" s="106">
        <v>2635</v>
      </c>
      <c r="AE410" s="106">
        <v>4295</v>
      </c>
      <c r="AF410" s="106">
        <v>1436</v>
      </c>
      <c r="AG410" s="106">
        <v>8280</v>
      </c>
      <c r="AH410" s="106">
        <v>656</v>
      </c>
      <c r="AI410" s="106">
        <v>27</v>
      </c>
      <c r="AJ410" s="106">
        <v>8927</v>
      </c>
      <c r="AK410" s="106">
        <v>11</v>
      </c>
      <c r="AL410" s="106">
        <v>25</v>
      </c>
      <c r="AM410" s="106">
        <v>621</v>
      </c>
      <c r="AN410" s="106">
        <v>8244</v>
      </c>
      <c r="AO410" s="106">
        <v>98</v>
      </c>
      <c r="AP410" s="107">
        <v>1.1743034768593099</v>
      </c>
      <c r="AQ410" s="107">
        <v>0.72689511941848395</v>
      </c>
      <c r="AR410" s="107">
        <v>1.73081890984242</v>
      </c>
      <c r="AS410" s="107">
        <v>1.7331022530329301</v>
      </c>
      <c r="AT410" s="107">
        <v>0.82938388625592396</v>
      </c>
      <c r="AU410" s="107">
        <v>1.4656415185007201</v>
      </c>
      <c r="AV410" s="107">
        <v>0.70671378091872805</v>
      </c>
      <c r="AW410" s="107">
        <v>1.0067114093959699</v>
      </c>
      <c r="AX410" s="107">
        <v>3.0794165316045401</v>
      </c>
      <c r="AY410" s="107">
        <v>8.6956521739130395</v>
      </c>
      <c r="AZ410" s="107">
        <v>1.1790544445728799</v>
      </c>
      <c r="BA410" s="107">
        <v>0</v>
      </c>
      <c r="BB410" s="107">
        <v>0</v>
      </c>
      <c r="BC410" s="107">
        <v>1.31578947368421</v>
      </c>
      <c r="BD410" s="107">
        <v>1.16482965931864</v>
      </c>
      <c r="BE410" s="107">
        <v>1.0638297872340401</v>
      </c>
    </row>
    <row r="411" spans="2:57" ht="15" customHeight="1" x14ac:dyDescent="0.25">
      <c r="B411" s="91">
        <v>401</v>
      </c>
      <c r="C411" s="92" t="s">
        <v>504</v>
      </c>
      <c r="D411" s="92" t="s">
        <v>43</v>
      </c>
      <c r="E411" s="92" t="s">
        <v>362</v>
      </c>
      <c r="F411" s="92" t="s">
        <v>465</v>
      </c>
      <c r="G411" s="101" t="s">
        <v>501</v>
      </c>
      <c r="H411" s="94">
        <v>1732</v>
      </c>
      <c r="I411" s="94">
        <v>887</v>
      </c>
      <c r="J411" s="94">
        <v>845</v>
      </c>
      <c r="K411" s="94">
        <v>72</v>
      </c>
      <c r="L411" s="94">
        <v>552</v>
      </c>
      <c r="M411" s="94">
        <v>855</v>
      </c>
      <c r="N411" s="94">
        <v>253</v>
      </c>
      <c r="O411" s="94">
        <v>1732</v>
      </c>
      <c r="P411" s="94">
        <v>0</v>
      </c>
      <c r="Q411" s="95">
        <v>0.35693039857227798</v>
      </c>
      <c r="R411" s="95">
        <v>0.116959064327485</v>
      </c>
      <c r="S411" s="95">
        <v>0.60532687651331696</v>
      </c>
      <c r="T411" s="95">
        <v>0</v>
      </c>
      <c r="U411" s="95">
        <v>0.18656716417910399</v>
      </c>
      <c r="V411" s="95">
        <v>0.60168471720818295</v>
      </c>
      <c r="W411" s="95">
        <v>0</v>
      </c>
      <c r="X411" s="95">
        <v>0.35693039857227798</v>
      </c>
      <c r="Y411" s="95">
        <v>0</v>
      </c>
      <c r="Z411" s="94">
        <v>1614</v>
      </c>
      <c r="AA411" s="94">
        <v>863</v>
      </c>
      <c r="AB411" s="94">
        <v>751</v>
      </c>
      <c r="AC411" s="94">
        <v>103</v>
      </c>
      <c r="AD411" s="94">
        <v>430</v>
      </c>
      <c r="AE411" s="94">
        <v>809</v>
      </c>
      <c r="AF411" s="94">
        <v>272</v>
      </c>
      <c r="AG411" s="94">
        <v>1583</v>
      </c>
      <c r="AH411" s="94">
        <v>26</v>
      </c>
      <c r="AI411" s="94">
        <v>5</v>
      </c>
      <c r="AJ411" s="94">
        <v>1609</v>
      </c>
      <c r="AK411" s="94">
        <v>0</v>
      </c>
      <c r="AL411" s="94">
        <v>5</v>
      </c>
      <c r="AM411" s="94">
        <v>141</v>
      </c>
      <c r="AN411" s="94">
        <v>1458</v>
      </c>
      <c r="AO411" s="94">
        <v>15</v>
      </c>
      <c r="AP411" s="95">
        <v>0.77071290944123305</v>
      </c>
      <c r="AQ411" s="95">
        <v>0.36231884057970998</v>
      </c>
      <c r="AR411" s="95">
        <v>1.2345679012345701</v>
      </c>
      <c r="AS411" s="95">
        <v>0</v>
      </c>
      <c r="AT411" s="95">
        <v>0.24390243902438999</v>
      </c>
      <c r="AU411" s="95">
        <v>1.02827763496144</v>
      </c>
      <c r="AV411" s="95">
        <v>1.1152416356877299</v>
      </c>
      <c r="AW411" s="95">
        <v>0.71895424836601296</v>
      </c>
      <c r="AX411" s="95">
        <v>4.3478260869565197</v>
      </c>
      <c r="AY411" s="95">
        <v>0</v>
      </c>
      <c r="AZ411" s="95">
        <v>0.77319587628866004</v>
      </c>
      <c r="BA411" s="95">
        <v>0</v>
      </c>
      <c r="BB411" s="95">
        <v>0</v>
      </c>
      <c r="BC411" s="95">
        <v>0.72992700729926996</v>
      </c>
      <c r="BD411" s="95">
        <v>0.78291814946619198</v>
      </c>
      <c r="BE411" s="95">
        <v>0</v>
      </c>
    </row>
    <row r="412" spans="2:57" ht="15" customHeight="1" x14ac:dyDescent="0.25">
      <c r="B412" s="91">
        <v>402</v>
      </c>
      <c r="C412" s="92" t="s">
        <v>504</v>
      </c>
      <c r="D412" s="92" t="s">
        <v>43</v>
      </c>
      <c r="E412" s="92" t="s">
        <v>362</v>
      </c>
      <c r="F412" s="92" t="s">
        <v>465</v>
      </c>
      <c r="G412" s="101" t="s">
        <v>502</v>
      </c>
      <c r="H412" s="94">
        <v>4872</v>
      </c>
      <c r="I412" s="94">
        <v>2854</v>
      </c>
      <c r="J412" s="94">
        <v>2018</v>
      </c>
      <c r="K412" s="94">
        <v>387</v>
      </c>
      <c r="L412" s="94">
        <v>1321</v>
      </c>
      <c r="M412" s="94">
        <v>2325</v>
      </c>
      <c r="N412" s="94">
        <v>839</v>
      </c>
      <c r="O412" s="94">
        <v>4870</v>
      </c>
      <c r="P412" s="94">
        <v>2</v>
      </c>
      <c r="Q412" s="95">
        <v>0.10654165778819499</v>
      </c>
      <c r="R412" s="95">
        <v>0.108932461873638</v>
      </c>
      <c r="S412" s="95">
        <v>0.103145951521403</v>
      </c>
      <c r="T412" s="95">
        <v>0.56818181818181801</v>
      </c>
      <c r="U412" s="95">
        <v>0.15735641227380001</v>
      </c>
      <c r="V412" s="95">
        <v>4.4424700133274098E-2</v>
      </c>
      <c r="W412" s="95">
        <v>0</v>
      </c>
      <c r="X412" s="95">
        <v>0.106587081645705</v>
      </c>
      <c r="Y412" s="95">
        <v>0</v>
      </c>
      <c r="Z412" s="94">
        <v>7349</v>
      </c>
      <c r="AA412" s="94">
        <v>4117</v>
      </c>
      <c r="AB412" s="94">
        <v>3232</v>
      </c>
      <c r="AC412" s="94">
        <v>494</v>
      </c>
      <c r="AD412" s="94">
        <v>2205</v>
      </c>
      <c r="AE412" s="94">
        <v>3486</v>
      </c>
      <c r="AF412" s="94">
        <v>1164</v>
      </c>
      <c r="AG412" s="94">
        <v>6697</v>
      </c>
      <c r="AH412" s="94">
        <v>630</v>
      </c>
      <c r="AI412" s="94">
        <v>22</v>
      </c>
      <c r="AJ412" s="94">
        <v>7318</v>
      </c>
      <c r="AK412" s="94">
        <v>11</v>
      </c>
      <c r="AL412" s="94">
        <v>20</v>
      </c>
      <c r="AM412" s="94">
        <v>480</v>
      </c>
      <c r="AN412" s="94">
        <v>6786</v>
      </c>
      <c r="AO412" s="94">
        <v>83</v>
      </c>
      <c r="AP412" s="95">
        <v>1.26244915135363</v>
      </c>
      <c r="AQ412" s="95">
        <v>0.80260847755204401</v>
      </c>
      <c r="AR412" s="95">
        <v>1.8459579885423301</v>
      </c>
      <c r="AS412" s="95">
        <v>2.0964360587002102</v>
      </c>
      <c r="AT412" s="95">
        <v>0.94250706880301605</v>
      </c>
      <c r="AU412" s="95">
        <v>1.5661938534279001</v>
      </c>
      <c r="AV412" s="95">
        <v>0.61082024432809801</v>
      </c>
      <c r="AW412" s="95">
        <v>1.0742786985880901</v>
      </c>
      <c r="AX412" s="95">
        <v>3.0303030303030298</v>
      </c>
      <c r="AY412" s="95">
        <v>10.526315789473699</v>
      </c>
      <c r="AZ412" s="95">
        <v>1.2677841949570401</v>
      </c>
      <c r="BA412" s="95">
        <v>0</v>
      </c>
      <c r="BB412" s="95">
        <v>0</v>
      </c>
      <c r="BC412" s="95">
        <v>1.48619957537155</v>
      </c>
      <c r="BD412" s="95">
        <v>1.24639002887977</v>
      </c>
      <c r="BE412" s="95">
        <v>1.26582278481013</v>
      </c>
    </row>
    <row r="413" spans="2:57" ht="15" customHeight="1" x14ac:dyDescent="0.25">
      <c r="B413" s="96">
        <v>403</v>
      </c>
      <c r="C413" s="97" t="s">
        <v>504</v>
      </c>
      <c r="D413" s="104" t="s">
        <v>43</v>
      </c>
      <c r="E413" s="104" t="s">
        <v>362</v>
      </c>
      <c r="F413" s="104" t="s">
        <v>108</v>
      </c>
      <c r="G413" s="105" t="s">
        <v>108</v>
      </c>
      <c r="H413" s="106">
        <v>1590</v>
      </c>
      <c r="I413" s="106">
        <v>837</v>
      </c>
      <c r="J413" s="106">
        <v>753</v>
      </c>
      <c r="K413" s="106">
        <v>120</v>
      </c>
      <c r="L413" s="106">
        <v>451</v>
      </c>
      <c r="M413" s="106">
        <v>735</v>
      </c>
      <c r="N413" s="106">
        <v>284</v>
      </c>
      <c r="O413" s="106">
        <v>1588</v>
      </c>
      <c r="P413" s="106">
        <v>2</v>
      </c>
      <c r="Q413" s="107">
        <v>0.26333113890717602</v>
      </c>
      <c r="R413" s="107">
        <v>0.24906600249065999</v>
      </c>
      <c r="S413" s="107">
        <v>0.27932960893854702</v>
      </c>
      <c r="T413" s="107">
        <v>0</v>
      </c>
      <c r="U413" s="107">
        <v>0.23310023310023301</v>
      </c>
      <c r="V413" s="107">
        <v>0.42613636363636398</v>
      </c>
      <c r="W413" s="107">
        <v>0</v>
      </c>
      <c r="X413" s="107">
        <v>0.26367831245880002</v>
      </c>
      <c r="Y413" s="107">
        <v>0</v>
      </c>
      <c r="Z413" s="106">
        <v>3218</v>
      </c>
      <c r="AA413" s="106">
        <v>1834</v>
      </c>
      <c r="AB413" s="106">
        <v>1384</v>
      </c>
      <c r="AC413" s="106">
        <v>216</v>
      </c>
      <c r="AD413" s="106">
        <v>1089</v>
      </c>
      <c r="AE413" s="106">
        <v>1507</v>
      </c>
      <c r="AF413" s="106">
        <v>406</v>
      </c>
      <c r="AG413" s="106">
        <v>2848</v>
      </c>
      <c r="AH413" s="106">
        <v>340</v>
      </c>
      <c r="AI413" s="106">
        <v>30</v>
      </c>
      <c r="AJ413" s="106">
        <v>3202</v>
      </c>
      <c r="AK413" s="106">
        <v>3</v>
      </c>
      <c r="AL413" s="106">
        <v>13</v>
      </c>
      <c r="AM413" s="106">
        <v>267</v>
      </c>
      <c r="AN413" s="106">
        <v>2923</v>
      </c>
      <c r="AO413" s="106">
        <v>28</v>
      </c>
      <c r="AP413" s="107">
        <v>0.81859855926653602</v>
      </c>
      <c r="AQ413" s="107">
        <v>0.57537399309551196</v>
      </c>
      <c r="AR413" s="107">
        <v>1.13981762917933</v>
      </c>
      <c r="AS413" s="107">
        <v>0.48780487804877998</v>
      </c>
      <c r="AT413" s="107">
        <v>1.38203356367226</v>
      </c>
      <c r="AU413" s="107">
        <v>0.69541029207232297</v>
      </c>
      <c r="AV413" s="107">
        <v>0</v>
      </c>
      <c r="AW413" s="107">
        <v>0.814211695040711</v>
      </c>
      <c r="AX413" s="107">
        <v>0.93167701863354002</v>
      </c>
      <c r="AY413" s="107">
        <v>0</v>
      </c>
      <c r="AZ413" s="107">
        <v>0.82209799408089401</v>
      </c>
      <c r="BA413" s="107">
        <v>0</v>
      </c>
      <c r="BB413" s="107">
        <v>0</v>
      </c>
      <c r="BC413" s="107">
        <v>0</v>
      </c>
      <c r="BD413" s="107">
        <v>0.90285301552907204</v>
      </c>
      <c r="BE413" s="107">
        <v>0</v>
      </c>
    </row>
    <row r="414" spans="2:57" ht="15" customHeight="1" x14ac:dyDescent="0.25">
      <c r="B414" s="91">
        <v>404</v>
      </c>
      <c r="C414" s="92" t="s">
        <v>504</v>
      </c>
      <c r="D414" s="92" t="s">
        <v>43</v>
      </c>
      <c r="E414" s="92" t="s">
        <v>362</v>
      </c>
      <c r="F414" s="92" t="s">
        <v>108</v>
      </c>
      <c r="G414" s="101" t="s">
        <v>501</v>
      </c>
      <c r="H414" s="94">
        <v>0</v>
      </c>
      <c r="I414" s="94">
        <v>0</v>
      </c>
      <c r="J414" s="94">
        <v>0</v>
      </c>
      <c r="K414" s="94">
        <v>0</v>
      </c>
      <c r="L414" s="94">
        <v>0</v>
      </c>
      <c r="M414" s="94">
        <v>0</v>
      </c>
      <c r="N414" s="94">
        <v>0</v>
      </c>
      <c r="O414" s="94">
        <v>0</v>
      </c>
      <c r="P414" s="94">
        <v>0</v>
      </c>
      <c r="Q414" s="95">
        <v>0</v>
      </c>
      <c r="R414" s="95">
        <v>0</v>
      </c>
      <c r="S414" s="95">
        <v>0</v>
      </c>
      <c r="T414" s="95">
        <v>0</v>
      </c>
      <c r="U414" s="95">
        <v>0</v>
      </c>
      <c r="V414" s="95">
        <v>0</v>
      </c>
      <c r="W414" s="95">
        <v>0</v>
      </c>
      <c r="X414" s="95">
        <v>0</v>
      </c>
      <c r="Y414" s="95">
        <v>0</v>
      </c>
      <c r="Z414" s="94">
        <v>0</v>
      </c>
      <c r="AA414" s="94">
        <v>0</v>
      </c>
      <c r="AB414" s="94">
        <v>0</v>
      </c>
      <c r="AC414" s="94">
        <v>0</v>
      </c>
      <c r="AD414" s="94">
        <v>0</v>
      </c>
      <c r="AE414" s="94">
        <v>0</v>
      </c>
      <c r="AF414" s="94">
        <v>0</v>
      </c>
      <c r="AG414" s="94">
        <v>0</v>
      </c>
      <c r="AH414" s="94">
        <v>0</v>
      </c>
      <c r="AI414" s="94">
        <v>0</v>
      </c>
      <c r="AJ414" s="94">
        <v>0</v>
      </c>
      <c r="AK414" s="94">
        <v>0</v>
      </c>
      <c r="AL414" s="94">
        <v>0</v>
      </c>
      <c r="AM414" s="94">
        <v>0</v>
      </c>
      <c r="AN414" s="94">
        <v>0</v>
      </c>
      <c r="AO414" s="94">
        <v>0</v>
      </c>
      <c r="AP414" s="95">
        <v>0</v>
      </c>
      <c r="AQ414" s="95">
        <v>0</v>
      </c>
      <c r="AR414" s="95">
        <v>0</v>
      </c>
      <c r="AS414" s="95">
        <v>0</v>
      </c>
      <c r="AT414" s="95">
        <v>0</v>
      </c>
      <c r="AU414" s="95">
        <v>0</v>
      </c>
      <c r="AV414" s="95">
        <v>0</v>
      </c>
      <c r="AW414" s="95">
        <v>0</v>
      </c>
      <c r="AX414" s="95">
        <v>0</v>
      </c>
      <c r="AY414" s="95">
        <v>0</v>
      </c>
      <c r="AZ414" s="95">
        <v>0</v>
      </c>
      <c r="BA414" s="95">
        <v>0</v>
      </c>
      <c r="BB414" s="95">
        <v>0</v>
      </c>
      <c r="BC414" s="95">
        <v>0</v>
      </c>
      <c r="BD414" s="95">
        <v>0</v>
      </c>
      <c r="BE414" s="95">
        <v>0</v>
      </c>
    </row>
    <row r="415" spans="2:57" ht="15" customHeight="1" x14ac:dyDescent="0.25">
      <c r="B415" s="91">
        <v>405</v>
      </c>
      <c r="C415" s="92" t="s">
        <v>504</v>
      </c>
      <c r="D415" s="92" t="s">
        <v>43</v>
      </c>
      <c r="E415" s="92" t="s">
        <v>362</v>
      </c>
      <c r="F415" s="92" t="s">
        <v>108</v>
      </c>
      <c r="G415" s="101" t="s">
        <v>502</v>
      </c>
      <c r="H415" s="94">
        <v>1590</v>
      </c>
      <c r="I415" s="94">
        <v>837</v>
      </c>
      <c r="J415" s="94">
        <v>753</v>
      </c>
      <c r="K415" s="94">
        <v>120</v>
      </c>
      <c r="L415" s="94">
        <v>451</v>
      </c>
      <c r="M415" s="94">
        <v>735</v>
      </c>
      <c r="N415" s="94">
        <v>284</v>
      </c>
      <c r="O415" s="94">
        <v>1588</v>
      </c>
      <c r="P415" s="94">
        <v>2</v>
      </c>
      <c r="Q415" s="95">
        <v>0.26333113890717602</v>
      </c>
      <c r="R415" s="95">
        <v>0.24906600249065999</v>
      </c>
      <c r="S415" s="95">
        <v>0.27932960893854702</v>
      </c>
      <c r="T415" s="95">
        <v>0</v>
      </c>
      <c r="U415" s="95">
        <v>0.23310023310023301</v>
      </c>
      <c r="V415" s="95">
        <v>0.42613636363636398</v>
      </c>
      <c r="W415" s="95">
        <v>0</v>
      </c>
      <c r="X415" s="95">
        <v>0.26367831245880002</v>
      </c>
      <c r="Y415" s="95">
        <v>0</v>
      </c>
      <c r="Z415" s="94">
        <v>3218</v>
      </c>
      <c r="AA415" s="94">
        <v>1834</v>
      </c>
      <c r="AB415" s="94">
        <v>1384</v>
      </c>
      <c r="AC415" s="94">
        <v>216</v>
      </c>
      <c r="AD415" s="94">
        <v>1089</v>
      </c>
      <c r="AE415" s="94">
        <v>1507</v>
      </c>
      <c r="AF415" s="94">
        <v>406</v>
      </c>
      <c r="AG415" s="94">
        <v>2848</v>
      </c>
      <c r="AH415" s="94">
        <v>340</v>
      </c>
      <c r="AI415" s="94">
        <v>30</v>
      </c>
      <c r="AJ415" s="94">
        <v>3202</v>
      </c>
      <c r="AK415" s="94">
        <v>3</v>
      </c>
      <c r="AL415" s="94">
        <v>13</v>
      </c>
      <c r="AM415" s="94">
        <v>267</v>
      </c>
      <c r="AN415" s="94">
        <v>2923</v>
      </c>
      <c r="AO415" s="94">
        <v>28</v>
      </c>
      <c r="AP415" s="95">
        <v>0.81859855926653602</v>
      </c>
      <c r="AQ415" s="95">
        <v>0.57537399309551196</v>
      </c>
      <c r="AR415" s="95">
        <v>1.13981762917933</v>
      </c>
      <c r="AS415" s="95">
        <v>0.48780487804877998</v>
      </c>
      <c r="AT415" s="95">
        <v>1.38203356367226</v>
      </c>
      <c r="AU415" s="95">
        <v>0.69541029207232297</v>
      </c>
      <c r="AV415" s="95">
        <v>0</v>
      </c>
      <c r="AW415" s="95">
        <v>0.814211695040711</v>
      </c>
      <c r="AX415" s="95">
        <v>0.93167701863354002</v>
      </c>
      <c r="AY415" s="95">
        <v>0</v>
      </c>
      <c r="AZ415" s="95">
        <v>0.82209799408089401</v>
      </c>
      <c r="BA415" s="95">
        <v>0</v>
      </c>
      <c r="BB415" s="95">
        <v>0</v>
      </c>
      <c r="BC415" s="95">
        <v>0</v>
      </c>
      <c r="BD415" s="95">
        <v>0.90285301552907204</v>
      </c>
      <c r="BE415" s="95">
        <v>0</v>
      </c>
    </row>
    <row r="416" spans="2:57" ht="15" customHeight="1" x14ac:dyDescent="0.25">
      <c r="B416" s="86">
        <v>406</v>
      </c>
      <c r="C416" s="87" t="s">
        <v>503</v>
      </c>
      <c r="D416" s="103" t="s">
        <v>43</v>
      </c>
      <c r="E416" s="103" t="s">
        <v>363</v>
      </c>
      <c r="F416" s="103"/>
      <c r="G416" s="88" t="s">
        <v>363</v>
      </c>
      <c r="H416" s="89">
        <v>15016</v>
      </c>
      <c r="I416" s="89">
        <v>7714</v>
      </c>
      <c r="J416" s="89">
        <v>7302</v>
      </c>
      <c r="K416" s="89">
        <v>586</v>
      </c>
      <c r="L416" s="89">
        <v>3218</v>
      </c>
      <c r="M416" s="89">
        <v>7616</v>
      </c>
      <c r="N416" s="89">
        <v>3596</v>
      </c>
      <c r="O416" s="89">
        <v>14929</v>
      </c>
      <c r="P416" s="89">
        <v>87</v>
      </c>
      <c r="Q416" s="90">
        <v>3.8704746021819201</v>
      </c>
      <c r="R416" s="90">
        <v>5.3646611435556197</v>
      </c>
      <c r="S416" s="90">
        <v>2.3050654524758101</v>
      </c>
      <c r="T416" s="90">
        <v>9.3333333333333304</v>
      </c>
      <c r="U416" s="90">
        <v>5.8300395256917001</v>
      </c>
      <c r="V416" s="90">
        <v>3.6920980926430498</v>
      </c>
      <c r="W416" s="90">
        <v>1.71919770773639</v>
      </c>
      <c r="X416" s="90">
        <v>3.8574423480083899</v>
      </c>
      <c r="Y416" s="90">
        <v>6.1728395061728403</v>
      </c>
      <c r="Z416" s="89">
        <v>21163</v>
      </c>
      <c r="AA416" s="89">
        <v>10940</v>
      </c>
      <c r="AB416" s="89">
        <v>10223</v>
      </c>
      <c r="AC416" s="89">
        <v>823</v>
      </c>
      <c r="AD416" s="89">
        <v>4014</v>
      </c>
      <c r="AE416" s="89">
        <v>11226</v>
      </c>
      <c r="AF416" s="89">
        <v>5100</v>
      </c>
      <c r="AG416" s="89">
        <v>18177</v>
      </c>
      <c r="AH416" s="89">
        <v>2885</v>
      </c>
      <c r="AI416" s="89">
        <v>101</v>
      </c>
      <c r="AJ416" s="89">
        <v>20907</v>
      </c>
      <c r="AK416" s="89">
        <v>206</v>
      </c>
      <c r="AL416" s="89">
        <v>50</v>
      </c>
      <c r="AM416" s="89">
        <v>1583</v>
      </c>
      <c r="AN416" s="89">
        <v>19418</v>
      </c>
      <c r="AO416" s="89">
        <v>162</v>
      </c>
      <c r="AP416" s="90">
        <v>5.4629040935100504</v>
      </c>
      <c r="AQ416" s="90">
        <v>4.9011259343362701</v>
      </c>
      <c r="AR416" s="90">
        <v>6.0639805628669796</v>
      </c>
      <c r="AS416" s="90">
        <v>8.2592121982210909</v>
      </c>
      <c r="AT416" s="90">
        <v>7.6521284930791298</v>
      </c>
      <c r="AU416" s="90">
        <v>5.6908319498247604</v>
      </c>
      <c r="AV416" s="90">
        <v>2.8462617759070001</v>
      </c>
      <c r="AW416" s="90">
        <v>5.07435577250539</v>
      </c>
      <c r="AX416" s="90">
        <v>7.9795021961932697</v>
      </c>
      <c r="AY416" s="90">
        <v>5.1546391752577296</v>
      </c>
      <c r="AZ416" s="90">
        <v>5.4306930693069297</v>
      </c>
      <c r="BA416" s="90">
        <v>9.1370558375634499</v>
      </c>
      <c r="BB416" s="90">
        <v>4</v>
      </c>
      <c r="BC416" s="90">
        <v>2.8460543337645499</v>
      </c>
      <c r="BD416" s="90">
        <v>5.6761803147506003</v>
      </c>
      <c r="BE416" s="90">
        <v>5.7692307692307701</v>
      </c>
    </row>
    <row r="417" spans="2:57" ht="15" customHeight="1" x14ac:dyDescent="0.25">
      <c r="B417" s="91">
        <v>407</v>
      </c>
      <c r="C417" s="92" t="s">
        <v>503</v>
      </c>
      <c r="D417" s="92" t="s">
        <v>43</v>
      </c>
      <c r="E417" s="92" t="s">
        <v>363</v>
      </c>
      <c r="F417" s="92"/>
      <c r="G417" s="93" t="s">
        <v>501</v>
      </c>
      <c r="H417" s="94">
        <v>4617</v>
      </c>
      <c r="I417" s="94">
        <v>2390</v>
      </c>
      <c r="J417" s="94">
        <v>2227</v>
      </c>
      <c r="K417" s="94">
        <v>179</v>
      </c>
      <c r="L417" s="94">
        <v>1283</v>
      </c>
      <c r="M417" s="94">
        <v>2522</v>
      </c>
      <c r="N417" s="94">
        <v>633</v>
      </c>
      <c r="O417" s="94">
        <v>4585</v>
      </c>
      <c r="P417" s="94">
        <v>32</v>
      </c>
      <c r="Q417" s="95">
        <v>6.5237020316027099</v>
      </c>
      <c r="R417" s="95">
        <v>8.1845885938180203</v>
      </c>
      <c r="S417" s="95">
        <v>4.7351148616971397</v>
      </c>
      <c r="T417" s="95">
        <v>23.076923076923102</v>
      </c>
      <c r="U417" s="95">
        <v>7.7424612876935601</v>
      </c>
      <c r="V417" s="95">
        <v>5.4120541205412103</v>
      </c>
      <c r="W417" s="95">
        <v>4.2763157894736796</v>
      </c>
      <c r="X417" s="95">
        <v>6.4545454545454497</v>
      </c>
      <c r="Y417" s="95">
        <v>16.6666666666667</v>
      </c>
      <c r="Z417" s="94">
        <v>5757</v>
      </c>
      <c r="AA417" s="94">
        <v>3056</v>
      </c>
      <c r="AB417" s="94">
        <v>2701</v>
      </c>
      <c r="AC417" s="94">
        <v>204</v>
      </c>
      <c r="AD417" s="94">
        <v>1169</v>
      </c>
      <c r="AE417" s="94">
        <v>3406</v>
      </c>
      <c r="AF417" s="94">
        <v>978</v>
      </c>
      <c r="AG417" s="94">
        <v>4038</v>
      </c>
      <c r="AH417" s="94">
        <v>1662</v>
      </c>
      <c r="AI417" s="94">
        <v>57</v>
      </c>
      <c r="AJ417" s="94">
        <v>5672</v>
      </c>
      <c r="AK417" s="94">
        <v>69</v>
      </c>
      <c r="AL417" s="94">
        <v>16</v>
      </c>
      <c r="AM417" s="94">
        <v>350</v>
      </c>
      <c r="AN417" s="94">
        <v>5354</v>
      </c>
      <c r="AO417" s="94">
        <v>53</v>
      </c>
      <c r="AP417" s="95">
        <v>9.3676390650480208</v>
      </c>
      <c r="AQ417" s="95">
        <v>7.9224753485209103</v>
      </c>
      <c r="AR417" s="95">
        <v>11.0162916989915</v>
      </c>
      <c r="AS417" s="95">
        <v>18.848167539266999</v>
      </c>
      <c r="AT417" s="95">
        <v>11.8173679498657</v>
      </c>
      <c r="AU417" s="95">
        <v>8.7461773700305798</v>
      </c>
      <c r="AV417" s="95">
        <v>6.6950053134962797</v>
      </c>
      <c r="AW417" s="95">
        <v>9.2802056555269896</v>
      </c>
      <c r="AX417" s="95">
        <v>9.71428571428571</v>
      </c>
      <c r="AY417" s="95">
        <v>5.5555555555555598</v>
      </c>
      <c r="AZ417" s="95">
        <v>9.2313350496506104</v>
      </c>
      <c r="BA417" s="95">
        <v>21.538461538461501</v>
      </c>
      <c r="BB417" s="95">
        <v>6.25</v>
      </c>
      <c r="BC417" s="95">
        <v>5.9171597633136104</v>
      </c>
      <c r="BD417" s="95">
        <v>9.6138845553822208</v>
      </c>
      <c r="BE417" s="95">
        <v>7.5471698113207504</v>
      </c>
    </row>
    <row r="418" spans="2:57" ht="15" customHeight="1" x14ac:dyDescent="0.25">
      <c r="B418" s="91">
        <v>408</v>
      </c>
      <c r="C418" s="92" t="s">
        <v>503</v>
      </c>
      <c r="D418" s="92" t="s">
        <v>43</v>
      </c>
      <c r="E418" s="92" t="s">
        <v>363</v>
      </c>
      <c r="F418" s="92"/>
      <c r="G418" s="93" t="s">
        <v>502</v>
      </c>
      <c r="H418" s="94">
        <v>10399</v>
      </c>
      <c r="I418" s="94">
        <v>5324</v>
      </c>
      <c r="J418" s="94">
        <v>5075</v>
      </c>
      <c r="K418" s="94">
        <v>407</v>
      </c>
      <c r="L418" s="94">
        <v>1935</v>
      </c>
      <c r="M418" s="94">
        <v>5094</v>
      </c>
      <c r="N418" s="94">
        <v>2963</v>
      </c>
      <c r="O418" s="94">
        <v>10344</v>
      </c>
      <c r="P418" s="94">
        <v>55</v>
      </c>
      <c r="Q418" s="95">
        <v>2.6904929223973499</v>
      </c>
      <c r="R418" s="95">
        <v>4.0860639557836604</v>
      </c>
      <c r="S418" s="95">
        <v>1.2461695607762999</v>
      </c>
      <c r="T418" s="95">
        <v>3.5230352303523</v>
      </c>
      <c r="U418" s="95">
        <v>4.5328911000552798</v>
      </c>
      <c r="V418" s="95">
        <v>2.8361558865537599</v>
      </c>
      <c r="W418" s="95">
        <v>1.17973629424011</v>
      </c>
      <c r="X418" s="95">
        <v>2.7043390514631702</v>
      </c>
      <c r="Y418" s="95">
        <v>0</v>
      </c>
      <c r="Z418" s="94">
        <v>15406</v>
      </c>
      <c r="AA418" s="94">
        <v>7884</v>
      </c>
      <c r="AB418" s="94">
        <v>7522</v>
      </c>
      <c r="AC418" s="94">
        <v>619</v>
      </c>
      <c r="AD418" s="94">
        <v>2845</v>
      </c>
      <c r="AE418" s="94">
        <v>7820</v>
      </c>
      <c r="AF418" s="94">
        <v>4122</v>
      </c>
      <c r="AG418" s="94">
        <v>14139</v>
      </c>
      <c r="AH418" s="94">
        <v>1223</v>
      </c>
      <c r="AI418" s="94">
        <v>44</v>
      </c>
      <c r="AJ418" s="94">
        <v>15235</v>
      </c>
      <c r="AK418" s="94">
        <v>137</v>
      </c>
      <c r="AL418" s="94">
        <v>34</v>
      </c>
      <c r="AM418" s="94">
        <v>1233</v>
      </c>
      <c r="AN418" s="94">
        <v>14064</v>
      </c>
      <c r="AO418" s="94">
        <v>109</v>
      </c>
      <c r="AP418" s="95">
        <v>4.0192926045016097</v>
      </c>
      <c r="AQ418" s="95">
        <v>3.7362349239643402</v>
      </c>
      <c r="AR418" s="95">
        <v>4.3150684931506804</v>
      </c>
      <c r="AS418" s="95">
        <v>4.8657718120805402</v>
      </c>
      <c r="AT418" s="95">
        <v>5.9365781710914396</v>
      </c>
      <c r="AU418" s="95">
        <v>4.37136819862652</v>
      </c>
      <c r="AV418" s="95">
        <v>1.9515810276679799</v>
      </c>
      <c r="AW418" s="95">
        <v>3.88257575757576</v>
      </c>
      <c r="AX418" s="95">
        <v>5.6179775280898898</v>
      </c>
      <c r="AY418" s="95">
        <v>4.6511627906976702</v>
      </c>
      <c r="AZ418" s="95">
        <v>4.0306191572957601</v>
      </c>
      <c r="BA418" s="95">
        <v>3.0303030303030298</v>
      </c>
      <c r="BB418" s="95">
        <v>2.9411764705882399</v>
      </c>
      <c r="BC418" s="95">
        <v>1.98675496688742</v>
      </c>
      <c r="BD418" s="95">
        <v>4.1932878020121898</v>
      </c>
      <c r="BE418" s="95">
        <v>4.8543689320388301</v>
      </c>
    </row>
    <row r="419" spans="2:57" ht="15" customHeight="1" x14ac:dyDescent="0.25">
      <c r="B419" s="96">
        <v>409</v>
      </c>
      <c r="C419" s="97" t="s">
        <v>504</v>
      </c>
      <c r="D419" s="104" t="s">
        <v>43</v>
      </c>
      <c r="E419" s="104" t="s">
        <v>363</v>
      </c>
      <c r="F419" s="104" t="s">
        <v>251</v>
      </c>
      <c r="G419" s="105" t="s">
        <v>251</v>
      </c>
      <c r="H419" s="106">
        <v>8246</v>
      </c>
      <c r="I419" s="106">
        <v>4156</v>
      </c>
      <c r="J419" s="106">
        <v>4090</v>
      </c>
      <c r="K419" s="106">
        <v>395</v>
      </c>
      <c r="L419" s="106">
        <v>1717</v>
      </c>
      <c r="M419" s="106">
        <v>4168</v>
      </c>
      <c r="N419" s="106">
        <v>1966</v>
      </c>
      <c r="O419" s="106">
        <v>8169</v>
      </c>
      <c r="P419" s="106">
        <v>77</v>
      </c>
      <c r="Q419" s="107">
        <v>5.5068040188223302</v>
      </c>
      <c r="R419" s="107">
        <v>7.3942770321600397</v>
      </c>
      <c r="S419" s="107">
        <v>3.60245273377619</v>
      </c>
      <c r="T419" s="107">
        <v>11.614730878187</v>
      </c>
      <c r="U419" s="107">
        <v>8.8034717916925</v>
      </c>
      <c r="V419" s="107">
        <v>5.27631907976994</v>
      </c>
      <c r="W419" s="107">
        <v>2.0547945205479401</v>
      </c>
      <c r="X419" s="107">
        <v>5.4942233632862596</v>
      </c>
      <c r="Y419" s="107">
        <v>6.8493150684931496</v>
      </c>
      <c r="Z419" s="106">
        <v>10611</v>
      </c>
      <c r="AA419" s="106">
        <v>5306</v>
      </c>
      <c r="AB419" s="106">
        <v>5305</v>
      </c>
      <c r="AC419" s="106">
        <v>487</v>
      </c>
      <c r="AD419" s="106">
        <v>2051</v>
      </c>
      <c r="AE419" s="106">
        <v>5495</v>
      </c>
      <c r="AF419" s="106">
        <v>2578</v>
      </c>
      <c r="AG419" s="106">
        <v>9076</v>
      </c>
      <c r="AH419" s="106">
        <v>1504</v>
      </c>
      <c r="AI419" s="106">
        <v>31</v>
      </c>
      <c r="AJ419" s="106">
        <v>10468</v>
      </c>
      <c r="AK419" s="106">
        <v>121</v>
      </c>
      <c r="AL419" s="106">
        <v>22</v>
      </c>
      <c r="AM419" s="106">
        <v>790</v>
      </c>
      <c r="AN419" s="106">
        <v>9766</v>
      </c>
      <c r="AO419" s="106">
        <v>55</v>
      </c>
      <c r="AP419" s="107">
        <v>7.666015625</v>
      </c>
      <c r="AQ419" s="107">
        <v>7.4146341463414602</v>
      </c>
      <c r="AR419" s="107">
        <v>7.9178885630498499</v>
      </c>
      <c r="AS419" s="107">
        <v>11.087420042643901</v>
      </c>
      <c r="AT419" s="107">
        <v>11.2936344969199</v>
      </c>
      <c r="AU419" s="107">
        <v>7.9676021849689196</v>
      </c>
      <c r="AV419" s="107">
        <v>3.5799522673031001</v>
      </c>
      <c r="AW419" s="107">
        <v>6.9521753947517899</v>
      </c>
      <c r="AX419" s="107">
        <v>12.144886363636401</v>
      </c>
      <c r="AY419" s="107">
        <v>6.8965517241379297</v>
      </c>
      <c r="AZ419" s="107">
        <v>7.5727578697287701</v>
      </c>
      <c r="BA419" s="107">
        <v>15.517241379310301</v>
      </c>
      <c r="BB419" s="107">
        <v>9.0909090909090899</v>
      </c>
      <c r="BC419" s="107">
        <v>3.7613488975356701</v>
      </c>
      <c r="BD419" s="107">
        <v>7.9757858963466504</v>
      </c>
      <c r="BE419" s="107">
        <v>9.4339622641509404</v>
      </c>
    </row>
    <row r="420" spans="2:57" ht="15" customHeight="1" x14ac:dyDescent="0.25">
      <c r="B420" s="91">
        <v>410</v>
      </c>
      <c r="C420" s="92" t="s">
        <v>504</v>
      </c>
      <c r="D420" s="92" t="s">
        <v>43</v>
      </c>
      <c r="E420" s="92" t="s">
        <v>363</v>
      </c>
      <c r="F420" s="92" t="s">
        <v>251</v>
      </c>
      <c r="G420" s="101" t="s">
        <v>501</v>
      </c>
      <c r="H420" s="94">
        <v>2906</v>
      </c>
      <c r="I420" s="94">
        <v>1469</v>
      </c>
      <c r="J420" s="94">
        <v>1437</v>
      </c>
      <c r="K420" s="94">
        <v>157</v>
      </c>
      <c r="L420" s="94">
        <v>741</v>
      </c>
      <c r="M420" s="94">
        <v>1544</v>
      </c>
      <c r="N420" s="94">
        <v>464</v>
      </c>
      <c r="O420" s="94">
        <v>2879</v>
      </c>
      <c r="P420" s="94">
        <v>27</v>
      </c>
      <c r="Q420" s="95">
        <v>10.417422867513601</v>
      </c>
      <c r="R420" s="95">
        <v>13.5154565061107</v>
      </c>
      <c r="S420" s="95">
        <v>7.2580645161290303</v>
      </c>
      <c r="T420" s="95">
        <v>26.470588235294102</v>
      </c>
      <c r="U420" s="95">
        <v>13.552068473609101</v>
      </c>
      <c r="V420" s="95">
        <v>8.7897227856659903</v>
      </c>
      <c r="W420" s="95">
        <v>5.9225512528473798</v>
      </c>
      <c r="X420" s="95">
        <v>10.3296703296703</v>
      </c>
      <c r="Y420" s="95">
        <v>20</v>
      </c>
      <c r="Z420" s="94">
        <v>3540</v>
      </c>
      <c r="AA420" s="94">
        <v>1792</v>
      </c>
      <c r="AB420" s="94">
        <v>1748</v>
      </c>
      <c r="AC420" s="94">
        <v>160</v>
      </c>
      <c r="AD420" s="94">
        <v>764</v>
      </c>
      <c r="AE420" s="94">
        <v>1950</v>
      </c>
      <c r="AF420" s="94">
        <v>666</v>
      </c>
      <c r="AG420" s="94">
        <v>2456</v>
      </c>
      <c r="AH420" s="94">
        <v>1069</v>
      </c>
      <c r="AI420" s="94">
        <v>15</v>
      </c>
      <c r="AJ420" s="94">
        <v>3487</v>
      </c>
      <c r="AK420" s="94">
        <v>47</v>
      </c>
      <c r="AL420" s="94">
        <v>6</v>
      </c>
      <c r="AM420" s="94">
        <v>261</v>
      </c>
      <c r="AN420" s="94">
        <v>3262</v>
      </c>
      <c r="AO420" s="94">
        <v>17</v>
      </c>
      <c r="AP420" s="95">
        <v>14.2095914742451</v>
      </c>
      <c r="AQ420" s="95">
        <v>13.2593457943925</v>
      </c>
      <c r="AR420" s="95">
        <v>15.186074429771899</v>
      </c>
      <c r="AS420" s="95">
        <v>23.178807947019902</v>
      </c>
      <c r="AT420" s="95">
        <v>17.079889807162498</v>
      </c>
      <c r="AU420" s="95">
        <v>13.9946380697051</v>
      </c>
      <c r="AV420" s="95">
        <v>9.4339622641509404</v>
      </c>
      <c r="AW420" s="95">
        <v>13.9229792636479</v>
      </c>
      <c r="AX420" s="95">
        <v>14.8702594810379</v>
      </c>
      <c r="AY420" s="95">
        <v>15.384615384615399</v>
      </c>
      <c r="AZ420" s="95">
        <v>13.9723557692308</v>
      </c>
      <c r="BA420" s="95">
        <v>31.818181818181799</v>
      </c>
      <c r="BB420" s="95">
        <v>16.6666666666667</v>
      </c>
      <c r="BC420" s="95">
        <v>8</v>
      </c>
      <c r="BD420" s="95">
        <v>14.6576663452266</v>
      </c>
      <c r="BE420" s="95">
        <v>23.529411764705898</v>
      </c>
    </row>
    <row r="421" spans="2:57" ht="15" customHeight="1" x14ac:dyDescent="0.25">
      <c r="B421" s="91">
        <v>411</v>
      </c>
      <c r="C421" s="92" t="s">
        <v>504</v>
      </c>
      <c r="D421" s="92" t="s">
        <v>43</v>
      </c>
      <c r="E421" s="92" t="s">
        <v>363</v>
      </c>
      <c r="F421" s="92" t="s">
        <v>251</v>
      </c>
      <c r="G421" s="101" t="s">
        <v>502</v>
      </c>
      <c r="H421" s="94">
        <v>5340</v>
      </c>
      <c r="I421" s="94">
        <v>2687</v>
      </c>
      <c r="J421" s="94">
        <v>2653</v>
      </c>
      <c r="K421" s="94">
        <v>238</v>
      </c>
      <c r="L421" s="94">
        <v>976</v>
      </c>
      <c r="M421" s="94">
        <v>2624</v>
      </c>
      <c r="N421" s="94">
        <v>1502</v>
      </c>
      <c r="O421" s="94">
        <v>5290</v>
      </c>
      <c r="P421" s="94">
        <v>50</v>
      </c>
      <c r="Q421" s="95">
        <v>2.8582615505090101</v>
      </c>
      <c r="R421" s="95">
        <v>4.0656763096168902</v>
      </c>
      <c r="S421" s="95">
        <v>1.6470588235294099</v>
      </c>
      <c r="T421" s="95">
        <v>2.30414746543779</v>
      </c>
      <c r="U421" s="95">
        <v>5.15350877192982</v>
      </c>
      <c r="V421" s="95">
        <v>3.21428571428571</v>
      </c>
      <c r="W421" s="95">
        <v>0.89102124742974698</v>
      </c>
      <c r="X421" s="95">
        <v>2.88537549407115</v>
      </c>
      <c r="Y421" s="95">
        <v>0</v>
      </c>
      <c r="Z421" s="94">
        <v>7071</v>
      </c>
      <c r="AA421" s="94">
        <v>3514</v>
      </c>
      <c r="AB421" s="94">
        <v>3557</v>
      </c>
      <c r="AC421" s="94">
        <v>327</v>
      </c>
      <c r="AD421" s="94">
        <v>1287</v>
      </c>
      <c r="AE421" s="94">
        <v>3545</v>
      </c>
      <c r="AF421" s="94">
        <v>1912</v>
      </c>
      <c r="AG421" s="94">
        <v>6620</v>
      </c>
      <c r="AH421" s="94">
        <v>435</v>
      </c>
      <c r="AI421" s="94">
        <v>16</v>
      </c>
      <c r="AJ421" s="94">
        <v>6981</v>
      </c>
      <c r="AK421" s="94">
        <v>74</v>
      </c>
      <c r="AL421" s="94">
        <v>16</v>
      </c>
      <c r="AM421" s="94">
        <v>529</v>
      </c>
      <c r="AN421" s="94">
        <v>6504</v>
      </c>
      <c r="AO421" s="94">
        <v>38</v>
      </c>
      <c r="AP421" s="95">
        <v>4.4447682891285298</v>
      </c>
      <c r="AQ421" s="95">
        <v>4.4828596542631098</v>
      </c>
      <c r="AR421" s="95">
        <v>4.40707451435199</v>
      </c>
      <c r="AS421" s="95">
        <v>5.3459119496855303</v>
      </c>
      <c r="AT421" s="95">
        <v>7.8559738134206203</v>
      </c>
      <c r="AU421" s="95">
        <v>4.7038327526132404</v>
      </c>
      <c r="AV421" s="95">
        <v>1.59744408945687</v>
      </c>
      <c r="AW421" s="95">
        <v>4.3944099378881996</v>
      </c>
      <c r="AX421" s="95">
        <v>5.4187192118226601</v>
      </c>
      <c r="AY421" s="95">
        <v>0</v>
      </c>
      <c r="AZ421" s="95">
        <v>4.4286979627989398</v>
      </c>
      <c r="BA421" s="95">
        <v>5.5555555555555598</v>
      </c>
      <c r="BB421" s="95">
        <v>6.25</v>
      </c>
      <c r="BC421" s="95">
        <v>1.7274472168905901</v>
      </c>
      <c r="BD421" s="95">
        <v>4.6788263283108602</v>
      </c>
      <c r="BE421" s="95">
        <v>2.7777777777777799</v>
      </c>
    </row>
    <row r="422" spans="2:57" ht="15" customHeight="1" x14ac:dyDescent="0.25">
      <c r="B422" s="96">
        <v>412</v>
      </c>
      <c r="C422" s="97" t="s">
        <v>504</v>
      </c>
      <c r="D422" s="104" t="s">
        <v>43</v>
      </c>
      <c r="E422" s="104" t="s">
        <v>363</v>
      </c>
      <c r="F422" s="104" t="s">
        <v>184</v>
      </c>
      <c r="G422" s="105" t="s">
        <v>184</v>
      </c>
      <c r="H422" s="106">
        <v>3371</v>
      </c>
      <c r="I422" s="106">
        <v>1788</v>
      </c>
      <c r="J422" s="106">
        <v>1583</v>
      </c>
      <c r="K422" s="106">
        <v>107</v>
      </c>
      <c r="L422" s="106">
        <v>505</v>
      </c>
      <c r="M422" s="106">
        <v>1565</v>
      </c>
      <c r="N422" s="106">
        <v>1194</v>
      </c>
      <c r="O422" s="106">
        <v>3366</v>
      </c>
      <c r="P422" s="106">
        <v>5</v>
      </c>
      <c r="Q422" s="107">
        <v>3.6279069767441898</v>
      </c>
      <c r="R422" s="107">
        <v>5.9894304169113299</v>
      </c>
      <c r="S422" s="107">
        <v>0.98554533508541398</v>
      </c>
      <c r="T422" s="107">
        <v>8.2474226804123703</v>
      </c>
      <c r="U422" s="107">
        <v>6.6810344827586201</v>
      </c>
      <c r="V422" s="107">
        <v>3.7873754152823902</v>
      </c>
      <c r="W422" s="107">
        <v>1.81190681622088</v>
      </c>
      <c r="X422" s="107">
        <v>3.6312849162011198</v>
      </c>
      <c r="Y422" s="107">
        <v>0</v>
      </c>
      <c r="Z422" s="106">
        <v>5690</v>
      </c>
      <c r="AA422" s="106">
        <v>2932</v>
      </c>
      <c r="AB422" s="106">
        <v>2758</v>
      </c>
      <c r="AC422" s="106">
        <v>190</v>
      </c>
      <c r="AD422" s="106">
        <v>957</v>
      </c>
      <c r="AE422" s="106">
        <v>2871</v>
      </c>
      <c r="AF422" s="106">
        <v>1672</v>
      </c>
      <c r="AG422" s="106">
        <v>5142</v>
      </c>
      <c r="AH422" s="106">
        <v>529</v>
      </c>
      <c r="AI422" s="106">
        <v>19</v>
      </c>
      <c r="AJ422" s="106">
        <v>5639</v>
      </c>
      <c r="AK422" s="106">
        <v>37</v>
      </c>
      <c r="AL422" s="106">
        <v>14</v>
      </c>
      <c r="AM422" s="106">
        <v>563</v>
      </c>
      <c r="AN422" s="106">
        <v>5079</v>
      </c>
      <c r="AO422" s="106">
        <v>48</v>
      </c>
      <c r="AP422" s="107">
        <v>4.9342105263157903</v>
      </c>
      <c r="AQ422" s="107">
        <v>4.2811273635390696</v>
      </c>
      <c r="AR422" s="107">
        <v>5.6200824278756096</v>
      </c>
      <c r="AS422" s="107">
        <v>6.1452513966480398</v>
      </c>
      <c r="AT422" s="107">
        <v>6.6298342541436499</v>
      </c>
      <c r="AU422" s="107">
        <v>5.5979643765903297</v>
      </c>
      <c r="AV422" s="107">
        <v>2.74893097128894</v>
      </c>
      <c r="AW422" s="107">
        <v>4.6206618240516502</v>
      </c>
      <c r="AX422" s="107">
        <v>7.8470824949698201</v>
      </c>
      <c r="AY422" s="107">
        <v>10.526315789473699</v>
      </c>
      <c r="AZ422" s="107">
        <v>4.9778761061946897</v>
      </c>
      <c r="BA422" s="107">
        <v>0</v>
      </c>
      <c r="BB422" s="107">
        <v>0</v>
      </c>
      <c r="BC422" s="107">
        <v>2.7422303473491798</v>
      </c>
      <c r="BD422" s="107">
        <v>5.1844262295082002</v>
      </c>
      <c r="BE422" s="107">
        <v>4.4444444444444402</v>
      </c>
    </row>
    <row r="423" spans="2:57" ht="15" customHeight="1" x14ac:dyDescent="0.25">
      <c r="B423" s="91">
        <v>413</v>
      </c>
      <c r="C423" s="92" t="s">
        <v>504</v>
      </c>
      <c r="D423" s="92" t="s">
        <v>43</v>
      </c>
      <c r="E423" s="92" t="s">
        <v>363</v>
      </c>
      <c r="F423" s="92" t="s">
        <v>184</v>
      </c>
      <c r="G423" s="101" t="s">
        <v>501</v>
      </c>
      <c r="H423" s="94">
        <v>0</v>
      </c>
      <c r="I423" s="94">
        <v>0</v>
      </c>
      <c r="J423" s="94">
        <v>0</v>
      </c>
      <c r="K423" s="94">
        <v>0</v>
      </c>
      <c r="L423" s="94">
        <v>0</v>
      </c>
      <c r="M423" s="94">
        <v>0</v>
      </c>
      <c r="N423" s="94">
        <v>0</v>
      </c>
      <c r="O423" s="94">
        <v>0</v>
      </c>
      <c r="P423" s="94">
        <v>0</v>
      </c>
      <c r="Q423" s="95">
        <v>0</v>
      </c>
      <c r="R423" s="95">
        <v>0</v>
      </c>
      <c r="S423" s="95">
        <v>0</v>
      </c>
      <c r="T423" s="95">
        <v>0</v>
      </c>
      <c r="U423" s="95">
        <v>0</v>
      </c>
      <c r="V423" s="95">
        <v>0</v>
      </c>
      <c r="W423" s="95">
        <v>0</v>
      </c>
      <c r="X423" s="95">
        <v>0</v>
      </c>
      <c r="Y423" s="95">
        <v>0</v>
      </c>
      <c r="Z423" s="94">
        <v>0</v>
      </c>
      <c r="AA423" s="94">
        <v>0</v>
      </c>
      <c r="AB423" s="94">
        <v>0</v>
      </c>
      <c r="AC423" s="94">
        <v>0</v>
      </c>
      <c r="AD423" s="94">
        <v>0</v>
      </c>
      <c r="AE423" s="94">
        <v>0</v>
      </c>
      <c r="AF423" s="94">
        <v>0</v>
      </c>
      <c r="AG423" s="94">
        <v>0</v>
      </c>
      <c r="AH423" s="94">
        <v>0</v>
      </c>
      <c r="AI423" s="94">
        <v>0</v>
      </c>
      <c r="AJ423" s="94">
        <v>0</v>
      </c>
      <c r="AK423" s="94">
        <v>0</v>
      </c>
      <c r="AL423" s="94">
        <v>0</v>
      </c>
      <c r="AM423" s="94">
        <v>0</v>
      </c>
      <c r="AN423" s="94">
        <v>0</v>
      </c>
      <c r="AO423" s="94">
        <v>0</v>
      </c>
      <c r="AP423" s="95">
        <v>0</v>
      </c>
      <c r="AQ423" s="95">
        <v>0</v>
      </c>
      <c r="AR423" s="95">
        <v>0</v>
      </c>
      <c r="AS423" s="95">
        <v>0</v>
      </c>
      <c r="AT423" s="95">
        <v>0</v>
      </c>
      <c r="AU423" s="95">
        <v>0</v>
      </c>
      <c r="AV423" s="95">
        <v>0</v>
      </c>
      <c r="AW423" s="95">
        <v>0</v>
      </c>
      <c r="AX423" s="95">
        <v>0</v>
      </c>
      <c r="AY423" s="95">
        <v>0</v>
      </c>
      <c r="AZ423" s="95">
        <v>0</v>
      </c>
      <c r="BA423" s="95">
        <v>0</v>
      </c>
      <c r="BB423" s="95">
        <v>0</v>
      </c>
      <c r="BC423" s="95">
        <v>0</v>
      </c>
      <c r="BD423" s="95">
        <v>0</v>
      </c>
      <c r="BE423" s="95">
        <v>0</v>
      </c>
    </row>
    <row r="424" spans="2:57" ht="15" customHeight="1" x14ac:dyDescent="0.25">
      <c r="B424" s="91">
        <v>414</v>
      </c>
      <c r="C424" s="92" t="s">
        <v>504</v>
      </c>
      <c r="D424" s="92" t="s">
        <v>43</v>
      </c>
      <c r="E424" s="92" t="s">
        <v>363</v>
      </c>
      <c r="F424" s="92" t="s">
        <v>184</v>
      </c>
      <c r="G424" s="101" t="s">
        <v>502</v>
      </c>
      <c r="H424" s="94">
        <v>3371</v>
      </c>
      <c r="I424" s="94">
        <v>1788</v>
      </c>
      <c r="J424" s="94">
        <v>1583</v>
      </c>
      <c r="K424" s="94">
        <v>107</v>
      </c>
      <c r="L424" s="94">
        <v>505</v>
      </c>
      <c r="M424" s="94">
        <v>1565</v>
      </c>
      <c r="N424" s="94">
        <v>1194</v>
      </c>
      <c r="O424" s="94">
        <v>3366</v>
      </c>
      <c r="P424" s="94">
        <v>5</v>
      </c>
      <c r="Q424" s="95">
        <v>3.6279069767441898</v>
      </c>
      <c r="R424" s="95">
        <v>5.9894304169113299</v>
      </c>
      <c r="S424" s="95">
        <v>0.98554533508541398</v>
      </c>
      <c r="T424" s="95">
        <v>8.2474226804123703</v>
      </c>
      <c r="U424" s="95">
        <v>6.6810344827586201</v>
      </c>
      <c r="V424" s="95">
        <v>3.7873754152823902</v>
      </c>
      <c r="W424" s="95">
        <v>1.81190681622088</v>
      </c>
      <c r="X424" s="95">
        <v>3.6312849162011198</v>
      </c>
      <c r="Y424" s="95">
        <v>0</v>
      </c>
      <c r="Z424" s="94">
        <v>5690</v>
      </c>
      <c r="AA424" s="94">
        <v>2932</v>
      </c>
      <c r="AB424" s="94">
        <v>2758</v>
      </c>
      <c r="AC424" s="94">
        <v>190</v>
      </c>
      <c r="AD424" s="94">
        <v>957</v>
      </c>
      <c r="AE424" s="94">
        <v>2871</v>
      </c>
      <c r="AF424" s="94">
        <v>1672</v>
      </c>
      <c r="AG424" s="94">
        <v>5142</v>
      </c>
      <c r="AH424" s="94">
        <v>529</v>
      </c>
      <c r="AI424" s="94">
        <v>19</v>
      </c>
      <c r="AJ424" s="94">
        <v>5639</v>
      </c>
      <c r="AK424" s="94">
        <v>37</v>
      </c>
      <c r="AL424" s="94">
        <v>14</v>
      </c>
      <c r="AM424" s="94">
        <v>563</v>
      </c>
      <c r="AN424" s="94">
        <v>5079</v>
      </c>
      <c r="AO424" s="94">
        <v>48</v>
      </c>
      <c r="AP424" s="95">
        <v>4.9342105263157903</v>
      </c>
      <c r="AQ424" s="95">
        <v>4.2811273635390696</v>
      </c>
      <c r="AR424" s="95">
        <v>5.6200824278756096</v>
      </c>
      <c r="AS424" s="95">
        <v>6.1452513966480398</v>
      </c>
      <c r="AT424" s="95">
        <v>6.6298342541436499</v>
      </c>
      <c r="AU424" s="95">
        <v>5.5979643765903297</v>
      </c>
      <c r="AV424" s="95">
        <v>2.74893097128894</v>
      </c>
      <c r="AW424" s="95">
        <v>4.6206618240516502</v>
      </c>
      <c r="AX424" s="95">
        <v>7.8470824949698201</v>
      </c>
      <c r="AY424" s="95">
        <v>10.526315789473699</v>
      </c>
      <c r="AZ424" s="95">
        <v>4.9778761061946897</v>
      </c>
      <c r="BA424" s="95">
        <v>0</v>
      </c>
      <c r="BB424" s="95">
        <v>0</v>
      </c>
      <c r="BC424" s="95">
        <v>2.7422303473491798</v>
      </c>
      <c r="BD424" s="95">
        <v>5.1844262295082002</v>
      </c>
      <c r="BE424" s="95">
        <v>4.4444444444444402</v>
      </c>
    </row>
    <row r="425" spans="2:57" ht="15" customHeight="1" x14ac:dyDescent="0.25">
      <c r="B425" s="96">
        <v>415</v>
      </c>
      <c r="C425" s="97" t="s">
        <v>504</v>
      </c>
      <c r="D425" s="104" t="s">
        <v>43</v>
      </c>
      <c r="E425" s="104" t="s">
        <v>363</v>
      </c>
      <c r="F425" s="104" t="s">
        <v>135</v>
      </c>
      <c r="G425" s="105" t="s">
        <v>135</v>
      </c>
      <c r="H425" s="106">
        <v>3399</v>
      </c>
      <c r="I425" s="106">
        <v>1770</v>
      </c>
      <c r="J425" s="106">
        <v>1629</v>
      </c>
      <c r="K425" s="106">
        <v>84</v>
      </c>
      <c r="L425" s="106">
        <v>996</v>
      </c>
      <c r="M425" s="106">
        <v>1883</v>
      </c>
      <c r="N425" s="106">
        <v>436</v>
      </c>
      <c r="O425" s="106">
        <v>3394</v>
      </c>
      <c r="P425" s="106">
        <v>5</v>
      </c>
      <c r="Q425" s="107">
        <v>0.21192854980320899</v>
      </c>
      <c r="R425" s="107">
        <v>5.8445353594389203E-2</v>
      </c>
      <c r="S425" s="107">
        <v>0.37688442211055301</v>
      </c>
      <c r="T425" s="107">
        <v>0</v>
      </c>
      <c r="U425" s="107">
        <v>0.41710114702815398</v>
      </c>
      <c r="V425" s="107">
        <v>0.16339869281045799</v>
      </c>
      <c r="W425" s="107">
        <v>0</v>
      </c>
      <c r="X425" s="107">
        <v>0.21224984839296501</v>
      </c>
      <c r="Y425" s="107">
        <v>0</v>
      </c>
      <c r="Z425" s="106">
        <v>4862</v>
      </c>
      <c r="AA425" s="106">
        <v>2702</v>
      </c>
      <c r="AB425" s="106">
        <v>2160</v>
      </c>
      <c r="AC425" s="106">
        <v>146</v>
      </c>
      <c r="AD425" s="106">
        <v>1006</v>
      </c>
      <c r="AE425" s="106">
        <v>2860</v>
      </c>
      <c r="AF425" s="106">
        <v>850</v>
      </c>
      <c r="AG425" s="106">
        <v>3959</v>
      </c>
      <c r="AH425" s="106">
        <v>852</v>
      </c>
      <c r="AI425" s="106">
        <v>51</v>
      </c>
      <c r="AJ425" s="106">
        <v>4800</v>
      </c>
      <c r="AK425" s="106">
        <v>48</v>
      </c>
      <c r="AL425" s="106">
        <v>14</v>
      </c>
      <c r="AM425" s="106">
        <v>230</v>
      </c>
      <c r="AN425" s="106">
        <v>4573</v>
      </c>
      <c r="AO425" s="106">
        <v>59</v>
      </c>
      <c r="AP425" s="107">
        <v>1.3093980992608201</v>
      </c>
      <c r="AQ425" s="107">
        <v>0.68156001514577802</v>
      </c>
      <c r="AR425" s="107">
        <v>2.1012416427889198</v>
      </c>
      <c r="AS425" s="107">
        <v>1.43884892086331</v>
      </c>
      <c r="AT425" s="107">
        <v>1.33196721311475</v>
      </c>
      <c r="AU425" s="107">
        <v>1.43781452192667</v>
      </c>
      <c r="AV425" s="107">
        <v>0.83532219570405697</v>
      </c>
      <c r="AW425" s="107">
        <v>1.37341280124385</v>
      </c>
      <c r="AX425" s="107">
        <v>0.96735187424425595</v>
      </c>
      <c r="AY425" s="107">
        <v>2.0408163265306101</v>
      </c>
      <c r="AZ425" s="107">
        <v>1.32648694908002</v>
      </c>
      <c r="BA425" s="107">
        <v>0</v>
      </c>
      <c r="BB425" s="107">
        <v>0</v>
      </c>
      <c r="BC425" s="107">
        <v>0</v>
      </c>
      <c r="BD425" s="107">
        <v>1.34861766689144</v>
      </c>
      <c r="BE425" s="107">
        <v>3.4482758620689702</v>
      </c>
    </row>
    <row r="426" spans="2:57" ht="15" customHeight="1" x14ac:dyDescent="0.25">
      <c r="B426" s="91">
        <v>416</v>
      </c>
      <c r="C426" s="92" t="s">
        <v>504</v>
      </c>
      <c r="D426" s="92" t="s">
        <v>43</v>
      </c>
      <c r="E426" s="92" t="s">
        <v>363</v>
      </c>
      <c r="F426" s="92" t="s">
        <v>135</v>
      </c>
      <c r="G426" s="101" t="s">
        <v>501</v>
      </c>
      <c r="H426" s="94">
        <v>1711</v>
      </c>
      <c r="I426" s="94">
        <v>921</v>
      </c>
      <c r="J426" s="94">
        <v>790</v>
      </c>
      <c r="K426" s="94">
        <v>22</v>
      </c>
      <c r="L426" s="94">
        <v>542</v>
      </c>
      <c r="M426" s="94">
        <v>978</v>
      </c>
      <c r="N426" s="94">
        <v>169</v>
      </c>
      <c r="O426" s="94">
        <v>1706</v>
      </c>
      <c r="P426" s="94">
        <v>5</v>
      </c>
      <c r="Q426" s="95">
        <v>0.119402985074627</v>
      </c>
      <c r="R426" s="95">
        <v>0</v>
      </c>
      <c r="S426" s="95">
        <v>0.26007802340702202</v>
      </c>
      <c r="T426" s="95">
        <v>0</v>
      </c>
      <c r="U426" s="95">
        <v>0</v>
      </c>
      <c r="V426" s="95">
        <v>0.20833333333333301</v>
      </c>
      <c r="W426" s="95">
        <v>0</v>
      </c>
      <c r="X426" s="95">
        <v>0.119760479041916</v>
      </c>
      <c r="Y426" s="95">
        <v>0</v>
      </c>
      <c r="Z426" s="94">
        <v>2217</v>
      </c>
      <c r="AA426" s="94">
        <v>1264</v>
      </c>
      <c r="AB426" s="94">
        <v>953</v>
      </c>
      <c r="AC426" s="94">
        <v>44</v>
      </c>
      <c r="AD426" s="94">
        <v>405</v>
      </c>
      <c r="AE426" s="94">
        <v>1456</v>
      </c>
      <c r="AF426" s="94">
        <v>312</v>
      </c>
      <c r="AG426" s="94">
        <v>1582</v>
      </c>
      <c r="AH426" s="94">
        <v>593</v>
      </c>
      <c r="AI426" s="94">
        <v>42</v>
      </c>
      <c r="AJ426" s="94">
        <v>2185</v>
      </c>
      <c r="AK426" s="94">
        <v>22</v>
      </c>
      <c r="AL426" s="94">
        <v>10</v>
      </c>
      <c r="AM426" s="94">
        <v>89</v>
      </c>
      <c r="AN426" s="94">
        <v>2092</v>
      </c>
      <c r="AO426" s="94">
        <v>36</v>
      </c>
      <c r="AP426" s="95">
        <v>1.7281644091546</v>
      </c>
      <c r="AQ426" s="95">
        <v>0.48820179007323</v>
      </c>
      <c r="AR426" s="95">
        <v>3.3991228070175401</v>
      </c>
      <c r="AS426" s="95">
        <v>2.5</v>
      </c>
      <c r="AT426" s="95">
        <v>2.0460358056265999</v>
      </c>
      <c r="AU426" s="95">
        <v>1.77935943060498</v>
      </c>
      <c r="AV426" s="95">
        <v>0.98360655737704905</v>
      </c>
      <c r="AW426" s="95">
        <v>2.0956123117223302</v>
      </c>
      <c r="AX426" s="95">
        <v>0.69808027923211202</v>
      </c>
      <c r="AY426" s="95">
        <v>2.4390243902439002</v>
      </c>
      <c r="AZ426" s="95">
        <v>1.7535545023696699</v>
      </c>
      <c r="BA426" s="95">
        <v>0</v>
      </c>
      <c r="BB426" s="95">
        <v>0</v>
      </c>
      <c r="BC426" s="95">
        <v>0</v>
      </c>
      <c r="BD426" s="95">
        <v>1.83440753594447</v>
      </c>
      <c r="BE426" s="95">
        <v>0</v>
      </c>
    </row>
    <row r="427" spans="2:57" ht="15" customHeight="1" x14ac:dyDescent="0.25">
      <c r="B427" s="91">
        <v>417</v>
      </c>
      <c r="C427" s="92" t="s">
        <v>504</v>
      </c>
      <c r="D427" s="92" t="s">
        <v>43</v>
      </c>
      <c r="E427" s="92" t="s">
        <v>363</v>
      </c>
      <c r="F427" s="92" t="s">
        <v>135</v>
      </c>
      <c r="G427" s="101" t="s">
        <v>502</v>
      </c>
      <c r="H427" s="94">
        <v>1688</v>
      </c>
      <c r="I427" s="94">
        <v>849</v>
      </c>
      <c r="J427" s="94">
        <v>839</v>
      </c>
      <c r="K427" s="94">
        <v>62</v>
      </c>
      <c r="L427" s="94">
        <v>454</v>
      </c>
      <c r="M427" s="94">
        <v>905</v>
      </c>
      <c r="N427" s="94">
        <v>267</v>
      </c>
      <c r="O427" s="94">
        <v>1688</v>
      </c>
      <c r="P427" s="94">
        <v>0</v>
      </c>
      <c r="Q427" s="95">
        <v>0.307125307125307</v>
      </c>
      <c r="R427" s="95">
        <v>0.12422360248447201</v>
      </c>
      <c r="S427" s="95">
        <v>0.48602673147023101</v>
      </c>
      <c r="T427" s="95">
        <v>0</v>
      </c>
      <c r="U427" s="95">
        <v>0.92378752886836002</v>
      </c>
      <c r="V427" s="95">
        <v>0.114155251141553</v>
      </c>
      <c r="W427" s="95">
        <v>0</v>
      </c>
      <c r="X427" s="95">
        <v>0.307125307125307</v>
      </c>
      <c r="Y427" s="95">
        <v>0</v>
      </c>
      <c r="Z427" s="94">
        <v>2645</v>
      </c>
      <c r="AA427" s="94">
        <v>1438</v>
      </c>
      <c r="AB427" s="94">
        <v>1207</v>
      </c>
      <c r="AC427" s="94">
        <v>102</v>
      </c>
      <c r="AD427" s="94">
        <v>601</v>
      </c>
      <c r="AE427" s="94">
        <v>1404</v>
      </c>
      <c r="AF427" s="94">
        <v>538</v>
      </c>
      <c r="AG427" s="94">
        <v>2377</v>
      </c>
      <c r="AH427" s="94">
        <v>259</v>
      </c>
      <c r="AI427" s="94">
        <v>9</v>
      </c>
      <c r="AJ427" s="94">
        <v>2615</v>
      </c>
      <c r="AK427" s="94">
        <v>26</v>
      </c>
      <c r="AL427" s="94">
        <v>4</v>
      </c>
      <c r="AM427" s="94">
        <v>141</v>
      </c>
      <c r="AN427" s="94">
        <v>2481</v>
      </c>
      <c r="AO427" s="94">
        <v>23</v>
      </c>
      <c r="AP427" s="95">
        <v>0.96376252891287595</v>
      </c>
      <c r="AQ427" s="95">
        <v>0.84985835694051004</v>
      </c>
      <c r="AR427" s="95">
        <v>1.0998307952622699</v>
      </c>
      <c r="AS427" s="95">
        <v>1.0101010101010099</v>
      </c>
      <c r="AT427" s="95">
        <v>0.854700854700855</v>
      </c>
      <c r="AU427" s="95">
        <v>1.0893246187363801</v>
      </c>
      <c r="AV427" s="95">
        <v>0.75046904315197005</v>
      </c>
      <c r="AW427" s="95">
        <v>0.90051457975986304</v>
      </c>
      <c r="AX427" s="95">
        <v>1.5748031496063</v>
      </c>
      <c r="AY427" s="95">
        <v>0</v>
      </c>
      <c r="AZ427" s="95">
        <v>0.97503900156006196</v>
      </c>
      <c r="BA427" s="95">
        <v>0</v>
      </c>
      <c r="BB427" s="95">
        <v>0</v>
      </c>
      <c r="BC427" s="95">
        <v>0</v>
      </c>
      <c r="BD427" s="95">
        <v>0.94572368421052599</v>
      </c>
      <c r="BE427" s="95">
        <v>9.0909090909090899</v>
      </c>
    </row>
    <row r="428" spans="2:57" ht="15" customHeight="1" x14ac:dyDescent="0.25">
      <c r="B428" s="86">
        <v>418</v>
      </c>
      <c r="C428" s="87" t="s">
        <v>503</v>
      </c>
      <c r="D428" s="103" t="s">
        <v>43</v>
      </c>
      <c r="E428" s="103" t="s">
        <v>364</v>
      </c>
      <c r="F428" s="103"/>
      <c r="G428" s="88" t="s">
        <v>364</v>
      </c>
      <c r="H428" s="89">
        <v>10738</v>
      </c>
      <c r="I428" s="89">
        <v>6094</v>
      </c>
      <c r="J428" s="89">
        <v>4644</v>
      </c>
      <c r="K428" s="89">
        <v>555</v>
      </c>
      <c r="L428" s="89">
        <v>2519</v>
      </c>
      <c r="M428" s="89">
        <v>5329</v>
      </c>
      <c r="N428" s="89">
        <v>2335</v>
      </c>
      <c r="O428" s="89">
        <v>10724</v>
      </c>
      <c r="P428" s="89">
        <v>14</v>
      </c>
      <c r="Q428" s="90">
        <v>0.10708722741432999</v>
      </c>
      <c r="R428" s="90">
        <v>0.137954819796517</v>
      </c>
      <c r="S428" s="90">
        <v>6.70690811535882E-2</v>
      </c>
      <c r="T428" s="90">
        <v>0.202839756592292</v>
      </c>
      <c r="U428" s="90">
        <v>0.126103404791929</v>
      </c>
      <c r="V428" s="90">
        <v>0.13679890560875499</v>
      </c>
      <c r="W428" s="90">
        <v>0</v>
      </c>
      <c r="X428" s="90">
        <v>0.10723337882628201</v>
      </c>
      <c r="Y428" s="90">
        <v>0</v>
      </c>
      <c r="Z428" s="89">
        <v>11690</v>
      </c>
      <c r="AA428" s="89">
        <v>6416</v>
      </c>
      <c r="AB428" s="89">
        <v>5274</v>
      </c>
      <c r="AC428" s="89">
        <v>545</v>
      </c>
      <c r="AD428" s="89">
        <v>2393</v>
      </c>
      <c r="AE428" s="89">
        <v>5769</v>
      </c>
      <c r="AF428" s="89">
        <v>2983</v>
      </c>
      <c r="AG428" s="89">
        <v>10740</v>
      </c>
      <c r="AH428" s="89">
        <v>876</v>
      </c>
      <c r="AI428" s="89">
        <v>74</v>
      </c>
      <c r="AJ428" s="89">
        <v>11618</v>
      </c>
      <c r="AK428" s="89">
        <v>30</v>
      </c>
      <c r="AL428" s="89">
        <v>42</v>
      </c>
      <c r="AM428" s="89">
        <v>675</v>
      </c>
      <c r="AN428" s="89">
        <v>10826</v>
      </c>
      <c r="AO428" s="89">
        <v>189</v>
      </c>
      <c r="AP428" s="90">
        <v>0.68214032600992203</v>
      </c>
      <c r="AQ428" s="90">
        <v>0.27252324462968902</v>
      </c>
      <c r="AR428" s="90">
        <v>1.1881188118811901</v>
      </c>
      <c r="AS428" s="90">
        <v>1.2</v>
      </c>
      <c r="AT428" s="90">
        <v>0.87604029785370097</v>
      </c>
      <c r="AU428" s="90">
        <v>0.64400715563506306</v>
      </c>
      <c r="AV428" s="90">
        <v>0.51457975986277904</v>
      </c>
      <c r="AW428" s="90">
        <v>0.66486798997880103</v>
      </c>
      <c r="AX428" s="90">
        <v>0.83432657926102505</v>
      </c>
      <c r="AY428" s="90">
        <v>1.40845070422535</v>
      </c>
      <c r="AZ428" s="90">
        <v>0.68627450980392202</v>
      </c>
      <c r="BA428" s="90">
        <v>0</v>
      </c>
      <c r="BB428" s="90">
        <v>0</v>
      </c>
      <c r="BC428" s="90">
        <v>0.45385779122541597</v>
      </c>
      <c r="BD428" s="90">
        <v>0.69876519574997598</v>
      </c>
      <c r="BE428" s="90">
        <v>0.55555555555555602</v>
      </c>
    </row>
    <row r="429" spans="2:57" ht="15" customHeight="1" x14ac:dyDescent="0.25">
      <c r="B429" s="91">
        <v>419</v>
      </c>
      <c r="C429" s="92" t="s">
        <v>503</v>
      </c>
      <c r="D429" s="92" t="s">
        <v>43</v>
      </c>
      <c r="E429" s="92" t="s">
        <v>364</v>
      </c>
      <c r="F429" s="92"/>
      <c r="G429" s="93" t="s">
        <v>501</v>
      </c>
      <c r="H429" s="94">
        <v>0</v>
      </c>
      <c r="I429" s="94">
        <v>0</v>
      </c>
      <c r="J429" s="94">
        <v>0</v>
      </c>
      <c r="K429" s="94">
        <v>0</v>
      </c>
      <c r="L429" s="94">
        <v>0</v>
      </c>
      <c r="M429" s="94">
        <v>0</v>
      </c>
      <c r="N429" s="94">
        <v>0</v>
      </c>
      <c r="O429" s="94">
        <v>0</v>
      </c>
      <c r="P429" s="94">
        <v>0</v>
      </c>
      <c r="Q429" s="95">
        <v>0</v>
      </c>
      <c r="R429" s="95">
        <v>0</v>
      </c>
      <c r="S429" s="95">
        <v>0</v>
      </c>
      <c r="T429" s="95">
        <v>0</v>
      </c>
      <c r="U429" s="95">
        <v>0</v>
      </c>
      <c r="V429" s="95">
        <v>0</v>
      </c>
      <c r="W429" s="95">
        <v>0</v>
      </c>
      <c r="X429" s="95">
        <v>0</v>
      </c>
      <c r="Y429" s="95">
        <v>0</v>
      </c>
      <c r="Z429" s="94">
        <v>0</v>
      </c>
      <c r="AA429" s="94">
        <v>0</v>
      </c>
      <c r="AB429" s="94">
        <v>0</v>
      </c>
      <c r="AC429" s="94">
        <v>0</v>
      </c>
      <c r="AD429" s="94">
        <v>0</v>
      </c>
      <c r="AE429" s="94">
        <v>0</v>
      </c>
      <c r="AF429" s="94">
        <v>0</v>
      </c>
      <c r="AG429" s="94">
        <v>0</v>
      </c>
      <c r="AH429" s="94">
        <v>0</v>
      </c>
      <c r="AI429" s="94">
        <v>0</v>
      </c>
      <c r="AJ429" s="94">
        <v>0</v>
      </c>
      <c r="AK429" s="94">
        <v>0</v>
      </c>
      <c r="AL429" s="94">
        <v>0</v>
      </c>
      <c r="AM429" s="94">
        <v>0</v>
      </c>
      <c r="AN429" s="94">
        <v>0</v>
      </c>
      <c r="AO429" s="94">
        <v>0</v>
      </c>
      <c r="AP429" s="95">
        <v>0</v>
      </c>
      <c r="AQ429" s="95">
        <v>0</v>
      </c>
      <c r="AR429" s="95">
        <v>0</v>
      </c>
      <c r="AS429" s="95">
        <v>0</v>
      </c>
      <c r="AT429" s="95">
        <v>0</v>
      </c>
      <c r="AU429" s="95">
        <v>0</v>
      </c>
      <c r="AV429" s="95">
        <v>0</v>
      </c>
      <c r="AW429" s="95">
        <v>0</v>
      </c>
      <c r="AX429" s="95">
        <v>0</v>
      </c>
      <c r="AY429" s="95">
        <v>0</v>
      </c>
      <c r="AZ429" s="95">
        <v>0</v>
      </c>
      <c r="BA429" s="95">
        <v>0</v>
      </c>
      <c r="BB429" s="95">
        <v>0</v>
      </c>
      <c r="BC429" s="95">
        <v>0</v>
      </c>
      <c r="BD429" s="95">
        <v>0</v>
      </c>
      <c r="BE429" s="95">
        <v>0</v>
      </c>
    </row>
    <row r="430" spans="2:57" ht="15" customHeight="1" x14ac:dyDescent="0.25">
      <c r="B430" s="91">
        <v>420</v>
      </c>
      <c r="C430" s="92" t="s">
        <v>503</v>
      </c>
      <c r="D430" s="92" t="s">
        <v>43</v>
      </c>
      <c r="E430" s="92" t="s">
        <v>364</v>
      </c>
      <c r="F430" s="92"/>
      <c r="G430" s="93" t="s">
        <v>502</v>
      </c>
      <c r="H430" s="94">
        <v>10738</v>
      </c>
      <c r="I430" s="94">
        <v>6094</v>
      </c>
      <c r="J430" s="94">
        <v>4644</v>
      </c>
      <c r="K430" s="94">
        <v>555</v>
      </c>
      <c r="L430" s="94">
        <v>2519</v>
      </c>
      <c r="M430" s="94">
        <v>5329</v>
      </c>
      <c r="N430" s="94">
        <v>2335</v>
      </c>
      <c r="O430" s="94">
        <v>10724</v>
      </c>
      <c r="P430" s="94">
        <v>14</v>
      </c>
      <c r="Q430" s="95">
        <v>0.10708722741432999</v>
      </c>
      <c r="R430" s="95">
        <v>0.137954819796517</v>
      </c>
      <c r="S430" s="95">
        <v>6.70690811535882E-2</v>
      </c>
      <c r="T430" s="95">
        <v>0.202839756592292</v>
      </c>
      <c r="U430" s="95">
        <v>0.126103404791929</v>
      </c>
      <c r="V430" s="95">
        <v>0.13679890560875499</v>
      </c>
      <c r="W430" s="95">
        <v>0</v>
      </c>
      <c r="X430" s="95">
        <v>0.10723337882628201</v>
      </c>
      <c r="Y430" s="95">
        <v>0</v>
      </c>
      <c r="Z430" s="94">
        <v>11690</v>
      </c>
      <c r="AA430" s="94">
        <v>6416</v>
      </c>
      <c r="AB430" s="94">
        <v>5274</v>
      </c>
      <c r="AC430" s="94">
        <v>545</v>
      </c>
      <c r="AD430" s="94">
        <v>2393</v>
      </c>
      <c r="AE430" s="94">
        <v>5769</v>
      </c>
      <c r="AF430" s="94">
        <v>2983</v>
      </c>
      <c r="AG430" s="94">
        <v>10740</v>
      </c>
      <c r="AH430" s="94">
        <v>876</v>
      </c>
      <c r="AI430" s="94">
        <v>74</v>
      </c>
      <c r="AJ430" s="94">
        <v>11618</v>
      </c>
      <c r="AK430" s="94">
        <v>30</v>
      </c>
      <c r="AL430" s="94">
        <v>42</v>
      </c>
      <c r="AM430" s="94">
        <v>675</v>
      </c>
      <c r="AN430" s="94">
        <v>10826</v>
      </c>
      <c r="AO430" s="94">
        <v>189</v>
      </c>
      <c r="AP430" s="95">
        <v>0.68214032600992203</v>
      </c>
      <c r="AQ430" s="95">
        <v>0.27252324462968902</v>
      </c>
      <c r="AR430" s="95">
        <v>1.1881188118811901</v>
      </c>
      <c r="AS430" s="95">
        <v>1.2</v>
      </c>
      <c r="AT430" s="95">
        <v>0.87604029785370097</v>
      </c>
      <c r="AU430" s="95">
        <v>0.64400715563506306</v>
      </c>
      <c r="AV430" s="95">
        <v>0.51457975986277904</v>
      </c>
      <c r="AW430" s="95">
        <v>0.66486798997880103</v>
      </c>
      <c r="AX430" s="95">
        <v>0.83432657926102505</v>
      </c>
      <c r="AY430" s="95">
        <v>1.40845070422535</v>
      </c>
      <c r="AZ430" s="95">
        <v>0.68627450980392202</v>
      </c>
      <c r="BA430" s="95">
        <v>0</v>
      </c>
      <c r="BB430" s="95">
        <v>0</v>
      </c>
      <c r="BC430" s="95">
        <v>0.45385779122541597</v>
      </c>
      <c r="BD430" s="95">
        <v>0.69876519574997598</v>
      </c>
      <c r="BE430" s="95">
        <v>0.55555555555555602</v>
      </c>
    </row>
    <row r="431" spans="2:57" ht="15" customHeight="1" x14ac:dyDescent="0.25">
      <c r="B431" s="96">
        <v>421</v>
      </c>
      <c r="C431" s="97" t="s">
        <v>504</v>
      </c>
      <c r="D431" s="104" t="s">
        <v>43</v>
      </c>
      <c r="E431" s="104" t="s">
        <v>364</v>
      </c>
      <c r="F431" s="104" t="s">
        <v>314</v>
      </c>
      <c r="G431" s="105" t="s">
        <v>314</v>
      </c>
      <c r="H431" s="106">
        <v>5511</v>
      </c>
      <c r="I431" s="106">
        <v>3088</v>
      </c>
      <c r="J431" s="106">
        <v>2423</v>
      </c>
      <c r="K431" s="106">
        <v>319</v>
      </c>
      <c r="L431" s="106">
        <v>1301</v>
      </c>
      <c r="M431" s="106">
        <v>2738</v>
      </c>
      <c r="N431" s="106">
        <v>1153</v>
      </c>
      <c r="O431" s="106">
        <v>5503</v>
      </c>
      <c r="P431" s="106">
        <v>8</v>
      </c>
      <c r="Q431" s="107">
        <v>0.13172751223184001</v>
      </c>
      <c r="R431" s="107">
        <v>0.13449899125756601</v>
      </c>
      <c r="S431" s="107">
        <v>0.128205128205128</v>
      </c>
      <c r="T431" s="107">
        <v>0</v>
      </c>
      <c r="U431" s="107">
        <v>0.161030595813205</v>
      </c>
      <c r="V431" s="107">
        <v>0.187828700225394</v>
      </c>
      <c r="W431" s="107">
        <v>0</v>
      </c>
      <c r="X431" s="107">
        <v>0.131926121372032</v>
      </c>
      <c r="Y431" s="107">
        <v>0</v>
      </c>
      <c r="Z431" s="106">
        <v>6082</v>
      </c>
      <c r="AA431" s="106">
        <v>3320</v>
      </c>
      <c r="AB431" s="106">
        <v>2762</v>
      </c>
      <c r="AC431" s="106">
        <v>269</v>
      </c>
      <c r="AD431" s="106">
        <v>1270</v>
      </c>
      <c r="AE431" s="106">
        <v>2979</v>
      </c>
      <c r="AF431" s="106">
        <v>1564</v>
      </c>
      <c r="AG431" s="106">
        <v>5658</v>
      </c>
      <c r="AH431" s="106">
        <v>388</v>
      </c>
      <c r="AI431" s="106">
        <v>36</v>
      </c>
      <c r="AJ431" s="106">
        <v>6031</v>
      </c>
      <c r="AK431" s="106">
        <v>22</v>
      </c>
      <c r="AL431" s="106">
        <v>29</v>
      </c>
      <c r="AM431" s="106">
        <v>383</v>
      </c>
      <c r="AN431" s="106">
        <v>5588</v>
      </c>
      <c r="AO431" s="106">
        <v>111</v>
      </c>
      <c r="AP431" s="107">
        <v>0.54533060668029998</v>
      </c>
      <c r="AQ431" s="107">
        <v>9.2879256965944304E-2</v>
      </c>
      <c r="AR431" s="107">
        <v>1.0993176648976499</v>
      </c>
      <c r="AS431" s="107">
        <v>0.40816326530612201</v>
      </c>
      <c r="AT431" s="107">
        <v>0.74196207749381704</v>
      </c>
      <c r="AU431" s="107">
        <v>0.55517002081887601</v>
      </c>
      <c r="AV431" s="107">
        <v>0.39267015706806302</v>
      </c>
      <c r="AW431" s="107">
        <v>0.56662401754706604</v>
      </c>
      <c r="AX431" s="107">
        <v>0.27548209366391202</v>
      </c>
      <c r="AY431" s="107">
        <v>0</v>
      </c>
      <c r="AZ431" s="107">
        <v>0.54973372272805399</v>
      </c>
      <c r="BA431" s="107">
        <v>0</v>
      </c>
      <c r="BB431" s="107">
        <v>0</v>
      </c>
      <c r="BC431" s="107">
        <v>0.80428954423592502</v>
      </c>
      <c r="BD431" s="107">
        <v>0.53803339517625204</v>
      </c>
      <c r="BE431" s="107">
        <v>0</v>
      </c>
    </row>
    <row r="432" spans="2:57" ht="15" customHeight="1" x14ac:dyDescent="0.25">
      <c r="B432" s="91">
        <v>422</v>
      </c>
      <c r="C432" s="92" t="s">
        <v>504</v>
      </c>
      <c r="D432" s="92" t="s">
        <v>43</v>
      </c>
      <c r="E432" s="92" t="s">
        <v>364</v>
      </c>
      <c r="F432" s="92" t="s">
        <v>314</v>
      </c>
      <c r="G432" s="101" t="s">
        <v>501</v>
      </c>
      <c r="H432" s="94">
        <v>0</v>
      </c>
      <c r="I432" s="94">
        <v>0</v>
      </c>
      <c r="J432" s="94">
        <v>0</v>
      </c>
      <c r="K432" s="94">
        <v>0</v>
      </c>
      <c r="L432" s="94">
        <v>0</v>
      </c>
      <c r="M432" s="94">
        <v>0</v>
      </c>
      <c r="N432" s="94">
        <v>0</v>
      </c>
      <c r="O432" s="94">
        <v>0</v>
      </c>
      <c r="P432" s="94">
        <v>0</v>
      </c>
      <c r="Q432" s="95">
        <v>0</v>
      </c>
      <c r="R432" s="95">
        <v>0</v>
      </c>
      <c r="S432" s="95">
        <v>0</v>
      </c>
      <c r="T432" s="95">
        <v>0</v>
      </c>
      <c r="U432" s="95">
        <v>0</v>
      </c>
      <c r="V432" s="95">
        <v>0</v>
      </c>
      <c r="W432" s="95">
        <v>0</v>
      </c>
      <c r="X432" s="95">
        <v>0</v>
      </c>
      <c r="Y432" s="95">
        <v>0</v>
      </c>
      <c r="Z432" s="94">
        <v>0</v>
      </c>
      <c r="AA432" s="94">
        <v>0</v>
      </c>
      <c r="AB432" s="94">
        <v>0</v>
      </c>
      <c r="AC432" s="94">
        <v>0</v>
      </c>
      <c r="AD432" s="94">
        <v>0</v>
      </c>
      <c r="AE432" s="94">
        <v>0</v>
      </c>
      <c r="AF432" s="94">
        <v>0</v>
      </c>
      <c r="AG432" s="94">
        <v>0</v>
      </c>
      <c r="AH432" s="94">
        <v>0</v>
      </c>
      <c r="AI432" s="94">
        <v>0</v>
      </c>
      <c r="AJ432" s="94">
        <v>0</v>
      </c>
      <c r="AK432" s="94">
        <v>0</v>
      </c>
      <c r="AL432" s="94">
        <v>0</v>
      </c>
      <c r="AM432" s="94">
        <v>0</v>
      </c>
      <c r="AN432" s="94">
        <v>0</v>
      </c>
      <c r="AO432" s="94">
        <v>0</v>
      </c>
      <c r="AP432" s="95">
        <v>0</v>
      </c>
      <c r="AQ432" s="95">
        <v>0</v>
      </c>
      <c r="AR432" s="95">
        <v>0</v>
      </c>
      <c r="AS432" s="95">
        <v>0</v>
      </c>
      <c r="AT432" s="95">
        <v>0</v>
      </c>
      <c r="AU432" s="95">
        <v>0</v>
      </c>
      <c r="AV432" s="95">
        <v>0</v>
      </c>
      <c r="AW432" s="95">
        <v>0</v>
      </c>
      <c r="AX432" s="95">
        <v>0</v>
      </c>
      <c r="AY432" s="95">
        <v>0</v>
      </c>
      <c r="AZ432" s="95">
        <v>0</v>
      </c>
      <c r="BA432" s="95">
        <v>0</v>
      </c>
      <c r="BB432" s="95">
        <v>0</v>
      </c>
      <c r="BC432" s="95">
        <v>0</v>
      </c>
      <c r="BD432" s="95">
        <v>0</v>
      </c>
      <c r="BE432" s="95">
        <v>0</v>
      </c>
    </row>
    <row r="433" spans="2:57" ht="15" customHeight="1" x14ac:dyDescent="0.25">
      <c r="B433" s="91">
        <v>423</v>
      </c>
      <c r="C433" s="92" t="s">
        <v>504</v>
      </c>
      <c r="D433" s="92" t="s">
        <v>43</v>
      </c>
      <c r="E433" s="92" t="s">
        <v>364</v>
      </c>
      <c r="F433" s="92" t="s">
        <v>314</v>
      </c>
      <c r="G433" s="101" t="s">
        <v>502</v>
      </c>
      <c r="H433" s="94">
        <v>5511</v>
      </c>
      <c r="I433" s="94">
        <v>3088</v>
      </c>
      <c r="J433" s="94">
        <v>2423</v>
      </c>
      <c r="K433" s="94">
        <v>319</v>
      </c>
      <c r="L433" s="94">
        <v>1301</v>
      </c>
      <c r="M433" s="94">
        <v>2738</v>
      </c>
      <c r="N433" s="94">
        <v>1153</v>
      </c>
      <c r="O433" s="94">
        <v>5503</v>
      </c>
      <c r="P433" s="94">
        <v>8</v>
      </c>
      <c r="Q433" s="95">
        <v>0.13172751223184001</v>
      </c>
      <c r="R433" s="95">
        <v>0.13449899125756601</v>
      </c>
      <c r="S433" s="95">
        <v>0.128205128205128</v>
      </c>
      <c r="T433" s="95">
        <v>0</v>
      </c>
      <c r="U433" s="95">
        <v>0.161030595813205</v>
      </c>
      <c r="V433" s="95">
        <v>0.187828700225394</v>
      </c>
      <c r="W433" s="95">
        <v>0</v>
      </c>
      <c r="X433" s="95">
        <v>0.131926121372032</v>
      </c>
      <c r="Y433" s="95">
        <v>0</v>
      </c>
      <c r="Z433" s="94">
        <v>6082</v>
      </c>
      <c r="AA433" s="94">
        <v>3320</v>
      </c>
      <c r="AB433" s="94">
        <v>2762</v>
      </c>
      <c r="AC433" s="94">
        <v>269</v>
      </c>
      <c r="AD433" s="94">
        <v>1270</v>
      </c>
      <c r="AE433" s="94">
        <v>2979</v>
      </c>
      <c r="AF433" s="94">
        <v>1564</v>
      </c>
      <c r="AG433" s="94">
        <v>5658</v>
      </c>
      <c r="AH433" s="94">
        <v>388</v>
      </c>
      <c r="AI433" s="94">
        <v>36</v>
      </c>
      <c r="AJ433" s="94">
        <v>6031</v>
      </c>
      <c r="AK433" s="94">
        <v>22</v>
      </c>
      <c r="AL433" s="94">
        <v>29</v>
      </c>
      <c r="AM433" s="94">
        <v>383</v>
      </c>
      <c r="AN433" s="94">
        <v>5588</v>
      </c>
      <c r="AO433" s="94">
        <v>111</v>
      </c>
      <c r="AP433" s="95">
        <v>0.54533060668029998</v>
      </c>
      <c r="AQ433" s="95">
        <v>9.2879256965944304E-2</v>
      </c>
      <c r="AR433" s="95">
        <v>1.0993176648976499</v>
      </c>
      <c r="AS433" s="95">
        <v>0.40816326530612201</v>
      </c>
      <c r="AT433" s="95">
        <v>0.74196207749381704</v>
      </c>
      <c r="AU433" s="95">
        <v>0.55517002081887601</v>
      </c>
      <c r="AV433" s="95">
        <v>0.39267015706806302</v>
      </c>
      <c r="AW433" s="95">
        <v>0.56662401754706604</v>
      </c>
      <c r="AX433" s="95">
        <v>0.27548209366391202</v>
      </c>
      <c r="AY433" s="95">
        <v>0</v>
      </c>
      <c r="AZ433" s="95">
        <v>0.54973372272805399</v>
      </c>
      <c r="BA433" s="95">
        <v>0</v>
      </c>
      <c r="BB433" s="95">
        <v>0</v>
      </c>
      <c r="BC433" s="95">
        <v>0.80428954423592502</v>
      </c>
      <c r="BD433" s="95">
        <v>0.53803339517625204</v>
      </c>
      <c r="BE433" s="95">
        <v>0</v>
      </c>
    </row>
    <row r="434" spans="2:57" ht="15" customHeight="1" x14ac:dyDescent="0.25">
      <c r="B434" s="96">
        <v>424</v>
      </c>
      <c r="C434" s="97" t="s">
        <v>504</v>
      </c>
      <c r="D434" s="104" t="s">
        <v>43</v>
      </c>
      <c r="E434" s="104" t="s">
        <v>364</v>
      </c>
      <c r="F434" s="104" t="s">
        <v>197</v>
      </c>
      <c r="G434" s="105" t="s">
        <v>197</v>
      </c>
      <c r="H434" s="106">
        <v>4060</v>
      </c>
      <c r="I434" s="106">
        <v>2338</v>
      </c>
      <c r="J434" s="106">
        <v>1722</v>
      </c>
      <c r="K434" s="106">
        <v>182</v>
      </c>
      <c r="L434" s="106">
        <v>950</v>
      </c>
      <c r="M434" s="106">
        <v>1999</v>
      </c>
      <c r="N434" s="106">
        <v>929</v>
      </c>
      <c r="O434" s="106">
        <v>4054</v>
      </c>
      <c r="P434" s="106">
        <v>6</v>
      </c>
      <c r="Q434" s="107">
        <v>7.8349438495690801E-2</v>
      </c>
      <c r="R434" s="107">
        <v>0.137299771167048</v>
      </c>
      <c r="S434" s="107">
        <v>0</v>
      </c>
      <c r="T434" s="107">
        <v>0.60606060606060597</v>
      </c>
      <c r="U434" s="107">
        <v>0</v>
      </c>
      <c r="V434" s="107">
        <v>0.10610079575596799</v>
      </c>
      <c r="W434" s="107">
        <v>0</v>
      </c>
      <c r="X434" s="107">
        <v>7.8472403871305302E-2</v>
      </c>
      <c r="Y434" s="107">
        <v>0</v>
      </c>
      <c r="Z434" s="106">
        <v>4317</v>
      </c>
      <c r="AA434" s="106">
        <v>2395</v>
      </c>
      <c r="AB434" s="106">
        <v>1922</v>
      </c>
      <c r="AC434" s="106">
        <v>206</v>
      </c>
      <c r="AD434" s="106">
        <v>847</v>
      </c>
      <c r="AE434" s="106">
        <v>2155</v>
      </c>
      <c r="AF434" s="106">
        <v>1109</v>
      </c>
      <c r="AG434" s="106">
        <v>3893</v>
      </c>
      <c r="AH434" s="106">
        <v>396</v>
      </c>
      <c r="AI434" s="106">
        <v>28</v>
      </c>
      <c r="AJ434" s="106">
        <v>4301</v>
      </c>
      <c r="AK434" s="106">
        <v>6</v>
      </c>
      <c r="AL434" s="106">
        <v>10</v>
      </c>
      <c r="AM434" s="106">
        <v>206</v>
      </c>
      <c r="AN434" s="106">
        <v>4051</v>
      </c>
      <c r="AO434" s="106">
        <v>60</v>
      </c>
      <c r="AP434" s="107">
        <v>0.76628352490421403</v>
      </c>
      <c r="AQ434" s="107">
        <v>0.42808219178082202</v>
      </c>
      <c r="AR434" s="107">
        <v>1.1956521739130399</v>
      </c>
      <c r="AS434" s="107">
        <v>1.59574468085106</v>
      </c>
      <c r="AT434" s="107">
        <v>1.23609394313968</v>
      </c>
      <c r="AU434" s="107">
        <v>0.61993323795898903</v>
      </c>
      <c r="AV434" s="107">
        <v>0.55452865064695001</v>
      </c>
      <c r="AW434" s="107">
        <v>0.71789417708056402</v>
      </c>
      <c r="AX434" s="107">
        <v>1.28865979381443</v>
      </c>
      <c r="AY434" s="107">
        <v>0</v>
      </c>
      <c r="AZ434" s="107">
        <v>0.76923076923076905</v>
      </c>
      <c r="BA434" s="107">
        <v>0</v>
      </c>
      <c r="BB434" s="107">
        <v>0</v>
      </c>
      <c r="BC434" s="107">
        <v>0</v>
      </c>
      <c r="BD434" s="107">
        <v>0.81716036772216505</v>
      </c>
      <c r="BE434" s="107">
        <v>0</v>
      </c>
    </row>
    <row r="435" spans="2:57" ht="15" customHeight="1" x14ac:dyDescent="0.25">
      <c r="B435" s="91">
        <v>425</v>
      </c>
      <c r="C435" s="92" t="s">
        <v>504</v>
      </c>
      <c r="D435" s="92" t="s">
        <v>43</v>
      </c>
      <c r="E435" s="92" t="s">
        <v>364</v>
      </c>
      <c r="F435" s="92" t="s">
        <v>197</v>
      </c>
      <c r="G435" s="101" t="s">
        <v>501</v>
      </c>
      <c r="H435" s="94">
        <v>0</v>
      </c>
      <c r="I435" s="94">
        <v>0</v>
      </c>
      <c r="J435" s="94">
        <v>0</v>
      </c>
      <c r="K435" s="94">
        <v>0</v>
      </c>
      <c r="L435" s="94">
        <v>0</v>
      </c>
      <c r="M435" s="94">
        <v>0</v>
      </c>
      <c r="N435" s="94">
        <v>0</v>
      </c>
      <c r="O435" s="94">
        <v>0</v>
      </c>
      <c r="P435" s="94">
        <v>0</v>
      </c>
      <c r="Q435" s="95">
        <v>0</v>
      </c>
      <c r="R435" s="95">
        <v>0</v>
      </c>
      <c r="S435" s="95">
        <v>0</v>
      </c>
      <c r="T435" s="95">
        <v>0</v>
      </c>
      <c r="U435" s="95">
        <v>0</v>
      </c>
      <c r="V435" s="95">
        <v>0</v>
      </c>
      <c r="W435" s="95">
        <v>0</v>
      </c>
      <c r="X435" s="95">
        <v>0</v>
      </c>
      <c r="Y435" s="95">
        <v>0</v>
      </c>
      <c r="Z435" s="94">
        <v>0</v>
      </c>
      <c r="AA435" s="94">
        <v>0</v>
      </c>
      <c r="AB435" s="94">
        <v>0</v>
      </c>
      <c r="AC435" s="94">
        <v>0</v>
      </c>
      <c r="AD435" s="94">
        <v>0</v>
      </c>
      <c r="AE435" s="94">
        <v>0</v>
      </c>
      <c r="AF435" s="94">
        <v>0</v>
      </c>
      <c r="AG435" s="94">
        <v>0</v>
      </c>
      <c r="AH435" s="94">
        <v>0</v>
      </c>
      <c r="AI435" s="94">
        <v>0</v>
      </c>
      <c r="AJ435" s="94">
        <v>0</v>
      </c>
      <c r="AK435" s="94">
        <v>0</v>
      </c>
      <c r="AL435" s="94">
        <v>0</v>
      </c>
      <c r="AM435" s="94">
        <v>0</v>
      </c>
      <c r="AN435" s="94">
        <v>0</v>
      </c>
      <c r="AO435" s="94">
        <v>0</v>
      </c>
      <c r="AP435" s="95">
        <v>0</v>
      </c>
      <c r="AQ435" s="95">
        <v>0</v>
      </c>
      <c r="AR435" s="95">
        <v>0</v>
      </c>
      <c r="AS435" s="95">
        <v>0</v>
      </c>
      <c r="AT435" s="95">
        <v>0</v>
      </c>
      <c r="AU435" s="95">
        <v>0</v>
      </c>
      <c r="AV435" s="95">
        <v>0</v>
      </c>
      <c r="AW435" s="95">
        <v>0</v>
      </c>
      <c r="AX435" s="95">
        <v>0</v>
      </c>
      <c r="AY435" s="95">
        <v>0</v>
      </c>
      <c r="AZ435" s="95">
        <v>0</v>
      </c>
      <c r="BA435" s="95">
        <v>0</v>
      </c>
      <c r="BB435" s="95">
        <v>0</v>
      </c>
      <c r="BC435" s="95">
        <v>0</v>
      </c>
      <c r="BD435" s="95">
        <v>0</v>
      </c>
      <c r="BE435" s="95">
        <v>0</v>
      </c>
    </row>
    <row r="436" spans="2:57" ht="15" customHeight="1" x14ac:dyDescent="0.25">
      <c r="B436" s="91">
        <v>426</v>
      </c>
      <c r="C436" s="92" t="s">
        <v>504</v>
      </c>
      <c r="D436" s="92" t="s">
        <v>43</v>
      </c>
      <c r="E436" s="92" t="s">
        <v>364</v>
      </c>
      <c r="F436" s="92" t="s">
        <v>197</v>
      </c>
      <c r="G436" s="101" t="s">
        <v>502</v>
      </c>
      <c r="H436" s="94">
        <v>4060</v>
      </c>
      <c r="I436" s="94">
        <v>2338</v>
      </c>
      <c r="J436" s="94">
        <v>1722</v>
      </c>
      <c r="K436" s="94">
        <v>182</v>
      </c>
      <c r="L436" s="94">
        <v>950</v>
      </c>
      <c r="M436" s="94">
        <v>1999</v>
      </c>
      <c r="N436" s="94">
        <v>929</v>
      </c>
      <c r="O436" s="94">
        <v>4054</v>
      </c>
      <c r="P436" s="94">
        <v>6</v>
      </c>
      <c r="Q436" s="95">
        <v>7.8349438495690801E-2</v>
      </c>
      <c r="R436" s="95">
        <v>0.137299771167048</v>
      </c>
      <c r="S436" s="95">
        <v>0</v>
      </c>
      <c r="T436" s="95">
        <v>0.60606060606060597</v>
      </c>
      <c r="U436" s="95">
        <v>0</v>
      </c>
      <c r="V436" s="95">
        <v>0.10610079575596799</v>
      </c>
      <c r="W436" s="95">
        <v>0</v>
      </c>
      <c r="X436" s="95">
        <v>7.8472403871305302E-2</v>
      </c>
      <c r="Y436" s="95">
        <v>0</v>
      </c>
      <c r="Z436" s="94">
        <v>4317</v>
      </c>
      <c r="AA436" s="94">
        <v>2395</v>
      </c>
      <c r="AB436" s="94">
        <v>1922</v>
      </c>
      <c r="AC436" s="94">
        <v>206</v>
      </c>
      <c r="AD436" s="94">
        <v>847</v>
      </c>
      <c r="AE436" s="94">
        <v>2155</v>
      </c>
      <c r="AF436" s="94">
        <v>1109</v>
      </c>
      <c r="AG436" s="94">
        <v>3893</v>
      </c>
      <c r="AH436" s="94">
        <v>396</v>
      </c>
      <c r="AI436" s="94">
        <v>28</v>
      </c>
      <c r="AJ436" s="94">
        <v>4301</v>
      </c>
      <c r="AK436" s="94">
        <v>6</v>
      </c>
      <c r="AL436" s="94">
        <v>10</v>
      </c>
      <c r="AM436" s="94">
        <v>206</v>
      </c>
      <c r="AN436" s="94">
        <v>4051</v>
      </c>
      <c r="AO436" s="94">
        <v>60</v>
      </c>
      <c r="AP436" s="95">
        <v>0.76628352490421403</v>
      </c>
      <c r="AQ436" s="95">
        <v>0.42808219178082202</v>
      </c>
      <c r="AR436" s="95">
        <v>1.1956521739130399</v>
      </c>
      <c r="AS436" s="95">
        <v>1.59574468085106</v>
      </c>
      <c r="AT436" s="95">
        <v>1.23609394313968</v>
      </c>
      <c r="AU436" s="95">
        <v>0.61993323795898903</v>
      </c>
      <c r="AV436" s="95">
        <v>0.55452865064695001</v>
      </c>
      <c r="AW436" s="95">
        <v>0.71789417708056402</v>
      </c>
      <c r="AX436" s="95">
        <v>1.28865979381443</v>
      </c>
      <c r="AY436" s="95">
        <v>0</v>
      </c>
      <c r="AZ436" s="95">
        <v>0.76923076923076905</v>
      </c>
      <c r="BA436" s="95">
        <v>0</v>
      </c>
      <c r="BB436" s="95">
        <v>0</v>
      </c>
      <c r="BC436" s="95">
        <v>0</v>
      </c>
      <c r="BD436" s="95">
        <v>0.81716036772216505</v>
      </c>
      <c r="BE436" s="95">
        <v>0</v>
      </c>
    </row>
    <row r="437" spans="2:57" ht="15" customHeight="1" x14ac:dyDescent="0.25">
      <c r="B437" s="96">
        <v>427</v>
      </c>
      <c r="C437" s="97" t="s">
        <v>504</v>
      </c>
      <c r="D437" s="104" t="s">
        <v>43</v>
      </c>
      <c r="E437" s="104" t="s">
        <v>364</v>
      </c>
      <c r="F437" s="104" t="s">
        <v>49</v>
      </c>
      <c r="G437" s="105" t="s">
        <v>49</v>
      </c>
      <c r="H437" s="106">
        <v>1167</v>
      </c>
      <c r="I437" s="106">
        <v>668</v>
      </c>
      <c r="J437" s="106">
        <v>499</v>
      </c>
      <c r="K437" s="106">
        <v>54</v>
      </c>
      <c r="L437" s="106">
        <v>268</v>
      </c>
      <c r="M437" s="106">
        <v>592</v>
      </c>
      <c r="N437" s="106">
        <v>253</v>
      </c>
      <c r="O437" s="106">
        <v>1167</v>
      </c>
      <c r="P437" s="106">
        <v>0</v>
      </c>
      <c r="Q437" s="107">
        <v>8.8573959255978704E-2</v>
      </c>
      <c r="R437" s="107">
        <v>0.15625</v>
      </c>
      <c r="S437" s="107">
        <v>0</v>
      </c>
      <c r="T437" s="107">
        <v>0</v>
      </c>
      <c r="U437" s="107">
        <v>0.387596899224806</v>
      </c>
      <c r="V437" s="107">
        <v>0</v>
      </c>
      <c r="W437" s="107">
        <v>0</v>
      </c>
      <c r="X437" s="107">
        <v>8.8573959255978704E-2</v>
      </c>
      <c r="Y437" s="107">
        <v>0</v>
      </c>
      <c r="Z437" s="106">
        <v>1291</v>
      </c>
      <c r="AA437" s="106">
        <v>701</v>
      </c>
      <c r="AB437" s="106">
        <v>590</v>
      </c>
      <c r="AC437" s="106">
        <v>70</v>
      </c>
      <c r="AD437" s="106">
        <v>276</v>
      </c>
      <c r="AE437" s="106">
        <v>635</v>
      </c>
      <c r="AF437" s="106">
        <v>310</v>
      </c>
      <c r="AG437" s="106">
        <v>1189</v>
      </c>
      <c r="AH437" s="106">
        <v>92</v>
      </c>
      <c r="AI437" s="106">
        <v>10</v>
      </c>
      <c r="AJ437" s="106">
        <v>1286</v>
      </c>
      <c r="AK437" s="106">
        <v>2</v>
      </c>
      <c r="AL437" s="106">
        <v>3</v>
      </c>
      <c r="AM437" s="106">
        <v>86</v>
      </c>
      <c r="AN437" s="106">
        <v>1187</v>
      </c>
      <c r="AO437" s="106">
        <v>18</v>
      </c>
      <c r="AP437" s="107">
        <v>1.04501607717042</v>
      </c>
      <c r="AQ437" s="107">
        <v>0.59523809523809501</v>
      </c>
      <c r="AR437" s="107">
        <v>1.57342657342657</v>
      </c>
      <c r="AS437" s="107">
        <v>2.98507462686567</v>
      </c>
      <c r="AT437" s="107">
        <v>0.38314176245210702</v>
      </c>
      <c r="AU437" s="107">
        <v>1.14566284779051</v>
      </c>
      <c r="AV437" s="107">
        <v>0.98360655737704905</v>
      </c>
      <c r="AW437" s="107">
        <v>0.95986038394415396</v>
      </c>
      <c r="AX437" s="107">
        <v>1.13636363636364</v>
      </c>
      <c r="AY437" s="107">
        <v>10</v>
      </c>
      <c r="AZ437" s="107">
        <v>1.0492332526230801</v>
      </c>
      <c r="BA437" s="107">
        <v>0</v>
      </c>
      <c r="BB437" s="107">
        <v>0</v>
      </c>
      <c r="BC437" s="107">
        <v>0</v>
      </c>
      <c r="BD437" s="107">
        <v>1.05170902716915</v>
      </c>
      <c r="BE437" s="107">
        <v>5.5555555555555598</v>
      </c>
    </row>
    <row r="438" spans="2:57" ht="15" customHeight="1" x14ac:dyDescent="0.25">
      <c r="B438" s="91">
        <v>428</v>
      </c>
      <c r="C438" s="92" t="s">
        <v>504</v>
      </c>
      <c r="D438" s="92" t="s">
        <v>43</v>
      </c>
      <c r="E438" s="92" t="s">
        <v>364</v>
      </c>
      <c r="F438" s="92" t="s">
        <v>49</v>
      </c>
      <c r="G438" s="101" t="s">
        <v>501</v>
      </c>
      <c r="H438" s="94">
        <v>0</v>
      </c>
      <c r="I438" s="94">
        <v>0</v>
      </c>
      <c r="J438" s="94">
        <v>0</v>
      </c>
      <c r="K438" s="94">
        <v>0</v>
      </c>
      <c r="L438" s="94">
        <v>0</v>
      </c>
      <c r="M438" s="94">
        <v>0</v>
      </c>
      <c r="N438" s="94">
        <v>0</v>
      </c>
      <c r="O438" s="94">
        <v>0</v>
      </c>
      <c r="P438" s="94">
        <v>0</v>
      </c>
      <c r="Q438" s="95">
        <v>0</v>
      </c>
      <c r="R438" s="95">
        <v>0</v>
      </c>
      <c r="S438" s="95">
        <v>0</v>
      </c>
      <c r="T438" s="95">
        <v>0</v>
      </c>
      <c r="U438" s="95">
        <v>0</v>
      </c>
      <c r="V438" s="95">
        <v>0</v>
      </c>
      <c r="W438" s="95">
        <v>0</v>
      </c>
      <c r="X438" s="95">
        <v>0</v>
      </c>
      <c r="Y438" s="95">
        <v>0</v>
      </c>
      <c r="Z438" s="94">
        <v>0</v>
      </c>
      <c r="AA438" s="94">
        <v>0</v>
      </c>
      <c r="AB438" s="94">
        <v>0</v>
      </c>
      <c r="AC438" s="94">
        <v>0</v>
      </c>
      <c r="AD438" s="94">
        <v>0</v>
      </c>
      <c r="AE438" s="94">
        <v>0</v>
      </c>
      <c r="AF438" s="94">
        <v>0</v>
      </c>
      <c r="AG438" s="94">
        <v>0</v>
      </c>
      <c r="AH438" s="94">
        <v>0</v>
      </c>
      <c r="AI438" s="94">
        <v>0</v>
      </c>
      <c r="AJ438" s="94">
        <v>0</v>
      </c>
      <c r="AK438" s="94">
        <v>0</v>
      </c>
      <c r="AL438" s="94">
        <v>0</v>
      </c>
      <c r="AM438" s="94">
        <v>0</v>
      </c>
      <c r="AN438" s="94">
        <v>0</v>
      </c>
      <c r="AO438" s="94">
        <v>0</v>
      </c>
      <c r="AP438" s="95">
        <v>0</v>
      </c>
      <c r="AQ438" s="95">
        <v>0</v>
      </c>
      <c r="AR438" s="95">
        <v>0</v>
      </c>
      <c r="AS438" s="95">
        <v>0</v>
      </c>
      <c r="AT438" s="95">
        <v>0</v>
      </c>
      <c r="AU438" s="95">
        <v>0</v>
      </c>
      <c r="AV438" s="95">
        <v>0</v>
      </c>
      <c r="AW438" s="95">
        <v>0</v>
      </c>
      <c r="AX438" s="95">
        <v>0</v>
      </c>
      <c r="AY438" s="95">
        <v>0</v>
      </c>
      <c r="AZ438" s="95">
        <v>0</v>
      </c>
      <c r="BA438" s="95">
        <v>0</v>
      </c>
      <c r="BB438" s="95">
        <v>0</v>
      </c>
      <c r="BC438" s="95">
        <v>0</v>
      </c>
      <c r="BD438" s="95">
        <v>0</v>
      </c>
      <c r="BE438" s="95">
        <v>0</v>
      </c>
    </row>
    <row r="439" spans="2:57" ht="15" customHeight="1" x14ac:dyDescent="0.25">
      <c r="B439" s="91">
        <v>429</v>
      </c>
      <c r="C439" s="92" t="s">
        <v>504</v>
      </c>
      <c r="D439" s="92" t="s">
        <v>43</v>
      </c>
      <c r="E439" s="92" t="s">
        <v>364</v>
      </c>
      <c r="F439" s="92" t="s">
        <v>49</v>
      </c>
      <c r="G439" s="101" t="s">
        <v>502</v>
      </c>
      <c r="H439" s="94">
        <v>1167</v>
      </c>
      <c r="I439" s="94">
        <v>668</v>
      </c>
      <c r="J439" s="94">
        <v>499</v>
      </c>
      <c r="K439" s="94">
        <v>54</v>
      </c>
      <c r="L439" s="94">
        <v>268</v>
      </c>
      <c r="M439" s="94">
        <v>592</v>
      </c>
      <c r="N439" s="94">
        <v>253</v>
      </c>
      <c r="O439" s="94">
        <v>1167</v>
      </c>
      <c r="P439" s="94">
        <v>0</v>
      </c>
      <c r="Q439" s="95">
        <v>8.8573959255978704E-2</v>
      </c>
      <c r="R439" s="95">
        <v>0.15625</v>
      </c>
      <c r="S439" s="95">
        <v>0</v>
      </c>
      <c r="T439" s="95">
        <v>0</v>
      </c>
      <c r="U439" s="95">
        <v>0.387596899224806</v>
      </c>
      <c r="V439" s="95">
        <v>0</v>
      </c>
      <c r="W439" s="95">
        <v>0</v>
      </c>
      <c r="X439" s="95">
        <v>8.8573959255978704E-2</v>
      </c>
      <c r="Y439" s="95">
        <v>0</v>
      </c>
      <c r="Z439" s="94">
        <v>1291</v>
      </c>
      <c r="AA439" s="94">
        <v>701</v>
      </c>
      <c r="AB439" s="94">
        <v>590</v>
      </c>
      <c r="AC439" s="94">
        <v>70</v>
      </c>
      <c r="AD439" s="94">
        <v>276</v>
      </c>
      <c r="AE439" s="94">
        <v>635</v>
      </c>
      <c r="AF439" s="94">
        <v>310</v>
      </c>
      <c r="AG439" s="94">
        <v>1189</v>
      </c>
      <c r="AH439" s="94">
        <v>92</v>
      </c>
      <c r="AI439" s="94">
        <v>10</v>
      </c>
      <c r="AJ439" s="94">
        <v>1286</v>
      </c>
      <c r="AK439" s="94">
        <v>2</v>
      </c>
      <c r="AL439" s="94">
        <v>3</v>
      </c>
      <c r="AM439" s="94">
        <v>86</v>
      </c>
      <c r="AN439" s="94">
        <v>1187</v>
      </c>
      <c r="AO439" s="94">
        <v>18</v>
      </c>
      <c r="AP439" s="95">
        <v>1.04501607717042</v>
      </c>
      <c r="AQ439" s="95">
        <v>0.59523809523809501</v>
      </c>
      <c r="AR439" s="95">
        <v>1.57342657342657</v>
      </c>
      <c r="AS439" s="95">
        <v>2.98507462686567</v>
      </c>
      <c r="AT439" s="95">
        <v>0.38314176245210702</v>
      </c>
      <c r="AU439" s="95">
        <v>1.14566284779051</v>
      </c>
      <c r="AV439" s="95">
        <v>0.98360655737704905</v>
      </c>
      <c r="AW439" s="95">
        <v>0.95986038394415396</v>
      </c>
      <c r="AX439" s="95">
        <v>1.13636363636364</v>
      </c>
      <c r="AY439" s="95">
        <v>10</v>
      </c>
      <c r="AZ439" s="95">
        <v>1.0492332526230801</v>
      </c>
      <c r="BA439" s="95">
        <v>0</v>
      </c>
      <c r="BB439" s="95">
        <v>0</v>
      </c>
      <c r="BC439" s="95">
        <v>0</v>
      </c>
      <c r="BD439" s="95">
        <v>1.05170902716915</v>
      </c>
      <c r="BE439" s="95">
        <v>5.5555555555555598</v>
      </c>
    </row>
    <row r="440" spans="2:57" ht="15" customHeight="1" x14ac:dyDescent="0.25">
      <c r="B440" s="86">
        <v>430</v>
      </c>
      <c r="C440" s="87" t="s">
        <v>503</v>
      </c>
      <c r="D440" s="103" t="s">
        <v>43</v>
      </c>
      <c r="E440" s="103" t="s">
        <v>366</v>
      </c>
      <c r="F440" s="103"/>
      <c r="G440" s="88" t="s">
        <v>366</v>
      </c>
      <c r="H440" s="89">
        <v>4135</v>
      </c>
      <c r="I440" s="89">
        <v>2242</v>
      </c>
      <c r="J440" s="89">
        <v>1893</v>
      </c>
      <c r="K440" s="89">
        <v>169</v>
      </c>
      <c r="L440" s="89">
        <v>962</v>
      </c>
      <c r="M440" s="89">
        <v>2026</v>
      </c>
      <c r="N440" s="89">
        <v>978</v>
      </c>
      <c r="O440" s="89">
        <v>4126</v>
      </c>
      <c r="P440" s="89">
        <v>9</v>
      </c>
      <c r="Q440" s="90">
        <v>0.36017494211474099</v>
      </c>
      <c r="R440" s="90">
        <v>0.57553956834532405</v>
      </c>
      <c r="S440" s="90">
        <v>0.110987791342952</v>
      </c>
      <c r="T440" s="90">
        <v>0</v>
      </c>
      <c r="U440" s="90">
        <v>0.22296544035674501</v>
      </c>
      <c r="V440" s="90">
        <v>0.57742782152230998</v>
      </c>
      <c r="W440" s="90">
        <v>0.106269925611052</v>
      </c>
      <c r="X440" s="90">
        <v>0.36101083032490999</v>
      </c>
      <c r="Y440" s="90">
        <v>0</v>
      </c>
      <c r="Z440" s="89">
        <v>7701</v>
      </c>
      <c r="AA440" s="89">
        <v>3995</v>
      </c>
      <c r="AB440" s="89">
        <v>3706</v>
      </c>
      <c r="AC440" s="89">
        <v>384</v>
      </c>
      <c r="AD440" s="89">
        <v>1853</v>
      </c>
      <c r="AE440" s="89">
        <v>3883</v>
      </c>
      <c r="AF440" s="89">
        <v>1581</v>
      </c>
      <c r="AG440" s="89">
        <v>6879</v>
      </c>
      <c r="AH440" s="89">
        <v>760</v>
      </c>
      <c r="AI440" s="89">
        <v>62</v>
      </c>
      <c r="AJ440" s="89">
        <v>7542</v>
      </c>
      <c r="AK440" s="89">
        <v>122</v>
      </c>
      <c r="AL440" s="89">
        <v>37</v>
      </c>
      <c r="AM440" s="89">
        <v>630</v>
      </c>
      <c r="AN440" s="89">
        <v>6978</v>
      </c>
      <c r="AO440" s="89">
        <v>93</v>
      </c>
      <c r="AP440" s="90">
        <v>1.4043065400561701</v>
      </c>
      <c r="AQ440" s="90">
        <v>0.61744275791098502</v>
      </c>
      <c r="AR440" s="90">
        <v>2.25626740947075</v>
      </c>
      <c r="AS440" s="90">
        <v>1.34408602150538</v>
      </c>
      <c r="AT440" s="90">
        <v>1.5194147439504799</v>
      </c>
      <c r="AU440" s="90">
        <v>1.4830508474576301</v>
      </c>
      <c r="AV440" s="90">
        <v>1.0953608247422699</v>
      </c>
      <c r="AW440" s="90">
        <v>1.3590203106332099</v>
      </c>
      <c r="AX440" s="90">
        <v>1.92837465564738</v>
      </c>
      <c r="AY440" s="90">
        <v>0</v>
      </c>
      <c r="AZ440" s="90">
        <v>1.39268159475696</v>
      </c>
      <c r="BA440" s="90">
        <v>2.52100840336134</v>
      </c>
      <c r="BB440" s="90">
        <v>0</v>
      </c>
      <c r="BC440" s="90">
        <v>0.65466448445171899</v>
      </c>
      <c r="BD440" s="90">
        <v>1.49055489964581</v>
      </c>
      <c r="BE440" s="90">
        <v>0</v>
      </c>
    </row>
    <row r="441" spans="2:57" ht="15" customHeight="1" x14ac:dyDescent="0.25">
      <c r="B441" s="91">
        <v>431</v>
      </c>
      <c r="C441" s="92" t="s">
        <v>503</v>
      </c>
      <c r="D441" s="92" t="s">
        <v>43</v>
      </c>
      <c r="E441" s="92" t="s">
        <v>366</v>
      </c>
      <c r="F441" s="92"/>
      <c r="G441" s="93" t="s">
        <v>501</v>
      </c>
      <c r="H441" s="94">
        <v>0</v>
      </c>
      <c r="I441" s="94">
        <v>0</v>
      </c>
      <c r="J441" s="94">
        <v>0</v>
      </c>
      <c r="K441" s="94">
        <v>0</v>
      </c>
      <c r="L441" s="94">
        <v>0</v>
      </c>
      <c r="M441" s="94">
        <v>0</v>
      </c>
      <c r="N441" s="94">
        <v>0</v>
      </c>
      <c r="O441" s="94">
        <v>0</v>
      </c>
      <c r="P441" s="94">
        <v>0</v>
      </c>
      <c r="Q441" s="95">
        <v>0</v>
      </c>
      <c r="R441" s="95">
        <v>0</v>
      </c>
      <c r="S441" s="95">
        <v>0</v>
      </c>
      <c r="T441" s="95">
        <v>0</v>
      </c>
      <c r="U441" s="95">
        <v>0</v>
      </c>
      <c r="V441" s="95">
        <v>0</v>
      </c>
      <c r="W441" s="95">
        <v>0</v>
      </c>
      <c r="X441" s="95">
        <v>0</v>
      </c>
      <c r="Y441" s="95">
        <v>0</v>
      </c>
      <c r="Z441" s="94">
        <v>0</v>
      </c>
      <c r="AA441" s="94">
        <v>0</v>
      </c>
      <c r="AB441" s="94">
        <v>0</v>
      </c>
      <c r="AC441" s="94">
        <v>0</v>
      </c>
      <c r="AD441" s="94">
        <v>0</v>
      </c>
      <c r="AE441" s="94">
        <v>0</v>
      </c>
      <c r="AF441" s="94">
        <v>0</v>
      </c>
      <c r="AG441" s="94">
        <v>0</v>
      </c>
      <c r="AH441" s="94">
        <v>0</v>
      </c>
      <c r="AI441" s="94">
        <v>0</v>
      </c>
      <c r="AJ441" s="94">
        <v>0</v>
      </c>
      <c r="AK441" s="94">
        <v>0</v>
      </c>
      <c r="AL441" s="94">
        <v>0</v>
      </c>
      <c r="AM441" s="94">
        <v>0</v>
      </c>
      <c r="AN441" s="94">
        <v>0</v>
      </c>
      <c r="AO441" s="94">
        <v>0</v>
      </c>
      <c r="AP441" s="95">
        <v>0</v>
      </c>
      <c r="AQ441" s="95">
        <v>0</v>
      </c>
      <c r="AR441" s="95">
        <v>0</v>
      </c>
      <c r="AS441" s="95">
        <v>0</v>
      </c>
      <c r="AT441" s="95">
        <v>0</v>
      </c>
      <c r="AU441" s="95">
        <v>0</v>
      </c>
      <c r="AV441" s="95">
        <v>0</v>
      </c>
      <c r="AW441" s="95">
        <v>0</v>
      </c>
      <c r="AX441" s="95">
        <v>0</v>
      </c>
      <c r="AY441" s="95">
        <v>0</v>
      </c>
      <c r="AZ441" s="95">
        <v>0</v>
      </c>
      <c r="BA441" s="95">
        <v>0</v>
      </c>
      <c r="BB441" s="95">
        <v>0</v>
      </c>
      <c r="BC441" s="95">
        <v>0</v>
      </c>
      <c r="BD441" s="95">
        <v>0</v>
      </c>
      <c r="BE441" s="95">
        <v>0</v>
      </c>
    </row>
    <row r="442" spans="2:57" ht="15" customHeight="1" x14ac:dyDescent="0.25">
      <c r="B442" s="91">
        <v>432</v>
      </c>
      <c r="C442" s="92" t="s">
        <v>503</v>
      </c>
      <c r="D442" s="92" t="s">
        <v>43</v>
      </c>
      <c r="E442" s="92" t="s">
        <v>366</v>
      </c>
      <c r="F442" s="92"/>
      <c r="G442" s="93" t="s">
        <v>502</v>
      </c>
      <c r="H442" s="94">
        <v>4135</v>
      </c>
      <c r="I442" s="94">
        <v>2242</v>
      </c>
      <c r="J442" s="94">
        <v>1893</v>
      </c>
      <c r="K442" s="94">
        <v>169</v>
      </c>
      <c r="L442" s="94">
        <v>962</v>
      </c>
      <c r="M442" s="94">
        <v>2026</v>
      </c>
      <c r="N442" s="94">
        <v>978</v>
      </c>
      <c r="O442" s="94">
        <v>4126</v>
      </c>
      <c r="P442" s="94">
        <v>9</v>
      </c>
      <c r="Q442" s="95">
        <v>0.36017494211474099</v>
      </c>
      <c r="R442" s="95">
        <v>0.57553956834532405</v>
      </c>
      <c r="S442" s="95">
        <v>0.110987791342952</v>
      </c>
      <c r="T442" s="95">
        <v>0</v>
      </c>
      <c r="U442" s="95">
        <v>0.22296544035674501</v>
      </c>
      <c r="V442" s="95">
        <v>0.57742782152230998</v>
      </c>
      <c r="W442" s="95">
        <v>0.106269925611052</v>
      </c>
      <c r="X442" s="95">
        <v>0.36101083032490999</v>
      </c>
      <c r="Y442" s="95">
        <v>0</v>
      </c>
      <c r="Z442" s="94">
        <v>7701</v>
      </c>
      <c r="AA442" s="94">
        <v>3995</v>
      </c>
      <c r="AB442" s="94">
        <v>3706</v>
      </c>
      <c r="AC442" s="94">
        <v>384</v>
      </c>
      <c r="AD442" s="94">
        <v>1853</v>
      </c>
      <c r="AE442" s="94">
        <v>3883</v>
      </c>
      <c r="AF442" s="94">
        <v>1581</v>
      </c>
      <c r="AG442" s="94">
        <v>6879</v>
      </c>
      <c r="AH442" s="94">
        <v>760</v>
      </c>
      <c r="AI442" s="94">
        <v>62</v>
      </c>
      <c r="AJ442" s="94">
        <v>7542</v>
      </c>
      <c r="AK442" s="94">
        <v>122</v>
      </c>
      <c r="AL442" s="94">
        <v>37</v>
      </c>
      <c r="AM442" s="94">
        <v>630</v>
      </c>
      <c r="AN442" s="94">
        <v>6978</v>
      </c>
      <c r="AO442" s="94">
        <v>93</v>
      </c>
      <c r="AP442" s="95">
        <v>1.4043065400561701</v>
      </c>
      <c r="AQ442" s="95">
        <v>0.61744275791098502</v>
      </c>
      <c r="AR442" s="95">
        <v>2.25626740947075</v>
      </c>
      <c r="AS442" s="95">
        <v>1.34408602150538</v>
      </c>
      <c r="AT442" s="95">
        <v>1.5194147439504799</v>
      </c>
      <c r="AU442" s="95">
        <v>1.4830508474576301</v>
      </c>
      <c r="AV442" s="95">
        <v>1.0953608247422699</v>
      </c>
      <c r="AW442" s="95">
        <v>1.3590203106332099</v>
      </c>
      <c r="AX442" s="95">
        <v>1.92837465564738</v>
      </c>
      <c r="AY442" s="95">
        <v>0</v>
      </c>
      <c r="AZ442" s="95">
        <v>1.39268159475696</v>
      </c>
      <c r="BA442" s="95">
        <v>2.52100840336134</v>
      </c>
      <c r="BB442" s="95">
        <v>0</v>
      </c>
      <c r="BC442" s="95">
        <v>0.65466448445171899</v>
      </c>
      <c r="BD442" s="95">
        <v>1.49055489964581</v>
      </c>
      <c r="BE442" s="95">
        <v>0</v>
      </c>
    </row>
    <row r="443" spans="2:57" ht="15" customHeight="1" x14ac:dyDescent="0.25">
      <c r="B443" s="96">
        <v>433</v>
      </c>
      <c r="C443" s="97" t="s">
        <v>504</v>
      </c>
      <c r="D443" s="104" t="s">
        <v>43</v>
      </c>
      <c r="E443" s="104" t="s">
        <v>366</v>
      </c>
      <c r="F443" s="104" t="s">
        <v>50</v>
      </c>
      <c r="G443" s="105" t="s">
        <v>50</v>
      </c>
      <c r="H443" s="106">
        <v>2617</v>
      </c>
      <c r="I443" s="106">
        <v>1421</v>
      </c>
      <c r="J443" s="106">
        <v>1196</v>
      </c>
      <c r="K443" s="106">
        <v>96</v>
      </c>
      <c r="L443" s="106">
        <v>468</v>
      </c>
      <c r="M443" s="106">
        <v>1276</v>
      </c>
      <c r="N443" s="106">
        <v>777</v>
      </c>
      <c r="O443" s="106">
        <v>2616</v>
      </c>
      <c r="P443" s="106">
        <v>1</v>
      </c>
      <c r="Q443" s="107">
        <v>0.44624746450304298</v>
      </c>
      <c r="R443" s="107">
        <v>0.75815011372251695</v>
      </c>
      <c r="S443" s="107">
        <v>8.7260034904014003E-2</v>
      </c>
      <c r="T443" s="107">
        <v>0</v>
      </c>
      <c r="U443" s="107">
        <v>0.45977011494252901</v>
      </c>
      <c r="V443" s="107">
        <v>0.66445182724252505</v>
      </c>
      <c r="W443" s="107">
        <v>0.13404825737265399</v>
      </c>
      <c r="X443" s="107">
        <v>0.44642857142857101</v>
      </c>
      <c r="Y443" s="107">
        <v>0</v>
      </c>
      <c r="Z443" s="106">
        <v>4548</v>
      </c>
      <c r="AA443" s="106">
        <v>2327</v>
      </c>
      <c r="AB443" s="106">
        <v>2221</v>
      </c>
      <c r="AC443" s="106">
        <v>226</v>
      </c>
      <c r="AD443" s="106">
        <v>903</v>
      </c>
      <c r="AE443" s="106">
        <v>2201</v>
      </c>
      <c r="AF443" s="106">
        <v>1218</v>
      </c>
      <c r="AG443" s="106">
        <v>4241</v>
      </c>
      <c r="AH443" s="106">
        <v>277</v>
      </c>
      <c r="AI443" s="106">
        <v>30</v>
      </c>
      <c r="AJ443" s="106">
        <v>4506</v>
      </c>
      <c r="AK443" s="106">
        <v>26</v>
      </c>
      <c r="AL443" s="106">
        <v>16</v>
      </c>
      <c r="AM443" s="106">
        <v>464</v>
      </c>
      <c r="AN443" s="106">
        <v>4025</v>
      </c>
      <c r="AO443" s="106">
        <v>59</v>
      </c>
      <c r="AP443" s="107">
        <v>1.74011299435028</v>
      </c>
      <c r="AQ443" s="107">
        <v>0.664599025254763</v>
      </c>
      <c r="AR443" s="107">
        <v>2.8597785977859802</v>
      </c>
      <c r="AS443" s="107">
        <v>2.2727272727272698</v>
      </c>
      <c r="AT443" s="107">
        <v>2.0689655172413799</v>
      </c>
      <c r="AU443" s="107">
        <v>1.96170014012144</v>
      </c>
      <c r="AV443" s="107">
        <v>1.0050251256281399</v>
      </c>
      <c r="AW443" s="107">
        <v>1.62070633768747</v>
      </c>
      <c r="AX443" s="107">
        <v>3.7735849056603801</v>
      </c>
      <c r="AY443" s="107">
        <v>0</v>
      </c>
      <c r="AZ443" s="107">
        <v>1.68834131873146</v>
      </c>
      <c r="BA443" s="107">
        <v>11.538461538461499</v>
      </c>
      <c r="BB443" s="107">
        <v>0</v>
      </c>
      <c r="BC443" s="107">
        <v>0.88691796008869195</v>
      </c>
      <c r="BD443" s="107">
        <v>1.8636711769211101</v>
      </c>
      <c r="BE443" s="107">
        <v>0</v>
      </c>
    </row>
    <row r="444" spans="2:57" ht="15" customHeight="1" x14ac:dyDescent="0.25">
      <c r="B444" s="91">
        <v>434</v>
      </c>
      <c r="C444" s="92" t="s">
        <v>504</v>
      </c>
      <c r="D444" s="92" t="s">
        <v>43</v>
      </c>
      <c r="E444" s="92" t="s">
        <v>366</v>
      </c>
      <c r="F444" s="92" t="s">
        <v>50</v>
      </c>
      <c r="G444" s="101" t="s">
        <v>501</v>
      </c>
      <c r="H444" s="94">
        <v>0</v>
      </c>
      <c r="I444" s="94">
        <v>0</v>
      </c>
      <c r="J444" s="94">
        <v>0</v>
      </c>
      <c r="K444" s="94">
        <v>0</v>
      </c>
      <c r="L444" s="94">
        <v>0</v>
      </c>
      <c r="M444" s="94">
        <v>0</v>
      </c>
      <c r="N444" s="94">
        <v>0</v>
      </c>
      <c r="O444" s="94">
        <v>0</v>
      </c>
      <c r="P444" s="94">
        <v>0</v>
      </c>
      <c r="Q444" s="95">
        <v>0</v>
      </c>
      <c r="R444" s="95">
        <v>0</v>
      </c>
      <c r="S444" s="95">
        <v>0</v>
      </c>
      <c r="T444" s="95">
        <v>0</v>
      </c>
      <c r="U444" s="95">
        <v>0</v>
      </c>
      <c r="V444" s="95">
        <v>0</v>
      </c>
      <c r="W444" s="95">
        <v>0</v>
      </c>
      <c r="X444" s="95">
        <v>0</v>
      </c>
      <c r="Y444" s="95">
        <v>0</v>
      </c>
      <c r="Z444" s="94">
        <v>0</v>
      </c>
      <c r="AA444" s="94">
        <v>0</v>
      </c>
      <c r="AB444" s="94">
        <v>0</v>
      </c>
      <c r="AC444" s="94">
        <v>0</v>
      </c>
      <c r="AD444" s="94">
        <v>0</v>
      </c>
      <c r="AE444" s="94">
        <v>0</v>
      </c>
      <c r="AF444" s="94">
        <v>0</v>
      </c>
      <c r="AG444" s="94">
        <v>0</v>
      </c>
      <c r="AH444" s="94">
        <v>0</v>
      </c>
      <c r="AI444" s="94">
        <v>0</v>
      </c>
      <c r="AJ444" s="94">
        <v>0</v>
      </c>
      <c r="AK444" s="94">
        <v>0</v>
      </c>
      <c r="AL444" s="94">
        <v>0</v>
      </c>
      <c r="AM444" s="94">
        <v>0</v>
      </c>
      <c r="AN444" s="94">
        <v>0</v>
      </c>
      <c r="AO444" s="94">
        <v>0</v>
      </c>
      <c r="AP444" s="95">
        <v>0</v>
      </c>
      <c r="AQ444" s="95">
        <v>0</v>
      </c>
      <c r="AR444" s="95">
        <v>0</v>
      </c>
      <c r="AS444" s="95">
        <v>0</v>
      </c>
      <c r="AT444" s="95">
        <v>0</v>
      </c>
      <c r="AU444" s="95">
        <v>0</v>
      </c>
      <c r="AV444" s="95">
        <v>0</v>
      </c>
      <c r="AW444" s="95">
        <v>0</v>
      </c>
      <c r="AX444" s="95">
        <v>0</v>
      </c>
      <c r="AY444" s="95">
        <v>0</v>
      </c>
      <c r="AZ444" s="95">
        <v>0</v>
      </c>
      <c r="BA444" s="95">
        <v>0</v>
      </c>
      <c r="BB444" s="95">
        <v>0</v>
      </c>
      <c r="BC444" s="95">
        <v>0</v>
      </c>
      <c r="BD444" s="95">
        <v>0</v>
      </c>
      <c r="BE444" s="95">
        <v>0</v>
      </c>
    </row>
    <row r="445" spans="2:57" ht="15" customHeight="1" x14ac:dyDescent="0.25">
      <c r="B445" s="91">
        <v>435</v>
      </c>
      <c r="C445" s="92" t="s">
        <v>504</v>
      </c>
      <c r="D445" s="92" t="s">
        <v>43</v>
      </c>
      <c r="E445" s="92" t="s">
        <v>366</v>
      </c>
      <c r="F445" s="92" t="s">
        <v>50</v>
      </c>
      <c r="G445" s="101" t="s">
        <v>502</v>
      </c>
      <c r="H445" s="94">
        <v>2617</v>
      </c>
      <c r="I445" s="94">
        <v>1421</v>
      </c>
      <c r="J445" s="94">
        <v>1196</v>
      </c>
      <c r="K445" s="94">
        <v>96</v>
      </c>
      <c r="L445" s="94">
        <v>468</v>
      </c>
      <c r="M445" s="94">
        <v>1276</v>
      </c>
      <c r="N445" s="94">
        <v>777</v>
      </c>
      <c r="O445" s="94">
        <v>2616</v>
      </c>
      <c r="P445" s="94">
        <v>1</v>
      </c>
      <c r="Q445" s="95">
        <v>0.44624746450304298</v>
      </c>
      <c r="R445" s="95">
        <v>0.75815011372251695</v>
      </c>
      <c r="S445" s="95">
        <v>8.7260034904014003E-2</v>
      </c>
      <c r="T445" s="95">
        <v>0</v>
      </c>
      <c r="U445" s="95">
        <v>0.45977011494252901</v>
      </c>
      <c r="V445" s="95">
        <v>0.66445182724252505</v>
      </c>
      <c r="W445" s="95">
        <v>0.13404825737265399</v>
      </c>
      <c r="X445" s="95">
        <v>0.44642857142857101</v>
      </c>
      <c r="Y445" s="95">
        <v>0</v>
      </c>
      <c r="Z445" s="94">
        <v>4548</v>
      </c>
      <c r="AA445" s="94">
        <v>2327</v>
      </c>
      <c r="AB445" s="94">
        <v>2221</v>
      </c>
      <c r="AC445" s="94">
        <v>226</v>
      </c>
      <c r="AD445" s="94">
        <v>903</v>
      </c>
      <c r="AE445" s="94">
        <v>2201</v>
      </c>
      <c r="AF445" s="94">
        <v>1218</v>
      </c>
      <c r="AG445" s="94">
        <v>4241</v>
      </c>
      <c r="AH445" s="94">
        <v>277</v>
      </c>
      <c r="AI445" s="94">
        <v>30</v>
      </c>
      <c r="AJ445" s="94">
        <v>4506</v>
      </c>
      <c r="AK445" s="94">
        <v>26</v>
      </c>
      <c r="AL445" s="94">
        <v>16</v>
      </c>
      <c r="AM445" s="94">
        <v>464</v>
      </c>
      <c r="AN445" s="94">
        <v>4025</v>
      </c>
      <c r="AO445" s="94">
        <v>59</v>
      </c>
      <c r="AP445" s="95">
        <v>1.74011299435028</v>
      </c>
      <c r="AQ445" s="95">
        <v>0.664599025254763</v>
      </c>
      <c r="AR445" s="95">
        <v>2.8597785977859802</v>
      </c>
      <c r="AS445" s="95">
        <v>2.2727272727272698</v>
      </c>
      <c r="AT445" s="95">
        <v>2.0689655172413799</v>
      </c>
      <c r="AU445" s="95">
        <v>1.96170014012144</v>
      </c>
      <c r="AV445" s="95">
        <v>1.0050251256281399</v>
      </c>
      <c r="AW445" s="95">
        <v>1.62070633768747</v>
      </c>
      <c r="AX445" s="95">
        <v>3.7735849056603801</v>
      </c>
      <c r="AY445" s="95">
        <v>0</v>
      </c>
      <c r="AZ445" s="95">
        <v>1.68834131873146</v>
      </c>
      <c r="BA445" s="95">
        <v>11.538461538461499</v>
      </c>
      <c r="BB445" s="95">
        <v>0</v>
      </c>
      <c r="BC445" s="95">
        <v>0.88691796008869195</v>
      </c>
      <c r="BD445" s="95">
        <v>1.8636711769211101</v>
      </c>
      <c r="BE445" s="95">
        <v>0</v>
      </c>
    </row>
    <row r="446" spans="2:57" ht="15" customHeight="1" x14ac:dyDescent="0.25">
      <c r="B446" s="96">
        <v>436</v>
      </c>
      <c r="C446" s="97" t="s">
        <v>504</v>
      </c>
      <c r="D446" s="104" t="s">
        <v>43</v>
      </c>
      <c r="E446" s="104" t="s">
        <v>366</v>
      </c>
      <c r="F446" s="104" t="s">
        <v>28</v>
      </c>
      <c r="G446" s="105" t="s">
        <v>28</v>
      </c>
      <c r="H446" s="106">
        <v>1518</v>
      </c>
      <c r="I446" s="106">
        <v>821</v>
      </c>
      <c r="J446" s="106">
        <v>697</v>
      </c>
      <c r="K446" s="106">
        <v>73</v>
      </c>
      <c r="L446" s="106">
        <v>494</v>
      </c>
      <c r="M446" s="106">
        <v>750</v>
      </c>
      <c r="N446" s="106">
        <v>201</v>
      </c>
      <c r="O446" s="106">
        <v>1510</v>
      </c>
      <c r="P446" s="106">
        <v>8</v>
      </c>
      <c r="Q446" s="107">
        <v>0.21097046413502099</v>
      </c>
      <c r="R446" s="107">
        <v>0.26109660574412502</v>
      </c>
      <c r="S446" s="107">
        <v>0.15243902439024401</v>
      </c>
      <c r="T446" s="107">
        <v>0</v>
      </c>
      <c r="U446" s="107">
        <v>0</v>
      </c>
      <c r="V446" s="107">
        <v>0.42796005706134099</v>
      </c>
      <c r="W446" s="107">
        <v>0</v>
      </c>
      <c r="X446" s="107">
        <v>0.212164073550212</v>
      </c>
      <c r="Y446" s="107">
        <v>0</v>
      </c>
      <c r="Z446" s="106">
        <v>3153</v>
      </c>
      <c r="AA446" s="106">
        <v>1668</v>
      </c>
      <c r="AB446" s="106">
        <v>1485</v>
      </c>
      <c r="AC446" s="106">
        <v>158</v>
      </c>
      <c r="AD446" s="106">
        <v>950</v>
      </c>
      <c r="AE446" s="106">
        <v>1682</v>
      </c>
      <c r="AF446" s="106">
        <v>363</v>
      </c>
      <c r="AG446" s="106">
        <v>2638</v>
      </c>
      <c r="AH446" s="106">
        <v>483</v>
      </c>
      <c r="AI446" s="106">
        <v>32</v>
      </c>
      <c r="AJ446" s="106">
        <v>3036</v>
      </c>
      <c r="AK446" s="106">
        <v>96</v>
      </c>
      <c r="AL446" s="106">
        <v>21</v>
      </c>
      <c r="AM446" s="106">
        <v>166</v>
      </c>
      <c r="AN446" s="106">
        <v>2953</v>
      </c>
      <c r="AO446" s="106">
        <v>34</v>
      </c>
      <c r="AP446" s="107">
        <v>0.91743119266055095</v>
      </c>
      <c r="AQ446" s="107">
        <v>0.55214723926380405</v>
      </c>
      <c r="AR446" s="107">
        <v>1.3361462728551301</v>
      </c>
      <c r="AS446" s="107">
        <v>0</v>
      </c>
      <c r="AT446" s="107">
        <v>0.99228224917309804</v>
      </c>
      <c r="AU446" s="107">
        <v>0.85626911314984699</v>
      </c>
      <c r="AV446" s="107">
        <v>1.3966480446927401</v>
      </c>
      <c r="AW446" s="107">
        <v>0.93676814988290402</v>
      </c>
      <c r="AX446" s="107">
        <v>0.86767895878524903</v>
      </c>
      <c r="AY446" s="107">
        <v>0</v>
      </c>
      <c r="AZ446" s="107">
        <v>0.952057123427406</v>
      </c>
      <c r="BA446" s="107">
        <v>0</v>
      </c>
      <c r="BB446" s="107">
        <v>0</v>
      </c>
      <c r="BC446" s="107">
        <v>0</v>
      </c>
      <c r="BD446" s="107">
        <v>0.97936341378104197</v>
      </c>
      <c r="BE446" s="107">
        <v>0</v>
      </c>
    </row>
    <row r="447" spans="2:57" ht="15" customHeight="1" x14ac:dyDescent="0.25">
      <c r="B447" s="91">
        <v>437</v>
      </c>
      <c r="C447" s="92" t="s">
        <v>504</v>
      </c>
      <c r="D447" s="92" t="s">
        <v>43</v>
      </c>
      <c r="E447" s="92" t="s">
        <v>366</v>
      </c>
      <c r="F447" s="92" t="s">
        <v>28</v>
      </c>
      <c r="G447" s="101" t="s">
        <v>501</v>
      </c>
      <c r="H447" s="94">
        <v>0</v>
      </c>
      <c r="I447" s="94">
        <v>0</v>
      </c>
      <c r="J447" s="94">
        <v>0</v>
      </c>
      <c r="K447" s="94">
        <v>0</v>
      </c>
      <c r="L447" s="94">
        <v>0</v>
      </c>
      <c r="M447" s="94">
        <v>0</v>
      </c>
      <c r="N447" s="94">
        <v>0</v>
      </c>
      <c r="O447" s="94">
        <v>0</v>
      </c>
      <c r="P447" s="94">
        <v>0</v>
      </c>
      <c r="Q447" s="95">
        <v>0</v>
      </c>
      <c r="R447" s="95">
        <v>0</v>
      </c>
      <c r="S447" s="95">
        <v>0</v>
      </c>
      <c r="T447" s="95">
        <v>0</v>
      </c>
      <c r="U447" s="95">
        <v>0</v>
      </c>
      <c r="V447" s="95">
        <v>0</v>
      </c>
      <c r="W447" s="95">
        <v>0</v>
      </c>
      <c r="X447" s="95">
        <v>0</v>
      </c>
      <c r="Y447" s="95">
        <v>0</v>
      </c>
      <c r="Z447" s="94">
        <v>0</v>
      </c>
      <c r="AA447" s="94">
        <v>0</v>
      </c>
      <c r="AB447" s="94">
        <v>0</v>
      </c>
      <c r="AC447" s="94">
        <v>0</v>
      </c>
      <c r="AD447" s="94">
        <v>0</v>
      </c>
      <c r="AE447" s="94">
        <v>0</v>
      </c>
      <c r="AF447" s="94">
        <v>0</v>
      </c>
      <c r="AG447" s="94">
        <v>0</v>
      </c>
      <c r="AH447" s="94">
        <v>0</v>
      </c>
      <c r="AI447" s="94">
        <v>0</v>
      </c>
      <c r="AJ447" s="94">
        <v>0</v>
      </c>
      <c r="AK447" s="94">
        <v>0</v>
      </c>
      <c r="AL447" s="94">
        <v>0</v>
      </c>
      <c r="AM447" s="94">
        <v>0</v>
      </c>
      <c r="AN447" s="94">
        <v>0</v>
      </c>
      <c r="AO447" s="94">
        <v>0</v>
      </c>
      <c r="AP447" s="95">
        <v>0</v>
      </c>
      <c r="AQ447" s="95">
        <v>0</v>
      </c>
      <c r="AR447" s="95">
        <v>0</v>
      </c>
      <c r="AS447" s="95">
        <v>0</v>
      </c>
      <c r="AT447" s="95">
        <v>0</v>
      </c>
      <c r="AU447" s="95">
        <v>0</v>
      </c>
      <c r="AV447" s="95">
        <v>0</v>
      </c>
      <c r="AW447" s="95">
        <v>0</v>
      </c>
      <c r="AX447" s="95">
        <v>0</v>
      </c>
      <c r="AY447" s="95">
        <v>0</v>
      </c>
      <c r="AZ447" s="95">
        <v>0</v>
      </c>
      <c r="BA447" s="95">
        <v>0</v>
      </c>
      <c r="BB447" s="95">
        <v>0</v>
      </c>
      <c r="BC447" s="95">
        <v>0</v>
      </c>
      <c r="BD447" s="95">
        <v>0</v>
      </c>
      <c r="BE447" s="95">
        <v>0</v>
      </c>
    </row>
    <row r="448" spans="2:57" ht="15" customHeight="1" x14ac:dyDescent="0.25">
      <c r="B448" s="91">
        <v>438</v>
      </c>
      <c r="C448" s="92" t="s">
        <v>504</v>
      </c>
      <c r="D448" s="92" t="s">
        <v>43</v>
      </c>
      <c r="E448" s="92" t="s">
        <v>366</v>
      </c>
      <c r="F448" s="92" t="s">
        <v>28</v>
      </c>
      <c r="G448" s="101" t="s">
        <v>502</v>
      </c>
      <c r="H448" s="94">
        <v>1518</v>
      </c>
      <c r="I448" s="94">
        <v>821</v>
      </c>
      <c r="J448" s="94">
        <v>697</v>
      </c>
      <c r="K448" s="94">
        <v>73</v>
      </c>
      <c r="L448" s="94">
        <v>494</v>
      </c>
      <c r="M448" s="94">
        <v>750</v>
      </c>
      <c r="N448" s="94">
        <v>201</v>
      </c>
      <c r="O448" s="94">
        <v>1510</v>
      </c>
      <c r="P448" s="94">
        <v>8</v>
      </c>
      <c r="Q448" s="95">
        <v>0.21097046413502099</v>
      </c>
      <c r="R448" s="95">
        <v>0.26109660574412502</v>
      </c>
      <c r="S448" s="95">
        <v>0.15243902439024401</v>
      </c>
      <c r="T448" s="95">
        <v>0</v>
      </c>
      <c r="U448" s="95">
        <v>0</v>
      </c>
      <c r="V448" s="95">
        <v>0.42796005706134099</v>
      </c>
      <c r="W448" s="95">
        <v>0</v>
      </c>
      <c r="X448" s="95">
        <v>0.212164073550212</v>
      </c>
      <c r="Y448" s="95">
        <v>0</v>
      </c>
      <c r="Z448" s="94">
        <v>3153</v>
      </c>
      <c r="AA448" s="94">
        <v>1668</v>
      </c>
      <c r="AB448" s="94">
        <v>1485</v>
      </c>
      <c r="AC448" s="94">
        <v>158</v>
      </c>
      <c r="AD448" s="94">
        <v>950</v>
      </c>
      <c r="AE448" s="94">
        <v>1682</v>
      </c>
      <c r="AF448" s="94">
        <v>363</v>
      </c>
      <c r="AG448" s="94">
        <v>2638</v>
      </c>
      <c r="AH448" s="94">
        <v>483</v>
      </c>
      <c r="AI448" s="94">
        <v>32</v>
      </c>
      <c r="AJ448" s="94">
        <v>3036</v>
      </c>
      <c r="AK448" s="94">
        <v>96</v>
      </c>
      <c r="AL448" s="94">
        <v>21</v>
      </c>
      <c r="AM448" s="94">
        <v>166</v>
      </c>
      <c r="AN448" s="94">
        <v>2953</v>
      </c>
      <c r="AO448" s="94">
        <v>34</v>
      </c>
      <c r="AP448" s="95">
        <v>0.91743119266055095</v>
      </c>
      <c r="AQ448" s="95">
        <v>0.55214723926380405</v>
      </c>
      <c r="AR448" s="95">
        <v>1.3361462728551301</v>
      </c>
      <c r="AS448" s="95">
        <v>0</v>
      </c>
      <c r="AT448" s="95">
        <v>0.99228224917309804</v>
      </c>
      <c r="AU448" s="95">
        <v>0.85626911314984699</v>
      </c>
      <c r="AV448" s="95">
        <v>1.3966480446927401</v>
      </c>
      <c r="AW448" s="95">
        <v>0.93676814988290402</v>
      </c>
      <c r="AX448" s="95">
        <v>0.86767895878524903</v>
      </c>
      <c r="AY448" s="95">
        <v>0</v>
      </c>
      <c r="AZ448" s="95">
        <v>0.952057123427406</v>
      </c>
      <c r="BA448" s="95">
        <v>0</v>
      </c>
      <c r="BB448" s="95">
        <v>0</v>
      </c>
      <c r="BC448" s="95">
        <v>0</v>
      </c>
      <c r="BD448" s="95">
        <v>0.97936341378104197</v>
      </c>
      <c r="BE448" s="95">
        <v>0</v>
      </c>
    </row>
    <row r="449" spans="2:57" ht="15" customHeight="1" x14ac:dyDescent="0.25">
      <c r="B449" s="86">
        <v>439</v>
      </c>
      <c r="C449" s="87" t="s">
        <v>503</v>
      </c>
      <c r="D449" s="103" t="s">
        <v>43</v>
      </c>
      <c r="E449" s="103" t="s">
        <v>260</v>
      </c>
      <c r="F449" s="103"/>
      <c r="G449" s="88" t="s">
        <v>260</v>
      </c>
      <c r="H449" s="89">
        <v>34631</v>
      </c>
      <c r="I449" s="89">
        <v>19579</v>
      </c>
      <c r="J449" s="89">
        <v>15052</v>
      </c>
      <c r="K449" s="89">
        <v>2964</v>
      </c>
      <c r="L449" s="89">
        <v>10874</v>
      </c>
      <c r="M449" s="89">
        <v>17043</v>
      </c>
      <c r="N449" s="89">
        <v>3750</v>
      </c>
      <c r="O449" s="89">
        <v>34583</v>
      </c>
      <c r="P449" s="89">
        <v>48</v>
      </c>
      <c r="Q449" s="90">
        <v>0.79312821740691997</v>
      </c>
      <c r="R449" s="90">
        <v>0.46615107532577599</v>
      </c>
      <c r="S449" s="90">
        <v>1.2178340443098901</v>
      </c>
      <c r="T449" s="90">
        <v>1.1223750905141201</v>
      </c>
      <c r="U449" s="90">
        <v>0.99616858237547901</v>
      </c>
      <c r="V449" s="90">
        <v>0.68765834238146895</v>
      </c>
      <c r="W449" s="90">
        <v>0.44052863436123402</v>
      </c>
      <c r="X449" s="90">
        <v>0.79120088710402503</v>
      </c>
      <c r="Y449" s="90">
        <v>2.2222222222222201</v>
      </c>
      <c r="Z449" s="89">
        <v>41904</v>
      </c>
      <c r="AA449" s="89">
        <v>23295</v>
      </c>
      <c r="AB449" s="89">
        <v>18609</v>
      </c>
      <c r="AC449" s="89">
        <v>2440</v>
      </c>
      <c r="AD449" s="89">
        <v>12495</v>
      </c>
      <c r="AE449" s="89">
        <v>21555</v>
      </c>
      <c r="AF449" s="89">
        <v>5414</v>
      </c>
      <c r="AG449" s="89">
        <v>28427</v>
      </c>
      <c r="AH449" s="89">
        <v>13162</v>
      </c>
      <c r="AI449" s="89">
        <v>315</v>
      </c>
      <c r="AJ449" s="89">
        <v>41666</v>
      </c>
      <c r="AK449" s="89">
        <v>107</v>
      </c>
      <c r="AL449" s="89">
        <v>131</v>
      </c>
      <c r="AM449" s="89">
        <v>2066</v>
      </c>
      <c r="AN449" s="89">
        <v>39373</v>
      </c>
      <c r="AO449" s="89">
        <v>465</v>
      </c>
      <c r="AP449" s="90">
        <v>3.4461462450592899</v>
      </c>
      <c r="AQ449" s="90">
        <v>1.53246523164142</v>
      </c>
      <c r="AR449" s="90">
        <v>5.8596804826276401</v>
      </c>
      <c r="AS449" s="90">
        <v>4.7762478485370101</v>
      </c>
      <c r="AT449" s="90">
        <v>4.40831377807576</v>
      </c>
      <c r="AU449" s="90">
        <v>3.0931777979633801</v>
      </c>
      <c r="AV449" s="90">
        <v>2.0915771622385502</v>
      </c>
      <c r="AW449" s="90">
        <v>2.8018413135669999</v>
      </c>
      <c r="AX449" s="90">
        <v>4.9059299833293597</v>
      </c>
      <c r="AY449" s="90">
        <v>1.3605442176870699</v>
      </c>
      <c r="AZ449" s="90">
        <v>3.4477619355159201</v>
      </c>
      <c r="BA449" s="90">
        <v>6.3157894736842097</v>
      </c>
      <c r="BB449" s="90">
        <v>0.78740157480314998</v>
      </c>
      <c r="BC449" s="90">
        <v>3.2835820895522398</v>
      </c>
      <c r="BD449" s="90">
        <v>3.4665053523053002</v>
      </c>
      <c r="BE449" s="90">
        <v>2.4498886414253902</v>
      </c>
    </row>
    <row r="450" spans="2:57" ht="15" customHeight="1" x14ac:dyDescent="0.25">
      <c r="B450" s="91">
        <v>440</v>
      </c>
      <c r="C450" s="92" t="s">
        <v>503</v>
      </c>
      <c r="D450" s="92" t="s">
        <v>43</v>
      </c>
      <c r="E450" s="92" t="s">
        <v>260</v>
      </c>
      <c r="F450" s="92"/>
      <c r="G450" s="93" t="s">
        <v>501</v>
      </c>
      <c r="H450" s="94">
        <v>6938</v>
      </c>
      <c r="I450" s="94">
        <v>3885</v>
      </c>
      <c r="J450" s="94">
        <v>3053</v>
      </c>
      <c r="K450" s="94">
        <v>508</v>
      </c>
      <c r="L450" s="94">
        <v>2181</v>
      </c>
      <c r="M450" s="94">
        <v>3675</v>
      </c>
      <c r="N450" s="94">
        <v>574</v>
      </c>
      <c r="O450" s="94">
        <v>6909</v>
      </c>
      <c r="P450" s="94">
        <v>29</v>
      </c>
      <c r="Q450" s="95">
        <v>3.2278088144009902</v>
      </c>
      <c r="R450" s="95">
        <v>2.05669816564758</v>
      </c>
      <c r="S450" s="95">
        <v>4.7083626141953596</v>
      </c>
      <c r="T450" s="95">
        <v>5.3932584269662902</v>
      </c>
      <c r="U450" s="95">
        <v>3.8364462392730898</v>
      </c>
      <c r="V450" s="95">
        <v>2.6731819488358699</v>
      </c>
      <c r="W450" s="95">
        <v>2.7829313543599299</v>
      </c>
      <c r="X450" s="95">
        <v>3.2258064516128999</v>
      </c>
      <c r="Y450" s="95">
        <v>3.7037037037037002</v>
      </c>
      <c r="Z450" s="94">
        <v>11819</v>
      </c>
      <c r="AA450" s="94">
        <v>6362</v>
      </c>
      <c r="AB450" s="94">
        <v>5457</v>
      </c>
      <c r="AC450" s="94">
        <v>674</v>
      </c>
      <c r="AD450" s="94">
        <v>3803</v>
      </c>
      <c r="AE450" s="94">
        <v>6131</v>
      </c>
      <c r="AF450" s="94">
        <v>1211</v>
      </c>
      <c r="AG450" s="94">
        <v>6769</v>
      </c>
      <c r="AH450" s="94">
        <v>4971</v>
      </c>
      <c r="AI450" s="94">
        <v>79</v>
      </c>
      <c r="AJ450" s="94">
        <v>11749</v>
      </c>
      <c r="AK450" s="94">
        <v>43</v>
      </c>
      <c r="AL450" s="94">
        <v>27</v>
      </c>
      <c r="AM450" s="94">
        <v>676</v>
      </c>
      <c r="AN450" s="94">
        <v>10991</v>
      </c>
      <c r="AO450" s="94">
        <v>152</v>
      </c>
      <c r="AP450" s="95">
        <v>8.7621945762105096</v>
      </c>
      <c r="AQ450" s="95">
        <v>4.0816326530612201</v>
      </c>
      <c r="AR450" s="95">
        <v>14.2440730664594</v>
      </c>
      <c r="AS450" s="95">
        <v>13.166144200627</v>
      </c>
      <c r="AT450" s="95">
        <v>9.9716713881019796</v>
      </c>
      <c r="AU450" s="95">
        <v>7.9506511309115799</v>
      </c>
      <c r="AV450" s="95">
        <v>6.7579127459367001</v>
      </c>
      <c r="AW450" s="95">
        <v>7.9695510330899504</v>
      </c>
      <c r="AX450" s="95">
        <v>9.9506755307741805</v>
      </c>
      <c r="AY450" s="95">
        <v>2.7397260273972601</v>
      </c>
      <c r="AZ450" s="95">
        <v>8.7774576881526798</v>
      </c>
      <c r="BA450" s="95">
        <v>7.6923076923076898</v>
      </c>
      <c r="BB450" s="95">
        <v>3.8461538461538498</v>
      </c>
      <c r="BC450" s="95">
        <v>8.6419753086419693</v>
      </c>
      <c r="BD450" s="95">
        <v>8.8045467681340899</v>
      </c>
      <c r="BE450" s="95">
        <v>6.25</v>
      </c>
    </row>
    <row r="451" spans="2:57" ht="15" customHeight="1" x14ac:dyDescent="0.25">
      <c r="B451" s="91">
        <v>441</v>
      </c>
      <c r="C451" s="92" t="s">
        <v>503</v>
      </c>
      <c r="D451" s="92" t="s">
        <v>43</v>
      </c>
      <c r="E451" s="92" t="s">
        <v>260</v>
      </c>
      <c r="F451" s="92"/>
      <c r="G451" s="93" t="s">
        <v>502</v>
      </c>
      <c r="H451" s="94">
        <v>27693</v>
      </c>
      <c r="I451" s="94">
        <v>15694</v>
      </c>
      <c r="J451" s="94">
        <v>11999</v>
      </c>
      <c r="K451" s="94">
        <v>2456</v>
      </c>
      <c r="L451" s="94">
        <v>8693</v>
      </c>
      <c r="M451" s="94">
        <v>13368</v>
      </c>
      <c r="N451" s="94">
        <v>3176</v>
      </c>
      <c r="O451" s="94">
        <v>27674</v>
      </c>
      <c r="P451" s="94">
        <v>19</v>
      </c>
      <c r="Q451" s="95">
        <v>0.211361613764462</v>
      </c>
      <c r="R451" s="95">
        <v>9.1623036649214701E-2</v>
      </c>
      <c r="S451" s="95">
        <v>0.367898699520876</v>
      </c>
      <c r="T451" s="95">
        <v>0.30211480362537801</v>
      </c>
      <c r="U451" s="95">
        <v>0.33100839342711902</v>
      </c>
      <c r="V451" s="95">
        <v>0.16031758149477099</v>
      </c>
      <c r="W451" s="95">
        <v>3.2331070158422202E-2</v>
      </c>
      <c r="X451" s="95">
        <v>0.21150278293135399</v>
      </c>
      <c r="Y451" s="95">
        <v>0</v>
      </c>
      <c r="Z451" s="94">
        <v>30085</v>
      </c>
      <c r="AA451" s="94">
        <v>16933</v>
      </c>
      <c r="AB451" s="94">
        <v>13152</v>
      </c>
      <c r="AC451" s="94">
        <v>1766</v>
      </c>
      <c r="AD451" s="94">
        <v>8692</v>
      </c>
      <c r="AE451" s="94">
        <v>15424</v>
      </c>
      <c r="AF451" s="94">
        <v>4203</v>
      </c>
      <c r="AG451" s="94">
        <v>21658</v>
      </c>
      <c r="AH451" s="94">
        <v>8191</v>
      </c>
      <c r="AI451" s="94">
        <v>236</v>
      </c>
      <c r="AJ451" s="94">
        <v>29917</v>
      </c>
      <c r="AK451" s="94">
        <v>64</v>
      </c>
      <c r="AL451" s="94">
        <v>104</v>
      </c>
      <c r="AM451" s="94">
        <v>1390</v>
      </c>
      <c r="AN451" s="94">
        <v>28382</v>
      </c>
      <c r="AO451" s="94">
        <v>313</v>
      </c>
      <c r="AP451" s="95">
        <v>1.4194561026376</v>
      </c>
      <c r="AQ451" s="95">
        <v>0.60419310011479699</v>
      </c>
      <c r="AR451" s="95">
        <v>2.47726560050172</v>
      </c>
      <c r="AS451" s="95">
        <v>1.6014234875444799</v>
      </c>
      <c r="AT451" s="95">
        <v>2.0709354915496299</v>
      </c>
      <c r="AU451" s="95">
        <v>1.2134473841257201</v>
      </c>
      <c r="AV451" s="95">
        <v>0.77332044465925598</v>
      </c>
      <c r="AW451" s="95">
        <v>1.22919818456884</v>
      </c>
      <c r="AX451" s="95">
        <v>1.94101336022183</v>
      </c>
      <c r="AY451" s="95">
        <v>0.90497737556561098</v>
      </c>
      <c r="AZ451" s="95">
        <v>1.4168096054888499</v>
      </c>
      <c r="BA451" s="95">
        <v>5.3571428571428603</v>
      </c>
      <c r="BB451" s="95">
        <v>0</v>
      </c>
      <c r="BC451" s="95">
        <v>0.73421439060205596</v>
      </c>
      <c r="BD451" s="95">
        <v>1.4616497829232999</v>
      </c>
      <c r="BE451" s="95">
        <v>0.65573770491803296</v>
      </c>
    </row>
    <row r="452" spans="2:57" ht="15" customHeight="1" x14ac:dyDescent="0.25">
      <c r="B452" s="96">
        <v>442</v>
      </c>
      <c r="C452" s="97" t="s">
        <v>504</v>
      </c>
      <c r="D452" s="104" t="s">
        <v>43</v>
      </c>
      <c r="E452" s="104" t="s">
        <v>260</v>
      </c>
      <c r="F452" s="104" t="s">
        <v>260</v>
      </c>
      <c r="G452" s="105" t="s">
        <v>260</v>
      </c>
      <c r="H452" s="106">
        <v>28173</v>
      </c>
      <c r="I452" s="106">
        <v>15650</v>
      </c>
      <c r="J452" s="106">
        <v>12523</v>
      </c>
      <c r="K452" s="106">
        <v>2429</v>
      </c>
      <c r="L452" s="106">
        <v>8813</v>
      </c>
      <c r="M452" s="106">
        <v>13854</v>
      </c>
      <c r="N452" s="106">
        <v>3077</v>
      </c>
      <c r="O452" s="106">
        <v>28134</v>
      </c>
      <c r="P452" s="106">
        <v>39</v>
      </c>
      <c r="Q452" s="107">
        <v>0.90379223845359302</v>
      </c>
      <c r="R452" s="107">
        <v>0.57188455911690395</v>
      </c>
      <c r="S452" s="107">
        <v>1.3173156586578301</v>
      </c>
      <c r="T452" s="107">
        <v>1.2883163038649501</v>
      </c>
      <c r="U452" s="107">
        <v>1.10359558561766</v>
      </c>
      <c r="V452" s="107">
        <v>0.79524340393905601</v>
      </c>
      <c r="W452" s="107">
        <v>0.53781512605042003</v>
      </c>
      <c r="X452" s="107">
        <v>0.90133353034612695</v>
      </c>
      <c r="Y452" s="107">
        <v>2.7027027027027</v>
      </c>
      <c r="Z452" s="106">
        <v>35350</v>
      </c>
      <c r="AA452" s="106">
        <v>19448</v>
      </c>
      <c r="AB452" s="106">
        <v>15902</v>
      </c>
      <c r="AC452" s="106">
        <v>2051</v>
      </c>
      <c r="AD452" s="106">
        <v>10733</v>
      </c>
      <c r="AE452" s="106">
        <v>18079</v>
      </c>
      <c r="AF452" s="106">
        <v>4487</v>
      </c>
      <c r="AG452" s="106">
        <v>23798</v>
      </c>
      <c r="AH452" s="106">
        <v>11266</v>
      </c>
      <c r="AI452" s="106">
        <v>286</v>
      </c>
      <c r="AJ452" s="106">
        <v>35144</v>
      </c>
      <c r="AK452" s="106">
        <v>91</v>
      </c>
      <c r="AL452" s="106">
        <v>115</v>
      </c>
      <c r="AM452" s="106">
        <v>1762</v>
      </c>
      <c r="AN452" s="106">
        <v>33175</v>
      </c>
      <c r="AO452" s="106">
        <v>413</v>
      </c>
      <c r="AP452" s="107">
        <v>3.8628625102735699</v>
      </c>
      <c r="AQ452" s="107">
        <v>1.75970228601808</v>
      </c>
      <c r="AR452" s="107">
        <v>6.45562983352995</v>
      </c>
      <c r="AS452" s="107">
        <v>5.4358974358974397</v>
      </c>
      <c r="AT452" s="107">
        <v>4.9143416544297596</v>
      </c>
      <c r="AU452" s="107">
        <v>3.4435497687168102</v>
      </c>
      <c r="AV452" s="107">
        <v>2.3907103825136602</v>
      </c>
      <c r="AW452" s="107">
        <v>3.1441085910056801</v>
      </c>
      <c r="AX452" s="107">
        <v>5.4635145197319401</v>
      </c>
      <c r="AY452" s="107">
        <v>1.5094339622641499</v>
      </c>
      <c r="AZ452" s="107">
        <v>3.8643207179547701</v>
      </c>
      <c r="BA452" s="107">
        <v>7.3170731707317103</v>
      </c>
      <c r="BB452" s="107">
        <v>0.89285714285714302</v>
      </c>
      <c r="BC452" s="107">
        <v>3.6842105263157898</v>
      </c>
      <c r="BD452" s="107">
        <v>3.8861076345431802</v>
      </c>
      <c r="BE452" s="107">
        <v>2.7638190954773898</v>
      </c>
    </row>
    <row r="453" spans="2:57" ht="15" customHeight="1" x14ac:dyDescent="0.25">
      <c r="B453" s="91">
        <v>443</v>
      </c>
      <c r="C453" s="92" t="s">
        <v>504</v>
      </c>
      <c r="D453" s="92" t="s">
        <v>43</v>
      </c>
      <c r="E453" s="92" t="s">
        <v>260</v>
      </c>
      <c r="F453" s="92" t="s">
        <v>260</v>
      </c>
      <c r="G453" s="101" t="s">
        <v>501</v>
      </c>
      <c r="H453" s="94">
        <v>6938</v>
      </c>
      <c r="I453" s="94">
        <v>3885</v>
      </c>
      <c r="J453" s="94">
        <v>3053</v>
      </c>
      <c r="K453" s="94">
        <v>508</v>
      </c>
      <c r="L453" s="94">
        <v>2181</v>
      </c>
      <c r="M453" s="94">
        <v>3675</v>
      </c>
      <c r="N453" s="94">
        <v>574</v>
      </c>
      <c r="O453" s="94">
        <v>6909</v>
      </c>
      <c r="P453" s="94">
        <v>29</v>
      </c>
      <c r="Q453" s="95">
        <v>3.2278088144009902</v>
      </c>
      <c r="R453" s="95">
        <v>2.05669816564758</v>
      </c>
      <c r="S453" s="95">
        <v>4.7083626141953596</v>
      </c>
      <c r="T453" s="95">
        <v>5.3932584269662902</v>
      </c>
      <c r="U453" s="95">
        <v>3.8364462392730898</v>
      </c>
      <c r="V453" s="95">
        <v>2.6731819488358699</v>
      </c>
      <c r="W453" s="95">
        <v>2.7829313543599299</v>
      </c>
      <c r="X453" s="95">
        <v>3.2258064516128999</v>
      </c>
      <c r="Y453" s="95">
        <v>3.7037037037037002</v>
      </c>
      <c r="Z453" s="94">
        <v>11819</v>
      </c>
      <c r="AA453" s="94">
        <v>6362</v>
      </c>
      <c r="AB453" s="94">
        <v>5457</v>
      </c>
      <c r="AC453" s="94">
        <v>674</v>
      </c>
      <c r="AD453" s="94">
        <v>3803</v>
      </c>
      <c r="AE453" s="94">
        <v>6131</v>
      </c>
      <c r="AF453" s="94">
        <v>1211</v>
      </c>
      <c r="AG453" s="94">
        <v>6769</v>
      </c>
      <c r="AH453" s="94">
        <v>4971</v>
      </c>
      <c r="AI453" s="94">
        <v>79</v>
      </c>
      <c r="AJ453" s="94">
        <v>11749</v>
      </c>
      <c r="AK453" s="94">
        <v>43</v>
      </c>
      <c r="AL453" s="94">
        <v>27</v>
      </c>
      <c r="AM453" s="94">
        <v>676</v>
      </c>
      <c r="AN453" s="94">
        <v>10991</v>
      </c>
      <c r="AO453" s="94">
        <v>152</v>
      </c>
      <c r="AP453" s="95">
        <v>8.7621945762105096</v>
      </c>
      <c r="AQ453" s="95">
        <v>4.0816326530612201</v>
      </c>
      <c r="AR453" s="95">
        <v>14.2440730664594</v>
      </c>
      <c r="AS453" s="95">
        <v>13.166144200627</v>
      </c>
      <c r="AT453" s="95">
        <v>9.9716713881019796</v>
      </c>
      <c r="AU453" s="95">
        <v>7.9506511309115799</v>
      </c>
      <c r="AV453" s="95">
        <v>6.7579127459367001</v>
      </c>
      <c r="AW453" s="95">
        <v>7.9695510330899504</v>
      </c>
      <c r="AX453" s="95">
        <v>9.9506755307741805</v>
      </c>
      <c r="AY453" s="95">
        <v>2.7397260273972601</v>
      </c>
      <c r="AZ453" s="95">
        <v>8.7774576881526798</v>
      </c>
      <c r="BA453" s="95">
        <v>7.6923076923076898</v>
      </c>
      <c r="BB453" s="95">
        <v>3.8461538461538498</v>
      </c>
      <c r="BC453" s="95">
        <v>8.6419753086419693</v>
      </c>
      <c r="BD453" s="95">
        <v>8.8045467681340899</v>
      </c>
      <c r="BE453" s="95">
        <v>6.25</v>
      </c>
    </row>
    <row r="454" spans="2:57" ht="15" customHeight="1" x14ac:dyDescent="0.25">
      <c r="B454" s="91">
        <v>444</v>
      </c>
      <c r="C454" s="92" t="s">
        <v>504</v>
      </c>
      <c r="D454" s="92" t="s">
        <v>43</v>
      </c>
      <c r="E454" s="92" t="s">
        <v>260</v>
      </c>
      <c r="F454" s="92" t="s">
        <v>260</v>
      </c>
      <c r="G454" s="101" t="s">
        <v>502</v>
      </c>
      <c r="H454" s="94">
        <v>21235</v>
      </c>
      <c r="I454" s="94">
        <v>11765</v>
      </c>
      <c r="J454" s="94">
        <v>9470</v>
      </c>
      <c r="K454" s="94">
        <v>1921</v>
      </c>
      <c r="L454" s="94">
        <v>6632</v>
      </c>
      <c r="M454" s="94">
        <v>10179</v>
      </c>
      <c r="N454" s="94">
        <v>2503</v>
      </c>
      <c r="O454" s="94">
        <v>21225</v>
      </c>
      <c r="P454" s="94">
        <v>10</v>
      </c>
      <c r="Q454" s="95">
        <v>0.17905536198219099</v>
      </c>
      <c r="R454" s="95">
        <v>0.10489510489510501</v>
      </c>
      <c r="S454" s="95">
        <v>0.27103209019947999</v>
      </c>
      <c r="T454" s="95">
        <v>0.27685492801771899</v>
      </c>
      <c r="U454" s="95">
        <v>0.26372944461681702</v>
      </c>
      <c r="V454" s="95">
        <v>0.14033680834001599</v>
      </c>
      <c r="W454" s="95">
        <v>4.1050903119868601E-2</v>
      </c>
      <c r="X454" s="95">
        <v>0.179142054807785</v>
      </c>
      <c r="Y454" s="95">
        <v>0</v>
      </c>
      <c r="Z454" s="94">
        <v>23531</v>
      </c>
      <c r="AA454" s="94">
        <v>13086</v>
      </c>
      <c r="AB454" s="94">
        <v>10445</v>
      </c>
      <c r="AC454" s="94">
        <v>1377</v>
      </c>
      <c r="AD454" s="94">
        <v>6930</v>
      </c>
      <c r="AE454" s="94">
        <v>11948</v>
      </c>
      <c r="AF454" s="94">
        <v>3276</v>
      </c>
      <c r="AG454" s="94">
        <v>17029</v>
      </c>
      <c r="AH454" s="94">
        <v>6295</v>
      </c>
      <c r="AI454" s="94">
        <v>207</v>
      </c>
      <c r="AJ454" s="94">
        <v>23395</v>
      </c>
      <c r="AK454" s="94">
        <v>48</v>
      </c>
      <c r="AL454" s="94">
        <v>88</v>
      </c>
      <c r="AM454" s="94">
        <v>1086</v>
      </c>
      <c r="AN454" s="94">
        <v>22184</v>
      </c>
      <c r="AO454" s="94">
        <v>261</v>
      </c>
      <c r="AP454" s="95">
        <v>1.4719371041712199</v>
      </c>
      <c r="AQ454" s="95">
        <v>0.66494563091605996</v>
      </c>
      <c r="AR454" s="95">
        <v>2.49208860759494</v>
      </c>
      <c r="AS454" s="95">
        <v>1.67682926829268</v>
      </c>
      <c r="AT454" s="95">
        <v>2.2438294689603602</v>
      </c>
      <c r="AU454" s="95">
        <v>1.19057815845824</v>
      </c>
      <c r="AV454" s="95">
        <v>0.80670183059261602</v>
      </c>
      <c r="AW454" s="95">
        <v>1.2754181205631101</v>
      </c>
      <c r="AX454" s="95">
        <v>2.0226936359151502</v>
      </c>
      <c r="AY454" s="95">
        <v>1.0416666666666701</v>
      </c>
      <c r="AZ454" s="95">
        <v>1.4671000614952101</v>
      </c>
      <c r="BA454" s="95">
        <v>6.9767441860465098</v>
      </c>
      <c r="BB454" s="95">
        <v>0</v>
      </c>
      <c r="BC454" s="95">
        <v>0.65913370998116805</v>
      </c>
      <c r="BD454" s="95">
        <v>1.5199962926919699</v>
      </c>
      <c r="BE454" s="95">
        <v>0.78740157480314998</v>
      </c>
    </row>
    <row r="455" spans="2:57" ht="15" customHeight="1" x14ac:dyDescent="0.25">
      <c r="B455" s="96">
        <v>445</v>
      </c>
      <c r="C455" s="97" t="s">
        <v>504</v>
      </c>
      <c r="D455" s="104" t="s">
        <v>43</v>
      </c>
      <c r="E455" s="104" t="s">
        <v>260</v>
      </c>
      <c r="F455" s="104" t="s">
        <v>185</v>
      </c>
      <c r="G455" s="105" t="s">
        <v>185</v>
      </c>
      <c r="H455" s="106">
        <v>6458</v>
      </c>
      <c r="I455" s="106">
        <v>3929</v>
      </c>
      <c r="J455" s="106">
        <v>2529</v>
      </c>
      <c r="K455" s="106">
        <v>535</v>
      </c>
      <c r="L455" s="106">
        <v>2061</v>
      </c>
      <c r="M455" s="106">
        <v>3189</v>
      </c>
      <c r="N455" s="106">
        <v>673</v>
      </c>
      <c r="O455" s="106">
        <v>6449</v>
      </c>
      <c r="P455" s="106">
        <v>9</v>
      </c>
      <c r="Q455" s="107">
        <v>0.31725888324873103</v>
      </c>
      <c r="R455" s="107">
        <v>5.2083333333333301E-2</v>
      </c>
      <c r="S455" s="107">
        <v>0.73051948051948001</v>
      </c>
      <c r="T455" s="107">
        <v>0.39138943248532299</v>
      </c>
      <c r="U455" s="107">
        <v>0.54644808743169404</v>
      </c>
      <c r="V455" s="107">
        <v>0.22414345180915801</v>
      </c>
      <c r="W455" s="107">
        <v>0</v>
      </c>
      <c r="X455" s="107">
        <v>0.31766200762388802</v>
      </c>
      <c r="Y455" s="107">
        <v>0</v>
      </c>
      <c r="Z455" s="106">
        <v>6554</v>
      </c>
      <c r="AA455" s="106">
        <v>3847</v>
      </c>
      <c r="AB455" s="106">
        <v>2707</v>
      </c>
      <c r="AC455" s="106">
        <v>389</v>
      </c>
      <c r="AD455" s="106">
        <v>1762</v>
      </c>
      <c r="AE455" s="106">
        <v>3476</v>
      </c>
      <c r="AF455" s="106">
        <v>927</v>
      </c>
      <c r="AG455" s="106">
        <v>4629</v>
      </c>
      <c r="AH455" s="106">
        <v>1896</v>
      </c>
      <c r="AI455" s="106">
        <v>29</v>
      </c>
      <c r="AJ455" s="106">
        <v>6522</v>
      </c>
      <c r="AK455" s="106">
        <v>16</v>
      </c>
      <c r="AL455" s="106">
        <v>16</v>
      </c>
      <c r="AM455" s="106">
        <v>304</v>
      </c>
      <c r="AN455" s="106">
        <v>6198</v>
      </c>
      <c r="AO455" s="106">
        <v>52</v>
      </c>
      <c r="AP455" s="107">
        <v>1.2320648783530901</v>
      </c>
      <c r="AQ455" s="107">
        <v>0.39808917197452198</v>
      </c>
      <c r="AR455" s="107">
        <v>2.4205748865355501</v>
      </c>
      <c r="AS455" s="107">
        <v>1.33689839572193</v>
      </c>
      <c r="AT455" s="107">
        <v>1.3977868375072799</v>
      </c>
      <c r="AU455" s="107">
        <v>1.2918379330593099</v>
      </c>
      <c r="AV455" s="107">
        <v>0.65573770491803296</v>
      </c>
      <c r="AW455" s="107">
        <v>1.0596026490066199</v>
      </c>
      <c r="AX455" s="107">
        <v>1.67296276308689</v>
      </c>
      <c r="AY455" s="107">
        <v>0</v>
      </c>
      <c r="AZ455" s="107">
        <v>1.2374686716792</v>
      </c>
      <c r="BA455" s="107">
        <v>0</v>
      </c>
      <c r="BB455" s="107">
        <v>0</v>
      </c>
      <c r="BC455" s="107">
        <v>1</v>
      </c>
      <c r="BD455" s="107">
        <v>1.25391849529781</v>
      </c>
      <c r="BE455" s="107">
        <v>0</v>
      </c>
    </row>
    <row r="456" spans="2:57" ht="15" customHeight="1" x14ac:dyDescent="0.25">
      <c r="B456" s="91">
        <v>446</v>
      </c>
      <c r="C456" s="92" t="s">
        <v>504</v>
      </c>
      <c r="D456" s="92" t="s">
        <v>43</v>
      </c>
      <c r="E456" s="92" t="s">
        <v>260</v>
      </c>
      <c r="F456" s="92" t="s">
        <v>185</v>
      </c>
      <c r="G456" s="101" t="s">
        <v>501</v>
      </c>
      <c r="H456" s="94">
        <v>0</v>
      </c>
      <c r="I456" s="94">
        <v>0</v>
      </c>
      <c r="J456" s="94">
        <v>0</v>
      </c>
      <c r="K456" s="94">
        <v>0</v>
      </c>
      <c r="L456" s="94">
        <v>0</v>
      </c>
      <c r="M456" s="94">
        <v>0</v>
      </c>
      <c r="N456" s="94">
        <v>0</v>
      </c>
      <c r="O456" s="94">
        <v>0</v>
      </c>
      <c r="P456" s="94">
        <v>0</v>
      </c>
      <c r="Q456" s="95">
        <v>0</v>
      </c>
      <c r="R456" s="95">
        <v>0</v>
      </c>
      <c r="S456" s="95">
        <v>0</v>
      </c>
      <c r="T456" s="95">
        <v>0</v>
      </c>
      <c r="U456" s="95">
        <v>0</v>
      </c>
      <c r="V456" s="95">
        <v>0</v>
      </c>
      <c r="W456" s="95">
        <v>0</v>
      </c>
      <c r="X456" s="95">
        <v>0</v>
      </c>
      <c r="Y456" s="95">
        <v>0</v>
      </c>
      <c r="Z456" s="94">
        <v>0</v>
      </c>
      <c r="AA456" s="94">
        <v>0</v>
      </c>
      <c r="AB456" s="94">
        <v>0</v>
      </c>
      <c r="AC456" s="94">
        <v>0</v>
      </c>
      <c r="AD456" s="94">
        <v>0</v>
      </c>
      <c r="AE456" s="94">
        <v>0</v>
      </c>
      <c r="AF456" s="94">
        <v>0</v>
      </c>
      <c r="AG456" s="94">
        <v>0</v>
      </c>
      <c r="AH456" s="94">
        <v>0</v>
      </c>
      <c r="AI456" s="94">
        <v>0</v>
      </c>
      <c r="AJ456" s="94">
        <v>0</v>
      </c>
      <c r="AK456" s="94">
        <v>0</v>
      </c>
      <c r="AL456" s="94">
        <v>0</v>
      </c>
      <c r="AM456" s="94">
        <v>0</v>
      </c>
      <c r="AN456" s="94">
        <v>0</v>
      </c>
      <c r="AO456" s="94">
        <v>0</v>
      </c>
      <c r="AP456" s="95">
        <v>0</v>
      </c>
      <c r="AQ456" s="95">
        <v>0</v>
      </c>
      <c r="AR456" s="95">
        <v>0</v>
      </c>
      <c r="AS456" s="95">
        <v>0</v>
      </c>
      <c r="AT456" s="95">
        <v>0</v>
      </c>
      <c r="AU456" s="95">
        <v>0</v>
      </c>
      <c r="AV456" s="95">
        <v>0</v>
      </c>
      <c r="AW456" s="95">
        <v>0</v>
      </c>
      <c r="AX456" s="95">
        <v>0</v>
      </c>
      <c r="AY456" s="95">
        <v>0</v>
      </c>
      <c r="AZ456" s="95">
        <v>0</v>
      </c>
      <c r="BA456" s="95">
        <v>0</v>
      </c>
      <c r="BB456" s="95">
        <v>0</v>
      </c>
      <c r="BC456" s="95">
        <v>0</v>
      </c>
      <c r="BD456" s="95">
        <v>0</v>
      </c>
      <c r="BE456" s="95">
        <v>0</v>
      </c>
    </row>
    <row r="457" spans="2:57" ht="15" customHeight="1" x14ac:dyDescent="0.25">
      <c r="B457" s="91">
        <v>447</v>
      </c>
      <c r="C457" s="92" t="s">
        <v>504</v>
      </c>
      <c r="D457" s="92" t="s">
        <v>43</v>
      </c>
      <c r="E457" s="92" t="s">
        <v>260</v>
      </c>
      <c r="F457" s="92" t="s">
        <v>185</v>
      </c>
      <c r="G457" s="101" t="s">
        <v>502</v>
      </c>
      <c r="H457" s="94">
        <v>6458</v>
      </c>
      <c r="I457" s="94">
        <v>3929</v>
      </c>
      <c r="J457" s="94">
        <v>2529</v>
      </c>
      <c r="K457" s="94">
        <v>535</v>
      </c>
      <c r="L457" s="94">
        <v>2061</v>
      </c>
      <c r="M457" s="94">
        <v>3189</v>
      </c>
      <c r="N457" s="94">
        <v>673</v>
      </c>
      <c r="O457" s="94">
        <v>6449</v>
      </c>
      <c r="P457" s="94">
        <v>9</v>
      </c>
      <c r="Q457" s="95">
        <v>0.31725888324873103</v>
      </c>
      <c r="R457" s="95">
        <v>5.2083333333333301E-2</v>
      </c>
      <c r="S457" s="95">
        <v>0.73051948051948001</v>
      </c>
      <c r="T457" s="95">
        <v>0.39138943248532299</v>
      </c>
      <c r="U457" s="95">
        <v>0.54644808743169404</v>
      </c>
      <c r="V457" s="95">
        <v>0.22414345180915801</v>
      </c>
      <c r="W457" s="95">
        <v>0</v>
      </c>
      <c r="X457" s="95">
        <v>0.31766200762388802</v>
      </c>
      <c r="Y457" s="95">
        <v>0</v>
      </c>
      <c r="Z457" s="94">
        <v>6554</v>
      </c>
      <c r="AA457" s="94">
        <v>3847</v>
      </c>
      <c r="AB457" s="94">
        <v>2707</v>
      </c>
      <c r="AC457" s="94">
        <v>389</v>
      </c>
      <c r="AD457" s="94">
        <v>1762</v>
      </c>
      <c r="AE457" s="94">
        <v>3476</v>
      </c>
      <c r="AF457" s="94">
        <v>927</v>
      </c>
      <c r="AG457" s="94">
        <v>4629</v>
      </c>
      <c r="AH457" s="94">
        <v>1896</v>
      </c>
      <c r="AI457" s="94">
        <v>29</v>
      </c>
      <c r="AJ457" s="94">
        <v>6522</v>
      </c>
      <c r="AK457" s="94">
        <v>16</v>
      </c>
      <c r="AL457" s="94">
        <v>16</v>
      </c>
      <c r="AM457" s="94">
        <v>304</v>
      </c>
      <c r="AN457" s="94">
        <v>6198</v>
      </c>
      <c r="AO457" s="94">
        <v>52</v>
      </c>
      <c r="AP457" s="95">
        <v>1.2320648783530901</v>
      </c>
      <c r="AQ457" s="95">
        <v>0.39808917197452198</v>
      </c>
      <c r="AR457" s="95">
        <v>2.4205748865355501</v>
      </c>
      <c r="AS457" s="95">
        <v>1.33689839572193</v>
      </c>
      <c r="AT457" s="95">
        <v>1.3977868375072799</v>
      </c>
      <c r="AU457" s="95">
        <v>1.2918379330593099</v>
      </c>
      <c r="AV457" s="95">
        <v>0.65573770491803296</v>
      </c>
      <c r="AW457" s="95">
        <v>1.0596026490066199</v>
      </c>
      <c r="AX457" s="95">
        <v>1.67296276308689</v>
      </c>
      <c r="AY457" s="95">
        <v>0</v>
      </c>
      <c r="AZ457" s="95">
        <v>1.2374686716792</v>
      </c>
      <c r="BA457" s="95">
        <v>0</v>
      </c>
      <c r="BB457" s="95">
        <v>0</v>
      </c>
      <c r="BC457" s="95">
        <v>1</v>
      </c>
      <c r="BD457" s="95">
        <v>1.25391849529781</v>
      </c>
      <c r="BE457" s="95">
        <v>0</v>
      </c>
    </row>
    <row r="458" spans="2:57" ht="15" customHeight="1" x14ac:dyDescent="0.25">
      <c r="B458" s="76">
        <v>448</v>
      </c>
      <c r="C458" s="77" t="s">
        <v>3</v>
      </c>
      <c r="D458" s="77" t="s">
        <v>51</v>
      </c>
      <c r="E458" s="77"/>
      <c r="F458" s="77"/>
      <c r="G458" s="78" t="s">
        <v>51</v>
      </c>
      <c r="H458" s="79">
        <v>789487</v>
      </c>
      <c r="I458" s="79">
        <v>454428</v>
      </c>
      <c r="J458" s="79">
        <v>335059</v>
      </c>
      <c r="K458" s="79">
        <v>51933</v>
      </c>
      <c r="L458" s="79">
        <v>241819</v>
      </c>
      <c r="M458" s="79">
        <v>415831</v>
      </c>
      <c r="N458" s="79">
        <v>79904</v>
      </c>
      <c r="O458" s="79">
        <v>784555</v>
      </c>
      <c r="P458" s="79">
        <v>4932</v>
      </c>
      <c r="Q458" s="80">
        <v>1.37816279884089</v>
      </c>
      <c r="R458" s="80">
        <v>0.92967008947451002</v>
      </c>
      <c r="S458" s="80">
        <v>1.9981345489418201</v>
      </c>
      <c r="T458" s="80">
        <v>1.8171817816420199</v>
      </c>
      <c r="U458" s="80">
        <v>1.78690904787696</v>
      </c>
      <c r="V458" s="80">
        <v>1.20471580262336</v>
      </c>
      <c r="W458" s="80">
        <v>0.78607448156837401</v>
      </c>
      <c r="X458" s="80">
        <v>1.3659095384837301</v>
      </c>
      <c r="Y458" s="80">
        <v>3.4195933456561902</v>
      </c>
      <c r="Z458" s="79">
        <v>1045670</v>
      </c>
      <c r="AA458" s="79">
        <v>562976</v>
      </c>
      <c r="AB458" s="79">
        <v>482694</v>
      </c>
      <c r="AC458" s="79">
        <v>47499</v>
      </c>
      <c r="AD458" s="79">
        <v>288743</v>
      </c>
      <c r="AE458" s="79">
        <v>576109</v>
      </c>
      <c r="AF458" s="79">
        <v>133319</v>
      </c>
      <c r="AG458" s="79">
        <v>550017</v>
      </c>
      <c r="AH458" s="79">
        <v>488268</v>
      </c>
      <c r="AI458" s="79">
        <v>7385</v>
      </c>
      <c r="AJ458" s="79">
        <v>1032393</v>
      </c>
      <c r="AK458" s="79">
        <v>10974</v>
      </c>
      <c r="AL458" s="79">
        <v>2303</v>
      </c>
      <c r="AM458" s="79">
        <v>57690</v>
      </c>
      <c r="AN458" s="79">
        <v>981069</v>
      </c>
      <c r="AO458" s="79">
        <v>6911</v>
      </c>
      <c r="AP458" s="80">
        <v>5.2225732944226504</v>
      </c>
      <c r="AQ458" s="80">
        <v>2.7183861042956701</v>
      </c>
      <c r="AR458" s="80">
        <v>8.1889819133254402</v>
      </c>
      <c r="AS458" s="80">
        <v>8.1504006392471098</v>
      </c>
      <c r="AT458" s="80">
        <v>7.1077000391690204</v>
      </c>
      <c r="AU458" s="80">
        <v>4.5397596661909398</v>
      </c>
      <c r="AV458" s="80">
        <v>3.14440842154603</v>
      </c>
      <c r="AW458" s="80">
        <v>4.0076130079516599</v>
      </c>
      <c r="AX458" s="80">
        <v>6.6384860931048397</v>
      </c>
      <c r="AY458" s="80">
        <v>4.1159420289855104</v>
      </c>
      <c r="AZ458" s="80">
        <v>5.18471237724102</v>
      </c>
      <c r="BA458" s="80">
        <v>9.4161390814993506</v>
      </c>
      <c r="BB458" s="80">
        <v>3.1133828996282502</v>
      </c>
      <c r="BC458" s="80">
        <v>4.60241182337474</v>
      </c>
      <c r="BD458" s="80">
        <v>5.2695286157382499</v>
      </c>
      <c r="BE458" s="80">
        <v>3.7568723274282201</v>
      </c>
    </row>
    <row r="459" spans="2:57" ht="15" customHeight="1" x14ac:dyDescent="0.25">
      <c r="B459" s="81">
        <v>449</v>
      </c>
      <c r="C459" s="82" t="s">
        <v>3</v>
      </c>
      <c r="D459" s="102" t="s">
        <v>51</v>
      </c>
      <c r="E459" s="102"/>
      <c r="F459" s="102"/>
      <c r="G459" s="83" t="s">
        <v>501</v>
      </c>
      <c r="H459" s="84">
        <v>516012</v>
      </c>
      <c r="I459" s="84">
        <v>289022</v>
      </c>
      <c r="J459" s="84">
        <v>226990</v>
      </c>
      <c r="K459" s="84">
        <v>25425</v>
      </c>
      <c r="L459" s="84">
        <v>164840</v>
      </c>
      <c r="M459" s="84">
        <v>283425</v>
      </c>
      <c r="N459" s="84">
        <v>42322</v>
      </c>
      <c r="O459" s="84">
        <v>511403</v>
      </c>
      <c r="P459" s="84">
        <v>4609</v>
      </c>
      <c r="Q459" s="85">
        <v>1.99382898071343</v>
      </c>
      <c r="R459" s="85">
        <v>1.4073453417703301</v>
      </c>
      <c r="S459" s="85">
        <v>2.7512424413053602</v>
      </c>
      <c r="T459" s="85">
        <v>3.3535103609773298</v>
      </c>
      <c r="U459" s="85">
        <v>2.4909830197090299</v>
      </c>
      <c r="V459" s="85">
        <v>1.6835003825259101</v>
      </c>
      <c r="W459" s="85">
        <v>1.3687956156982899</v>
      </c>
      <c r="X459" s="85">
        <v>1.98086386356827</v>
      </c>
      <c r="Y459" s="85">
        <v>3.47718865598027</v>
      </c>
      <c r="Z459" s="84">
        <v>705619</v>
      </c>
      <c r="AA459" s="84">
        <v>370099</v>
      </c>
      <c r="AB459" s="84">
        <v>335520</v>
      </c>
      <c r="AC459" s="84">
        <v>25579</v>
      </c>
      <c r="AD459" s="84">
        <v>197433</v>
      </c>
      <c r="AE459" s="84">
        <v>405142</v>
      </c>
      <c r="AF459" s="84">
        <v>77465</v>
      </c>
      <c r="AG459" s="84">
        <v>274019</v>
      </c>
      <c r="AH459" s="84">
        <v>427555</v>
      </c>
      <c r="AI459" s="84">
        <v>4045</v>
      </c>
      <c r="AJ459" s="84">
        <v>694505</v>
      </c>
      <c r="AK459" s="84">
        <v>9867</v>
      </c>
      <c r="AL459" s="84">
        <v>1247</v>
      </c>
      <c r="AM459" s="84">
        <v>35898</v>
      </c>
      <c r="AN459" s="84">
        <v>666350</v>
      </c>
      <c r="AO459" s="84">
        <v>3371</v>
      </c>
      <c r="AP459" s="85">
        <v>6.9388537473643899</v>
      </c>
      <c r="AQ459" s="85">
        <v>3.8660659873902898</v>
      </c>
      <c r="AR459" s="85">
        <v>10.3468533058765</v>
      </c>
      <c r="AS459" s="85">
        <v>12.782847088669699</v>
      </c>
      <c r="AT459" s="85">
        <v>9.2909163099582806</v>
      </c>
      <c r="AU459" s="85">
        <v>5.8354639795457999</v>
      </c>
      <c r="AV459" s="85">
        <v>4.9107505620412297</v>
      </c>
      <c r="AW459" s="85">
        <v>6.5365842523938698</v>
      </c>
      <c r="AX459" s="85">
        <v>7.2045348037211703</v>
      </c>
      <c r="AY459" s="85">
        <v>6.7146282973621103</v>
      </c>
      <c r="AZ459" s="85">
        <v>6.9030687570036502</v>
      </c>
      <c r="BA459" s="85">
        <v>9.7762863534675599</v>
      </c>
      <c r="BB459" s="85">
        <v>5.3368328958880102</v>
      </c>
      <c r="BC459" s="85">
        <v>6.7268781889625204</v>
      </c>
      <c r="BD459" s="85">
        <v>6.9516519907630601</v>
      </c>
      <c r="BE459" s="85">
        <v>6.6729917773561001</v>
      </c>
    </row>
    <row r="460" spans="2:57" ht="15" customHeight="1" x14ac:dyDescent="0.25">
      <c r="B460" s="81">
        <v>450</v>
      </c>
      <c r="C460" s="82" t="s">
        <v>3</v>
      </c>
      <c r="D460" s="102" t="s">
        <v>51</v>
      </c>
      <c r="E460" s="102"/>
      <c r="F460" s="102"/>
      <c r="G460" s="83" t="s">
        <v>502</v>
      </c>
      <c r="H460" s="84">
        <v>273475</v>
      </c>
      <c r="I460" s="84">
        <v>165406</v>
      </c>
      <c r="J460" s="84">
        <v>108069</v>
      </c>
      <c r="K460" s="84">
        <v>26508</v>
      </c>
      <c r="L460" s="84">
        <v>76979</v>
      </c>
      <c r="M460" s="84">
        <v>132406</v>
      </c>
      <c r="N460" s="84">
        <v>37582</v>
      </c>
      <c r="O460" s="84">
        <v>273152</v>
      </c>
      <c r="P460" s="84">
        <v>323</v>
      </c>
      <c r="Q460" s="85">
        <v>0.25874930067756602</v>
      </c>
      <c r="R460" s="85">
        <v>0.127908974628205</v>
      </c>
      <c r="S460" s="85">
        <v>0.46384502588554499</v>
      </c>
      <c r="T460" s="85">
        <v>0.405877100413995</v>
      </c>
      <c r="U460" s="85">
        <v>0.33214709371293</v>
      </c>
      <c r="V460" s="85">
        <v>0.216847106845034</v>
      </c>
      <c r="W460" s="85">
        <v>0.15701668302257099</v>
      </c>
      <c r="X460" s="85">
        <v>0.256301556866665</v>
      </c>
      <c r="Y460" s="85">
        <v>2.5641025641025599</v>
      </c>
      <c r="Z460" s="84">
        <v>340051</v>
      </c>
      <c r="AA460" s="84">
        <v>192877</v>
      </c>
      <c r="AB460" s="84">
        <v>147174</v>
      </c>
      <c r="AC460" s="84">
        <v>21920</v>
      </c>
      <c r="AD460" s="84">
        <v>91310</v>
      </c>
      <c r="AE460" s="84">
        <v>170967</v>
      </c>
      <c r="AF460" s="84">
        <v>55854</v>
      </c>
      <c r="AG460" s="84">
        <v>275998</v>
      </c>
      <c r="AH460" s="84">
        <v>60713</v>
      </c>
      <c r="AI460" s="84">
        <v>3340</v>
      </c>
      <c r="AJ460" s="84">
        <v>337888</v>
      </c>
      <c r="AK460" s="84">
        <v>1107</v>
      </c>
      <c r="AL460" s="84">
        <v>1056</v>
      </c>
      <c r="AM460" s="84">
        <v>21792</v>
      </c>
      <c r="AN460" s="84">
        <v>314719</v>
      </c>
      <c r="AO460" s="84">
        <v>3540</v>
      </c>
      <c r="AP460" s="85">
        <v>1.7138238661760099</v>
      </c>
      <c r="AQ460" s="85">
        <v>0.57535135250107705</v>
      </c>
      <c r="AR460" s="85">
        <v>3.2587910145115799</v>
      </c>
      <c r="AS460" s="85">
        <v>2.6583875036382998</v>
      </c>
      <c r="AT460" s="85">
        <v>2.4814153172362099</v>
      </c>
      <c r="AU460" s="85">
        <v>1.5130957284423201</v>
      </c>
      <c r="AV460" s="85">
        <v>0.73661085162552897</v>
      </c>
      <c r="AW460" s="85">
        <v>1.5057769748974399</v>
      </c>
      <c r="AX460" s="85">
        <v>2.7085027950364302</v>
      </c>
      <c r="AY460" s="85">
        <v>1.0168414362885301</v>
      </c>
      <c r="AZ460" s="85">
        <v>1.7032327227695301</v>
      </c>
      <c r="BA460" s="85">
        <v>6.2314540059347197</v>
      </c>
      <c r="BB460" s="85">
        <v>0.594648166501487</v>
      </c>
      <c r="BC460" s="85">
        <v>1.1595304851969801</v>
      </c>
      <c r="BD460" s="85">
        <v>1.7600402370544901</v>
      </c>
      <c r="BE460" s="85">
        <v>1.0336680448907301</v>
      </c>
    </row>
    <row r="461" spans="2:57" ht="15" customHeight="1" x14ac:dyDescent="0.25">
      <c r="B461" s="86">
        <v>451</v>
      </c>
      <c r="C461" s="87" t="s">
        <v>503</v>
      </c>
      <c r="D461" s="103" t="s">
        <v>51</v>
      </c>
      <c r="E461" s="103" t="s">
        <v>367</v>
      </c>
      <c r="F461" s="103"/>
      <c r="G461" s="88" t="s">
        <v>367</v>
      </c>
      <c r="H461" s="89">
        <v>277048</v>
      </c>
      <c r="I461" s="89">
        <v>152927</v>
      </c>
      <c r="J461" s="89">
        <v>124121</v>
      </c>
      <c r="K461" s="89">
        <v>11787</v>
      </c>
      <c r="L461" s="89">
        <v>87951</v>
      </c>
      <c r="M461" s="89">
        <v>155161</v>
      </c>
      <c r="N461" s="89">
        <v>22149</v>
      </c>
      <c r="O461" s="89">
        <v>274049</v>
      </c>
      <c r="P461" s="89">
        <v>2999</v>
      </c>
      <c r="Q461" s="90">
        <v>2.18261898290995</v>
      </c>
      <c r="R461" s="90">
        <v>1.6526366575693601</v>
      </c>
      <c r="S461" s="90">
        <v>2.8436700049400501</v>
      </c>
      <c r="T461" s="90">
        <v>3.2157085941946502</v>
      </c>
      <c r="U461" s="90">
        <v>2.8259766615931001</v>
      </c>
      <c r="V461" s="90">
        <v>1.83907556464092</v>
      </c>
      <c r="W461" s="90">
        <v>1.5198635634028901</v>
      </c>
      <c r="X461" s="90">
        <v>2.1667036939793598</v>
      </c>
      <c r="Y461" s="90">
        <v>3.6756347101174698</v>
      </c>
      <c r="Z461" s="89">
        <v>333398</v>
      </c>
      <c r="AA461" s="89">
        <v>173653</v>
      </c>
      <c r="AB461" s="89">
        <v>159745</v>
      </c>
      <c r="AC461" s="89">
        <v>10200</v>
      </c>
      <c r="AD461" s="89">
        <v>89762</v>
      </c>
      <c r="AE461" s="89">
        <v>195825</v>
      </c>
      <c r="AF461" s="89">
        <v>37611</v>
      </c>
      <c r="AG461" s="89">
        <v>102495</v>
      </c>
      <c r="AH461" s="89">
        <v>229012</v>
      </c>
      <c r="AI461" s="89">
        <v>1891</v>
      </c>
      <c r="AJ461" s="89">
        <v>327231</v>
      </c>
      <c r="AK461" s="89">
        <v>5614</v>
      </c>
      <c r="AL461" s="89">
        <v>553</v>
      </c>
      <c r="AM461" s="89">
        <v>17232</v>
      </c>
      <c r="AN461" s="89">
        <v>314622</v>
      </c>
      <c r="AO461" s="89">
        <v>1544</v>
      </c>
      <c r="AP461" s="90">
        <v>7.0517099967574</v>
      </c>
      <c r="AQ461" s="90">
        <v>4.23350995797552</v>
      </c>
      <c r="AR461" s="90">
        <v>10.128880376665901</v>
      </c>
      <c r="AS461" s="90">
        <v>12.856849455740401</v>
      </c>
      <c r="AT461" s="90">
        <v>9.66569069789767</v>
      </c>
      <c r="AU461" s="90">
        <v>5.9405727564171498</v>
      </c>
      <c r="AV461" s="90">
        <v>5.1461495222034896</v>
      </c>
      <c r="AW461" s="90">
        <v>6.9548528605373798</v>
      </c>
      <c r="AX461" s="90">
        <v>7.1043324904121601</v>
      </c>
      <c r="AY461" s="90">
        <v>6.0571428571428596</v>
      </c>
      <c r="AZ461" s="90">
        <v>7.0122750411811001</v>
      </c>
      <c r="BA461" s="90">
        <v>9.6499901127150505</v>
      </c>
      <c r="BB461" s="90">
        <v>5.1587301587301599</v>
      </c>
      <c r="BC461" s="90">
        <v>7.3626777832270696</v>
      </c>
      <c r="BD461" s="90">
        <v>7.0339348526300203</v>
      </c>
      <c r="BE461" s="90">
        <v>7.1922544951590597</v>
      </c>
    </row>
    <row r="462" spans="2:57" ht="15" customHeight="1" x14ac:dyDescent="0.25">
      <c r="B462" s="91">
        <v>452</v>
      </c>
      <c r="C462" s="92" t="s">
        <v>503</v>
      </c>
      <c r="D462" s="92" t="s">
        <v>51</v>
      </c>
      <c r="E462" s="92" t="s">
        <v>367</v>
      </c>
      <c r="F462" s="92"/>
      <c r="G462" s="93" t="s">
        <v>501</v>
      </c>
      <c r="H462" s="94">
        <v>277048</v>
      </c>
      <c r="I462" s="94">
        <v>152927</v>
      </c>
      <c r="J462" s="94">
        <v>124121</v>
      </c>
      <c r="K462" s="94">
        <v>11787</v>
      </c>
      <c r="L462" s="94">
        <v>87951</v>
      </c>
      <c r="M462" s="94">
        <v>155161</v>
      </c>
      <c r="N462" s="94">
        <v>22149</v>
      </c>
      <c r="O462" s="94">
        <v>274049</v>
      </c>
      <c r="P462" s="94">
        <v>2999</v>
      </c>
      <c r="Q462" s="95">
        <v>2.18261898290995</v>
      </c>
      <c r="R462" s="95">
        <v>1.6526366575693601</v>
      </c>
      <c r="S462" s="95">
        <v>2.8436700049400501</v>
      </c>
      <c r="T462" s="95">
        <v>3.2157085941946502</v>
      </c>
      <c r="U462" s="95">
        <v>2.8259766615931001</v>
      </c>
      <c r="V462" s="95">
        <v>1.83907556464092</v>
      </c>
      <c r="W462" s="95">
        <v>1.5198635634028901</v>
      </c>
      <c r="X462" s="95">
        <v>2.1667036939793598</v>
      </c>
      <c r="Y462" s="95">
        <v>3.6756347101174698</v>
      </c>
      <c r="Z462" s="94">
        <v>333376</v>
      </c>
      <c r="AA462" s="94">
        <v>173639</v>
      </c>
      <c r="AB462" s="94">
        <v>159737</v>
      </c>
      <c r="AC462" s="94">
        <v>10197</v>
      </c>
      <c r="AD462" s="94">
        <v>89757</v>
      </c>
      <c r="AE462" s="94">
        <v>195817</v>
      </c>
      <c r="AF462" s="94">
        <v>37605</v>
      </c>
      <c r="AG462" s="94">
        <v>102492</v>
      </c>
      <c r="AH462" s="94">
        <v>228993</v>
      </c>
      <c r="AI462" s="94">
        <v>1891</v>
      </c>
      <c r="AJ462" s="94">
        <v>327209</v>
      </c>
      <c r="AK462" s="94">
        <v>5614</v>
      </c>
      <c r="AL462" s="94">
        <v>553</v>
      </c>
      <c r="AM462" s="94">
        <v>17231</v>
      </c>
      <c r="AN462" s="94">
        <v>314601</v>
      </c>
      <c r="AO462" s="94">
        <v>1544</v>
      </c>
      <c r="AP462" s="95">
        <v>7.0522032173968299</v>
      </c>
      <c r="AQ462" s="95">
        <v>4.2338709677419404</v>
      </c>
      <c r="AR462" s="95">
        <v>10.1294192758905</v>
      </c>
      <c r="AS462" s="95">
        <v>12.860811504879299</v>
      </c>
      <c r="AT462" s="95">
        <v>9.6662706555783604</v>
      </c>
      <c r="AU462" s="95">
        <v>5.9408284023668596</v>
      </c>
      <c r="AV462" s="95">
        <v>5.1470174846798198</v>
      </c>
      <c r="AW462" s="95">
        <v>6.9550647372429504</v>
      </c>
      <c r="AX462" s="95">
        <v>7.1049623218160196</v>
      </c>
      <c r="AY462" s="95">
        <v>6.0571428571428596</v>
      </c>
      <c r="AZ462" s="95">
        <v>7.0127743309415802</v>
      </c>
      <c r="BA462" s="95">
        <v>9.6499901127150505</v>
      </c>
      <c r="BB462" s="95">
        <v>5.1587301587301599</v>
      </c>
      <c r="BC462" s="95">
        <v>7.3631291766292701</v>
      </c>
      <c r="BD462" s="95">
        <v>7.0344325652075801</v>
      </c>
      <c r="BE462" s="95">
        <v>7.1922544951590597</v>
      </c>
    </row>
    <row r="463" spans="2:57" ht="15" customHeight="1" x14ac:dyDescent="0.25">
      <c r="B463" s="91">
        <v>453</v>
      </c>
      <c r="C463" s="92" t="s">
        <v>503</v>
      </c>
      <c r="D463" s="92" t="s">
        <v>51</v>
      </c>
      <c r="E463" s="92" t="s">
        <v>367</v>
      </c>
      <c r="F463" s="92"/>
      <c r="G463" s="93" t="s">
        <v>502</v>
      </c>
      <c r="H463" s="94">
        <v>0</v>
      </c>
      <c r="I463" s="94">
        <v>0</v>
      </c>
      <c r="J463" s="94">
        <v>0</v>
      </c>
      <c r="K463" s="94">
        <v>0</v>
      </c>
      <c r="L463" s="94">
        <v>0</v>
      </c>
      <c r="M463" s="94">
        <v>0</v>
      </c>
      <c r="N463" s="94">
        <v>0</v>
      </c>
      <c r="O463" s="94">
        <v>0</v>
      </c>
      <c r="P463" s="94">
        <v>0</v>
      </c>
      <c r="Q463" s="95">
        <v>0</v>
      </c>
      <c r="R463" s="95">
        <v>0</v>
      </c>
      <c r="S463" s="95">
        <v>0</v>
      </c>
      <c r="T463" s="95">
        <v>0</v>
      </c>
      <c r="U463" s="95">
        <v>0</v>
      </c>
      <c r="V463" s="95">
        <v>0</v>
      </c>
      <c r="W463" s="95">
        <v>0</v>
      </c>
      <c r="X463" s="95">
        <v>0</v>
      </c>
      <c r="Y463" s="95">
        <v>0</v>
      </c>
      <c r="Z463" s="94">
        <v>22</v>
      </c>
      <c r="AA463" s="94">
        <v>14</v>
      </c>
      <c r="AB463" s="94">
        <v>8</v>
      </c>
      <c r="AC463" s="94">
        <v>3</v>
      </c>
      <c r="AD463" s="94">
        <v>5</v>
      </c>
      <c r="AE463" s="94">
        <v>8</v>
      </c>
      <c r="AF463" s="94">
        <v>6</v>
      </c>
      <c r="AG463" s="94">
        <v>3</v>
      </c>
      <c r="AH463" s="94">
        <v>19</v>
      </c>
      <c r="AI463" s="94">
        <v>0</v>
      </c>
      <c r="AJ463" s="94">
        <v>22</v>
      </c>
      <c r="AK463" s="94">
        <v>0</v>
      </c>
      <c r="AL463" s="94">
        <v>0</v>
      </c>
      <c r="AM463" s="94">
        <v>1</v>
      </c>
      <c r="AN463" s="94">
        <v>21</v>
      </c>
      <c r="AO463" s="94">
        <v>0</v>
      </c>
      <c r="AP463" s="95">
        <v>0</v>
      </c>
      <c r="AQ463" s="95">
        <v>0</v>
      </c>
      <c r="AR463" s="95">
        <v>0</v>
      </c>
      <c r="AS463" s="95">
        <v>0</v>
      </c>
      <c r="AT463" s="95">
        <v>0</v>
      </c>
      <c r="AU463" s="95">
        <v>0</v>
      </c>
      <c r="AV463" s="95">
        <v>0</v>
      </c>
      <c r="AW463" s="95">
        <v>0</v>
      </c>
      <c r="AX463" s="95">
        <v>0</v>
      </c>
      <c r="AY463" s="95">
        <v>0</v>
      </c>
      <c r="AZ463" s="95">
        <v>0</v>
      </c>
      <c r="BA463" s="95">
        <v>0</v>
      </c>
      <c r="BB463" s="95">
        <v>0</v>
      </c>
      <c r="BC463" s="95">
        <v>0</v>
      </c>
      <c r="BD463" s="95">
        <v>0</v>
      </c>
      <c r="BE463" s="95">
        <v>0</v>
      </c>
    </row>
    <row r="464" spans="2:57" ht="15" customHeight="1" x14ac:dyDescent="0.25">
      <c r="B464" s="96">
        <v>454</v>
      </c>
      <c r="C464" s="97" t="s">
        <v>504</v>
      </c>
      <c r="D464" s="104" t="s">
        <v>51</v>
      </c>
      <c r="E464" s="104" t="s">
        <v>367</v>
      </c>
      <c r="F464" s="104" t="s">
        <v>51</v>
      </c>
      <c r="G464" s="105" t="s">
        <v>51</v>
      </c>
      <c r="H464" s="106">
        <v>277048</v>
      </c>
      <c r="I464" s="106">
        <v>152927</v>
      </c>
      <c r="J464" s="106">
        <v>124121</v>
      </c>
      <c r="K464" s="106">
        <v>11787</v>
      </c>
      <c r="L464" s="106">
        <v>87951</v>
      </c>
      <c r="M464" s="106">
        <v>155161</v>
      </c>
      <c r="N464" s="106">
        <v>22149</v>
      </c>
      <c r="O464" s="106">
        <v>274049</v>
      </c>
      <c r="P464" s="106">
        <v>2999</v>
      </c>
      <c r="Q464" s="107">
        <v>2.18261898290995</v>
      </c>
      <c r="R464" s="107">
        <v>1.6526366575693601</v>
      </c>
      <c r="S464" s="107">
        <v>2.8436700049400501</v>
      </c>
      <c r="T464" s="107">
        <v>3.2157085941946502</v>
      </c>
      <c r="U464" s="107">
        <v>2.8259766615931001</v>
      </c>
      <c r="V464" s="107">
        <v>1.83907556464092</v>
      </c>
      <c r="W464" s="107">
        <v>1.5198635634028901</v>
      </c>
      <c r="X464" s="107">
        <v>2.1667036939793598</v>
      </c>
      <c r="Y464" s="107">
        <v>3.6756347101174698</v>
      </c>
      <c r="Z464" s="106">
        <v>333398</v>
      </c>
      <c r="AA464" s="106">
        <v>173653</v>
      </c>
      <c r="AB464" s="106">
        <v>159745</v>
      </c>
      <c r="AC464" s="106">
        <v>10200</v>
      </c>
      <c r="AD464" s="106">
        <v>89762</v>
      </c>
      <c r="AE464" s="106">
        <v>195825</v>
      </c>
      <c r="AF464" s="106">
        <v>37611</v>
      </c>
      <c r="AG464" s="106">
        <v>102495</v>
      </c>
      <c r="AH464" s="106">
        <v>229012</v>
      </c>
      <c r="AI464" s="106">
        <v>1891</v>
      </c>
      <c r="AJ464" s="106">
        <v>327231</v>
      </c>
      <c r="AK464" s="106">
        <v>5614</v>
      </c>
      <c r="AL464" s="106">
        <v>553</v>
      </c>
      <c r="AM464" s="106">
        <v>17232</v>
      </c>
      <c r="AN464" s="106">
        <v>314622</v>
      </c>
      <c r="AO464" s="106">
        <v>1544</v>
      </c>
      <c r="AP464" s="107">
        <v>7.0517099967574</v>
      </c>
      <c r="AQ464" s="107">
        <v>4.23350995797552</v>
      </c>
      <c r="AR464" s="107">
        <v>10.128880376665901</v>
      </c>
      <c r="AS464" s="107">
        <v>12.856849455740401</v>
      </c>
      <c r="AT464" s="107">
        <v>9.66569069789767</v>
      </c>
      <c r="AU464" s="107">
        <v>5.9405727564171498</v>
      </c>
      <c r="AV464" s="107">
        <v>5.1461495222034896</v>
      </c>
      <c r="AW464" s="107">
        <v>6.9548528605373798</v>
      </c>
      <c r="AX464" s="107">
        <v>7.1043324904121601</v>
      </c>
      <c r="AY464" s="107">
        <v>6.0571428571428596</v>
      </c>
      <c r="AZ464" s="107">
        <v>7.0122750411811001</v>
      </c>
      <c r="BA464" s="107">
        <v>9.6499901127150505</v>
      </c>
      <c r="BB464" s="107">
        <v>5.1587301587301599</v>
      </c>
      <c r="BC464" s="107">
        <v>7.3626777832270696</v>
      </c>
      <c r="BD464" s="107">
        <v>7.0339348526300203</v>
      </c>
      <c r="BE464" s="107">
        <v>7.1922544951590597</v>
      </c>
    </row>
    <row r="465" spans="2:57" ht="15" customHeight="1" x14ac:dyDescent="0.25">
      <c r="B465" s="91">
        <v>455</v>
      </c>
      <c r="C465" s="92" t="s">
        <v>504</v>
      </c>
      <c r="D465" s="92" t="s">
        <v>51</v>
      </c>
      <c r="E465" s="92" t="s">
        <v>367</v>
      </c>
      <c r="F465" s="92" t="s">
        <v>51</v>
      </c>
      <c r="G465" s="101" t="s">
        <v>501</v>
      </c>
      <c r="H465" s="94">
        <v>277048</v>
      </c>
      <c r="I465" s="94">
        <v>152927</v>
      </c>
      <c r="J465" s="94">
        <v>124121</v>
      </c>
      <c r="K465" s="94">
        <v>11787</v>
      </c>
      <c r="L465" s="94">
        <v>87951</v>
      </c>
      <c r="M465" s="94">
        <v>155161</v>
      </c>
      <c r="N465" s="94">
        <v>22149</v>
      </c>
      <c r="O465" s="94">
        <v>274049</v>
      </c>
      <c r="P465" s="94">
        <v>2999</v>
      </c>
      <c r="Q465" s="95">
        <v>2.18261898290995</v>
      </c>
      <c r="R465" s="95">
        <v>1.6526366575693601</v>
      </c>
      <c r="S465" s="95">
        <v>2.8436700049400501</v>
      </c>
      <c r="T465" s="95">
        <v>3.2157085941946502</v>
      </c>
      <c r="U465" s="95">
        <v>2.8259766615931001</v>
      </c>
      <c r="V465" s="95">
        <v>1.83907556464092</v>
      </c>
      <c r="W465" s="95">
        <v>1.5198635634028901</v>
      </c>
      <c r="X465" s="95">
        <v>2.1667036939793598</v>
      </c>
      <c r="Y465" s="95">
        <v>3.6756347101174698</v>
      </c>
      <c r="Z465" s="94">
        <v>333376</v>
      </c>
      <c r="AA465" s="94">
        <v>173639</v>
      </c>
      <c r="AB465" s="94">
        <v>159737</v>
      </c>
      <c r="AC465" s="94">
        <v>10197</v>
      </c>
      <c r="AD465" s="94">
        <v>89757</v>
      </c>
      <c r="AE465" s="94">
        <v>195817</v>
      </c>
      <c r="AF465" s="94">
        <v>37605</v>
      </c>
      <c r="AG465" s="94">
        <v>102492</v>
      </c>
      <c r="AH465" s="94">
        <v>228993</v>
      </c>
      <c r="AI465" s="94">
        <v>1891</v>
      </c>
      <c r="AJ465" s="94">
        <v>327209</v>
      </c>
      <c r="AK465" s="94">
        <v>5614</v>
      </c>
      <c r="AL465" s="94">
        <v>553</v>
      </c>
      <c r="AM465" s="94">
        <v>17231</v>
      </c>
      <c r="AN465" s="94">
        <v>314601</v>
      </c>
      <c r="AO465" s="94">
        <v>1544</v>
      </c>
      <c r="AP465" s="95">
        <v>7.0522032173968299</v>
      </c>
      <c r="AQ465" s="95">
        <v>4.2338709677419404</v>
      </c>
      <c r="AR465" s="95">
        <v>10.1294192758905</v>
      </c>
      <c r="AS465" s="95">
        <v>12.860811504879299</v>
      </c>
      <c r="AT465" s="95">
        <v>9.6662706555783604</v>
      </c>
      <c r="AU465" s="95">
        <v>5.9408284023668596</v>
      </c>
      <c r="AV465" s="95">
        <v>5.1470174846798198</v>
      </c>
      <c r="AW465" s="95">
        <v>6.9550647372429504</v>
      </c>
      <c r="AX465" s="95">
        <v>7.1049623218160196</v>
      </c>
      <c r="AY465" s="95">
        <v>6.0571428571428596</v>
      </c>
      <c r="AZ465" s="95">
        <v>7.0127743309415802</v>
      </c>
      <c r="BA465" s="95">
        <v>9.6499901127150505</v>
      </c>
      <c r="BB465" s="95">
        <v>5.1587301587301599</v>
      </c>
      <c r="BC465" s="95">
        <v>7.3631291766292701</v>
      </c>
      <c r="BD465" s="95">
        <v>7.0344325652075801</v>
      </c>
      <c r="BE465" s="95">
        <v>7.1922544951590597</v>
      </c>
    </row>
    <row r="466" spans="2:57" ht="15" customHeight="1" x14ac:dyDescent="0.25">
      <c r="B466" s="91">
        <v>456</v>
      </c>
      <c r="C466" s="92" t="s">
        <v>504</v>
      </c>
      <c r="D466" s="92" t="s">
        <v>51</v>
      </c>
      <c r="E466" s="92" t="s">
        <v>367</v>
      </c>
      <c r="F466" s="92" t="s">
        <v>51</v>
      </c>
      <c r="G466" s="101" t="s">
        <v>502</v>
      </c>
      <c r="H466" s="94">
        <v>0</v>
      </c>
      <c r="I466" s="94">
        <v>0</v>
      </c>
      <c r="J466" s="94">
        <v>0</v>
      </c>
      <c r="K466" s="94">
        <v>0</v>
      </c>
      <c r="L466" s="94">
        <v>0</v>
      </c>
      <c r="M466" s="94">
        <v>0</v>
      </c>
      <c r="N466" s="94">
        <v>0</v>
      </c>
      <c r="O466" s="94">
        <v>0</v>
      </c>
      <c r="P466" s="94">
        <v>0</v>
      </c>
      <c r="Q466" s="95">
        <v>0</v>
      </c>
      <c r="R466" s="95">
        <v>0</v>
      </c>
      <c r="S466" s="95">
        <v>0</v>
      </c>
      <c r="T466" s="95">
        <v>0</v>
      </c>
      <c r="U466" s="95">
        <v>0</v>
      </c>
      <c r="V466" s="95">
        <v>0</v>
      </c>
      <c r="W466" s="95">
        <v>0</v>
      </c>
      <c r="X466" s="95">
        <v>0</v>
      </c>
      <c r="Y466" s="95">
        <v>0</v>
      </c>
      <c r="Z466" s="94">
        <v>22</v>
      </c>
      <c r="AA466" s="94">
        <v>14</v>
      </c>
      <c r="AB466" s="94">
        <v>8</v>
      </c>
      <c r="AC466" s="94">
        <v>3</v>
      </c>
      <c r="AD466" s="94">
        <v>5</v>
      </c>
      <c r="AE466" s="94">
        <v>8</v>
      </c>
      <c r="AF466" s="94">
        <v>6</v>
      </c>
      <c r="AG466" s="94">
        <v>3</v>
      </c>
      <c r="AH466" s="94">
        <v>19</v>
      </c>
      <c r="AI466" s="94">
        <v>0</v>
      </c>
      <c r="AJ466" s="94">
        <v>22</v>
      </c>
      <c r="AK466" s="94">
        <v>0</v>
      </c>
      <c r="AL466" s="94">
        <v>0</v>
      </c>
      <c r="AM466" s="94">
        <v>1</v>
      </c>
      <c r="AN466" s="94">
        <v>21</v>
      </c>
      <c r="AO466" s="94">
        <v>0</v>
      </c>
      <c r="AP466" s="95">
        <v>0</v>
      </c>
      <c r="AQ466" s="95">
        <v>0</v>
      </c>
      <c r="AR466" s="95">
        <v>0</v>
      </c>
      <c r="AS466" s="95">
        <v>0</v>
      </c>
      <c r="AT466" s="95">
        <v>0</v>
      </c>
      <c r="AU466" s="95">
        <v>0</v>
      </c>
      <c r="AV466" s="95">
        <v>0</v>
      </c>
      <c r="AW466" s="95">
        <v>0</v>
      </c>
      <c r="AX466" s="95">
        <v>0</v>
      </c>
      <c r="AY466" s="95">
        <v>0</v>
      </c>
      <c r="AZ466" s="95">
        <v>0</v>
      </c>
      <c r="BA466" s="95">
        <v>0</v>
      </c>
      <c r="BB466" s="95">
        <v>0</v>
      </c>
      <c r="BC466" s="95">
        <v>0</v>
      </c>
      <c r="BD466" s="95">
        <v>0</v>
      </c>
      <c r="BE466" s="95">
        <v>0</v>
      </c>
    </row>
    <row r="467" spans="2:57" ht="15" customHeight="1" x14ac:dyDescent="0.25">
      <c r="B467" s="86">
        <v>457</v>
      </c>
      <c r="C467" s="87" t="s">
        <v>503</v>
      </c>
      <c r="D467" s="103" t="s">
        <v>51</v>
      </c>
      <c r="E467" s="103" t="s">
        <v>368</v>
      </c>
      <c r="F467" s="103"/>
      <c r="G467" s="88" t="s">
        <v>368</v>
      </c>
      <c r="H467" s="89">
        <v>14960</v>
      </c>
      <c r="I467" s="89">
        <v>9647</v>
      </c>
      <c r="J467" s="89">
        <v>5313</v>
      </c>
      <c r="K467" s="89">
        <v>1320</v>
      </c>
      <c r="L467" s="89">
        <v>3711</v>
      </c>
      <c r="M467" s="89">
        <v>7866</v>
      </c>
      <c r="N467" s="89">
        <v>2063</v>
      </c>
      <c r="O467" s="89">
        <v>14938</v>
      </c>
      <c r="P467" s="89">
        <v>22</v>
      </c>
      <c r="Q467" s="90">
        <v>0.54328400886410799</v>
      </c>
      <c r="R467" s="90">
        <v>0.25040827436037</v>
      </c>
      <c r="S467" s="90">
        <v>1.1032472939217299</v>
      </c>
      <c r="T467" s="90">
        <v>1.3809910641754699</v>
      </c>
      <c r="U467" s="90">
        <v>0.63805104408352697</v>
      </c>
      <c r="V467" s="90">
        <v>0.41988351618583197</v>
      </c>
      <c r="W467" s="90">
        <v>0.31136481577581698</v>
      </c>
      <c r="X467" s="90">
        <v>0.54406185124203599</v>
      </c>
      <c r="Y467" s="90">
        <v>0</v>
      </c>
      <c r="Z467" s="89">
        <v>20302</v>
      </c>
      <c r="AA467" s="89">
        <v>11357</v>
      </c>
      <c r="AB467" s="89">
        <v>8945</v>
      </c>
      <c r="AC467" s="89">
        <v>1240</v>
      </c>
      <c r="AD467" s="89">
        <v>4809</v>
      </c>
      <c r="AE467" s="89">
        <v>10647</v>
      </c>
      <c r="AF467" s="89">
        <v>3606</v>
      </c>
      <c r="AG467" s="89">
        <v>12891</v>
      </c>
      <c r="AH467" s="89">
        <v>7163</v>
      </c>
      <c r="AI467" s="89">
        <v>248</v>
      </c>
      <c r="AJ467" s="89">
        <v>20167</v>
      </c>
      <c r="AK467" s="89">
        <v>62</v>
      </c>
      <c r="AL467" s="89">
        <v>73</v>
      </c>
      <c r="AM467" s="89">
        <v>1864</v>
      </c>
      <c r="AN467" s="89">
        <v>18201</v>
      </c>
      <c r="AO467" s="89">
        <v>237</v>
      </c>
      <c r="AP467" s="90">
        <v>2.7749069863579998</v>
      </c>
      <c r="AQ467" s="90">
        <v>0.92374569824307196</v>
      </c>
      <c r="AR467" s="90">
        <v>5.2346570397111902</v>
      </c>
      <c r="AS467" s="90">
        <v>5.1724137931034502</v>
      </c>
      <c r="AT467" s="90">
        <v>3.7275349456401199</v>
      </c>
      <c r="AU467" s="90">
        <v>2.6022304832713798</v>
      </c>
      <c r="AV467" s="90">
        <v>1.2416979497545499</v>
      </c>
      <c r="AW467" s="90">
        <v>2.71128480703468</v>
      </c>
      <c r="AX467" s="90">
        <v>2.9127634660421502</v>
      </c>
      <c r="AY467" s="90">
        <v>2.1008403361344499</v>
      </c>
      <c r="AZ467" s="90">
        <v>2.7563969211566501</v>
      </c>
      <c r="BA467" s="90">
        <v>9.4339622641509404</v>
      </c>
      <c r="BB467" s="90">
        <v>2.8169014084507</v>
      </c>
      <c r="BC467" s="90">
        <v>1.7987633501967399</v>
      </c>
      <c r="BD467" s="90">
        <v>2.8877745114992202</v>
      </c>
      <c r="BE467" s="90">
        <v>1.78571428571429</v>
      </c>
    </row>
    <row r="468" spans="2:57" ht="15" customHeight="1" x14ac:dyDescent="0.25">
      <c r="B468" s="91">
        <v>458</v>
      </c>
      <c r="C468" s="92" t="s">
        <v>503</v>
      </c>
      <c r="D468" s="92" t="s">
        <v>51</v>
      </c>
      <c r="E468" s="92" t="s">
        <v>368</v>
      </c>
      <c r="F468" s="92"/>
      <c r="G468" s="93" t="s">
        <v>501</v>
      </c>
      <c r="H468" s="94">
        <v>4510</v>
      </c>
      <c r="I468" s="94">
        <v>2532</v>
      </c>
      <c r="J468" s="94">
        <v>1978</v>
      </c>
      <c r="K468" s="94">
        <v>258</v>
      </c>
      <c r="L468" s="94">
        <v>1214</v>
      </c>
      <c r="M468" s="94">
        <v>2497</v>
      </c>
      <c r="N468" s="94">
        <v>541</v>
      </c>
      <c r="O468" s="94">
        <v>4493</v>
      </c>
      <c r="P468" s="94">
        <v>17</v>
      </c>
      <c r="Q468" s="95">
        <v>1.42721217887726</v>
      </c>
      <c r="R468" s="95">
        <v>0.75725704669751803</v>
      </c>
      <c r="S468" s="95">
        <v>2.29885057471264</v>
      </c>
      <c r="T468" s="95">
        <v>6.12244897959184</v>
      </c>
      <c r="U468" s="95">
        <v>1.1754068716093999</v>
      </c>
      <c r="V468" s="95">
        <v>1.10826939471441</v>
      </c>
      <c r="W468" s="95">
        <v>1.1834319526627199</v>
      </c>
      <c r="X468" s="95">
        <v>1.4326647564469901</v>
      </c>
      <c r="Y468" s="95">
        <v>0</v>
      </c>
      <c r="Z468" s="94">
        <v>5867</v>
      </c>
      <c r="AA468" s="94">
        <v>3068</v>
      </c>
      <c r="AB468" s="94">
        <v>2799</v>
      </c>
      <c r="AC468" s="94">
        <v>293</v>
      </c>
      <c r="AD468" s="94">
        <v>1439</v>
      </c>
      <c r="AE468" s="94">
        <v>3284</v>
      </c>
      <c r="AF468" s="94">
        <v>851</v>
      </c>
      <c r="AG468" s="94">
        <v>3060</v>
      </c>
      <c r="AH468" s="94">
        <v>2778</v>
      </c>
      <c r="AI468" s="94">
        <v>29</v>
      </c>
      <c r="AJ468" s="94">
        <v>5811</v>
      </c>
      <c r="AK468" s="94">
        <v>42</v>
      </c>
      <c r="AL468" s="94">
        <v>14</v>
      </c>
      <c r="AM468" s="94">
        <v>443</v>
      </c>
      <c r="AN468" s="94">
        <v>5400</v>
      </c>
      <c r="AO468" s="94">
        <v>24</v>
      </c>
      <c r="AP468" s="95">
        <v>6.4746914684314101</v>
      </c>
      <c r="AQ468" s="95">
        <v>2.6431718061674001</v>
      </c>
      <c r="AR468" s="95">
        <v>10.7575757575758</v>
      </c>
      <c r="AS468" s="95">
        <v>15.9010600706714</v>
      </c>
      <c r="AT468" s="95">
        <v>8.31460674157303</v>
      </c>
      <c r="AU468" s="95">
        <v>5.5502695845226802</v>
      </c>
      <c r="AV468" s="95">
        <v>3.7804878048780499</v>
      </c>
      <c r="AW468" s="95">
        <v>7.3187414500683996</v>
      </c>
      <c r="AX468" s="95">
        <v>5.4586808188021196</v>
      </c>
      <c r="AY468" s="95">
        <v>13.7931034482759</v>
      </c>
      <c r="AZ468" s="95">
        <v>6.4225148836370201</v>
      </c>
      <c r="BA468" s="95">
        <v>14.285714285714301</v>
      </c>
      <c r="BB468" s="95">
        <v>7.6923076923076898</v>
      </c>
      <c r="BC468" s="95">
        <v>6.3981042654028402</v>
      </c>
      <c r="BD468" s="95">
        <v>6.4917395529640398</v>
      </c>
      <c r="BE468" s="95">
        <v>4.1666666666666696</v>
      </c>
    </row>
    <row r="469" spans="2:57" ht="15" customHeight="1" x14ac:dyDescent="0.25">
      <c r="B469" s="91">
        <v>459</v>
      </c>
      <c r="C469" s="92" t="s">
        <v>503</v>
      </c>
      <c r="D469" s="92" t="s">
        <v>51</v>
      </c>
      <c r="E469" s="92" t="s">
        <v>368</v>
      </c>
      <c r="F469" s="92"/>
      <c r="G469" s="93" t="s">
        <v>502</v>
      </c>
      <c r="H469" s="94">
        <v>10450</v>
      </c>
      <c r="I469" s="94">
        <v>7115</v>
      </c>
      <c r="J469" s="94">
        <v>3335</v>
      </c>
      <c r="K469" s="94">
        <v>1062</v>
      </c>
      <c r="L469" s="94">
        <v>2497</v>
      </c>
      <c r="M469" s="94">
        <v>5369</v>
      </c>
      <c r="N469" s="94">
        <v>1522</v>
      </c>
      <c r="O469" s="94">
        <v>10445</v>
      </c>
      <c r="P469" s="94">
        <v>5</v>
      </c>
      <c r="Q469" s="95">
        <v>0.163515585079203</v>
      </c>
      <c r="R469" s="95">
        <v>7.3443008225616904E-2</v>
      </c>
      <c r="S469" s="95">
        <v>0.36949949613705102</v>
      </c>
      <c r="T469" s="95">
        <v>0.202839756592292</v>
      </c>
      <c r="U469" s="95">
        <v>0.38428693424423599</v>
      </c>
      <c r="V469" s="95">
        <v>9.9265435775263103E-2</v>
      </c>
      <c r="W469" s="95">
        <v>0</v>
      </c>
      <c r="X469" s="95">
        <v>0.16358245578161701</v>
      </c>
      <c r="Y469" s="95">
        <v>0</v>
      </c>
      <c r="Z469" s="94">
        <v>14435</v>
      </c>
      <c r="AA469" s="94">
        <v>8289</v>
      </c>
      <c r="AB469" s="94">
        <v>6146</v>
      </c>
      <c r="AC469" s="94">
        <v>947</v>
      </c>
      <c r="AD469" s="94">
        <v>3370</v>
      </c>
      <c r="AE469" s="94">
        <v>7363</v>
      </c>
      <c r="AF469" s="94">
        <v>2755</v>
      </c>
      <c r="AG469" s="94">
        <v>9831</v>
      </c>
      <c r="AH469" s="94">
        <v>4385</v>
      </c>
      <c r="AI469" s="94">
        <v>219</v>
      </c>
      <c r="AJ469" s="94">
        <v>14356</v>
      </c>
      <c r="AK469" s="94">
        <v>20</v>
      </c>
      <c r="AL469" s="94">
        <v>59</v>
      </c>
      <c r="AM469" s="94">
        <v>1421</v>
      </c>
      <c r="AN469" s="94">
        <v>12801</v>
      </c>
      <c r="AO469" s="94">
        <v>213</v>
      </c>
      <c r="AP469" s="95">
        <v>1.2717099048034299</v>
      </c>
      <c r="AQ469" s="95">
        <v>0.29662588060808298</v>
      </c>
      <c r="AR469" s="95">
        <v>2.663139329806</v>
      </c>
      <c r="AS469" s="95">
        <v>1.71037628278221</v>
      </c>
      <c r="AT469" s="95">
        <v>1.79697351828499</v>
      </c>
      <c r="AU469" s="95">
        <v>1.2873107936058801</v>
      </c>
      <c r="AV469" s="95">
        <v>0.45402951191827501</v>
      </c>
      <c r="AW469" s="95">
        <v>1.2716392391536699</v>
      </c>
      <c r="AX469" s="95">
        <v>1.3113972341440201</v>
      </c>
      <c r="AY469" s="95">
        <v>0.47846889952153099</v>
      </c>
      <c r="AZ469" s="95">
        <v>1.2714651077822401</v>
      </c>
      <c r="BA469" s="95">
        <v>0</v>
      </c>
      <c r="BB469" s="95">
        <v>1.72413793103448</v>
      </c>
      <c r="BC469" s="95">
        <v>0.368459837877671</v>
      </c>
      <c r="BD469" s="95">
        <v>1.3684038020321201</v>
      </c>
      <c r="BE469" s="95">
        <v>1.5</v>
      </c>
    </row>
    <row r="470" spans="2:57" ht="15" customHeight="1" x14ac:dyDescent="0.25">
      <c r="B470" s="96">
        <v>460</v>
      </c>
      <c r="C470" s="97" t="s">
        <v>504</v>
      </c>
      <c r="D470" s="104" t="s">
        <v>51</v>
      </c>
      <c r="E470" s="104" t="s">
        <v>368</v>
      </c>
      <c r="F470" s="104" t="s">
        <v>252</v>
      </c>
      <c r="G470" s="105" t="s">
        <v>252</v>
      </c>
      <c r="H470" s="106">
        <v>9016</v>
      </c>
      <c r="I470" s="106">
        <v>5818</v>
      </c>
      <c r="J470" s="106">
        <v>3198</v>
      </c>
      <c r="K470" s="106">
        <v>770</v>
      </c>
      <c r="L470" s="106">
        <v>2011</v>
      </c>
      <c r="M470" s="106">
        <v>4838</v>
      </c>
      <c r="N470" s="106">
        <v>1397</v>
      </c>
      <c r="O470" s="106">
        <v>8999</v>
      </c>
      <c r="P470" s="106">
        <v>17</v>
      </c>
      <c r="Q470" s="107">
        <v>0.77649026400668997</v>
      </c>
      <c r="R470" s="107">
        <v>0.345517366793962</v>
      </c>
      <c r="S470" s="107">
        <v>1.6016713091921999</v>
      </c>
      <c r="T470" s="107">
        <v>2.3876404494382002</v>
      </c>
      <c r="U470" s="107">
        <v>0.87241003271537598</v>
      </c>
      <c r="V470" s="107">
        <v>0.57547587428065505</v>
      </c>
      <c r="W470" s="107">
        <v>0.45906656465187501</v>
      </c>
      <c r="X470" s="107">
        <v>0.77788415509813302</v>
      </c>
      <c r="Y470" s="107">
        <v>0</v>
      </c>
      <c r="Z470" s="106">
        <v>12640</v>
      </c>
      <c r="AA470" s="106">
        <v>6894</v>
      </c>
      <c r="AB470" s="106">
        <v>5746</v>
      </c>
      <c r="AC470" s="106">
        <v>885</v>
      </c>
      <c r="AD470" s="106">
        <v>2823</v>
      </c>
      <c r="AE470" s="106">
        <v>6419</v>
      </c>
      <c r="AF470" s="106">
        <v>2513</v>
      </c>
      <c r="AG470" s="106">
        <v>9835</v>
      </c>
      <c r="AH470" s="106">
        <v>2652</v>
      </c>
      <c r="AI470" s="106">
        <v>153</v>
      </c>
      <c r="AJ470" s="106">
        <v>12549</v>
      </c>
      <c r="AK470" s="106">
        <v>39</v>
      </c>
      <c r="AL470" s="106">
        <v>52</v>
      </c>
      <c r="AM470" s="106">
        <v>1368</v>
      </c>
      <c r="AN470" s="106">
        <v>11084</v>
      </c>
      <c r="AO470" s="106">
        <v>188</v>
      </c>
      <c r="AP470" s="107">
        <v>3.52048052056394</v>
      </c>
      <c r="AQ470" s="107">
        <v>1.1209086833059301</v>
      </c>
      <c r="AR470" s="107">
        <v>6.55211480362538</v>
      </c>
      <c r="AS470" s="107">
        <v>6.7878787878787898</v>
      </c>
      <c r="AT470" s="107">
        <v>4.85845447589901</v>
      </c>
      <c r="AU470" s="107">
        <v>3.2389322916666701</v>
      </c>
      <c r="AV470" s="107">
        <v>1.6638935108153099</v>
      </c>
      <c r="AW470" s="107">
        <v>3.1650983746792098</v>
      </c>
      <c r="AX470" s="107">
        <v>4.8976314733038899</v>
      </c>
      <c r="AY470" s="107">
        <v>2.7777777777777799</v>
      </c>
      <c r="AZ470" s="107">
        <v>3.48622311827957</v>
      </c>
      <c r="BA470" s="107">
        <v>15.625</v>
      </c>
      <c r="BB470" s="107">
        <v>3.9215686274509798</v>
      </c>
      <c r="BC470" s="107">
        <v>2.1406727828746202</v>
      </c>
      <c r="BD470" s="107">
        <v>3.7139320064755701</v>
      </c>
      <c r="BE470" s="107">
        <v>2.2471910112359601</v>
      </c>
    </row>
    <row r="471" spans="2:57" ht="15" customHeight="1" x14ac:dyDescent="0.25">
      <c r="B471" s="91">
        <v>461</v>
      </c>
      <c r="C471" s="92" t="s">
        <v>504</v>
      </c>
      <c r="D471" s="92" t="s">
        <v>51</v>
      </c>
      <c r="E471" s="92" t="s">
        <v>368</v>
      </c>
      <c r="F471" s="92" t="s">
        <v>252</v>
      </c>
      <c r="G471" s="101" t="s">
        <v>501</v>
      </c>
      <c r="H471" s="94">
        <v>3150</v>
      </c>
      <c r="I471" s="94">
        <v>1698</v>
      </c>
      <c r="J471" s="94">
        <v>1452</v>
      </c>
      <c r="K471" s="94">
        <v>207</v>
      </c>
      <c r="L471" s="94">
        <v>802</v>
      </c>
      <c r="M471" s="94">
        <v>1756</v>
      </c>
      <c r="N471" s="94">
        <v>385</v>
      </c>
      <c r="O471" s="94">
        <v>3135</v>
      </c>
      <c r="P471" s="94">
        <v>15</v>
      </c>
      <c r="Q471" s="95">
        <v>1.92241675248884</v>
      </c>
      <c r="R471" s="95">
        <v>1.1479591836734699</v>
      </c>
      <c r="S471" s="95">
        <v>2.8252788104089199</v>
      </c>
      <c r="T471" s="95">
        <v>7.6923076923076898</v>
      </c>
      <c r="U471" s="95">
        <v>1.5363128491620099</v>
      </c>
      <c r="V471" s="95">
        <v>1.4607425441266</v>
      </c>
      <c r="W471" s="95">
        <v>1.6713091922005601</v>
      </c>
      <c r="X471" s="95">
        <v>1.9317005864091099</v>
      </c>
      <c r="Y471" s="95">
        <v>0</v>
      </c>
      <c r="Z471" s="94">
        <v>4403</v>
      </c>
      <c r="AA471" s="94">
        <v>2192</v>
      </c>
      <c r="AB471" s="94">
        <v>2211</v>
      </c>
      <c r="AC471" s="94">
        <v>248</v>
      </c>
      <c r="AD471" s="94">
        <v>1093</v>
      </c>
      <c r="AE471" s="94">
        <v>2425</v>
      </c>
      <c r="AF471" s="94">
        <v>637</v>
      </c>
      <c r="AG471" s="94">
        <v>2907</v>
      </c>
      <c r="AH471" s="94">
        <v>1479</v>
      </c>
      <c r="AI471" s="94">
        <v>17</v>
      </c>
      <c r="AJ471" s="94">
        <v>4357</v>
      </c>
      <c r="AK471" s="94">
        <v>33</v>
      </c>
      <c r="AL471" s="94">
        <v>13</v>
      </c>
      <c r="AM471" s="94">
        <v>369</v>
      </c>
      <c r="AN471" s="94">
        <v>4016</v>
      </c>
      <c r="AO471" s="94">
        <v>18</v>
      </c>
      <c r="AP471" s="95">
        <v>7.5435664836476501</v>
      </c>
      <c r="AQ471" s="95">
        <v>2.9537875178656501</v>
      </c>
      <c r="AR471" s="95">
        <v>12.1531100478469</v>
      </c>
      <c r="AS471" s="95">
        <v>18.75</v>
      </c>
      <c r="AT471" s="95">
        <v>9.6933728981206695</v>
      </c>
      <c r="AU471" s="95">
        <v>6.1558329746018101</v>
      </c>
      <c r="AV471" s="95">
        <v>4.8780487804878003</v>
      </c>
      <c r="AW471" s="95">
        <v>7.4793239841783503</v>
      </c>
      <c r="AX471" s="95">
        <v>7.5485262401150202</v>
      </c>
      <c r="AY471" s="95">
        <v>17.647058823529399</v>
      </c>
      <c r="AZ471" s="95">
        <v>7.4698795180722897</v>
      </c>
      <c r="BA471" s="95">
        <v>18.518518518518501</v>
      </c>
      <c r="BB471" s="95">
        <v>8.3333333333333304</v>
      </c>
      <c r="BC471" s="95">
        <v>6.8181818181818201</v>
      </c>
      <c r="BD471" s="95">
        <v>7.6197957580518496</v>
      </c>
      <c r="BE471" s="95">
        <v>5.5555555555555598</v>
      </c>
    </row>
    <row r="472" spans="2:57" ht="15" customHeight="1" x14ac:dyDescent="0.25">
      <c r="B472" s="91">
        <v>462</v>
      </c>
      <c r="C472" s="92" t="s">
        <v>504</v>
      </c>
      <c r="D472" s="92" t="s">
        <v>51</v>
      </c>
      <c r="E472" s="92" t="s">
        <v>368</v>
      </c>
      <c r="F472" s="92" t="s">
        <v>252</v>
      </c>
      <c r="G472" s="101" t="s">
        <v>502</v>
      </c>
      <c r="H472" s="94">
        <v>5866</v>
      </c>
      <c r="I472" s="94">
        <v>4120</v>
      </c>
      <c r="J472" s="94">
        <v>1746</v>
      </c>
      <c r="K472" s="94">
        <v>563</v>
      </c>
      <c r="L472" s="94">
        <v>1209</v>
      </c>
      <c r="M472" s="94">
        <v>3082</v>
      </c>
      <c r="N472" s="94">
        <v>1012</v>
      </c>
      <c r="O472" s="94">
        <v>5864</v>
      </c>
      <c r="P472" s="94">
        <v>2</v>
      </c>
      <c r="Q472" s="95">
        <v>0.16489556614144399</v>
      </c>
      <c r="R472" s="95">
        <v>2.54388196387688E-2</v>
      </c>
      <c r="S472" s="95">
        <v>0.52390307793058299</v>
      </c>
      <c r="T472" s="95">
        <v>0.38684719535783402</v>
      </c>
      <c r="U472" s="95">
        <v>0.44722719141323802</v>
      </c>
      <c r="V472" s="95">
        <v>6.9565217391304293E-2</v>
      </c>
      <c r="W472" s="95">
        <v>0</v>
      </c>
      <c r="X472" s="95">
        <v>0.16492578339747099</v>
      </c>
      <c r="Y472" s="95">
        <v>0</v>
      </c>
      <c r="Z472" s="94">
        <v>8237</v>
      </c>
      <c r="AA472" s="94">
        <v>4702</v>
      </c>
      <c r="AB472" s="94">
        <v>3535</v>
      </c>
      <c r="AC472" s="94">
        <v>637</v>
      </c>
      <c r="AD472" s="94">
        <v>1730</v>
      </c>
      <c r="AE472" s="94">
        <v>3994</v>
      </c>
      <c r="AF472" s="94">
        <v>1876</v>
      </c>
      <c r="AG472" s="94">
        <v>6928</v>
      </c>
      <c r="AH472" s="94">
        <v>1173</v>
      </c>
      <c r="AI472" s="94">
        <v>136</v>
      </c>
      <c r="AJ472" s="94">
        <v>8192</v>
      </c>
      <c r="AK472" s="94">
        <v>6</v>
      </c>
      <c r="AL472" s="94">
        <v>39</v>
      </c>
      <c r="AM472" s="94">
        <v>999</v>
      </c>
      <c r="AN472" s="94">
        <v>7068</v>
      </c>
      <c r="AO472" s="94">
        <v>170</v>
      </c>
      <c r="AP472" s="95">
        <v>1.3593229033085401</v>
      </c>
      <c r="AQ472" s="95">
        <v>0.28310104529616698</v>
      </c>
      <c r="AR472" s="95">
        <v>2.9008109794135999</v>
      </c>
      <c r="AS472" s="95">
        <v>1.8803418803418801</v>
      </c>
      <c r="AT472" s="95">
        <v>1.8091079226450399</v>
      </c>
      <c r="AU472" s="95">
        <v>1.4655849254122</v>
      </c>
      <c r="AV472" s="95">
        <v>0.558971492453885</v>
      </c>
      <c r="AW472" s="95">
        <v>1.33921777507229</v>
      </c>
      <c r="AX472" s="95">
        <v>1.5454545454545501</v>
      </c>
      <c r="AY472" s="95">
        <v>0.78740157480314998</v>
      </c>
      <c r="AZ472" s="95">
        <v>1.35413979881352</v>
      </c>
      <c r="BA472" s="95">
        <v>0</v>
      </c>
      <c r="BB472" s="95">
        <v>2.5641025641025599</v>
      </c>
      <c r="BC472" s="95">
        <v>0.418410041841004</v>
      </c>
      <c r="BD472" s="95">
        <v>1.4815923376234701</v>
      </c>
      <c r="BE472" s="95">
        <v>1.875</v>
      </c>
    </row>
    <row r="473" spans="2:57" ht="15" customHeight="1" x14ac:dyDescent="0.25">
      <c r="B473" s="96">
        <v>463</v>
      </c>
      <c r="C473" s="97" t="s">
        <v>504</v>
      </c>
      <c r="D473" s="104" t="s">
        <v>51</v>
      </c>
      <c r="E473" s="104" t="s">
        <v>368</v>
      </c>
      <c r="F473" s="104" t="s">
        <v>145</v>
      </c>
      <c r="G473" s="105" t="s">
        <v>145</v>
      </c>
      <c r="H473" s="106">
        <v>3153</v>
      </c>
      <c r="I473" s="106">
        <v>2085</v>
      </c>
      <c r="J473" s="106">
        <v>1068</v>
      </c>
      <c r="K473" s="106">
        <v>198</v>
      </c>
      <c r="L473" s="106">
        <v>873</v>
      </c>
      <c r="M473" s="106">
        <v>1695</v>
      </c>
      <c r="N473" s="106">
        <v>387</v>
      </c>
      <c r="O473" s="106">
        <v>3150</v>
      </c>
      <c r="P473" s="106">
        <v>3</v>
      </c>
      <c r="Q473" s="107">
        <v>0.23442732752846601</v>
      </c>
      <c r="R473" s="107">
        <v>9.9354197714853501E-2</v>
      </c>
      <c r="S473" s="107">
        <v>0.51387461459403905</v>
      </c>
      <c r="T473" s="107">
        <v>0</v>
      </c>
      <c r="U473" s="107">
        <v>0.48484848484848497</v>
      </c>
      <c r="V473" s="107">
        <v>0.18633540372670801</v>
      </c>
      <c r="W473" s="107">
        <v>0</v>
      </c>
      <c r="X473" s="107">
        <v>0.23466309084813899</v>
      </c>
      <c r="Y473" s="107">
        <v>0</v>
      </c>
      <c r="Z473" s="106">
        <v>3759</v>
      </c>
      <c r="AA473" s="106">
        <v>2253</v>
      </c>
      <c r="AB473" s="106">
        <v>1506</v>
      </c>
      <c r="AC473" s="106">
        <v>148</v>
      </c>
      <c r="AD473" s="106">
        <v>886</v>
      </c>
      <c r="AE473" s="106">
        <v>2119</v>
      </c>
      <c r="AF473" s="106">
        <v>606</v>
      </c>
      <c r="AG473" s="106">
        <v>588</v>
      </c>
      <c r="AH473" s="106">
        <v>3096</v>
      </c>
      <c r="AI473" s="106">
        <v>75</v>
      </c>
      <c r="AJ473" s="106">
        <v>3737</v>
      </c>
      <c r="AK473" s="106">
        <v>13</v>
      </c>
      <c r="AL473" s="106">
        <v>9</v>
      </c>
      <c r="AM473" s="106">
        <v>254</v>
      </c>
      <c r="AN473" s="106">
        <v>3484</v>
      </c>
      <c r="AO473" s="106">
        <v>21</v>
      </c>
      <c r="AP473" s="107">
        <v>1.6253443526170801</v>
      </c>
      <c r="AQ473" s="107">
        <v>0.81558676937018604</v>
      </c>
      <c r="AR473" s="107">
        <v>2.88123682361209</v>
      </c>
      <c r="AS473" s="107">
        <v>0.70422535211267601</v>
      </c>
      <c r="AT473" s="107">
        <v>2.2352941176470602</v>
      </c>
      <c r="AU473" s="107">
        <v>1.8048780487804901</v>
      </c>
      <c r="AV473" s="107">
        <v>0.34013605442176897</v>
      </c>
      <c r="AW473" s="107">
        <v>1.41093474426808</v>
      </c>
      <c r="AX473" s="107">
        <v>1.67280026764804</v>
      </c>
      <c r="AY473" s="107">
        <v>1.35135135135135</v>
      </c>
      <c r="AZ473" s="107">
        <v>1.6343490304709101</v>
      </c>
      <c r="BA473" s="107">
        <v>0</v>
      </c>
      <c r="BB473" s="107">
        <v>0</v>
      </c>
      <c r="BC473" s="107">
        <v>1.22448979591837</v>
      </c>
      <c r="BD473" s="107">
        <v>1.6646848989298499</v>
      </c>
      <c r="BE473" s="107">
        <v>0</v>
      </c>
    </row>
    <row r="474" spans="2:57" ht="15" customHeight="1" x14ac:dyDescent="0.25">
      <c r="B474" s="91">
        <v>464</v>
      </c>
      <c r="C474" s="92" t="s">
        <v>504</v>
      </c>
      <c r="D474" s="92" t="s">
        <v>51</v>
      </c>
      <c r="E474" s="92" t="s">
        <v>368</v>
      </c>
      <c r="F474" s="92" t="s">
        <v>145</v>
      </c>
      <c r="G474" s="101" t="s">
        <v>501</v>
      </c>
      <c r="H474" s="94">
        <v>1360</v>
      </c>
      <c r="I474" s="94">
        <v>834</v>
      </c>
      <c r="J474" s="94">
        <v>526</v>
      </c>
      <c r="K474" s="94">
        <v>51</v>
      </c>
      <c r="L474" s="94">
        <v>412</v>
      </c>
      <c r="M474" s="94">
        <v>741</v>
      </c>
      <c r="N474" s="94">
        <v>156</v>
      </c>
      <c r="O474" s="94">
        <v>1358</v>
      </c>
      <c r="P474" s="94">
        <v>2</v>
      </c>
      <c r="Q474" s="95">
        <v>0.309837335398916</v>
      </c>
      <c r="R474" s="95">
        <v>0</v>
      </c>
      <c r="S474" s="95">
        <v>0.829875518672199</v>
      </c>
      <c r="T474" s="95">
        <v>0</v>
      </c>
      <c r="U474" s="95">
        <v>0.512820512820513</v>
      </c>
      <c r="V474" s="95">
        <v>0.28449502133712701</v>
      </c>
      <c r="W474" s="95">
        <v>0</v>
      </c>
      <c r="X474" s="95">
        <v>0.31031807602792899</v>
      </c>
      <c r="Y474" s="95">
        <v>0</v>
      </c>
      <c r="Z474" s="94">
        <v>1464</v>
      </c>
      <c r="AA474" s="94">
        <v>876</v>
      </c>
      <c r="AB474" s="94">
        <v>588</v>
      </c>
      <c r="AC474" s="94">
        <v>45</v>
      </c>
      <c r="AD474" s="94">
        <v>346</v>
      </c>
      <c r="AE474" s="94">
        <v>859</v>
      </c>
      <c r="AF474" s="94">
        <v>214</v>
      </c>
      <c r="AG474" s="94">
        <v>153</v>
      </c>
      <c r="AH474" s="94">
        <v>1299</v>
      </c>
      <c r="AI474" s="94">
        <v>12</v>
      </c>
      <c r="AJ474" s="94">
        <v>1454</v>
      </c>
      <c r="AK474" s="94">
        <v>9</v>
      </c>
      <c r="AL474" s="94">
        <v>1</v>
      </c>
      <c r="AM474" s="94">
        <v>74</v>
      </c>
      <c r="AN474" s="94">
        <v>1384</v>
      </c>
      <c r="AO474" s="94">
        <v>6</v>
      </c>
      <c r="AP474" s="95">
        <v>3.2810271041369501</v>
      </c>
      <c r="AQ474" s="95">
        <v>1.8779342723004699</v>
      </c>
      <c r="AR474" s="95">
        <v>5.4545454545454497</v>
      </c>
      <c r="AS474" s="95">
        <v>0</v>
      </c>
      <c r="AT474" s="95">
        <v>4.0123456790123502</v>
      </c>
      <c r="AU474" s="95">
        <v>3.8554216867469902</v>
      </c>
      <c r="AV474" s="95">
        <v>0.48780487804877998</v>
      </c>
      <c r="AW474" s="95">
        <v>4.1958041958042003</v>
      </c>
      <c r="AX474" s="95">
        <v>3.12750601443464</v>
      </c>
      <c r="AY474" s="95">
        <v>8.3333333333333304</v>
      </c>
      <c r="AZ474" s="95">
        <v>3.30222541277818</v>
      </c>
      <c r="BA474" s="95">
        <v>0</v>
      </c>
      <c r="BB474" s="95">
        <v>0</v>
      </c>
      <c r="BC474" s="95">
        <v>4.28571428571429</v>
      </c>
      <c r="BD474" s="95">
        <v>3.2428355957767701</v>
      </c>
      <c r="BE474" s="95">
        <v>0</v>
      </c>
    </row>
    <row r="475" spans="2:57" ht="15" customHeight="1" x14ac:dyDescent="0.25">
      <c r="B475" s="91">
        <v>465</v>
      </c>
      <c r="C475" s="92" t="s">
        <v>504</v>
      </c>
      <c r="D475" s="92" t="s">
        <v>51</v>
      </c>
      <c r="E475" s="92" t="s">
        <v>368</v>
      </c>
      <c r="F475" s="92" t="s">
        <v>145</v>
      </c>
      <c r="G475" s="101" t="s">
        <v>502</v>
      </c>
      <c r="H475" s="94">
        <v>1793</v>
      </c>
      <c r="I475" s="94">
        <v>1251</v>
      </c>
      <c r="J475" s="94">
        <v>542</v>
      </c>
      <c r="K475" s="94">
        <v>147</v>
      </c>
      <c r="L475" s="94">
        <v>461</v>
      </c>
      <c r="M475" s="94">
        <v>954</v>
      </c>
      <c r="N475" s="94">
        <v>231</v>
      </c>
      <c r="O475" s="94">
        <v>1792</v>
      </c>
      <c r="P475" s="94">
        <v>1</v>
      </c>
      <c r="Q475" s="95">
        <v>0.17699115044247801</v>
      </c>
      <c r="R475" s="95">
        <v>0.16611295681063101</v>
      </c>
      <c r="S475" s="95">
        <v>0.203665987780041</v>
      </c>
      <c r="T475" s="95">
        <v>0</v>
      </c>
      <c r="U475" s="95">
        <v>0.45977011494252901</v>
      </c>
      <c r="V475" s="95">
        <v>0.110253583241455</v>
      </c>
      <c r="W475" s="95">
        <v>0</v>
      </c>
      <c r="X475" s="95">
        <v>0.17709563164108599</v>
      </c>
      <c r="Y475" s="95">
        <v>0</v>
      </c>
      <c r="Z475" s="94">
        <v>2295</v>
      </c>
      <c r="AA475" s="94">
        <v>1377</v>
      </c>
      <c r="AB475" s="94">
        <v>918</v>
      </c>
      <c r="AC475" s="94">
        <v>103</v>
      </c>
      <c r="AD475" s="94">
        <v>540</v>
      </c>
      <c r="AE475" s="94">
        <v>1260</v>
      </c>
      <c r="AF475" s="94">
        <v>392</v>
      </c>
      <c r="AG475" s="94">
        <v>435</v>
      </c>
      <c r="AH475" s="94">
        <v>1797</v>
      </c>
      <c r="AI475" s="94">
        <v>63</v>
      </c>
      <c r="AJ475" s="94">
        <v>2283</v>
      </c>
      <c r="AK475" s="94">
        <v>4</v>
      </c>
      <c r="AL475" s="94">
        <v>8</v>
      </c>
      <c r="AM475" s="94">
        <v>180</v>
      </c>
      <c r="AN475" s="94">
        <v>2100</v>
      </c>
      <c r="AO475" s="94">
        <v>15</v>
      </c>
      <c r="AP475" s="95">
        <v>0.58348294434470405</v>
      </c>
      <c r="AQ475" s="95">
        <v>0.14760147601476001</v>
      </c>
      <c r="AR475" s="95">
        <v>1.26002290950745</v>
      </c>
      <c r="AS475" s="95">
        <v>1.0101010101010099</v>
      </c>
      <c r="AT475" s="95">
        <v>1.14068441064639</v>
      </c>
      <c r="AU475" s="95">
        <v>0.409836065573771</v>
      </c>
      <c r="AV475" s="95">
        <v>0.26109660574412502</v>
      </c>
      <c r="AW475" s="95">
        <v>0.47169811320754701</v>
      </c>
      <c r="AX475" s="95">
        <v>0.63145809414466103</v>
      </c>
      <c r="AY475" s="95">
        <v>0</v>
      </c>
      <c r="AZ475" s="95">
        <v>0.58637798827244003</v>
      </c>
      <c r="BA475" s="95">
        <v>0</v>
      </c>
      <c r="BB475" s="95">
        <v>0</v>
      </c>
      <c r="BC475" s="95">
        <v>0</v>
      </c>
      <c r="BD475" s="95">
        <v>0.63788027477919496</v>
      </c>
      <c r="BE475" s="95">
        <v>0</v>
      </c>
    </row>
    <row r="476" spans="2:57" ht="15" customHeight="1" x14ac:dyDescent="0.25">
      <c r="B476" s="96">
        <v>466</v>
      </c>
      <c r="C476" s="97" t="s">
        <v>504</v>
      </c>
      <c r="D476" s="104" t="s">
        <v>51</v>
      </c>
      <c r="E476" s="104" t="s">
        <v>368</v>
      </c>
      <c r="F476" s="104" t="s">
        <v>56</v>
      </c>
      <c r="G476" s="105" t="s">
        <v>56</v>
      </c>
      <c r="H476" s="106">
        <v>2791</v>
      </c>
      <c r="I476" s="106">
        <v>1744</v>
      </c>
      <c r="J476" s="106">
        <v>1047</v>
      </c>
      <c r="K476" s="106">
        <v>352</v>
      </c>
      <c r="L476" s="106">
        <v>827</v>
      </c>
      <c r="M476" s="106">
        <v>1333</v>
      </c>
      <c r="N476" s="106">
        <v>279</v>
      </c>
      <c r="O476" s="106">
        <v>2789</v>
      </c>
      <c r="P476" s="106">
        <v>2</v>
      </c>
      <c r="Q476" s="107">
        <v>0.151975683890578</v>
      </c>
      <c r="R476" s="107">
        <v>0.119545726240287</v>
      </c>
      <c r="S476" s="107">
        <v>0.20855057351407699</v>
      </c>
      <c r="T476" s="107">
        <v>0</v>
      </c>
      <c r="U476" s="107">
        <v>0.25348542458808598</v>
      </c>
      <c r="V476" s="107">
        <v>0.159362549800797</v>
      </c>
      <c r="W476" s="107">
        <v>0</v>
      </c>
      <c r="X476" s="107">
        <v>0.15209125475285201</v>
      </c>
      <c r="Y476" s="107">
        <v>0</v>
      </c>
      <c r="Z476" s="106">
        <v>3903</v>
      </c>
      <c r="AA476" s="106">
        <v>2210</v>
      </c>
      <c r="AB476" s="106">
        <v>1693</v>
      </c>
      <c r="AC476" s="106">
        <v>207</v>
      </c>
      <c r="AD476" s="106">
        <v>1100</v>
      </c>
      <c r="AE476" s="106">
        <v>2109</v>
      </c>
      <c r="AF476" s="106">
        <v>487</v>
      </c>
      <c r="AG476" s="106">
        <v>2468</v>
      </c>
      <c r="AH476" s="106">
        <v>1415</v>
      </c>
      <c r="AI476" s="106">
        <v>20</v>
      </c>
      <c r="AJ476" s="106">
        <v>3881</v>
      </c>
      <c r="AK476" s="106">
        <v>10</v>
      </c>
      <c r="AL476" s="106">
        <v>12</v>
      </c>
      <c r="AM476" s="106">
        <v>242</v>
      </c>
      <c r="AN476" s="106">
        <v>3633</v>
      </c>
      <c r="AO476" s="106">
        <v>28</v>
      </c>
      <c r="AP476" s="107">
        <v>1.49933065595716</v>
      </c>
      <c r="AQ476" s="107">
        <v>0.41977611940298498</v>
      </c>
      <c r="AR476" s="107">
        <v>2.9541169076052798</v>
      </c>
      <c r="AS476" s="107">
        <v>1.55440414507772</v>
      </c>
      <c r="AT476" s="107">
        <v>2.1093000958772801</v>
      </c>
      <c r="AU476" s="107">
        <v>1.4792899408283999</v>
      </c>
      <c r="AV476" s="107">
        <v>0.21231422505307901</v>
      </c>
      <c r="AW476" s="107">
        <v>1.2272534913245901</v>
      </c>
      <c r="AX476" s="107">
        <v>1.99704142011834</v>
      </c>
      <c r="AY476" s="107">
        <v>0</v>
      </c>
      <c r="AZ476" s="107">
        <v>1.50780829294561</v>
      </c>
      <c r="BA476" s="107">
        <v>0</v>
      </c>
      <c r="BB476" s="107">
        <v>0</v>
      </c>
      <c r="BC476" s="107">
        <v>0.44247787610619499</v>
      </c>
      <c r="BD476" s="107">
        <v>1.57864523536165</v>
      </c>
      <c r="BE476" s="107">
        <v>0</v>
      </c>
    </row>
    <row r="477" spans="2:57" ht="15" customHeight="1" x14ac:dyDescent="0.25">
      <c r="B477" s="91">
        <v>467</v>
      </c>
      <c r="C477" s="92" t="s">
        <v>504</v>
      </c>
      <c r="D477" s="92" t="s">
        <v>51</v>
      </c>
      <c r="E477" s="92" t="s">
        <v>368</v>
      </c>
      <c r="F477" s="92" t="s">
        <v>56</v>
      </c>
      <c r="G477" s="101" t="s">
        <v>501</v>
      </c>
      <c r="H477" s="94">
        <v>0</v>
      </c>
      <c r="I477" s="94">
        <v>0</v>
      </c>
      <c r="J477" s="94">
        <v>0</v>
      </c>
      <c r="K477" s="94">
        <v>0</v>
      </c>
      <c r="L477" s="94">
        <v>0</v>
      </c>
      <c r="M477" s="94">
        <v>0</v>
      </c>
      <c r="N477" s="94">
        <v>0</v>
      </c>
      <c r="O477" s="94">
        <v>0</v>
      </c>
      <c r="P477" s="94">
        <v>0</v>
      </c>
      <c r="Q477" s="95">
        <v>0</v>
      </c>
      <c r="R477" s="95">
        <v>0</v>
      </c>
      <c r="S477" s="95">
        <v>0</v>
      </c>
      <c r="T477" s="95">
        <v>0</v>
      </c>
      <c r="U477" s="95">
        <v>0</v>
      </c>
      <c r="V477" s="95">
        <v>0</v>
      </c>
      <c r="W477" s="95">
        <v>0</v>
      </c>
      <c r="X477" s="95">
        <v>0</v>
      </c>
      <c r="Y477" s="95">
        <v>0</v>
      </c>
      <c r="Z477" s="94">
        <v>0</v>
      </c>
      <c r="AA477" s="94">
        <v>0</v>
      </c>
      <c r="AB477" s="94">
        <v>0</v>
      </c>
      <c r="AC477" s="94">
        <v>0</v>
      </c>
      <c r="AD477" s="94">
        <v>0</v>
      </c>
      <c r="AE477" s="94">
        <v>0</v>
      </c>
      <c r="AF477" s="94">
        <v>0</v>
      </c>
      <c r="AG477" s="94">
        <v>0</v>
      </c>
      <c r="AH477" s="94">
        <v>0</v>
      </c>
      <c r="AI477" s="94">
        <v>0</v>
      </c>
      <c r="AJ477" s="94">
        <v>0</v>
      </c>
      <c r="AK477" s="94">
        <v>0</v>
      </c>
      <c r="AL477" s="94">
        <v>0</v>
      </c>
      <c r="AM477" s="94">
        <v>0</v>
      </c>
      <c r="AN477" s="94">
        <v>0</v>
      </c>
      <c r="AO477" s="94">
        <v>0</v>
      </c>
      <c r="AP477" s="95">
        <v>0</v>
      </c>
      <c r="AQ477" s="95">
        <v>0</v>
      </c>
      <c r="AR477" s="95">
        <v>0</v>
      </c>
      <c r="AS477" s="95">
        <v>0</v>
      </c>
      <c r="AT477" s="95">
        <v>0</v>
      </c>
      <c r="AU477" s="95">
        <v>0</v>
      </c>
      <c r="AV477" s="95">
        <v>0</v>
      </c>
      <c r="AW477" s="95">
        <v>0</v>
      </c>
      <c r="AX477" s="95">
        <v>0</v>
      </c>
      <c r="AY477" s="95">
        <v>0</v>
      </c>
      <c r="AZ477" s="95">
        <v>0</v>
      </c>
      <c r="BA477" s="95">
        <v>0</v>
      </c>
      <c r="BB477" s="95">
        <v>0</v>
      </c>
      <c r="BC477" s="95">
        <v>0</v>
      </c>
      <c r="BD477" s="95">
        <v>0</v>
      </c>
      <c r="BE477" s="95">
        <v>0</v>
      </c>
    </row>
    <row r="478" spans="2:57" ht="15" customHeight="1" x14ac:dyDescent="0.25">
      <c r="B478" s="91">
        <v>468</v>
      </c>
      <c r="C478" s="92" t="s">
        <v>504</v>
      </c>
      <c r="D478" s="92" t="s">
        <v>51</v>
      </c>
      <c r="E478" s="92" t="s">
        <v>368</v>
      </c>
      <c r="F478" s="92" t="s">
        <v>56</v>
      </c>
      <c r="G478" s="101" t="s">
        <v>502</v>
      </c>
      <c r="H478" s="94">
        <v>2791</v>
      </c>
      <c r="I478" s="94">
        <v>1744</v>
      </c>
      <c r="J478" s="94">
        <v>1047</v>
      </c>
      <c r="K478" s="94">
        <v>352</v>
      </c>
      <c r="L478" s="94">
        <v>827</v>
      </c>
      <c r="M478" s="94">
        <v>1333</v>
      </c>
      <c r="N478" s="94">
        <v>279</v>
      </c>
      <c r="O478" s="94">
        <v>2789</v>
      </c>
      <c r="P478" s="94">
        <v>2</v>
      </c>
      <c r="Q478" s="95">
        <v>0.151975683890578</v>
      </c>
      <c r="R478" s="95">
        <v>0.119545726240287</v>
      </c>
      <c r="S478" s="95">
        <v>0.20855057351407699</v>
      </c>
      <c r="T478" s="95">
        <v>0</v>
      </c>
      <c r="U478" s="95">
        <v>0.25348542458808598</v>
      </c>
      <c r="V478" s="95">
        <v>0.159362549800797</v>
      </c>
      <c r="W478" s="95">
        <v>0</v>
      </c>
      <c r="X478" s="95">
        <v>0.15209125475285201</v>
      </c>
      <c r="Y478" s="95">
        <v>0</v>
      </c>
      <c r="Z478" s="94">
        <v>3903</v>
      </c>
      <c r="AA478" s="94">
        <v>2210</v>
      </c>
      <c r="AB478" s="94">
        <v>1693</v>
      </c>
      <c r="AC478" s="94">
        <v>207</v>
      </c>
      <c r="AD478" s="94">
        <v>1100</v>
      </c>
      <c r="AE478" s="94">
        <v>2109</v>
      </c>
      <c r="AF478" s="94">
        <v>487</v>
      </c>
      <c r="AG478" s="94">
        <v>2468</v>
      </c>
      <c r="AH478" s="94">
        <v>1415</v>
      </c>
      <c r="AI478" s="94">
        <v>20</v>
      </c>
      <c r="AJ478" s="94">
        <v>3881</v>
      </c>
      <c r="AK478" s="94">
        <v>10</v>
      </c>
      <c r="AL478" s="94">
        <v>12</v>
      </c>
      <c r="AM478" s="94">
        <v>242</v>
      </c>
      <c r="AN478" s="94">
        <v>3633</v>
      </c>
      <c r="AO478" s="94">
        <v>28</v>
      </c>
      <c r="AP478" s="95">
        <v>1.49933065595716</v>
      </c>
      <c r="AQ478" s="95">
        <v>0.41977611940298498</v>
      </c>
      <c r="AR478" s="95">
        <v>2.9541169076052798</v>
      </c>
      <c r="AS478" s="95">
        <v>1.55440414507772</v>
      </c>
      <c r="AT478" s="95">
        <v>2.1093000958772801</v>
      </c>
      <c r="AU478" s="95">
        <v>1.4792899408283999</v>
      </c>
      <c r="AV478" s="95">
        <v>0.21231422505307901</v>
      </c>
      <c r="AW478" s="95">
        <v>1.2272534913245901</v>
      </c>
      <c r="AX478" s="95">
        <v>1.99704142011834</v>
      </c>
      <c r="AY478" s="95">
        <v>0</v>
      </c>
      <c r="AZ478" s="95">
        <v>1.50780829294561</v>
      </c>
      <c r="BA478" s="95">
        <v>0</v>
      </c>
      <c r="BB478" s="95">
        <v>0</v>
      </c>
      <c r="BC478" s="95">
        <v>0.44247787610619499</v>
      </c>
      <c r="BD478" s="95">
        <v>1.57864523536165</v>
      </c>
      <c r="BE478" s="95">
        <v>0</v>
      </c>
    </row>
    <row r="479" spans="2:57" ht="15" customHeight="1" x14ac:dyDescent="0.25">
      <c r="B479" s="86">
        <v>469</v>
      </c>
      <c r="C479" s="87" t="s">
        <v>503</v>
      </c>
      <c r="D479" s="103" t="s">
        <v>51</v>
      </c>
      <c r="E479" s="103" t="s">
        <v>369</v>
      </c>
      <c r="F479" s="103"/>
      <c r="G479" s="88" t="s">
        <v>369</v>
      </c>
      <c r="H479" s="89">
        <v>26436</v>
      </c>
      <c r="I479" s="89">
        <v>16323</v>
      </c>
      <c r="J479" s="89">
        <v>10113</v>
      </c>
      <c r="K479" s="89">
        <v>2607</v>
      </c>
      <c r="L479" s="89">
        <v>6843</v>
      </c>
      <c r="M479" s="89">
        <v>12518</v>
      </c>
      <c r="N479" s="89">
        <v>4468</v>
      </c>
      <c r="O479" s="89">
        <v>26422</v>
      </c>
      <c r="P479" s="89">
        <v>14</v>
      </c>
      <c r="Q479" s="90">
        <v>0.16354860584785999</v>
      </c>
      <c r="R479" s="90">
        <v>7.0193350775317506E-2</v>
      </c>
      <c r="S479" s="90">
        <v>0.319216854649925</v>
      </c>
      <c r="T479" s="90">
        <v>0.32746623004502701</v>
      </c>
      <c r="U479" s="90">
        <v>0.124513618677043</v>
      </c>
      <c r="V479" s="90">
        <v>0.18440905280804701</v>
      </c>
      <c r="W479" s="90">
        <v>7.0241161320533804E-2</v>
      </c>
      <c r="X479" s="90">
        <v>0.16363346104725399</v>
      </c>
      <c r="Y479" s="90">
        <v>0</v>
      </c>
      <c r="Z479" s="89">
        <v>32169</v>
      </c>
      <c r="AA479" s="89">
        <v>18951</v>
      </c>
      <c r="AB479" s="89">
        <v>13218</v>
      </c>
      <c r="AC479" s="89">
        <v>2235</v>
      </c>
      <c r="AD479" s="89">
        <v>8092</v>
      </c>
      <c r="AE479" s="89">
        <v>15743</v>
      </c>
      <c r="AF479" s="89">
        <v>6099</v>
      </c>
      <c r="AG479" s="89">
        <v>29057</v>
      </c>
      <c r="AH479" s="89">
        <v>2728</v>
      </c>
      <c r="AI479" s="89">
        <v>384</v>
      </c>
      <c r="AJ479" s="89">
        <v>32045</v>
      </c>
      <c r="AK479" s="89">
        <v>40</v>
      </c>
      <c r="AL479" s="89">
        <v>84</v>
      </c>
      <c r="AM479" s="89">
        <v>2125</v>
      </c>
      <c r="AN479" s="89">
        <v>29632</v>
      </c>
      <c r="AO479" s="89">
        <v>412</v>
      </c>
      <c r="AP479" s="90">
        <v>0.86979099052317299</v>
      </c>
      <c r="AQ479" s="90">
        <v>0.25823111684958</v>
      </c>
      <c r="AR479" s="90">
        <v>1.79973821989529</v>
      </c>
      <c r="AS479" s="90">
        <v>1.54963680387409</v>
      </c>
      <c r="AT479" s="90">
        <v>1.0044351682754999</v>
      </c>
      <c r="AU479" s="90">
        <v>0.91549759599552105</v>
      </c>
      <c r="AV479" s="90">
        <v>0.33909799932180401</v>
      </c>
      <c r="AW479" s="90">
        <v>0.81560793331417103</v>
      </c>
      <c r="AX479" s="90">
        <v>1.4525993883792001</v>
      </c>
      <c r="AY479" s="90">
        <v>0.82417582417582402</v>
      </c>
      <c r="AZ479" s="90">
        <v>0.86970684039087898</v>
      </c>
      <c r="BA479" s="90">
        <v>2.9411764705882399</v>
      </c>
      <c r="BB479" s="90">
        <v>0</v>
      </c>
      <c r="BC479" s="90">
        <v>0.53868756121449601</v>
      </c>
      <c r="BD479" s="90">
        <v>0.90569495348181595</v>
      </c>
      <c r="BE479" s="90">
        <v>0</v>
      </c>
    </row>
    <row r="480" spans="2:57" ht="15" customHeight="1" x14ac:dyDescent="0.25">
      <c r="B480" s="91">
        <v>470</v>
      </c>
      <c r="C480" s="92" t="s">
        <v>503</v>
      </c>
      <c r="D480" s="92" t="s">
        <v>51</v>
      </c>
      <c r="E480" s="92" t="s">
        <v>369</v>
      </c>
      <c r="F480" s="92"/>
      <c r="G480" s="93" t="s">
        <v>501</v>
      </c>
      <c r="H480" s="94">
        <v>0</v>
      </c>
      <c r="I480" s="94">
        <v>0</v>
      </c>
      <c r="J480" s="94">
        <v>0</v>
      </c>
      <c r="K480" s="94">
        <v>0</v>
      </c>
      <c r="L480" s="94">
        <v>0</v>
      </c>
      <c r="M480" s="94">
        <v>0</v>
      </c>
      <c r="N480" s="94">
        <v>0</v>
      </c>
      <c r="O480" s="94">
        <v>0</v>
      </c>
      <c r="P480" s="94">
        <v>0</v>
      </c>
      <c r="Q480" s="95">
        <v>0</v>
      </c>
      <c r="R480" s="95">
        <v>0</v>
      </c>
      <c r="S480" s="95">
        <v>0</v>
      </c>
      <c r="T480" s="95">
        <v>0</v>
      </c>
      <c r="U480" s="95">
        <v>0</v>
      </c>
      <c r="V480" s="95">
        <v>0</v>
      </c>
      <c r="W480" s="95">
        <v>0</v>
      </c>
      <c r="X480" s="95">
        <v>0</v>
      </c>
      <c r="Y480" s="95">
        <v>0</v>
      </c>
      <c r="Z480" s="94">
        <v>0</v>
      </c>
      <c r="AA480" s="94">
        <v>0</v>
      </c>
      <c r="AB480" s="94">
        <v>0</v>
      </c>
      <c r="AC480" s="94">
        <v>0</v>
      </c>
      <c r="AD480" s="94">
        <v>0</v>
      </c>
      <c r="AE480" s="94">
        <v>0</v>
      </c>
      <c r="AF480" s="94">
        <v>0</v>
      </c>
      <c r="AG480" s="94">
        <v>0</v>
      </c>
      <c r="AH480" s="94">
        <v>0</v>
      </c>
      <c r="AI480" s="94">
        <v>0</v>
      </c>
      <c r="AJ480" s="94">
        <v>0</v>
      </c>
      <c r="AK480" s="94">
        <v>0</v>
      </c>
      <c r="AL480" s="94">
        <v>0</v>
      </c>
      <c r="AM480" s="94">
        <v>0</v>
      </c>
      <c r="AN480" s="94">
        <v>0</v>
      </c>
      <c r="AO480" s="94">
        <v>0</v>
      </c>
      <c r="AP480" s="95">
        <v>0</v>
      </c>
      <c r="AQ480" s="95">
        <v>0</v>
      </c>
      <c r="AR480" s="95">
        <v>0</v>
      </c>
      <c r="AS480" s="95">
        <v>0</v>
      </c>
      <c r="AT480" s="95">
        <v>0</v>
      </c>
      <c r="AU480" s="95">
        <v>0</v>
      </c>
      <c r="AV480" s="95">
        <v>0</v>
      </c>
      <c r="AW480" s="95">
        <v>0</v>
      </c>
      <c r="AX480" s="95">
        <v>0</v>
      </c>
      <c r="AY480" s="95">
        <v>0</v>
      </c>
      <c r="AZ480" s="95">
        <v>0</v>
      </c>
      <c r="BA480" s="95">
        <v>0</v>
      </c>
      <c r="BB480" s="95">
        <v>0</v>
      </c>
      <c r="BC480" s="95">
        <v>0</v>
      </c>
      <c r="BD480" s="95">
        <v>0</v>
      </c>
      <c r="BE480" s="95">
        <v>0</v>
      </c>
    </row>
    <row r="481" spans="2:57" ht="15" customHeight="1" x14ac:dyDescent="0.25">
      <c r="B481" s="91">
        <v>471</v>
      </c>
      <c r="C481" s="92" t="s">
        <v>503</v>
      </c>
      <c r="D481" s="92" t="s">
        <v>51</v>
      </c>
      <c r="E481" s="92" t="s">
        <v>369</v>
      </c>
      <c r="F481" s="92"/>
      <c r="G481" s="93" t="s">
        <v>502</v>
      </c>
      <c r="H481" s="94">
        <v>26436</v>
      </c>
      <c r="I481" s="94">
        <v>16323</v>
      </c>
      <c r="J481" s="94">
        <v>10113</v>
      </c>
      <c r="K481" s="94">
        <v>2607</v>
      </c>
      <c r="L481" s="94">
        <v>6843</v>
      </c>
      <c r="M481" s="94">
        <v>12518</v>
      </c>
      <c r="N481" s="94">
        <v>4468</v>
      </c>
      <c r="O481" s="94">
        <v>26422</v>
      </c>
      <c r="P481" s="94">
        <v>14</v>
      </c>
      <c r="Q481" s="95">
        <v>0.16354860584785999</v>
      </c>
      <c r="R481" s="95">
        <v>7.0193350775317506E-2</v>
      </c>
      <c r="S481" s="95">
        <v>0.319216854649925</v>
      </c>
      <c r="T481" s="95">
        <v>0.32746623004502701</v>
      </c>
      <c r="U481" s="95">
        <v>0.124513618677043</v>
      </c>
      <c r="V481" s="95">
        <v>0.18440905280804701</v>
      </c>
      <c r="W481" s="95">
        <v>7.0241161320533804E-2</v>
      </c>
      <c r="X481" s="95">
        <v>0.16363346104725399</v>
      </c>
      <c r="Y481" s="95">
        <v>0</v>
      </c>
      <c r="Z481" s="94">
        <v>32169</v>
      </c>
      <c r="AA481" s="94">
        <v>18951</v>
      </c>
      <c r="AB481" s="94">
        <v>13218</v>
      </c>
      <c r="AC481" s="94">
        <v>2235</v>
      </c>
      <c r="AD481" s="94">
        <v>8092</v>
      </c>
      <c r="AE481" s="94">
        <v>15743</v>
      </c>
      <c r="AF481" s="94">
        <v>6099</v>
      </c>
      <c r="AG481" s="94">
        <v>29057</v>
      </c>
      <c r="AH481" s="94">
        <v>2728</v>
      </c>
      <c r="AI481" s="94">
        <v>384</v>
      </c>
      <c r="AJ481" s="94">
        <v>32045</v>
      </c>
      <c r="AK481" s="94">
        <v>40</v>
      </c>
      <c r="AL481" s="94">
        <v>84</v>
      </c>
      <c r="AM481" s="94">
        <v>2125</v>
      </c>
      <c r="AN481" s="94">
        <v>29632</v>
      </c>
      <c r="AO481" s="94">
        <v>412</v>
      </c>
      <c r="AP481" s="95">
        <v>0.86979099052317299</v>
      </c>
      <c r="AQ481" s="95">
        <v>0.25823111684958</v>
      </c>
      <c r="AR481" s="95">
        <v>1.79973821989529</v>
      </c>
      <c r="AS481" s="95">
        <v>1.54963680387409</v>
      </c>
      <c r="AT481" s="95">
        <v>1.0044351682754999</v>
      </c>
      <c r="AU481" s="95">
        <v>0.91549759599552105</v>
      </c>
      <c r="AV481" s="95">
        <v>0.33909799932180401</v>
      </c>
      <c r="AW481" s="95">
        <v>0.81560793331417103</v>
      </c>
      <c r="AX481" s="95">
        <v>1.4525993883792001</v>
      </c>
      <c r="AY481" s="95">
        <v>0.82417582417582402</v>
      </c>
      <c r="AZ481" s="95">
        <v>0.86970684039087898</v>
      </c>
      <c r="BA481" s="95">
        <v>2.9411764705882399</v>
      </c>
      <c r="BB481" s="95">
        <v>0</v>
      </c>
      <c r="BC481" s="95">
        <v>0.53868756121449601</v>
      </c>
      <c r="BD481" s="95">
        <v>0.90569495348181595</v>
      </c>
      <c r="BE481" s="95">
        <v>0</v>
      </c>
    </row>
    <row r="482" spans="2:57" ht="15" customHeight="1" x14ac:dyDescent="0.25">
      <c r="B482" s="96">
        <v>472</v>
      </c>
      <c r="C482" s="97" t="s">
        <v>504</v>
      </c>
      <c r="D482" s="104" t="s">
        <v>51</v>
      </c>
      <c r="E482" s="104" t="s">
        <v>369</v>
      </c>
      <c r="F482" s="104" t="s">
        <v>369</v>
      </c>
      <c r="G482" s="105" t="s">
        <v>369</v>
      </c>
      <c r="H482" s="106">
        <v>11278</v>
      </c>
      <c r="I482" s="106">
        <v>7012</v>
      </c>
      <c r="J482" s="106">
        <v>4266</v>
      </c>
      <c r="K482" s="106">
        <v>978</v>
      </c>
      <c r="L482" s="106">
        <v>2636</v>
      </c>
      <c r="M482" s="106">
        <v>5504</v>
      </c>
      <c r="N482" s="106">
        <v>2160</v>
      </c>
      <c r="O482" s="106">
        <v>11269</v>
      </c>
      <c r="P482" s="106">
        <v>9</v>
      </c>
      <c r="Q482" s="107">
        <v>0.26131591227251499</v>
      </c>
      <c r="R482" s="107">
        <v>0.118238250073899</v>
      </c>
      <c r="S482" s="107">
        <v>0.506457330969866</v>
      </c>
      <c r="T482" s="107">
        <v>0.55679287305122505</v>
      </c>
      <c r="U482" s="107">
        <v>0.120144173007609</v>
      </c>
      <c r="V482" s="107">
        <v>0.32319391634980998</v>
      </c>
      <c r="W482" s="107">
        <v>0.14563106796116501</v>
      </c>
      <c r="X482" s="107">
        <v>0.261511160922761</v>
      </c>
      <c r="Y482" s="107">
        <v>0</v>
      </c>
      <c r="Z482" s="106">
        <v>12390</v>
      </c>
      <c r="AA482" s="106">
        <v>7375</v>
      </c>
      <c r="AB482" s="106">
        <v>5015</v>
      </c>
      <c r="AC482" s="106">
        <v>796</v>
      </c>
      <c r="AD482" s="106">
        <v>2750</v>
      </c>
      <c r="AE482" s="106">
        <v>6126</v>
      </c>
      <c r="AF482" s="106">
        <v>2718</v>
      </c>
      <c r="AG482" s="106">
        <v>11320</v>
      </c>
      <c r="AH482" s="106">
        <v>943</v>
      </c>
      <c r="AI482" s="106">
        <v>127</v>
      </c>
      <c r="AJ482" s="106">
        <v>12343</v>
      </c>
      <c r="AK482" s="106">
        <v>18</v>
      </c>
      <c r="AL482" s="106">
        <v>29</v>
      </c>
      <c r="AM482" s="106">
        <v>1053</v>
      </c>
      <c r="AN482" s="106">
        <v>11156</v>
      </c>
      <c r="AO482" s="106">
        <v>181</v>
      </c>
      <c r="AP482" s="107">
        <v>1.38455044322499</v>
      </c>
      <c r="AQ482" s="107">
        <v>0.304456130639358</v>
      </c>
      <c r="AR482" s="107">
        <v>3.07425849751028</v>
      </c>
      <c r="AS482" s="107">
        <v>2.8455284552845499</v>
      </c>
      <c r="AT482" s="107">
        <v>1.50346954510409</v>
      </c>
      <c r="AU482" s="107">
        <v>1.5300918055083299</v>
      </c>
      <c r="AV482" s="107">
        <v>0.53211706575446605</v>
      </c>
      <c r="AW482" s="107">
        <v>1.25658320243925</v>
      </c>
      <c r="AX482" s="107">
        <v>2.8792912513842701</v>
      </c>
      <c r="AY482" s="107">
        <v>1.6806722689075599</v>
      </c>
      <c r="AZ482" s="107">
        <v>1.3897127362088</v>
      </c>
      <c r="BA482" s="107">
        <v>0</v>
      </c>
      <c r="BB482" s="107">
        <v>0</v>
      </c>
      <c r="BC482" s="107">
        <v>0.88408644400785896</v>
      </c>
      <c r="BD482" s="107">
        <v>1.4547160957297001</v>
      </c>
      <c r="BE482" s="107">
        <v>0</v>
      </c>
    </row>
    <row r="483" spans="2:57" ht="15" customHeight="1" x14ac:dyDescent="0.25">
      <c r="B483" s="91">
        <v>473</v>
      </c>
      <c r="C483" s="92" t="s">
        <v>504</v>
      </c>
      <c r="D483" s="92" t="s">
        <v>51</v>
      </c>
      <c r="E483" s="92" t="s">
        <v>369</v>
      </c>
      <c r="F483" s="92" t="s">
        <v>369</v>
      </c>
      <c r="G483" s="101" t="s">
        <v>501</v>
      </c>
      <c r="H483" s="94">
        <v>0</v>
      </c>
      <c r="I483" s="94">
        <v>0</v>
      </c>
      <c r="J483" s="94">
        <v>0</v>
      </c>
      <c r="K483" s="94">
        <v>0</v>
      </c>
      <c r="L483" s="94">
        <v>0</v>
      </c>
      <c r="M483" s="94">
        <v>0</v>
      </c>
      <c r="N483" s="94">
        <v>0</v>
      </c>
      <c r="O483" s="94">
        <v>0</v>
      </c>
      <c r="P483" s="94">
        <v>0</v>
      </c>
      <c r="Q483" s="95">
        <v>0</v>
      </c>
      <c r="R483" s="95">
        <v>0</v>
      </c>
      <c r="S483" s="95">
        <v>0</v>
      </c>
      <c r="T483" s="95">
        <v>0</v>
      </c>
      <c r="U483" s="95">
        <v>0</v>
      </c>
      <c r="V483" s="95">
        <v>0</v>
      </c>
      <c r="W483" s="95">
        <v>0</v>
      </c>
      <c r="X483" s="95">
        <v>0</v>
      </c>
      <c r="Y483" s="95">
        <v>0</v>
      </c>
      <c r="Z483" s="94">
        <v>0</v>
      </c>
      <c r="AA483" s="94">
        <v>0</v>
      </c>
      <c r="AB483" s="94">
        <v>0</v>
      </c>
      <c r="AC483" s="94">
        <v>0</v>
      </c>
      <c r="AD483" s="94">
        <v>0</v>
      </c>
      <c r="AE483" s="94">
        <v>0</v>
      </c>
      <c r="AF483" s="94">
        <v>0</v>
      </c>
      <c r="AG483" s="94">
        <v>0</v>
      </c>
      <c r="AH483" s="94">
        <v>0</v>
      </c>
      <c r="AI483" s="94">
        <v>0</v>
      </c>
      <c r="AJ483" s="94">
        <v>0</v>
      </c>
      <c r="AK483" s="94">
        <v>0</v>
      </c>
      <c r="AL483" s="94">
        <v>0</v>
      </c>
      <c r="AM483" s="94">
        <v>0</v>
      </c>
      <c r="AN483" s="94">
        <v>0</v>
      </c>
      <c r="AO483" s="94">
        <v>0</v>
      </c>
      <c r="AP483" s="95">
        <v>0</v>
      </c>
      <c r="AQ483" s="95">
        <v>0</v>
      </c>
      <c r="AR483" s="95">
        <v>0</v>
      </c>
      <c r="AS483" s="95">
        <v>0</v>
      </c>
      <c r="AT483" s="95">
        <v>0</v>
      </c>
      <c r="AU483" s="95">
        <v>0</v>
      </c>
      <c r="AV483" s="95">
        <v>0</v>
      </c>
      <c r="AW483" s="95">
        <v>0</v>
      </c>
      <c r="AX483" s="95">
        <v>0</v>
      </c>
      <c r="AY483" s="95">
        <v>0</v>
      </c>
      <c r="AZ483" s="95">
        <v>0</v>
      </c>
      <c r="BA483" s="95">
        <v>0</v>
      </c>
      <c r="BB483" s="95">
        <v>0</v>
      </c>
      <c r="BC483" s="95">
        <v>0</v>
      </c>
      <c r="BD483" s="95">
        <v>0</v>
      </c>
      <c r="BE483" s="95">
        <v>0</v>
      </c>
    </row>
    <row r="484" spans="2:57" ht="15" customHeight="1" x14ac:dyDescent="0.25">
      <c r="B484" s="91">
        <v>474</v>
      </c>
      <c r="C484" s="92" t="s">
        <v>504</v>
      </c>
      <c r="D484" s="92" t="s">
        <v>51</v>
      </c>
      <c r="E484" s="92" t="s">
        <v>369</v>
      </c>
      <c r="F484" s="92" t="s">
        <v>369</v>
      </c>
      <c r="G484" s="101" t="s">
        <v>502</v>
      </c>
      <c r="H484" s="94">
        <v>11278</v>
      </c>
      <c r="I484" s="94">
        <v>7012</v>
      </c>
      <c r="J484" s="94">
        <v>4266</v>
      </c>
      <c r="K484" s="94">
        <v>978</v>
      </c>
      <c r="L484" s="94">
        <v>2636</v>
      </c>
      <c r="M484" s="94">
        <v>5504</v>
      </c>
      <c r="N484" s="94">
        <v>2160</v>
      </c>
      <c r="O484" s="94">
        <v>11269</v>
      </c>
      <c r="P484" s="94">
        <v>9</v>
      </c>
      <c r="Q484" s="95">
        <v>0.26131591227251499</v>
      </c>
      <c r="R484" s="95">
        <v>0.118238250073899</v>
      </c>
      <c r="S484" s="95">
        <v>0.506457330969866</v>
      </c>
      <c r="T484" s="95">
        <v>0.55679287305122505</v>
      </c>
      <c r="U484" s="95">
        <v>0.120144173007609</v>
      </c>
      <c r="V484" s="95">
        <v>0.32319391634980998</v>
      </c>
      <c r="W484" s="95">
        <v>0.14563106796116501</v>
      </c>
      <c r="X484" s="95">
        <v>0.261511160922761</v>
      </c>
      <c r="Y484" s="95">
        <v>0</v>
      </c>
      <c r="Z484" s="94">
        <v>12390</v>
      </c>
      <c r="AA484" s="94">
        <v>7375</v>
      </c>
      <c r="AB484" s="94">
        <v>5015</v>
      </c>
      <c r="AC484" s="94">
        <v>796</v>
      </c>
      <c r="AD484" s="94">
        <v>2750</v>
      </c>
      <c r="AE484" s="94">
        <v>6126</v>
      </c>
      <c r="AF484" s="94">
        <v>2718</v>
      </c>
      <c r="AG484" s="94">
        <v>11320</v>
      </c>
      <c r="AH484" s="94">
        <v>943</v>
      </c>
      <c r="AI484" s="94">
        <v>127</v>
      </c>
      <c r="AJ484" s="94">
        <v>12343</v>
      </c>
      <c r="AK484" s="94">
        <v>18</v>
      </c>
      <c r="AL484" s="94">
        <v>29</v>
      </c>
      <c r="AM484" s="94">
        <v>1053</v>
      </c>
      <c r="AN484" s="94">
        <v>11156</v>
      </c>
      <c r="AO484" s="94">
        <v>181</v>
      </c>
      <c r="AP484" s="95">
        <v>1.38455044322499</v>
      </c>
      <c r="AQ484" s="95">
        <v>0.304456130639358</v>
      </c>
      <c r="AR484" s="95">
        <v>3.07425849751028</v>
      </c>
      <c r="AS484" s="95">
        <v>2.8455284552845499</v>
      </c>
      <c r="AT484" s="95">
        <v>1.50346954510409</v>
      </c>
      <c r="AU484" s="95">
        <v>1.5300918055083299</v>
      </c>
      <c r="AV484" s="95">
        <v>0.53211706575446605</v>
      </c>
      <c r="AW484" s="95">
        <v>1.25658320243925</v>
      </c>
      <c r="AX484" s="95">
        <v>2.8792912513842701</v>
      </c>
      <c r="AY484" s="95">
        <v>1.6806722689075599</v>
      </c>
      <c r="AZ484" s="95">
        <v>1.3897127362088</v>
      </c>
      <c r="BA484" s="95">
        <v>0</v>
      </c>
      <c r="BB484" s="95">
        <v>0</v>
      </c>
      <c r="BC484" s="95">
        <v>0.88408644400785896</v>
      </c>
      <c r="BD484" s="95">
        <v>1.4547160957297001</v>
      </c>
      <c r="BE484" s="95">
        <v>0</v>
      </c>
    </row>
    <row r="485" spans="2:57" ht="15" customHeight="1" x14ac:dyDescent="0.25">
      <c r="B485" s="96">
        <v>475</v>
      </c>
      <c r="C485" s="97" t="s">
        <v>504</v>
      </c>
      <c r="D485" s="104" t="s">
        <v>51</v>
      </c>
      <c r="E485" s="104" t="s">
        <v>369</v>
      </c>
      <c r="F485" s="104" t="s">
        <v>177</v>
      </c>
      <c r="G485" s="105" t="s">
        <v>177</v>
      </c>
      <c r="H485" s="106">
        <v>6413</v>
      </c>
      <c r="I485" s="106">
        <v>3874</v>
      </c>
      <c r="J485" s="106">
        <v>2539</v>
      </c>
      <c r="K485" s="106">
        <v>629</v>
      </c>
      <c r="L485" s="106">
        <v>1486</v>
      </c>
      <c r="M485" s="106">
        <v>3075</v>
      </c>
      <c r="N485" s="106">
        <v>1223</v>
      </c>
      <c r="O485" s="106">
        <v>6412</v>
      </c>
      <c r="P485" s="106">
        <v>1</v>
      </c>
      <c r="Q485" s="107">
        <v>6.5692231893578604E-2</v>
      </c>
      <c r="R485" s="107">
        <v>2.6766595289079199E-2</v>
      </c>
      <c r="S485" s="107">
        <v>0.12749681257968601</v>
      </c>
      <c r="T485" s="107">
        <v>0.16920473773265701</v>
      </c>
      <c r="U485" s="107">
        <v>0.14306151645207399</v>
      </c>
      <c r="V485" s="107">
        <v>3.4071550255536598E-2</v>
      </c>
      <c r="W485" s="107">
        <v>0</v>
      </c>
      <c r="X485" s="107">
        <v>6.5703022339027597E-2</v>
      </c>
      <c r="Y485" s="107">
        <v>0</v>
      </c>
      <c r="Z485" s="106">
        <v>8546</v>
      </c>
      <c r="AA485" s="106">
        <v>4818</v>
      </c>
      <c r="AB485" s="106">
        <v>3728</v>
      </c>
      <c r="AC485" s="106">
        <v>559</v>
      </c>
      <c r="AD485" s="106">
        <v>2005</v>
      </c>
      <c r="AE485" s="106">
        <v>4143</v>
      </c>
      <c r="AF485" s="106">
        <v>1839</v>
      </c>
      <c r="AG485" s="106">
        <v>7747</v>
      </c>
      <c r="AH485" s="106">
        <v>719</v>
      </c>
      <c r="AI485" s="106">
        <v>80</v>
      </c>
      <c r="AJ485" s="106">
        <v>8516</v>
      </c>
      <c r="AK485" s="106">
        <v>5</v>
      </c>
      <c r="AL485" s="106">
        <v>25</v>
      </c>
      <c r="AM485" s="106">
        <v>486</v>
      </c>
      <c r="AN485" s="106">
        <v>7994</v>
      </c>
      <c r="AO485" s="106">
        <v>66</v>
      </c>
      <c r="AP485" s="107">
        <v>0.75334143377885798</v>
      </c>
      <c r="AQ485" s="107">
        <v>0.359180223959434</v>
      </c>
      <c r="AR485" s="107">
        <v>1.28681727194738</v>
      </c>
      <c r="AS485" s="107">
        <v>1.7110266159695799</v>
      </c>
      <c r="AT485" s="107">
        <v>1.2041884816753901</v>
      </c>
      <c r="AU485" s="107">
        <v>0.62297533017692497</v>
      </c>
      <c r="AV485" s="107">
        <v>0.28074115665356503</v>
      </c>
      <c r="AW485" s="107">
        <v>0.75056962873609401</v>
      </c>
      <c r="AX485" s="107">
        <v>0.86956521739130399</v>
      </c>
      <c r="AY485" s="107">
        <v>0</v>
      </c>
      <c r="AZ485" s="107">
        <v>0.75572891272550002</v>
      </c>
      <c r="BA485" s="107">
        <v>0</v>
      </c>
      <c r="BB485" s="107">
        <v>0</v>
      </c>
      <c r="BC485" s="107">
        <v>0.213675213675214</v>
      </c>
      <c r="BD485" s="107">
        <v>0.79220779220779203</v>
      </c>
      <c r="BE485" s="107">
        <v>0</v>
      </c>
    </row>
    <row r="486" spans="2:57" ht="15" customHeight="1" x14ac:dyDescent="0.25">
      <c r="B486" s="91">
        <v>476</v>
      </c>
      <c r="C486" s="92" t="s">
        <v>504</v>
      </c>
      <c r="D486" s="92" t="s">
        <v>51</v>
      </c>
      <c r="E486" s="92" t="s">
        <v>369</v>
      </c>
      <c r="F486" s="92" t="s">
        <v>177</v>
      </c>
      <c r="G486" s="101" t="s">
        <v>501</v>
      </c>
      <c r="H486" s="94">
        <v>0</v>
      </c>
      <c r="I486" s="94">
        <v>0</v>
      </c>
      <c r="J486" s="94">
        <v>0</v>
      </c>
      <c r="K486" s="94">
        <v>0</v>
      </c>
      <c r="L486" s="94">
        <v>0</v>
      </c>
      <c r="M486" s="94">
        <v>0</v>
      </c>
      <c r="N486" s="94">
        <v>0</v>
      </c>
      <c r="O486" s="94">
        <v>0</v>
      </c>
      <c r="P486" s="94">
        <v>0</v>
      </c>
      <c r="Q486" s="95">
        <v>0</v>
      </c>
      <c r="R486" s="95">
        <v>0</v>
      </c>
      <c r="S486" s="95">
        <v>0</v>
      </c>
      <c r="T486" s="95">
        <v>0</v>
      </c>
      <c r="U486" s="95">
        <v>0</v>
      </c>
      <c r="V486" s="95">
        <v>0</v>
      </c>
      <c r="W486" s="95">
        <v>0</v>
      </c>
      <c r="X486" s="95">
        <v>0</v>
      </c>
      <c r="Y486" s="95">
        <v>0</v>
      </c>
      <c r="Z486" s="94">
        <v>0</v>
      </c>
      <c r="AA486" s="94">
        <v>0</v>
      </c>
      <c r="AB486" s="94">
        <v>0</v>
      </c>
      <c r="AC486" s="94">
        <v>0</v>
      </c>
      <c r="AD486" s="94">
        <v>0</v>
      </c>
      <c r="AE486" s="94">
        <v>0</v>
      </c>
      <c r="AF486" s="94">
        <v>0</v>
      </c>
      <c r="AG486" s="94">
        <v>0</v>
      </c>
      <c r="AH486" s="94">
        <v>0</v>
      </c>
      <c r="AI486" s="94">
        <v>0</v>
      </c>
      <c r="AJ486" s="94">
        <v>0</v>
      </c>
      <c r="AK486" s="94">
        <v>0</v>
      </c>
      <c r="AL486" s="94">
        <v>0</v>
      </c>
      <c r="AM486" s="94">
        <v>0</v>
      </c>
      <c r="AN486" s="94">
        <v>0</v>
      </c>
      <c r="AO486" s="94">
        <v>0</v>
      </c>
      <c r="AP486" s="95">
        <v>0</v>
      </c>
      <c r="AQ486" s="95">
        <v>0</v>
      </c>
      <c r="AR486" s="95">
        <v>0</v>
      </c>
      <c r="AS486" s="95">
        <v>0</v>
      </c>
      <c r="AT486" s="95">
        <v>0</v>
      </c>
      <c r="AU486" s="95">
        <v>0</v>
      </c>
      <c r="AV486" s="95">
        <v>0</v>
      </c>
      <c r="AW486" s="95">
        <v>0</v>
      </c>
      <c r="AX486" s="95">
        <v>0</v>
      </c>
      <c r="AY486" s="95">
        <v>0</v>
      </c>
      <c r="AZ486" s="95">
        <v>0</v>
      </c>
      <c r="BA486" s="95">
        <v>0</v>
      </c>
      <c r="BB486" s="95">
        <v>0</v>
      </c>
      <c r="BC486" s="95">
        <v>0</v>
      </c>
      <c r="BD486" s="95">
        <v>0</v>
      </c>
      <c r="BE486" s="95">
        <v>0</v>
      </c>
    </row>
    <row r="487" spans="2:57" ht="15" customHeight="1" x14ac:dyDescent="0.25">
      <c r="B487" s="91">
        <v>477</v>
      </c>
      <c r="C487" s="92" t="s">
        <v>504</v>
      </c>
      <c r="D487" s="92" t="s">
        <v>51</v>
      </c>
      <c r="E487" s="92" t="s">
        <v>369</v>
      </c>
      <c r="F487" s="92" t="s">
        <v>177</v>
      </c>
      <c r="G487" s="101" t="s">
        <v>502</v>
      </c>
      <c r="H487" s="94">
        <v>6413</v>
      </c>
      <c r="I487" s="94">
        <v>3874</v>
      </c>
      <c r="J487" s="94">
        <v>2539</v>
      </c>
      <c r="K487" s="94">
        <v>629</v>
      </c>
      <c r="L487" s="94">
        <v>1486</v>
      </c>
      <c r="M487" s="94">
        <v>3075</v>
      </c>
      <c r="N487" s="94">
        <v>1223</v>
      </c>
      <c r="O487" s="94">
        <v>6412</v>
      </c>
      <c r="P487" s="94">
        <v>1</v>
      </c>
      <c r="Q487" s="95">
        <v>6.5692231893578604E-2</v>
      </c>
      <c r="R487" s="95">
        <v>2.6766595289079199E-2</v>
      </c>
      <c r="S487" s="95">
        <v>0.12749681257968601</v>
      </c>
      <c r="T487" s="95">
        <v>0.16920473773265701</v>
      </c>
      <c r="U487" s="95">
        <v>0.14306151645207399</v>
      </c>
      <c r="V487" s="95">
        <v>3.4071550255536598E-2</v>
      </c>
      <c r="W487" s="95">
        <v>0</v>
      </c>
      <c r="X487" s="95">
        <v>6.5703022339027597E-2</v>
      </c>
      <c r="Y487" s="95">
        <v>0</v>
      </c>
      <c r="Z487" s="94">
        <v>8546</v>
      </c>
      <c r="AA487" s="94">
        <v>4818</v>
      </c>
      <c r="AB487" s="94">
        <v>3728</v>
      </c>
      <c r="AC487" s="94">
        <v>559</v>
      </c>
      <c r="AD487" s="94">
        <v>2005</v>
      </c>
      <c r="AE487" s="94">
        <v>4143</v>
      </c>
      <c r="AF487" s="94">
        <v>1839</v>
      </c>
      <c r="AG487" s="94">
        <v>7747</v>
      </c>
      <c r="AH487" s="94">
        <v>719</v>
      </c>
      <c r="AI487" s="94">
        <v>80</v>
      </c>
      <c r="AJ487" s="94">
        <v>8516</v>
      </c>
      <c r="AK487" s="94">
        <v>5</v>
      </c>
      <c r="AL487" s="94">
        <v>25</v>
      </c>
      <c r="AM487" s="94">
        <v>486</v>
      </c>
      <c r="AN487" s="94">
        <v>7994</v>
      </c>
      <c r="AO487" s="94">
        <v>66</v>
      </c>
      <c r="AP487" s="95">
        <v>0.75334143377885798</v>
      </c>
      <c r="AQ487" s="95">
        <v>0.359180223959434</v>
      </c>
      <c r="AR487" s="95">
        <v>1.28681727194738</v>
      </c>
      <c r="AS487" s="95">
        <v>1.7110266159695799</v>
      </c>
      <c r="AT487" s="95">
        <v>1.2041884816753901</v>
      </c>
      <c r="AU487" s="95">
        <v>0.62297533017692497</v>
      </c>
      <c r="AV487" s="95">
        <v>0.28074115665356503</v>
      </c>
      <c r="AW487" s="95">
        <v>0.75056962873609401</v>
      </c>
      <c r="AX487" s="95">
        <v>0.86956521739130399</v>
      </c>
      <c r="AY487" s="95">
        <v>0</v>
      </c>
      <c r="AZ487" s="95">
        <v>0.75572891272550002</v>
      </c>
      <c r="BA487" s="95">
        <v>0</v>
      </c>
      <c r="BB487" s="95">
        <v>0</v>
      </c>
      <c r="BC487" s="95">
        <v>0.213675213675214</v>
      </c>
      <c r="BD487" s="95">
        <v>0.79220779220779203</v>
      </c>
      <c r="BE487" s="95">
        <v>0</v>
      </c>
    </row>
    <row r="488" spans="2:57" ht="15" customHeight="1" x14ac:dyDescent="0.25">
      <c r="B488" s="96">
        <v>478</v>
      </c>
      <c r="C488" s="97" t="s">
        <v>504</v>
      </c>
      <c r="D488" s="104" t="s">
        <v>51</v>
      </c>
      <c r="E488" s="104" t="s">
        <v>369</v>
      </c>
      <c r="F488" s="104" t="s">
        <v>66</v>
      </c>
      <c r="G488" s="105" t="s">
        <v>66</v>
      </c>
      <c r="H488" s="106">
        <v>8745</v>
      </c>
      <c r="I488" s="106">
        <v>5437</v>
      </c>
      <c r="J488" s="106">
        <v>3308</v>
      </c>
      <c r="K488" s="106">
        <v>1000</v>
      </c>
      <c r="L488" s="106">
        <v>2721</v>
      </c>
      <c r="M488" s="106">
        <v>3939</v>
      </c>
      <c r="N488" s="106">
        <v>1085</v>
      </c>
      <c r="O488" s="106">
        <v>8741</v>
      </c>
      <c r="P488" s="106">
        <v>4</v>
      </c>
      <c r="Q488" s="107">
        <v>0.108892921960073</v>
      </c>
      <c r="R488" s="107">
        <v>3.8692203520990502E-2</v>
      </c>
      <c r="S488" s="107">
        <v>0.22609819121447</v>
      </c>
      <c r="T488" s="107">
        <v>0.20964360587002101</v>
      </c>
      <c r="U488" s="107">
        <v>0.118577075098814</v>
      </c>
      <c r="V488" s="107">
        <v>0.107095046854083</v>
      </c>
      <c r="W488" s="107">
        <v>0</v>
      </c>
      <c r="X488" s="107">
        <v>0.108945648226607</v>
      </c>
      <c r="Y488" s="107">
        <v>0</v>
      </c>
      <c r="Z488" s="106">
        <v>11233</v>
      </c>
      <c r="AA488" s="106">
        <v>6758</v>
      </c>
      <c r="AB488" s="106">
        <v>4475</v>
      </c>
      <c r="AC488" s="106">
        <v>880</v>
      </c>
      <c r="AD488" s="106">
        <v>3337</v>
      </c>
      <c r="AE488" s="106">
        <v>5474</v>
      </c>
      <c r="AF488" s="106">
        <v>1542</v>
      </c>
      <c r="AG488" s="106">
        <v>9990</v>
      </c>
      <c r="AH488" s="106">
        <v>1066</v>
      </c>
      <c r="AI488" s="106">
        <v>177</v>
      </c>
      <c r="AJ488" s="106">
        <v>11186</v>
      </c>
      <c r="AK488" s="106">
        <v>17</v>
      </c>
      <c r="AL488" s="106">
        <v>30</v>
      </c>
      <c r="AM488" s="106">
        <v>586</v>
      </c>
      <c r="AN488" s="106">
        <v>10482</v>
      </c>
      <c r="AO488" s="106">
        <v>165</v>
      </c>
      <c r="AP488" s="107">
        <v>0.39117071807767501</v>
      </c>
      <c r="AQ488" s="107">
        <v>0.13576708402474</v>
      </c>
      <c r="AR488" s="107">
        <v>0.80331061343719601</v>
      </c>
      <c r="AS488" s="107">
        <v>0.24968789013732801</v>
      </c>
      <c r="AT488" s="107">
        <v>0.47438330170777998</v>
      </c>
      <c r="AU488" s="107">
        <v>0.45385779122541597</v>
      </c>
      <c r="AV488" s="107">
        <v>6.7294751009421297E-2</v>
      </c>
      <c r="AW488" s="107">
        <v>0.36656891495601202</v>
      </c>
      <c r="AX488" s="107">
        <v>0.58651026392961902</v>
      </c>
      <c r="AY488" s="107">
        <v>0.60240963855421703</v>
      </c>
      <c r="AZ488" s="107">
        <v>0.38335670874240302</v>
      </c>
      <c r="BA488" s="107">
        <v>6.6666666666666696</v>
      </c>
      <c r="BB488" s="107">
        <v>0</v>
      </c>
      <c r="BC488" s="107">
        <v>0.17985611510791399</v>
      </c>
      <c r="BD488" s="107">
        <v>0.40914080431094701</v>
      </c>
      <c r="BE488" s="107">
        <v>0</v>
      </c>
    </row>
    <row r="489" spans="2:57" ht="15" customHeight="1" x14ac:dyDescent="0.25">
      <c r="B489" s="91">
        <v>479</v>
      </c>
      <c r="C489" s="92" t="s">
        <v>504</v>
      </c>
      <c r="D489" s="92" t="s">
        <v>51</v>
      </c>
      <c r="E489" s="92" t="s">
        <v>369</v>
      </c>
      <c r="F489" s="92" t="s">
        <v>66</v>
      </c>
      <c r="G489" s="101" t="s">
        <v>501</v>
      </c>
      <c r="H489" s="94">
        <v>0</v>
      </c>
      <c r="I489" s="94">
        <v>0</v>
      </c>
      <c r="J489" s="94">
        <v>0</v>
      </c>
      <c r="K489" s="94">
        <v>0</v>
      </c>
      <c r="L489" s="94">
        <v>0</v>
      </c>
      <c r="M489" s="94">
        <v>0</v>
      </c>
      <c r="N489" s="94">
        <v>0</v>
      </c>
      <c r="O489" s="94">
        <v>0</v>
      </c>
      <c r="P489" s="94">
        <v>0</v>
      </c>
      <c r="Q489" s="95">
        <v>0</v>
      </c>
      <c r="R489" s="95">
        <v>0</v>
      </c>
      <c r="S489" s="95">
        <v>0</v>
      </c>
      <c r="T489" s="95">
        <v>0</v>
      </c>
      <c r="U489" s="95">
        <v>0</v>
      </c>
      <c r="V489" s="95">
        <v>0</v>
      </c>
      <c r="W489" s="95">
        <v>0</v>
      </c>
      <c r="X489" s="95">
        <v>0</v>
      </c>
      <c r="Y489" s="95">
        <v>0</v>
      </c>
      <c r="Z489" s="94">
        <v>0</v>
      </c>
      <c r="AA489" s="94">
        <v>0</v>
      </c>
      <c r="AB489" s="94">
        <v>0</v>
      </c>
      <c r="AC489" s="94">
        <v>0</v>
      </c>
      <c r="AD489" s="94">
        <v>0</v>
      </c>
      <c r="AE489" s="94">
        <v>0</v>
      </c>
      <c r="AF489" s="94">
        <v>0</v>
      </c>
      <c r="AG489" s="94">
        <v>0</v>
      </c>
      <c r="AH489" s="94">
        <v>0</v>
      </c>
      <c r="AI489" s="94">
        <v>0</v>
      </c>
      <c r="AJ489" s="94">
        <v>0</v>
      </c>
      <c r="AK489" s="94">
        <v>0</v>
      </c>
      <c r="AL489" s="94">
        <v>0</v>
      </c>
      <c r="AM489" s="94">
        <v>0</v>
      </c>
      <c r="AN489" s="94">
        <v>0</v>
      </c>
      <c r="AO489" s="94">
        <v>0</v>
      </c>
      <c r="AP489" s="95">
        <v>0</v>
      </c>
      <c r="AQ489" s="95">
        <v>0</v>
      </c>
      <c r="AR489" s="95">
        <v>0</v>
      </c>
      <c r="AS489" s="95">
        <v>0</v>
      </c>
      <c r="AT489" s="95">
        <v>0</v>
      </c>
      <c r="AU489" s="95">
        <v>0</v>
      </c>
      <c r="AV489" s="95">
        <v>0</v>
      </c>
      <c r="AW489" s="95">
        <v>0</v>
      </c>
      <c r="AX489" s="95">
        <v>0</v>
      </c>
      <c r="AY489" s="95">
        <v>0</v>
      </c>
      <c r="AZ489" s="95">
        <v>0</v>
      </c>
      <c r="BA489" s="95">
        <v>0</v>
      </c>
      <c r="BB489" s="95">
        <v>0</v>
      </c>
      <c r="BC489" s="95">
        <v>0</v>
      </c>
      <c r="BD489" s="95">
        <v>0</v>
      </c>
      <c r="BE489" s="95">
        <v>0</v>
      </c>
    </row>
    <row r="490" spans="2:57" ht="15" customHeight="1" x14ac:dyDescent="0.25">
      <c r="B490" s="91">
        <v>480</v>
      </c>
      <c r="C490" s="92" t="s">
        <v>504</v>
      </c>
      <c r="D490" s="92" t="s">
        <v>51</v>
      </c>
      <c r="E490" s="92" t="s">
        <v>369</v>
      </c>
      <c r="F490" s="92" t="s">
        <v>66</v>
      </c>
      <c r="G490" s="101" t="s">
        <v>502</v>
      </c>
      <c r="H490" s="94">
        <v>8745</v>
      </c>
      <c r="I490" s="94">
        <v>5437</v>
      </c>
      <c r="J490" s="94">
        <v>3308</v>
      </c>
      <c r="K490" s="94">
        <v>1000</v>
      </c>
      <c r="L490" s="94">
        <v>2721</v>
      </c>
      <c r="M490" s="94">
        <v>3939</v>
      </c>
      <c r="N490" s="94">
        <v>1085</v>
      </c>
      <c r="O490" s="94">
        <v>8741</v>
      </c>
      <c r="P490" s="94">
        <v>4</v>
      </c>
      <c r="Q490" s="95">
        <v>0.108892921960073</v>
      </c>
      <c r="R490" s="95">
        <v>3.8692203520990502E-2</v>
      </c>
      <c r="S490" s="95">
        <v>0.22609819121447</v>
      </c>
      <c r="T490" s="95">
        <v>0.20964360587002101</v>
      </c>
      <c r="U490" s="95">
        <v>0.118577075098814</v>
      </c>
      <c r="V490" s="95">
        <v>0.107095046854083</v>
      </c>
      <c r="W490" s="95">
        <v>0</v>
      </c>
      <c r="X490" s="95">
        <v>0.108945648226607</v>
      </c>
      <c r="Y490" s="95">
        <v>0</v>
      </c>
      <c r="Z490" s="94">
        <v>11233</v>
      </c>
      <c r="AA490" s="94">
        <v>6758</v>
      </c>
      <c r="AB490" s="94">
        <v>4475</v>
      </c>
      <c r="AC490" s="94">
        <v>880</v>
      </c>
      <c r="AD490" s="94">
        <v>3337</v>
      </c>
      <c r="AE490" s="94">
        <v>5474</v>
      </c>
      <c r="AF490" s="94">
        <v>1542</v>
      </c>
      <c r="AG490" s="94">
        <v>9990</v>
      </c>
      <c r="AH490" s="94">
        <v>1066</v>
      </c>
      <c r="AI490" s="94">
        <v>177</v>
      </c>
      <c r="AJ490" s="94">
        <v>11186</v>
      </c>
      <c r="AK490" s="94">
        <v>17</v>
      </c>
      <c r="AL490" s="94">
        <v>30</v>
      </c>
      <c r="AM490" s="94">
        <v>586</v>
      </c>
      <c r="AN490" s="94">
        <v>10482</v>
      </c>
      <c r="AO490" s="94">
        <v>165</v>
      </c>
      <c r="AP490" s="95">
        <v>0.39117071807767501</v>
      </c>
      <c r="AQ490" s="95">
        <v>0.13576708402474</v>
      </c>
      <c r="AR490" s="95">
        <v>0.80331061343719601</v>
      </c>
      <c r="AS490" s="95">
        <v>0.24968789013732801</v>
      </c>
      <c r="AT490" s="95">
        <v>0.47438330170777998</v>
      </c>
      <c r="AU490" s="95">
        <v>0.45385779122541597</v>
      </c>
      <c r="AV490" s="95">
        <v>6.7294751009421297E-2</v>
      </c>
      <c r="AW490" s="95">
        <v>0.36656891495601202</v>
      </c>
      <c r="AX490" s="95">
        <v>0.58651026392961902</v>
      </c>
      <c r="AY490" s="95">
        <v>0.60240963855421703</v>
      </c>
      <c r="AZ490" s="95">
        <v>0.38335670874240302</v>
      </c>
      <c r="BA490" s="95">
        <v>6.6666666666666696</v>
      </c>
      <c r="BB490" s="95">
        <v>0</v>
      </c>
      <c r="BC490" s="95">
        <v>0.17985611510791399</v>
      </c>
      <c r="BD490" s="95">
        <v>0.40914080431094701</v>
      </c>
      <c r="BE490" s="95">
        <v>0</v>
      </c>
    </row>
    <row r="491" spans="2:57" ht="15" customHeight="1" x14ac:dyDescent="0.25">
      <c r="B491" s="86">
        <v>481</v>
      </c>
      <c r="C491" s="87" t="s">
        <v>503</v>
      </c>
      <c r="D491" s="103" t="s">
        <v>51</v>
      </c>
      <c r="E491" s="103" t="s">
        <v>370</v>
      </c>
      <c r="F491" s="103"/>
      <c r="G491" s="88" t="s">
        <v>370</v>
      </c>
      <c r="H491" s="89">
        <v>16127</v>
      </c>
      <c r="I491" s="89">
        <v>9566</v>
      </c>
      <c r="J491" s="89">
        <v>6561</v>
      </c>
      <c r="K491" s="89">
        <v>1057</v>
      </c>
      <c r="L491" s="89">
        <v>4173</v>
      </c>
      <c r="M491" s="89">
        <v>8121</v>
      </c>
      <c r="N491" s="89">
        <v>2776</v>
      </c>
      <c r="O491" s="89">
        <v>16056</v>
      </c>
      <c r="P491" s="89">
        <v>71</v>
      </c>
      <c r="Q491" s="90">
        <v>0.86559432933478697</v>
      </c>
      <c r="R491" s="90">
        <v>0.45470046606797798</v>
      </c>
      <c r="S491" s="90">
        <v>1.48085106382979</v>
      </c>
      <c r="T491" s="90">
        <v>1.82403433476395</v>
      </c>
      <c r="U491" s="90">
        <v>1.2972972972973</v>
      </c>
      <c r="V491" s="90">
        <v>0.74936437842901105</v>
      </c>
      <c r="W491" s="90">
        <v>0.233735878457343</v>
      </c>
      <c r="X491" s="90">
        <v>0.84188911704312097</v>
      </c>
      <c r="Y491" s="90">
        <v>6.4516129032258096</v>
      </c>
      <c r="Z491" s="89">
        <v>28036</v>
      </c>
      <c r="AA491" s="89">
        <v>15108</v>
      </c>
      <c r="AB491" s="89">
        <v>12928</v>
      </c>
      <c r="AC491" s="89">
        <v>1464</v>
      </c>
      <c r="AD491" s="89">
        <v>7621</v>
      </c>
      <c r="AE491" s="89">
        <v>14198</v>
      </c>
      <c r="AF491" s="89">
        <v>4753</v>
      </c>
      <c r="AG491" s="89">
        <v>20181</v>
      </c>
      <c r="AH491" s="89">
        <v>7602</v>
      </c>
      <c r="AI491" s="89">
        <v>253</v>
      </c>
      <c r="AJ491" s="89">
        <v>27777</v>
      </c>
      <c r="AK491" s="89">
        <v>195</v>
      </c>
      <c r="AL491" s="89">
        <v>64</v>
      </c>
      <c r="AM491" s="89">
        <v>1958</v>
      </c>
      <c r="AN491" s="89">
        <v>25833</v>
      </c>
      <c r="AO491" s="89">
        <v>245</v>
      </c>
      <c r="AP491" s="90">
        <v>4.3090193137071102</v>
      </c>
      <c r="AQ491" s="90">
        <v>1.3963777132586801</v>
      </c>
      <c r="AR491" s="90">
        <v>7.7629313878186696</v>
      </c>
      <c r="AS491" s="90">
        <v>5.8908045977011501</v>
      </c>
      <c r="AT491" s="90">
        <v>5.6010158013544</v>
      </c>
      <c r="AU491" s="90">
        <v>4.2123867736946803</v>
      </c>
      <c r="AV491" s="90">
        <v>2.12765957446809</v>
      </c>
      <c r="AW491" s="90">
        <v>3.83398184176394</v>
      </c>
      <c r="AX491" s="90">
        <v>5.6516885291654999</v>
      </c>
      <c r="AY491" s="90">
        <v>2.2321428571428599</v>
      </c>
      <c r="AZ491" s="90">
        <v>4.3210110106322599</v>
      </c>
      <c r="BA491" s="90">
        <v>4.0229885057471302</v>
      </c>
      <c r="BB491" s="90">
        <v>0</v>
      </c>
      <c r="BC491" s="90">
        <v>2.92087095061073</v>
      </c>
      <c r="BD491" s="90">
        <v>4.4099682384558996</v>
      </c>
      <c r="BE491" s="90">
        <v>4.91071428571429</v>
      </c>
    </row>
    <row r="492" spans="2:57" ht="15" customHeight="1" x14ac:dyDescent="0.25">
      <c r="B492" s="91">
        <v>482</v>
      </c>
      <c r="C492" s="92" t="s">
        <v>503</v>
      </c>
      <c r="D492" s="92" t="s">
        <v>51</v>
      </c>
      <c r="E492" s="92" t="s">
        <v>370</v>
      </c>
      <c r="F492" s="92"/>
      <c r="G492" s="93" t="s">
        <v>501</v>
      </c>
      <c r="H492" s="94">
        <v>2837</v>
      </c>
      <c r="I492" s="94">
        <v>1660</v>
      </c>
      <c r="J492" s="94">
        <v>1177</v>
      </c>
      <c r="K492" s="94">
        <v>118</v>
      </c>
      <c r="L492" s="94">
        <v>773</v>
      </c>
      <c r="M492" s="94">
        <v>1626</v>
      </c>
      <c r="N492" s="94">
        <v>320</v>
      </c>
      <c r="O492" s="94">
        <v>2814</v>
      </c>
      <c r="P492" s="94">
        <v>23</v>
      </c>
      <c r="Q492" s="95">
        <v>1.18436636399526</v>
      </c>
      <c r="R492" s="95">
        <v>0.74074074074074103</v>
      </c>
      <c r="S492" s="95">
        <v>1.8129770992366401</v>
      </c>
      <c r="T492" s="95">
        <v>1.9607843137254899</v>
      </c>
      <c r="U492" s="95">
        <v>1.22699386503067</v>
      </c>
      <c r="V492" s="95">
        <v>1.2056262558606801</v>
      </c>
      <c r="W492" s="95">
        <v>0.69930069930069905</v>
      </c>
      <c r="X492" s="95">
        <v>1.1942675159235701</v>
      </c>
      <c r="Y492" s="95">
        <v>0</v>
      </c>
      <c r="Z492" s="94">
        <v>11822</v>
      </c>
      <c r="AA492" s="94">
        <v>6415</v>
      </c>
      <c r="AB492" s="94">
        <v>5407</v>
      </c>
      <c r="AC492" s="94">
        <v>578</v>
      </c>
      <c r="AD492" s="94">
        <v>3938</v>
      </c>
      <c r="AE492" s="94">
        <v>6248</v>
      </c>
      <c r="AF492" s="94">
        <v>1058</v>
      </c>
      <c r="AG492" s="94">
        <v>6954</v>
      </c>
      <c r="AH492" s="94">
        <v>4807</v>
      </c>
      <c r="AI492" s="94">
        <v>61</v>
      </c>
      <c r="AJ492" s="94">
        <v>11739</v>
      </c>
      <c r="AK492" s="94">
        <v>66</v>
      </c>
      <c r="AL492" s="94">
        <v>17</v>
      </c>
      <c r="AM492" s="94">
        <v>599</v>
      </c>
      <c r="AN492" s="94">
        <v>11148</v>
      </c>
      <c r="AO492" s="94">
        <v>75</v>
      </c>
      <c r="AP492" s="95">
        <v>7.1352218065205797</v>
      </c>
      <c r="AQ492" s="95">
        <v>2.30414746543779</v>
      </c>
      <c r="AR492" s="95">
        <v>12.8349514563107</v>
      </c>
      <c r="AS492" s="95">
        <v>9.3189964157706093</v>
      </c>
      <c r="AT492" s="95">
        <v>7.6649329318368498</v>
      </c>
      <c r="AU492" s="95">
        <v>6.7378252168112098</v>
      </c>
      <c r="AV492" s="95">
        <v>6.3788027477919496</v>
      </c>
      <c r="AW492" s="95">
        <v>7.1170628949744197</v>
      </c>
      <c r="AX492" s="95">
        <v>7.1854963519787702</v>
      </c>
      <c r="AY492" s="95">
        <v>5.2631578947368398</v>
      </c>
      <c r="AZ492" s="95">
        <v>7.1383732400681597</v>
      </c>
      <c r="BA492" s="95">
        <v>8.6206896551724093</v>
      </c>
      <c r="BB492" s="95">
        <v>0</v>
      </c>
      <c r="BC492" s="95">
        <v>7.00525394045534</v>
      </c>
      <c r="BD492" s="95">
        <v>7.1145124716553303</v>
      </c>
      <c r="BE492" s="95">
        <v>11.2676056338028</v>
      </c>
    </row>
    <row r="493" spans="2:57" ht="15" customHeight="1" x14ac:dyDescent="0.25">
      <c r="B493" s="91">
        <v>483</v>
      </c>
      <c r="C493" s="92" t="s">
        <v>503</v>
      </c>
      <c r="D493" s="92" t="s">
        <v>51</v>
      </c>
      <c r="E493" s="92" t="s">
        <v>370</v>
      </c>
      <c r="F493" s="92"/>
      <c r="G493" s="93" t="s">
        <v>502</v>
      </c>
      <c r="H493" s="94">
        <v>13290</v>
      </c>
      <c r="I493" s="94">
        <v>7906</v>
      </c>
      <c r="J493" s="94">
        <v>5384</v>
      </c>
      <c r="K493" s="94">
        <v>939</v>
      </c>
      <c r="L493" s="94">
        <v>3400</v>
      </c>
      <c r="M493" s="94">
        <v>6495</v>
      </c>
      <c r="N493" s="94">
        <v>2456</v>
      </c>
      <c r="O493" s="94">
        <v>13242</v>
      </c>
      <c r="P493" s="94">
        <v>48</v>
      </c>
      <c r="Q493" s="95">
        <v>0.79907735398303004</v>
      </c>
      <c r="R493" s="95">
        <v>0.396608315098468</v>
      </c>
      <c r="S493" s="95">
        <v>1.40874249015952</v>
      </c>
      <c r="T493" s="95">
        <v>1.80722891566265</v>
      </c>
      <c r="U493" s="95">
        <v>1.31233595800525</v>
      </c>
      <c r="V493" s="95">
        <v>0.63545150501672198</v>
      </c>
      <c r="W493" s="95">
        <v>0.175361683472161</v>
      </c>
      <c r="X493" s="95">
        <v>0.768722102826914</v>
      </c>
      <c r="Y493" s="95">
        <v>9.7560975609756095</v>
      </c>
      <c r="Z493" s="94">
        <v>16214</v>
      </c>
      <c r="AA493" s="94">
        <v>8693</v>
      </c>
      <c r="AB493" s="94">
        <v>7521</v>
      </c>
      <c r="AC493" s="94">
        <v>886</v>
      </c>
      <c r="AD493" s="94">
        <v>3683</v>
      </c>
      <c r="AE493" s="94">
        <v>7950</v>
      </c>
      <c r="AF493" s="94">
        <v>3695</v>
      </c>
      <c r="AG493" s="94">
        <v>13227</v>
      </c>
      <c r="AH493" s="94">
        <v>2795</v>
      </c>
      <c r="AI493" s="94">
        <v>192</v>
      </c>
      <c r="AJ493" s="94">
        <v>16038</v>
      </c>
      <c r="AK493" s="94">
        <v>129</v>
      </c>
      <c r="AL493" s="94">
        <v>47</v>
      </c>
      <c r="AM493" s="94">
        <v>1359</v>
      </c>
      <c r="AN493" s="94">
        <v>14685</v>
      </c>
      <c r="AO493" s="94">
        <v>170</v>
      </c>
      <c r="AP493" s="95">
        <v>2.2540319968909901</v>
      </c>
      <c r="AQ493" s="95">
        <v>0.73897497020262204</v>
      </c>
      <c r="AR493" s="95">
        <v>4.0573130940558899</v>
      </c>
      <c r="AS493" s="95">
        <v>3.5971223021582701</v>
      </c>
      <c r="AT493" s="95">
        <v>3.4061135371178999</v>
      </c>
      <c r="AU493" s="95">
        <v>2.2154819992087602</v>
      </c>
      <c r="AV493" s="95">
        <v>0.91998884862001695</v>
      </c>
      <c r="AW493" s="95">
        <v>2.1062633621031002</v>
      </c>
      <c r="AX493" s="95">
        <v>3.0268634127884999</v>
      </c>
      <c r="AY493" s="95">
        <v>1.19760479041916</v>
      </c>
      <c r="AZ493" s="95">
        <v>2.2646943317188102</v>
      </c>
      <c r="BA493" s="95">
        <v>1.72413793103448</v>
      </c>
      <c r="BB493" s="95">
        <v>0</v>
      </c>
      <c r="BC493" s="95">
        <v>1.14329268292683</v>
      </c>
      <c r="BD493" s="95">
        <v>2.3615285530270498</v>
      </c>
      <c r="BE493" s="95">
        <v>1.9607843137254899</v>
      </c>
    </row>
    <row r="494" spans="2:57" ht="15" customHeight="1" x14ac:dyDescent="0.25">
      <c r="B494" s="96">
        <v>484</v>
      </c>
      <c r="C494" s="97" t="s">
        <v>504</v>
      </c>
      <c r="D494" s="104" t="s">
        <v>51</v>
      </c>
      <c r="E494" s="104" t="s">
        <v>370</v>
      </c>
      <c r="F494" s="104" t="s">
        <v>171</v>
      </c>
      <c r="G494" s="105" t="s">
        <v>171</v>
      </c>
      <c r="H494" s="106">
        <v>3373</v>
      </c>
      <c r="I494" s="106">
        <v>1991</v>
      </c>
      <c r="J494" s="106">
        <v>1382</v>
      </c>
      <c r="K494" s="106">
        <v>207</v>
      </c>
      <c r="L494" s="106">
        <v>886</v>
      </c>
      <c r="M494" s="106">
        <v>1692</v>
      </c>
      <c r="N494" s="106">
        <v>588</v>
      </c>
      <c r="O494" s="106">
        <v>3366</v>
      </c>
      <c r="P494" s="106">
        <v>7</v>
      </c>
      <c r="Q494" s="107">
        <v>0.746521886664404</v>
      </c>
      <c r="R494" s="107">
        <v>0.57405281285878296</v>
      </c>
      <c r="S494" s="107">
        <v>0.99585062240663902</v>
      </c>
      <c r="T494" s="107">
        <v>1.1235955056179801</v>
      </c>
      <c r="U494" s="107">
        <v>0.829875518672199</v>
      </c>
      <c r="V494" s="107">
        <v>0.72559366754617405</v>
      </c>
      <c r="W494" s="107">
        <v>0.56603773584905703</v>
      </c>
      <c r="X494" s="107">
        <v>0.74804488269296199</v>
      </c>
      <c r="Y494" s="107">
        <v>0</v>
      </c>
      <c r="Z494" s="106">
        <v>5957</v>
      </c>
      <c r="AA494" s="106">
        <v>3247</v>
      </c>
      <c r="AB494" s="106">
        <v>2710</v>
      </c>
      <c r="AC494" s="106">
        <v>285</v>
      </c>
      <c r="AD494" s="106">
        <v>1628</v>
      </c>
      <c r="AE494" s="106">
        <v>2902</v>
      </c>
      <c r="AF494" s="106">
        <v>1142</v>
      </c>
      <c r="AG494" s="106">
        <v>4236</v>
      </c>
      <c r="AH494" s="106">
        <v>1645</v>
      </c>
      <c r="AI494" s="106">
        <v>76</v>
      </c>
      <c r="AJ494" s="106">
        <v>5893</v>
      </c>
      <c r="AK494" s="106">
        <v>57</v>
      </c>
      <c r="AL494" s="106">
        <v>7</v>
      </c>
      <c r="AM494" s="106">
        <v>403</v>
      </c>
      <c r="AN494" s="106">
        <v>5501</v>
      </c>
      <c r="AO494" s="106">
        <v>53</v>
      </c>
      <c r="AP494" s="107">
        <v>4.41939524065128</v>
      </c>
      <c r="AQ494" s="107">
        <v>1.47831800262812</v>
      </c>
      <c r="AR494" s="107">
        <v>7.9371316306483299</v>
      </c>
      <c r="AS494" s="107">
        <v>5.1282051282051304</v>
      </c>
      <c r="AT494" s="107">
        <v>6.5171688857743497</v>
      </c>
      <c r="AU494" s="107">
        <v>3.85446685878963</v>
      </c>
      <c r="AV494" s="107">
        <v>2.9649595687331498</v>
      </c>
      <c r="AW494" s="107">
        <v>3.5367372353673701</v>
      </c>
      <c r="AX494" s="107">
        <v>6.8692206076618199</v>
      </c>
      <c r="AY494" s="107">
        <v>1.6666666666666701</v>
      </c>
      <c r="AZ494" s="107">
        <v>4.43037974683544</v>
      </c>
      <c r="BA494" s="107">
        <v>3.8461538461538498</v>
      </c>
      <c r="BB494" s="107">
        <v>0</v>
      </c>
      <c r="BC494" s="107">
        <v>3.3678756476683902</v>
      </c>
      <c r="BD494" s="107">
        <v>4.4793484584060499</v>
      </c>
      <c r="BE494" s="107">
        <v>6.5217391304347796</v>
      </c>
    </row>
    <row r="495" spans="2:57" ht="15" customHeight="1" x14ac:dyDescent="0.25">
      <c r="B495" s="91">
        <v>485</v>
      </c>
      <c r="C495" s="92" t="s">
        <v>504</v>
      </c>
      <c r="D495" s="92" t="s">
        <v>51</v>
      </c>
      <c r="E495" s="92" t="s">
        <v>370</v>
      </c>
      <c r="F495" s="92" t="s">
        <v>171</v>
      </c>
      <c r="G495" s="101" t="s">
        <v>501</v>
      </c>
      <c r="H495" s="94">
        <v>1459</v>
      </c>
      <c r="I495" s="94">
        <v>814</v>
      </c>
      <c r="J495" s="94">
        <v>645</v>
      </c>
      <c r="K495" s="94">
        <v>66</v>
      </c>
      <c r="L495" s="94">
        <v>402</v>
      </c>
      <c r="M495" s="94">
        <v>803</v>
      </c>
      <c r="N495" s="94">
        <v>188</v>
      </c>
      <c r="O495" s="94">
        <v>1456</v>
      </c>
      <c r="P495" s="94">
        <v>3</v>
      </c>
      <c r="Q495" s="95">
        <v>1.33858267716535</v>
      </c>
      <c r="R495" s="95">
        <v>1.0101010101010099</v>
      </c>
      <c r="S495" s="95">
        <v>1.7331022530329301</v>
      </c>
      <c r="T495" s="95">
        <v>0</v>
      </c>
      <c r="U495" s="95">
        <v>1.26984126984127</v>
      </c>
      <c r="V495" s="95">
        <v>1.4925373134328399</v>
      </c>
      <c r="W495" s="95">
        <v>1.2195121951219501</v>
      </c>
      <c r="X495" s="95">
        <v>1.3417521704814499</v>
      </c>
      <c r="Y495" s="95">
        <v>0</v>
      </c>
      <c r="Z495" s="94">
        <v>2161</v>
      </c>
      <c r="AA495" s="94">
        <v>1148</v>
      </c>
      <c r="AB495" s="94">
        <v>1013</v>
      </c>
      <c r="AC495" s="94">
        <v>82</v>
      </c>
      <c r="AD495" s="94">
        <v>629</v>
      </c>
      <c r="AE495" s="94">
        <v>1112</v>
      </c>
      <c r="AF495" s="94">
        <v>338</v>
      </c>
      <c r="AG495" s="94">
        <v>1191</v>
      </c>
      <c r="AH495" s="94">
        <v>963</v>
      </c>
      <c r="AI495" s="94">
        <v>7</v>
      </c>
      <c r="AJ495" s="94">
        <v>2131</v>
      </c>
      <c r="AK495" s="94">
        <v>28</v>
      </c>
      <c r="AL495" s="94">
        <v>2</v>
      </c>
      <c r="AM495" s="94">
        <v>136</v>
      </c>
      <c r="AN495" s="94">
        <v>2006</v>
      </c>
      <c r="AO495" s="94">
        <v>19</v>
      </c>
      <c r="AP495" s="95">
        <v>8.86850152905199</v>
      </c>
      <c r="AQ495" s="95">
        <v>3.5</v>
      </c>
      <c r="AR495" s="95">
        <v>14.4490644490644</v>
      </c>
      <c r="AS495" s="95">
        <v>10.2564102564103</v>
      </c>
      <c r="AT495" s="95">
        <v>12.6</v>
      </c>
      <c r="AU495" s="95">
        <v>7.18336483931947</v>
      </c>
      <c r="AV495" s="95">
        <v>8.2822085889570491</v>
      </c>
      <c r="AW495" s="95">
        <v>7.7413479052823302</v>
      </c>
      <c r="AX495" s="95">
        <v>10.2564102564103</v>
      </c>
      <c r="AY495" s="95">
        <v>16.6666666666667</v>
      </c>
      <c r="AZ495" s="95">
        <v>8.9359504132231393</v>
      </c>
      <c r="BA495" s="95">
        <v>4.1666666666666696</v>
      </c>
      <c r="BB495" s="95">
        <v>0</v>
      </c>
      <c r="BC495" s="95">
        <v>6.9767441860465098</v>
      </c>
      <c r="BD495" s="95">
        <v>8.9157952669234994</v>
      </c>
      <c r="BE495" s="95">
        <v>18.75</v>
      </c>
    </row>
    <row r="496" spans="2:57" ht="15" customHeight="1" x14ac:dyDescent="0.25">
      <c r="B496" s="91">
        <v>486</v>
      </c>
      <c r="C496" s="92" t="s">
        <v>504</v>
      </c>
      <c r="D496" s="92" t="s">
        <v>51</v>
      </c>
      <c r="E496" s="92" t="s">
        <v>370</v>
      </c>
      <c r="F496" s="92" t="s">
        <v>171</v>
      </c>
      <c r="G496" s="101" t="s">
        <v>502</v>
      </c>
      <c r="H496" s="94">
        <v>1914</v>
      </c>
      <c r="I496" s="94">
        <v>1177</v>
      </c>
      <c r="J496" s="94">
        <v>737</v>
      </c>
      <c r="K496" s="94">
        <v>141</v>
      </c>
      <c r="L496" s="94">
        <v>484</v>
      </c>
      <c r="M496" s="94">
        <v>889</v>
      </c>
      <c r="N496" s="94">
        <v>400</v>
      </c>
      <c r="O496" s="94">
        <v>1910</v>
      </c>
      <c r="P496" s="94">
        <v>4</v>
      </c>
      <c r="Q496" s="95">
        <v>0.298151460942159</v>
      </c>
      <c r="R496" s="95">
        <v>0.28598665395614897</v>
      </c>
      <c r="S496" s="95">
        <v>0.31847133757961799</v>
      </c>
      <c r="T496" s="95">
        <v>1.61290322580645</v>
      </c>
      <c r="U496" s="95">
        <v>0.49019607843137297</v>
      </c>
      <c r="V496" s="95">
        <v>0</v>
      </c>
      <c r="W496" s="95">
        <v>0.27322404371584702</v>
      </c>
      <c r="X496" s="95">
        <v>0.29868578255674999</v>
      </c>
      <c r="Y496" s="95">
        <v>0</v>
      </c>
      <c r="Z496" s="94">
        <v>3796</v>
      </c>
      <c r="AA496" s="94">
        <v>2099</v>
      </c>
      <c r="AB496" s="94">
        <v>1697</v>
      </c>
      <c r="AC496" s="94">
        <v>203</v>
      </c>
      <c r="AD496" s="94">
        <v>999</v>
      </c>
      <c r="AE496" s="94">
        <v>1790</v>
      </c>
      <c r="AF496" s="94">
        <v>804</v>
      </c>
      <c r="AG496" s="94">
        <v>3045</v>
      </c>
      <c r="AH496" s="94">
        <v>682</v>
      </c>
      <c r="AI496" s="94">
        <v>69</v>
      </c>
      <c r="AJ496" s="94">
        <v>3762</v>
      </c>
      <c r="AK496" s="94">
        <v>29</v>
      </c>
      <c r="AL496" s="94">
        <v>5</v>
      </c>
      <c r="AM496" s="94">
        <v>267</v>
      </c>
      <c r="AN496" s="94">
        <v>3495</v>
      </c>
      <c r="AO496" s="94">
        <v>34</v>
      </c>
      <c r="AP496" s="95">
        <v>2.0126826578439498</v>
      </c>
      <c r="AQ496" s="95">
        <v>0.48923679060665398</v>
      </c>
      <c r="AR496" s="95">
        <v>3.9797852179406199</v>
      </c>
      <c r="AS496" s="95">
        <v>3.0769230769230802</v>
      </c>
      <c r="AT496" s="95">
        <v>3.2362459546925599</v>
      </c>
      <c r="AU496" s="95">
        <v>1.80442374854482</v>
      </c>
      <c r="AV496" s="95">
        <v>0.76238881829733196</v>
      </c>
      <c r="AW496" s="95">
        <v>1.9540623928693901</v>
      </c>
      <c r="AX496" s="95">
        <v>2.4390243902439002</v>
      </c>
      <c r="AY496" s="95">
        <v>0</v>
      </c>
      <c r="AZ496" s="95">
        <v>2.00333889816361</v>
      </c>
      <c r="BA496" s="95">
        <v>3.5714285714285698</v>
      </c>
      <c r="BB496" s="95">
        <v>0</v>
      </c>
      <c r="BC496" s="95">
        <v>1.5564202334630399</v>
      </c>
      <c r="BD496" s="95">
        <v>2.0658682634730501</v>
      </c>
      <c r="BE496" s="95">
        <v>0</v>
      </c>
    </row>
    <row r="497" spans="2:57" ht="15" customHeight="1" x14ac:dyDescent="0.25">
      <c r="B497" s="96">
        <v>487</v>
      </c>
      <c r="C497" s="97" t="s">
        <v>504</v>
      </c>
      <c r="D497" s="104" t="s">
        <v>51</v>
      </c>
      <c r="E497" s="104" t="s">
        <v>370</v>
      </c>
      <c r="F497" s="104" t="s">
        <v>153</v>
      </c>
      <c r="G497" s="105" t="s">
        <v>153</v>
      </c>
      <c r="H497" s="106">
        <v>3280</v>
      </c>
      <c r="I497" s="106">
        <v>1956</v>
      </c>
      <c r="J497" s="106">
        <v>1324</v>
      </c>
      <c r="K497" s="106">
        <v>263</v>
      </c>
      <c r="L497" s="106">
        <v>704</v>
      </c>
      <c r="M497" s="106">
        <v>1539</v>
      </c>
      <c r="N497" s="106">
        <v>774</v>
      </c>
      <c r="O497" s="106">
        <v>3277</v>
      </c>
      <c r="P497" s="106">
        <v>3</v>
      </c>
      <c r="Q497" s="107">
        <v>0.22793878215565</v>
      </c>
      <c r="R497" s="107">
        <v>0</v>
      </c>
      <c r="S497" s="107">
        <v>0.577557755775578</v>
      </c>
      <c r="T497" s="107">
        <v>0.85836909871244604</v>
      </c>
      <c r="U497" s="107">
        <v>0.30769230769230799</v>
      </c>
      <c r="V497" s="107">
        <v>0.205198358413133</v>
      </c>
      <c r="W497" s="107">
        <v>0</v>
      </c>
      <c r="X497" s="107">
        <v>0.22816166883963501</v>
      </c>
      <c r="Y497" s="107">
        <v>0</v>
      </c>
      <c r="Z497" s="106">
        <v>4398</v>
      </c>
      <c r="AA497" s="106">
        <v>2353</v>
      </c>
      <c r="AB497" s="106">
        <v>2045</v>
      </c>
      <c r="AC497" s="106">
        <v>303</v>
      </c>
      <c r="AD497" s="106">
        <v>861</v>
      </c>
      <c r="AE497" s="106">
        <v>2123</v>
      </c>
      <c r="AF497" s="106">
        <v>1111</v>
      </c>
      <c r="AG497" s="106">
        <v>3976</v>
      </c>
      <c r="AH497" s="106">
        <v>377</v>
      </c>
      <c r="AI497" s="106">
        <v>45</v>
      </c>
      <c r="AJ497" s="106">
        <v>4374</v>
      </c>
      <c r="AK497" s="106">
        <v>12</v>
      </c>
      <c r="AL497" s="106">
        <v>12</v>
      </c>
      <c r="AM497" s="106">
        <v>540</v>
      </c>
      <c r="AN497" s="106">
        <v>3797</v>
      </c>
      <c r="AO497" s="106">
        <v>61</v>
      </c>
      <c r="AP497" s="107">
        <v>1.44473874307729</v>
      </c>
      <c r="AQ497" s="107">
        <v>0.31097290093291902</v>
      </c>
      <c r="AR497" s="107">
        <v>2.7865404837013701</v>
      </c>
      <c r="AS497" s="107">
        <v>1.8181818181818199</v>
      </c>
      <c r="AT497" s="107">
        <v>2.15462610899873</v>
      </c>
      <c r="AU497" s="107">
        <v>1.53999006458023</v>
      </c>
      <c r="AV497" s="107">
        <v>0.65055762081784396</v>
      </c>
      <c r="AW497" s="107">
        <v>1.4592730167153101</v>
      </c>
      <c r="AX497" s="107">
        <v>1.4534883720930201</v>
      </c>
      <c r="AY497" s="107">
        <v>0</v>
      </c>
      <c r="AZ497" s="107">
        <v>1.45172997822405</v>
      </c>
      <c r="BA497" s="107">
        <v>0</v>
      </c>
      <c r="BB497" s="107">
        <v>0</v>
      </c>
      <c r="BC497" s="107">
        <v>0.58365758754863795</v>
      </c>
      <c r="BD497" s="107">
        <v>1.53588383133203</v>
      </c>
      <c r="BE497" s="107">
        <v>3.4482758620689702</v>
      </c>
    </row>
    <row r="498" spans="2:57" ht="15" customHeight="1" x14ac:dyDescent="0.25">
      <c r="B498" s="91">
        <v>488</v>
      </c>
      <c r="C498" s="92" t="s">
        <v>504</v>
      </c>
      <c r="D498" s="92" t="s">
        <v>51</v>
      </c>
      <c r="E498" s="92" t="s">
        <v>370</v>
      </c>
      <c r="F498" s="92" t="s">
        <v>153</v>
      </c>
      <c r="G498" s="101" t="s">
        <v>501</v>
      </c>
      <c r="H498" s="94">
        <v>0</v>
      </c>
      <c r="I498" s="94">
        <v>0</v>
      </c>
      <c r="J498" s="94">
        <v>0</v>
      </c>
      <c r="K498" s="94">
        <v>0</v>
      </c>
      <c r="L498" s="94">
        <v>0</v>
      </c>
      <c r="M498" s="94">
        <v>0</v>
      </c>
      <c r="N498" s="94">
        <v>0</v>
      </c>
      <c r="O498" s="94">
        <v>0</v>
      </c>
      <c r="P498" s="94">
        <v>0</v>
      </c>
      <c r="Q498" s="95">
        <v>0</v>
      </c>
      <c r="R498" s="95">
        <v>0</v>
      </c>
      <c r="S498" s="95">
        <v>0</v>
      </c>
      <c r="T498" s="95">
        <v>0</v>
      </c>
      <c r="U498" s="95">
        <v>0</v>
      </c>
      <c r="V498" s="95">
        <v>0</v>
      </c>
      <c r="W498" s="95">
        <v>0</v>
      </c>
      <c r="X498" s="95">
        <v>0</v>
      </c>
      <c r="Y498" s="95">
        <v>0</v>
      </c>
      <c r="Z498" s="94">
        <v>0</v>
      </c>
      <c r="AA498" s="94">
        <v>0</v>
      </c>
      <c r="AB498" s="94">
        <v>0</v>
      </c>
      <c r="AC498" s="94">
        <v>0</v>
      </c>
      <c r="AD498" s="94">
        <v>0</v>
      </c>
      <c r="AE498" s="94">
        <v>0</v>
      </c>
      <c r="AF498" s="94">
        <v>0</v>
      </c>
      <c r="AG498" s="94">
        <v>0</v>
      </c>
      <c r="AH498" s="94">
        <v>0</v>
      </c>
      <c r="AI498" s="94">
        <v>0</v>
      </c>
      <c r="AJ498" s="94">
        <v>0</v>
      </c>
      <c r="AK498" s="94">
        <v>0</v>
      </c>
      <c r="AL498" s="94">
        <v>0</v>
      </c>
      <c r="AM498" s="94">
        <v>0</v>
      </c>
      <c r="AN498" s="94">
        <v>0</v>
      </c>
      <c r="AO498" s="94">
        <v>0</v>
      </c>
      <c r="AP498" s="95">
        <v>0</v>
      </c>
      <c r="AQ498" s="95">
        <v>0</v>
      </c>
      <c r="AR498" s="95">
        <v>0</v>
      </c>
      <c r="AS498" s="95">
        <v>0</v>
      </c>
      <c r="AT498" s="95">
        <v>0</v>
      </c>
      <c r="AU498" s="95">
        <v>0</v>
      </c>
      <c r="AV498" s="95">
        <v>0</v>
      </c>
      <c r="AW498" s="95">
        <v>0</v>
      </c>
      <c r="AX498" s="95">
        <v>0</v>
      </c>
      <c r="AY498" s="95">
        <v>0</v>
      </c>
      <c r="AZ498" s="95">
        <v>0</v>
      </c>
      <c r="BA498" s="95">
        <v>0</v>
      </c>
      <c r="BB498" s="95">
        <v>0</v>
      </c>
      <c r="BC498" s="95">
        <v>0</v>
      </c>
      <c r="BD498" s="95">
        <v>0</v>
      </c>
      <c r="BE498" s="95">
        <v>0</v>
      </c>
    </row>
    <row r="499" spans="2:57" ht="15" customHeight="1" x14ac:dyDescent="0.25">
      <c r="B499" s="91">
        <v>489</v>
      </c>
      <c r="C499" s="92" t="s">
        <v>504</v>
      </c>
      <c r="D499" s="92" t="s">
        <v>51</v>
      </c>
      <c r="E499" s="92" t="s">
        <v>370</v>
      </c>
      <c r="F499" s="92" t="s">
        <v>153</v>
      </c>
      <c r="G499" s="101" t="s">
        <v>502</v>
      </c>
      <c r="H499" s="94">
        <v>3280</v>
      </c>
      <c r="I499" s="94">
        <v>1956</v>
      </c>
      <c r="J499" s="94">
        <v>1324</v>
      </c>
      <c r="K499" s="94">
        <v>263</v>
      </c>
      <c r="L499" s="94">
        <v>704</v>
      </c>
      <c r="M499" s="94">
        <v>1539</v>
      </c>
      <c r="N499" s="94">
        <v>774</v>
      </c>
      <c r="O499" s="94">
        <v>3277</v>
      </c>
      <c r="P499" s="94">
        <v>3</v>
      </c>
      <c r="Q499" s="95">
        <v>0.22793878215565</v>
      </c>
      <c r="R499" s="95">
        <v>0</v>
      </c>
      <c r="S499" s="95">
        <v>0.577557755775578</v>
      </c>
      <c r="T499" s="95">
        <v>0.85836909871244604</v>
      </c>
      <c r="U499" s="95">
        <v>0.30769230769230799</v>
      </c>
      <c r="V499" s="95">
        <v>0.205198358413133</v>
      </c>
      <c r="W499" s="95">
        <v>0</v>
      </c>
      <c r="X499" s="95">
        <v>0.22816166883963501</v>
      </c>
      <c r="Y499" s="95">
        <v>0</v>
      </c>
      <c r="Z499" s="94">
        <v>4398</v>
      </c>
      <c r="AA499" s="94">
        <v>2353</v>
      </c>
      <c r="AB499" s="94">
        <v>2045</v>
      </c>
      <c r="AC499" s="94">
        <v>303</v>
      </c>
      <c r="AD499" s="94">
        <v>861</v>
      </c>
      <c r="AE499" s="94">
        <v>2123</v>
      </c>
      <c r="AF499" s="94">
        <v>1111</v>
      </c>
      <c r="AG499" s="94">
        <v>3976</v>
      </c>
      <c r="AH499" s="94">
        <v>377</v>
      </c>
      <c r="AI499" s="94">
        <v>45</v>
      </c>
      <c r="AJ499" s="94">
        <v>4374</v>
      </c>
      <c r="AK499" s="94">
        <v>12</v>
      </c>
      <c r="AL499" s="94">
        <v>12</v>
      </c>
      <c r="AM499" s="94">
        <v>540</v>
      </c>
      <c r="AN499" s="94">
        <v>3797</v>
      </c>
      <c r="AO499" s="94">
        <v>61</v>
      </c>
      <c r="AP499" s="95">
        <v>1.44473874307729</v>
      </c>
      <c r="AQ499" s="95">
        <v>0.31097290093291902</v>
      </c>
      <c r="AR499" s="95">
        <v>2.7865404837013701</v>
      </c>
      <c r="AS499" s="95">
        <v>1.8181818181818199</v>
      </c>
      <c r="AT499" s="95">
        <v>2.15462610899873</v>
      </c>
      <c r="AU499" s="95">
        <v>1.53999006458023</v>
      </c>
      <c r="AV499" s="95">
        <v>0.65055762081784396</v>
      </c>
      <c r="AW499" s="95">
        <v>1.4592730167153101</v>
      </c>
      <c r="AX499" s="95">
        <v>1.4534883720930201</v>
      </c>
      <c r="AY499" s="95">
        <v>0</v>
      </c>
      <c r="AZ499" s="95">
        <v>1.45172997822405</v>
      </c>
      <c r="BA499" s="95">
        <v>0</v>
      </c>
      <c r="BB499" s="95">
        <v>0</v>
      </c>
      <c r="BC499" s="95">
        <v>0.58365758754863795</v>
      </c>
      <c r="BD499" s="95">
        <v>1.53588383133203</v>
      </c>
      <c r="BE499" s="95">
        <v>3.4482758620689702</v>
      </c>
    </row>
    <row r="500" spans="2:57" ht="15" customHeight="1" x14ac:dyDescent="0.25">
      <c r="B500" s="96">
        <v>490</v>
      </c>
      <c r="C500" s="97" t="s">
        <v>504</v>
      </c>
      <c r="D500" s="104" t="s">
        <v>51</v>
      </c>
      <c r="E500" s="104" t="s">
        <v>370</v>
      </c>
      <c r="F500" s="104" t="s">
        <v>259</v>
      </c>
      <c r="G500" s="105" t="s">
        <v>259</v>
      </c>
      <c r="H500" s="106">
        <v>7359</v>
      </c>
      <c r="I500" s="106">
        <v>4442</v>
      </c>
      <c r="J500" s="106">
        <v>2917</v>
      </c>
      <c r="K500" s="106">
        <v>399</v>
      </c>
      <c r="L500" s="106">
        <v>2090</v>
      </c>
      <c r="M500" s="106">
        <v>3894</v>
      </c>
      <c r="N500" s="106">
        <v>976</v>
      </c>
      <c r="O500" s="106">
        <v>7298</v>
      </c>
      <c r="P500" s="106">
        <v>61</v>
      </c>
      <c r="Q500" s="107">
        <v>1.3477088948787099</v>
      </c>
      <c r="R500" s="107">
        <v>0.63430104903634998</v>
      </c>
      <c r="S500" s="107">
        <v>2.4815820085304399</v>
      </c>
      <c r="T500" s="107">
        <v>3.4682080924855501</v>
      </c>
      <c r="U500" s="107">
        <v>2.0833333333333299</v>
      </c>
      <c r="V500" s="107">
        <v>1.0095344924284899</v>
      </c>
      <c r="W500" s="107">
        <v>0.33557046979865801</v>
      </c>
      <c r="X500" s="107">
        <v>1.29811320754717</v>
      </c>
      <c r="Y500" s="107">
        <v>7.5471698113207504</v>
      </c>
      <c r="Z500" s="106">
        <v>14597</v>
      </c>
      <c r="AA500" s="106">
        <v>7874</v>
      </c>
      <c r="AB500" s="106">
        <v>6723</v>
      </c>
      <c r="AC500" s="106">
        <v>703</v>
      </c>
      <c r="AD500" s="106">
        <v>4429</v>
      </c>
      <c r="AE500" s="106">
        <v>7604</v>
      </c>
      <c r="AF500" s="106">
        <v>1861</v>
      </c>
      <c r="AG500" s="106">
        <v>9230</v>
      </c>
      <c r="AH500" s="106">
        <v>5266</v>
      </c>
      <c r="AI500" s="106">
        <v>101</v>
      </c>
      <c r="AJ500" s="106">
        <v>14443</v>
      </c>
      <c r="AK500" s="106">
        <v>122</v>
      </c>
      <c r="AL500" s="106">
        <v>32</v>
      </c>
      <c r="AM500" s="106">
        <v>778</v>
      </c>
      <c r="AN500" s="106">
        <v>13733</v>
      </c>
      <c r="AO500" s="106">
        <v>86</v>
      </c>
      <c r="AP500" s="107">
        <v>5.78642443315929</v>
      </c>
      <c r="AQ500" s="107">
        <v>1.8711292660429599</v>
      </c>
      <c r="AR500" s="107">
        <v>10.434918648310401</v>
      </c>
      <c r="AS500" s="107">
        <v>8.9705882352941195</v>
      </c>
      <c r="AT500" s="107">
        <v>6.5067679886012799</v>
      </c>
      <c r="AU500" s="107">
        <v>5.7330955973117499</v>
      </c>
      <c r="AV500" s="107">
        <v>3.1128404669260701</v>
      </c>
      <c r="AW500" s="107">
        <v>5.7690140845070399</v>
      </c>
      <c r="AX500" s="107">
        <v>5.8471363001396899</v>
      </c>
      <c r="AY500" s="107">
        <v>4.2105263157894699</v>
      </c>
      <c r="AZ500" s="107">
        <v>5.8092485549133004</v>
      </c>
      <c r="BA500" s="107">
        <v>4.5871559633027497</v>
      </c>
      <c r="BB500" s="107">
        <v>0</v>
      </c>
      <c r="BC500" s="107">
        <v>4.9399198931909201</v>
      </c>
      <c r="BD500" s="107">
        <v>5.8246521177096797</v>
      </c>
      <c r="BE500" s="107">
        <v>7.4074074074074101</v>
      </c>
    </row>
    <row r="501" spans="2:57" ht="15" customHeight="1" x14ac:dyDescent="0.25">
      <c r="B501" s="91">
        <v>491</v>
      </c>
      <c r="C501" s="92" t="s">
        <v>504</v>
      </c>
      <c r="D501" s="92" t="s">
        <v>51</v>
      </c>
      <c r="E501" s="92" t="s">
        <v>370</v>
      </c>
      <c r="F501" s="92" t="s">
        <v>259</v>
      </c>
      <c r="G501" s="101" t="s">
        <v>501</v>
      </c>
      <c r="H501" s="94">
        <v>1378</v>
      </c>
      <c r="I501" s="94">
        <v>846</v>
      </c>
      <c r="J501" s="94">
        <v>532</v>
      </c>
      <c r="K501" s="94">
        <v>52</v>
      </c>
      <c r="L501" s="94">
        <v>371</v>
      </c>
      <c r="M501" s="94">
        <v>823</v>
      </c>
      <c r="N501" s="94">
        <v>132</v>
      </c>
      <c r="O501" s="94">
        <v>1358</v>
      </c>
      <c r="P501" s="94">
        <v>20</v>
      </c>
      <c r="Q501" s="95">
        <v>1.02929532858274</v>
      </c>
      <c r="R501" s="95">
        <v>0.50505050505050497</v>
      </c>
      <c r="S501" s="95">
        <v>1.9108280254777099</v>
      </c>
      <c r="T501" s="95">
        <v>4.1666666666666696</v>
      </c>
      <c r="U501" s="95">
        <v>1.1869436201780399</v>
      </c>
      <c r="V501" s="95">
        <v>0.92592592592592604</v>
      </c>
      <c r="W501" s="95">
        <v>0</v>
      </c>
      <c r="X501" s="95">
        <v>1.04417670682731</v>
      </c>
      <c r="Y501" s="95">
        <v>0</v>
      </c>
      <c r="Z501" s="94">
        <v>9661</v>
      </c>
      <c r="AA501" s="94">
        <v>5267</v>
      </c>
      <c r="AB501" s="94">
        <v>4394</v>
      </c>
      <c r="AC501" s="94">
        <v>496</v>
      </c>
      <c r="AD501" s="94">
        <v>3309</v>
      </c>
      <c r="AE501" s="94">
        <v>5136</v>
      </c>
      <c r="AF501" s="94">
        <v>720</v>
      </c>
      <c r="AG501" s="94">
        <v>5763</v>
      </c>
      <c r="AH501" s="94">
        <v>3844</v>
      </c>
      <c r="AI501" s="94">
        <v>54</v>
      </c>
      <c r="AJ501" s="94">
        <v>9608</v>
      </c>
      <c r="AK501" s="94">
        <v>38</v>
      </c>
      <c r="AL501" s="94">
        <v>15</v>
      </c>
      <c r="AM501" s="94">
        <v>463</v>
      </c>
      <c r="AN501" s="94">
        <v>9142</v>
      </c>
      <c r="AO501" s="94">
        <v>56</v>
      </c>
      <c r="AP501" s="95">
        <v>6.7681347150259104</v>
      </c>
      <c r="AQ501" s="95">
        <v>2.0685579196217501</v>
      </c>
      <c r="AR501" s="95">
        <v>12.4641833810888</v>
      </c>
      <c r="AS501" s="95">
        <v>9.1666666666666696</v>
      </c>
      <c r="AT501" s="95">
        <v>6.8823342848081204</v>
      </c>
      <c r="AU501" s="95">
        <v>6.6423653300931598</v>
      </c>
      <c r="AV501" s="95">
        <v>5.4834054834054804</v>
      </c>
      <c r="AW501" s="95">
        <v>6.9935111751982699</v>
      </c>
      <c r="AX501" s="95">
        <v>6.46657571623465</v>
      </c>
      <c r="AY501" s="95">
        <v>3.9215686274509798</v>
      </c>
      <c r="AZ501" s="95">
        <v>6.7607162235485596</v>
      </c>
      <c r="BA501" s="95">
        <v>11.764705882352899</v>
      </c>
      <c r="BB501" s="95">
        <v>0</v>
      </c>
      <c r="BC501" s="95">
        <v>7.0135746606334797</v>
      </c>
      <c r="BD501" s="95">
        <v>6.7411885479639597</v>
      </c>
      <c r="BE501" s="95">
        <v>9.0909090909090899</v>
      </c>
    </row>
    <row r="502" spans="2:57" ht="15" customHeight="1" x14ac:dyDescent="0.25">
      <c r="B502" s="91">
        <v>492</v>
      </c>
      <c r="C502" s="92" t="s">
        <v>504</v>
      </c>
      <c r="D502" s="92" t="s">
        <v>51</v>
      </c>
      <c r="E502" s="92" t="s">
        <v>370</v>
      </c>
      <c r="F502" s="92" t="s">
        <v>259</v>
      </c>
      <c r="G502" s="101" t="s">
        <v>502</v>
      </c>
      <c r="H502" s="94">
        <v>5981</v>
      </c>
      <c r="I502" s="94">
        <v>3596</v>
      </c>
      <c r="J502" s="94">
        <v>2385</v>
      </c>
      <c r="K502" s="94">
        <v>347</v>
      </c>
      <c r="L502" s="94">
        <v>1719</v>
      </c>
      <c r="M502" s="94">
        <v>3071</v>
      </c>
      <c r="N502" s="94">
        <v>844</v>
      </c>
      <c r="O502" s="94">
        <v>5940</v>
      </c>
      <c r="P502" s="94">
        <v>41</v>
      </c>
      <c r="Q502" s="95">
        <v>1.4219759926131099</v>
      </c>
      <c r="R502" s="95">
        <v>0.66525551859691601</v>
      </c>
      <c r="S502" s="95">
        <v>2.6091081593927901</v>
      </c>
      <c r="T502" s="95">
        <v>3.3557046979865799</v>
      </c>
      <c r="U502" s="95">
        <v>2.2801302931596101</v>
      </c>
      <c r="V502" s="95">
        <v>1.0320284697508899</v>
      </c>
      <c r="W502" s="95">
        <v>0.38860103626942999</v>
      </c>
      <c r="X502" s="95">
        <v>1.3568773234200699</v>
      </c>
      <c r="Y502" s="95">
        <v>11.4285714285714</v>
      </c>
      <c r="Z502" s="94">
        <v>4936</v>
      </c>
      <c r="AA502" s="94">
        <v>2607</v>
      </c>
      <c r="AB502" s="94">
        <v>2329</v>
      </c>
      <c r="AC502" s="94">
        <v>207</v>
      </c>
      <c r="AD502" s="94">
        <v>1120</v>
      </c>
      <c r="AE502" s="94">
        <v>2468</v>
      </c>
      <c r="AF502" s="94">
        <v>1141</v>
      </c>
      <c r="AG502" s="94">
        <v>3467</v>
      </c>
      <c r="AH502" s="94">
        <v>1422</v>
      </c>
      <c r="AI502" s="94">
        <v>47</v>
      </c>
      <c r="AJ502" s="94">
        <v>4835</v>
      </c>
      <c r="AK502" s="94">
        <v>84</v>
      </c>
      <c r="AL502" s="94">
        <v>17</v>
      </c>
      <c r="AM502" s="94">
        <v>315</v>
      </c>
      <c r="AN502" s="94">
        <v>4591</v>
      </c>
      <c r="AO502" s="94">
        <v>30</v>
      </c>
      <c r="AP502" s="95">
        <v>3.85838456646173</v>
      </c>
      <c r="AQ502" s="95">
        <v>1.4723438121766801</v>
      </c>
      <c r="AR502" s="95">
        <v>6.5789473684210504</v>
      </c>
      <c r="AS502" s="95">
        <v>8.5</v>
      </c>
      <c r="AT502" s="95">
        <v>5.3875236294895998</v>
      </c>
      <c r="AU502" s="95">
        <v>3.82490437739057</v>
      </c>
      <c r="AV502" s="95">
        <v>1.62748643761302</v>
      </c>
      <c r="AW502" s="95">
        <v>3.7270814547640501</v>
      </c>
      <c r="AX502" s="95">
        <v>4.1604754829123296</v>
      </c>
      <c r="AY502" s="95">
        <v>4.5454545454545503</v>
      </c>
      <c r="AZ502" s="95">
        <v>3.91351351351351</v>
      </c>
      <c r="BA502" s="95">
        <v>1.3333333333333299</v>
      </c>
      <c r="BB502" s="95">
        <v>0</v>
      </c>
      <c r="BC502" s="95">
        <v>1.95439739413681</v>
      </c>
      <c r="BD502" s="95">
        <v>3.99178832116788</v>
      </c>
      <c r="BE502" s="95">
        <v>3.8461538461538498</v>
      </c>
    </row>
    <row r="503" spans="2:57" ht="15" customHeight="1" x14ac:dyDescent="0.25">
      <c r="B503" s="96">
        <v>493</v>
      </c>
      <c r="C503" s="97" t="s">
        <v>504</v>
      </c>
      <c r="D503" s="104" t="s">
        <v>51</v>
      </c>
      <c r="E503" s="104" t="s">
        <v>370</v>
      </c>
      <c r="F503" s="104" t="s">
        <v>155</v>
      </c>
      <c r="G503" s="105" t="s">
        <v>155</v>
      </c>
      <c r="H503" s="106">
        <v>2115</v>
      </c>
      <c r="I503" s="106">
        <v>1177</v>
      </c>
      <c r="J503" s="106">
        <v>938</v>
      </c>
      <c r="K503" s="106">
        <v>188</v>
      </c>
      <c r="L503" s="106">
        <v>493</v>
      </c>
      <c r="M503" s="106">
        <v>996</v>
      </c>
      <c r="N503" s="106">
        <v>438</v>
      </c>
      <c r="O503" s="106">
        <v>2115</v>
      </c>
      <c r="P503" s="106">
        <v>0</v>
      </c>
      <c r="Q503" s="107">
        <v>0.40485829959514202</v>
      </c>
      <c r="R503" s="107">
        <v>0.36463081130355501</v>
      </c>
      <c r="S503" s="107">
        <v>0.45506257110352699</v>
      </c>
      <c r="T503" s="107">
        <v>0.57142857142857095</v>
      </c>
      <c r="U503" s="107">
        <v>0.21978021978022</v>
      </c>
      <c r="V503" s="107">
        <v>0.64585575888051705</v>
      </c>
      <c r="W503" s="107">
        <v>0</v>
      </c>
      <c r="X503" s="107">
        <v>0.40485829959514202</v>
      </c>
      <c r="Y503" s="107">
        <v>0</v>
      </c>
      <c r="Z503" s="106">
        <v>3084</v>
      </c>
      <c r="AA503" s="106">
        <v>1634</v>
      </c>
      <c r="AB503" s="106">
        <v>1450</v>
      </c>
      <c r="AC503" s="106">
        <v>173</v>
      </c>
      <c r="AD503" s="106">
        <v>703</v>
      </c>
      <c r="AE503" s="106">
        <v>1569</v>
      </c>
      <c r="AF503" s="106">
        <v>639</v>
      </c>
      <c r="AG503" s="106">
        <v>2739</v>
      </c>
      <c r="AH503" s="106">
        <v>314</v>
      </c>
      <c r="AI503" s="106">
        <v>31</v>
      </c>
      <c r="AJ503" s="106">
        <v>3067</v>
      </c>
      <c r="AK503" s="106">
        <v>4</v>
      </c>
      <c r="AL503" s="106">
        <v>13</v>
      </c>
      <c r="AM503" s="106">
        <v>237</v>
      </c>
      <c r="AN503" s="106">
        <v>2802</v>
      </c>
      <c r="AO503" s="106">
        <v>45</v>
      </c>
      <c r="AP503" s="107">
        <v>1.1216859279401801</v>
      </c>
      <c r="AQ503" s="107">
        <v>0.505689001264223</v>
      </c>
      <c r="AR503" s="107">
        <v>1.8382352941176501</v>
      </c>
      <c r="AS503" s="107">
        <v>1.2195121951219501</v>
      </c>
      <c r="AT503" s="107">
        <v>1.9667170953101401</v>
      </c>
      <c r="AU503" s="107">
        <v>1.0673782521681101</v>
      </c>
      <c r="AV503" s="107">
        <v>0.32362459546925598</v>
      </c>
      <c r="AW503" s="107">
        <v>1.1467889908256901</v>
      </c>
      <c r="AX503" s="107">
        <v>1.0101010101010099</v>
      </c>
      <c r="AY503" s="107">
        <v>0</v>
      </c>
      <c r="AZ503" s="107">
        <v>1.1278195488721801</v>
      </c>
      <c r="BA503" s="107">
        <v>0</v>
      </c>
      <c r="BB503" s="107">
        <v>0</v>
      </c>
      <c r="BC503" s="107">
        <v>0.854700854700855</v>
      </c>
      <c r="BD503" s="107">
        <v>1.1614837017609601</v>
      </c>
      <c r="BE503" s="107">
        <v>0</v>
      </c>
    </row>
    <row r="504" spans="2:57" ht="15" customHeight="1" x14ac:dyDescent="0.25">
      <c r="B504" s="91">
        <v>494</v>
      </c>
      <c r="C504" s="92" t="s">
        <v>504</v>
      </c>
      <c r="D504" s="92" t="s">
        <v>51</v>
      </c>
      <c r="E504" s="92" t="s">
        <v>370</v>
      </c>
      <c r="F504" s="92" t="s">
        <v>155</v>
      </c>
      <c r="G504" s="101" t="s">
        <v>501</v>
      </c>
      <c r="H504" s="94">
        <v>0</v>
      </c>
      <c r="I504" s="94">
        <v>0</v>
      </c>
      <c r="J504" s="94">
        <v>0</v>
      </c>
      <c r="K504" s="94">
        <v>0</v>
      </c>
      <c r="L504" s="94">
        <v>0</v>
      </c>
      <c r="M504" s="94">
        <v>0</v>
      </c>
      <c r="N504" s="94">
        <v>0</v>
      </c>
      <c r="O504" s="94">
        <v>0</v>
      </c>
      <c r="P504" s="94">
        <v>0</v>
      </c>
      <c r="Q504" s="95">
        <v>0</v>
      </c>
      <c r="R504" s="95">
        <v>0</v>
      </c>
      <c r="S504" s="95">
        <v>0</v>
      </c>
      <c r="T504" s="95">
        <v>0</v>
      </c>
      <c r="U504" s="95">
        <v>0</v>
      </c>
      <c r="V504" s="95">
        <v>0</v>
      </c>
      <c r="W504" s="95">
        <v>0</v>
      </c>
      <c r="X504" s="95">
        <v>0</v>
      </c>
      <c r="Y504" s="95">
        <v>0</v>
      </c>
      <c r="Z504" s="94">
        <v>0</v>
      </c>
      <c r="AA504" s="94">
        <v>0</v>
      </c>
      <c r="AB504" s="94">
        <v>0</v>
      </c>
      <c r="AC504" s="94">
        <v>0</v>
      </c>
      <c r="AD504" s="94">
        <v>0</v>
      </c>
      <c r="AE504" s="94">
        <v>0</v>
      </c>
      <c r="AF504" s="94">
        <v>0</v>
      </c>
      <c r="AG504" s="94">
        <v>0</v>
      </c>
      <c r="AH504" s="94">
        <v>0</v>
      </c>
      <c r="AI504" s="94">
        <v>0</v>
      </c>
      <c r="AJ504" s="94">
        <v>0</v>
      </c>
      <c r="AK504" s="94">
        <v>0</v>
      </c>
      <c r="AL504" s="94">
        <v>0</v>
      </c>
      <c r="AM504" s="94">
        <v>0</v>
      </c>
      <c r="AN504" s="94">
        <v>0</v>
      </c>
      <c r="AO504" s="94">
        <v>0</v>
      </c>
      <c r="AP504" s="95">
        <v>0</v>
      </c>
      <c r="AQ504" s="95">
        <v>0</v>
      </c>
      <c r="AR504" s="95">
        <v>0</v>
      </c>
      <c r="AS504" s="95">
        <v>0</v>
      </c>
      <c r="AT504" s="95">
        <v>0</v>
      </c>
      <c r="AU504" s="95">
        <v>0</v>
      </c>
      <c r="AV504" s="95">
        <v>0</v>
      </c>
      <c r="AW504" s="95">
        <v>0</v>
      </c>
      <c r="AX504" s="95">
        <v>0</v>
      </c>
      <c r="AY504" s="95">
        <v>0</v>
      </c>
      <c r="AZ504" s="95">
        <v>0</v>
      </c>
      <c r="BA504" s="95">
        <v>0</v>
      </c>
      <c r="BB504" s="95">
        <v>0</v>
      </c>
      <c r="BC504" s="95">
        <v>0</v>
      </c>
      <c r="BD504" s="95">
        <v>0</v>
      </c>
      <c r="BE504" s="95">
        <v>0</v>
      </c>
    </row>
    <row r="505" spans="2:57" ht="15" customHeight="1" x14ac:dyDescent="0.25">
      <c r="B505" s="91">
        <v>495</v>
      </c>
      <c r="C505" s="92" t="s">
        <v>504</v>
      </c>
      <c r="D505" s="92" t="s">
        <v>51</v>
      </c>
      <c r="E505" s="92" t="s">
        <v>370</v>
      </c>
      <c r="F505" s="92" t="s">
        <v>155</v>
      </c>
      <c r="G505" s="101" t="s">
        <v>502</v>
      </c>
      <c r="H505" s="94">
        <v>2115</v>
      </c>
      <c r="I505" s="94">
        <v>1177</v>
      </c>
      <c r="J505" s="94">
        <v>938</v>
      </c>
      <c r="K505" s="94">
        <v>188</v>
      </c>
      <c r="L505" s="94">
        <v>493</v>
      </c>
      <c r="M505" s="94">
        <v>996</v>
      </c>
      <c r="N505" s="94">
        <v>438</v>
      </c>
      <c r="O505" s="94">
        <v>2115</v>
      </c>
      <c r="P505" s="94">
        <v>0</v>
      </c>
      <c r="Q505" s="95">
        <v>0.40485829959514202</v>
      </c>
      <c r="R505" s="95">
        <v>0.36463081130355501</v>
      </c>
      <c r="S505" s="95">
        <v>0.45506257110352699</v>
      </c>
      <c r="T505" s="95">
        <v>0.57142857142857095</v>
      </c>
      <c r="U505" s="95">
        <v>0.21978021978022</v>
      </c>
      <c r="V505" s="95">
        <v>0.64585575888051705</v>
      </c>
      <c r="W505" s="95">
        <v>0</v>
      </c>
      <c r="X505" s="95">
        <v>0.40485829959514202</v>
      </c>
      <c r="Y505" s="95">
        <v>0</v>
      </c>
      <c r="Z505" s="94">
        <v>3084</v>
      </c>
      <c r="AA505" s="94">
        <v>1634</v>
      </c>
      <c r="AB505" s="94">
        <v>1450</v>
      </c>
      <c r="AC505" s="94">
        <v>173</v>
      </c>
      <c r="AD505" s="94">
        <v>703</v>
      </c>
      <c r="AE505" s="94">
        <v>1569</v>
      </c>
      <c r="AF505" s="94">
        <v>639</v>
      </c>
      <c r="AG505" s="94">
        <v>2739</v>
      </c>
      <c r="AH505" s="94">
        <v>314</v>
      </c>
      <c r="AI505" s="94">
        <v>31</v>
      </c>
      <c r="AJ505" s="94">
        <v>3067</v>
      </c>
      <c r="AK505" s="94">
        <v>4</v>
      </c>
      <c r="AL505" s="94">
        <v>13</v>
      </c>
      <c r="AM505" s="94">
        <v>237</v>
      </c>
      <c r="AN505" s="94">
        <v>2802</v>
      </c>
      <c r="AO505" s="94">
        <v>45</v>
      </c>
      <c r="AP505" s="95">
        <v>1.1216859279401801</v>
      </c>
      <c r="AQ505" s="95">
        <v>0.505689001264223</v>
      </c>
      <c r="AR505" s="95">
        <v>1.8382352941176501</v>
      </c>
      <c r="AS505" s="95">
        <v>1.2195121951219501</v>
      </c>
      <c r="AT505" s="95">
        <v>1.9667170953101401</v>
      </c>
      <c r="AU505" s="95">
        <v>1.0673782521681101</v>
      </c>
      <c r="AV505" s="95">
        <v>0.32362459546925598</v>
      </c>
      <c r="AW505" s="95">
        <v>1.1467889908256901</v>
      </c>
      <c r="AX505" s="95">
        <v>1.0101010101010099</v>
      </c>
      <c r="AY505" s="95">
        <v>0</v>
      </c>
      <c r="AZ505" s="95">
        <v>1.1278195488721801</v>
      </c>
      <c r="BA505" s="95">
        <v>0</v>
      </c>
      <c r="BB505" s="95">
        <v>0</v>
      </c>
      <c r="BC505" s="95">
        <v>0.854700854700855</v>
      </c>
      <c r="BD505" s="95">
        <v>1.1614837017609601</v>
      </c>
      <c r="BE505" s="95">
        <v>0</v>
      </c>
    </row>
    <row r="506" spans="2:57" ht="15" customHeight="1" x14ac:dyDescent="0.25">
      <c r="B506" s="86">
        <v>496</v>
      </c>
      <c r="C506" s="87" t="s">
        <v>503</v>
      </c>
      <c r="D506" s="103" t="s">
        <v>51</v>
      </c>
      <c r="E506" s="103" t="s">
        <v>179</v>
      </c>
      <c r="F506" s="103"/>
      <c r="G506" s="88" t="s">
        <v>179</v>
      </c>
      <c r="H506" s="89">
        <v>9263</v>
      </c>
      <c r="I506" s="89">
        <v>4896</v>
      </c>
      <c r="J506" s="89">
        <v>4367</v>
      </c>
      <c r="K506" s="89">
        <v>808</v>
      </c>
      <c r="L506" s="89">
        <v>1972</v>
      </c>
      <c r="M506" s="89">
        <v>4264</v>
      </c>
      <c r="N506" s="89">
        <v>2219</v>
      </c>
      <c r="O506" s="89">
        <v>9255</v>
      </c>
      <c r="P506" s="89">
        <v>8</v>
      </c>
      <c r="Q506" s="90">
        <v>0.319744204636291</v>
      </c>
      <c r="R506" s="90">
        <v>0.171453064723532</v>
      </c>
      <c r="S506" s="90">
        <v>0.48887802493277899</v>
      </c>
      <c r="T506" s="90">
        <v>0.54127198917455999</v>
      </c>
      <c r="U506" s="90">
        <v>0.49073064340239902</v>
      </c>
      <c r="V506" s="90">
        <v>0.24545900834560599</v>
      </c>
      <c r="W506" s="90">
        <v>0.23696682464454999</v>
      </c>
      <c r="X506" s="90">
        <v>0.32</v>
      </c>
      <c r="Y506" s="90">
        <v>0</v>
      </c>
      <c r="Z506" s="89">
        <v>12086</v>
      </c>
      <c r="AA506" s="89">
        <v>6132</v>
      </c>
      <c r="AB506" s="89">
        <v>5954</v>
      </c>
      <c r="AC506" s="89">
        <v>632</v>
      </c>
      <c r="AD506" s="89">
        <v>2537</v>
      </c>
      <c r="AE506" s="89">
        <v>5665</v>
      </c>
      <c r="AF506" s="89">
        <v>3252</v>
      </c>
      <c r="AG506" s="89">
        <v>10428</v>
      </c>
      <c r="AH506" s="89">
        <v>1628</v>
      </c>
      <c r="AI506" s="89">
        <v>30</v>
      </c>
      <c r="AJ506" s="89">
        <v>12015</v>
      </c>
      <c r="AK506" s="89">
        <v>40</v>
      </c>
      <c r="AL506" s="89">
        <v>31</v>
      </c>
      <c r="AM506" s="89">
        <v>944</v>
      </c>
      <c r="AN506" s="89">
        <v>11059</v>
      </c>
      <c r="AO506" s="89">
        <v>83</v>
      </c>
      <c r="AP506" s="90">
        <v>2.3715074163504699</v>
      </c>
      <c r="AQ506" s="90">
        <v>0.80321285140562204</v>
      </c>
      <c r="AR506" s="90">
        <v>4.0391459074733103</v>
      </c>
      <c r="AS506" s="90">
        <v>4.4925124792013298</v>
      </c>
      <c r="AT506" s="90">
        <v>3.5998325659271702</v>
      </c>
      <c r="AU506" s="90">
        <v>2.2698151198974901</v>
      </c>
      <c r="AV506" s="90">
        <v>1.20903595291123</v>
      </c>
      <c r="AW506" s="90">
        <v>2.2688824758682502</v>
      </c>
      <c r="AX506" s="90">
        <v>3.0263157894736801</v>
      </c>
      <c r="AY506" s="90">
        <v>3.7037037037037002</v>
      </c>
      <c r="AZ506" s="90">
        <v>2.38528927053517</v>
      </c>
      <c r="BA506" s="90">
        <v>0</v>
      </c>
      <c r="BB506" s="90">
        <v>0</v>
      </c>
      <c r="BC506" s="90">
        <v>1.0928961748633901</v>
      </c>
      <c r="BD506" s="90">
        <v>2.4903311008395401</v>
      </c>
      <c r="BE506" s="90">
        <v>1.25</v>
      </c>
    </row>
    <row r="507" spans="2:57" ht="15" customHeight="1" x14ac:dyDescent="0.25">
      <c r="B507" s="91">
        <v>497</v>
      </c>
      <c r="C507" s="92" t="s">
        <v>503</v>
      </c>
      <c r="D507" s="92" t="s">
        <v>51</v>
      </c>
      <c r="E507" s="92" t="s">
        <v>179</v>
      </c>
      <c r="F507" s="92"/>
      <c r="G507" s="93" t="s">
        <v>501</v>
      </c>
      <c r="H507" s="94">
        <v>1425</v>
      </c>
      <c r="I507" s="94">
        <v>750</v>
      </c>
      <c r="J507" s="94">
        <v>675</v>
      </c>
      <c r="K507" s="94">
        <v>69</v>
      </c>
      <c r="L507" s="94">
        <v>343</v>
      </c>
      <c r="M507" s="94">
        <v>751</v>
      </c>
      <c r="N507" s="94">
        <v>262</v>
      </c>
      <c r="O507" s="94">
        <v>1422</v>
      </c>
      <c r="P507" s="94">
        <v>3</v>
      </c>
      <c r="Q507" s="95">
        <v>1.47167034584253</v>
      </c>
      <c r="R507" s="95">
        <v>0.554016620498615</v>
      </c>
      <c r="S507" s="95">
        <v>2.5117739403453698</v>
      </c>
      <c r="T507" s="95">
        <v>4.4776119402985097</v>
      </c>
      <c r="U507" s="95">
        <v>1.25</v>
      </c>
      <c r="V507" s="95">
        <v>1.2517385257301801</v>
      </c>
      <c r="W507" s="95">
        <v>1.5810276679841899</v>
      </c>
      <c r="X507" s="95">
        <v>1.47492625368732</v>
      </c>
      <c r="Y507" s="95">
        <v>0</v>
      </c>
      <c r="Z507" s="94">
        <v>2262</v>
      </c>
      <c r="AA507" s="94">
        <v>1135</v>
      </c>
      <c r="AB507" s="94">
        <v>1127</v>
      </c>
      <c r="AC507" s="94">
        <v>99</v>
      </c>
      <c r="AD507" s="94">
        <v>592</v>
      </c>
      <c r="AE507" s="94">
        <v>1174</v>
      </c>
      <c r="AF507" s="94">
        <v>397</v>
      </c>
      <c r="AG507" s="94">
        <v>1533</v>
      </c>
      <c r="AH507" s="94">
        <v>722</v>
      </c>
      <c r="AI507" s="94">
        <v>7</v>
      </c>
      <c r="AJ507" s="94">
        <v>2231</v>
      </c>
      <c r="AK507" s="94">
        <v>19</v>
      </c>
      <c r="AL507" s="94">
        <v>12</v>
      </c>
      <c r="AM507" s="94">
        <v>125</v>
      </c>
      <c r="AN507" s="94">
        <v>2123</v>
      </c>
      <c r="AO507" s="94">
        <v>14</v>
      </c>
      <c r="AP507" s="95">
        <v>5.2190121155638396</v>
      </c>
      <c r="AQ507" s="95">
        <v>2.31696014828545</v>
      </c>
      <c r="AR507" s="95">
        <v>8.1537019681349605</v>
      </c>
      <c r="AS507" s="95">
        <v>6.5934065934065904</v>
      </c>
      <c r="AT507" s="95">
        <v>5.3505535055350597</v>
      </c>
      <c r="AU507" s="95">
        <v>5.1464063886424096</v>
      </c>
      <c r="AV507" s="95">
        <v>4.9222797927461102</v>
      </c>
      <c r="AW507" s="95">
        <v>5.2848318462594399</v>
      </c>
      <c r="AX507" s="95">
        <v>4.9853372434017604</v>
      </c>
      <c r="AY507" s="95">
        <v>14.285714285714301</v>
      </c>
      <c r="AZ507" s="95">
        <v>5.2855120339782902</v>
      </c>
      <c r="BA507" s="95">
        <v>0</v>
      </c>
      <c r="BB507" s="95">
        <v>0</v>
      </c>
      <c r="BC507" s="95">
        <v>3.3613445378151301</v>
      </c>
      <c r="BD507" s="95">
        <v>5.3154495777446602</v>
      </c>
      <c r="BE507" s="95">
        <v>7.1428571428571397</v>
      </c>
    </row>
    <row r="508" spans="2:57" ht="15" customHeight="1" x14ac:dyDescent="0.25">
      <c r="B508" s="91">
        <v>498</v>
      </c>
      <c r="C508" s="92" t="s">
        <v>503</v>
      </c>
      <c r="D508" s="92" t="s">
        <v>51</v>
      </c>
      <c r="E508" s="92" t="s">
        <v>179</v>
      </c>
      <c r="F508" s="92"/>
      <c r="G508" s="93" t="s">
        <v>502</v>
      </c>
      <c r="H508" s="94">
        <v>7838</v>
      </c>
      <c r="I508" s="94">
        <v>4146</v>
      </c>
      <c r="J508" s="94">
        <v>3692</v>
      </c>
      <c r="K508" s="94">
        <v>739</v>
      </c>
      <c r="L508" s="94">
        <v>1629</v>
      </c>
      <c r="M508" s="94">
        <v>3513</v>
      </c>
      <c r="N508" s="94">
        <v>1957</v>
      </c>
      <c r="O508" s="94">
        <v>7833</v>
      </c>
      <c r="P508" s="94">
        <v>5</v>
      </c>
      <c r="Q508" s="95">
        <v>0.10813733441470701</v>
      </c>
      <c r="R508" s="95">
        <v>0.101419878296146</v>
      </c>
      <c r="S508" s="95">
        <v>0.11580775911986101</v>
      </c>
      <c r="T508" s="95">
        <v>0.148809523809524</v>
      </c>
      <c r="U508" s="95">
        <v>0.33025099075297198</v>
      </c>
      <c r="V508" s="95">
        <v>2.9806259314456001E-2</v>
      </c>
      <c r="W508" s="95">
        <v>5.3850296176629002E-2</v>
      </c>
      <c r="X508" s="95">
        <v>0.10819583446037299</v>
      </c>
      <c r="Y508" s="95">
        <v>0</v>
      </c>
      <c r="Z508" s="94">
        <v>9824</v>
      </c>
      <c r="AA508" s="94">
        <v>4997</v>
      </c>
      <c r="AB508" s="94">
        <v>4827</v>
      </c>
      <c r="AC508" s="94">
        <v>533</v>
      </c>
      <c r="AD508" s="94">
        <v>1945</v>
      </c>
      <c r="AE508" s="94">
        <v>4491</v>
      </c>
      <c r="AF508" s="94">
        <v>2855</v>
      </c>
      <c r="AG508" s="94">
        <v>8895</v>
      </c>
      <c r="AH508" s="94">
        <v>906</v>
      </c>
      <c r="AI508" s="94">
        <v>23</v>
      </c>
      <c r="AJ508" s="94">
        <v>9784</v>
      </c>
      <c r="AK508" s="94">
        <v>21</v>
      </c>
      <c r="AL508" s="94">
        <v>19</v>
      </c>
      <c r="AM508" s="94">
        <v>819</v>
      </c>
      <c r="AN508" s="94">
        <v>8936</v>
      </c>
      <c r="AO508" s="94">
        <v>69</v>
      </c>
      <c r="AP508" s="95">
        <v>1.72486772486772</v>
      </c>
      <c r="AQ508" s="95">
        <v>0.46967531141515201</v>
      </c>
      <c r="AR508" s="95">
        <v>3.0748956731825201</v>
      </c>
      <c r="AS508" s="95">
        <v>4.1176470588235299</v>
      </c>
      <c r="AT508" s="95">
        <v>3.0860855441256101</v>
      </c>
      <c r="AU508" s="95">
        <v>1.5221402214022099</v>
      </c>
      <c r="AV508" s="95">
        <v>0.68915487849111401</v>
      </c>
      <c r="AW508" s="95">
        <v>1.7574487895716899</v>
      </c>
      <c r="AX508" s="95">
        <v>1.4319809069212399</v>
      </c>
      <c r="AY508" s="95">
        <v>0</v>
      </c>
      <c r="AZ508" s="95">
        <v>1.73219978746015</v>
      </c>
      <c r="BA508" s="95">
        <v>0</v>
      </c>
      <c r="BB508" s="95">
        <v>0</v>
      </c>
      <c r="BC508" s="95">
        <v>0.75376884422110502</v>
      </c>
      <c r="BD508" s="95">
        <v>1.82813227759665</v>
      </c>
      <c r="BE508" s="95">
        <v>0</v>
      </c>
    </row>
    <row r="509" spans="2:57" ht="15" customHeight="1" x14ac:dyDescent="0.25">
      <c r="B509" s="96">
        <v>499</v>
      </c>
      <c r="C509" s="97" t="s">
        <v>504</v>
      </c>
      <c r="D509" s="104" t="s">
        <v>51</v>
      </c>
      <c r="E509" s="104" t="s">
        <v>179</v>
      </c>
      <c r="F509" s="104" t="s">
        <v>179</v>
      </c>
      <c r="G509" s="105" t="s">
        <v>179</v>
      </c>
      <c r="H509" s="106">
        <v>4510</v>
      </c>
      <c r="I509" s="106">
        <v>2415</v>
      </c>
      <c r="J509" s="106">
        <v>2095</v>
      </c>
      <c r="K509" s="106">
        <v>328</v>
      </c>
      <c r="L509" s="106">
        <v>942</v>
      </c>
      <c r="M509" s="106">
        <v>2205</v>
      </c>
      <c r="N509" s="106">
        <v>1035</v>
      </c>
      <c r="O509" s="106">
        <v>4503</v>
      </c>
      <c r="P509" s="106">
        <v>7</v>
      </c>
      <c r="Q509" s="107">
        <v>0.49111318989710001</v>
      </c>
      <c r="R509" s="107">
        <v>0.17353579175705</v>
      </c>
      <c r="S509" s="107">
        <v>0.86250634195839704</v>
      </c>
      <c r="T509" s="107">
        <v>0.95846645367412098</v>
      </c>
      <c r="U509" s="107">
        <v>0.56689342403628096</v>
      </c>
      <c r="V509" s="107">
        <v>0.42836744407424998</v>
      </c>
      <c r="W509" s="107">
        <v>0.40816326530612201</v>
      </c>
      <c r="X509" s="107">
        <v>0.49180327868852503</v>
      </c>
      <c r="Y509" s="107">
        <v>0</v>
      </c>
      <c r="Z509" s="106">
        <v>6576</v>
      </c>
      <c r="AA509" s="106">
        <v>3331</v>
      </c>
      <c r="AB509" s="106">
        <v>3245</v>
      </c>
      <c r="AC509" s="106">
        <v>287</v>
      </c>
      <c r="AD509" s="106">
        <v>1448</v>
      </c>
      <c r="AE509" s="106">
        <v>3236</v>
      </c>
      <c r="AF509" s="106">
        <v>1605</v>
      </c>
      <c r="AG509" s="106">
        <v>5281</v>
      </c>
      <c r="AH509" s="106">
        <v>1279</v>
      </c>
      <c r="AI509" s="106">
        <v>16</v>
      </c>
      <c r="AJ509" s="106">
        <v>6519</v>
      </c>
      <c r="AK509" s="106">
        <v>37</v>
      </c>
      <c r="AL509" s="106">
        <v>20</v>
      </c>
      <c r="AM509" s="106">
        <v>414</v>
      </c>
      <c r="AN509" s="106">
        <v>6123</v>
      </c>
      <c r="AO509" s="106">
        <v>39</v>
      </c>
      <c r="AP509" s="107">
        <v>2.8186856690419599</v>
      </c>
      <c r="AQ509" s="107">
        <v>1.0219882316506701</v>
      </c>
      <c r="AR509" s="107">
        <v>4.6986390149060302</v>
      </c>
      <c r="AS509" s="107">
        <v>3.6764705882352899</v>
      </c>
      <c r="AT509" s="107">
        <v>4.0620384047267404</v>
      </c>
      <c r="AU509" s="107">
        <v>2.6602564102564101</v>
      </c>
      <c r="AV509" s="107">
        <v>1.9120458891013401</v>
      </c>
      <c r="AW509" s="107">
        <v>2.5902668759811598</v>
      </c>
      <c r="AX509" s="107">
        <v>3.7375415282392002</v>
      </c>
      <c r="AY509" s="107">
        <v>6.6666666666666696</v>
      </c>
      <c r="AZ509" s="107">
        <v>2.8425423187479999</v>
      </c>
      <c r="BA509" s="107">
        <v>0</v>
      </c>
      <c r="BB509" s="107">
        <v>0</v>
      </c>
      <c r="BC509" s="107">
        <v>1.48883374689826</v>
      </c>
      <c r="BD509" s="107">
        <v>2.91113381001021</v>
      </c>
      <c r="BE509" s="107">
        <v>2.6315789473684199</v>
      </c>
    </row>
    <row r="510" spans="2:57" ht="15" customHeight="1" x14ac:dyDescent="0.25">
      <c r="B510" s="91">
        <v>500</v>
      </c>
      <c r="C510" s="92" t="s">
        <v>504</v>
      </c>
      <c r="D510" s="92" t="s">
        <v>51</v>
      </c>
      <c r="E510" s="92" t="s">
        <v>179</v>
      </c>
      <c r="F510" s="92" t="s">
        <v>179</v>
      </c>
      <c r="G510" s="101" t="s">
        <v>501</v>
      </c>
      <c r="H510" s="94">
        <v>1425</v>
      </c>
      <c r="I510" s="94">
        <v>750</v>
      </c>
      <c r="J510" s="94">
        <v>675</v>
      </c>
      <c r="K510" s="94">
        <v>69</v>
      </c>
      <c r="L510" s="94">
        <v>343</v>
      </c>
      <c r="M510" s="94">
        <v>751</v>
      </c>
      <c r="N510" s="94">
        <v>262</v>
      </c>
      <c r="O510" s="94">
        <v>1422</v>
      </c>
      <c r="P510" s="94">
        <v>3</v>
      </c>
      <c r="Q510" s="95">
        <v>1.47167034584253</v>
      </c>
      <c r="R510" s="95">
        <v>0.554016620498615</v>
      </c>
      <c r="S510" s="95">
        <v>2.5117739403453698</v>
      </c>
      <c r="T510" s="95">
        <v>4.4776119402985097</v>
      </c>
      <c r="U510" s="95">
        <v>1.25</v>
      </c>
      <c r="V510" s="95">
        <v>1.2517385257301801</v>
      </c>
      <c r="W510" s="95">
        <v>1.5810276679841899</v>
      </c>
      <c r="X510" s="95">
        <v>1.47492625368732</v>
      </c>
      <c r="Y510" s="95">
        <v>0</v>
      </c>
      <c r="Z510" s="94">
        <v>2262</v>
      </c>
      <c r="AA510" s="94">
        <v>1135</v>
      </c>
      <c r="AB510" s="94">
        <v>1127</v>
      </c>
      <c r="AC510" s="94">
        <v>99</v>
      </c>
      <c r="AD510" s="94">
        <v>592</v>
      </c>
      <c r="AE510" s="94">
        <v>1174</v>
      </c>
      <c r="AF510" s="94">
        <v>397</v>
      </c>
      <c r="AG510" s="94">
        <v>1533</v>
      </c>
      <c r="AH510" s="94">
        <v>722</v>
      </c>
      <c r="AI510" s="94">
        <v>7</v>
      </c>
      <c r="AJ510" s="94">
        <v>2231</v>
      </c>
      <c r="AK510" s="94">
        <v>19</v>
      </c>
      <c r="AL510" s="94">
        <v>12</v>
      </c>
      <c r="AM510" s="94">
        <v>125</v>
      </c>
      <c r="AN510" s="94">
        <v>2123</v>
      </c>
      <c r="AO510" s="94">
        <v>14</v>
      </c>
      <c r="AP510" s="95">
        <v>5.2190121155638396</v>
      </c>
      <c r="AQ510" s="95">
        <v>2.31696014828545</v>
      </c>
      <c r="AR510" s="95">
        <v>8.1537019681349605</v>
      </c>
      <c r="AS510" s="95">
        <v>6.5934065934065904</v>
      </c>
      <c r="AT510" s="95">
        <v>5.3505535055350597</v>
      </c>
      <c r="AU510" s="95">
        <v>5.1464063886424096</v>
      </c>
      <c r="AV510" s="95">
        <v>4.9222797927461102</v>
      </c>
      <c r="AW510" s="95">
        <v>5.2848318462594399</v>
      </c>
      <c r="AX510" s="95">
        <v>4.9853372434017604</v>
      </c>
      <c r="AY510" s="95">
        <v>14.285714285714301</v>
      </c>
      <c r="AZ510" s="95">
        <v>5.2855120339782902</v>
      </c>
      <c r="BA510" s="95">
        <v>0</v>
      </c>
      <c r="BB510" s="95">
        <v>0</v>
      </c>
      <c r="BC510" s="95">
        <v>3.3613445378151301</v>
      </c>
      <c r="BD510" s="95">
        <v>5.3154495777446602</v>
      </c>
      <c r="BE510" s="95">
        <v>7.1428571428571397</v>
      </c>
    </row>
    <row r="511" spans="2:57" ht="15" customHeight="1" x14ac:dyDescent="0.25">
      <c r="B511" s="91">
        <v>501</v>
      </c>
      <c r="C511" s="92" t="s">
        <v>504</v>
      </c>
      <c r="D511" s="92" t="s">
        <v>51</v>
      </c>
      <c r="E511" s="92" t="s">
        <v>179</v>
      </c>
      <c r="F511" s="92" t="s">
        <v>179</v>
      </c>
      <c r="G511" s="101" t="s">
        <v>502</v>
      </c>
      <c r="H511" s="94">
        <v>3085</v>
      </c>
      <c r="I511" s="94">
        <v>1665</v>
      </c>
      <c r="J511" s="94">
        <v>1420</v>
      </c>
      <c r="K511" s="94">
        <v>259</v>
      </c>
      <c r="L511" s="94">
        <v>599</v>
      </c>
      <c r="M511" s="94">
        <v>1454</v>
      </c>
      <c r="N511" s="94">
        <v>773</v>
      </c>
      <c r="O511" s="94">
        <v>3081</v>
      </c>
      <c r="P511" s="94">
        <v>4</v>
      </c>
      <c r="Q511" s="95">
        <v>3.4281796366129602E-2</v>
      </c>
      <c r="R511" s="95">
        <v>0</v>
      </c>
      <c r="S511" s="95">
        <v>7.4962518740629702E-2</v>
      </c>
      <c r="T511" s="95">
        <v>0</v>
      </c>
      <c r="U511" s="95">
        <v>0.17793594306049801</v>
      </c>
      <c r="V511" s="95">
        <v>0</v>
      </c>
      <c r="W511" s="95">
        <v>0</v>
      </c>
      <c r="X511" s="95">
        <v>3.4317089910775603E-2</v>
      </c>
      <c r="Y511" s="95">
        <v>0</v>
      </c>
      <c r="Z511" s="94">
        <v>4314</v>
      </c>
      <c r="AA511" s="94">
        <v>2196</v>
      </c>
      <c r="AB511" s="94">
        <v>2118</v>
      </c>
      <c r="AC511" s="94">
        <v>188</v>
      </c>
      <c r="AD511" s="94">
        <v>856</v>
      </c>
      <c r="AE511" s="94">
        <v>2062</v>
      </c>
      <c r="AF511" s="94">
        <v>1208</v>
      </c>
      <c r="AG511" s="94">
        <v>3748</v>
      </c>
      <c r="AH511" s="94">
        <v>557</v>
      </c>
      <c r="AI511" s="94">
        <v>9</v>
      </c>
      <c r="AJ511" s="94">
        <v>4288</v>
      </c>
      <c r="AK511" s="94">
        <v>18</v>
      </c>
      <c r="AL511" s="94">
        <v>8</v>
      </c>
      <c r="AM511" s="94">
        <v>289</v>
      </c>
      <c r="AN511" s="94">
        <v>4000</v>
      </c>
      <c r="AO511" s="94">
        <v>25</v>
      </c>
      <c r="AP511" s="95">
        <v>1.5831134564643801</v>
      </c>
      <c r="AQ511" s="95">
        <v>0.372093023255814</v>
      </c>
      <c r="AR511" s="95">
        <v>2.8727092620109</v>
      </c>
      <c r="AS511" s="95">
        <v>2.20994475138122</v>
      </c>
      <c r="AT511" s="95">
        <v>3.20197044334975</v>
      </c>
      <c r="AU511" s="95">
        <v>1.25439036628199</v>
      </c>
      <c r="AV511" s="95">
        <v>0.92983939137785299</v>
      </c>
      <c r="AW511" s="95">
        <v>1.5114042319318499</v>
      </c>
      <c r="AX511" s="95">
        <v>2.1072796934865901</v>
      </c>
      <c r="AY511" s="95">
        <v>0</v>
      </c>
      <c r="AZ511" s="95">
        <v>1.59304851556843</v>
      </c>
      <c r="BA511" s="95">
        <v>0</v>
      </c>
      <c r="BB511" s="95">
        <v>0</v>
      </c>
      <c r="BC511" s="95">
        <v>0.70422535211267601</v>
      </c>
      <c r="BD511" s="95">
        <v>1.6576016576016599</v>
      </c>
      <c r="BE511" s="95">
        <v>0</v>
      </c>
    </row>
    <row r="512" spans="2:57" ht="15" customHeight="1" x14ac:dyDescent="0.25">
      <c r="B512" s="96">
        <v>502</v>
      </c>
      <c r="C512" s="97" t="s">
        <v>504</v>
      </c>
      <c r="D512" s="104" t="s">
        <v>51</v>
      </c>
      <c r="E512" s="104" t="s">
        <v>179</v>
      </c>
      <c r="F512" s="104" t="s">
        <v>238</v>
      </c>
      <c r="G512" s="105" t="s">
        <v>238</v>
      </c>
      <c r="H512" s="106">
        <v>4753</v>
      </c>
      <c r="I512" s="106">
        <v>2481</v>
      </c>
      <c r="J512" s="106">
        <v>2272</v>
      </c>
      <c r="K512" s="106">
        <v>480</v>
      </c>
      <c r="L512" s="106">
        <v>1030</v>
      </c>
      <c r="M512" s="106">
        <v>2059</v>
      </c>
      <c r="N512" s="106">
        <v>1184</v>
      </c>
      <c r="O512" s="106">
        <v>4752</v>
      </c>
      <c r="P512" s="106">
        <v>1</v>
      </c>
      <c r="Q512" s="107">
        <v>0.156215130551216</v>
      </c>
      <c r="R512" s="107">
        <v>0.16941973739940699</v>
      </c>
      <c r="S512" s="107">
        <v>0.14150943396226401</v>
      </c>
      <c r="T512" s="107">
        <v>0.23474178403755899</v>
      </c>
      <c r="U512" s="107">
        <v>0.42016806722689098</v>
      </c>
      <c r="V512" s="107">
        <v>5.0684237202230101E-2</v>
      </c>
      <c r="W512" s="107">
        <v>8.8495575221238895E-2</v>
      </c>
      <c r="X512" s="107">
        <v>0.15625</v>
      </c>
      <c r="Y512" s="107">
        <v>0</v>
      </c>
      <c r="Z512" s="106">
        <v>5510</v>
      </c>
      <c r="AA512" s="106">
        <v>2801</v>
      </c>
      <c r="AB512" s="106">
        <v>2709</v>
      </c>
      <c r="AC512" s="106">
        <v>345</v>
      </c>
      <c r="AD512" s="106">
        <v>1089</v>
      </c>
      <c r="AE512" s="106">
        <v>2429</v>
      </c>
      <c r="AF512" s="106">
        <v>1647</v>
      </c>
      <c r="AG512" s="106">
        <v>5147</v>
      </c>
      <c r="AH512" s="106">
        <v>349</v>
      </c>
      <c r="AI512" s="106">
        <v>14</v>
      </c>
      <c r="AJ512" s="106">
        <v>5496</v>
      </c>
      <c r="AK512" s="106">
        <v>3</v>
      </c>
      <c r="AL512" s="106">
        <v>11</v>
      </c>
      <c r="AM512" s="106">
        <v>530</v>
      </c>
      <c r="AN512" s="106">
        <v>4936</v>
      </c>
      <c r="AO512" s="106">
        <v>44</v>
      </c>
      <c r="AP512" s="107">
        <v>1.8367733383828799</v>
      </c>
      <c r="AQ512" s="107">
        <v>0.54605023662176899</v>
      </c>
      <c r="AR512" s="107">
        <v>3.2359905288082098</v>
      </c>
      <c r="AS512" s="107">
        <v>5.1671732522796399</v>
      </c>
      <c r="AT512" s="107">
        <v>2.9951690821255998</v>
      </c>
      <c r="AU512" s="107">
        <v>1.7498932991890701</v>
      </c>
      <c r="AV512" s="107">
        <v>0.50825921219822101</v>
      </c>
      <c r="AW512" s="107">
        <v>1.93821926105391</v>
      </c>
      <c r="AX512" s="107">
        <v>0.316455696202532</v>
      </c>
      <c r="AY512" s="107">
        <v>0</v>
      </c>
      <c r="AZ512" s="107">
        <v>1.84165559141826</v>
      </c>
      <c r="BA512" s="107">
        <v>0</v>
      </c>
      <c r="BB512" s="107">
        <v>0</v>
      </c>
      <c r="BC512" s="107">
        <v>0.78125</v>
      </c>
      <c r="BD512" s="107">
        <v>1.9674211973767699</v>
      </c>
      <c r="BE512" s="107">
        <v>0</v>
      </c>
    </row>
    <row r="513" spans="2:57" ht="15" customHeight="1" x14ac:dyDescent="0.25">
      <c r="B513" s="91">
        <v>503</v>
      </c>
      <c r="C513" s="92" t="s">
        <v>504</v>
      </c>
      <c r="D513" s="92" t="s">
        <v>51</v>
      </c>
      <c r="E513" s="92" t="s">
        <v>179</v>
      </c>
      <c r="F513" s="92" t="s">
        <v>238</v>
      </c>
      <c r="G513" s="101" t="s">
        <v>501</v>
      </c>
      <c r="H513" s="94">
        <v>0</v>
      </c>
      <c r="I513" s="94">
        <v>0</v>
      </c>
      <c r="J513" s="94">
        <v>0</v>
      </c>
      <c r="K513" s="94">
        <v>0</v>
      </c>
      <c r="L513" s="94">
        <v>0</v>
      </c>
      <c r="M513" s="94">
        <v>0</v>
      </c>
      <c r="N513" s="94">
        <v>0</v>
      </c>
      <c r="O513" s="94">
        <v>0</v>
      </c>
      <c r="P513" s="94">
        <v>0</v>
      </c>
      <c r="Q513" s="95">
        <v>0</v>
      </c>
      <c r="R513" s="95">
        <v>0</v>
      </c>
      <c r="S513" s="95">
        <v>0</v>
      </c>
      <c r="T513" s="95">
        <v>0</v>
      </c>
      <c r="U513" s="95">
        <v>0</v>
      </c>
      <c r="V513" s="95">
        <v>0</v>
      </c>
      <c r="W513" s="95">
        <v>0</v>
      </c>
      <c r="X513" s="95">
        <v>0</v>
      </c>
      <c r="Y513" s="95">
        <v>0</v>
      </c>
      <c r="Z513" s="94">
        <v>0</v>
      </c>
      <c r="AA513" s="94">
        <v>0</v>
      </c>
      <c r="AB513" s="94">
        <v>0</v>
      </c>
      <c r="AC513" s="94">
        <v>0</v>
      </c>
      <c r="AD513" s="94">
        <v>0</v>
      </c>
      <c r="AE513" s="94">
        <v>0</v>
      </c>
      <c r="AF513" s="94">
        <v>0</v>
      </c>
      <c r="AG513" s="94">
        <v>0</v>
      </c>
      <c r="AH513" s="94">
        <v>0</v>
      </c>
      <c r="AI513" s="94">
        <v>0</v>
      </c>
      <c r="AJ513" s="94">
        <v>0</v>
      </c>
      <c r="AK513" s="94">
        <v>0</v>
      </c>
      <c r="AL513" s="94">
        <v>0</v>
      </c>
      <c r="AM513" s="94">
        <v>0</v>
      </c>
      <c r="AN513" s="94">
        <v>0</v>
      </c>
      <c r="AO513" s="94">
        <v>0</v>
      </c>
      <c r="AP513" s="95">
        <v>0</v>
      </c>
      <c r="AQ513" s="95">
        <v>0</v>
      </c>
      <c r="AR513" s="95">
        <v>0</v>
      </c>
      <c r="AS513" s="95">
        <v>0</v>
      </c>
      <c r="AT513" s="95">
        <v>0</v>
      </c>
      <c r="AU513" s="95">
        <v>0</v>
      </c>
      <c r="AV513" s="95">
        <v>0</v>
      </c>
      <c r="AW513" s="95">
        <v>0</v>
      </c>
      <c r="AX513" s="95">
        <v>0</v>
      </c>
      <c r="AY513" s="95">
        <v>0</v>
      </c>
      <c r="AZ513" s="95">
        <v>0</v>
      </c>
      <c r="BA513" s="95">
        <v>0</v>
      </c>
      <c r="BB513" s="95">
        <v>0</v>
      </c>
      <c r="BC513" s="95">
        <v>0</v>
      </c>
      <c r="BD513" s="95">
        <v>0</v>
      </c>
      <c r="BE513" s="95">
        <v>0</v>
      </c>
    </row>
    <row r="514" spans="2:57" ht="15" customHeight="1" x14ac:dyDescent="0.25">
      <c r="B514" s="91">
        <v>504</v>
      </c>
      <c r="C514" s="92" t="s">
        <v>504</v>
      </c>
      <c r="D514" s="92" t="s">
        <v>51</v>
      </c>
      <c r="E514" s="92" t="s">
        <v>179</v>
      </c>
      <c r="F514" s="92" t="s">
        <v>238</v>
      </c>
      <c r="G514" s="101" t="s">
        <v>502</v>
      </c>
      <c r="H514" s="94">
        <v>4753</v>
      </c>
      <c r="I514" s="94">
        <v>2481</v>
      </c>
      <c r="J514" s="94">
        <v>2272</v>
      </c>
      <c r="K514" s="94">
        <v>480</v>
      </c>
      <c r="L514" s="94">
        <v>1030</v>
      </c>
      <c r="M514" s="94">
        <v>2059</v>
      </c>
      <c r="N514" s="94">
        <v>1184</v>
      </c>
      <c r="O514" s="94">
        <v>4752</v>
      </c>
      <c r="P514" s="94">
        <v>1</v>
      </c>
      <c r="Q514" s="95">
        <v>0.156215130551216</v>
      </c>
      <c r="R514" s="95">
        <v>0.16941973739940699</v>
      </c>
      <c r="S514" s="95">
        <v>0.14150943396226401</v>
      </c>
      <c r="T514" s="95">
        <v>0.23474178403755899</v>
      </c>
      <c r="U514" s="95">
        <v>0.42016806722689098</v>
      </c>
      <c r="V514" s="95">
        <v>5.0684237202230101E-2</v>
      </c>
      <c r="W514" s="95">
        <v>8.8495575221238895E-2</v>
      </c>
      <c r="X514" s="95">
        <v>0.15625</v>
      </c>
      <c r="Y514" s="95">
        <v>0</v>
      </c>
      <c r="Z514" s="94">
        <v>5510</v>
      </c>
      <c r="AA514" s="94">
        <v>2801</v>
      </c>
      <c r="AB514" s="94">
        <v>2709</v>
      </c>
      <c r="AC514" s="94">
        <v>345</v>
      </c>
      <c r="AD514" s="94">
        <v>1089</v>
      </c>
      <c r="AE514" s="94">
        <v>2429</v>
      </c>
      <c r="AF514" s="94">
        <v>1647</v>
      </c>
      <c r="AG514" s="94">
        <v>5147</v>
      </c>
      <c r="AH514" s="94">
        <v>349</v>
      </c>
      <c r="AI514" s="94">
        <v>14</v>
      </c>
      <c r="AJ514" s="94">
        <v>5496</v>
      </c>
      <c r="AK514" s="94">
        <v>3</v>
      </c>
      <c r="AL514" s="94">
        <v>11</v>
      </c>
      <c r="AM514" s="94">
        <v>530</v>
      </c>
      <c r="AN514" s="94">
        <v>4936</v>
      </c>
      <c r="AO514" s="94">
        <v>44</v>
      </c>
      <c r="AP514" s="95">
        <v>1.8367733383828799</v>
      </c>
      <c r="AQ514" s="95">
        <v>0.54605023662176899</v>
      </c>
      <c r="AR514" s="95">
        <v>3.2359905288082098</v>
      </c>
      <c r="AS514" s="95">
        <v>5.1671732522796399</v>
      </c>
      <c r="AT514" s="95">
        <v>2.9951690821255998</v>
      </c>
      <c r="AU514" s="95">
        <v>1.7498932991890701</v>
      </c>
      <c r="AV514" s="95">
        <v>0.50825921219822101</v>
      </c>
      <c r="AW514" s="95">
        <v>1.93821926105391</v>
      </c>
      <c r="AX514" s="95">
        <v>0.316455696202532</v>
      </c>
      <c r="AY514" s="95">
        <v>0</v>
      </c>
      <c r="AZ514" s="95">
        <v>1.84165559141826</v>
      </c>
      <c r="BA514" s="95">
        <v>0</v>
      </c>
      <c r="BB514" s="95">
        <v>0</v>
      </c>
      <c r="BC514" s="95">
        <v>0.78125</v>
      </c>
      <c r="BD514" s="95">
        <v>1.9674211973767699</v>
      </c>
      <c r="BE514" s="95">
        <v>0</v>
      </c>
    </row>
    <row r="515" spans="2:57" ht="15" customHeight="1" x14ac:dyDescent="0.25">
      <c r="B515" s="86">
        <v>505</v>
      </c>
      <c r="C515" s="87" t="s">
        <v>503</v>
      </c>
      <c r="D515" s="103" t="s">
        <v>51</v>
      </c>
      <c r="E515" s="103" t="s">
        <v>128</v>
      </c>
      <c r="F515" s="103"/>
      <c r="G515" s="88" t="s">
        <v>128</v>
      </c>
      <c r="H515" s="89">
        <v>10353</v>
      </c>
      <c r="I515" s="89">
        <v>5630</v>
      </c>
      <c r="J515" s="89">
        <v>4723</v>
      </c>
      <c r="K515" s="89">
        <v>1268</v>
      </c>
      <c r="L515" s="89">
        <v>2543</v>
      </c>
      <c r="M515" s="89">
        <v>4713</v>
      </c>
      <c r="N515" s="89">
        <v>1829</v>
      </c>
      <c r="O515" s="89">
        <v>10349</v>
      </c>
      <c r="P515" s="89">
        <v>4</v>
      </c>
      <c r="Q515" s="90">
        <v>9.0552369453667403E-2</v>
      </c>
      <c r="R515" s="90">
        <v>1.8450184501845001E-2</v>
      </c>
      <c r="S515" s="90">
        <v>0.17703031644169101</v>
      </c>
      <c r="T515" s="90">
        <v>8.29875518672199E-2</v>
      </c>
      <c r="U515" s="90">
        <v>4.11861614497529E-2</v>
      </c>
      <c r="V515" s="90">
        <v>0.132129486897159</v>
      </c>
      <c r="W515" s="90">
        <v>5.6657223796034002E-2</v>
      </c>
      <c r="X515" s="90">
        <v>8.0523402113739304E-2</v>
      </c>
      <c r="Y515" s="90">
        <v>25</v>
      </c>
      <c r="Z515" s="89">
        <v>11744</v>
      </c>
      <c r="AA515" s="89">
        <v>6655</v>
      </c>
      <c r="AB515" s="89">
        <v>5089</v>
      </c>
      <c r="AC515" s="89">
        <v>836</v>
      </c>
      <c r="AD515" s="89">
        <v>3030</v>
      </c>
      <c r="AE515" s="89">
        <v>5385</v>
      </c>
      <c r="AF515" s="89">
        <v>2493</v>
      </c>
      <c r="AG515" s="89">
        <v>10301</v>
      </c>
      <c r="AH515" s="89">
        <v>1223</v>
      </c>
      <c r="AI515" s="89">
        <v>220</v>
      </c>
      <c r="AJ515" s="89">
        <v>11692</v>
      </c>
      <c r="AK515" s="89">
        <v>8</v>
      </c>
      <c r="AL515" s="89">
        <v>44</v>
      </c>
      <c r="AM515" s="89">
        <v>887</v>
      </c>
      <c r="AN515" s="89">
        <v>10630</v>
      </c>
      <c r="AO515" s="89">
        <v>227</v>
      </c>
      <c r="AP515" s="90">
        <v>0.83589969203695602</v>
      </c>
      <c r="AQ515" s="90">
        <v>0.246153846153846</v>
      </c>
      <c r="AR515" s="90">
        <v>1.6238437821171601</v>
      </c>
      <c r="AS515" s="90">
        <v>1.86335403726708</v>
      </c>
      <c r="AT515" s="90">
        <v>1.40459061322371</v>
      </c>
      <c r="AU515" s="90">
        <v>0.63315425940138104</v>
      </c>
      <c r="AV515" s="90">
        <v>0.24701523260601099</v>
      </c>
      <c r="AW515" s="90">
        <v>0.84134615384615397</v>
      </c>
      <c r="AX515" s="90">
        <v>0.854700854700855</v>
      </c>
      <c r="AY515" s="90">
        <v>0.47393364928909998</v>
      </c>
      <c r="AZ515" s="90">
        <v>0.83944508261906903</v>
      </c>
      <c r="BA515" s="90">
        <v>0</v>
      </c>
      <c r="BB515" s="90">
        <v>0</v>
      </c>
      <c r="BC515" s="90">
        <v>0</v>
      </c>
      <c r="BD515" s="90">
        <v>0.92394475782921603</v>
      </c>
      <c r="BE515" s="90">
        <v>0</v>
      </c>
    </row>
    <row r="516" spans="2:57" ht="15" customHeight="1" x14ac:dyDescent="0.25">
      <c r="B516" s="91">
        <v>506</v>
      </c>
      <c r="C516" s="92" t="s">
        <v>503</v>
      </c>
      <c r="D516" s="92" t="s">
        <v>51</v>
      </c>
      <c r="E516" s="92" t="s">
        <v>128</v>
      </c>
      <c r="F516" s="92"/>
      <c r="G516" s="93" t="s">
        <v>501</v>
      </c>
      <c r="H516" s="94">
        <v>0</v>
      </c>
      <c r="I516" s="94">
        <v>0</v>
      </c>
      <c r="J516" s="94">
        <v>0</v>
      </c>
      <c r="K516" s="94">
        <v>0</v>
      </c>
      <c r="L516" s="94">
        <v>0</v>
      </c>
      <c r="M516" s="94">
        <v>0</v>
      </c>
      <c r="N516" s="94">
        <v>0</v>
      </c>
      <c r="O516" s="94">
        <v>0</v>
      </c>
      <c r="P516" s="94">
        <v>0</v>
      </c>
      <c r="Q516" s="95">
        <v>0</v>
      </c>
      <c r="R516" s="95">
        <v>0</v>
      </c>
      <c r="S516" s="95">
        <v>0</v>
      </c>
      <c r="T516" s="95">
        <v>0</v>
      </c>
      <c r="U516" s="95">
        <v>0</v>
      </c>
      <c r="V516" s="95">
        <v>0</v>
      </c>
      <c r="W516" s="95">
        <v>0</v>
      </c>
      <c r="X516" s="95">
        <v>0</v>
      </c>
      <c r="Y516" s="95">
        <v>0</v>
      </c>
      <c r="Z516" s="94">
        <v>0</v>
      </c>
      <c r="AA516" s="94">
        <v>0</v>
      </c>
      <c r="AB516" s="94">
        <v>0</v>
      </c>
      <c r="AC516" s="94">
        <v>0</v>
      </c>
      <c r="AD516" s="94">
        <v>0</v>
      </c>
      <c r="AE516" s="94">
        <v>0</v>
      </c>
      <c r="AF516" s="94">
        <v>0</v>
      </c>
      <c r="AG516" s="94">
        <v>0</v>
      </c>
      <c r="AH516" s="94">
        <v>0</v>
      </c>
      <c r="AI516" s="94">
        <v>0</v>
      </c>
      <c r="AJ516" s="94">
        <v>0</v>
      </c>
      <c r="AK516" s="94">
        <v>0</v>
      </c>
      <c r="AL516" s="94">
        <v>0</v>
      </c>
      <c r="AM516" s="94">
        <v>0</v>
      </c>
      <c r="AN516" s="94">
        <v>0</v>
      </c>
      <c r="AO516" s="94">
        <v>0</v>
      </c>
      <c r="AP516" s="95">
        <v>0</v>
      </c>
      <c r="AQ516" s="95">
        <v>0</v>
      </c>
      <c r="AR516" s="95">
        <v>0</v>
      </c>
      <c r="AS516" s="95">
        <v>0</v>
      </c>
      <c r="AT516" s="95">
        <v>0</v>
      </c>
      <c r="AU516" s="95">
        <v>0</v>
      </c>
      <c r="AV516" s="95">
        <v>0</v>
      </c>
      <c r="AW516" s="95">
        <v>0</v>
      </c>
      <c r="AX516" s="95">
        <v>0</v>
      </c>
      <c r="AY516" s="95">
        <v>0</v>
      </c>
      <c r="AZ516" s="95">
        <v>0</v>
      </c>
      <c r="BA516" s="95">
        <v>0</v>
      </c>
      <c r="BB516" s="95">
        <v>0</v>
      </c>
      <c r="BC516" s="95">
        <v>0</v>
      </c>
      <c r="BD516" s="95">
        <v>0</v>
      </c>
      <c r="BE516" s="95">
        <v>0</v>
      </c>
    </row>
    <row r="517" spans="2:57" ht="15" customHeight="1" x14ac:dyDescent="0.25">
      <c r="B517" s="91">
        <v>507</v>
      </c>
      <c r="C517" s="92" t="s">
        <v>503</v>
      </c>
      <c r="D517" s="92" t="s">
        <v>51</v>
      </c>
      <c r="E517" s="92" t="s">
        <v>128</v>
      </c>
      <c r="F517" s="92"/>
      <c r="G517" s="93" t="s">
        <v>502</v>
      </c>
      <c r="H517" s="94">
        <v>10353</v>
      </c>
      <c r="I517" s="94">
        <v>5630</v>
      </c>
      <c r="J517" s="94">
        <v>4723</v>
      </c>
      <c r="K517" s="94">
        <v>1268</v>
      </c>
      <c r="L517" s="94">
        <v>2543</v>
      </c>
      <c r="M517" s="94">
        <v>4713</v>
      </c>
      <c r="N517" s="94">
        <v>1829</v>
      </c>
      <c r="O517" s="94">
        <v>10349</v>
      </c>
      <c r="P517" s="94">
        <v>4</v>
      </c>
      <c r="Q517" s="95">
        <v>9.0552369453667403E-2</v>
      </c>
      <c r="R517" s="95">
        <v>1.8450184501845001E-2</v>
      </c>
      <c r="S517" s="95">
        <v>0.17703031644169101</v>
      </c>
      <c r="T517" s="95">
        <v>8.29875518672199E-2</v>
      </c>
      <c r="U517" s="95">
        <v>4.11861614497529E-2</v>
      </c>
      <c r="V517" s="95">
        <v>0.132129486897159</v>
      </c>
      <c r="W517" s="95">
        <v>5.6657223796034002E-2</v>
      </c>
      <c r="X517" s="95">
        <v>8.0523402113739304E-2</v>
      </c>
      <c r="Y517" s="95">
        <v>25</v>
      </c>
      <c r="Z517" s="94">
        <v>11744</v>
      </c>
      <c r="AA517" s="94">
        <v>6655</v>
      </c>
      <c r="AB517" s="94">
        <v>5089</v>
      </c>
      <c r="AC517" s="94">
        <v>836</v>
      </c>
      <c r="AD517" s="94">
        <v>3030</v>
      </c>
      <c r="AE517" s="94">
        <v>5385</v>
      </c>
      <c r="AF517" s="94">
        <v>2493</v>
      </c>
      <c r="AG517" s="94">
        <v>10301</v>
      </c>
      <c r="AH517" s="94">
        <v>1223</v>
      </c>
      <c r="AI517" s="94">
        <v>220</v>
      </c>
      <c r="AJ517" s="94">
        <v>11692</v>
      </c>
      <c r="AK517" s="94">
        <v>8</v>
      </c>
      <c r="AL517" s="94">
        <v>44</v>
      </c>
      <c r="AM517" s="94">
        <v>887</v>
      </c>
      <c r="AN517" s="94">
        <v>10630</v>
      </c>
      <c r="AO517" s="94">
        <v>227</v>
      </c>
      <c r="AP517" s="95">
        <v>0.83589969203695602</v>
      </c>
      <c r="AQ517" s="95">
        <v>0.246153846153846</v>
      </c>
      <c r="AR517" s="95">
        <v>1.6238437821171601</v>
      </c>
      <c r="AS517" s="95">
        <v>1.86335403726708</v>
      </c>
      <c r="AT517" s="95">
        <v>1.40459061322371</v>
      </c>
      <c r="AU517" s="95">
        <v>0.63315425940138104</v>
      </c>
      <c r="AV517" s="95">
        <v>0.24701523260601099</v>
      </c>
      <c r="AW517" s="95">
        <v>0.84134615384615397</v>
      </c>
      <c r="AX517" s="95">
        <v>0.854700854700855</v>
      </c>
      <c r="AY517" s="95">
        <v>0.47393364928909998</v>
      </c>
      <c r="AZ517" s="95">
        <v>0.83944508261906903</v>
      </c>
      <c r="BA517" s="95">
        <v>0</v>
      </c>
      <c r="BB517" s="95">
        <v>0</v>
      </c>
      <c r="BC517" s="95">
        <v>0</v>
      </c>
      <c r="BD517" s="95">
        <v>0.92394475782921603</v>
      </c>
      <c r="BE517" s="95">
        <v>0</v>
      </c>
    </row>
    <row r="518" spans="2:57" ht="15" customHeight="1" x14ac:dyDescent="0.25">
      <c r="B518" s="96">
        <v>508</v>
      </c>
      <c r="C518" s="97" t="s">
        <v>504</v>
      </c>
      <c r="D518" s="104" t="s">
        <v>51</v>
      </c>
      <c r="E518" s="104" t="s">
        <v>128</v>
      </c>
      <c r="F518" s="104" t="s">
        <v>128</v>
      </c>
      <c r="G518" s="105" t="s">
        <v>128</v>
      </c>
      <c r="H518" s="106">
        <v>4987</v>
      </c>
      <c r="I518" s="106">
        <v>2807</v>
      </c>
      <c r="J518" s="106">
        <v>2180</v>
      </c>
      <c r="K518" s="106">
        <v>659</v>
      </c>
      <c r="L518" s="106">
        <v>1317</v>
      </c>
      <c r="M518" s="106">
        <v>2258</v>
      </c>
      <c r="N518" s="106">
        <v>753</v>
      </c>
      <c r="O518" s="106">
        <v>4984</v>
      </c>
      <c r="P518" s="106">
        <v>3</v>
      </c>
      <c r="Q518" s="107">
        <v>0.124197888635893</v>
      </c>
      <c r="R518" s="107">
        <v>0</v>
      </c>
      <c r="S518" s="107">
        <v>0.28571428571428598</v>
      </c>
      <c r="T518" s="107">
        <v>0</v>
      </c>
      <c r="U518" s="107">
        <v>0</v>
      </c>
      <c r="V518" s="107">
        <v>0.228519195612431</v>
      </c>
      <c r="W518" s="107">
        <v>0.13736263736263701</v>
      </c>
      <c r="X518" s="107">
        <v>0.103562551781276</v>
      </c>
      <c r="Y518" s="107">
        <v>33.3333333333333</v>
      </c>
      <c r="Z518" s="106">
        <v>5521</v>
      </c>
      <c r="AA518" s="106">
        <v>3062</v>
      </c>
      <c r="AB518" s="106">
        <v>2459</v>
      </c>
      <c r="AC518" s="106">
        <v>419</v>
      </c>
      <c r="AD518" s="106">
        <v>1531</v>
      </c>
      <c r="AE518" s="106">
        <v>2518</v>
      </c>
      <c r="AF518" s="106">
        <v>1053</v>
      </c>
      <c r="AG518" s="106">
        <v>4846</v>
      </c>
      <c r="AH518" s="106">
        <v>552</v>
      </c>
      <c r="AI518" s="106">
        <v>123</v>
      </c>
      <c r="AJ518" s="106">
        <v>5490</v>
      </c>
      <c r="AK518" s="106">
        <v>7</v>
      </c>
      <c r="AL518" s="106">
        <v>24</v>
      </c>
      <c r="AM518" s="106">
        <v>382</v>
      </c>
      <c r="AN518" s="106">
        <v>5057</v>
      </c>
      <c r="AO518" s="106">
        <v>82</v>
      </c>
      <c r="AP518" s="107">
        <v>0.99755317146621503</v>
      </c>
      <c r="AQ518" s="107">
        <v>0.36912751677852401</v>
      </c>
      <c r="AR518" s="107">
        <v>1.8002571795970901</v>
      </c>
      <c r="AS518" s="107">
        <v>3</v>
      </c>
      <c r="AT518" s="107">
        <v>1.5006821282401099</v>
      </c>
      <c r="AU518" s="107">
        <v>0.618301731244847</v>
      </c>
      <c r="AV518" s="107">
        <v>0.39177277179235998</v>
      </c>
      <c r="AW518" s="107">
        <v>1.0053475935828899</v>
      </c>
      <c r="AX518" s="107">
        <v>0.95602294455066905</v>
      </c>
      <c r="AY518" s="107">
        <v>0.86956521739130399</v>
      </c>
      <c r="AZ518" s="107">
        <v>1.00264850548619</v>
      </c>
      <c r="BA518" s="107">
        <v>0</v>
      </c>
      <c r="BB518" s="107">
        <v>0</v>
      </c>
      <c r="BC518" s="107">
        <v>0</v>
      </c>
      <c r="BD518" s="107">
        <v>1.0889665091432099</v>
      </c>
      <c r="BE518" s="107">
        <v>0</v>
      </c>
    </row>
    <row r="519" spans="2:57" ht="15" customHeight="1" x14ac:dyDescent="0.25">
      <c r="B519" s="91">
        <v>509</v>
      </c>
      <c r="C519" s="92" t="s">
        <v>504</v>
      </c>
      <c r="D519" s="92" t="s">
        <v>51</v>
      </c>
      <c r="E519" s="92" t="s">
        <v>128</v>
      </c>
      <c r="F519" s="92" t="s">
        <v>128</v>
      </c>
      <c r="G519" s="101" t="s">
        <v>501</v>
      </c>
      <c r="H519" s="94">
        <v>0</v>
      </c>
      <c r="I519" s="94">
        <v>0</v>
      </c>
      <c r="J519" s="94">
        <v>0</v>
      </c>
      <c r="K519" s="94">
        <v>0</v>
      </c>
      <c r="L519" s="94">
        <v>0</v>
      </c>
      <c r="M519" s="94">
        <v>0</v>
      </c>
      <c r="N519" s="94">
        <v>0</v>
      </c>
      <c r="O519" s="94">
        <v>0</v>
      </c>
      <c r="P519" s="94">
        <v>0</v>
      </c>
      <c r="Q519" s="95">
        <v>0</v>
      </c>
      <c r="R519" s="95">
        <v>0</v>
      </c>
      <c r="S519" s="95">
        <v>0</v>
      </c>
      <c r="T519" s="95">
        <v>0</v>
      </c>
      <c r="U519" s="95">
        <v>0</v>
      </c>
      <c r="V519" s="95">
        <v>0</v>
      </c>
      <c r="W519" s="95">
        <v>0</v>
      </c>
      <c r="X519" s="95">
        <v>0</v>
      </c>
      <c r="Y519" s="95">
        <v>0</v>
      </c>
      <c r="Z519" s="94">
        <v>0</v>
      </c>
      <c r="AA519" s="94">
        <v>0</v>
      </c>
      <c r="AB519" s="94">
        <v>0</v>
      </c>
      <c r="AC519" s="94">
        <v>0</v>
      </c>
      <c r="AD519" s="94">
        <v>0</v>
      </c>
      <c r="AE519" s="94">
        <v>0</v>
      </c>
      <c r="AF519" s="94">
        <v>0</v>
      </c>
      <c r="AG519" s="94">
        <v>0</v>
      </c>
      <c r="AH519" s="94">
        <v>0</v>
      </c>
      <c r="AI519" s="94">
        <v>0</v>
      </c>
      <c r="AJ519" s="94">
        <v>0</v>
      </c>
      <c r="AK519" s="94">
        <v>0</v>
      </c>
      <c r="AL519" s="94">
        <v>0</v>
      </c>
      <c r="AM519" s="94">
        <v>0</v>
      </c>
      <c r="AN519" s="94">
        <v>0</v>
      </c>
      <c r="AO519" s="94">
        <v>0</v>
      </c>
      <c r="AP519" s="95">
        <v>0</v>
      </c>
      <c r="AQ519" s="95">
        <v>0</v>
      </c>
      <c r="AR519" s="95">
        <v>0</v>
      </c>
      <c r="AS519" s="95">
        <v>0</v>
      </c>
      <c r="AT519" s="95">
        <v>0</v>
      </c>
      <c r="AU519" s="95">
        <v>0</v>
      </c>
      <c r="AV519" s="95">
        <v>0</v>
      </c>
      <c r="AW519" s="95">
        <v>0</v>
      </c>
      <c r="AX519" s="95">
        <v>0</v>
      </c>
      <c r="AY519" s="95">
        <v>0</v>
      </c>
      <c r="AZ519" s="95">
        <v>0</v>
      </c>
      <c r="BA519" s="95">
        <v>0</v>
      </c>
      <c r="BB519" s="95">
        <v>0</v>
      </c>
      <c r="BC519" s="95">
        <v>0</v>
      </c>
      <c r="BD519" s="95">
        <v>0</v>
      </c>
      <c r="BE519" s="95">
        <v>0</v>
      </c>
    </row>
    <row r="520" spans="2:57" ht="15" customHeight="1" x14ac:dyDescent="0.25">
      <c r="B520" s="91">
        <v>510</v>
      </c>
      <c r="C520" s="92" t="s">
        <v>504</v>
      </c>
      <c r="D520" s="92" t="s">
        <v>51</v>
      </c>
      <c r="E520" s="92" t="s">
        <v>128</v>
      </c>
      <c r="F520" s="92" t="s">
        <v>128</v>
      </c>
      <c r="G520" s="101" t="s">
        <v>502</v>
      </c>
      <c r="H520" s="94">
        <v>4987</v>
      </c>
      <c r="I520" s="94">
        <v>2807</v>
      </c>
      <c r="J520" s="94">
        <v>2180</v>
      </c>
      <c r="K520" s="94">
        <v>659</v>
      </c>
      <c r="L520" s="94">
        <v>1317</v>
      </c>
      <c r="M520" s="94">
        <v>2258</v>
      </c>
      <c r="N520" s="94">
        <v>753</v>
      </c>
      <c r="O520" s="94">
        <v>4984</v>
      </c>
      <c r="P520" s="94">
        <v>3</v>
      </c>
      <c r="Q520" s="95">
        <v>0.124197888635893</v>
      </c>
      <c r="R520" s="95">
        <v>0</v>
      </c>
      <c r="S520" s="95">
        <v>0.28571428571428598</v>
      </c>
      <c r="T520" s="95">
        <v>0</v>
      </c>
      <c r="U520" s="95">
        <v>0</v>
      </c>
      <c r="V520" s="95">
        <v>0.228519195612431</v>
      </c>
      <c r="W520" s="95">
        <v>0.13736263736263701</v>
      </c>
      <c r="X520" s="95">
        <v>0.103562551781276</v>
      </c>
      <c r="Y520" s="95">
        <v>33.3333333333333</v>
      </c>
      <c r="Z520" s="94">
        <v>5521</v>
      </c>
      <c r="AA520" s="94">
        <v>3062</v>
      </c>
      <c r="AB520" s="94">
        <v>2459</v>
      </c>
      <c r="AC520" s="94">
        <v>419</v>
      </c>
      <c r="AD520" s="94">
        <v>1531</v>
      </c>
      <c r="AE520" s="94">
        <v>2518</v>
      </c>
      <c r="AF520" s="94">
        <v>1053</v>
      </c>
      <c r="AG520" s="94">
        <v>4846</v>
      </c>
      <c r="AH520" s="94">
        <v>552</v>
      </c>
      <c r="AI520" s="94">
        <v>123</v>
      </c>
      <c r="AJ520" s="94">
        <v>5490</v>
      </c>
      <c r="AK520" s="94">
        <v>7</v>
      </c>
      <c r="AL520" s="94">
        <v>24</v>
      </c>
      <c r="AM520" s="94">
        <v>382</v>
      </c>
      <c r="AN520" s="94">
        <v>5057</v>
      </c>
      <c r="AO520" s="94">
        <v>82</v>
      </c>
      <c r="AP520" s="95">
        <v>0.99755317146621503</v>
      </c>
      <c r="AQ520" s="95">
        <v>0.36912751677852401</v>
      </c>
      <c r="AR520" s="95">
        <v>1.8002571795970901</v>
      </c>
      <c r="AS520" s="95">
        <v>3</v>
      </c>
      <c r="AT520" s="95">
        <v>1.5006821282401099</v>
      </c>
      <c r="AU520" s="95">
        <v>0.618301731244847</v>
      </c>
      <c r="AV520" s="95">
        <v>0.39177277179235998</v>
      </c>
      <c r="AW520" s="95">
        <v>1.0053475935828899</v>
      </c>
      <c r="AX520" s="95">
        <v>0.95602294455066905</v>
      </c>
      <c r="AY520" s="95">
        <v>0.86956521739130399</v>
      </c>
      <c r="AZ520" s="95">
        <v>1.00264850548619</v>
      </c>
      <c r="BA520" s="95">
        <v>0</v>
      </c>
      <c r="BB520" s="95">
        <v>0</v>
      </c>
      <c r="BC520" s="95">
        <v>0</v>
      </c>
      <c r="BD520" s="95">
        <v>1.0889665091432099</v>
      </c>
      <c r="BE520" s="95">
        <v>0</v>
      </c>
    </row>
    <row r="521" spans="2:57" ht="15" customHeight="1" x14ac:dyDescent="0.25">
      <c r="B521" s="96">
        <v>511</v>
      </c>
      <c r="C521" s="97" t="s">
        <v>504</v>
      </c>
      <c r="D521" s="104" t="s">
        <v>51</v>
      </c>
      <c r="E521" s="104" t="s">
        <v>128</v>
      </c>
      <c r="F521" s="104" t="s">
        <v>48</v>
      </c>
      <c r="G521" s="105" t="s">
        <v>48</v>
      </c>
      <c r="H521" s="106">
        <v>5366</v>
      </c>
      <c r="I521" s="106">
        <v>2823</v>
      </c>
      <c r="J521" s="106">
        <v>2543</v>
      </c>
      <c r="K521" s="106">
        <v>609</v>
      </c>
      <c r="L521" s="106">
        <v>1226</v>
      </c>
      <c r="M521" s="106">
        <v>2455</v>
      </c>
      <c r="N521" s="106">
        <v>1076</v>
      </c>
      <c r="O521" s="106">
        <v>5365</v>
      </c>
      <c r="P521" s="106">
        <v>1</v>
      </c>
      <c r="Q521" s="107">
        <v>5.8731401722787797E-2</v>
      </c>
      <c r="R521" s="107">
        <v>3.71885459278542E-2</v>
      </c>
      <c r="S521" s="107">
        <v>8.2678792889623806E-2</v>
      </c>
      <c r="T521" s="107">
        <v>0.17699115044247801</v>
      </c>
      <c r="U521" s="107">
        <v>8.6730268863833504E-2</v>
      </c>
      <c r="V521" s="107">
        <v>4.2498937526561802E-2</v>
      </c>
      <c r="W521" s="107">
        <v>0</v>
      </c>
      <c r="X521" s="107">
        <v>5.87429018993538E-2</v>
      </c>
      <c r="Y521" s="107">
        <v>0</v>
      </c>
      <c r="Z521" s="106">
        <v>6223</v>
      </c>
      <c r="AA521" s="106">
        <v>3593</v>
      </c>
      <c r="AB521" s="106">
        <v>2630</v>
      </c>
      <c r="AC521" s="106">
        <v>417</v>
      </c>
      <c r="AD521" s="106">
        <v>1499</v>
      </c>
      <c r="AE521" s="106">
        <v>2867</v>
      </c>
      <c r="AF521" s="106">
        <v>1440</v>
      </c>
      <c r="AG521" s="106">
        <v>5455</v>
      </c>
      <c r="AH521" s="106">
        <v>671</v>
      </c>
      <c r="AI521" s="106">
        <v>97</v>
      </c>
      <c r="AJ521" s="106">
        <v>6202</v>
      </c>
      <c r="AK521" s="106">
        <v>1</v>
      </c>
      <c r="AL521" s="106">
        <v>20</v>
      </c>
      <c r="AM521" s="106">
        <v>505</v>
      </c>
      <c r="AN521" s="106">
        <v>5573</v>
      </c>
      <c r="AO521" s="106">
        <v>145</v>
      </c>
      <c r="AP521" s="107">
        <v>0.69398545935227995</v>
      </c>
      <c r="AQ521" s="107">
        <v>0.142045454545455</v>
      </c>
      <c r="AR521" s="107">
        <v>1.46129541864139</v>
      </c>
      <c r="AS521" s="107">
        <v>0.74074074074074103</v>
      </c>
      <c r="AT521" s="107">
        <v>1.3076393668272499</v>
      </c>
      <c r="AU521" s="107">
        <v>0.64608758076094797</v>
      </c>
      <c r="AV521" s="107">
        <v>0.142045454545455</v>
      </c>
      <c r="AW521" s="107">
        <v>0.69692974194763602</v>
      </c>
      <c r="AX521" s="107">
        <v>0.77279752704791305</v>
      </c>
      <c r="AY521" s="107">
        <v>0</v>
      </c>
      <c r="AZ521" s="107">
        <v>0.69640192339578799</v>
      </c>
      <c r="BA521" s="107">
        <v>0</v>
      </c>
      <c r="BB521" s="107">
        <v>0</v>
      </c>
      <c r="BC521" s="107">
        <v>0</v>
      </c>
      <c r="BD521" s="107">
        <v>0.77562326869806097</v>
      </c>
      <c r="BE521" s="107">
        <v>0</v>
      </c>
    </row>
    <row r="522" spans="2:57" ht="15" customHeight="1" x14ac:dyDescent="0.25">
      <c r="B522" s="91">
        <v>512</v>
      </c>
      <c r="C522" s="92" t="s">
        <v>504</v>
      </c>
      <c r="D522" s="92" t="s">
        <v>51</v>
      </c>
      <c r="E522" s="92" t="s">
        <v>128</v>
      </c>
      <c r="F522" s="92" t="s">
        <v>48</v>
      </c>
      <c r="G522" s="101" t="s">
        <v>501</v>
      </c>
      <c r="H522" s="94">
        <v>0</v>
      </c>
      <c r="I522" s="94">
        <v>0</v>
      </c>
      <c r="J522" s="94">
        <v>0</v>
      </c>
      <c r="K522" s="94">
        <v>0</v>
      </c>
      <c r="L522" s="94">
        <v>0</v>
      </c>
      <c r="M522" s="94">
        <v>0</v>
      </c>
      <c r="N522" s="94">
        <v>0</v>
      </c>
      <c r="O522" s="94">
        <v>0</v>
      </c>
      <c r="P522" s="94">
        <v>0</v>
      </c>
      <c r="Q522" s="95">
        <v>0</v>
      </c>
      <c r="R522" s="95">
        <v>0</v>
      </c>
      <c r="S522" s="95">
        <v>0</v>
      </c>
      <c r="T522" s="95">
        <v>0</v>
      </c>
      <c r="U522" s="95">
        <v>0</v>
      </c>
      <c r="V522" s="95">
        <v>0</v>
      </c>
      <c r="W522" s="95">
        <v>0</v>
      </c>
      <c r="X522" s="95">
        <v>0</v>
      </c>
      <c r="Y522" s="95">
        <v>0</v>
      </c>
      <c r="Z522" s="94">
        <v>0</v>
      </c>
      <c r="AA522" s="94">
        <v>0</v>
      </c>
      <c r="AB522" s="94">
        <v>0</v>
      </c>
      <c r="AC522" s="94">
        <v>0</v>
      </c>
      <c r="AD522" s="94">
        <v>0</v>
      </c>
      <c r="AE522" s="94">
        <v>0</v>
      </c>
      <c r="AF522" s="94">
        <v>0</v>
      </c>
      <c r="AG522" s="94">
        <v>0</v>
      </c>
      <c r="AH522" s="94">
        <v>0</v>
      </c>
      <c r="AI522" s="94">
        <v>0</v>
      </c>
      <c r="AJ522" s="94">
        <v>0</v>
      </c>
      <c r="AK522" s="94">
        <v>0</v>
      </c>
      <c r="AL522" s="94">
        <v>0</v>
      </c>
      <c r="AM522" s="94">
        <v>0</v>
      </c>
      <c r="AN522" s="94">
        <v>0</v>
      </c>
      <c r="AO522" s="94">
        <v>0</v>
      </c>
      <c r="AP522" s="95">
        <v>0</v>
      </c>
      <c r="AQ522" s="95">
        <v>0</v>
      </c>
      <c r="AR522" s="95">
        <v>0</v>
      </c>
      <c r="AS522" s="95">
        <v>0</v>
      </c>
      <c r="AT522" s="95">
        <v>0</v>
      </c>
      <c r="AU522" s="95">
        <v>0</v>
      </c>
      <c r="AV522" s="95">
        <v>0</v>
      </c>
      <c r="AW522" s="95">
        <v>0</v>
      </c>
      <c r="AX522" s="95">
        <v>0</v>
      </c>
      <c r="AY522" s="95">
        <v>0</v>
      </c>
      <c r="AZ522" s="95">
        <v>0</v>
      </c>
      <c r="BA522" s="95">
        <v>0</v>
      </c>
      <c r="BB522" s="95">
        <v>0</v>
      </c>
      <c r="BC522" s="95">
        <v>0</v>
      </c>
      <c r="BD522" s="95">
        <v>0</v>
      </c>
      <c r="BE522" s="95">
        <v>0</v>
      </c>
    </row>
    <row r="523" spans="2:57" ht="15" customHeight="1" x14ac:dyDescent="0.25">
      <c r="B523" s="91">
        <v>513</v>
      </c>
      <c r="C523" s="92" t="s">
        <v>504</v>
      </c>
      <c r="D523" s="92" t="s">
        <v>51</v>
      </c>
      <c r="E523" s="92" t="s">
        <v>128</v>
      </c>
      <c r="F523" s="92" t="s">
        <v>48</v>
      </c>
      <c r="G523" s="101" t="s">
        <v>502</v>
      </c>
      <c r="H523" s="94">
        <v>5366</v>
      </c>
      <c r="I523" s="94">
        <v>2823</v>
      </c>
      <c r="J523" s="94">
        <v>2543</v>
      </c>
      <c r="K523" s="94">
        <v>609</v>
      </c>
      <c r="L523" s="94">
        <v>1226</v>
      </c>
      <c r="M523" s="94">
        <v>2455</v>
      </c>
      <c r="N523" s="94">
        <v>1076</v>
      </c>
      <c r="O523" s="94">
        <v>5365</v>
      </c>
      <c r="P523" s="94">
        <v>1</v>
      </c>
      <c r="Q523" s="95">
        <v>5.8731401722787797E-2</v>
      </c>
      <c r="R523" s="95">
        <v>3.71885459278542E-2</v>
      </c>
      <c r="S523" s="95">
        <v>8.2678792889623806E-2</v>
      </c>
      <c r="T523" s="95">
        <v>0.17699115044247801</v>
      </c>
      <c r="U523" s="95">
        <v>8.6730268863833504E-2</v>
      </c>
      <c r="V523" s="95">
        <v>4.2498937526561802E-2</v>
      </c>
      <c r="W523" s="95">
        <v>0</v>
      </c>
      <c r="X523" s="95">
        <v>5.87429018993538E-2</v>
      </c>
      <c r="Y523" s="95">
        <v>0</v>
      </c>
      <c r="Z523" s="94">
        <v>6223</v>
      </c>
      <c r="AA523" s="94">
        <v>3593</v>
      </c>
      <c r="AB523" s="94">
        <v>2630</v>
      </c>
      <c r="AC523" s="94">
        <v>417</v>
      </c>
      <c r="AD523" s="94">
        <v>1499</v>
      </c>
      <c r="AE523" s="94">
        <v>2867</v>
      </c>
      <c r="AF523" s="94">
        <v>1440</v>
      </c>
      <c r="AG523" s="94">
        <v>5455</v>
      </c>
      <c r="AH523" s="94">
        <v>671</v>
      </c>
      <c r="AI523" s="94">
        <v>97</v>
      </c>
      <c r="AJ523" s="94">
        <v>6202</v>
      </c>
      <c r="AK523" s="94">
        <v>1</v>
      </c>
      <c r="AL523" s="94">
        <v>20</v>
      </c>
      <c r="AM523" s="94">
        <v>505</v>
      </c>
      <c r="AN523" s="94">
        <v>5573</v>
      </c>
      <c r="AO523" s="94">
        <v>145</v>
      </c>
      <c r="AP523" s="95">
        <v>0.69398545935227995</v>
      </c>
      <c r="AQ523" s="95">
        <v>0.142045454545455</v>
      </c>
      <c r="AR523" s="95">
        <v>1.46129541864139</v>
      </c>
      <c r="AS523" s="95">
        <v>0.74074074074074103</v>
      </c>
      <c r="AT523" s="95">
        <v>1.3076393668272499</v>
      </c>
      <c r="AU523" s="95">
        <v>0.64608758076094797</v>
      </c>
      <c r="AV523" s="95">
        <v>0.142045454545455</v>
      </c>
      <c r="AW523" s="95">
        <v>0.69692974194763602</v>
      </c>
      <c r="AX523" s="95">
        <v>0.77279752704791305</v>
      </c>
      <c r="AY523" s="95">
        <v>0</v>
      </c>
      <c r="AZ523" s="95">
        <v>0.69640192339578799</v>
      </c>
      <c r="BA523" s="95">
        <v>0</v>
      </c>
      <c r="BB523" s="95">
        <v>0</v>
      </c>
      <c r="BC523" s="95">
        <v>0</v>
      </c>
      <c r="BD523" s="95">
        <v>0.77562326869806097</v>
      </c>
      <c r="BE523" s="95">
        <v>0</v>
      </c>
    </row>
    <row r="524" spans="2:57" ht="15" customHeight="1" x14ac:dyDescent="0.25">
      <c r="B524" s="86">
        <v>514</v>
      </c>
      <c r="C524" s="87" t="s">
        <v>503</v>
      </c>
      <c r="D524" s="103" t="s">
        <v>51</v>
      </c>
      <c r="E524" s="103" t="s">
        <v>269</v>
      </c>
      <c r="F524" s="103"/>
      <c r="G524" s="88" t="s">
        <v>269</v>
      </c>
      <c r="H524" s="89">
        <v>13550</v>
      </c>
      <c r="I524" s="89">
        <v>7920</v>
      </c>
      <c r="J524" s="89">
        <v>5630</v>
      </c>
      <c r="K524" s="89">
        <v>1203</v>
      </c>
      <c r="L524" s="89">
        <v>3660</v>
      </c>
      <c r="M524" s="89">
        <v>6370</v>
      </c>
      <c r="N524" s="89">
        <v>2317</v>
      </c>
      <c r="O524" s="89">
        <v>13522</v>
      </c>
      <c r="P524" s="89">
        <v>28</v>
      </c>
      <c r="Q524" s="90">
        <v>0.47458172458172498</v>
      </c>
      <c r="R524" s="90">
        <v>0.17871872422326099</v>
      </c>
      <c r="S524" s="90">
        <v>0.89181853431562597</v>
      </c>
      <c r="T524" s="90">
        <v>0.72072072072072102</v>
      </c>
      <c r="U524" s="90">
        <v>0.672371638141809</v>
      </c>
      <c r="V524" s="90">
        <v>0.39182282793867101</v>
      </c>
      <c r="W524" s="90">
        <v>0.27522935779816499</v>
      </c>
      <c r="X524" s="90">
        <v>0.46747803659224602</v>
      </c>
      <c r="Y524" s="90">
        <v>4</v>
      </c>
      <c r="Z524" s="89">
        <v>16634</v>
      </c>
      <c r="AA524" s="89">
        <v>9057</v>
      </c>
      <c r="AB524" s="89">
        <v>7577</v>
      </c>
      <c r="AC524" s="89">
        <v>914</v>
      </c>
      <c r="AD524" s="89">
        <v>4049</v>
      </c>
      <c r="AE524" s="89">
        <v>8466</v>
      </c>
      <c r="AF524" s="89">
        <v>3205</v>
      </c>
      <c r="AG524" s="89">
        <v>11579</v>
      </c>
      <c r="AH524" s="89">
        <v>4927</v>
      </c>
      <c r="AI524" s="89">
        <v>128</v>
      </c>
      <c r="AJ524" s="89">
        <v>16466</v>
      </c>
      <c r="AK524" s="89">
        <v>115</v>
      </c>
      <c r="AL524" s="89">
        <v>53</v>
      </c>
      <c r="AM524" s="89">
        <v>1335</v>
      </c>
      <c r="AN524" s="89">
        <v>15207</v>
      </c>
      <c r="AO524" s="89">
        <v>92</v>
      </c>
      <c r="AP524" s="90">
        <v>3.3594342005556999</v>
      </c>
      <c r="AQ524" s="90">
        <v>1.12138728323699</v>
      </c>
      <c r="AR524" s="90">
        <v>6.0534372390759801</v>
      </c>
      <c r="AS524" s="90">
        <v>4.7180667433831998</v>
      </c>
      <c r="AT524" s="90">
        <v>4.7858276044420904</v>
      </c>
      <c r="AU524" s="90">
        <v>3.1594597943253602</v>
      </c>
      <c r="AV524" s="90">
        <v>1.76621708413616</v>
      </c>
      <c r="AW524" s="90">
        <v>2.7146464646464601</v>
      </c>
      <c r="AX524" s="90">
        <v>4.9180327868852496</v>
      </c>
      <c r="AY524" s="90">
        <v>2.6785714285714302</v>
      </c>
      <c r="AZ524" s="90">
        <v>3.3284448128546802</v>
      </c>
      <c r="BA524" s="90">
        <v>9.6153846153846203</v>
      </c>
      <c r="BB524" s="90">
        <v>0</v>
      </c>
      <c r="BC524" s="90">
        <v>2.1655065738592398</v>
      </c>
      <c r="BD524" s="90">
        <v>3.46568898727172</v>
      </c>
      <c r="BE524" s="90">
        <v>3.4482758620689702</v>
      </c>
    </row>
    <row r="525" spans="2:57" ht="15" customHeight="1" x14ac:dyDescent="0.25">
      <c r="B525" s="91">
        <v>515</v>
      </c>
      <c r="C525" s="92" t="s">
        <v>503</v>
      </c>
      <c r="D525" s="92" t="s">
        <v>51</v>
      </c>
      <c r="E525" s="92" t="s">
        <v>269</v>
      </c>
      <c r="F525" s="92"/>
      <c r="G525" s="93" t="s">
        <v>501</v>
      </c>
      <c r="H525" s="94">
        <v>3838</v>
      </c>
      <c r="I525" s="94">
        <v>2183</v>
      </c>
      <c r="J525" s="94">
        <v>1655</v>
      </c>
      <c r="K525" s="94">
        <v>316</v>
      </c>
      <c r="L525" s="94">
        <v>1076</v>
      </c>
      <c r="M525" s="94">
        <v>1976</v>
      </c>
      <c r="N525" s="94">
        <v>470</v>
      </c>
      <c r="O525" s="94">
        <v>3825</v>
      </c>
      <c r="P525" s="94">
        <v>13</v>
      </c>
      <c r="Q525" s="95">
        <v>1.1289867344058699</v>
      </c>
      <c r="R525" s="95">
        <v>0.451807228915663</v>
      </c>
      <c r="S525" s="95">
        <v>1.99871050934881</v>
      </c>
      <c r="T525" s="95">
        <v>2.38095238095238</v>
      </c>
      <c r="U525" s="95">
        <v>1.6477857878475799</v>
      </c>
      <c r="V525" s="95">
        <v>0.71115973741794303</v>
      </c>
      <c r="W525" s="95">
        <v>0.88888888888888895</v>
      </c>
      <c r="X525" s="95">
        <v>1.1328235627301</v>
      </c>
      <c r="Y525" s="95">
        <v>0</v>
      </c>
      <c r="Z525" s="94">
        <v>4301</v>
      </c>
      <c r="AA525" s="94">
        <v>2309</v>
      </c>
      <c r="AB525" s="94">
        <v>1992</v>
      </c>
      <c r="AC525" s="94">
        <v>249</v>
      </c>
      <c r="AD525" s="94">
        <v>1076</v>
      </c>
      <c r="AE525" s="94">
        <v>2359</v>
      </c>
      <c r="AF525" s="94">
        <v>617</v>
      </c>
      <c r="AG525" s="94">
        <v>2561</v>
      </c>
      <c r="AH525" s="94">
        <v>1709</v>
      </c>
      <c r="AI525" s="94">
        <v>31</v>
      </c>
      <c r="AJ525" s="94">
        <v>4239</v>
      </c>
      <c r="AK525" s="94">
        <v>50</v>
      </c>
      <c r="AL525" s="94">
        <v>12</v>
      </c>
      <c r="AM525" s="94">
        <v>258</v>
      </c>
      <c r="AN525" s="94">
        <v>4029</v>
      </c>
      <c r="AO525" s="94">
        <v>14</v>
      </c>
      <c r="AP525" s="95">
        <v>5.64278704612365</v>
      </c>
      <c r="AQ525" s="95">
        <v>2.3362345396243702</v>
      </c>
      <c r="AR525" s="95">
        <v>9.4558901215002606</v>
      </c>
      <c r="AS525" s="95">
        <v>9.9173553719008307</v>
      </c>
      <c r="AT525" s="95">
        <v>6.16302186878728</v>
      </c>
      <c r="AU525" s="95">
        <v>4.8813255709807404</v>
      </c>
      <c r="AV525" s="95">
        <v>5.8823529411764701</v>
      </c>
      <c r="AW525" s="95">
        <v>4.87305487305487</v>
      </c>
      <c r="AX525" s="95">
        <v>6.8578553615960098</v>
      </c>
      <c r="AY525" s="95">
        <v>3.3333333333333299</v>
      </c>
      <c r="AZ525" s="95">
        <v>5.5735257526747901</v>
      </c>
      <c r="BA525" s="95">
        <v>13.3333333333333</v>
      </c>
      <c r="BB525" s="95">
        <v>0</v>
      </c>
      <c r="BC525" s="95">
        <v>5.7613168724279804</v>
      </c>
      <c r="BD525" s="95">
        <v>5.6544502617800996</v>
      </c>
      <c r="BE525" s="95">
        <v>0</v>
      </c>
    </row>
    <row r="526" spans="2:57" ht="15" customHeight="1" x14ac:dyDescent="0.25">
      <c r="B526" s="91">
        <v>516</v>
      </c>
      <c r="C526" s="92" t="s">
        <v>503</v>
      </c>
      <c r="D526" s="92" t="s">
        <v>51</v>
      </c>
      <c r="E526" s="92" t="s">
        <v>269</v>
      </c>
      <c r="F526" s="92"/>
      <c r="G526" s="93" t="s">
        <v>502</v>
      </c>
      <c r="H526" s="94">
        <v>9712</v>
      </c>
      <c r="I526" s="94">
        <v>5737</v>
      </c>
      <c r="J526" s="94">
        <v>3975</v>
      </c>
      <c r="K526" s="94">
        <v>887</v>
      </c>
      <c r="L526" s="94">
        <v>2584</v>
      </c>
      <c r="M526" s="94">
        <v>4394</v>
      </c>
      <c r="N526" s="94">
        <v>1847</v>
      </c>
      <c r="O526" s="94">
        <v>9697</v>
      </c>
      <c r="P526" s="94">
        <v>15</v>
      </c>
      <c r="Q526" s="95">
        <v>0.213747328158398</v>
      </c>
      <c r="R526" s="95">
        <v>7.5728890571753096E-2</v>
      </c>
      <c r="S526" s="95">
        <v>0.41585805378430801</v>
      </c>
      <c r="T526" s="95">
        <v>0.12254901960784299</v>
      </c>
      <c r="U526" s="95">
        <v>0.26075619295958302</v>
      </c>
      <c r="V526" s="95">
        <v>0.24740227610094001</v>
      </c>
      <c r="W526" s="95">
        <v>0.115606936416185</v>
      </c>
      <c r="X526" s="95">
        <v>0.202794051374493</v>
      </c>
      <c r="Y526" s="95">
        <v>7.6923076923076898</v>
      </c>
      <c r="Z526" s="94">
        <v>12333</v>
      </c>
      <c r="AA526" s="94">
        <v>6748</v>
      </c>
      <c r="AB526" s="94">
        <v>5585</v>
      </c>
      <c r="AC526" s="94">
        <v>665</v>
      </c>
      <c r="AD526" s="94">
        <v>2973</v>
      </c>
      <c r="AE526" s="94">
        <v>6107</v>
      </c>
      <c r="AF526" s="94">
        <v>2588</v>
      </c>
      <c r="AG526" s="94">
        <v>9018</v>
      </c>
      <c r="AH526" s="94">
        <v>3218</v>
      </c>
      <c r="AI526" s="94">
        <v>97</v>
      </c>
      <c r="AJ526" s="94">
        <v>12227</v>
      </c>
      <c r="AK526" s="94">
        <v>65</v>
      </c>
      <c r="AL526" s="94">
        <v>41</v>
      </c>
      <c r="AM526" s="94">
        <v>1077</v>
      </c>
      <c r="AN526" s="94">
        <v>11178</v>
      </c>
      <c r="AO526" s="94">
        <v>78</v>
      </c>
      <c r="AP526" s="95">
        <v>2.5680272108843498</v>
      </c>
      <c r="AQ526" s="95">
        <v>0.71130354105458504</v>
      </c>
      <c r="AR526" s="95">
        <v>4.8365766106177999</v>
      </c>
      <c r="AS526" s="95">
        <v>2.71132376395534</v>
      </c>
      <c r="AT526" s="95">
        <v>4.2867435158501399</v>
      </c>
      <c r="AU526" s="95">
        <v>2.5008564576909902</v>
      </c>
      <c r="AV526" s="95">
        <v>0.79396585946804299</v>
      </c>
      <c r="AW526" s="95">
        <v>2.10501966227157</v>
      </c>
      <c r="AX526" s="95">
        <v>3.89182058047493</v>
      </c>
      <c r="AY526" s="95">
        <v>2.4390243902439002</v>
      </c>
      <c r="AZ526" s="95">
        <v>2.5548696844993102</v>
      </c>
      <c r="BA526" s="95">
        <v>6.7796610169491496</v>
      </c>
      <c r="BB526" s="95">
        <v>0</v>
      </c>
      <c r="BC526" s="95">
        <v>1.3333333333333299</v>
      </c>
      <c r="BD526" s="95">
        <v>2.6795787890184299</v>
      </c>
      <c r="BE526" s="95">
        <v>4.0540540540540499</v>
      </c>
    </row>
    <row r="527" spans="2:57" ht="15" customHeight="1" x14ac:dyDescent="0.25">
      <c r="B527" s="96">
        <v>517</v>
      </c>
      <c r="C527" s="97" t="s">
        <v>504</v>
      </c>
      <c r="D527" s="104" t="s">
        <v>51</v>
      </c>
      <c r="E527" s="104" t="s">
        <v>269</v>
      </c>
      <c r="F527" s="104" t="s">
        <v>269</v>
      </c>
      <c r="G527" s="105" t="s">
        <v>269</v>
      </c>
      <c r="H527" s="106">
        <v>8979</v>
      </c>
      <c r="I527" s="106">
        <v>5109</v>
      </c>
      <c r="J527" s="106">
        <v>3870</v>
      </c>
      <c r="K527" s="106">
        <v>833</v>
      </c>
      <c r="L527" s="106">
        <v>2426</v>
      </c>
      <c r="M527" s="106">
        <v>4339</v>
      </c>
      <c r="N527" s="106">
        <v>1381</v>
      </c>
      <c r="O527" s="106">
        <v>8959</v>
      </c>
      <c r="P527" s="106">
        <v>20</v>
      </c>
      <c r="Q527" s="107">
        <v>0.58514449486505804</v>
      </c>
      <c r="R527" s="107">
        <v>0.23075309418921799</v>
      </c>
      <c r="S527" s="107">
        <v>1.05350706958691</v>
      </c>
      <c r="T527" s="107">
        <v>0.902061855670103</v>
      </c>
      <c r="U527" s="107">
        <v>0.90090090090090102</v>
      </c>
      <c r="V527" s="107">
        <v>0.41954590325765101</v>
      </c>
      <c r="W527" s="107">
        <v>0.37707390648567102</v>
      </c>
      <c r="X527" s="107">
        <v>0.58647516457211202</v>
      </c>
      <c r="Y527" s="107">
        <v>0</v>
      </c>
      <c r="Z527" s="106">
        <v>10173</v>
      </c>
      <c r="AA527" s="106">
        <v>5450</v>
      </c>
      <c r="AB527" s="106">
        <v>4723</v>
      </c>
      <c r="AC527" s="106">
        <v>597</v>
      </c>
      <c r="AD527" s="106">
        <v>2471</v>
      </c>
      <c r="AE527" s="106">
        <v>5253</v>
      </c>
      <c r="AF527" s="106">
        <v>1852</v>
      </c>
      <c r="AG527" s="106">
        <v>7276</v>
      </c>
      <c r="AH527" s="106">
        <v>2841</v>
      </c>
      <c r="AI527" s="106">
        <v>56</v>
      </c>
      <c r="AJ527" s="106">
        <v>10066</v>
      </c>
      <c r="AK527" s="106">
        <v>74</v>
      </c>
      <c r="AL527" s="106">
        <v>33</v>
      </c>
      <c r="AM527" s="106">
        <v>777</v>
      </c>
      <c r="AN527" s="106">
        <v>9341</v>
      </c>
      <c r="AO527" s="106">
        <v>55</v>
      </c>
      <c r="AP527" s="107">
        <v>3.8370538010492701</v>
      </c>
      <c r="AQ527" s="107">
        <v>1.2803363271546</v>
      </c>
      <c r="AR527" s="107">
        <v>6.8181818181818201</v>
      </c>
      <c r="AS527" s="107">
        <v>5.9027777777777803</v>
      </c>
      <c r="AT527" s="107">
        <v>5.2812365822241301</v>
      </c>
      <c r="AU527" s="107">
        <v>3.4448426921545199</v>
      </c>
      <c r="AV527" s="107">
        <v>2.3968784838350099</v>
      </c>
      <c r="AW527" s="107">
        <v>3.16301703163017</v>
      </c>
      <c r="AX527" s="107">
        <v>5.6238361266294197</v>
      </c>
      <c r="AY527" s="107">
        <v>2.0408163265306101</v>
      </c>
      <c r="AZ527" s="107">
        <v>3.7933901475784699</v>
      </c>
      <c r="BA527" s="107">
        <v>11.5942028985507</v>
      </c>
      <c r="BB527" s="107">
        <v>0</v>
      </c>
      <c r="BC527" s="107">
        <v>2.54350736278447</v>
      </c>
      <c r="BD527" s="107">
        <v>3.9565119928267198</v>
      </c>
      <c r="BE527" s="107">
        <v>1.92307692307692</v>
      </c>
    </row>
    <row r="528" spans="2:57" ht="15" customHeight="1" x14ac:dyDescent="0.25">
      <c r="B528" s="91">
        <v>518</v>
      </c>
      <c r="C528" s="92" t="s">
        <v>504</v>
      </c>
      <c r="D528" s="92" t="s">
        <v>51</v>
      </c>
      <c r="E528" s="92" t="s">
        <v>269</v>
      </c>
      <c r="F528" s="92" t="s">
        <v>269</v>
      </c>
      <c r="G528" s="101" t="s">
        <v>501</v>
      </c>
      <c r="H528" s="94">
        <v>3838</v>
      </c>
      <c r="I528" s="94">
        <v>2183</v>
      </c>
      <c r="J528" s="94">
        <v>1655</v>
      </c>
      <c r="K528" s="94">
        <v>316</v>
      </c>
      <c r="L528" s="94">
        <v>1076</v>
      </c>
      <c r="M528" s="94">
        <v>1976</v>
      </c>
      <c r="N528" s="94">
        <v>470</v>
      </c>
      <c r="O528" s="94">
        <v>3825</v>
      </c>
      <c r="P528" s="94">
        <v>13</v>
      </c>
      <c r="Q528" s="95">
        <v>1.1289867344058699</v>
      </c>
      <c r="R528" s="95">
        <v>0.451807228915663</v>
      </c>
      <c r="S528" s="95">
        <v>1.99871050934881</v>
      </c>
      <c r="T528" s="95">
        <v>2.38095238095238</v>
      </c>
      <c r="U528" s="95">
        <v>1.6477857878475799</v>
      </c>
      <c r="V528" s="95">
        <v>0.71115973741794303</v>
      </c>
      <c r="W528" s="95">
        <v>0.88888888888888895</v>
      </c>
      <c r="X528" s="95">
        <v>1.1328235627301</v>
      </c>
      <c r="Y528" s="95">
        <v>0</v>
      </c>
      <c r="Z528" s="94">
        <v>4301</v>
      </c>
      <c r="AA528" s="94">
        <v>2309</v>
      </c>
      <c r="AB528" s="94">
        <v>1992</v>
      </c>
      <c r="AC528" s="94">
        <v>249</v>
      </c>
      <c r="AD528" s="94">
        <v>1076</v>
      </c>
      <c r="AE528" s="94">
        <v>2359</v>
      </c>
      <c r="AF528" s="94">
        <v>617</v>
      </c>
      <c r="AG528" s="94">
        <v>2561</v>
      </c>
      <c r="AH528" s="94">
        <v>1709</v>
      </c>
      <c r="AI528" s="94">
        <v>31</v>
      </c>
      <c r="AJ528" s="94">
        <v>4239</v>
      </c>
      <c r="AK528" s="94">
        <v>50</v>
      </c>
      <c r="AL528" s="94">
        <v>12</v>
      </c>
      <c r="AM528" s="94">
        <v>258</v>
      </c>
      <c r="AN528" s="94">
        <v>4029</v>
      </c>
      <c r="AO528" s="94">
        <v>14</v>
      </c>
      <c r="AP528" s="95">
        <v>5.64278704612365</v>
      </c>
      <c r="AQ528" s="95">
        <v>2.3362345396243702</v>
      </c>
      <c r="AR528" s="95">
        <v>9.4558901215002606</v>
      </c>
      <c r="AS528" s="95">
        <v>9.9173553719008307</v>
      </c>
      <c r="AT528" s="95">
        <v>6.16302186878728</v>
      </c>
      <c r="AU528" s="95">
        <v>4.8813255709807404</v>
      </c>
      <c r="AV528" s="95">
        <v>5.8823529411764701</v>
      </c>
      <c r="AW528" s="95">
        <v>4.87305487305487</v>
      </c>
      <c r="AX528" s="95">
        <v>6.8578553615960098</v>
      </c>
      <c r="AY528" s="95">
        <v>3.3333333333333299</v>
      </c>
      <c r="AZ528" s="95">
        <v>5.5735257526747901</v>
      </c>
      <c r="BA528" s="95">
        <v>13.3333333333333</v>
      </c>
      <c r="BB528" s="95">
        <v>0</v>
      </c>
      <c r="BC528" s="95">
        <v>5.7613168724279804</v>
      </c>
      <c r="BD528" s="95">
        <v>5.6544502617800996</v>
      </c>
      <c r="BE528" s="95">
        <v>0</v>
      </c>
    </row>
    <row r="529" spans="2:57" ht="15" customHeight="1" x14ac:dyDescent="0.25">
      <c r="B529" s="91">
        <v>519</v>
      </c>
      <c r="C529" s="92" t="s">
        <v>504</v>
      </c>
      <c r="D529" s="92" t="s">
        <v>51</v>
      </c>
      <c r="E529" s="92" t="s">
        <v>269</v>
      </c>
      <c r="F529" s="92" t="s">
        <v>269</v>
      </c>
      <c r="G529" s="101" t="s">
        <v>502</v>
      </c>
      <c r="H529" s="94">
        <v>5141</v>
      </c>
      <c r="I529" s="94">
        <v>2926</v>
      </c>
      <c r="J529" s="94">
        <v>2215</v>
      </c>
      <c r="K529" s="94">
        <v>517</v>
      </c>
      <c r="L529" s="94">
        <v>1350</v>
      </c>
      <c r="M529" s="94">
        <v>2363</v>
      </c>
      <c r="N529" s="94">
        <v>911</v>
      </c>
      <c r="O529" s="94">
        <v>5134</v>
      </c>
      <c r="P529" s="94">
        <v>7</v>
      </c>
      <c r="Q529" s="95">
        <v>0.18629683295384</v>
      </c>
      <c r="R529" s="95">
        <v>7.2072072072072099E-2</v>
      </c>
      <c r="S529" s="95">
        <v>0.34046692607003898</v>
      </c>
      <c r="T529" s="95">
        <v>0</v>
      </c>
      <c r="U529" s="95">
        <v>0.320256204963971</v>
      </c>
      <c r="V529" s="95">
        <v>0.17985611510791399</v>
      </c>
      <c r="W529" s="95">
        <v>0.114155251141553</v>
      </c>
      <c r="X529" s="95">
        <v>0.18656716417910399</v>
      </c>
      <c r="Y529" s="95">
        <v>0</v>
      </c>
      <c r="Z529" s="94">
        <v>5872</v>
      </c>
      <c r="AA529" s="94">
        <v>3141</v>
      </c>
      <c r="AB529" s="94">
        <v>2731</v>
      </c>
      <c r="AC529" s="94">
        <v>348</v>
      </c>
      <c r="AD529" s="94">
        <v>1395</v>
      </c>
      <c r="AE529" s="94">
        <v>2894</v>
      </c>
      <c r="AF529" s="94">
        <v>1235</v>
      </c>
      <c r="AG529" s="94">
        <v>4715</v>
      </c>
      <c r="AH529" s="94">
        <v>1132</v>
      </c>
      <c r="AI529" s="94">
        <v>25</v>
      </c>
      <c r="AJ529" s="94">
        <v>5827</v>
      </c>
      <c r="AK529" s="94">
        <v>24</v>
      </c>
      <c r="AL529" s="94">
        <v>21</v>
      </c>
      <c r="AM529" s="94">
        <v>519</v>
      </c>
      <c r="AN529" s="94">
        <v>5312</v>
      </c>
      <c r="AO529" s="94">
        <v>41</v>
      </c>
      <c r="AP529" s="95">
        <v>2.53321523472099</v>
      </c>
      <c r="AQ529" s="95">
        <v>0.52459016393442603</v>
      </c>
      <c r="AR529" s="95">
        <v>4.8940269749518297</v>
      </c>
      <c r="AS529" s="95">
        <v>2.9940119760478998</v>
      </c>
      <c r="AT529" s="95">
        <v>4.6107331821617503</v>
      </c>
      <c r="AU529" s="95">
        <v>2.2947292936536399</v>
      </c>
      <c r="AV529" s="95">
        <v>0.66722268557130904</v>
      </c>
      <c r="AW529" s="95">
        <v>2.2442244224422399</v>
      </c>
      <c r="AX529" s="95">
        <v>3.7927844588344102</v>
      </c>
      <c r="AY529" s="95">
        <v>0</v>
      </c>
      <c r="AZ529" s="95">
        <v>2.5165090130287302</v>
      </c>
      <c r="BA529" s="95">
        <v>8.3333333333333304</v>
      </c>
      <c r="BB529" s="95">
        <v>0</v>
      </c>
      <c r="BC529" s="95">
        <v>0.99206349206349198</v>
      </c>
      <c r="BD529" s="95">
        <v>2.6852214817718498</v>
      </c>
      <c r="BE529" s="95">
        <v>2.5641025641025599</v>
      </c>
    </row>
    <row r="530" spans="2:57" ht="15" customHeight="1" x14ac:dyDescent="0.25">
      <c r="B530" s="96">
        <v>520</v>
      </c>
      <c r="C530" s="97" t="s">
        <v>504</v>
      </c>
      <c r="D530" s="104" t="s">
        <v>51</v>
      </c>
      <c r="E530" s="104" t="s">
        <v>269</v>
      </c>
      <c r="F530" s="104" t="s">
        <v>466</v>
      </c>
      <c r="G530" s="105" t="s">
        <v>466</v>
      </c>
      <c r="H530" s="106">
        <v>2838</v>
      </c>
      <c r="I530" s="106">
        <v>1705</v>
      </c>
      <c r="J530" s="106">
        <v>1133</v>
      </c>
      <c r="K530" s="106">
        <v>167</v>
      </c>
      <c r="L530" s="106">
        <v>730</v>
      </c>
      <c r="M530" s="106">
        <v>1271</v>
      </c>
      <c r="N530" s="106">
        <v>670</v>
      </c>
      <c r="O530" s="106">
        <v>2830</v>
      </c>
      <c r="P530" s="106">
        <v>8</v>
      </c>
      <c r="Q530" s="107">
        <v>0.40950040950041</v>
      </c>
      <c r="R530" s="107">
        <v>0.13661202185792401</v>
      </c>
      <c r="S530" s="107">
        <v>0.81799591002045002</v>
      </c>
      <c r="T530" s="107">
        <v>0.69444444444444398</v>
      </c>
      <c r="U530" s="107">
        <v>0.338983050847458</v>
      </c>
      <c r="V530" s="107">
        <v>0.54397098821396195</v>
      </c>
      <c r="W530" s="107">
        <v>0.165289256198347</v>
      </c>
      <c r="X530" s="107">
        <v>0.369458128078818</v>
      </c>
      <c r="Y530" s="107">
        <v>16.6666666666667</v>
      </c>
      <c r="Z530" s="106">
        <v>4312</v>
      </c>
      <c r="AA530" s="106">
        <v>2379</v>
      </c>
      <c r="AB530" s="106">
        <v>1933</v>
      </c>
      <c r="AC530" s="106">
        <v>189</v>
      </c>
      <c r="AD530" s="106">
        <v>985</v>
      </c>
      <c r="AE530" s="106">
        <v>2118</v>
      </c>
      <c r="AF530" s="106">
        <v>1020</v>
      </c>
      <c r="AG530" s="106">
        <v>2641</v>
      </c>
      <c r="AH530" s="106">
        <v>1621</v>
      </c>
      <c r="AI530" s="106">
        <v>50</v>
      </c>
      <c r="AJ530" s="106">
        <v>4264</v>
      </c>
      <c r="AK530" s="106">
        <v>40</v>
      </c>
      <c r="AL530" s="106">
        <v>8</v>
      </c>
      <c r="AM530" s="106">
        <v>398</v>
      </c>
      <c r="AN530" s="106">
        <v>3891</v>
      </c>
      <c r="AO530" s="106">
        <v>23</v>
      </c>
      <c r="AP530" s="107">
        <v>3.3613445378151301</v>
      </c>
      <c r="AQ530" s="107">
        <v>1.3057181449797399</v>
      </c>
      <c r="AR530" s="107">
        <v>5.86301369863014</v>
      </c>
      <c r="AS530" s="107">
        <v>4.1176470588235299</v>
      </c>
      <c r="AT530" s="107">
        <v>5.29279279279279</v>
      </c>
      <c r="AU530" s="107">
        <v>3.6108324974924799</v>
      </c>
      <c r="AV530" s="107">
        <v>1.00603621730382</v>
      </c>
      <c r="AW530" s="107">
        <v>2.4409763905562198</v>
      </c>
      <c r="AX530" s="107">
        <v>4.9169435215946802</v>
      </c>
      <c r="AY530" s="107">
        <v>2.38095238095238</v>
      </c>
      <c r="AZ530" s="107">
        <v>3.3458177278401999</v>
      </c>
      <c r="BA530" s="107">
        <v>5.8823529411764701</v>
      </c>
      <c r="BB530" s="107">
        <v>0</v>
      </c>
      <c r="BC530" s="107">
        <v>1.80878552971576</v>
      </c>
      <c r="BD530" s="107">
        <v>3.5184167124793801</v>
      </c>
      <c r="BE530" s="107">
        <v>4.7619047619047601</v>
      </c>
    </row>
    <row r="531" spans="2:57" ht="15" customHeight="1" x14ac:dyDescent="0.25">
      <c r="B531" s="91">
        <v>521</v>
      </c>
      <c r="C531" s="92" t="s">
        <v>504</v>
      </c>
      <c r="D531" s="92" t="s">
        <v>51</v>
      </c>
      <c r="E531" s="92" t="s">
        <v>269</v>
      </c>
      <c r="F531" s="92" t="s">
        <v>466</v>
      </c>
      <c r="G531" s="101" t="s">
        <v>501</v>
      </c>
      <c r="H531" s="94">
        <v>0</v>
      </c>
      <c r="I531" s="94">
        <v>0</v>
      </c>
      <c r="J531" s="94">
        <v>0</v>
      </c>
      <c r="K531" s="94">
        <v>0</v>
      </c>
      <c r="L531" s="94">
        <v>0</v>
      </c>
      <c r="M531" s="94">
        <v>0</v>
      </c>
      <c r="N531" s="94">
        <v>0</v>
      </c>
      <c r="O531" s="94">
        <v>0</v>
      </c>
      <c r="P531" s="94">
        <v>0</v>
      </c>
      <c r="Q531" s="95">
        <v>0</v>
      </c>
      <c r="R531" s="95">
        <v>0</v>
      </c>
      <c r="S531" s="95">
        <v>0</v>
      </c>
      <c r="T531" s="95">
        <v>0</v>
      </c>
      <c r="U531" s="95">
        <v>0</v>
      </c>
      <c r="V531" s="95">
        <v>0</v>
      </c>
      <c r="W531" s="95">
        <v>0</v>
      </c>
      <c r="X531" s="95">
        <v>0</v>
      </c>
      <c r="Y531" s="95">
        <v>0</v>
      </c>
      <c r="Z531" s="94">
        <v>0</v>
      </c>
      <c r="AA531" s="94">
        <v>0</v>
      </c>
      <c r="AB531" s="94">
        <v>0</v>
      </c>
      <c r="AC531" s="94">
        <v>0</v>
      </c>
      <c r="AD531" s="94">
        <v>0</v>
      </c>
      <c r="AE531" s="94">
        <v>0</v>
      </c>
      <c r="AF531" s="94">
        <v>0</v>
      </c>
      <c r="AG531" s="94">
        <v>0</v>
      </c>
      <c r="AH531" s="94">
        <v>0</v>
      </c>
      <c r="AI531" s="94">
        <v>0</v>
      </c>
      <c r="AJ531" s="94">
        <v>0</v>
      </c>
      <c r="AK531" s="94">
        <v>0</v>
      </c>
      <c r="AL531" s="94">
        <v>0</v>
      </c>
      <c r="AM531" s="94">
        <v>0</v>
      </c>
      <c r="AN531" s="94">
        <v>0</v>
      </c>
      <c r="AO531" s="94">
        <v>0</v>
      </c>
      <c r="AP531" s="95">
        <v>0</v>
      </c>
      <c r="AQ531" s="95">
        <v>0</v>
      </c>
      <c r="AR531" s="95">
        <v>0</v>
      </c>
      <c r="AS531" s="95">
        <v>0</v>
      </c>
      <c r="AT531" s="95">
        <v>0</v>
      </c>
      <c r="AU531" s="95">
        <v>0</v>
      </c>
      <c r="AV531" s="95">
        <v>0</v>
      </c>
      <c r="AW531" s="95">
        <v>0</v>
      </c>
      <c r="AX531" s="95">
        <v>0</v>
      </c>
      <c r="AY531" s="95">
        <v>0</v>
      </c>
      <c r="AZ531" s="95">
        <v>0</v>
      </c>
      <c r="BA531" s="95">
        <v>0</v>
      </c>
      <c r="BB531" s="95">
        <v>0</v>
      </c>
      <c r="BC531" s="95">
        <v>0</v>
      </c>
      <c r="BD531" s="95">
        <v>0</v>
      </c>
      <c r="BE531" s="95">
        <v>0</v>
      </c>
    </row>
    <row r="532" spans="2:57" ht="15" customHeight="1" x14ac:dyDescent="0.25">
      <c r="B532" s="91">
        <v>522</v>
      </c>
      <c r="C532" s="92" t="s">
        <v>504</v>
      </c>
      <c r="D532" s="92" t="s">
        <v>51</v>
      </c>
      <c r="E532" s="92" t="s">
        <v>269</v>
      </c>
      <c r="F532" s="92" t="s">
        <v>466</v>
      </c>
      <c r="G532" s="101" t="s">
        <v>502</v>
      </c>
      <c r="H532" s="94">
        <v>2838</v>
      </c>
      <c r="I532" s="94">
        <v>1705</v>
      </c>
      <c r="J532" s="94">
        <v>1133</v>
      </c>
      <c r="K532" s="94">
        <v>167</v>
      </c>
      <c r="L532" s="94">
        <v>730</v>
      </c>
      <c r="M532" s="94">
        <v>1271</v>
      </c>
      <c r="N532" s="94">
        <v>670</v>
      </c>
      <c r="O532" s="94">
        <v>2830</v>
      </c>
      <c r="P532" s="94">
        <v>8</v>
      </c>
      <c r="Q532" s="95">
        <v>0.40950040950041</v>
      </c>
      <c r="R532" s="95">
        <v>0.13661202185792401</v>
      </c>
      <c r="S532" s="95">
        <v>0.81799591002045002</v>
      </c>
      <c r="T532" s="95">
        <v>0.69444444444444398</v>
      </c>
      <c r="U532" s="95">
        <v>0.338983050847458</v>
      </c>
      <c r="V532" s="95">
        <v>0.54397098821396195</v>
      </c>
      <c r="W532" s="95">
        <v>0.165289256198347</v>
      </c>
      <c r="X532" s="95">
        <v>0.369458128078818</v>
      </c>
      <c r="Y532" s="95">
        <v>16.6666666666667</v>
      </c>
      <c r="Z532" s="94">
        <v>4312</v>
      </c>
      <c r="AA532" s="94">
        <v>2379</v>
      </c>
      <c r="AB532" s="94">
        <v>1933</v>
      </c>
      <c r="AC532" s="94">
        <v>189</v>
      </c>
      <c r="AD532" s="94">
        <v>985</v>
      </c>
      <c r="AE532" s="94">
        <v>2118</v>
      </c>
      <c r="AF532" s="94">
        <v>1020</v>
      </c>
      <c r="AG532" s="94">
        <v>2641</v>
      </c>
      <c r="AH532" s="94">
        <v>1621</v>
      </c>
      <c r="AI532" s="94">
        <v>50</v>
      </c>
      <c r="AJ532" s="94">
        <v>4264</v>
      </c>
      <c r="AK532" s="94">
        <v>40</v>
      </c>
      <c r="AL532" s="94">
        <v>8</v>
      </c>
      <c r="AM532" s="94">
        <v>398</v>
      </c>
      <c r="AN532" s="94">
        <v>3891</v>
      </c>
      <c r="AO532" s="94">
        <v>23</v>
      </c>
      <c r="AP532" s="95">
        <v>3.3613445378151301</v>
      </c>
      <c r="AQ532" s="95">
        <v>1.3057181449797399</v>
      </c>
      <c r="AR532" s="95">
        <v>5.86301369863014</v>
      </c>
      <c r="AS532" s="95">
        <v>4.1176470588235299</v>
      </c>
      <c r="AT532" s="95">
        <v>5.29279279279279</v>
      </c>
      <c r="AU532" s="95">
        <v>3.6108324974924799</v>
      </c>
      <c r="AV532" s="95">
        <v>1.00603621730382</v>
      </c>
      <c r="AW532" s="95">
        <v>2.4409763905562198</v>
      </c>
      <c r="AX532" s="95">
        <v>4.9169435215946802</v>
      </c>
      <c r="AY532" s="95">
        <v>2.38095238095238</v>
      </c>
      <c r="AZ532" s="95">
        <v>3.3458177278401999</v>
      </c>
      <c r="BA532" s="95">
        <v>5.8823529411764701</v>
      </c>
      <c r="BB532" s="95">
        <v>0</v>
      </c>
      <c r="BC532" s="95">
        <v>1.80878552971576</v>
      </c>
      <c r="BD532" s="95">
        <v>3.5184167124793801</v>
      </c>
      <c r="BE532" s="95">
        <v>4.7619047619047601</v>
      </c>
    </row>
    <row r="533" spans="2:57" ht="15" customHeight="1" x14ac:dyDescent="0.25">
      <c r="B533" s="96">
        <v>523</v>
      </c>
      <c r="C533" s="97" t="s">
        <v>504</v>
      </c>
      <c r="D533" s="104" t="s">
        <v>51</v>
      </c>
      <c r="E533" s="104" t="s">
        <v>269</v>
      </c>
      <c r="F533" s="104" t="s">
        <v>96</v>
      </c>
      <c r="G533" s="105" t="s">
        <v>96</v>
      </c>
      <c r="H533" s="106">
        <v>1733</v>
      </c>
      <c r="I533" s="106">
        <v>1106</v>
      </c>
      <c r="J533" s="106">
        <v>627</v>
      </c>
      <c r="K533" s="106">
        <v>203</v>
      </c>
      <c r="L533" s="106">
        <v>504</v>
      </c>
      <c r="M533" s="106">
        <v>760</v>
      </c>
      <c r="N533" s="106">
        <v>266</v>
      </c>
      <c r="O533" s="106">
        <v>1733</v>
      </c>
      <c r="P533" s="106">
        <v>0</v>
      </c>
      <c r="Q533" s="107">
        <v>0</v>
      </c>
      <c r="R533" s="107">
        <v>0</v>
      </c>
      <c r="S533" s="107">
        <v>0</v>
      </c>
      <c r="T533" s="107">
        <v>0</v>
      </c>
      <c r="U533" s="107">
        <v>0</v>
      </c>
      <c r="V533" s="107">
        <v>0</v>
      </c>
      <c r="W533" s="107">
        <v>0</v>
      </c>
      <c r="X533" s="107">
        <v>0</v>
      </c>
      <c r="Y533" s="107">
        <v>0</v>
      </c>
      <c r="Z533" s="106">
        <v>2149</v>
      </c>
      <c r="AA533" s="106">
        <v>1228</v>
      </c>
      <c r="AB533" s="106">
        <v>921</v>
      </c>
      <c r="AC533" s="106">
        <v>128</v>
      </c>
      <c r="AD533" s="106">
        <v>593</v>
      </c>
      <c r="AE533" s="106">
        <v>1095</v>
      </c>
      <c r="AF533" s="106">
        <v>333</v>
      </c>
      <c r="AG533" s="106">
        <v>1662</v>
      </c>
      <c r="AH533" s="106">
        <v>465</v>
      </c>
      <c r="AI533" s="106">
        <v>22</v>
      </c>
      <c r="AJ533" s="106">
        <v>2136</v>
      </c>
      <c r="AK533" s="106">
        <v>1</v>
      </c>
      <c r="AL533" s="106">
        <v>12</v>
      </c>
      <c r="AM533" s="106">
        <v>160</v>
      </c>
      <c r="AN533" s="106">
        <v>1975</v>
      </c>
      <c r="AO533" s="106">
        <v>14</v>
      </c>
      <c r="AP533" s="107">
        <v>1.11164813919768</v>
      </c>
      <c r="AQ533" s="107">
        <v>8.3612040133779306E-2</v>
      </c>
      <c r="AR533" s="107">
        <v>2.5200458190148902</v>
      </c>
      <c r="AS533" s="107">
        <v>0</v>
      </c>
      <c r="AT533" s="107">
        <v>1.9469026548672601</v>
      </c>
      <c r="AU533" s="107">
        <v>0.94786729857819896</v>
      </c>
      <c r="AV533" s="107">
        <v>0.61349693251533699</v>
      </c>
      <c r="AW533" s="107">
        <v>1.1860174781523101</v>
      </c>
      <c r="AX533" s="107">
        <v>0.67264573991031396</v>
      </c>
      <c r="AY533" s="107">
        <v>4.7619047619047601</v>
      </c>
      <c r="AZ533" s="107">
        <v>1.11867704280156</v>
      </c>
      <c r="BA533" s="107">
        <v>0</v>
      </c>
      <c r="BB533" s="107">
        <v>0</v>
      </c>
      <c r="BC533" s="107">
        <v>1.2578616352201299</v>
      </c>
      <c r="BD533" s="107">
        <v>1.0548523206751099</v>
      </c>
      <c r="BE533" s="107">
        <v>7.1428571428571397</v>
      </c>
    </row>
    <row r="534" spans="2:57" ht="15" customHeight="1" x14ac:dyDescent="0.25">
      <c r="B534" s="91">
        <v>524</v>
      </c>
      <c r="C534" s="92" t="s">
        <v>504</v>
      </c>
      <c r="D534" s="92" t="s">
        <v>51</v>
      </c>
      <c r="E534" s="92" t="s">
        <v>269</v>
      </c>
      <c r="F534" s="92" t="s">
        <v>96</v>
      </c>
      <c r="G534" s="101" t="s">
        <v>501</v>
      </c>
      <c r="H534" s="94">
        <v>0</v>
      </c>
      <c r="I534" s="94">
        <v>0</v>
      </c>
      <c r="J534" s="94">
        <v>0</v>
      </c>
      <c r="K534" s="94">
        <v>0</v>
      </c>
      <c r="L534" s="94">
        <v>0</v>
      </c>
      <c r="M534" s="94">
        <v>0</v>
      </c>
      <c r="N534" s="94">
        <v>0</v>
      </c>
      <c r="O534" s="94">
        <v>0</v>
      </c>
      <c r="P534" s="94">
        <v>0</v>
      </c>
      <c r="Q534" s="95">
        <v>0</v>
      </c>
      <c r="R534" s="95">
        <v>0</v>
      </c>
      <c r="S534" s="95">
        <v>0</v>
      </c>
      <c r="T534" s="95">
        <v>0</v>
      </c>
      <c r="U534" s="95">
        <v>0</v>
      </c>
      <c r="V534" s="95">
        <v>0</v>
      </c>
      <c r="W534" s="95">
        <v>0</v>
      </c>
      <c r="X534" s="95">
        <v>0</v>
      </c>
      <c r="Y534" s="95">
        <v>0</v>
      </c>
      <c r="Z534" s="94">
        <v>0</v>
      </c>
      <c r="AA534" s="94">
        <v>0</v>
      </c>
      <c r="AB534" s="94">
        <v>0</v>
      </c>
      <c r="AC534" s="94">
        <v>0</v>
      </c>
      <c r="AD534" s="94">
        <v>0</v>
      </c>
      <c r="AE534" s="94">
        <v>0</v>
      </c>
      <c r="AF534" s="94">
        <v>0</v>
      </c>
      <c r="AG534" s="94">
        <v>0</v>
      </c>
      <c r="AH534" s="94">
        <v>0</v>
      </c>
      <c r="AI534" s="94">
        <v>0</v>
      </c>
      <c r="AJ534" s="94">
        <v>0</v>
      </c>
      <c r="AK534" s="94">
        <v>0</v>
      </c>
      <c r="AL534" s="94">
        <v>0</v>
      </c>
      <c r="AM534" s="94">
        <v>0</v>
      </c>
      <c r="AN534" s="94">
        <v>0</v>
      </c>
      <c r="AO534" s="94">
        <v>0</v>
      </c>
      <c r="AP534" s="95">
        <v>0</v>
      </c>
      <c r="AQ534" s="95">
        <v>0</v>
      </c>
      <c r="AR534" s="95">
        <v>0</v>
      </c>
      <c r="AS534" s="95">
        <v>0</v>
      </c>
      <c r="AT534" s="95">
        <v>0</v>
      </c>
      <c r="AU534" s="95">
        <v>0</v>
      </c>
      <c r="AV534" s="95">
        <v>0</v>
      </c>
      <c r="AW534" s="95">
        <v>0</v>
      </c>
      <c r="AX534" s="95">
        <v>0</v>
      </c>
      <c r="AY534" s="95">
        <v>0</v>
      </c>
      <c r="AZ534" s="95">
        <v>0</v>
      </c>
      <c r="BA534" s="95">
        <v>0</v>
      </c>
      <c r="BB534" s="95">
        <v>0</v>
      </c>
      <c r="BC534" s="95">
        <v>0</v>
      </c>
      <c r="BD534" s="95">
        <v>0</v>
      </c>
      <c r="BE534" s="95">
        <v>0</v>
      </c>
    </row>
    <row r="535" spans="2:57" ht="15" customHeight="1" x14ac:dyDescent="0.25">
      <c r="B535" s="91">
        <v>525</v>
      </c>
      <c r="C535" s="92" t="s">
        <v>504</v>
      </c>
      <c r="D535" s="92" t="s">
        <v>51</v>
      </c>
      <c r="E535" s="92" t="s">
        <v>269</v>
      </c>
      <c r="F535" s="92" t="s">
        <v>96</v>
      </c>
      <c r="G535" s="101" t="s">
        <v>502</v>
      </c>
      <c r="H535" s="94">
        <v>1733</v>
      </c>
      <c r="I535" s="94">
        <v>1106</v>
      </c>
      <c r="J535" s="94">
        <v>627</v>
      </c>
      <c r="K535" s="94">
        <v>203</v>
      </c>
      <c r="L535" s="94">
        <v>504</v>
      </c>
      <c r="M535" s="94">
        <v>760</v>
      </c>
      <c r="N535" s="94">
        <v>266</v>
      </c>
      <c r="O535" s="94">
        <v>1733</v>
      </c>
      <c r="P535" s="94">
        <v>0</v>
      </c>
      <c r="Q535" s="95">
        <v>0</v>
      </c>
      <c r="R535" s="95">
        <v>0</v>
      </c>
      <c r="S535" s="95">
        <v>0</v>
      </c>
      <c r="T535" s="95">
        <v>0</v>
      </c>
      <c r="U535" s="95">
        <v>0</v>
      </c>
      <c r="V535" s="95">
        <v>0</v>
      </c>
      <c r="W535" s="95">
        <v>0</v>
      </c>
      <c r="X535" s="95">
        <v>0</v>
      </c>
      <c r="Y535" s="95">
        <v>0</v>
      </c>
      <c r="Z535" s="94">
        <v>2149</v>
      </c>
      <c r="AA535" s="94">
        <v>1228</v>
      </c>
      <c r="AB535" s="94">
        <v>921</v>
      </c>
      <c r="AC535" s="94">
        <v>128</v>
      </c>
      <c r="AD535" s="94">
        <v>593</v>
      </c>
      <c r="AE535" s="94">
        <v>1095</v>
      </c>
      <c r="AF535" s="94">
        <v>333</v>
      </c>
      <c r="AG535" s="94">
        <v>1662</v>
      </c>
      <c r="AH535" s="94">
        <v>465</v>
      </c>
      <c r="AI535" s="94">
        <v>22</v>
      </c>
      <c r="AJ535" s="94">
        <v>2136</v>
      </c>
      <c r="AK535" s="94">
        <v>1</v>
      </c>
      <c r="AL535" s="94">
        <v>12</v>
      </c>
      <c r="AM535" s="94">
        <v>160</v>
      </c>
      <c r="AN535" s="94">
        <v>1975</v>
      </c>
      <c r="AO535" s="94">
        <v>14</v>
      </c>
      <c r="AP535" s="95">
        <v>1.11164813919768</v>
      </c>
      <c r="AQ535" s="95">
        <v>8.3612040133779306E-2</v>
      </c>
      <c r="AR535" s="95">
        <v>2.5200458190148902</v>
      </c>
      <c r="AS535" s="95">
        <v>0</v>
      </c>
      <c r="AT535" s="95">
        <v>1.9469026548672601</v>
      </c>
      <c r="AU535" s="95">
        <v>0.94786729857819896</v>
      </c>
      <c r="AV535" s="95">
        <v>0.61349693251533699</v>
      </c>
      <c r="AW535" s="95">
        <v>1.1860174781523101</v>
      </c>
      <c r="AX535" s="95">
        <v>0.67264573991031396</v>
      </c>
      <c r="AY535" s="95">
        <v>4.7619047619047601</v>
      </c>
      <c r="AZ535" s="95">
        <v>1.11867704280156</v>
      </c>
      <c r="BA535" s="95">
        <v>0</v>
      </c>
      <c r="BB535" s="95">
        <v>0</v>
      </c>
      <c r="BC535" s="95">
        <v>1.2578616352201299</v>
      </c>
      <c r="BD535" s="95">
        <v>1.0548523206751099</v>
      </c>
      <c r="BE535" s="95">
        <v>7.1428571428571397</v>
      </c>
    </row>
    <row r="536" spans="2:57" ht="15" customHeight="1" x14ac:dyDescent="0.25">
      <c r="B536" s="86">
        <v>526</v>
      </c>
      <c r="C536" s="87" t="s">
        <v>503</v>
      </c>
      <c r="D536" s="103" t="s">
        <v>51</v>
      </c>
      <c r="E536" s="103" t="s">
        <v>371</v>
      </c>
      <c r="F536" s="103"/>
      <c r="G536" s="88" t="s">
        <v>371</v>
      </c>
      <c r="H536" s="89">
        <v>15284</v>
      </c>
      <c r="I536" s="89">
        <v>8832</v>
      </c>
      <c r="J536" s="89">
        <v>6452</v>
      </c>
      <c r="K536" s="89">
        <v>964</v>
      </c>
      <c r="L536" s="89">
        <v>3971</v>
      </c>
      <c r="M536" s="89">
        <v>7680</v>
      </c>
      <c r="N536" s="89">
        <v>2669</v>
      </c>
      <c r="O536" s="89">
        <v>15196</v>
      </c>
      <c r="P536" s="89">
        <v>88</v>
      </c>
      <c r="Q536" s="90">
        <v>1.34627648267555</v>
      </c>
      <c r="R536" s="90">
        <v>0.65573770491803296</v>
      </c>
      <c r="S536" s="90">
        <v>2.3137121469887698</v>
      </c>
      <c r="T536" s="90">
        <v>2.5670945157526299</v>
      </c>
      <c r="U536" s="90">
        <v>1.69115608538952</v>
      </c>
      <c r="V536" s="90">
        <v>1.1864879955332199</v>
      </c>
      <c r="W536" s="90">
        <v>0.88531187122736399</v>
      </c>
      <c r="X536" s="90">
        <v>1.3465374750641199</v>
      </c>
      <c r="Y536" s="90">
        <v>1.2987012987013</v>
      </c>
      <c r="Z536" s="89">
        <v>20026</v>
      </c>
      <c r="AA536" s="89">
        <v>10571</v>
      </c>
      <c r="AB536" s="89">
        <v>9455</v>
      </c>
      <c r="AC536" s="89">
        <v>954</v>
      </c>
      <c r="AD536" s="89">
        <v>4799</v>
      </c>
      <c r="AE536" s="89">
        <v>10300</v>
      </c>
      <c r="AF536" s="89">
        <v>3973</v>
      </c>
      <c r="AG536" s="89">
        <v>13670</v>
      </c>
      <c r="AH536" s="89">
        <v>6227</v>
      </c>
      <c r="AI536" s="89">
        <v>129</v>
      </c>
      <c r="AJ536" s="89">
        <v>19726</v>
      </c>
      <c r="AK536" s="89">
        <v>268</v>
      </c>
      <c r="AL536" s="89">
        <v>32</v>
      </c>
      <c r="AM536" s="89">
        <v>1260</v>
      </c>
      <c r="AN536" s="89">
        <v>18649</v>
      </c>
      <c r="AO536" s="89">
        <v>117</v>
      </c>
      <c r="AP536" s="90">
        <v>4.6952310769554702</v>
      </c>
      <c r="AQ536" s="90">
        <v>1.90466791670779</v>
      </c>
      <c r="AR536" s="90">
        <v>7.8849407783417904</v>
      </c>
      <c r="AS536" s="90">
        <v>8.03571428571429</v>
      </c>
      <c r="AT536" s="90">
        <v>7.1901392376169797</v>
      </c>
      <c r="AU536" s="90">
        <v>4.0327471194663396</v>
      </c>
      <c r="AV536" s="90">
        <v>2.7697935719885001</v>
      </c>
      <c r="AW536" s="90">
        <v>4.0825723275266697</v>
      </c>
      <c r="AX536" s="90">
        <v>6.1067396510434504</v>
      </c>
      <c r="AY536" s="90">
        <v>2.4793388429752099</v>
      </c>
      <c r="AZ536" s="90">
        <v>4.6209733425930901</v>
      </c>
      <c r="BA536" s="90">
        <v>9.67741935483871</v>
      </c>
      <c r="BB536" s="90">
        <v>9.67741935483871</v>
      </c>
      <c r="BC536" s="90">
        <v>4.7263681592039797</v>
      </c>
      <c r="BD536" s="90">
        <v>4.7118049663442498</v>
      </c>
      <c r="BE536" s="90">
        <v>1.76991150442478</v>
      </c>
    </row>
    <row r="537" spans="2:57" ht="15" customHeight="1" x14ac:dyDescent="0.25">
      <c r="B537" s="91">
        <v>527</v>
      </c>
      <c r="C537" s="92" t="s">
        <v>503</v>
      </c>
      <c r="D537" s="92" t="s">
        <v>51</v>
      </c>
      <c r="E537" s="92" t="s">
        <v>371</v>
      </c>
      <c r="F537" s="92"/>
      <c r="G537" s="93" t="s">
        <v>501</v>
      </c>
      <c r="H537" s="94">
        <v>6291</v>
      </c>
      <c r="I537" s="94">
        <v>3592</v>
      </c>
      <c r="J537" s="94">
        <v>2699</v>
      </c>
      <c r="K537" s="94">
        <v>355</v>
      </c>
      <c r="L537" s="94">
        <v>1703</v>
      </c>
      <c r="M537" s="94">
        <v>3295</v>
      </c>
      <c r="N537" s="94">
        <v>938</v>
      </c>
      <c r="O537" s="94">
        <v>6245</v>
      </c>
      <c r="P537" s="94">
        <v>46</v>
      </c>
      <c r="Q537" s="95">
        <v>2.0836920957465099</v>
      </c>
      <c r="R537" s="95">
        <v>1.16661681124738</v>
      </c>
      <c r="S537" s="95">
        <v>3.3279220779220799</v>
      </c>
      <c r="T537" s="95">
        <v>3.6303630363036299</v>
      </c>
      <c r="U537" s="95">
        <v>2.6485788113695099</v>
      </c>
      <c r="V537" s="95">
        <v>1.8843404808317099</v>
      </c>
      <c r="W537" s="95">
        <v>1.25284738041002</v>
      </c>
      <c r="X537" s="95">
        <v>2.08044382801664</v>
      </c>
      <c r="Y537" s="95">
        <v>2.5641025641025599</v>
      </c>
      <c r="Z537" s="94">
        <v>6881</v>
      </c>
      <c r="AA537" s="94">
        <v>3527</v>
      </c>
      <c r="AB537" s="94">
        <v>3354</v>
      </c>
      <c r="AC537" s="94">
        <v>282</v>
      </c>
      <c r="AD537" s="94">
        <v>1632</v>
      </c>
      <c r="AE537" s="94">
        <v>3703</v>
      </c>
      <c r="AF537" s="94">
        <v>1264</v>
      </c>
      <c r="AG537" s="94">
        <v>4236</v>
      </c>
      <c r="AH537" s="94">
        <v>2611</v>
      </c>
      <c r="AI537" s="94">
        <v>34</v>
      </c>
      <c r="AJ537" s="94">
        <v>6749</v>
      </c>
      <c r="AK537" s="94">
        <v>118</v>
      </c>
      <c r="AL537" s="94">
        <v>14</v>
      </c>
      <c r="AM537" s="94">
        <v>407</v>
      </c>
      <c r="AN537" s="94">
        <v>6435</v>
      </c>
      <c r="AO537" s="94">
        <v>39</v>
      </c>
      <c r="AP537" s="95">
        <v>5.8877364246491801</v>
      </c>
      <c r="AQ537" s="95">
        <v>2.6308010641442499</v>
      </c>
      <c r="AR537" s="95">
        <v>9.3602269145918697</v>
      </c>
      <c r="AS537" s="95">
        <v>9.7014925373134293</v>
      </c>
      <c r="AT537" s="95">
        <v>9.1638795986622092</v>
      </c>
      <c r="AU537" s="95">
        <v>4.8698572628043699</v>
      </c>
      <c r="AV537" s="95">
        <v>4.0163934426229497</v>
      </c>
      <c r="AW537" s="95">
        <v>4.9716957912872299</v>
      </c>
      <c r="AX537" s="95">
        <v>7.4360016253555496</v>
      </c>
      <c r="AY537" s="95">
        <v>3.125</v>
      </c>
      <c r="AZ537" s="95">
        <v>5.7635544508311298</v>
      </c>
      <c r="BA537" s="95">
        <v>12.264150943396199</v>
      </c>
      <c r="BB537" s="95">
        <v>15.384615384615399</v>
      </c>
      <c r="BC537" s="95">
        <v>7.1428571428571397</v>
      </c>
      <c r="BD537" s="95">
        <v>5.84394384590271</v>
      </c>
      <c r="BE537" s="95">
        <v>0</v>
      </c>
    </row>
    <row r="538" spans="2:57" ht="15" customHeight="1" x14ac:dyDescent="0.25">
      <c r="B538" s="91">
        <v>528</v>
      </c>
      <c r="C538" s="92" t="s">
        <v>503</v>
      </c>
      <c r="D538" s="92" t="s">
        <v>51</v>
      </c>
      <c r="E538" s="92" t="s">
        <v>371</v>
      </c>
      <c r="F538" s="92"/>
      <c r="G538" s="93" t="s">
        <v>502</v>
      </c>
      <c r="H538" s="94">
        <v>8993</v>
      </c>
      <c r="I538" s="94">
        <v>5240</v>
      </c>
      <c r="J538" s="94">
        <v>3753</v>
      </c>
      <c r="K538" s="94">
        <v>609</v>
      </c>
      <c r="L538" s="94">
        <v>2268</v>
      </c>
      <c r="M538" s="94">
        <v>4385</v>
      </c>
      <c r="N538" s="94">
        <v>1731</v>
      </c>
      <c r="O538" s="94">
        <v>8951</v>
      </c>
      <c r="P538" s="94">
        <v>42</v>
      </c>
      <c r="Q538" s="95">
        <v>0.83072477726944405</v>
      </c>
      <c r="R538" s="95">
        <v>0.306623058053966</v>
      </c>
      <c r="S538" s="95">
        <v>1.5817223198593999</v>
      </c>
      <c r="T538" s="95">
        <v>1.9855595667870001</v>
      </c>
      <c r="U538" s="95">
        <v>0.97134531325886397</v>
      </c>
      <c r="V538" s="95">
        <v>0.66079295154185003</v>
      </c>
      <c r="W538" s="95">
        <v>0.68450528935905397</v>
      </c>
      <c r="X538" s="95">
        <v>0.83454281567489097</v>
      </c>
      <c r="Y538" s="95">
        <v>0</v>
      </c>
      <c r="Z538" s="94">
        <v>13145</v>
      </c>
      <c r="AA538" s="94">
        <v>7044</v>
      </c>
      <c r="AB538" s="94">
        <v>6101</v>
      </c>
      <c r="AC538" s="94">
        <v>672</v>
      </c>
      <c r="AD538" s="94">
        <v>3167</v>
      </c>
      <c r="AE538" s="94">
        <v>6597</v>
      </c>
      <c r="AF538" s="94">
        <v>2709</v>
      </c>
      <c r="AG538" s="94">
        <v>9434</v>
      </c>
      <c r="AH538" s="94">
        <v>3616</v>
      </c>
      <c r="AI538" s="94">
        <v>95</v>
      </c>
      <c r="AJ538" s="94">
        <v>12977</v>
      </c>
      <c r="AK538" s="94">
        <v>150</v>
      </c>
      <c r="AL538" s="94">
        <v>18</v>
      </c>
      <c r="AM538" s="94">
        <v>853</v>
      </c>
      <c r="AN538" s="94">
        <v>12214</v>
      </c>
      <c r="AO538" s="94">
        <v>78</v>
      </c>
      <c r="AP538" s="95">
        <v>4.0668702780903399</v>
      </c>
      <c r="AQ538" s="95">
        <v>1.5407407407407401</v>
      </c>
      <c r="AR538" s="95">
        <v>7.0625439212930399</v>
      </c>
      <c r="AS538" s="95">
        <v>7.3248407643312099</v>
      </c>
      <c r="AT538" s="95">
        <v>6.1677061677061698</v>
      </c>
      <c r="AU538" s="95">
        <v>3.5595633602278101</v>
      </c>
      <c r="AV538" s="95">
        <v>2.18642117376295</v>
      </c>
      <c r="AW538" s="95">
        <v>3.67975022301516</v>
      </c>
      <c r="AX538" s="95">
        <v>5.1403249630723797</v>
      </c>
      <c r="AY538" s="95">
        <v>2.2471910112359601</v>
      </c>
      <c r="AZ538" s="95">
        <v>4.0221462302556601</v>
      </c>
      <c r="BA538" s="95">
        <v>7.7464788732394396</v>
      </c>
      <c r="BB538" s="95">
        <v>5.5555555555555598</v>
      </c>
      <c r="BC538" s="95">
        <v>3.5626535626535598</v>
      </c>
      <c r="BD538" s="95">
        <v>4.1114861940621497</v>
      </c>
      <c r="BE538" s="95">
        <v>2.6666666666666701</v>
      </c>
    </row>
    <row r="539" spans="2:57" ht="15" customHeight="1" x14ac:dyDescent="0.25">
      <c r="B539" s="96">
        <v>529</v>
      </c>
      <c r="C539" s="97" t="s">
        <v>504</v>
      </c>
      <c r="D539" s="104" t="s">
        <v>51</v>
      </c>
      <c r="E539" s="104" t="s">
        <v>371</v>
      </c>
      <c r="F539" s="104" t="s">
        <v>202</v>
      </c>
      <c r="G539" s="105" t="s">
        <v>202</v>
      </c>
      <c r="H539" s="106">
        <v>9696</v>
      </c>
      <c r="I539" s="106">
        <v>5549</v>
      </c>
      <c r="J539" s="106">
        <v>4147</v>
      </c>
      <c r="K539" s="106">
        <v>553</v>
      </c>
      <c r="L539" s="106">
        <v>2538</v>
      </c>
      <c r="M539" s="106">
        <v>4969</v>
      </c>
      <c r="N539" s="106">
        <v>1636</v>
      </c>
      <c r="O539" s="106">
        <v>9641</v>
      </c>
      <c r="P539" s="106">
        <v>55</v>
      </c>
      <c r="Q539" s="107">
        <v>1.3081395348837199</v>
      </c>
      <c r="R539" s="107">
        <v>0.79089506172839497</v>
      </c>
      <c r="S539" s="107">
        <v>2.0212765957446801</v>
      </c>
      <c r="T539" s="107">
        <v>2.25872689938398</v>
      </c>
      <c r="U539" s="107">
        <v>1.6608391608391599</v>
      </c>
      <c r="V539" s="107">
        <v>1.16154011615401</v>
      </c>
      <c r="W539" s="107">
        <v>0.92105263157894701</v>
      </c>
      <c r="X539" s="107">
        <v>1.31534569983137</v>
      </c>
      <c r="Y539" s="107">
        <v>0</v>
      </c>
      <c r="Z539" s="106">
        <v>11306</v>
      </c>
      <c r="AA539" s="106">
        <v>5813</v>
      </c>
      <c r="AB539" s="106">
        <v>5493</v>
      </c>
      <c r="AC539" s="106">
        <v>549</v>
      </c>
      <c r="AD539" s="106">
        <v>2638</v>
      </c>
      <c r="AE539" s="106">
        <v>5873</v>
      </c>
      <c r="AF539" s="106">
        <v>2246</v>
      </c>
      <c r="AG539" s="106">
        <v>7689</v>
      </c>
      <c r="AH539" s="106">
        <v>3562</v>
      </c>
      <c r="AI539" s="106">
        <v>55</v>
      </c>
      <c r="AJ539" s="106">
        <v>11121</v>
      </c>
      <c r="AK539" s="106">
        <v>162</v>
      </c>
      <c r="AL539" s="106">
        <v>23</v>
      </c>
      <c r="AM539" s="106">
        <v>695</v>
      </c>
      <c r="AN539" s="106">
        <v>10542</v>
      </c>
      <c r="AO539" s="106">
        <v>69</v>
      </c>
      <c r="AP539" s="107">
        <v>4.9093444909344504</v>
      </c>
      <c r="AQ539" s="107">
        <v>2.0710587395108</v>
      </c>
      <c r="AR539" s="107">
        <v>7.9937912301125298</v>
      </c>
      <c r="AS539" s="107">
        <v>7.5435203094777599</v>
      </c>
      <c r="AT539" s="107">
        <v>7.5751337999176602</v>
      </c>
      <c r="AU539" s="107">
        <v>4.1644515328725804</v>
      </c>
      <c r="AV539" s="107">
        <v>3.2317636195752502</v>
      </c>
      <c r="AW539" s="107">
        <v>4.3152736182956701</v>
      </c>
      <c r="AX539" s="107">
        <v>6.1941631923764104</v>
      </c>
      <c r="AY539" s="107">
        <v>5.8823529411764701</v>
      </c>
      <c r="AZ539" s="107">
        <v>4.8257625838133897</v>
      </c>
      <c r="BA539" s="107">
        <v>9.7222222222222197</v>
      </c>
      <c r="BB539" s="107">
        <v>13.636363636363599</v>
      </c>
      <c r="BC539" s="107">
        <v>5.6971514242878598</v>
      </c>
      <c r="BD539" s="107">
        <v>4.8892436639393297</v>
      </c>
      <c r="BE539" s="107">
        <v>0</v>
      </c>
    </row>
    <row r="540" spans="2:57" ht="15" customHeight="1" x14ac:dyDescent="0.25">
      <c r="B540" s="91">
        <v>530</v>
      </c>
      <c r="C540" s="92" t="s">
        <v>504</v>
      </c>
      <c r="D540" s="92" t="s">
        <v>51</v>
      </c>
      <c r="E540" s="92" t="s">
        <v>371</v>
      </c>
      <c r="F540" s="92" t="s">
        <v>202</v>
      </c>
      <c r="G540" s="101" t="s">
        <v>501</v>
      </c>
      <c r="H540" s="94">
        <v>5065</v>
      </c>
      <c r="I540" s="94">
        <v>2853</v>
      </c>
      <c r="J540" s="94">
        <v>2212</v>
      </c>
      <c r="K540" s="94">
        <v>259</v>
      </c>
      <c r="L540" s="94">
        <v>1355</v>
      </c>
      <c r="M540" s="94">
        <v>2688</v>
      </c>
      <c r="N540" s="94">
        <v>763</v>
      </c>
      <c r="O540" s="94">
        <v>5029</v>
      </c>
      <c r="P540" s="94">
        <v>36</v>
      </c>
      <c r="Q540" s="95">
        <v>1.8000847098687001</v>
      </c>
      <c r="R540" s="95">
        <v>1.2696041822255399</v>
      </c>
      <c r="S540" s="95">
        <v>2.4951076320939301</v>
      </c>
      <c r="T540" s="95">
        <v>2.7027027027027</v>
      </c>
      <c r="U540" s="95">
        <v>2.3500810372771501</v>
      </c>
      <c r="V540" s="95">
        <v>1.6122689736531699</v>
      </c>
      <c r="W540" s="95">
        <v>1.2448132780083001</v>
      </c>
      <c r="X540" s="95">
        <v>1.81236673773987</v>
      </c>
      <c r="Y540" s="95">
        <v>0</v>
      </c>
      <c r="Z540" s="94">
        <v>5799</v>
      </c>
      <c r="AA540" s="94">
        <v>2947</v>
      </c>
      <c r="AB540" s="94">
        <v>2852</v>
      </c>
      <c r="AC540" s="94">
        <v>234</v>
      </c>
      <c r="AD540" s="94">
        <v>1328</v>
      </c>
      <c r="AE540" s="94">
        <v>3146</v>
      </c>
      <c r="AF540" s="94">
        <v>1091</v>
      </c>
      <c r="AG540" s="94">
        <v>3629</v>
      </c>
      <c r="AH540" s="94">
        <v>2139</v>
      </c>
      <c r="AI540" s="94">
        <v>31</v>
      </c>
      <c r="AJ540" s="94">
        <v>5693</v>
      </c>
      <c r="AK540" s="94">
        <v>92</v>
      </c>
      <c r="AL540" s="94">
        <v>14</v>
      </c>
      <c r="AM540" s="94">
        <v>337</v>
      </c>
      <c r="AN540" s="94">
        <v>5426</v>
      </c>
      <c r="AO540" s="94">
        <v>36</v>
      </c>
      <c r="AP540" s="95">
        <v>5.7692307692307701</v>
      </c>
      <c r="AQ540" s="95">
        <v>2.6912181303116101</v>
      </c>
      <c r="AR540" s="95">
        <v>9.0029761904761898</v>
      </c>
      <c r="AS540" s="95">
        <v>9.0909090909090899</v>
      </c>
      <c r="AT540" s="95">
        <v>9.1135045567522805</v>
      </c>
      <c r="AU540" s="95">
        <v>4.8450889914304502</v>
      </c>
      <c r="AV540" s="95">
        <v>3.9010466222645102</v>
      </c>
      <c r="AW540" s="95">
        <v>4.7783534830166996</v>
      </c>
      <c r="AX540" s="95">
        <v>7.5161772025883504</v>
      </c>
      <c r="AY540" s="95">
        <v>3.4482758620689702</v>
      </c>
      <c r="AZ540" s="95">
        <v>5.6467983022697901</v>
      </c>
      <c r="BA540" s="95">
        <v>12.5</v>
      </c>
      <c r="BB540" s="95">
        <v>15.384615384615399</v>
      </c>
      <c r="BC540" s="95">
        <v>7.6923076923076898</v>
      </c>
      <c r="BD540" s="95">
        <v>5.6871118012422404</v>
      </c>
      <c r="BE540" s="95">
        <v>0</v>
      </c>
    </row>
    <row r="541" spans="2:57" ht="15" customHeight="1" x14ac:dyDescent="0.25">
      <c r="B541" s="91">
        <v>531</v>
      </c>
      <c r="C541" s="92" t="s">
        <v>504</v>
      </c>
      <c r="D541" s="92" t="s">
        <v>51</v>
      </c>
      <c r="E541" s="92" t="s">
        <v>371</v>
      </c>
      <c r="F541" s="92" t="s">
        <v>202</v>
      </c>
      <c r="G541" s="101" t="s">
        <v>502</v>
      </c>
      <c r="H541" s="94">
        <v>4631</v>
      </c>
      <c r="I541" s="94">
        <v>2696</v>
      </c>
      <c r="J541" s="94">
        <v>1935</v>
      </c>
      <c r="K541" s="94">
        <v>294</v>
      </c>
      <c r="L541" s="94">
        <v>1183</v>
      </c>
      <c r="M541" s="94">
        <v>2281</v>
      </c>
      <c r="N541" s="94">
        <v>873</v>
      </c>
      <c r="O541" s="94">
        <v>4612</v>
      </c>
      <c r="P541" s="94">
        <v>19</v>
      </c>
      <c r="Q541" s="95">
        <v>0.75793462813832302</v>
      </c>
      <c r="R541" s="95">
        <v>0.27932960893854702</v>
      </c>
      <c r="S541" s="95">
        <v>1.4568764568764601</v>
      </c>
      <c r="T541" s="95">
        <v>1.88679245283019</v>
      </c>
      <c r="U541" s="95">
        <v>0.85388994307400401</v>
      </c>
      <c r="V541" s="95">
        <v>0.61728395061728403</v>
      </c>
      <c r="W541" s="95">
        <v>0.62735257214554596</v>
      </c>
      <c r="X541" s="95">
        <v>0.76099881093935795</v>
      </c>
      <c r="Y541" s="95">
        <v>0</v>
      </c>
      <c r="Z541" s="94">
        <v>5507</v>
      </c>
      <c r="AA541" s="94">
        <v>2866</v>
      </c>
      <c r="AB541" s="94">
        <v>2641</v>
      </c>
      <c r="AC541" s="94">
        <v>315</v>
      </c>
      <c r="AD541" s="94">
        <v>1310</v>
      </c>
      <c r="AE541" s="94">
        <v>2727</v>
      </c>
      <c r="AF541" s="94">
        <v>1155</v>
      </c>
      <c r="AG541" s="94">
        <v>4060</v>
      </c>
      <c r="AH541" s="94">
        <v>1423</v>
      </c>
      <c r="AI541" s="94">
        <v>24</v>
      </c>
      <c r="AJ541" s="94">
        <v>5428</v>
      </c>
      <c r="AK541" s="94">
        <v>70</v>
      </c>
      <c r="AL541" s="94">
        <v>9</v>
      </c>
      <c r="AM541" s="94">
        <v>358</v>
      </c>
      <c r="AN541" s="94">
        <v>5116</v>
      </c>
      <c r="AO541" s="94">
        <v>33</v>
      </c>
      <c r="AP541" s="95">
        <v>4.0053404539385804</v>
      </c>
      <c r="AQ541" s="95">
        <v>1.4404033129276199</v>
      </c>
      <c r="AR541" s="95">
        <v>6.8937550689375504</v>
      </c>
      <c r="AS541" s="95">
        <v>6.3973063973063997</v>
      </c>
      <c r="AT541" s="95">
        <v>6.0556464811783997</v>
      </c>
      <c r="AU541" s="95">
        <v>3.3729398236872399</v>
      </c>
      <c r="AV541" s="95">
        <v>2.6008968609865502</v>
      </c>
      <c r="AW541" s="95">
        <v>3.89979338842975</v>
      </c>
      <c r="AX541" s="95">
        <v>4.2253521126760596</v>
      </c>
      <c r="AY541" s="95">
        <v>9.0909090909090899</v>
      </c>
      <c r="AZ541" s="95">
        <v>3.96518375241779</v>
      </c>
      <c r="BA541" s="95">
        <v>6.25</v>
      </c>
      <c r="BB541" s="95">
        <v>11.1111111111111</v>
      </c>
      <c r="BC541" s="95">
        <v>3.8011695906432701</v>
      </c>
      <c r="BD541" s="95">
        <v>4.0451745379876796</v>
      </c>
      <c r="BE541" s="95">
        <v>0</v>
      </c>
    </row>
    <row r="542" spans="2:57" ht="15" customHeight="1" x14ac:dyDescent="0.25">
      <c r="B542" s="96">
        <v>532</v>
      </c>
      <c r="C542" s="97" t="s">
        <v>504</v>
      </c>
      <c r="D542" s="104" t="s">
        <v>51</v>
      </c>
      <c r="E542" s="104" t="s">
        <v>371</v>
      </c>
      <c r="F542" s="104" t="s">
        <v>315</v>
      </c>
      <c r="G542" s="105" t="s">
        <v>315</v>
      </c>
      <c r="H542" s="106">
        <v>3550</v>
      </c>
      <c r="I542" s="106">
        <v>2064</v>
      </c>
      <c r="J542" s="106">
        <v>1486</v>
      </c>
      <c r="K542" s="106">
        <v>261</v>
      </c>
      <c r="L542" s="106">
        <v>866</v>
      </c>
      <c r="M542" s="106">
        <v>1706</v>
      </c>
      <c r="N542" s="106">
        <v>717</v>
      </c>
      <c r="O542" s="106">
        <v>3539</v>
      </c>
      <c r="P542" s="106">
        <v>11</v>
      </c>
      <c r="Q542" s="107">
        <v>0.35971223021582699</v>
      </c>
      <c r="R542" s="107">
        <v>0.15471892728210401</v>
      </c>
      <c r="S542" s="107">
        <v>0.64423765211166795</v>
      </c>
      <c r="T542" s="107">
        <v>0</v>
      </c>
      <c r="U542" s="107">
        <v>0.49140049140049102</v>
      </c>
      <c r="V542" s="107">
        <v>0.24937655860349101</v>
      </c>
      <c r="W542" s="107">
        <v>0.59171597633136097</v>
      </c>
      <c r="X542" s="107">
        <v>0.36079374624173199</v>
      </c>
      <c r="Y542" s="107">
        <v>0</v>
      </c>
      <c r="Z542" s="106">
        <v>4238</v>
      </c>
      <c r="AA542" s="106">
        <v>2322</v>
      </c>
      <c r="AB542" s="106">
        <v>1916</v>
      </c>
      <c r="AC542" s="106">
        <v>199</v>
      </c>
      <c r="AD542" s="106">
        <v>936</v>
      </c>
      <c r="AE542" s="106">
        <v>2049</v>
      </c>
      <c r="AF542" s="106">
        <v>1054</v>
      </c>
      <c r="AG542" s="106">
        <v>3249</v>
      </c>
      <c r="AH542" s="106">
        <v>942</v>
      </c>
      <c r="AI542" s="106">
        <v>47</v>
      </c>
      <c r="AJ542" s="106">
        <v>4205</v>
      </c>
      <c r="AK542" s="106">
        <v>26</v>
      </c>
      <c r="AL542" s="106">
        <v>7</v>
      </c>
      <c r="AM542" s="106">
        <v>324</v>
      </c>
      <c r="AN542" s="106">
        <v>3882</v>
      </c>
      <c r="AO542" s="106">
        <v>32</v>
      </c>
      <c r="AP542" s="107">
        <v>1.3346515076618899</v>
      </c>
      <c r="AQ542" s="107">
        <v>0.53285968028419195</v>
      </c>
      <c r="AR542" s="107">
        <v>2.3411371237458201</v>
      </c>
      <c r="AS542" s="107">
        <v>0.54945054945054905</v>
      </c>
      <c r="AT542" s="107">
        <v>2.9511918274687901</v>
      </c>
      <c r="AU542" s="107">
        <v>0.91603053435114501</v>
      </c>
      <c r="AV542" s="107">
        <v>0.88408644400785896</v>
      </c>
      <c r="AW542" s="107">
        <v>1.3530927835051501</v>
      </c>
      <c r="AX542" s="107">
        <v>1.33779264214047</v>
      </c>
      <c r="AY542" s="107">
        <v>0</v>
      </c>
      <c r="AZ542" s="107">
        <v>1.2954658694568999</v>
      </c>
      <c r="BA542" s="107">
        <v>8</v>
      </c>
      <c r="BB542" s="107">
        <v>0</v>
      </c>
      <c r="BC542" s="107">
        <v>0.31847133757961799</v>
      </c>
      <c r="BD542" s="107">
        <v>1.4054054054054099</v>
      </c>
      <c r="BE542" s="107">
        <v>3.125</v>
      </c>
    </row>
    <row r="543" spans="2:57" ht="15" customHeight="1" x14ac:dyDescent="0.25">
      <c r="B543" s="91">
        <v>533</v>
      </c>
      <c r="C543" s="92" t="s">
        <v>504</v>
      </c>
      <c r="D543" s="92" t="s">
        <v>51</v>
      </c>
      <c r="E543" s="92" t="s">
        <v>371</v>
      </c>
      <c r="F543" s="92" t="s">
        <v>315</v>
      </c>
      <c r="G543" s="101" t="s">
        <v>501</v>
      </c>
      <c r="H543" s="94">
        <v>0</v>
      </c>
      <c r="I543" s="94">
        <v>0</v>
      </c>
      <c r="J543" s="94">
        <v>0</v>
      </c>
      <c r="K543" s="94">
        <v>0</v>
      </c>
      <c r="L543" s="94">
        <v>0</v>
      </c>
      <c r="M543" s="94">
        <v>0</v>
      </c>
      <c r="N543" s="94">
        <v>0</v>
      </c>
      <c r="O543" s="94">
        <v>0</v>
      </c>
      <c r="P543" s="94">
        <v>0</v>
      </c>
      <c r="Q543" s="95">
        <v>0</v>
      </c>
      <c r="R543" s="95">
        <v>0</v>
      </c>
      <c r="S543" s="95">
        <v>0</v>
      </c>
      <c r="T543" s="95">
        <v>0</v>
      </c>
      <c r="U543" s="95">
        <v>0</v>
      </c>
      <c r="V543" s="95">
        <v>0</v>
      </c>
      <c r="W543" s="95">
        <v>0</v>
      </c>
      <c r="X543" s="95">
        <v>0</v>
      </c>
      <c r="Y543" s="95">
        <v>0</v>
      </c>
      <c r="Z543" s="94">
        <v>0</v>
      </c>
      <c r="AA543" s="94">
        <v>0</v>
      </c>
      <c r="AB543" s="94">
        <v>0</v>
      </c>
      <c r="AC543" s="94">
        <v>0</v>
      </c>
      <c r="AD543" s="94">
        <v>0</v>
      </c>
      <c r="AE543" s="94">
        <v>0</v>
      </c>
      <c r="AF543" s="94">
        <v>0</v>
      </c>
      <c r="AG543" s="94">
        <v>0</v>
      </c>
      <c r="AH543" s="94">
        <v>0</v>
      </c>
      <c r="AI543" s="94">
        <v>0</v>
      </c>
      <c r="AJ543" s="94">
        <v>0</v>
      </c>
      <c r="AK543" s="94">
        <v>0</v>
      </c>
      <c r="AL543" s="94">
        <v>0</v>
      </c>
      <c r="AM543" s="94">
        <v>0</v>
      </c>
      <c r="AN543" s="94">
        <v>0</v>
      </c>
      <c r="AO543" s="94">
        <v>0</v>
      </c>
      <c r="AP543" s="95">
        <v>0</v>
      </c>
      <c r="AQ543" s="95">
        <v>0</v>
      </c>
      <c r="AR543" s="95">
        <v>0</v>
      </c>
      <c r="AS543" s="95">
        <v>0</v>
      </c>
      <c r="AT543" s="95">
        <v>0</v>
      </c>
      <c r="AU543" s="95">
        <v>0</v>
      </c>
      <c r="AV543" s="95">
        <v>0</v>
      </c>
      <c r="AW543" s="95">
        <v>0</v>
      </c>
      <c r="AX543" s="95">
        <v>0</v>
      </c>
      <c r="AY543" s="95">
        <v>0</v>
      </c>
      <c r="AZ543" s="95">
        <v>0</v>
      </c>
      <c r="BA543" s="95">
        <v>0</v>
      </c>
      <c r="BB543" s="95">
        <v>0</v>
      </c>
      <c r="BC543" s="95">
        <v>0</v>
      </c>
      <c r="BD543" s="95">
        <v>0</v>
      </c>
      <c r="BE543" s="95">
        <v>0</v>
      </c>
    </row>
    <row r="544" spans="2:57" ht="15" customHeight="1" x14ac:dyDescent="0.25">
      <c r="B544" s="91">
        <v>534</v>
      </c>
      <c r="C544" s="92" t="s">
        <v>504</v>
      </c>
      <c r="D544" s="92" t="s">
        <v>51</v>
      </c>
      <c r="E544" s="92" t="s">
        <v>371</v>
      </c>
      <c r="F544" s="92" t="s">
        <v>315</v>
      </c>
      <c r="G544" s="101" t="s">
        <v>502</v>
      </c>
      <c r="H544" s="94">
        <v>3550</v>
      </c>
      <c r="I544" s="94">
        <v>2064</v>
      </c>
      <c r="J544" s="94">
        <v>1486</v>
      </c>
      <c r="K544" s="94">
        <v>261</v>
      </c>
      <c r="L544" s="94">
        <v>866</v>
      </c>
      <c r="M544" s="94">
        <v>1706</v>
      </c>
      <c r="N544" s="94">
        <v>717</v>
      </c>
      <c r="O544" s="94">
        <v>3539</v>
      </c>
      <c r="P544" s="94">
        <v>11</v>
      </c>
      <c r="Q544" s="95">
        <v>0.35971223021582699</v>
      </c>
      <c r="R544" s="95">
        <v>0.15471892728210401</v>
      </c>
      <c r="S544" s="95">
        <v>0.64423765211166795</v>
      </c>
      <c r="T544" s="95">
        <v>0</v>
      </c>
      <c r="U544" s="95">
        <v>0.49140049140049102</v>
      </c>
      <c r="V544" s="95">
        <v>0.24937655860349101</v>
      </c>
      <c r="W544" s="95">
        <v>0.59171597633136097</v>
      </c>
      <c r="X544" s="95">
        <v>0.36079374624173199</v>
      </c>
      <c r="Y544" s="95">
        <v>0</v>
      </c>
      <c r="Z544" s="94">
        <v>4238</v>
      </c>
      <c r="AA544" s="94">
        <v>2322</v>
      </c>
      <c r="AB544" s="94">
        <v>1916</v>
      </c>
      <c r="AC544" s="94">
        <v>199</v>
      </c>
      <c r="AD544" s="94">
        <v>936</v>
      </c>
      <c r="AE544" s="94">
        <v>2049</v>
      </c>
      <c r="AF544" s="94">
        <v>1054</v>
      </c>
      <c r="AG544" s="94">
        <v>3249</v>
      </c>
      <c r="AH544" s="94">
        <v>942</v>
      </c>
      <c r="AI544" s="94">
        <v>47</v>
      </c>
      <c r="AJ544" s="94">
        <v>4205</v>
      </c>
      <c r="AK544" s="94">
        <v>26</v>
      </c>
      <c r="AL544" s="94">
        <v>7</v>
      </c>
      <c r="AM544" s="94">
        <v>324</v>
      </c>
      <c r="AN544" s="94">
        <v>3882</v>
      </c>
      <c r="AO544" s="94">
        <v>32</v>
      </c>
      <c r="AP544" s="95">
        <v>1.3346515076618899</v>
      </c>
      <c r="AQ544" s="95">
        <v>0.53285968028419195</v>
      </c>
      <c r="AR544" s="95">
        <v>2.3411371237458201</v>
      </c>
      <c r="AS544" s="95">
        <v>0.54945054945054905</v>
      </c>
      <c r="AT544" s="95">
        <v>2.9511918274687901</v>
      </c>
      <c r="AU544" s="95">
        <v>0.91603053435114501</v>
      </c>
      <c r="AV544" s="95">
        <v>0.88408644400785896</v>
      </c>
      <c r="AW544" s="95">
        <v>1.3530927835051501</v>
      </c>
      <c r="AX544" s="95">
        <v>1.33779264214047</v>
      </c>
      <c r="AY544" s="95">
        <v>0</v>
      </c>
      <c r="AZ544" s="95">
        <v>1.2954658694568999</v>
      </c>
      <c r="BA544" s="95">
        <v>8</v>
      </c>
      <c r="BB544" s="95">
        <v>0</v>
      </c>
      <c r="BC544" s="95">
        <v>0.31847133757961799</v>
      </c>
      <c r="BD544" s="95">
        <v>1.4054054054054099</v>
      </c>
      <c r="BE544" s="95">
        <v>3.125</v>
      </c>
    </row>
    <row r="545" spans="2:57" ht="15" customHeight="1" x14ac:dyDescent="0.25">
      <c r="B545" s="96">
        <v>535</v>
      </c>
      <c r="C545" s="97" t="s">
        <v>504</v>
      </c>
      <c r="D545" s="104" t="s">
        <v>51</v>
      </c>
      <c r="E545" s="104" t="s">
        <v>371</v>
      </c>
      <c r="F545" s="104" t="s">
        <v>19</v>
      </c>
      <c r="G545" s="105" t="s">
        <v>19</v>
      </c>
      <c r="H545" s="106">
        <v>2038</v>
      </c>
      <c r="I545" s="106">
        <v>1219</v>
      </c>
      <c r="J545" s="106">
        <v>819</v>
      </c>
      <c r="K545" s="106">
        <v>150</v>
      </c>
      <c r="L545" s="106">
        <v>567</v>
      </c>
      <c r="M545" s="106">
        <v>1005</v>
      </c>
      <c r="N545" s="106">
        <v>316</v>
      </c>
      <c r="O545" s="106">
        <v>2016</v>
      </c>
      <c r="P545" s="106">
        <v>22</v>
      </c>
      <c r="Q545" s="107">
        <v>3.3278777959629</v>
      </c>
      <c r="R545" s="107">
        <v>0.89928057553956797</v>
      </c>
      <c r="S545" s="107">
        <v>7.0735090152565903</v>
      </c>
      <c r="T545" s="107">
        <v>8.59375</v>
      </c>
      <c r="U545" s="107">
        <v>3.7623762376237599</v>
      </c>
      <c r="V545" s="107">
        <v>2.9637760702524698</v>
      </c>
      <c r="W545" s="107">
        <v>1.3840830449827</v>
      </c>
      <c r="X545" s="107">
        <v>3.30578512396694</v>
      </c>
      <c r="Y545" s="107">
        <v>5.5555555555555598</v>
      </c>
      <c r="Z545" s="106">
        <v>4482</v>
      </c>
      <c r="AA545" s="106">
        <v>2436</v>
      </c>
      <c r="AB545" s="106">
        <v>2046</v>
      </c>
      <c r="AC545" s="106">
        <v>206</v>
      </c>
      <c r="AD545" s="106">
        <v>1225</v>
      </c>
      <c r="AE545" s="106">
        <v>2378</v>
      </c>
      <c r="AF545" s="106">
        <v>673</v>
      </c>
      <c r="AG545" s="106">
        <v>2732</v>
      </c>
      <c r="AH545" s="106">
        <v>1723</v>
      </c>
      <c r="AI545" s="106">
        <v>27</v>
      </c>
      <c r="AJ545" s="106">
        <v>4400</v>
      </c>
      <c r="AK545" s="106">
        <v>80</v>
      </c>
      <c r="AL545" s="106">
        <v>2</v>
      </c>
      <c r="AM545" s="106">
        <v>241</v>
      </c>
      <c r="AN545" s="106">
        <v>4225</v>
      </c>
      <c r="AO545" s="106">
        <v>16</v>
      </c>
      <c r="AP545" s="107">
        <v>7.3862282582797203</v>
      </c>
      <c r="AQ545" s="107">
        <v>2.8508771929824599</v>
      </c>
      <c r="AR545" s="107">
        <v>12.7803860198226</v>
      </c>
      <c r="AS545" s="107">
        <v>16.243654822334999</v>
      </c>
      <c r="AT545" s="107">
        <v>9.8039215686274499</v>
      </c>
      <c r="AU545" s="107">
        <v>6.3867016622922099</v>
      </c>
      <c r="AV545" s="107">
        <v>4.1990668740279897</v>
      </c>
      <c r="AW545" s="107">
        <v>6.7028283611003499</v>
      </c>
      <c r="AX545" s="107">
        <v>8.6109365179132595</v>
      </c>
      <c r="AY545" s="107">
        <v>0</v>
      </c>
      <c r="AZ545" s="107">
        <v>7.3372206025267301</v>
      </c>
      <c r="BA545" s="107">
        <v>10.126582278480999</v>
      </c>
      <c r="BB545" s="107">
        <v>0</v>
      </c>
      <c r="BC545" s="107">
        <v>8</v>
      </c>
      <c r="BD545" s="107">
        <v>7.3540561031084204</v>
      </c>
      <c r="BE545" s="107">
        <v>6.6666666666666696</v>
      </c>
    </row>
    <row r="546" spans="2:57" ht="15" customHeight="1" x14ac:dyDescent="0.25">
      <c r="B546" s="91">
        <v>536</v>
      </c>
      <c r="C546" s="92" t="s">
        <v>504</v>
      </c>
      <c r="D546" s="92" t="s">
        <v>51</v>
      </c>
      <c r="E546" s="92" t="s">
        <v>371</v>
      </c>
      <c r="F546" s="92" t="s">
        <v>19</v>
      </c>
      <c r="G546" s="101" t="s">
        <v>501</v>
      </c>
      <c r="H546" s="94">
        <v>1226</v>
      </c>
      <c r="I546" s="94">
        <v>739</v>
      </c>
      <c r="J546" s="94">
        <v>487</v>
      </c>
      <c r="K546" s="94">
        <v>96</v>
      </c>
      <c r="L546" s="94">
        <v>348</v>
      </c>
      <c r="M546" s="94">
        <v>607</v>
      </c>
      <c r="N546" s="94">
        <v>175</v>
      </c>
      <c r="O546" s="94">
        <v>1216</v>
      </c>
      <c r="P546" s="94">
        <v>10</v>
      </c>
      <c r="Q546" s="95">
        <v>3.3179723502304199</v>
      </c>
      <c r="R546" s="95">
        <v>0.75187969924812004</v>
      </c>
      <c r="S546" s="95">
        <v>7.3809523809523796</v>
      </c>
      <c r="T546" s="95">
        <v>6.1728395061728403</v>
      </c>
      <c r="U546" s="95">
        <v>3.8216560509554101</v>
      </c>
      <c r="V546" s="95">
        <v>3.1775700934579398</v>
      </c>
      <c r="W546" s="95">
        <v>1.2903225806451599</v>
      </c>
      <c r="X546" s="95">
        <v>3.2467532467532498</v>
      </c>
      <c r="Y546" s="95">
        <v>14.285714285714301</v>
      </c>
      <c r="Z546" s="94">
        <v>1082</v>
      </c>
      <c r="AA546" s="94">
        <v>580</v>
      </c>
      <c r="AB546" s="94">
        <v>502</v>
      </c>
      <c r="AC546" s="94">
        <v>48</v>
      </c>
      <c r="AD546" s="94">
        <v>304</v>
      </c>
      <c r="AE546" s="94">
        <v>557</v>
      </c>
      <c r="AF546" s="94">
        <v>173</v>
      </c>
      <c r="AG546" s="94">
        <v>607</v>
      </c>
      <c r="AH546" s="94">
        <v>472</v>
      </c>
      <c r="AI546" s="94">
        <v>3</v>
      </c>
      <c r="AJ546" s="94">
        <v>1056</v>
      </c>
      <c r="AK546" s="94">
        <v>26</v>
      </c>
      <c r="AL546" s="94">
        <v>0</v>
      </c>
      <c r="AM546" s="94">
        <v>70</v>
      </c>
      <c r="AN546" s="94">
        <v>1009</v>
      </c>
      <c r="AO546" s="94">
        <v>3</v>
      </c>
      <c r="AP546" s="95">
        <v>6.5134099616858201</v>
      </c>
      <c r="AQ546" s="95">
        <v>2.32558139534884</v>
      </c>
      <c r="AR546" s="95">
        <v>11.340206185567</v>
      </c>
      <c r="AS546" s="95">
        <v>12.5</v>
      </c>
      <c r="AT546" s="95">
        <v>9.375</v>
      </c>
      <c r="AU546" s="95">
        <v>5.0092764378478698</v>
      </c>
      <c r="AV546" s="95">
        <v>4.7337278106508904</v>
      </c>
      <c r="AW546" s="95">
        <v>6.1120543293718201</v>
      </c>
      <c r="AX546" s="95">
        <v>7.0796460176991198</v>
      </c>
      <c r="AY546" s="95">
        <v>0</v>
      </c>
      <c r="AZ546" s="95">
        <v>6.3850687622789799</v>
      </c>
      <c r="BA546" s="95">
        <v>11.538461538461499</v>
      </c>
      <c r="BB546" s="95">
        <v>0</v>
      </c>
      <c r="BC546" s="95">
        <v>4.4776119402985097</v>
      </c>
      <c r="BD546" s="95">
        <v>6.6735112936345002</v>
      </c>
      <c r="BE546" s="95">
        <v>0</v>
      </c>
    </row>
    <row r="547" spans="2:57" ht="15" customHeight="1" x14ac:dyDescent="0.25">
      <c r="B547" s="91">
        <v>537</v>
      </c>
      <c r="C547" s="92" t="s">
        <v>504</v>
      </c>
      <c r="D547" s="92" t="s">
        <v>51</v>
      </c>
      <c r="E547" s="92" t="s">
        <v>371</v>
      </c>
      <c r="F547" s="92" t="s">
        <v>19</v>
      </c>
      <c r="G547" s="101" t="s">
        <v>502</v>
      </c>
      <c r="H547" s="94">
        <v>812</v>
      </c>
      <c r="I547" s="94">
        <v>480</v>
      </c>
      <c r="J547" s="94">
        <v>332</v>
      </c>
      <c r="K547" s="94">
        <v>54</v>
      </c>
      <c r="L547" s="94">
        <v>219</v>
      </c>
      <c r="M547" s="94">
        <v>398</v>
      </c>
      <c r="N547" s="94">
        <v>141</v>
      </c>
      <c r="O547" s="94">
        <v>800</v>
      </c>
      <c r="P547" s="94">
        <v>12</v>
      </c>
      <c r="Q547" s="95">
        <v>3.3422459893048102</v>
      </c>
      <c r="R547" s="95">
        <v>1.11856823266219</v>
      </c>
      <c r="S547" s="95">
        <v>6.6445182724252501</v>
      </c>
      <c r="T547" s="95">
        <v>12.7659574468085</v>
      </c>
      <c r="U547" s="95">
        <v>3.66492146596859</v>
      </c>
      <c r="V547" s="95">
        <v>2.6595744680851099</v>
      </c>
      <c r="W547" s="95">
        <v>1.4925373134328399</v>
      </c>
      <c r="X547" s="95">
        <v>3.3921302578019001</v>
      </c>
      <c r="Y547" s="95">
        <v>0</v>
      </c>
      <c r="Z547" s="94">
        <v>3400</v>
      </c>
      <c r="AA547" s="94">
        <v>1856</v>
      </c>
      <c r="AB547" s="94">
        <v>1544</v>
      </c>
      <c r="AC547" s="94">
        <v>158</v>
      </c>
      <c r="AD547" s="94">
        <v>921</v>
      </c>
      <c r="AE547" s="94">
        <v>1821</v>
      </c>
      <c r="AF547" s="94">
        <v>500</v>
      </c>
      <c r="AG547" s="94">
        <v>2125</v>
      </c>
      <c r="AH547" s="94">
        <v>1251</v>
      </c>
      <c r="AI547" s="94">
        <v>24</v>
      </c>
      <c r="AJ547" s="94">
        <v>3344</v>
      </c>
      <c r="AK547" s="94">
        <v>54</v>
      </c>
      <c r="AL547" s="94">
        <v>2</v>
      </c>
      <c r="AM547" s="94">
        <v>171</v>
      </c>
      <c r="AN547" s="94">
        <v>3216</v>
      </c>
      <c r="AO547" s="94">
        <v>13</v>
      </c>
      <c r="AP547" s="95">
        <v>7.6752299397399302</v>
      </c>
      <c r="AQ547" s="95">
        <v>3.0214991284137098</v>
      </c>
      <c r="AR547" s="95">
        <v>13.268156424581001</v>
      </c>
      <c r="AS547" s="95">
        <v>17.449664429530198</v>
      </c>
      <c r="AT547" s="95">
        <v>9.9616858237547898</v>
      </c>
      <c r="AU547" s="95">
        <v>6.8116771608471698</v>
      </c>
      <c r="AV547" s="95">
        <v>4.0084388185654003</v>
      </c>
      <c r="AW547" s="95">
        <v>6.8775100401606402</v>
      </c>
      <c r="AX547" s="95">
        <v>9.2186128182616294</v>
      </c>
      <c r="AY547" s="95">
        <v>0</v>
      </c>
      <c r="AZ547" s="95">
        <v>7.65009683666882</v>
      </c>
      <c r="BA547" s="95">
        <v>9.4339622641509404</v>
      </c>
      <c r="BB547" s="95">
        <v>0</v>
      </c>
      <c r="BC547" s="95">
        <v>9.4936708860759502</v>
      </c>
      <c r="BD547" s="95">
        <v>7.5762655045256402</v>
      </c>
      <c r="BE547" s="95">
        <v>8.3333333333333304</v>
      </c>
    </row>
    <row r="548" spans="2:57" ht="15" customHeight="1" x14ac:dyDescent="0.25">
      <c r="B548" s="86">
        <v>538</v>
      </c>
      <c r="C548" s="87" t="s">
        <v>503</v>
      </c>
      <c r="D548" s="103" t="s">
        <v>51</v>
      </c>
      <c r="E548" s="103" t="s">
        <v>299</v>
      </c>
      <c r="F548" s="103"/>
      <c r="G548" s="88" t="s">
        <v>299</v>
      </c>
      <c r="H548" s="89">
        <v>143398</v>
      </c>
      <c r="I548" s="89">
        <v>81581</v>
      </c>
      <c r="J548" s="89">
        <v>61817</v>
      </c>
      <c r="K548" s="89">
        <v>8587</v>
      </c>
      <c r="L548" s="89">
        <v>45708</v>
      </c>
      <c r="M548" s="89">
        <v>76716</v>
      </c>
      <c r="N548" s="89">
        <v>12387</v>
      </c>
      <c r="O548" s="89">
        <v>142498</v>
      </c>
      <c r="P548" s="89">
        <v>900</v>
      </c>
      <c r="Q548" s="90">
        <v>1.5071092231704599</v>
      </c>
      <c r="R548" s="90">
        <v>1.0000134410408701</v>
      </c>
      <c r="S548" s="90">
        <v>2.18342176968306</v>
      </c>
      <c r="T548" s="90">
        <v>2.5866596638655501</v>
      </c>
      <c r="U548" s="90">
        <v>1.86899904717696</v>
      </c>
      <c r="V548" s="90">
        <v>1.25720794475689</v>
      </c>
      <c r="W548" s="90">
        <v>1.02622576966933</v>
      </c>
      <c r="X548" s="90">
        <v>1.4999884081266801</v>
      </c>
      <c r="Y548" s="90">
        <v>2.6854219948849098</v>
      </c>
      <c r="Z548" s="89">
        <v>199009</v>
      </c>
      <c r="AA548" s="89">
        <v>104782</v>
      </c>
      <c r="AB548" s="89">
        <v>94227</v>
      </c>
      <c r="AC548" s="89">
        <v>7742</v>
      </c>
      <c r="AD548" s="89">
        <v>55606</v>
      </c>
      <c r="AE548" s="89">
        <v>113197</v>
      </c>
      <c r="AF548" s="89">
        <v>22464</v>
      </c>
      <c r="AG548" s="89">
        <v>86560</v>
      </c>
      <c r="AH548" s="89">
        <v>111211</v>
      </c>
      <c r="AI548" s="89">
        <v>1238</v>
      </c>
      <c r="AJ548" s="89">
        <v>196332</v>
      </c>
      <c r="AK548" s="89">
        <v>2339</v>
      </c>
      <c r="AL548" s="89">
        <v>338</v>
      </c>
      <c r="AM548" s="89">
        <v>10020</v>
      </c>
      <c r="AN548" s="89">
        <v>188022</v>
      </c>
      <c r="AO548" s="89">
        <v>967</v>
      </c>
      <c r="AP548" s="90">
        <v>6.4716979132443804</v>
      </c>
      <c r="AQ548" s="90">
        <v>3.4701361330185398</v>
      </c>
      <c r="AR548" s="90">
        <v>9.8218190381143504</v>
      </c>
      <c r="AS548" s="90">
        <v>12.4071823950317</v>
      </c>
      <c r="AT548" s="90">
        <v>8.8117438545118301</v>
      </c>
      <c r="AU548" s="90">
        <v>5.4070096361629698</v>
      </c>
      <c r="AV548" s="90">
        <v>4.1249536522061598</v>
      </c>
      <c r="AW548" s="90">
        <v>5.5254669747737299</v>
      </c>
      <c r="AX548" s="90">
        <v>7.2234611740158297</v>
      </c>
      <c r="AY548" s="90">
        <v>6.5387968613775103</v>
      </c>
      <c r="AZ548" s="90">
        <v>6.43813921026495</v>
      </c>
      <c r="BA548" s="90">
        <v>9.55951265229616</v>
      </c>
      <c r="BB548" s="90">
        <v>5.3968253968253999</v>
      </c>
      <c r="BC548" s="90">
        <v>5.6930174040679402</v>
      </c>
      <c r="BD548" s="90">
        <v>6.5188733753302603</v>
      </c>
      <c r="BE548" s="90">
        <v>5.3905390539053899</v>
      </c>
    </row>
    <row r="549" spans="2:57" ht="15" customHeight="1" x14ac:dyDescent="0.25">
      <c r="B549" s="91">
        <v>539</v>
      </c>
      <c r="C549" s="92" t="s">
        <v>503</v>
      </c>
      <c r="D549" s="92" t="s">
        <v>51</v>
      </c>
      <c r="E549" s="92" t="s">
        <v>299</v>
      </c>
      <c r="F549" s="92"/>
      <c r="G549" s="93" t="s">
        <v>501</v>
      </c>
      <c r="H549" s="94">
        <v>120595</v>
      </c>
      <c r="I549" s="94">
        <v>68505</v>
      </c>
      <c r="J549" s="94">
        <v>52090</v>
      </c>
      <c r="K549" s="94">
        <v>6307</v>
      </c>
      <c r="L549" s="94">
        <v>38804</v>
      </c>
      <c r="M549" s="94">
        <v>65895</v>
      </c>
      <c r="N549" s="94">
        <v>9589</v>
      </c>
      <c r="O549" s="94">
        <v>119745</v>
      </c>
      <c r="P549" s="94">
        <v>850</v>
      </c>
      <c r="Q549" s="95">
        <v>1.7161613575686601</v>
      </c>
      <c r="R549" s="95">
        <v>1.1510445849675801</v>
      </c>
      <c r="S549" s="95">
        <v>2.4687146907711002</v>
      </c>
      <c r="T549" s="95">
        <v>3.3639143730886798</v>
      </c>
      <c r="U549" s="95">
        <v>2.10256852762677</v>
      </c>
      <c r="V549" s="95">
        <v>1.4129587555349199</v>
      </c>
      <c r="W549" s="95">
        <v>1.2232765519606701</v>
      </c>
      <c r="X549" s="95">
        <v>1.70848905499199</v>
      </c>
      <c r="Y549" s="95">
        <v>2.8455284552845499</v>
      </c>
      <c r="Z549" s="94">
        <v>178937</v>
      </c>
      <c r="AA549" s="94">
        <v>94091</v>
      </c>
      <c r="AB549" s="94">
        <v>84846</v>
      </c>
      <c r="AC549" s="94">
        <v>6460</v>
      </c>
      <c r="AD549" s="94">
        <v>50004</v>
      </c>
      <c r="AE549" s="94">
        <v>103099</v>
      </c>
      <c r="AF549" s="94">
        <v>19374</v>
      </c>
      <c r="AG549" s="94">
        <v>72170</v>
      </c>
      <c r="AH549" s="94">
        <v>105684</v>
      </c>
      <c r="AI549" s="94">
        <v>1083</v>
      </c>
      <c r="AJ549" s="94">
        <v>176398</v>
      </c>
      <c r="AK549" s="94">
        <v>2259</v>
      </c>
      <c r="AL549" s="94">
        <v>280</v>
      </c>
      <c r="AM549" s="94">
        <v>8965</v>
      </c>
      <c r="AN549" s="94">
        <v>169152</v>
      </c>
      <c r="AO549" s="94">
        <v>820</v>
      </c>
      <c r="AP549" s="95">
        <v>6.8893257067299496</v>
      </c>
      <c r="AQ549" s="95">
        <v>3.7188600130053602</v>
      </c>
      <c r="AR549" s="95">
        <v>10.4147706730829</v>
      </c>
      <c r="AS549" s="95">
        <v>14.047849983834499</v>
      </c>
      <c r="AT549" s="95">
        <v>9.3531825309875192</v>
      </c>
      <c r="AU549" s="95">
        <v>5.6954992609205402</v>
      </c>
      <c r="AV549" s="95">
        <v>4.6352624495289403</v>
      </c>
      <c r="AW549" s="95">
        <v>6.2202755251022701</v>
      </c>
      <c r="AX549" s="95">
        <v>7.3549271360328898</v>
      </c>
      <c r="AY549" s="95">
        <v>6.9721115537848597</v>
      </c>
      <c r="AZ549" s="95">
        <v>6.8572591311425404</v>
      </c>
      <c r="BA549" s="95">
        <v>9.5330739299610894</v>
      </c>
      <c r="BB549" s="95">
        <v>6.58914728682171</v>
      </c>
      <c r="BC549" s="95">
        <v>6.1281991077717803</v>
      </c>
      <c r="BD549" s="95">
        <v>6.9328820079814601</v>
      </c>
      <c r="BE549" s="95">
        <v>6.25</v>
      </c>
    </row>
    <row r="550" spans="2:57" ht="15" customHeight="1" x14ac:dyDescent="0.25">
      <c r="B550" s="91">
        <v>540</v>
      </c>
      <c r="C550" s="92" t="s">
        <v>503</v>
      </c>
      <c r="D550" s="92" t="s">
        <v>51</v>
      </c>
      <c r="E550" s="92" t="s">
        <v>299</v>
      </c>
      <c r="F550" s="92"/>
      <c r="G550" s="93" t="s">
        <v>502</v>
      </c>
      <c r="H550" s="94">
        <v>22803</v>
      </c>
      <c r="I550" s="94">
        <v>13076</v>
      </c>
      <c r="J550" s="94">
        <v>9727</v>
      </c>
      <c r="K550" s="94">
        <v>2280</v>
      </c>
      <c r="L550" s="94">
        <v>6904</v>
      </c>
      <c r="M550" s="94">
        <v>10821</v>
      </c>
      <c r="N550" s="94">
        <v>2798</v>
      </c>
      <c r="O550" s="94">
        <v>22753</v>
      </c>
      <c r="P550" s="94">
        <v>50</v>
      </c>
      <c r="Q550" s="95">
        <v>0.40843784537023697</v>
      </c>
      <c r="R550" s="95">
        <v>0.20948550360315099</v>
      </c>
      <c r="S550" s="95">
        <v>0.67590402162892904</v>
      </c>
      <c r="T550" s="95">
        <v>0.48614487117160898</v>
      </c>
      <c r="U550" s="95">
        <v>0.55158987670343895</v>
      </c>
      <c r="V550" s="95">
        <v>0.31199677938808401</v>
      </c>
      <c r="W550" s="95">
        <v>0.37678975131876402</v>
      </c>
      <c r="X550" s="95">
        <v>0.40930322145712</v>
      </c>
      <c r="Y550" s="95">
        <v>0</v>
      </c>
      <c r="Z550" s="94">
        <v>20072</v>
      </c>
      <c r="AA550" s="94">
        <v>10691</v>
      </c>
      <c r="AB550" s="94">
        <v>9381</v>
      </c>
      <c r="AC550" s="94">
        <v>1282</v>
      </c>
      <c r="AD550" s="94">
        <v>5602</v>
      </c>
      <c r="AE550" s="94">
        <v>10098</v>
      </c>
      <c r="AF550" s="94">
        <v>3090</v>
      </c>
      <c r="AG550" s="94">
        <v>14390</v>
      </c>
      <c r="AH550" s="94">
        <v>5527</v>
      </c>
      <c r="AI550" s="94">
        <v>155</v>
      </c>
      <c r="AJ550" s="94">
        <v>19934</v>
      </c>
      <c r="AK550" s="94">
        <v>80</v>
      </c>
      <c r="AL550" s="94">
        <v>58</v>
      </c>
      <c r="AM550" s="94">
        <v>1055</v>
      </c>
      <c r="AN550" s="94">
        <v>18870</v>
      </c>
      <c r="AO550" s="94">
        <v>147</v>
      </c>
      <c r="AP550" s="95">
        <v>2.8072719738954799</v>
      </c>
      <c r="AQ550" s="95">
        <v>1.3248235180350101</v>
      </c>
      <c r="AR550" s="95">
        <v>4.5170644657595398</v>
      </c>
      <c r="AS550" s="95">
        <v>4.0950040950040902</v>
      </c>
      <c r="AT550" s="95">
        <v>4.1067761806981498</v>
      </c>
      <c r="AU550" s="95">
        <v>2.4979440789473699</v>
      </c>
      <c r="AV550" s="95">
        <v>0.96634455181606105</v>
      </c>
      <c r="AW550" s="95">
        <v>2.07030407591115</v>
      </c>
      <c r="AX550" s="95">
        <v>4.7401484865791002</v>
      </c>
      <c r="AY550" s="95">
        <v>3.4965034965034998</v>
      </c>
      <c r="AZ550" s="95">
        <v>2.7853119132067601</v>
      </c>
      <c r="BA550" s="95">
        <v>10.2564102564103</v>
      </c>
      <c r="BB550" s="95">
        <v>0</v>
      </c>
      <c r="BC550" s="95">
        <v>2.0588235294117601</v>
      </c>
      <c r="BD550" s="95">
        <v>2.8656453212829298</v>
      </c>
      <c r="BE550" s="95">
        <v>0.70921985815602795</v>
      </c>
    </row>
    <row r="551" spans="2:57" ht="15" customHeight="1" x14ac:dyDescent="0.25">
      <c r="B551" s="96">
        <v>541</v>
      </c>
      <c r="C551" s="97" t="s">
        <v>504</v>
      </c>
      <c r="D551" s="104" t="s">
        <v>51</v>
      </c>
      <c r="E551" s="104" t="s">
        <v>299</v>
      </c>
      <c r="F551" s="104" t="s">
        <v>299</v>
      </c>
      <c r="G551" s="105" t="s">
        <v>299</v>
      </c>
      <c r="H551" s="106">
        <v>58153</v>
      </c>
      <c r="I551" s="106">
        <v>32804</v>
      </c>
      <c r="J551" s="106">
        <v>25349</v>
      </c>
      <c r="K551" s="106">
        <v>3116</v>
      </c>
      <c r="L551" s="106">
        <v>18403</v>
      </c>
      <c r="M551" s="106">
        <v>31741</v>
      </c>
      <c r="N551" s="106">
        <v>4893</v>
      </c>
      <c r="O551" s="106">
        <v>57848</v>
      </c>
      <c r="P551" s="106">
        <v>305</v>
      </c>
      <c r="Q551" s="107">
        <v>1.6943076545725599</v>
      </c>
      <c r="R551" s="107">
        <v>1.1767065588018999</v>
      </c>
      <c r="S551" s="107">
        <v>2.3649672976133802</v>
      </c>
      <c r="T551" s="107">
        <v>3.40333091962346</v>
      </c>
      <c r="U551" s="107">
        <v>2.1154427319431899</v>
      </c>
      <c r="V551" s="107">
        <v>1.37108384177692</v>
      </c>
      <c r="W551" s="107">
        <v>1.19469026548673</v>
      </c>
      <c r="X551" s="107">
        <v>1.6860751811250601</v>
      </c>
      <c r="Y551" s="107">
        <v>3.2727272727272698</v>
      </c>
      <c r="Z551" s="106">
        <v>81128</v>
      </c>
      <c r="AA551" s="106">
        <v>42742</v>
      </c>
      <c r="AB551" s="106">
        <v>38386</v>
      </c>
      <c r="AC551" s="106">
        <v>3034</v>
      </c>
      <c r="AD551" s="106">
        <v>22628</v>
      </c>
      <c r="AE551" s="106">
        <v>46397</v>
      </c>
      <c r="AF551" s="106">
        <v>9069</v>
      </c>
      <c r="AG551" s="106">
        <v>34119</v>
      </c>
      <c r="AH551" s="106">
        <v>46522</v>
      </c>
      <c r="AI551" s="106">
        <v>487</v>
      </c>
      <c r="AJ551" s="106">
        <v>80175</v>
      </c>
      <c r="AK551" s="106">
        <v>797</v>
      </c>
      <c r="AL551" s="106">
        <v>156</v>
      </c>
      <c r="AM551" s="106">
        <v>4071</v>
      </c>
      <c r="AN551" s="106">
        <v>76664</v>
      </c>
      <c r="AO551" s="106">
        <v>393</v>
      </c>
      <c r="AP551" s="107">
        <v>6.6645006173240597</v>
      </c>
      <c r="AQ551" s="107">
        <v>3.6283862062165699</v>
      </c>
      <c r="AR551" s="107">
        <v>10.050582801847399</v>
      </c>
      <c r="AS551" s="107">
        <v>13.207547169811299</v>
      </c>
      <c r="AT551" s="107">
        <v>8.8059842817915008</v>
      </c>
      <c r="AU551" s="107">
        <v>5.6640050668415904</v>
      </c>
      <c r="AV551" s="107">
        <v>4.3568226232900296</v>
      </c>
      <c r="AW551" s="107">
        <v>5.8999481121997404</v>
      </c>
      <c r="AX551" s="107">
        <v>7.2432951505590202</v>
      </c>
      <c r="AY551" s="107">
        <v>6.0674157303370801</v>
      </c>
      <c r="AZ551" s="107">
        <v>6.64124646637302</v>
      </c>
      <c r="BA551" s="107">
        <v>9.1767881241565501</v>
      </c>
      <c r="BB551" s="107">
        <v>6.0402684563758404</v>
      </c>
      <c r="BC551" s="107">
        <v>6.0378336356569102</v>
      </c>
      <c r="BD551" s="107">
        <v>6.7045251419692802</v>
      </c>
      <c r="BE551" s="107">
        <v>5.2924791086351002</v>
      </c>
    </row>
    <row r="552" spans="2:57" ht="15" customHeight="1" x14ac:dyDescent="0.25">
      <c r="B552" s="91">
        <v>542</v>
      </c>
      <c r="C552" s="92" t="s">
        <v>504</v>
      </c>
      <c r="D552" s="92" t="s">
        <v>51</v>
      </c>
      <c r="E552" s="92" t="s">
        <v>299</v>
      </c>
      <c r="F552" s="92" t="s">
        <v>299</v>
      </c>
      <c r="G552" s="101" t="s">
        <v>501</v>
      </c>
      <c r="H552" s="94">
        <v>54862</v>
      </c>
      <c r="I552" s="94">
        <v>30945</v>
      </c>
      <c r="J552" s="94">
        <v>23917</v>
      </c>
      <c r="K552" s="94">
        <v>2769</v>
      </c>
      <c r="L552" s="94">
        <v>17377</v>
      </c>
      <c r="M552" s="94">
        <v>30170</v>
      </c>
      <c r="N552" s="94">
        <v>4546</v>
      </c>
      <c r="O552" s="94">
        <v>54565</v>
      </c>
      <c r="P552" s="94">
        <v>297</v>
      </c>
      <c r="Q552" s="95">
        <v>1.7882531990307799</v>
      </c>
      <c r="R552" s="95">
        <v>1.2446367150101101</v>
      </c>
      <c r="S552" s="95">
        <v>2.4935590725064398</v>
      </c>
      <c r="T552" s="95">
        <v>3.8461538461538498</v>
      </c>
      <c r="U552" s="95">
        <v>2.2297686935349499</v>
      </c>
      <c r="V552" s="95">
        <v>1.4366156511695101</v>
      </c>
      <c r="W552" s="95">
        <v>1.26733620277379</v>
      </c>
      <c r="X552" s="95">
        <v>1.77974632574995</v>
      </c>
      <c r="Y552" s="95">
        <v>3.3707865168539302</v>
      </c>
      <c r="Z552" s="94">
        <v>77018</v>
      </c>
      <c r="AA552" s="94">
        <v>40540</v>
      </c>
      <c r="AB552" s="94">
        <v>36478</v>
      </c>
      <c r="AC552" s="94">
        <v>2758</v>
      </c>
      <c r="AD552" s="94">
        <v>21412</v>
      </c>
      <c r="AE552" s="94">
        <v>44344</v>
      </c>
      <c r="AF552" s="94">
        <v>8504</v>
      </c>
      <c r="AG552" s="94">
        <v>30946</v>
      </c>
      <c r="AH552" s="94">
        <v>45608</v>
      </c>
      <c r="AI552" s="94">
        <v>464</v>
      </c>
      <c r="AJ552" s="94">
        <v>76088</v>
      </c>
      <c r="AK552" s="94">
        <v>780</v>
      </c>
      <c r="AL552" s="94">
        <v>150</v>
      </c>
      <c r="AM552" s="94">
        <v>3880</v>
      </c>
      <c r="AN552" s="94">
        <v>72783</v>
      </c>
      <c r="AO552" s="94">
        <v>355</v>
      </c>
      <c r="AP552" s="95">
        <v>6.9073267001068999</v>
      </c>
      <c r="AQ552" s="95">
        <v>3.77918325915515</v>
      </c>
      <c r="AR552" s="95">
        <v>10.3864524533218</v>
      </c>
      <c r="AS552" s="95">
        <v>14.2964918898529</v>
      </c>
      <c r="AT552" s="95">
        <v>9.1560948703805796</v>
      </c>
      <c r="AU552" s="95">
        <v>5.8238400871562899</v>
      </c>
      <c r="AV552" s="95">
        <v>4.6140630752239504</v>
      </c>
      <c r="AW552" s="95">
        <v>6.3186628024533302</v>
      </c>
      <c r="AX552" s="95">
        <v>7.3208286674132097</v>
      </c>
      <c r="AY552" s="95">
        <v>6.3084112149532698</v>
      </c>
      <c r="AZ552" s="95">
        <v>6.8863645820330399</v>
      </c>
      <c r="BA552" s="95">
        <v>9.1160220994475107</v>
      </c>
      <c r="BB552" s="95">
        <v>6.2937062937062898</v>
      </c>
      <c r="BC552" s="95">
        <v>6.2636165577342</v>
      </c>
      <c r="BD552" s="95">
        <v>6.9462970480774802</v>
      </c>
      <c r="BE552" s="95">
        <v>5.9006211180124204</v>
      </c>
    </row>
    <row r="553" spans="2:57" ht="15" customHeight="1" x14ac:dyDescent="0.25">
      <c r="B553" s="91">
        <v>543</v>
      </c>
      <c r="C553" s="92" t="s">
        <v>504</v>
      </c>
      <c r="D553" s="92" t="s">
        <v>51</v>
      </c>
      <c r="E553" s="92" t="s">
        <v>299</v>
      </c>
      <c r="F553" s="92" t="s">
        <v>299</v>
      </c>
      <c r="G553" s="101" t="s">
        <v>502</v>
      </c>
      <c r="H553" s="94">
        <v>3291</v>
      </c>
      <c r="I553" s="94">
        <v>1859</v>
      </c>
      <c r="J553" s="94">
        <v>1432</v>
      </c>
      <c r="K553" s="94">
        <v>347</v>
      </c>
      <c r="L553" s="94">
        <v>1026</v>
      </c>
      <c r="M553" s="94">
        <v>1571</v>
      </c>
      <c r="N553" s="94">
        <v>347</v>
      </c>
      <c r="O553" s="94">
        <v>3283</v>
      </c>
      <c r="P553" s="94">
        <v>8</v>
      </c>
      <c r="Q553" s="95">
        <v>0.16318537859007801</v>
      </c>
      <c r="R553" s="95">
        <v>5.83771161704612E-2</v>
      </c>
      <c r="S553" s="95">
        <v>0.29607698001480398</v>
      </c>
      <c r="T553" s="95">
        <v>0</v>
      </c>
      <c r="U553" s="95">
        <v>0.21321961620469099</v>
      </c>
      <c r="V553" s="95">
        <v>0.136054421768707</v>
      </c>
      <c r="W553" s="95">
        <v>0.29585798816567999</v>
      </c>
      <c r="X553" s="95">
        <v>0.163612565445026</v>
      </c>
      <c r="Y553" s="95">
        <v>0</v>
      </c>
      <c r="Z553" s="94">
        <v>4110</v>
      </c>
      <c r="AA553" s="94">
        <v>2202</v>
      </c>
      <c r="AB553" s="94">
        <v>1908</v>
      </c>
      <c r="AC553" s="94">
        <v>276</v>
      </c>
      <c r="AD553" s="94">
        <v>1216</v>
      </c>
      <c r="AE553" s="94">
        <v>2053</v>
      </c>
      <c r="AF553" s="94">
        <v>565</v>
      </c>
      <c r="AG553" s="94">
        <v>3173</v>
      </c>
      <c r="AH553" s="94">
        <v>914</v>
      </c>
      <c r="AI553" s="94">
        <v>23</v>
      </c>
      <c r="AJ553" s="94">
        <v>4087</v>
      </c>
      <c r="AK553" s="94">
        <v>17</v>
      </c>
      <c r="AL553" s="94">
        <v>6</v>
      </c>
      <c r="AM553" s="94">
        <v>191</v>
      </c>
      <c r="AN553" s="94">
        <v>3881</v>
      </c>
      <c r="AO553" s="94">
        <v>38</v>
      </c>
      <c r="AP553" s="95">
        <v>2.2116109575270202</v>
      </c>
      <c r="AQ553" s="95">
        <v>0.93109869646182497</v>
      </c>
      <c r="AR553" s="95">
        <v>3.7138175860185698</v>
      </c>
      <c r="AS553" s="95">
        <v>2.2727272727272698</v>
      </c>
      <c r="AT553" s="95">
        <v>2.8837998303647199</v>
      </c>
      <c r="AU553" s="95">
        <v>2.2658610271903301</v>
      </c>
      <c r="AV553" s="95">
        <v>0.54545454545454597</v>
      </c>
      <c r="AW553" s="95">
        <v>1.87763030106831</v>
      </c>
      <c r="AX553" s="95">
        <v>3.43642611683849</v>
      </c>
      <c r="AY553" s="95">
        <v>0</v>
      </c>
      <c r="AZ553" s="95">
        <v>2.1739130434782599</v>
      </c>
      <c r="BA553" s="95">
        <v>11.764705882352899</v>
      </c>
      <c r="BB553" s="95">
        <v>0</v>
      </c>
      <c r="BC553" s="95">
        <v>1.6042780748663099</v>
      </c>
      <c r="BD553" s="95">
        <v>2.2636484687083902</v>
      </c>
      <c r="BE553" s="95">
        <v>0</v>
      </c>
    </row>
    <row r="554" spans="2:57" ht="15" customHeight="1" x14ac:dyDescent="0.25">
      <c r="B554" s="96">
        <v>544</v>
      </c>
      <c r="C554" s="97" t="s">
        <v>504</v>
      </c>
      <c r="D554" s="104" t="s">
        <v>51</v>
      </c>
      <c r="E554" s="104" t="s">
        <v>299</v>
      </c>
      <c r="F554" s="104" t="s">
        <v>467</v>
      </c>
      <c r="G554" s="105" t="s">
        <v>467</v>
      </c>
      <c r="H554" s="106">
        <v>17791</v>
      </c>
      <c r="I554" s="106">
        <v>10374</v>
      </c>
      <c r="J554" s="106">
        <v>7417</v>
      </c>
      <c r="K554" s="106">
        <v>1488</v>
      </c>
      <c r="L554" s="106">
        <v>5471</v>
      </c>
      <c r="M554" s="106">
        <v>8719</v>
      </c>
      <c r="N554" s="106">
        <v>2113</v>
      </c>
      <c r="O554" s="106">
        <v>17737</v>
      </c>
      <c r="P554" s="106">
        <v>54</v>
      </c>
      <c r="Q554" s="107">
        <v>0.74235807860262004</v>
      </c>
      <c r="R554" s="107">
        <v>0.34184382010469</v>
      </c>
      <c r="S554" s="107">
        <v>1.30454340980657</v>
      </c>
      <c r="T554" s="107">
        <v>1.1441647597254001</v>
      </c>
      <c r="U554" s="107">
        <v>1.00208768267223</v>
      </c>
      <c r="V554" s="107">
        <v>0.56625141562853898</v>
      </c>
      <c r="W554" s="107">
        <v>0.55499495459132198</v>
      </c>
      <c r="X554" s="107">
        <v>0.74449449449449401</v>
      </c>
      <c r="Y554" s="107">
        <v>0</v>
      </c>
      <c r="Z554" s="106">
        <v>26860</v>
      </c>
      <c r="AA554" s="106">
        <v>14170</v>
      </c>
      <c r="AB554" s="106">
        <v>12690</v>
      </c>
      <c r="AC554" s="106">
        <v>1509</v>
      </c>
      <c r="AD554" s="106">
        <v>8012</v>
      </c>
      <c r="AE554" s="106">
        <v>13776</v>
      </c>
      <c r="AF554" s="106">
        <v>3563</v>
      </c>
      <c r="AG554" s="106">
        <v>16783</v>
      </c>
      <c r="AH554" s="106">
        <v>9889</v>
      </c>
      <c r="AI554" s="106">
        <v>188</v>
      </c>
      <c r="AJ554" s="106">
        <v>26649</v>
      </c>
      <c r="AK554" s="106">
        <v>146</v>
      </c>
      <c r="AL554" s="106">
        <v>65</v>
      </c>
      <c r="AM554" s="106">
        <v>1398</v>
      </c>
      <c r="AN554" s="106">
        <v>25309</v>
      </c>
      <c r="AO554" s="106">
        <v>153</v>
      </c>
      <c r="AP554" s="107">
        <v>4.82997701865773</v>
      </c>
      <c r="AQ554" s="107">
        <v>1.72362993517973</v>
      </c>
      <c r="AR554" s="107">
        <v>8.3161114325865899</v>
      </c>
      <c r="AS554" s="107">
        <v>9.4222833562585997</v>
      </c>
      <c r="AT554" s="107">
        <v>6.42942188120122</v>
      </c>
      <c r="AU554" s="107">
        <v>4.1262870987280396</v>
      </c>
      <c r="AV554" s="107">
        <v>2.0857473928157599</v>
      </c>
      <c r="AW554" s="107">
        <v>4.2909406585229704</v>
      </c>
      <c r="AX554" s="107">
        <v>5.7542436212234396</v>
      </c>
      <c r="AY554" s="107">
        <v>5.0279329608938497</v>
      </c>
      <c r="AZ554" s="107">
        <v>4.83706321162152</v>
      </c>
      <c r="BA554" s="107">
        <v>5</v>
      </c>
      <c r="BB554" s="107">
        <v>1.5873015873015901</v>
      </c>
      <c r="BC554" s="107">
        <v>4.2159763313609497</v>
      </c>
      <c r="BD554" s="107">
        <v>4.8730040539422497</v>
      </c>
      <c r="BE554" s="107">
        <v>3.40136054421769</v>
      </c>
    </row>
    <row r="555" spans="2:57" ht="15" customHeight="1" x14ac:dyDescent="0.25">
      <c r="B555" s="91">
        <v>545</v>
      </c>
      <c r="C555" s="92" t="s">
        <v>504</v>
      </c>
      <c r="D555" s="92" t="s">
        <v>51</v>
      </c>
      <c r="E555" s="92" t="s">
        <v>299</v>
      </c>
      <c r="F555" s="92" t="s">
        <v>467</v>
      </c>
      <c r="G555" s="101" t="s">
        <v>501</v>
      </c>
      <c r="H555" s="94">
        <v>5581</v>
      </c>
      <c r="I555" s="94">
        <v>3366</v>
      </c>
      <c r="J555" s="94">
        <v>2215</v>
      </c>
      <c r="K555" s="94">
        <v>428</v>
      </c>
      <c r="L555" s="94">
        <v>1907</v>
      </c>
      <c r="M555" s="94">
        <v>2773</v>
      </c>
      <c r="N555" s="94">
        <v>473</v>
      </c>
      <c r="O555" s="94">
        <v>5559</v>
      </c>
      <c r="P555" s="94">
        <v>22</v>
      </c>
      <c r="Q555" s="95">
        <v>1.07419932365228</v>
      </c>
      <c r="R555" s="95">
        <v>0.42749095692206501</v>
      </c>
      <c r="S555" s="95">
        <v>2.06445115810675</v>
      </c>
      <c r="T555" s="95">
        <v>2.1164021164021198</v>
      </c>
      <c r="U555" s="95">
        <v>1.1841326228537601</v>
      </c>
      <c r="V555" s="95">
        <v>0.90801421239636804</v>
      </c>
      <c r="W555" s="95">
        <v>0.70257611241217799</v>
      </c>
      <c r="X555" s="95">
        <v>1.07849011384062</v>
      </c>
      <c r="Y555" s="95">
        <v>0</v>
      </c>
      <c r="Z555" s="94">
        <v>17496</v>
      </c>
      <c r="AA555" s="94">
        <v>9160</v>
      </c>
      <c r="AB555" s="94">
        <v>8336</v>
      </c>
      <c r="AC555" s="94">
        <v>999</v>
      </c>
      <c r="AD555" s="94">
        <v>5495</v>
      </c>
      <c r="AE555" s="94">
        <v>9053</v>
      </c>
      <c r="AF555" s="94">
        <v>1949</v>
      </c>
      <c r="AG555" s="94">
        <v>10530</v>
      </c>
      <c r="AH555" s="94">
        <v>6871</v>
      </c>
      <c r="AI555" s="94">
        <v>95</v>
      </c>
      <c r="AJ555" s="94">
        <v>17363</v>
      </c>
      <c r="AK555" s="94">
        <v>102</v>
      </c>
      <c r="AL555" s="94">
        <v>31</v>
      </c>
      <c r="AM555" s="94">
        <v>832</v>
      </c>
      <c r="AN555" s="94">
        <v>16573</v>
      </c>
      <c r="AO555" s="94">
        <v>91</v>
      </c>
      <c r="AP555" s="95">
        <v>5.7132590729428703</v>
      </c>
      <c r="AQ555" s="95">
        <v>1.86030586624058</v>
      </c>
      <c r="AR555" s="95">
        <v>9.9672379032258096</v>
      </c>
      <c r="AS555" s="95">
        <v>10.9844559585492</v>
      </c>
      <c r="AT555" s="95">
        <v>7.2685095689155199</v>
      </c>
      <c r="AU555" s="95">
        <v>4.8266328763967303</v>
      </c>
      <c r="AV555" s="95">
        <v>2.82064928153273</v>
      </c>
      <c r="AW555" s="95">
        <v>5.4318788958147799</v>
      </c>
      <c r="AX555" s="95">
        <v>6.1519532451553403</v>
      </c>
      <c r="AY555" s="95">
        <v>5.6179775280898898</v>
      </c>
      <c r="AZ555" s="95">
        <v>5.7208376078691696</v>
      </c>
      <c r="BA555" s="95">
        <v>5.1546391752577296</v>
      </c>
      <c r="BB555" s="95">
        <v>3.3333333333333299</v>
      </c>
      <c r="BC555" s="95">
        <v>5.2173913043478297</v>
      </c>
      <c r="BD555" s="95">
        <v>5.7390534042014698</v>
      </c>
      <c r="BE555" s="95">
        <v>5.6179775280898898</v>
      </c>
    </row>
    <row r="556" spans="2:57" ht="15" customHeight="1" x14ac:dyDescent="0.25">
      <c r="B556" s="91">
        <v>546</v>
      </c>
      <c r="C556" s="92" t="s">
        <v>504</v>
      </c>
      <c r="D556" s="92" t="s">
        <v>51</v>
      </c>
      <c r="E556" s="92" t="s">
        <v>299</v>
      </c>
      <c r="F556" s="92" t="s">
        <v>467</v>
      </c>
      <c r="G556" s="101" t="s">
        <v>502</v>
      </c>
      <c r="H556" s="94">
        <v>12210</v>
      </c>
      <c r="I556" s="94">
        <v>7008</v>
      </c>
      <c r="J556" s="94">
        <v>5202</v>
      </c>
      <c r="K556" s="94">
        <v>1060</v>
      </c>
      <c r="L556" s="94">
        <v>3564</v>
      </c>
      <c r="M556" s="94">
        <v>5946</v>
      </c>
      <c r="N556" s="94">
        <v>1640</v>
      </c>
      <c r="O556" s="94">
        <v>12178</v>
      </c>
      <c r="P556" s="94">
        <v>32</v>
      </c>
      <c r="Q556" s="95">
        <v>0.59074797782423005</v>
      </c>
      <c r="R556" s="95">
        <v>0.300632911392405</v>
      </c>
      <c r="S556" s="95">
        <v>0.98227631859918896</v>
      </c>
      <c r="T556" s="95">
        <v>0.75026795284030001</v>
      </c>
      <c r="U556" s="95">
        <v>0.90293453724605</v>
      </c>
      <c r="V556" s="95">
        <v>0.40635389730328803</v>
      </c>
      <c r="W556" s="95">
        <v>0.51446945337620598</v>
      </c>
      <c r="X556" s="95">
        <v>0.59214721690808103</v>
      </c>
      <c r="Y556" s="95">
        <v>0</v>
      </c>
      <c r="Z556" s="94">
        <v>9364</v>
      </c>
      <c r="AA556" s="94">
        <v>5010</v>
      </c>
      <c r="AB556" s="94">
        <v>4354</v>
      </c>
      <c r="AC556" s="94">
        <v>510</v>
      </c>
      <c r="AD556" s="94">
        <v>2517</v>
      </c>
      <c r="AE556" s="94">
        <v>4723</v>
      </c>
      <c r="AF556" s="94">
        <v>1614</v>
      </c>
      <c r="AG556" s="94">
        <v>6253</v>
      </c>
      <c r="AH556" s="94">
        <v>3018</v>
      </c>
      <c r="AI556" s="94">
        <v>93</v>
      </c>
      <c r="AJ556" s="94">
        <v>9286</v>
      </c>
      <c r="AK556" s="94">
        <v>44</v>
      </c>
      <c r="AL556" s="94">
        <v>34</v>
      </c>
      <c r="AM556" s="94">
        <v>566</v>
      </c>
      <c r="AN556" s="94">
        <v>8736</v>
      </c>
      <c r="AO556" s="94">
        <v>62</v>
      </c>
      <c r="AP556" s="95">
        <v>3.1866295264623998</v>
      </c>
      <c r="AQ556" s="95">
        <v>1.47486497714998</v>
      </c>
      <c r="AR556" s="95">
        <v>5.1670271569334298</v>
      </c>
      <c r="AS556" s="95">
        <v>6.3394683026584904</v>
      </c>
      <c r="AT556" s="95">
        <v>4.6102263202011704</v>
      </c>
      <c r="AU556" s="95">
        <v>2.7833001988071602</v>
      </c>
      <c r="AV556" s="95">
        <v>1.2078830260648401</v>
      </c>
      <c r="AW556" s="95">
        <v>2.37541528239203</v>
      </c>
      <c r="AX556" s="95">
        <v>4.8516579406631797</v>
      </c>
      <c r="AY556" s="95">
        <v>4.4444444444444402</v>
      </c>
      <c r="AZ556" s="95">
        <v>3.1913698168333502</v>
      </c>
      <c r="BA556" s="95">
        <v>4.6511627906976702</v>
      </c>
      <c r="BB556" s="95">
        <v>0</v>
      </c>
      <c r="BC556" s="95">
        <v>2.7422303473491798</v>
      </c>
      <c r="BD556" s="95">
        <v>3.23775388291517</v>
      </c>
      <c r="BE556" s="95">
        <v>0</v>
      </c>
    </row>
    <row r="557" spans="2:57" ht="15" customHeight="1" x14ac:dyDescent="0.25">
      <c r="B557" s="96">
        <v>547</v>
      </c>
      <c r="C557" s="97" t="s">
        <v>504</v>
      </c>
      <c r="D557" s="104" t="s">
        <v>51</v>
      </c>
      <c r="E557" s="104" t="s">
        <v>299</v>
      </c>
      <c r="F557" s="104" t="s">
        <v>283</v>
      </c>
      <c r="G557" s="105" t="s">
        <v>283</v>
      </c>
      <c r="H557" s="106">
        <v>23525</v>
      </c>
      <c r="I557" s="106">
        <v>13198</v>
      </c>
      <c r="J557" s="106">
        <v>10327</v>
      </c>
      <c r="K557" s="106">
        <v>1449</v>
      </c>
      <c r="L557" s="106">
        <v>7828</v>
      </c>
      <c r="M557" s="106">
        <v>12419</v>
      </c>
      <c r="N557" s="106">
        <v>1829</v>
      </c>
      <c r="O557" s="106">
        <v>23282</v>
      </c>
      <c r="P557" s="106">
        <v>243</v>
      </c>
      <c r="Q557" s="107">
        <v>1.4581483385521301</v>
      </c>
      <c r="R557" s="107">
        <v>0.95654325059783996</v>
      </c>
      <c r="S557" s="107">
        <v>2.1143473570658</v>
      </c>
      <c r="T557" s="107">
        <v>1.6806722689075599</v>
      </c>
      <c r="U557" s="107">
        <v>1.7996315714893001</v>
      </c>
      <c r="V557" s="107">
        <v>1.2581383072321</v>
      </c>
      <c r="W557" s="107">
        <v>1.2012012012012001</v>
      </c>
      <c r="X557" s="107">
        <v>1.4431920011319199</v>
      </c>
      <c r="Y557" s="107">
        <v>3.0927835051546402</v>
      </c>
      <c r="Z557" s="106">
        <v>31172</v>
      </c>
      <c r="AA557" s="106">
        <v>16243</v>
      </c>
      <c r="AB557" s="106">
        <v>14929</v>
      </c>
      <c r="AC557" s="106">
        <v>1096</v>
      </c>
      <c r="AD557" s="106">
        <v>8384</v>
      </c>
      <c r="AE557" s="106">
        <v>18310</v>
      </c>
      <c r="AF557" s="106">
        <v>3382</v>
      </c>
      <c r="AG557" s="106">
        <v>10759</v>
      </c>
      <c r="AH557" s="106">
        <v>20193</v>
      </c>
      <c r="AI557" s="106">
        <v>220</v>
      </c>
      <c r="AJ557" s="106">
        <v>30425</v>
      </c>
      <c r="AK557" s="106">
        <v>707</v>
      </c>
      <c r="AL557" s="106">
        <v>40</v>
      </c>
      <c r="AM557" s="106">
        <v>1539</v>
      </c>
      <c r="AN557" s="106">
        <v>29486</v>
      </c>
      <c r="AO557" s="106">
        <v>147</v>
      </c>
      <c r="AP557" s="107">
        <v>7.0942960092460403</v>
      </c>
      <c r="AQ557" s="107">
        <v>4.1349221853226501</v>
      </c>
      <c r="AR557" s="107">
        <v>10.3264348197141</v>
      </c>
      <c r="AS557" s="107">
        <v>14.121037463976901</v>
      </c>
      <c r="AT557" s="107">
        <v>10.210634472129501</v>
      </c>
      <c r="AU557" s="107">
        <v>5.6227675999539102</v>
      </c>
      <c r="AV557" s="107">
        <v>5.2273430250541297</v>
      </c>
      <c r="AW557" s="107">
        <v>5.8874709976798103</v>
      </c>
      <c r="AX557" s="107">
        <v>7.7265500794912496</v>
      </c>
      <c r="AY557" s="107">
        <v>9.8039215686274499</v>
      </c>
      <c r="AZ557" s="107">
        <v>7.04842749791261</v>
      </c>
      <c r="BA557" s="107">
        <v>9.57613814756672</v>
      </c>
      <c r="BB557" s="107">
        <v>0</v>
      </c>
      <c r="BC557" s="107">
        <v>7.0355191256830603</v>
      </c>
      <c r="BD557" s="107">
        <v>7.1007406342129897</v>
      </c>
      <c r="BE557" s="107">
        <v>6.4285714285714297</v>
      </c>
    </row>
    <row r="558" spans="2:57" ht="15" customHeight="1" x14ac:dyDescent="0.25">
      <c r="B558" s="91">
        <v>548</v>
      </c>
      <c r="C558" s="92" t="s">
        <v>504</v>
      </c>
      <c r="D558" s="92" t="s">
        <v>51</v>
      </c>
      <c r="E558" s="92" t="s">
        <v>299</v>
      </c>
      <c r="F558" s="92" t="s">
        <v>283</v>
      </c>
      <c r="G558" s="101" t="s">
        <v>501</v>
      </c>
      <c r="H558" s="94">
        <v>21338</v>
      </c>
      <c r="I558" s="94">
        <v>11956</v>
      </c>
      <c r="J558" s="94">
        <v>9382</v>
      </c>
      <c r="K558" s="94">
        <v>1134</v>
      </c>
      <c r="L558" s="94">
        <v>7091</v>
      </c>
      <c r="M558" s="94">
        <v>11519</v>
      </c>
      <c r="N558" s="94">
        <v>1594</v>
      </c>
      <c r="O558" s="94">
        <v>21096</v>
      </c>
      <c r="P558" s="94">
        <v>242</v>
      </c>
      <c r="Q558" s="95">
        <v>1.6119836210024401</v>
      </c>
      <c r="R558" s="95">
        <v>1.06197930971345</v>
      </c>
      <c r="S558" s="95">
        <v>2.3297491039426501</v>
      </c>
      <c r="T558" s="95">
        <v>2.1868787276341899</v>
      </c>
      <c r="U558" s="95">
        <v>2.0034705789556702</v>
      </c>
      <c r="V558" s="95">
        <v>1.35083713850837</v>
      </c>
      <c r="W558" s="95">
        <v>1.3927576601671301</v>
      </c>
      <c r="X558" s="95">
        <v>1.59685863874346</v>
      </c>
      <c r="Y558" s="95">
        <v>3.1088082901554399</v>
      </c>
      <c r="Z558" s="94">
        <v>29318</v>
      </c>
      <c r="AA558" s="94">
        <v>15264</v>
      </c>
      <c r="AB558" s="94">
        <v>14054</v>
      </c>
      <c r="AC558" s="94">
        <v>929</v>
      </c>
      <c r="AD558" s="94">
        <v>7823</v>
      </c>
      <c r="AE558" s="94">
        <v>17413</v>
      </c>
      <c r="AF558" s="94">
        <v>3153</v>
      </c>
      <c r="AG558" s="94">
        <v>9034</v>
      </c>
      <c r="AH558" s="94">
        <v>20072</v>
      </c>
      <c r="AI558" s="94">
        <v>212</v>
      </c>
      <c r="AJ558" s="94">
        <v>28576</v>
      </c>
      <c r="AK558" s="94">
        <v>706</v>
      </c>
      <c r="AL558" s="94">
        <v>36</v>
      </c>
      <c r="AM558" s="94">
        <v>1455</v>
      </c>
      <c r="AN558" s="94">
        <v>27730</v>
      </c>
      <c r="AO558" s="94">
        <v>133</v>
      </c>
      <c r="AP558" s="95">
        <v>7.5471698113207504</v>
      </c>
      <c r="AQ558" s="95">
        <v>4.4103347687178802</v>
      </c>
      <c r="AR558" s="95">
        <v>10.9648127128263</v>
      </c>
      <c r="AS558" s="95">
        <v>16.704545454545499</v>
      </c>
      <c r="AT558" s="95">
        <v>10.939226519337</v>
      </c>
      <c r="AU558" s="95">
        <v>5.92125219923558</v>
      </c>
      <c r="AV558" s="95">
        <v>5.6146179401993397</v>
      </c>
      <c r="AW558" s="95">
        <v>7.0051933064050802</v>
      </c>
      <c r="AX558" s="95">
        <v>7.7698378839590401</v>
      </c>
      <c r="AY558" s="95">
        <v>10.2040816326531</v>
      </c>
      <c r="AZ558" s="95">
        <v>7.5081650831353901</v>
      </c>
      <c r="BA558" s="95">
        <v>9.5911949685534594</v>
      </c>
      <c r="BB558" s="95">
        <v>0</v>
      </c>
      <c r="BC558" s="95">
        <v>7.45836350470673</v>
      </c>
      <c r="BD558" s="95">
        <v>7.5538190454301697</v>
      </c>
      <c r="BE558" s="95">
        <v>7.1428571428571397</v>
      </c>
    </row>
    <row r="559" spans="2:57" ht="15" customHeight="1" x14ac:dyDescent="0.25">
      <c r="B559" s="91">
        <v>549</v>
      </c>
      <c r="C559" s="92" t="s">
        <v>504</v>
      </c>
      <c r="D559" s="92" t="s">
        <v>51</v>
      </c>
      <c r="E559" s="92" t="s">
        <v>299</v>
      </c>
      <c r="F559" s="92" t="s">
        <v>283</v>
      </c>
      <c r="G559" s="101" t="s">
        <v>502</v>
      </c>
      <c r="H559" s="94">
        <v>2187</v>
      </c>
      <c r="I559" s="94">
        <v>1242</v>
      </c>
      <c r="J559" s="94">
        <v>945</v>
      </c>
      <c r="K559" s="94">
        <v>315</v>
      </c>
      <c r="L559" s="94">
        <v>737</v>
      </c>
      <c r="M559" s="94">
        <v>900</v>
      </c>
      <c r="N559" s="94">
        <v>235</v>
      </c>
      <c r="O559" s="94">
        <v>2186</v>
      </c>
      <c r="P559" s="94">
        <v>1</v>
      </c>
      <c r="Q559" s="95">
        <v>4.7528517110266198E-2</v>
      </c>
      <c r="R559" s="95">
        <v>0</v>
      </c>
      <c r="S559" s="95">
        <v>0.11111111111111099</v>
      </c>
      <c r="T559" s="95">
        <v>0</v>
      </c>
      <c r="U559" s="95">
        <v>0</v>
      </c>
      <c r="V559" s="95">
        <v>0.117096018735363</v>
      </c>
      <c r="W559" s="95">
        <v>0</v>
      </c>
      <c r="X559" s="95">
        <v>4.7551117451260103E-2</v>
      </c>
      <c r="Y559" s="95">
        <v>0</v>
      </c>
      <c r="Z559" s="94">
        <v>1854</v>
      </c>
      <c r="AA559" s="94">
        <v>979</v>
      </c>
      <c r="AB559" s="94">
        <v>875</v>
      </c>
      <c r="AC559" s="94">
        <v>167</v>
      </c>
      <c r="AD559" s="94">
        <v>561</v>
      </c>
      <c r="AE559" s="94">
        <v>897</v>
      </c>
      <c r="AF559" s="94">
        <v>229</v>
      </c>
      <c r="AG559" s="94">
        <v>1725</v>
      </c>
      <c r="AH559" s="94">
        <v>121</v>
      </c>
      <c r="AI559" s="94">
        <v>8</v>
      </c>
      <c r="AJ559" s="94">
        <v>1849</v>
      </c>
      <c r="AK559" s="94">
        <v>1</v>
      </c>
      <c r="AL559" s="94">
        <v>4</v>
      </c>
      <c r="AM559" s="94">
        <v>84</v>
      </c>
      <c r="AN559" s="94">
        <v>1756</v>
      </c>
      <c r="AO559" s="94">
        <v>14</v>
      </c>
      <c r="AP559" s="95">
        <v>0.16620498614958401</v>
      </c>
      <c r="AQ559" s="95">
        <v>0</v>
      </c>
      <c r="AR559" s="95">
        <v>0.35460992907801397</v>
      </c>
      <c r="AS559" s="95">
        <v>0</v>
      </c>
      <c r="AT559" s="95">
        <v>0.54945054945054905</v>
      </c>
      <c r="AU559" s="95">
        <v>0</v>
      </c>
      <c r="AV559" s="95">
        <v>0</v>
      </c>
      <c r="AW559" s="95">
        <v>0.119118522930316</v>
      </c>
      <c r="AX559" s="95">
        <v>0.84745762711864403</v>
      </c>
      <c r="AY559" s="95">
        <v>0</v>
      </c>
      <c r="AZ559" s="95">
        <v>0.16666666666666699</v>
      </c>
      <c r="BA559" s="95">
        <v>0</v>
      </c>
      <c r="BB559" s="95">
        <v>0</v>
      </c>
      <c r="BC559" s="95">
        <v>0</v>
      </c>
      <c r="BD559" s="95">
        <v>0.175644028103044</v>
      </c>
      <c r="BE559" s="95">
        <v>0</v>
      </c>
    </row>
    <row r="560" spans="2:57" ht="15" customHeight="1" x14ac:dyDescent="0.25">
      <c r="B560" s="96">
        <v>550</v>
      </c>
      <c r="C560" s="97" t="s">
        <v>504</v>
      </c>
      <c r="D560" s="104" t="s">
        <v>51</v>
      </c>
      <c r="E560" s="104" t="s">
        <v>299</v>
      </c>
      <c r="F560" s="104" t="s">
        <v>288</v>
      </c>
      <c r="G560" s="105" t="s">
        <v>288</v>
      </c>
      <c r="H560" s="106">
        <v>21451</v>
      </c>
      <c r="I560" s="106">
        <v>12349</v>
      </c>
      <c r="J560" s="106">
        <v>9102</v>
      </c>
      <c r="K560" s="106">
        <v>1539</v>
      </c>
      <c r="L560" s="106">
        <v>6981</v>
      </c>
      <c r="M560" s="106">
        <v>11092</v>
      </c>
      <c r="N560" s="106">
        <v>1839</v>
      </c>
      <c r="O560" s="106">
        <v>21359</v>
      </c>
      <c r="P560" s="106">
        <v>92</v>
      </c>
      <c r="Q560" s="107">
        <v>1.1388479332960499</v>
      </c>
      <c r="R560" s="107">
        <v>0.73930646013025902</v>
      </c>
      <c r="S560" s="107">
        <v>1.6853256289876</v>
      </c>
      <c r="T560" s="107">
        <v>2.4835646457268101</v>
      </c>
      <c r="U560" s="107">
        <v>1.4673398548437999</v>
      </c>
      <c r="V560" s="107">
        <v>0.82854079344965403</v>
      </c>
      <c r="W560" s="107">
        <v>0.704638872577804</v>
      </c>
      <c r="X560" s="107">
        <v>1.1386846405228801</v>
      </c>
      <c r="Y560" s="107">
        <v>1.1764705882352899</v>
      </c>
      <c r="Z560" s="106">
        <v>27016</v>
      </c>
      <c r="AA560" s="106">
        <v>14260</v>
      </c>
      <c r="AB560" s="106">
        <v>12756</v>
      </c>
      <c r="AC560" s="106">
        <v>1221</v>
      </c>
      <c r="AD560" s="106">
        <v>8253</v>
      </c>
      <c r="AE560" s="106">
        <v>14664</v>
      </c>
      <c r="AF560" s="106">
        <v>2878</v>
      </c>
      <c r="AG560" s="106">
        <v>15452</v>
      </c>
      <c r="AH560" s="106">
        <v>11426</v>
      </c>
      <c r="AI560" s="106">
        <v>138</v>
      </c>
      <c r="AJ560" s="106">
        <v>26742</v>
      </c>
      <c r="AK560" s="106">
        <v>237</v>
      </c>
      <c r="AL560" s="106">
        <v>37</v>
      </c>
      <c r="AM560" s="106">
        <v>1302</v>
      </c>
      <c r="AN560" s="106">
        <v>25595</v>
      </c>
      <c r="AO560" s="106">
        <v>119</v>
      </c>
      <c r="AP560" s="107">
        <v>5.9104872263483301</v>
      </c>
      <c r="AQ560" s="107">
        <v>3.1057268722467</v>
      </c>
      <c r="AR560" s="107">
        <v>9.0683640572042705</v>
      </c>
      <c r="AS560" s="107">
        <v>10.249784668389299</v>
      </c>
      <c r="AT560" s="107">
        <v>7.7092511013215903</v>
      </c>
      <c r="AU560" s="107">
        <v>5.0696814562002297</v>
      </c>
      <c r="AV560" s="107">
        <v>3.35255948089402</v>
      </c>
      <c r="AW560" s="107">
        <v>5.0650839684359603</v>
      </c>
      <c r="AX560" s="107">
        <v>7.08112628937831</v>
      </c>
      <c r="AY560" s="107">
        <v>5.4263565891472902</v>
      </c>
      <c r="AZ560" s="107">
        <v>5.8648033288843502</v>
      </c>
      <c r="BA560" s="107">
        <v>11.792452830188701</v>
      </c>
      <c r="BB560" s="107">
        <v>3.2258064516128999</v>
      </c>
      <c r="BC560" s="107">
        <v>5.2546483427647503</v>
      </c>
      <c r="BD560" s="107">
        <v>5.9552636979273599</v>
      </c>
      <c r="BE560" s="107">
        <v>3.47826086956522</v>
      </c>
    </row>
    <row r="561" spans="2:57" ht="15" customHeight="1" x14ac:dyDescent="0.25">
      <c r="B561" s="91">
        <v>551</v>
      </c>
      <c r="C561" s="92" t="s">
        <v>504</v>
      </c>
      <c r="D561" s="92" t="s">
        <v>51</v>
      </c>
      <c r="E561" s="92" t="s">
        <v>299</v>
      </c>
      <c r="F561" s="92" t="s">
        <v>288</v>
      </c>
      <c r="G561" s="101" t="s">
        <v>501</v>
      </c>
      <c r="H561" s="94">
        <v>16336</v>
      </c>
      <c r="I561" s="94">
        <v>9382</v>
      </c>
      <c r="J561" s="94">
        <v>6954</v>
      </c>
      <c r="K561" s="94">
        <v>981</v>
      </c>
      <c r="L561" s="94">
        <v>5404</v>
      </c>
      <c r="M561" s="94">
        <v>8688</v>
      </c>
      <c r="N561" s="94">
        <v>1263</v>
      </c>
      <c r="O561" s="94">
        <v>16253</v>
      </c>
      <c r="P561" s="94">
        <v>83</v>
      </c>
      <c r="Q561" s="95">
        <v>1.3972985561248299</v>
      </c>
      <c r="R561" s="95">
        <v>0.91171379111367601</v>
      </c>
      <c r="S561" s="95">
        <v>2.0584538026398498</v>
      </c>
      <c r="T561" s="95">
        <v>3.5796766743649</v>
      </c>
      <c r="U561" s="95">
        <v>1.80490772662746</v>
      </c>
      <c r="V561" s="95">
        <v>0.98002729189926796</v>
      </c>
      <c r="W561" s="95">
        <v>0.93936806148590901</v>
      </c>
      <c r="X561" s="95">
        <v>1.3977128335451099</v>
      </c>
      <c r="Y561" s="95">
        <v>1.31578947368421</v>
      </c>
      <c r="Z561" s="94">
        <v>22272</v>
      </c>
      <c r="AA561" s="94">
        <v>11760</v>
      </c>
      <c r="AB561" s="94">
        <v>10512</v>
      </c>
      <c r="AC561" s="94">
        <v>892</v>
      </c>
      <c r="AD561" s="94">
        <v>6945</v>
      </c>
      <c r="AE561" s="94">
        <v>12239</v>
      </c>
      <c r="AF561" s="94">
        <v>2196</v>
      </c>
      <c r="AG561" s="94">
        <v>12213</v>
      </c>
      <c r="AH561" s="94">
        <v>9952</v>
      </c>
      <c r="AI561" s="94">
        <v>107</v>
      </c>
      <c r="AJ561" s="94">
        <v>22030</v>
      </c>
      <c r="AK561" s="94">
        <v>219</v>
      </c>
      <c r="AL561" s="94">
        <v>23</v>
      </c>
      <c r="AM561" s="94">
        <v>1088</v>
      </c>
      <c r="AN561" s="94">
        <v>21098</v>
      </c>
      <c r="AO561" s="94">
        <v>86</v>
      </c>
      <c r="AP561" s="95">
        <v>6.40086919552175</v>
      </c>
      <c r="AQ561" s="95">
        <v>3.3660714285714302</v>
      </c>
      <c r="AR561" s="95">
        <v>9.8104122780619907</v>
      </c>
      <c r="AS561" s="95">
        <v>12.4121779859485</v>
      </c>
      <c r="AT561" s="95">
        <v>8.0655129789863995</v>
      </c>
      <c r="AU561" s="95">
        <v>5.4674172637325098</v>
      </c>
      <c r="AV561" s="95">
        <v>4.0585181689476197</v>
      </c>
      <c r="AW561" s="95">
        <v>5.6903622693096398</v>
      </c>
      <c r="AX561" s="95">
        <v>7.2938914993592503</v>
      </c>
      <c r="AY561" s="95">
        <v>5.9405940594059397</v>
      </c>
      <c r="AZ561" s="95">
        <v>6.3606432218351898</v>
      </c>
      <c r="BA561" s="95">
        <v>10.7692307692308</v>
      </c>
      <c r="BB561" s="95">
        <v>5.8823529411764701</v>
      </c>
      <c r="BC561" s="95">
        <v>5.99613152804642</v>
      </c>
      <c r="BD561" s="95">
        <v>6.4332734889287897</v>
      </c>
      <c r="BE561" s="95">
        <v>3.6144578313253</v>
      </c>
    </row>
    <row r="562" spans="2:57" ht="15" customHeight="1" x14ac:dyDescent="0.25">
      <c r="B562" s="91">
        <v>552</v>
      </c>
      <c r="C562" s="92" t="s">
        <v>504</v>
      </c>
      <c r="D562" s="92" t="s">
        <v>51</v>
      </c>
      <c r="E562" s="92" t="s">
        <v>299</v>
      </c>
      <c r="F562" s="92" t="s">
        <v>288</v>
      </c>
      <c r="G562" s="101" t="s">
        <v>502</v>
      </c>
      <c r="H562" s="94">
        <v>5115</v>
      </c>
      <c r="I562" s="94">
        <v>2967</v>
      </c>
      <c r="J562" s="94">
        <v>2148</v>
      </c>
      <c r="K562" s="94">
        <v>558</v>
      </c>
      <c r="L562" s="94">
        <v>1577</v>
      </c>
      <c r="M562" s="94">
        <v>2404</v>
      </c>
      <c r="N562" s="94">
        <v>576</v>
      </c>
      <c r="O562" s="94">
        <v>5106</v>
      </c>
      <c r="P562" s="94">
        <v>9</v>
      </c>
      <c r="Q562" s="95">
        <v>0.30172413793103398</v>
      </c>
      <c r="R562" s="95">
        <v>0.18539117538005201</v>
      </c>
      <c r="S562" s="95">
        <v>0.46320123520329398</v>
      </c>
      <c r="T562" s="95">
        <v>0.59642147117296196</v>
      </c>
      <c r="U562" s="95">
        <v>0.28429282160625402</v>
      </c>
      <c r="V562" s="95">
        <v>0.27297543221110099</v>
      </c>
      <c r="W562" s="95">
        <v>0.18796992481203001</v>
      </c>
      <c r="X562" s="95">
        <v>0.30231051608723802</v>
      </c>
      <c r="Y562" s="95">
        <v>0</v>
      </c>
      <c r="Z562" s="94">
        <v>4744</v>
      </c>
      <c r="AA562" s="94">
        <v>2500</v>
      </c>
      <c r="AB562" s="94">
        <v>2244</v>
      </c>
      <c r="AC562" s="94">
        <v>329</v>
      </c>
      <c r="AD562" s="94">
        <v>1308</v>
      </c>
      <c r="AE562" s="94">
        <v>2425</v>
      </c>
      <c r="AF562" s="94">
        <v>682</v>
      </c>
      <c r="AG562" s="94">
        <v>3239</v>
      </c>
      <c r="AH562" s="94">
        <v>1474</v>
      </c>
      <c r="AI562" s="94">
        <v>31</v>
      </c>
      <c r="AJ562" s="94">
        <v>4712</v>
      </c>
      <c r="AK562" s="94">
        <v>18</v>
      </c>
      <c r="AL562" s="94">
        <v>14</v>
      </c>
      <c r="AM562" s="94">
        <v>214</v>
      </c>
      <c r="AN562" s="94">
        <v>4497</v>
      </c>
      <c r="AO562" s="94">
        <v>33</v>
      </c>
      <c r="AP562" s="95">
        <v>3.62796833773087</v>
      </c>
      <c r="AQ562" s="95">
        <v>1.9008264462809901</v>
      </c>
      <c r="AR562" s="95">
        <v>5.5921052631578902</v>
      </c>
      <c r="AS562" s="95">
        <v>4.2345276872964197</v>
      </c>
      <c r="AT562" s="95">
        <v>5.85874799357945</v>
      </c>
      <c r="AU562" s="95">
        <v>3.0769230769230802</v>
      </c>
      <c r="AV562" s="95">
        <v>1.0687022900763401</v>
      </c>
      <c r="AW562" s="95">
        <v>2.7217419148254902</v>
      </c>
      <c r="AX562" s="95">
        <v>5.6549749463135299</v>
      </c>
      <c r="AY562" s="95">
        <v>3.5714285714285698</v>
      </c>
      <c r="AZ562" s="95">
        <v>3.5643125968563201</v>
      </c>
      <c r="BA562" s="95">
        <v>23.529411764705898</v>
      </c>
      <c r="BB562" s="95">
        <v>0</v>
      </c>
      <c r="BC562" s="95">
        <v>1.47783251231527</v>
      </c>
      <c r="BD562" s="95">
        <v>3.7329005332715099</v>
      </c>
      <c r="BE562" s="95">
        <v>3.125</v>
      </c>
    </row>
    <row r="563" spans="2:57" ht="15" customHeight="1" x14ac:dyDescent="0.25">
      <c r="B563" s="96">
        <v>553</v>
      </c>
      <c r="C563" s="97" t="s">
        <v>504</v>
      </c>
      <c r="D563" s="104" t="s">
        <v>51</v>
      </c>
      <c r="E563" s="104" t="s">
        <v>299</v>
      </c>
      <c r="F563" s="104" t="s">
        <v>213</v>
      </c>
      <c r="G563" s="105" t="s">
        <v>213</v>
      </c>
      <c r="H563" s="106">
        <v>22478</v>
      </c>
      <c r="I563" s="106">
        <v>12856</v>
      </c>
      <c r="J563" s="106">
        <v>9622</v>
      </c>
      <c r="K563" s="106">
        <v>995</v>
      </c>
      <c r="L563" s="106">
        <v>7025</v>
      </c>
      <c r="M563" s="106">
        <v>12745</v>
      </c>
      <c r="N563" s="106">
        <v>1713</v>
      </c>
      <c r="O563" s="106">
        <v>22272</v>
      </c>
      <c r="P563" s="106">
        <v>206</v>
      </c>
      <c r="Q563" s="107">
        <v>2.03624415015434</v>
      </c>
      <c r="R563" s="107">
        <v>1.37516115169746</v>
      </c>
      <c r="S563" s="107">
        <v>2.9463968761093402</v>
      </c>
      <c r="T563" s="107">
        <v>3.6994219653179199</v>
      </c>
      <c r="U563" s="107">
        <v>2.3705853894533102</v>
      </c>
      <c r="V563" s="107">
        <v>1.8278353207415801</v>
      </c>
      <c r="W563" s="107">
        <v>1.3063357282821699</v>
      </c>
      <c r="X563" s="107">
        <v>2.0297427652733102</v>
      </c>
      <c r="Y563" s="107">
        <v>2.7472527472527499</v>
      </c>
      <c r="Z563" s="106">
        <v>32833</v>
      </c>
      <c r="AA563" s="106">
        <v>17367</v>
      </c>
      <c r="AB563" s="106">
        <v>15466</v>
      </c>
      <c r="AC563" s="106">
        <v>882</v>
      </c>
      <c r="AD563" s="106">
        <v>8329</v>
      </c>
      <c r="AE563" s="106">
        <v>20050</v>
      </c>
      <c r="AF563" s="106">
        <v>3572</v>
      </c>
      <c r="AG563" s="106">
        <v>9447</v>
      </c>
      <c r="AH563" s="106">
        <v>23181</v>
      </c>
      <c r="AI563" s="106">
        <v>205</v>
      </c>
      <c r="AJ563" s="106">
        <v>32341</v>
      </c>
      <c r="AK563" s="106">
        <v>452</v>
      </c>
      <c r="AL563" s="106">
        <v>40</v>
      </c>
      <c r="AM563" s="106">
        <v>1710</v>
      </c>
      <c r="AN563" s="106">
        <v>30968</v>
      </c>
      <c r="AO563" s="106">
        <v>155</v>
      </c>
      <c r="AP563" s="107">
        <v>7.2284486935176497</v>
      </c>
      <c r="AQ563" s="107">
        <v>4.2039846463169397</v>
      </c>
      <c r="AR563" s="107">
        <v>10.640637888369501</v>
      </c>
      <c r="AS563" s="107">
        <v>15.6698564593301</v>
      </c>
      <c r="AT563" s="107">
        <v>10.8507056843196</v>
      </c>
      <c r="AU563" s="107">
        <v>5.7522123893805297</v>
      </c>
      <c r="AV563" s="107">
        <v>5.17846693973084</v>
      </c>
      <c r="AW563" s="107">
        <v>6.7131937520770997</v>
      </c>
      <c r="AX563" s="107">
        <v>7.4503311258278204</v>
      </c>
      <c r="AY563" s="107">
        <v>6.3157894736842097</v>
      </c>
      <c r="AZ563" s="107">
        <v>7.1718760238516497</v>
      </c>
      <c r="BA563" s="107">
        <v>10.643564356435601</v>
      </c>
      <c r="BB563" s="107">
        <v>17.1428571428571</v>
      </c>
      <c r="BC563" s="107">
        <v>5.2275522755227604</v>
      </c>
      <c r="BD563" s="107">
        <v>7.3354575667249096</v>
      </c>
      <c r="BE563" s="107">
        <v>8.1081081081081106</v>
      </c>
    </row>
    <row r="564" spans="2:57" ht="15" customHeight="1" x14ac:dyDescent="0.25">
      <c r="B564" s="91">
        <v>554</v>
      </c>
      <c r="C564" s="92" t="s">
        <v>504</v>
      </c>
      <c r="D564" s="92" t="s">
        <v>51</v>
      </c>
      <c r="E564" s="92" t="s">
        <v>299</v>
      </c>
      <c r="F564" s="92" t="s">
        <v>213</v>
      </c>
      <c r="G564" s="101" t="s">
        <v>501</v>
      </c>
      <c r="H564" s="94">
        <v>22478</v>
      </c>
      <c r="I564" s="94">
        <v>12856</v>
      </c>
      <c r="J564" s="94">
        <v>9622</v>
      </c>
      <c r="K564" s="94">
        <v>995</v>
      </c>
      <c r="L564" s="94">
        <v>7025</v>
      </c>
      <c r="M564" s="94">
        <v>12745</v>
      </c>
      <c r="N564" s="94">
        <v>1713</v>
      </c>
      <c r="O564" s="94">
        <v>22272</v>
      </c>
      <c r="P564" s="94">
        <v>206</v>
      </c>
      <c r="Q564" s="95">
        <v>2.03624415015434</v>
      </c>
      <c r="R564" s="95">
        <v>1.37516115169746</v>
      </c>
      <c r="S564" s="95">
        <v>2.9463968761093402</v>
      </c>
      <c r="T564" s="95">
        <v>3.6994219653179199</v>
      </c>
      <c r="U564" s="95">
        <v>2.3705853894533102</v>
      </c>
      <c r="V564" s="95">
        <v>1.8278353207415801</v>
      </c>
      <c r="W564" s="95">
        <v>1.3063357282821699</v>
      </c>
      <c r="X564" s="95">
        <v>2.0297427652733102</v>
      </c>
      <c r="Y564" s="95">
        <v>2.7472527472527499</v>
      </c>
      <c r="Z564" s="94">
        <v>32833</v>
      </c>
      <c r="AA564" s="94">
        <v>17367</v>
      </c>
      <c r="AB564" s="94">
        <v>15466</v>
      </c>
      <c r="AC564" s="94">
        <v>882</v>
      </c>
      <c r="AD564" s="94">
        <v>8329</v>
      </c>
      <c r="AE564" s="94">
        <v>20050</v>
      </c>
      <c r="AF564" s="94">
        <v>3572</v>
      </c>
      <c r="AG564" s="94">
        <v>9447</v>
      </c>
      <c r="AH564" s="94">
        <v>23181</v>
      </c>
      <c r="AI564" s="94">
        <v>205</v>
      </c>
      <c r="AJ564" s="94">
        <v>32341</v>
      </c>
      <c r="AK564" s="94">
        <v>452</v>
      </c>
      <c r="AL564" s="94">
        <v>40</v>
      </c>
      <c r="AM564" s="94">
        <v>1710</v>
      </c>
      <c r="AN564" s="94">
        <v>30968</v>
      </c>
      <c r="AO564" s="94">
        <v>155</v>
      </c>
      <c r="AP564" s="95">
        <v>7.2284486935176497</v>
      </c>
      <c r="AQ564" s="95">
        <v>4.2039846463169397</v>
      </c>
      <c r="AR564" s="95">
        <v>10.640637888369501</v>
      </c>
      <c r="AS564" s="95">
        <v>15.6698564593301</v>
      </c>
      <c r="AT564" s="95">
        <v>10.8507056843196</v>
      </c>
      <c r="AU564" s="95">
        <v>5.7522123893805297</v>
      </c>
      <c r="AV564" s="95">
        <v>5.17846693973084</v>
      </c>
      <c r="AW564" s="95">
        <v>6.7131937520770997</v>
      </c>
      <c r="AX564" s="95">
        <v>7.4503311258278204</v>
      </c>
      <c r="AY564" s="95">
        <v>6.3157894736842097</v>
      </c>
      <c r="AZ564" s="95">
        <v>7.1718760238516497</v>
      </c>
      <c r="BA564" s="95">
        <v>10.643564356435601</v>
      </c>
      <c r="BB564" s="95">
        <v>17.1428571428571</v>
      </c>
      <c r="BC564" s="95">
        <v>5.2275522755227604</v>
      </c>
      <c r="BD564" s="95">
        <v>7.3354575667249096</v>
      </c>
      <c r="BE564" s="95">
        <v>8.1081081081081106</v>
      </c>
    </row>
    <row r="565" spans="2:57" ht="15" customHeight="1" x14ac:dyDescent="0.25">
      <c r="B565" s="91">
        <v>555</v>
      </c>
      <c r="C565" s="92" t="s">
        <v>504</v>
      </c>
      <c r="D565" s="92" t="s">
        <v>51</v>
      </c>
      <c r="E565" s="92" t="s">
        <v>299</v>
      </c>
      <c r="F565" s="92" t="s">
        <v>213</v>
      </c>
      <c r="G565" s="101" t="s">
        <v>502</v>
      </c>
      <c r="H565" s="94">
        <v>0</v>
      </c>
      <c r="I565" s="94">
        <v>0</v>
      </c>
      <c r="J565" s="94">
        <v>0</v>
      </c>
      <c r="K565" s="94">
        <v>0</v>
      </c>
      <c r="L565" s="94">
        <v>0</v>
      </c>
      <c r="M565" s="94">
        <v>0</v>
      </c>
      <c r="N565" s="94">
        <v>0</v>
      </c>
      <c r="O565" s="94">
        <v>0</v>
      </c>
      <c r="P565" s="94">
        <v>0</v>
      </c>
      <c r="Q565" s="95">
        <v>0</v>
      </c>
      <c r="R565" s="95">
        <v>0</v>
      </c>
      <c r="S565" s="95">
        <v>0</v>
      </c>
      <c r="T565" s="95">
        <v>0</v>
      </c>
      <c r="U565" s="95">
        <v>0</v>
      </c>
      <c r="V565" s="95">
        <v>0</v>
      </c>
      <c r="W565" s="95">
        <v>0</v>
      </c>
      <c r="X565" s="95">
        <v>0</v>
      </c>
      <c r="Y565" s="95">
        <v>0</v>
      </c>
      <c r="Z565" s="94">
        <v>0</v>
      </c>
      <c r="AA565" s="94">
        <v>0</v>
      </c>
      <c r="AB565" s="94">
        <v>0</v>
      </c>
      <c r="AC565" s="94">
        <v>0</v>
      </c>
      <c r="AD565" s="94">
        <v>0</v>
      </c>
      <c r="AE565" s="94">
        <v>0</v>
      </c>
      <c r="AF565" s="94">
        <v>0</v>
      </c>
      <c r="AG565" s="94">
        <v>0</v>
      </c>
      <c r="AH565" s="94">
        <v>0</v>
      </c>
      <c r="AI565" s="94">
        <v>0</v>
      </c>
      <c r="AJ565" s="94">
        <v>0</v>
      </c>
      <c r="AK565" s="94">
        <v>0</v>
      </c>
      <c r="AL565" s="94">
        <v>0</v>
      </c>
      <c r="AM565" s="94">
        <v>0</v>
      </c>
      <c r="AN565" s="94">
        <v>0</v>
      </c>
      <c r="AO565" s="94">
        <v>0</v>
      </c>
      <c r="AP565" s="95">
        <v>0</v>
      </c>
      <c r="AQ565" s="95">
        <v>0</v>
      </c>
      <c r="AR565" s="95">
        <v>0</v>
      </c>
      <c r="AS565" s="95">
        <v>0</v>
      </c>
      <c r="AT565" s="95">
        <v>0</v>
      </c>
      <c r="AU565" s="95">
        <v>0</v>
      </c>
      <c r="AV565" s="95">
        <v>0</v>
      </c>
      <c r="AW565" s="95">
        <v>0</v>
      </c>
      <c r="AX565" s="95">
        <v>0</v>
      </c>
      <c r="AY565" s="95">
        <v>0</v>
      </c>
      <c r="AZ565" s="95">
        <v>0</v>
      </c>
      <c r="BA565" s="95">
        <v>0</v>
      </c>
      <c r="BB565" s="95">
        <v>0</v>
      </c>
      <c r="BC565" s="95">
        <v>0</v>
      </c>
      <c r="BD565" s="95">
        <v>0</v>
      </c>
      <c r="BE565" s="95">
        <v>0</v>
      </c>
    </row>
    <row r="566" spans="2:57" ht="15" customHeight="1" x14ac:dyDescent="0.25">
      <c r="B566" s="86">
        <v>556</v>
      </c>
      <c r="C566" s="87" t="s">
        <v>503</v>
      </c>
      <c r="D566" s="103" t="s">
        <v>51</v>
      </c>
      <c r="E566" s="103" t="s">
        <v>372</v>
      </c>
      <c r="F566" s="103"/>
      <c r="G566" s="88" t="s">
        <v>372</v>
      </c>
      <c r="H566" s="89">
        <v>118041</v>
      </c>
      <c r="I566" s="89">
        <v>70879</v>
      </c>
      <c r="J566" s="89">
        <v>47162</v>
      </c>
      <c r="K566" s="89">
        <v>8286</v>
      </c>
      <c r="L566" s="89">
        <v>38394</v>
      </c>
      <c r="M566" s="89">
        <v>61401</v>
      </c>
      <c r="N566" s="89">
        <v>9960</v>
      </c>
      <c r="O566" s="89">
        <v>117471</v>
      </c>
      <c r="P566" s="89">
        <v>570</v>
      </c>
      <c r="Q566" s="90">
        <v>1.1634724614313501</v>
      </c>
      <c r="R566" s="90">
        <v>0.700210214297597</v>
      </c>
      <c r="S566" s="90">
        <v>1.87530499848953</v>
      </c>
      <c r="T566" s="90">
        <v>1.8376520359598101</v>
      </c>
      <c r="U566" s="90">
        <v>1.40120509322419</v>
      </c>
      <c r="V566" s="90">
        <v>1.0191573564949401</v>
      </c>
      <c r="W566" s="90">
        <v>0.60202107073747602</v>
      </c>
      <c r="X566" s="90">
        <v>1.15038791080352</v>
      </c>
      <c r="Y566" s="90">
        <v>4.0241448692152897</v>
      </c>
      <c r="Z566" s="89">
        <v>174582</v>
      </c>
      <c r="AA566" s="89">
        <v>96626</v>
      </c>
      <c r="AB566" s="89">
        <v>77956</v>
      </c>
      <c r="AC566" s="89">
        <v>8449</v>
      </c>
      <c r="AD566" s="89">
        <v>51822</v>
      </c>
      <c r="AE566" s="89">
        <v>95514</v>
      </c>
      <c r="AF566" s="89">
        <v>18797</v>
      </c>
      <c r="AG566" s="89">
        <v>100253</v>
      </c>
      <c r="AH566" s="89">
        <v>73224</v>
      </c>
      <c r="AI566" s="89">
        <v>1105</v>
      </c>
      <c r="AJ566" s="89">
        <v>172719</v>
      </c>
      <c r="AK566" s="89">
        <v>1430</v>
      </c>
      <c r="AL566" s="89">
        <v>433</v>
      </c>
      <c r="AM566" s="89">
        <v>8413</v>
      </c>
      <c r="AN566" s="89">
        <v>165055</v>
      </c>
      <c r="AO566" s="89">
        <v>1114</v>
      </c>
      <c r="AP566" s="90">
        <v>4.9059684380496202</v>
      </c>
      <c r="AQ566" s="90">
        <v>2.5570992300744102</v>
      </c>
      <c r="AR566" s="90">
        <v>7.8739622538962202</v>
      </c>
      <c r="AS566" s="90">
        <v>7.2829481574016199</v>
      </c>
      <c r="AT566" s="90">
        <v>6.65573770491803</v>
      </c>
      <c r="AU566" s="90">
        <v>4.1608483155873603</v>
      </c>
      <c r="AV566" s="90">
        <v>2.9132641800926899</v>
      </c>
      <c r="AW566" s="90">
        <v>3.82869343504488</v>
      </c>
      <c r="AX566" s="90">
        <v>6.42237697441763</v>
      </c>
      <c r="AY566" s="90">
        <v>4.1346153846153797</v>
      </c>
      <c r="AZ566" s="90">
        <v>4.87472023582073</v>
      </c>
      <c r="BA566" s="90">
        <v>9.5993953136810308</v>
      </c>
      <c r="BB566" s="90">
        <v>2.2556390977443601</v>
      </c>
      <c r="BC566" s="90">
        <v>4.3181536170740804</v>
      </c>
      <c r="BD566" s="90">
        <v>4.9456411298516603</v>
      </c>
      <c r="BE566" s="90">
        <v>3.48399246704331</v>
      </c>
    </row>
    <row r="567" spans="2:57" ht="15" customHeight="1" x14ac:dyDescent="0.25">
      <c r="B567" s="91">
        <v>557</v>
      </c>
      <c r="C567" s="92" t="s">
        <v>503</v>
      </c>
      <c r="D567" s="92" t="s">
        <v>51</v>
      </c>
      <c r="E567" s="92" t="s">
        <v>372</v>
      </c>
      <c r="F567" s="92"/>
      <c r="G567" s="93" t="s">
        <v>501</v>
      </c>
      <c r="H567" s="94">
        <v>67797</v>
      </c>
      <c r="I567" s="94">
        <v>39332</v>
      </c>
      <c r="J567" s="94">
        <v>28465</v>
      </c>
      <c r="K567" s="94">
        <v>3630</v>
      </c>
      <c r="L567" s="94">
        <v>22545</v>
      </c>
      <c r="M567" s="94">
        <v>36487</v>
      </c>
      <c r="N567" s="94">
        <v>5135</v>
      </c>
      <c r="O567" s="94">
        <v>67265</v>
      </c>
      <c r="P567" s="94">
        <v>532</v>
      </c>
      <c r="Q567" s="95">
        <v>1.8950034912232301</v>
      </c>
      <c r="R567" s="95">
        <v>1.19773760674282</v>
      </c>
      <c r="S567" s="95">
        <v>2.8806584362139902</v>
      </c>
      <c r="T567" s="95">
        <v>3.6645962732919299</v>
      </c>
      <c r="U567" s="95">
        <v>2.2419315102241901</v>
      </c>
      <c r="V567" s="95">
        <v>1.62996254681648</v>
      </c>
      <c r="W567" s="95">
        <v>1.06541657788195</v>
      </c>
      <c r="X567" s="95">
        <v>1.8768510791484601</v>
      </c>
      <c r="Y567" s="95">
        <v>4.2553191489361701</v>
      </c>
      <c r="Z567" s="94">
        <v>101861</v>
      </c>
      <c r="AA567" s="94">
        <v>54538</v>
      </c>
      <c r="AB567" s="94">
        <v>47323</v>
      </c>
      <c r="AC567" s="94">
        <v>3643</v>
      </c>
      <c r="AD567" s="94">
        <v>29809</v>
      </c>
      <c r="AE567" s="94">
        <v>58105</v>
      </c>
      <c r="AF567" s="94">
        <v>10304</v>
      </c>
      <c r="AG567" s="94">
        <v>42087</v>
      </c>
      <c r="AH567" s="94">
        <v>59240</v>
      </c>
      <c r="AI567" s="94">
        <v>534</v>
      </c>
      <c r="AJ567" s="94">
        <v>100416</v>
      </c>
      <c r="AK567" s="94">
        <v>1239</v>
      </c>
      <c r="AL567" s="94">
        <v>206</v>
      </c>
      <c r="AM567" s="94">
        <v>4958</v>
      </c>
      <c r="AN567" s="94">
        <v>96439</v>
      </c>
      <c r="AO567" s="94">
        <v>464</v>
      </c>
      <c r="AP567" s="95">
        <v>7.0669621590273604</v>
      </c>
      <c r="AQ567" s="95">
        <v>4.0209520875057798</v>
      </c>
      <c r="AR567" s="95">
        <v>10.610745171842099</v>
      </c>
      <c r="AS567" s="95">
        <v>13.228571428571399</v>
      </c>
      <c r="AT567" s="95">
        <v>9.6827566362132202</v>
      </c>
      <c r="AU567" s="95">
        <v>5.8080352308414298</v>
      </c>
      <c r="AV567" s="95">
        <v>4.5768215952912499</v>
      </c>
      <c r="AW567" s="95">
        <v>6.8011012724161004</v>
      </c>
      <c r="AX567" s="95">
        <v>7.2534213405556702</v>
      </c>
      <c r="AY567" s="95">
        <v>7.7235772357723604</v>
      </c>
      <c r="AZ567" s="95">
        <v>7.0405527437679796</v>
      </c>
      <c r="BA567" s="95">
        <v>9.6069868995633207</v>
      </c>
      <c r="BB567" s="95">
        <v>4.9180327868852496</v>
      </c>
      <c r="BC567" s="95">
        <v>6.03813559322034</v>
      </c>
      <c r="BD567" s="95">
        <v>7.12269723887455</v>
      </c>
      <c r="BE567" s="95">
        <v>6.5116279069767398</v>
      </c>
    </row>
    <row r="568" spans="2:57" ht="15" customHeight="1" x14ac:dyDescent="0.25">
      <c r="B568" s="91">
        <v>558</v>
      </c>
      <c r="C568" s="92" t="s">
        <v>503</v>
      </c>
      <c r="D568" s="92" t="s">
        <v>51</v>
      </c>
      <c r="E568" s="92" t="s">
        <v>372</v>
      </c>
      <c r="F568" s="92"/>
      <c r="G568" s="93" t="s">
        <v>502</v>
      </c>
      <c r="H568" s="94">
        <v>50244</v>
      </c>
      <c r="I568" s="94">
        <v>31547</v>
      </c>
      <c r="J568" s="94">
        <v>18697</v>
      </c>
      <c r="K568" s="94">
        <v>4656</v>
      </c>
      <c r="L568" s="94">
        <v>15849</v>
      </c>
      <c r="M568" s="94">
        <v>24914</v>
      </c>
      <c r="N568" s="94">
        <v>4825</v>
      </c>
      <c r="O568" s="94">
        <v>50206</v>
      </c>
      <c r="P568" s="94">
        <v>38</v>
      </c>
      <c r="Q568" s="95">
        <v>0.216509364555525</v>
      </c>
      <c r="R568" s="95">
        <v>0.10314423556812501</v>
      </c>
      <c r="S568" s="95">
        <v>0.41100582258248702</v>
      </c>
      <c r="T568" s="95">
        <v>0.48342541436464098</v>
      </c>
      <c r="U568" s="95">
        <v>0.25522197595540302</v>
      </c>
      <c r="V568" s="95">
        <v>0.160128102481986</v>
      </c>
      <c r="W568" s="95">
        <v>0.13018008244738599</v>
      </c>
      <c r="X568" s="95">
        <v>0.21663231396962901</v>
      </c>
      <c r="Y568" s="95">
        <v>0</v>
      </c>
      <c r="Z568" s="94">
        <v>72721</v>
      </c>
      <c r="AA568" s="94">
        <v>42088</v>
      </c>
      <c r="AB568" s="94">
        <v>30633</v>
      </c>
      <c r="AC568" s="94">
        <v>4806</v>
      </c>
      <c r="AD568" s="94">
        <v>22013</v>
      </c>
      <c r="AE568" s="94">
        <v>37409</v>
      </c>
      <c r="AF568" s="94">
        <v>8493</v>
      </c>
      <c r="AG568" s="94">
        <v>58166</v>
      </c>
      <c r="AH568" s="94">
        <v>13984</v>
      </c>
      <c r="AI568" s="94">
        <v>571</v>
      </c>
      <c r="AJ568" s="94">
        <v>72303</v>
      </c>
      <c r="AK568" s="94">
        <v>191</v>
      </c>
      <c r="AL568" s="94">
        <v>227</v>
      </c>
      <c r="AM568" s="94">
        <v>3455</v>
      </c>
      <c r="AN568" s="94">
        <v>68616</v>
      </c>
      <c r="AO568" s="94">
        <v>650</v>
      </c>
      <c r="AP568" s="95">
        <v>1.9262897859519399</v>
      </c>
      <c r="AQ568" s="95">
        <v>0.70614590435375502</v>
      </c>
      <c r="AR568" s="95">
        <v>3.6563891862030902</v>
      </c>
      <c r="AS568" s="95">
        <v>2.6637069922308498</v>
      </c>
      <c r="AT568" s="95">
        <v>2.6478712258310302</v>
      </c>
      <c r="AU568" s="95">
        <v>1.64377516685973</v>
      </c>
      <c r="AV568" s="95">
        <v>0.93107617896009698</v>
      </c>
      <c r="AW568" s="95">
        <v>1.69500578652186</v>
      </c>
      <c r="AX568" s="95">
        <v>2.9433848926265198</v>
      </c>
      <c r="AY568" s="95">
        <v>0.91240875912408703</v>
      </c>
      <c r="AZ568" s="95">
        <v>1.9127762540029001</v>
      </c>
      <c r="BA568" s="95">
        <v>9.5505617977528097</v>
      </c>
      <c r="BB568" s="95">
        <v>0</v>
      </c>
      <c r="BC568" s="95">
        <v>1.88679245283019</v>
      </c>
      <c r="BD568" s="95">
        <v>1.9330911292764199</v>
      </c>
      <c r="BE568" s="95">
        <v>1.42405063291139</v>
      </c>
    </row>
    <row r="569" spans="2:57" ht="15" customHeight="1" x14ac:dyDescent="0.25">
      <c r="B569" s="96">
        <v>559</v>
      </c>
      <c r="C569" s="97" t="s">
        <v>504</v>
      </c>
      <c r="D569" s="104" t="s">
        <v>51</v>
      </c>
      <c r="E569" s="104" t="s">
        <v>372</v>
      </c>
      <c r="F569" s="104" t="s">
        <v>303</v>
      </c>
      <c r="G569" s="105" t="s">
        <v>303</v>
      </c>
      <c r="H569" s="106">
        <v>72792</v>
      </c>
      <c r="I569" s="106">
        <v>42404</v>
      </c>
      <c r="J569" s="106">
        <v>30388</v>
      </c>
      <c r="K569" s="106">
        <v>4035</v>
      </c>
      <c r="L569" s="106">
        <v>23756</v>
      </c>
      <c r="M569" s="106">
        <v>38867</v>
      </c>
      <c r="N569" s="106">
        <v>6134</v>
      </c>
      <c r="O569" s="106">
        <v>72302</v>
      </c>
      <c r="P569" s="106">
        <v>490</v>
      </c>
      <c r="Q569" s="107">
        <v>1.53198932432636</v>
      </c>
      <c r="R569" s="107">
        <v>1.0081834740001501</v>
      </c>
      <c r="S569" s="107">
        <v>2.2788792157436499</v>
      </c>
      <c r="T569" s="107">
        <v>2.58046614872364</v>
      </c>
      <c r="U569" s="107">
        <v>1.9707654228739599</v>
      </c>
      <c r="V569" s="107">
        <v>1.30172534717352</v>
      </c>
      <c r="W569" s="107">
        <v>0.65405692062930898</v>
      </c>
      <c r="X569" s="107">
        <v>1.51161025952345</v>
      </c>
      <c r="Y569" s="107">
        <v>4.6620046620046596</v>
      </c>
      <c r="Z569" s="106">
        <v>108229</v>
      </c>
      <c r="AA569" s="106">
        <v>58008</v>
      </c>
      <c r="AB569" s="106">
        <v>50221</v>
      </c>
      <c r="AC569" s="106">
        <v>3904</v>
      </c>
      <c r="AD569" s="106">
        <v>31243</v>
      </c>
      <c r="AE569" s="106">
        <v>61295</v>
      </c>
      <c r="AF569" s="106">
        <v>11787</v>
      </c>
      <c r="AG569" s="106">
        <v>47859</v>
      </c>
      <c r="AH569" s="106">
        <v>59812</v>
      </c>
      <c r="AI569" s="106">
        <v>558</v>
      </c>
      <c r="AJ569" s="106">
        <v>106807</v>
      </c>
      <c r="AK569" s="106">
        <v>1195</v>
      </c>
      <c r="AL569" s="106">
        <v>227</v>
      </c>
      <c r="AM569" s="106">
        <v>5387</v>
      </c>
      <c r="AN569" s="106">
        <v>102323</v>
      </c>
      <c r="AO569" s="106">
        <v>519</v>
      </c>
      <c r="AP569" s="107">
        <v>6.3932624699738403</v>
      </c>
      <c r="AQ569" s="107">
        <v>3.5880758807588098</v>
      </c>
      <c r="AR569" s="107">
        <v>9.66362659814226</v>
      </c>
      <c r="AS569" s="107">
        <v>11.5733333333333</v>
      </c>
      <c r="AT569" s="107">
        <v>8.8640952804681898</v>
      </c>
      <c r="AU569" s="107">
        <v>5.3405519879765002</v>
      </c>
      <c r="AV569" s="107">
        <v>3.7413762603927099</v>
      </c>
      <c r="AW569" s="107">
        <v>5.6563987739397001</v>
      </c>
      <c r="AX569" s="107">
        <v>6.9953293434442099</v>
      </c>
      <c r="AY569" s="107">
        <v>6.3829787234042596</v>
      </c>
      <c r="AZ569" s="107">
        <v>6.3626691884863202</v>
      </c>
      <c r="BA569" s="107">
        <v>9.6657633242999097</v>
      </c>
      <c r="BB569" s="107">
        <v>3.8834951456310698</v>
      </c>
      <c r="BC569" s="107">
        <v>5.4736024844720497</v>
      </c>
      <c r="BD569" s="107">
        <v>6.4439460037863201</v>
      </c>
      <c r="BE569" s="107">
        <v>6.0041407867494803</v>
      </c>
    </row>
    <row r="570" spans="2:57" ht="15" customHeight="1" x14ac:dyDescent="0.25">
      <c r="B570" s="91">
        <v>560</v>
      </c>
      <c r="C570" s="92" t="s">
        <v>504</v>
      </c>
      <c r="D570" s="92" t="s">
        <v>51</v>
      </c>
      <c r="E570" s="92" t="s">
        <v>372</v>
      </c>
      <c r="F570" s="92" t="s">
        <v>303</v>
      </c>
      <c r="G570" s="101" t="s">
        <v>501</v>
      </c>
      <c r="H570" s="94">
        <v>61995</v>
      </c>
      <c r="I570" s="94">
        <v>36074</v>
      </c>
      <c r="J570" s="94">
        <v>25921</v>
      </c>
      <c r="K570" s="94">
        <v>3124</v>
      </c>
      <c r="L570" s="94">
        <v>20586</v>
      </c>
      <c r="M570" s="94">
        <v>33606</v>
      </c>
      <c r="N570" s="94">
        <v>4679</v>
      </c>
      <c r="O570" s="94">
        <v>61509</v>
      </c>
      <c r="P570" s="94">
        <v>486</v>
      </c>
      <c r="Q570" s="95">
        <v>1.7582261135728601</v>
      </c>
      <c r="R570" s="95">
        <v>1.16603064994851</v>
      </c>
      <c r="S570" s="95">
        <v>2.6019417475728202</v>
      </c>
      <c r="T570" s="95">
        <v>3.28994938539407</v>
      </c>
      <c r="U570" s="95">
        <v>2.2010707911957201</v>
      </c>
      <c r="V570" s="95">
        <v>1.48008085023147</v>
      </c>
      <c r="W570" s="95">
        <v>0.844673862036602</v>
      </c>
      <c r="X570" s="95">
        <v>1.7358246960513599</v>
      </c>
      <c r="Y570" s="95">
        <v>4.6838407494145198</v>
      </c>
      <c r="Z570" s="94">
        <v>93398</v>
      </c>
      <c r="AA570" s="94">
        <v>50120</v>
      </c>
      <c r="AB570" s="94">
        <v>43278</v>
      </c>
      <c r="AC570" s="94">
        <v>3108</v>
      </c>
      <c r="AD570" s="94">
        <v>27014</v>
      </c>
      <c r="AE570" s="94">
        <v>53784</v>
      </c>
      <c r="AF570" s="94">
        <v>9492</v>
      </c>
      <c r="AG570" s="94">
        <v>36569</v>
      </c>
      <c r="AH570" s="94">
        <v>56344</v>
      </c>
      <c r="AI570" s="94">
        <v>485</v>
      </c>
      <c r="AJ570" s="94">
        <v>92054</v>
      </c>
      <c r="AK570" s="94">
        <v>1157</v>
      </c>
      <c r="AL570" s="94">
        <v>187</v>
      </c>
      <c r="AM570" s="94">
        <v>4561</v>
      </c>
      <c r="AN570" s="94">
        <v>88412</v>
      </c>
      <c r="AO570" s="94">
        <v>425</v>
      </c>
      <c r="AP570" s="95">
        <v>6.9386233464002096</v>
      </c>
      <c r="AQ570" s="95">
        <v>3.9755928791595898</v>
      </c>
      <c r="AR570" s="95">
        <v>10.399725678456001</v>
      </c>
      <c r="AS570" s="95">
        <v>13.522537562604301</v>
      </c>
      <c r="AT570" s="95">
        <v>9.5992692322967503</v>
      </c>
      <c r="AU570" s="95">
        <v>5.7006338371526102</v>
      </c>
      <c r="AV570" s="95">
        <v>4.3770672546857803</v>
      </c>
      <c r="AW570" s="95">
        <v>6.61588497090038</v>
      </c>
      <c r="AX570" s="95">
        <v>7.1504017503489399</v>
      </c>
      <c r="AY570" s="95">
        <v>7.1269487750556797</v>
      </c>
      <c r="AZ570" s="95">
        <v>6.9123156773106897</v>
      </c>
      <c r="BA570" s="95">
        <v>9.4216417910447792</v>
      </c>
      <c r="BB570" s="95">
        <v>4.7619047619047601</v>
      </c>
      <c r="BC570" s="95">
        <v>6.1059907834101397</v>
      </c>
      <c r="BD570" s="95">
        <v>6.9842936936076798</v>
      </c>
      <c r="BE570" s="95">
        <v>6.3938618925831197</v>
      </c>
    </row>
    <row r="571" spans="2:57" ht="15" customHeight="1" x14ac:dyDescent="0.25">
      <c r="B571" s="91">
        <v>561</v>
      </c>
      <c r="C571" s="92" t="s">
        <v>504</v>
      </c>
      <c r="D571" s="92" t="s">
        <v>51</v>
      </c>
      <c r="E571" s="92" t="s">
        <v>372</v>
      </c>
      <c r="F571" s="92" t="s">
        <v>303</v>
      </c>
      <c r="G571" s="101" t="s">
        <v>502</v>
      </c>
      <c r="H571" s="94">
        <v>10797</v>
      </c>
      <c r="I571" s="94">
        <v>6330</v>
      </c>
      <c r="J571" s="94">
        <v>4467</v>
      </c>
      <c r="K571" s="94">
        <v>911</v>
      </c>
      <c r="L571" s="94">
        <v>3170</v>
      </c>
      <c r="M571" s="94">
        <v>5261</v>
      </c>
      <c r="N571" s="94">
        <v>1455</v>
      </c>
      <c r="O571" s="94">
        <v>10793</v>
      </c>
      <c r="P571" s="94">
        <v>4</v>
      </c>
      <c r="Q571" s="95">
        <v>0.27651589966423101</v>
      </c>
      <c r="R571" s="95">
        <v>0.13416065738722099</v>
      </c>
      <c r="S571" s="95">
        <v>0.48042277203939499</v>
      </c>
      <c r="T571" s="95">
        <v>0.23866348448687399</v>
      </c>
      <c r="U571" s="95">
        <v>0.51334702258726905</v>
      </c>
      <c r="V571" s="95">
        <v>0.20116676725005</v>
      </c>
      <c r="W571" s="95">
        <v>7.1684587813620096E-2</v>
      </c>
      <c r="X571" s="95">
        <v>0.27657052548399802</v>
      </c>
      <c r="Y571" s="95">
        <v>0</v>
      </c>
      <c r="Z571" s="94">
        <v>14831</v>
      </c>
      <c r="AA571" s="94">
        <v>7888</v>
      </c>
      <c r="AB571" s="94">
        <v>6943</v>
      </c>
      <c r="AC571" s="94">
        <v>796</v>
      </c>
      <c r="AD571" s="94">
        <v>4229</v>
      </c>
      <c r="AE571" s="94">
        <v>7511</v>
      </c>
      <c r="AF571" s="94">
        <v>2295</v>
      </c>
      <c r="AG571" s="94">
        <v>11290</v>
      </c>
      <c r="AH571" s="94">
        <v>3468</v>
      </c>
      <c r="AI571" s="94">
        <v>73</v>
      </c>
      <c r="AJ571" s="94">
        <v>14753</v>
      </c>
      <c r="AK571" s="94">
        <v>38</v>
      </c>
      <c r="AL571" s="94">
        <v>40</v>
      </c>
      <c r="AM571" s="94">
        <v>826</v>
      </c>
      <c r="AN571" s="94">
        <v>13911</v>
      </c>
      <c r="AO571" s="94">
        <v>94</v>
      </c>
      <c r="AP571" s="95">
        <v>3.0192899077439201</v>
      </c>
      <c r="AQ571" s="95">
        <v>1.17508813160987</v>
      </c>
      <c r="AR571" s="95">
        <v>5.1436306211460403</v>
      </c>
      <c r="AS571" s="95">
        <v>3.8410596026490098</v>
      </c>
      <c r="AT571" s="95">
        <v>4.2821782178217802</v>
      </c>
      <c r="AU571" s="95">
        <v>2.80335303009482</v>
      </c>
      <c r="AV571" s="95">
        <v>1.16279069767442</v>
      </c>
      <c r="AW571" s="95">
        <v>2.5847109325052502</v>
      </c>
      <c r="AX571" s="95">
        <v>4.4971133394105101</v>
      </c>
      <c r="AY571" s="95">
        <v>1.47058823529412</v>
      </c>
      <c r="AZ571" s="95">
        <v>2.99262381454162</v>
      </c>
      <c r="BA571" s="95">
        <v>17.1428571428571</v>
      </c>
      <c r="BB571" s="95">
        <v>0</v>
      </c>
      <c r="BC571" s="95">
        <v>2.0935960591132998</v>
      </c>
      <c r="BD571" s="95">
        <v>3.0662488809310702</v>
      </c>
      <c r="BE571" s="95">
        <v>4.3478260869565197</v>
      </c>
    </row>
    <row r="572" spans="2:57" ht="15" customHeight="1" x14ac:dyDescent="0.25">
      <c r="B572" s="96">
        <v>562</v>
      </c>
      <c r="C572" s="97" t="s">
        <v>504</v>
      </c>
      <c r="D572" s="104" t="s">
        <v>51</v>
      </c>
      <c r="E572" s="104" t="s">
        <v>372</v>
      </c>
      <c r="F572" s="104" t="s">
        <v>275</v>
      </c>
      <c r="G572" s="105" t="s">
        <v>275</v>
      </c>
      <c r="H572" s="106">
        <v>9447</v>
      </c>
      <c r="I572" s="106">
        <v>5420</v>
      </c>
      <c r="J572" s="106">
        <v>4027</v>
      </c>
      <c r="K572" s="106">
        <v>1028</v>
      </c>
      <c r="L572" s="106">
        <v>2796</v>
      </c>
      <c r="M572" s="106">
        <v>4402</v>
      </c>
      <c r="N572" s="106">
        <v>1221</v>
      </c>
      <c r="O572" s="106">
        <v>9435</v>
      </c>
      <c r="P572" s="106">
        <v>12</v>
      </c>
      <c r="Q572" s="107">
        <v>0.422785936804628</v>
      </c>
      <c r="R572" s="107">
        <v>0.11576307158016599</v>
      </c>
      <c r="S572" s="107">
        <v>0.84099868593955296</v>
      </c>
      <c r="T572" s="107">
        <v>0.82219938335046205</v>
      </c>
      <c r="U572" s="107">
        <v>0.26626093571700299</v>
      </c>
      <c r="V572" s="107">
        <v>0.35620992638328203</v>
      </c>
      <c r="W572" s="107">
        <v>0.680851063829787</v>
      </c>
      <c r="X572" s="107">
        <v>0.423115465983743</v>
      </c>
      <c r="Y572" s="107">
        <v>0</v>
      </c>
      <c r="Z572" s="106">
        <v>12798</v>
      </c>
      <c r="AA572" s="106">
        <v>6868</v>
      </c>
      <c r="AB572" s="106">
        <v>5930</v>
      </c>
      <c r="AC572" s="106">
        <v>920</v>
      </c>
      <c r="AD572" s="106">
        <v>3731</v>
      </c>
      <c r="AE572" s="106">
        <v>6203</v>
      </c>
      <c r="AF572" s="106">
        <v>1944</v>
      </c>
      <c r="AG572" s="106">
        <v>10396</v>
      </c>
      <c r="AH572" s="106">
        <v>2285</v>
      </c>
      <c r="AI572" s="106">
        <v>117</v>
      </c>
      <c r="AJ572" s="106">
        <v>12730</v>
      </c>
      <c r="AK572" s="106">
        <v>38</v>
      </c>
      <c r="AL572" s="106">
        <v>30</v>
      </c>
      <c r="AM572" s="106">
        <v>629</v>
      </c>
      <c r="AN572" s="106">
        <v>12089</v>
      </c>
      <c r="AO572" s="106">
        <v>80</v>
      </c>
      <c r="AP572" s="107">
        <v>2.7980037633968702</v>
      </c>
      <c r="AQ572" s="107">
        <v>1.4994751836857101</v>
      </c>
      <c r="AR572" s="107">
        <v>4.3572200216060502</v>
      </c>
      <c r="AS572" s="107">
        <v>3.8150289017341001</v>
      </c>
      <c r="AT572" s="107">
        <v>4.0590405904058997</v>
      </c>
      <c r="AU572" s="107">
        <v>2.3489932885906</v>
      </c>
      <c r="AV572" s="107">
        <v>1.38666666666667</v>
      </c>
      <c r="AW572" s="107">
        <v>2.6496070924843802</v>
      </c>
      <c r="AX572" s="107">
        <v>3.5681610247026501</v>
      </c>
      <c r="AY572" s="107">
        <v>0.90090090090090102</v>
      </c>
      <c r="AZ572" s="107">
        <v>2.7476143468246099</v>
      </c>
      <c r="BA572" s="107">
        <v>21.052631578947398</v>
      </c>
      <c r="BB572" s="107">
        <v>0</v>
      </c>
      <c r="BC572" s="107">
        <v>1.3333333333333299</v>
      </c>
      <c r="BD572" s="107">
        <v>2.8752056811292999</v>
      </c>
      <c r="BE572" s="107">
        <v>2.6315789473684199</v>
      </c>
    </row>
    <row r="573" spans="2:57" ht="15" customHeight="1" x14ac:dyDescent="0.25">
      <c r="B573" s="91">
        <v>563</v>
      </c>
      <c r="C573" s="92" t="s">
        <v>504</v>
      </c>
      <c r="D573" s="92" t="s">
        <v>51</v>
      </c>
      <c r="E573" s="92" t="s">
        <v>372</v>
      </c>
      <c r="F573" s="92" t="s">
        <v>275</v>
      </c>
      <c r="G573" s="101" t="s">
        <v>501</v>
      </c>
      <c r="H573" s="94">
        <v>1577</v>
      </c>
      <c r="I573" s="94">
        <v>850</v>
      </c>
      <c r="J573" s="94">
        <v>727</v>
      </c>
      <c r="K573" s="94">
        <v>130</v>
      </c>
      <c r="L573" s="94">
        <v>494</v>
      </c>
      <c r="M573" s="94">
        <v>772</v>
      </c>
      <c r="N573" s="94">
        <v>181</v>
      </c>
      <c r="O573" s="94">
        <v>1575</v>
      </c>
      <c r="P573" s="94">
        <v>2</v>
      </c>
      <c r="Q573" s="95">
        <v>1.8305084745762701</v>
      </c>
      <c r="R573" s="95">
        <v>0.61500615006150094</v>
      </c>
      <c r="S573" s="95">
        <v>3.3232628398791499</v>
      </c>
      <c r="T573" s="95">
        <v>4.4247787610619502</v>
      </c>
      <c r="U573" s="95">
        <v>0.65502183406113501</v>
      </c>
      <c r="V573" s="95">
        <v>1.7783857729138199</v>
      </c>
      <c r="W573" s="95">
        <v>3.4682080924855501</v>
      </c>
      <c r="X573" s="95">
        <v>1.8317503392130301</v>
      </c>
      <c r="Y573" s="95">
        <v>0</v>
      </c>
      <c r="Z573" s="94">
        <v>2288</v>
      </c>
      <c r="AA573" s="94">
        <v>1145</v>
      </c>
      <c r="AB573" s="94">
        <v>1143</v>
      </c>
      <c r="AC573" s="94">
        <v>138</v>
      </c>
      <c r="AD573" s="94">
        <v>696</v>
      </c>
      <c r="AE573" s="94">
        <v>1134</v>
      </c>
      <c r="AF573" s="94">
        <v>320</v>
      </c>
      <c r="AG573" s="94">
        <v>1667</v>
      </c>
      <c r="AH573" s="94">
        <v>604</v>
      </c>
      <c r="AI573" s="94">
        <v>17</v>
      </c>
      <c r="AJ573" s="94">
        <v>2260</v>
      </c>
      <c r="AK573" s="94">
        <v>20</v>
      </c>
      <c r="AL573" s="94">
        <v>8</v>
      </c>
      <c r="AM573" s="94">
        <v>125</v>
      </c>
      <c r="AN573" s="94">
        <v>2153</v>
      </c>
      <c r="AO573" s="94">
        <v>10</v>
      </c>
      <c r="AP573" s="95">
        <v>7.0804597701149401</v>
      </c>
      <c r="AQ573" s="95">
        <v>4.5126353790613702</v>
      </c>
      <c r="AR573" s="95">
        <v>9.7469540768509795</v>
      </c>
      <c r="AS573" s="95">
        <v>9.8484848484848495</v>
      </c>
      <c r="AT573" s="95">
        <v>8.3841463414634205</v>
      </c>
      <c r="AU573" s="95">
        <v>6.4814814814814801</v>
      </c>
      <c r="AV573" s="95">
        <v>5.2117263843648196</v>
      </c>
      <c r="AW573" s="95">
        <v>7.5709779179810699</v>
      </c>
      <c r="AX573" s="95">
        <v>5.7391304347826102</v>
      </c>
      <c r="AY573" s="95">
        <v>6.6666666666666696</v>
      </c>
      <c r="AZ573" s="95">
        <v>6.9366852886406001</v>
      </c>
      <c r="BA573" s="95">
        <v>25</v>
      </c>
      <c r="BB573" s="95">
        <v>0</v>
      </c>
      <c r="BC573" s="95">
        <v>1.72413793103448</v>
      </c>
      <c r="BD573" s="95">
        <v>7.3694485114690096</v>
      </c>
      <c r="BE573" s="95">
        <v>10</v>
      </c>
    </row>
    <row r="574" spans="2:57" ht="15" customHeight="1" x14ac:dyDescent="0.25">
      <c r="B574" s="91">
        <v>564</v>
      </c>
      <c r="C574" s="92" t="s">
        <v>504</v>
      </c>
      <c r="D574" s="92" t="s">
        <v>51</v>
      </c>
      <c r="E574" s="92" t="s">
        <v>372</v>
      </c>
      <c r="F574" s="92" t="s">
        <v>275</v>
      </c>
      <c r="G574" s="101" t="s">
        <v>502</v>
      </c>
      <c r="H574" s="94">
        <v>7870</v>
      </c>
      <c r="I574" s="94">
        <v>4570</v>
      </c>
      <c r="J574" s="94">
        <v>3300</v>
      </c>
      <c r="K574" s="94">
        <v>898</v>
      </c>
      <c r="L574" s="94">
        <v>2302</v>
      </c>
      <c r="M574" s="94">
        <v>3630</v>
      </c>
      <c r="N574" s="94">
        <v>1040</v>
      </c>
      <c r="O574" s="94">
        <v>7860</v>
      </c>
      <c r="P574" s="94">
        <v>10</v>
      </c>
      <c r="Q574" s="95">
        <v>0.14641288433382099</v>
      </c>
      <c r="R574" s="95">
        <v>2.2883295194508001E-2</v>
      </c>
      <c r="S574" s="95">
        <v>0.31816735602927099</v>
      </c>
      <c r="T574" s="95">
        <v>0.34883720930232598</v>
      </c>
      <c r="U574" s="95">
        <v>0.18424689083371701</v>
      </c>
      <c r="V574" s="95">
        <v>5.7471264367816098E-2</v>
      </c>
      <c r="W574" s="95">
        <v>0.199600798403194</v>
      </c>
      <c r="X574" s="95">
        <v>0.14652990542160599</v>
      </c>
      <c r="Y574" s="95">
        <v>0</v>
      </c>
      <c r="Z574" s="94">
        <v>10510</v>
      </c>
      <c r="AA574" s="94">
        <v>5723</v>
      </c>
      <c r="AB574" s="94">
        <v>4787</v>
      </c>
      <c r="AC574" s="94">
        <v>782</v>
      </c>
      <c r="AD574" s="94">
        <v>3035</v>
      </c>
      <c r="AE574" s="94">
        <v>5069</v>
      </c>
      <c r="AF574" s="94">
        <v>1624</v>
      </c>
      <c r="AG574" s="94">
        <v>8729</v>
      </c>
      <c r="AH574" s="94">
        <v>1681</v>
      </c>
      <c r="AI574" s="94">
        <v>100</v>
      </c>
      <c r="AJ574" s="94">
        <v>10470</v>
      </c>
      <c r="AK574" s="94">
        <v>18</v>
      </c>
      <c r="AL574" s="94">
        <v>22</v>
      </c>
      <c r="AM574" s="94">
        <v>504</v>
      </c>
      <c r="AN574" s="94">
        <v>9936</v>
      </c>
      <c r="AO574" s="94">
        <v>70</v>
      </c>
      <c r="AP574" s="95">
        <v>1.8710191082802501</v>
      </c>
      <c r="AQ574" s="95">
        <v>0.89911886351375603</v>
      </c>
      <c r="AR574" s="95">
        <v>3.0755515934923099</v>
      </c>
      <c r="AS574" s="95">
        <v>2.7285129604365599</v>
      </c>
      <c r="AT574" s="95">
        <v>3.0694105336588802</v>
      </c>
      <c r="AU574" s="95">
        <v>1.4344262295082</v>
      </c>
      <c r="AV574" s="95">
        <v>0.63775510204081598</v>
      </c>
      <c r="AW574" s="95">
        <v>1.7144227310874001</v>
      </c>
      <c r="AX574" s="95">
        <v>2.7932960893854699</v>
      </c>
      <c r="AY574" s="95">
        <v>0</v>
      </c>
      <c r="AZ574" s="95">
        <v>1.8485211830535599</v>
      </c>
      <c r="BA574" s="95">
        <v>16.6666666666667</v>
      </c>
      <c r="BB574" s="95">
        <v>0</v>
      </c>
      <c r="BC574" s="95">
        <v>1.2396694214876001</v>
      </c>
      <c r="BD574" s="95">
        <v>1.9056643503895601</v>
      </c>
      <c r="BE574" s="95">
        <v>1.51515151515152</v>
      </c>
    </row>
    <row r="575" spans="2:57" ht="15" customHeight="1" x14ac:dyDescent="0.25">
      <c r="B575" s="96">
        <v>565</v>
      </c>
      <c r="C575" s="97" t="s">
        <v>504</v>
      </c>
      <c r="D575" s="104" t="s">
        <v>51</v>
      </c>
      <c r="E575" s="104" t="s">
        <v>372</v>
      </c>
      <c r="F575" s="104" t="s">
        <v>195</v>
      </c>
      <c r="G575" s="105" t="s">
        <v>195</v>
      </c>
      <c r="H575" s="106">
        <v>35802</v>
      </c>
      <c r="I575" s="106">
        <v>23055</v>
      </c>
      <c r="J575" s="106">
        <v>12747</v>
      </c>
      <c r="K575" s="106">
        <v>3223</v>
      </c>
      <c r="L575" s="106">
        <v>11842</v>
      </c>
      <c r="M575" s="106">
        <v>18132</v>
      </c>
      <c r="N575" s="106">
        <v>2605</v>
      </c>
      <c r="O575" s="106">
        <v>35734</v>
      </c>
      <c r="P575" s="106">
        <v>68</v>
      </c>
      <c r="Q575" s="107">
        <v>0.638128157404945</v>
      </c>
      <c r="R575" s="107">
        <v>0.29145225192404001</v>
      </c>
      <c r="S575" s="107">
        <v>1.27838519764508</v>
      </c>
      <c r="T575" s="107">
        <v>1.27217944425845</v>
      </c>
      <c r="U575" s="107">
        <v>0.57440315921737595</v>
      </c>
      <c r="V575" s="107">
        <v>0.59710144927536202</v>
      </c>
      <c r="W575" s="107">
        <v>0.44534412955465602</v>
      </c>
      <c r="X575" s="107">
        <v>0.63928021782881495</v>
      </c>
      <c r="Y575" s="107">
        <v>0</v>
      </c>
      <c r="Z575" s="106">
        <v>53555</v>
      </c>
      <c r="AA575" s="106">
        <v>31750</v>
      </c>
      <c r="AB575" s="106">
        <v>21805</v>
      </c>
      <c r="AC575" s="106">
        <v>3625</v>
      </c>
      <c r="AD575" s="106">
        <v>16848</v>
      </c>
      <c r="AE575" s="106">
        <v>28016</v>
      </c>
      <c r="AF575" s="106">
        <v>5066</v>
      </c>
      <c r="AG575" s="106">
        <v>41998</v>
      </c>
      <c r="AH575" s="106">
        <v>11127</v>
      </c>
      <c r="AI575" s="106">
        <v>430</v>
      </c>
      <c r="AJ575" s="106">
        <v>53182</v>
      </c>
      <c r="AK575" s="106">
        <v>197</v>
      </c>
      <c r="AL575" s="106">
        <v>176</v>
      </c>
      <c r="AM575" s="106">
        <v>2397</v>
      </c>
      <c r="AN575" s="106">
        <v>50643</v>
      </c>
      <c r="AO575" s="106">
        <v>515</v>
      </c>
      <c r="AP575" s="107">
        <v>2.43874046912287</v>
      </c>
      <c r="AQ575" s="107">
        <v>0.94263485812054104</v>
      </c>
      <c r="AR575" s="107">
        <v>4.6922104444228303</v>
      </c>
      <c r="AS575" s="107">
        <v>3.4218289085545699</v>
      </c>
      <c r="AT575" s="107">
        <v>3.2071241748661099</v>
      </c>
      <c r="AU575" s="107">
        <v>2.01458456098998</v>
      </c>
      <c r="AV575" s="107">
        <v>1.5982197046328099</v>
      </c>
      <c r="AW575" s="107">
        <v>2.0441375909258999</v>
      </c>
      <c r="AX575" s="107">
        <v>3.9618003025718602</v>
      </c>
      <c r="AY575" s="107">
        <v>2.1844660194174801</v>
      </c>
      <c r="AZ575" s="107">
        <v>2.42964004609285</v>
      </c>
      <c r="BA575" s="107">
        <v>6.7415730337078603</v>
      </c>
      <c r="BB575" s="107">
        <v>0.60975609756097604</v>
      </c>
      <c r="BC575" s="107">
        <v>2.5140875596012102</v>
      </c>
      <c r="BD575" s="107">
        <v>2.44803316028153</v>
      </c>
      <c r="BE575" s="107">
        <v>1.1928429423459199</v>
      </c>
    </row>
    <row r="576" spans="2:57" ht="15" customHeight="1" x14ac:dyDescent="0.25">
      <c r="B576" s="91">
        <v>566</v>
      </c>
      <c r="C576" s="92" t="s">
        <v>504</v>
      </c>
      <c r="D576" s="92" t="s">
        <v>51</v>
      </c>
      <c r="E576" s="92" t="s">
        <v>372</v>
      </c>
      <c r="F576" s="92" t="s">
        <v>195</v>
      </c>
      <c r="G576" s="101" t="s">
        <v>501</v>
      </c>
      <c r="H576" s="94">
        <v>4225</v>
      </c>
      <c r="I576" s="94">
        <v>2408</v>
      </c>
      <c r="J576" s="94">
        <v>1817</v>
      </c>
      <c r="K576" s="94">
        <v>376</v>
      </c>
      <c r="L576" s="94">
        <v>1465</v>
      </c>
      <c r="M576" s="94">
        <v>2109</v>
      </c>
      <c r="N576" s="94">
        <v>275</v>
      </c>
      <c r="O576" s="94">
        <v>4181</v>
      </c>
      <c r="P576" s="94">
        <v>44</v>
      </c>
      <c r="Q576" s="95">
        <v>3.88250319284802</v>
      </c>
      <c r="R576" s="95">
        <v>1.87751452838623</v>
      </c>
      <c r="S576" s="95">
        <v>6.5554231227652</v>
      </c>
      <c r="T576" s="95">
        <v>6.4516129032258096</v>
      </c>
      <c r="U576" s="95">
        <v>3.3432392273402698</v>
      </c>
      <c r="V576" s="95">
        <v>3.9086294416243699</v>
      </c>
      <c r="W576" s="95">
        <v>3.1007751937984498</v>
      </c>
      <c r="X576" s="95">
        <v>3.9246062483862598</v>
      </c>
      <c r="Y576" s="95">
        <v>0</v>
      </c>
      <c r="Z576" s="94">
        <v>6175</v>
      </c>
      <c r="AA576" s="94">
        <v>3273</v>
      </c>
      <c r="AB576" s="94">
        <v>2902</v>
      </c>
      <c r="AC576" s="94">
        <v>397</v>
      </c>
      <c r="AD576" s="94">
        <v>2099</v>
      </c>
      <c r="AE576" s="94">
        <v>3187</v>
      </c>
      <c r="AF576" s="94">
        <v>492</v>
      </c>
      <c r="AG576" s="94">
        <v>3851</v>
      </c>
      <c r="AH576" s="94">
        <v>2292</v>
      </c>
      <c r="AI576" s="94">
        <v>32</v>
      </c>
      <c r="AJ576" s="94">
        <v>6102</v>
      </c>
      <c r="AK576" s="94">
        <v>62</v>
      </c>
      <c r="AL576" s="94">
        <v>11</v>
      </c>
      <c r="AM576" s="94">
        <v>272</v>
      </c>
      <c r="AN576" s="94">
        <v>5874</v>
      </c>
      <c r="AO576" s="94">
        <v>29</v>
      </c>
      <c r="AP576" s="95">
        <v>8.9979550102249508</v>
      </c>
      <c r="AQ576" s="95">
        <v>4.53819111537232</v>
      </c>
      <c r="AR576" s="95">
        <v>14.0927345746623</v>
      </c>
      <c r="AS576" s="95">
        <v>12.064343163538901</v>
      </c>
      <c r="AT576" s="95">
        <v>11.1845449923742</v>
      </c>
      <c r="AU576" s="95">
        <v>7.3746312684365796</v>
      </c>
      <c r="AV576" s="95">
        <v>7.9664570230607996</v>
      </c>
      <c r="AW576" s="95">
        <v>8.2336956521739104</v>
      </c>
      <c r="AX576" s="95">
        <v>10.185185185185199</v>
      </c>
      <c r="AY576" s="95">
        <v>17.8571428571429</v>
      </c>
      <c r="AZ576" s="95">
        <v>9.0063716204580704</v>
      </c>
      <c r="BA576" s="95">
        <v>7.5471698113207504</v>
      </c>
      <c r="BB576" s="95">
        <v>12.5</v>
      </c>
      <c r="BC576" s="95">
        <v>6.8181818181818201</v>
      </c>
      <c r="BD576" s="95">
        <v>9.1121076233183906</v>
      </c>
      <c r="BE576" s="95">
        <v>6.8965517241379297</v>
      </c>
    </row>
    <row r="577" spans="2:57" ht="15" customHeight="1" x14ac:dyDescent="0.25">
      <c r="B577" s="91">
        <v>567</v>
      </c>
      <c r="C577" s="92" t="s">
        <v>504</v>
      </c>
      <c r="D577" s="92" t="s">
        <v>51</v>
      </c>
      <c r="E577" s="92" t="s">
        <v>372</v>
      </c>
      <c r="F577" s="92" t="s">
        <v>195</v>
      </c>
      <c r="G577" s="101" t="s">
        <v>502</v>
      </c>
      <c r="H577" s="94">
        <v>31577</v>
      </c>
      <c r="I577" s="94">
        <v>20647</v>
      </c>
      <c r="J577" s="94">
        <v>10930</v>
      </c>
      <c r="K577" s="94">
        <v>2847</v>
      </c>
      <c r="L577" s="94">
        <v>10377</v>
      </c>
      <c r="M577" s="94">
        <v>16023</v>
      </c>
      <c r="N577" s="94">
        <v>2330</v>
      </c>
      <c r="O577" s="94">
        <v>31553</v>
      </c>
      <c r="P577" s="94">
        <v>24</v>
      </c>
      <c r="Q577" s="95">
        <v>0.21380370147658201</v>
      </c>
      <c r="R577" s="95">
        <v>0.111550552682284</v>
      </c>
      <c r="S577" s="95">
        <v>0.411280846063455</v>
      </c>
      <c r="T577" s="95">
        <v>0.60468631897203295</v>
      </c>
      <c r="U577" s="95">
        <v>0.19395671702735801</v>
      </c>
      <c r="V577" s="95">
        <v>0.17015706806282699</v>
      </c>
      <c r="W577" s="95">
        <v>0.13562386980108501</v>
      </c>
      <c r="X577" s="95">
        <v>0.21393949523650299</v>
      </c>
      <c r="Y577" s="95">
        <v>0</v>
      </c>
      <c r="Z577" s="94">
        <v>47380</v>
      </c>
      <c r="AA577" s="94">
        <v>28477</v>
      </c>
      <c r="AB577" s="94">
        <v>18903</v>
      </c>
      <c r="AC577" s="94">
        <v>3228</v>
      </c>
      <c r="AD577" s="94">
        <v>14749</v>
      </c>
      <c r="AE577" s="94">
        <v>24829</v>
      </c>
      <c r="AF577" s="94">
        <v>4574</v>
      </c>
      <c r="AG577" s="94">
        <v>38147</v>
      </c>
      <c r="AH577" s="94">
        <v>8835</v>
      </c>
      <c r="AI577" s="94">
        <v>398</v>
      </c>
      <c r="AJ577" s="94">
        <v>47080</v>
      </c>
      <c r="AK577" s="94">
        <v>135</v>
      </c>
      <c r="AL577" s="94">
        <v>165</v>
      </c>
      <c r="AM577" s="94">
        <v>2125</v>
      </c>
      <c r="AN577" s="94">
        <v>44769</v>
      </c>
      <c r="AO577" s="94">
        <v>486</v>
      </c>
      <c r="AP577" s="95">
        <v>1.59605911330049</v>
      </c>
      <c r="AQ577" s="95">
        <v>0.53863832232117204</v>
      </c>
      <c r="AR577" s="95">
        <v>3.2478824255343</v>
      </c>
      <c r="AS577" s="95">
        <v>2.3533311236327501</v>
      </c>
      <c r="AT577" s="95">
        <v>2.0935348804201301</v>
      </c>
      <c r="AU577" s="95">
        <v>1.3360441475457401</v>
      </c>
      <c r="AV577" s="95">
        <v>0.918047469771608</v>
      </c>
      <c r="AW577" s="95">
        <v>1.4264406779661001</v>
      </c>
      <c r="AX577" s="95">
        <v>2.3645437262357398</v>
      </c>
      <c r="AY577" s="95">
        <v>1.0416666666666701</v>
      </c>
      <c r="AZ577" s="95">
        <v>1.58831563642772</v>
      </c>
      <c r="BA577" s="95">
        <v>6.4</v>
      </c>
      <c r="BB577" s="95">
        <v>0</v>
      </c>
      <c r="BC577" s="95">
        <v>1.95790504160548</v>
      </c>
      <c r="BD577" s="95">
        <v>1.5871912507530499</v>
      </c>
      <c r="BE577" s="95">
        <v>0.84388185654008396</v>
      </c>
    </row>
    <row r="578" spans="2:57" ht="15" customHeight="1" x14ac:dyDescent="0.25">
      <c r="B578" s="86">
        <v>568</v>
      </c>
      <c r="C578" s="87" t="s">
        <v>503</v>
      </c>
      <c r="D578" s="103" t="s">
        <v>51</v>
      </c>
      <c r="E578" s="103" t="s">
        <v>63</v>
      </c>
      <c r="F578" s="103"/>
      <c r="G578" s="88" t="s">
        <v>63</v>
      </c>
      <c r="H578" s="89">
        <v>12517</v>
      </c>
      <c r="I578" s="89">
        <v>7196</v>
      </c>
      <c r="J578" s="89">
        <v>5321</v>
      </c>
      <c r="K578" s="89">
        <v>1166</v>
      </c>
      <c r="L578" s="89">
        <v>3371</v>
      </c>
      <c r="M578" s="89">
        <v>5750</v>
      </c>
      <c r="N578" s="89">
        <v>2230</v>
      </c>
      <c r="O578" s="89">
        <v>12514</v>
      </c>
      <c r="P578" s="89">
        <v>3</v>
      </c>
      <c r="Q578" s="90">
        <v>0.12628388617612399</v>
      </c>
      <c r="R578" s="90">
        <v>8.7196628397035306E-2</v>
      </c>
      <c r="S578" s="90">
        <v>0.18010806483890299</v>
      </c>
      <c r="T578" s="90">
        <v>0.18433179723502299</v>
      </c>
      <c r="U578" s="90">
        <v>0.15683814303638599</v>
      </c>
      <c r="V578" s="90">
        <v>9.1407678244972604E-2</v>
      </c>
      <c r="W578" s="90">
        <v>0.140515222482436</v>
      </c>
      <c r="X578" s="90">
        <v>0.12631578947368399</v>
      </c>
      <c r="Y578" s="90">
        <v>0</v>
      </c>
      <c r="Z578" s="89">
        <v>13726</v>
      </c>
      <c r="AA578" s="89">
        <v>7778</v>
      </c>
      <c r="AB578" s="89">
        <v>5948</v>
      </c>
      <c r="AC578" s="89">
        <v>987</v>
      </c>
      <c r="AD578" s="89">
        <v>3427</v>
      </c>
      <c r="AE578" s="89">
        <v>6560</v>
      </c>
      <c r="AF578" s="89">
        <v>2752</v>
      </c>
      <c r="AG578" s="89">
        <v>12607</v>
      </c>
      <c r="AH578" s="89">
        <v>916</v>
      </c>
      <c r="AI578" s="89">
        <v>203</v>
      </c>
      <c r="AJ578" s="89">
        <v>13660</v>
      </c>
      <c r="AK578" s="89">
        <v>8</v>
      </c>
      <c r="AL578" s="89">
        <v>58</v>
      </c>
      <c r="AM578" s="89">
        <v>1058</v>
      </c>
      <c r="AN578" s="89">
        <v>12398</v>
      </c>
      <c r="AO578" s="89">
        <v>270</v>
      </c>
      <c r="AP578" s="90">
        <v>0.88235294117647101</v>
      </c>
      <c r="AQ578" s="90">
        <v>0.237279198523596</v>
      </c>
      <c r="AR578" s="90">
        <v>1.7448008459640501</v>
      </c>
      <c r="AS578" s="90">
        <v>2.4416135881104002</v>
      </c>
      <c r="AT578" s="90">
        <v>1.2519083969465601</v>
      </c>
      <c r="AU578" s="90">
        <v>0.73957513768686101</v>
      </c>
      <c r="AV578" s="90">
        <v>0.223214285714286</v>
      </c>
      <c r="AW578" s="90">
        <v>0.84446995162744898</v>
      </c>
      <c r="AX578" s="90">
        <v>1.6073478760045901</v>
      </c>
      <c r="AY578" s="90">
        <v>0</v>
      </c>
      <c r="AZ578" s="90">
        <v>0.88636363636363602</v>
      </c>
      <c r="BA578" s="90">
        <v>0</v>
      </c>
      <c r="BB578" s="90">
        <v>0</v>
      </c>
      <c r="BC578" s="90">
        <v>0.581395348837209</v>
      </c>
      <c r="BD578" s="90">
        <v>0.91076203208556195</v>
      </c>
      <c r="BE578" s="90">
        <v>0.76923076923076905</v>
      </c>
    </row>
    <row r="579" spans="2:57" ht="15" customHeight="1" x14ac:dyDescent="0.25">
      <c r="B579" s="91">
        <v>569</v>
      </c>
      <c r="C579" s="92" t="s">
        <v>503</v>
      </c>
      <c r="D579" s="92" t="s">
        <v>51</v>
      </c>
      <c r="E579" s="92" t="s">
        <v>63</v>
      </c>
      <c r="F579" s="92"/>
      <c r="G579" s="93" t="s">
        <v>501</v>
      </c>
      <c r="H579" s="94">
        <v>0</v>
      </c>
      <c r="I579" s="94">
        <v>0</v>
      </c>
      <c r="J579" s="94">
        <v>0</v>
      </c>
      <c r="K579" s="94">
        <v>0</v>
      </c>
      <c r="L579" s="94">
        <v>0</v>
      </c>
      <c r="M579" s="94">
        <v>0</v>
      </c>
      <c r="N579" s="94">
        <v>0</v>
      </c>
      <c r="O579" s="94">
        <v>0</v>
      </c>
      <c r="P579" s="94">
        <v>0</v>
      </c>
      <c r="Q579" s="95">
        <v>0</v>
      </c>
      <c r="R579" s="95">
        <v>0</v>
      </c>
      <c r="S579" s="95">
        <v>0</v>
      </c>
      <c r="T579" s="95">
        <v>0</v>
      </c>
      <c r="U579" s="95">
        <v>0</v>
      </c>
      <c r="V579" s="95">
        <v>0</v>
      </c>
      <c r="W579" s="95">
        <v>0</v>
      </c>
      <c r="X579" s="95">
        <v>0</v>
      </c>
      <c r="Y579" s="95">
        <v>0</v>
      </c>
      <c r="Z579" s="94">
        <v>0</v>
      </c>
      <c r="AA579" s="94">
        <v>0</v>
      </c>
      <c r="AB579" s="94">
        <v>0</v>
      </c>
      <c r="AC579" s="94">
        <v>0</v>
      </c>
      <c r="AD579" s="94">
        <v>0</v>
      </c>
      <c r="AE579" s="94">
        <v>0</v>
      </c>
      <c r="AF579" s="94">
        <v>0</v>
      </c>
      <c r="AG579" s="94">
        <v>0</v>
      </c>
      <c r="AH579" s="94">
        <v>0</v>
      </c>
      <c r="AI579" s="94">
        <v>0</v>
      </c>
      <c r="AJ579" s="94">
        <v>0</v>
      </c>
      <c r="AK579" s="94">
        <v>0</v>
      </c>
      <c r="AL579" s="94">
        <v>0</v>
      </c>
      <c r="AM579" s="94">
        <v>0</v>
      </c>
      <c r="AN579" s="94">
        <v>0</v>
      </c>
      <c r="AO579" s="94">
        <v>0</v>
      </c>
      <c r="AP579" s="95">
        <v>0</v>
      </c>
      <c r="AQ579" s="95">
        <v>0</v>
      </c>
      <c r="AR579" s="95">
        <v>0</v>
      </c>
      <c r="AS579" s="95">
        <v>0</v>
      </c>
      <c r="AT579" s="95">
        <v>0</v>
      </c>
      <c r="AU579" s="95">
        <v>0</v>
      </c>
      <c r="AV579" s="95">
        <v>0</v>
      </c>
      <c r="AW579" s="95">
        <v>0</v>
      </c>
      <c r="AX579" s="95">
        <v>0</v>
      </c>
      <c r="AY579" s="95">
        <v>0</v>
      </c>
      <c r="AZ579" s="95">
        <v>0</v>
      </c>
      <c r="BA579" s="95">
        <v>0</v>
      </c>
      <c r="BB579" s="95">
        <v>0</v>
      </c>
      <c r="BC579" s="95">
        <v>0</v>
      </c>
      <c r="BD579" s="95">
        <v>0</v>
      </c>
      <c r="BE579" s="95">
        <v>0</v>
      </c>
    </row>
    <row r="580" spans="2:57" ht="15" customHeight="1" x14ac:dyDescent="0.25">
      <c r="B580" s="91">
        <v>570</v>
      </c>
      <c r="C580" s="92" t="s">
        <v>503</v>
      </c>
      <c r="D580" s="92" t="s">
        <v>51</v>
      </c>
      <c r="E580" s="92" t="s">
        <v>63</v>
      </c>
      <c r="F580" s="92"/>
      <c r="G580" s="93" t="s">
        <v>502</v>
      </c>
      <c r="H580" s="94">
        <v>12517</v>
      </c>
      <c r="I580" s="94">
        <v>7196</v>
      </c>
      <c r="J580" s="94">
        <v>5321</v>
      </c>
      <c r="K580" s="94">
        <v>1166</v>
      </c>
      <c r="L580" s="94">
        <v>3371</v>
      </c>
      <c r="M580" s="94">
        <v>5750</v>
      </c>
      <c r="N580" s="94">
        <v>2230</v>
      </c>
      <c r="O580" s="94">
        <v>12514</v>
      </c>
      <c r="P580" s="94">
        <v>3</v>
      </c>
      <c r="Q580" s="95">
        <v>0.12628388617612399</v>
      </c>
      <c r="R580" s="95">
        <v>8.7196628397035306E-2</v>
      </c>
      <c r="S580" s="95">
        <v>0.18010806483890299</v>
      </c>
      <c r="T580" s="95">
        <v>0.18433179723502299</v>
      </c>
      <c r="U580" s="95">
        <v>0.15683814303638599</v>
      </c>
      <c r="V580" s="95">
        <v>9.1407678244972604E-2</v>
      </c>
      <c r="W580" s="95">
        <v>0.140515222482436</v>
      </c>
      <c r="X580" s="95">
        <v>0.12631578947368399</v>
      </c>
      <c r="Y580" s="95">
        <v>0</v>
      </c>
      <c r="Z580" s="94">
        <v>13726</v>
      </c>
      <c r="AA580" s="94">
        <v>7778</v>
      </c>
      <c r="AB580" s="94">
        <v>5948</v>
      </c>
      <c r="AC580" s="94">
        <v>987</v>
      </c>
      <c r="AD580" s="94">
        <v>3427</v>
      </c>
      <c r="AE580" s="94">
        <v>6560</v>
      </c>
      <c r="AF580" s="94">
        <v>2752</v>
      </c>
      <c r="AG580" s="94">
        <v>12607</v>
      </c>
      <c r="AH580" s="94">
        <v>916</v>
      </c>
      <c r="AI580" s="94">
        <v>203</v>
      </c>
      <c r="AJ580" s="94">
        <v>13660</v>
      </c>
      <c r="AK580" s="94">
        <v>8</v>
      </c>
      <c r="AL580" s="94">
        <v>58</v>
      </c>
      <c r="AM580" s="94">
        <v>1058</v>
      </c>
      <c r="AN580" s="94">
        <v>12398</v>
      </c>
      <c r="AO580" s="94">
        <v>270</v>
      </c>
      <c r="AP580" s="95">
        <v>0.88235294117647101</v>
      </c>
      <c r="AQ580" s="95">
        <v>0.237279198523596</v>
      </c>
      <c r="AR580" s="95">
        <v>1.7448008459640501</v>
      </c>
      <c r="AS580" s="95">
        <v>2.4416135881104002</v>
      </c>
      <c r="AT580" s="95">
        <v>1.2519083969465601</v>
      </c>
      <c r="AU580" s="95">
        <v>0.73957513768686101</v>
      </c>
      <c r="AV580" s="95">
        <v>0.223214285714286</v>
      </c>
      <c r="AW580" s="95">
        <v>0.84446995162744898</v>
      </c>
      <c r="AX580" s="95">
        <v>1.6073478760045901</v>
      </c>
      <c r="AY580" s="95">
        <v>0</v>
      </c>
      <c r="AZ580" s="95">
        <v>0.88636363636363602</v>
      </c>
      <c r="BA580" s="95">
        <v>0</v>
      </c>
      <c r="BB580" s="95">
        <v>0</v>
      </c>
      <c r="BC580" s="95">
        <v>0.581395348837209</v>
      </c>
      <c r="BD580" s="95">
        <v>0.91076203208556195</v>
      </c>
      <c r="BE580" s="95">
        <v>0.76923076923076905</v>
      </c>
    </row>
    <row r="581" spans="2:57" ht="15" customHeight="1" x14ac:dyDescent="0.25">
      <c r="B581" s="96">
        <v>571</v>
      </c>
      <c r="C581" s="97" t="s">
        <v>504</v>
      </c>
      <c r="D581" s="104" t="s">
        <v>51</v>
      </c>
      <c r="E581" s="104" t="s">
        <v>63</v>
      </c>
      <c r="F581" s="104" t="s">
        <v>63</v>
      </c>
      <c r="G581" s="105" t="s">
        <v>63</v>
      </c>
      <c r="H581" s="106">
        <v>12517</v>
      </c>
      <c r="I581" s="106">
        <v>7196</v>
      </c>
      <c r="J581" s="106">
        <v>5321</v>
      </c>
      <c r="K581" s="106">
        <v>1166</v>
      </c>
      <c r="L581" s="106">
        <v>3371</v>
      </c>
      <c r="M581" s="106">
        <v>5750</v>
      </c>
      <c r="N581" s="106">
        <v>2230</v>
      </c>
      <c r="O581" s="106">
        <v>12514</v>
      </c>
      <c r="P581" s="106">
        <v>3</v>
      </c>
      <c r="Q581" s="107">
        <v>0.12628388617612399</v>
      </c>
      <c r="R581" s="107">
        <v>8.7196628397035306E-2</v>
      </c>
      <c r="S581" s="107">
        <v>0.18010806483890299</v>
      </c>
      <c r="T581" s="107">
        <v>0.18433179723502299</v>
      </c>
      <c r="U581" s="107">
        <v>0.15683814303638599</v>
      </c>
      <c r="V581" s="107">
        <v>9.1407678244972604E-2</v>
      </c>
      <c r="W581" s="107">
        <v>0.140515222482436</v>
      </c>
      <c r="X581" s="107">
        <v>0.12631578947368399</v>
      </c>
      <c r="Y581" s="107">
        <v>0</v>
      </c>
      <c r="Z581" s="106">
        <v>13726</v>
      </c>
      <c r="AA581" s="106">
        <v>7778</v>
      </c>
      <c r="AB581" s="106">
        <v>5948</v>
      </c>
      <c r="AC581" s="106">
        <v>987</v>
      </c>
      <c r="AD581" s="106">
        <v>3427</v>
      </c>
      <c r="AE581" s="106">
        <v>6560</v>
      </c>
      <c r="AF581" s="106">
        <v>2752</v>
      </c>
      <c r="AG581" s="106">
        <v>12607</v>
      </c>
      <c r="AH581" s="106">
        <v>916</v>
      </c>
      <c r="AI581" s="106">
        <v>203</v>
      </c>
      <c r="AJ581" s="106">
        <v>13660</v>
      </c>
      <c r="AK581" s="106">
        <v>8</v>
      </c>
      <c r="AL581" s="106">
        <v>58</v>
      </c>
      <c r="AM581" s="106">
        <v>1058</v>
      </c>
      <c r="AN581" s="106">
        <v>12398</v>
      </c>
      <c r="AO581" s="106">
        <v>270</v>
      </c>
      <c r="AP581" s="107">
        <v>0.88235294117647101</v>
      </c>
      <c r="AQ581" s="107">
        <v>0.237279198523596</v>
      </c>
      <c r="AR581" s="107">
        <v>1.7448008459640501</v>
      </c>
      <c r="AS581" s="107">
        <v>2.4416135881104002</v>
      </c>
      <c r="AT581" s="107">
        <v>1.2519083969465601</v>
      </c>
      <c r="AU581" s="107">
        <v>0.73957513768686101</v>
      </c>
      <c r="AV581" s="107">
        <v>0.223214285714286</v>
      </c>
      <c r="AW581" s="107">
        <v>0.84446995162744898</v>
      </c>
      <c r="AX581" s="107">
        <v>1.6073478760045901</v>
      </c>
      <c r="AY581" s="107">
        <v>0</v>
      </c>
      <c r="AZ581" s="107">
        <v>0.88636363636363602</v>
      </c>
      <c r="BA581" s="107">
        <v>0</v>
      </c>
      <c r="BB581" s="107">
        <v>0</v>
      </c>
      <c r="BC581" s="107">
        <v>0.581395348837209</v>
      </c>
      <c r="BD581" s="107">
        <v>0.91076203208556195</v>
      </c>
      <c r="BE581" s="107">
        <v>0.76923076923076905</v>
      </c>
    </row>
    <row r="582" spans="2:57" ht="15" customHeight="1" x14ac:dyDescent="0.25">
      <c r="B582" s="91">
        <v>572</v>
      </c>
      <c r="C582" s="92" t="s">
        <v>504</v>
      </c>
      <c r="D582" s="92" t="s">
        <v>51</v>
      </c>
      <c r="E582" s="92" t="s">
        <v>63</v>
      </c>
      <c r="F582" s="92" t="s">
        <v>63</v>
      </c>
      <c r="G582" s="101" t="s">
        <v>501</v>
      </c>
      <c r="H582" s="94">
        <v>0</v>
      </c>
      <c r="I582" s="94">
        <v>0</v>
      </c>
      <c r="J582" s="94">
        <v>0</v>
      </c>
      <c r="K582" s="94">
        <v>0</v>
      </c>
      <c r="L582" s="94">
        <v>0</v>
      </c>
      <c r="M582" s="94">
        <v>0</v>
      </c>
      <c r="N582" s="94">
        <v>0</v>
      </c>
      <c r="O582" s="94">
        <v>0</v>
      </c>
      <c r="P582" s="94">
        <v>0</v>
      </c>
      <c r="Q582" s="95">
        <v>0</v>
      </c>
      <c r="R582" s="95">
        <v>0</v>
      </c>
      <c r="S582" s="95">
        <v>0</v>
      </c>
      <c r="T582" s="95">
        <v>0</v>
      </c>
      <c r="U582" s="95">
        <v>0</v>
      </c>
      <c r="V582" s="95">
        <v>0</v>
      </c>
      <c r="W582" s="95">
        <v>0</v>
      </c>
      <c r="X582" s="95">
        <v>0</v>
      </c>
      <c r="Y582" s="95">
        <v>0</v>
      </c>
      <c r="Z582" s="94">
        <v>0</v>
      </c>
      <c r="AA582" s="94">
        <v>0</v>
      </c>
      <c r="AB582" s="94">
        <v>0</v>
      </c>
      <c r="AC582" s="94">
        <v>0</v>
      </c>
      <c r="AD582" s="94">
        <v>0</v>
      </c>
      <c r="AE582" s="94">
        <v>0</v>
      </c>
      <c r="AF582" s="94">
        <v>0</v>
      </c>
      <c r="AG582" s="94">
        <v>0</v>
      </c>
      <c r="AH582" s="94">
        <v>0</v>
      </c>
      <c r="AI582" s="94">
        <v>0</v>
      </c>
      <c r="AJ582" s="94">
        <v>0</v>
      </c>
      <c r="AK582" s="94">
        <v>0</v>
      </c>
      <c r="AL582" s="94">
        <v>0</v>
      </c>
      <c r="AM582" s="94">
        <v>0</v>
      </c>
      <c r="AN582" s="94">
        <v>0</v>
      </c>
      <c r="AO582" s="94">
        <v>0</v>
      </c>
      <c r="AP582" s="95">
        <v>0</v>
      </c>
      <c r="AQ582" s="95">
        <v>0</v>
      </c>
      <c r="AR582" s="95">
        <v>0</v>
      </c>
      <c r="AS582" s="95">
        <v>0</v>
      </c>
      <c r="AT582" s="95">
        <v>0</v>
      </c>
      <c r="AU582" s="95">
        <v>0</v>
      </c>
      <c r="AV582" s="95">
        <v>0</v>
      </c>
      <c r="AW582" s="95">
        <v>0</v>
      </c>
      <c r="AX582" s="95">
        <v>0</v>
      </c>
      <c r="AY582" s="95">
        <v>0</v>
      </c>
      <c r="AZ582" s="95">
        <v>0</v>
      </c>
      <c r="BA582" s="95">
        <v>0</v>
      </c>
      <c r="BB582" s="95">
        <v>0</v>
      </c>
      <c r="BC582" s="95">
        <v>0</v>
      </c>
      <c r="BD582" s="95">
        <v>0</v>
      </c>
      <c r="BE582" s="95">
        <v>0</v>
      </c>
    </row>
    <row r="583" spans="2:57" ht="15" customHeight="1" x14ac:dyDescent="0.25">
      <c r="B583" s="91">
        <v>573</v>
      </c>
      <c r="C583" s="92" t="s">
        <v>504</v>
      </c>
      <c r="D583" s="92" t="s">
        <v>51</v>
      </c>
      <c r="E583" s="92" t="s">
        <v>63</v>
      </c>
      <c r="F583" s="92" t="s">
        <v>63</v>
      </c>
      <c r="G583" s="101" t="s">
        <v>502</v>
      </c>
      <c r="H583" s="94">
        <v>12517</v>
      </c>
      <c r="I583" s="94">
        <v>7196</v>
      </c>
      <c r="J583" s="94">
        <v>5321</v>
      </c>
      <c r="K583" s="94">
        <v>1166</v>
      </c>
      <c r="L583" s="94">
        <v>3371</v>
      </c>
      <c r="M583" s="94">
        <v>5750</v>
      </c>
      <c r="N583" s="94">
        <v>2230</v>
      </c>
      <c r="O583" s="94">
        <v>12514</v>
      </c>
      <c r="P583" s="94">
        <v>3</v>
      </c>
      <c r="Q583" s="95">
        <v>0.12628388617612399</v>
      </c>
      <c r="R583" s="95">
        <v>8.7196628397035306E-2</v>
      </c>
      <c r="S583" s="95">
        <v>0.18010806483890299</v>
      </c>
      <c r="T583" s="95">
        <v>0.18433179723502299</v>
      </c>
      <c r="U583" s="95">
        <v>0.15683814303638599</v>
      </c>
      <c r="V583" s="95">
        <v>9.1407678244972604E-2</v>
      </c>
      <c r="W583" s="95">
        <v>0.140515222482436</v>
      </c>
      <c r="X583" s="95">
        <v>0.12631578947368399</v>
      </c>
      <c r="Y583" s="95">
        <v>0</v>
      </c>
      <c r="Z583" s="94">
        <v>13726</v>
      </c>
      <c r="AA583" s="94">
        <v>7778</v>
      </c>
      <c r="AB583" s="94">
        <v>5948</v>
      </c>
      <c r="AC583" s="94">
        <v>987</v>
      </c>
      <c r="AD583" s="94">
        <v>3427</v>
      </c>
      <c r="AE583" s="94">
        <v>6560</v>
      </c>
      <c r="AF583" s="94">
        <v>2752</v>
      </c>
      <c r="AG583" s="94">
        <v>12607</v>
      </c>
      <c r="AH583" s="94">
        <v>916</v>
      </c>
      <c r="AI583" s="94">
        <v>203</v>
      </c>
      <c r="AJ583" s="94">
        <v>13660</v>
      </c>
      <c r="AK583" s="94">
        <v>8</v>
      </c>
      <c r="AL583" s="94">
        <v>58</v>
      </c>
      <c r="AM583" s="94">
        <v>1058</v>
      </c>
      <c r="AN583" s="94">
        <v>12398</v>
      </c>
      <c r="AO583" s="94">
        <v>270</v>
      </c>
      <c r="AP583" s="95">
        <v>0.88235294117647101</v>
      </c>
      <c r="AQ583" s="95">
        <v>0.237279198523596</v>
      </c>
      <c r="AR583" s="95">
        <v>1.7448008459640501</v>
      </c>
      <c r="AS583" s="95">
        <v>2.4416135881104002</v>
      </c>
      <c r="AT583" s="95">
        <v>1.2519083969465601</v>
      </c>
      <c r="AU583" s="95">
        <v>0.73957513768686101</v>
      </c>
      <c r="AV583" s="95">
        <v>0.223214285714286</v>
      </c>
      <c r="AW583" s="95">
        <v>0.84446995162744898</v>
      </c>
      <c r="AX583" s="95">
        <v>1.6073478760045901</v>
      </c>
      <c r="AY583" s="95">
        <v>0</v>
      </c>
      <c r="AZ583" s="95">
        <v>0.88636363636363602</v>
      </c>
      <c r="BA583" s="95">
        <v>0</v>
      </c>
      <c r="BB583" s="95">
        <v>0</v>
      </c>
      <c r="BC583" s="95">
        <v>0.581395348837209</v>
      </c>
      <c r="BD583" s="95">
        <v>0.91076203208556195</v>
      </c>
      <c r="BE583" s="95">
        <v>0.76923076923076905</v>
      </c>
    </row>
    <row r="584" spans="2:57" ht="15" customHeight="1" x14ac:dyDescent="0.25">
      <c r="B584" s="86">
        <v>574</v>
      </c>
      <c r="C584" s="87" t="s">
        <v>503</v>
      </c>
      <c r="D584" s="103" t="s">
        <v>51</v>
      </c>
      <c r="E584" s="103" t="s">
        <v>373</v>
      </c>
      <c r="F584" s="103"/>
      <c r="G584" s="88" t="s">
        <v>373</v>
      </c>
      <c r="H584" s="89">
        <v>66472</v>
      </c>
      <c r="I584" s="89">
        <v>41012</v>
      </c>
      <c r="J584" s="89">
        <v>25460</v>
      </c>
      <c r="K584" s="89">
        <v>6713</v>
      </c>
      <c r="L584" s="89">
        <v>21628</v>
      </c>
      <c r="M584" s="89">
        <v>32758</v>
      </c>
      <c r="N584" s="89">
        <v>5373</v>
      </c>
      <c r="O584" s="89">
        <v>66355</v>
      </c>
      <c r="P584" s="89">
        <v>117</v>
      </c>
      <c r="Q584" s="90">
        <v>0.60550869120654405</v>
      </c>
      <c r="R584" s="90">
        <v>0.30947083045602197</v>
      </c>
      <c r="S584" s="90">
        <v>1.0981994636700301</v>
      </c>
      <c r="T584" s="90">
        <v>0.91610414657666395</v>
      </c>
      <c r="U584" s="90">
        <v>0.70523963248075505</v>
      </c>
      <c r="V584" s="90">
        <v>0.51054811675175804</v>
      </c>
      <c r="W584" s="90">
        <v>0.41241162608012599</v>
      </c>
      <c r="X584" s="90">
        <v>0.604877424310312</v>
      </c>
      <c r="Y584" s="90">
        <v>1</v>
      </c>
      <c r="Z584" s="89">
        <v>99157</v>
      </c>
      <c r="AA584" s="89">
        <v>56934</v>
      </c>
      <c r="AB584" s="89">
        <v>42223</v>
      </c>
      <c r="AC584" s="89">
        <v>6647</v>
      </c>
      <c r="AD584" s="89">
        <v>31166</v>
      </c>
      <c r="AE584" s="89">
        <v>51349</v>
      </c>
      <c r="AF584" s="89">
        <v>9995</v>
      </c>
      <c r="AG584" s="89">
        <v>74912</v>
      </c>
      <c r="AH584" s="89">
        <v>23437</v>
      </c>
      <c r="AI584" s="89">
        <v>808</v>
      </c>
      <c r="AJ584" s="89">
        <v>98405</v>
      </c>
      <c r="AK584" s="89">
        <v>431</v>
      </c>
      <c r="AL584" s="89">
        <v>321</v>
      </c>
      <c r="AM584" s="89">
        <v>4693</v>
      </c>
      <c r="AN584" s="89">
        <v>93529</v>
      </c>
      <c r="AO584" s="89">
        <v>935</v>
      </c>
      <c r="AP584" s="90">
        <v>3.0782318283499799</v>
      </c>
      <c r="AQ584" s="90">
        <v>1.06674354908462</v>
      </c>
      <c r="AR584" s="90">
        <v>5.8885727952468496</v>
      </c>
      <c r="AS584" s="90">
        <v>5.1487048289094997</v>
      </c>
      <c r="AT584" s="90">
        <v>3.7773292970063901</v>
      </c>
      <c r="AU584" s="90">
        <v>2.7032479322170699</v>
      </c>
      <c r="AV584" s="90">
        <v>1.5109179343889101</v>
      </c>
      <c r="AW584" s="90">
        <v>2.53793026932571</v>
      </c>
      <c r="AX584" s="90">
        <v>4.8254252461951701</v>
      </c>
      <c r="AY584" s="90">
        <v>2.9831387808041501</v>
      </c>
      <c r="AZ584" s="90">
        <v>3.0585148588174298</v>
      </c>
      <c r="BA584" s="90">
        <v>8.2474226804123703</v>
      </c>
      <c r="BB584" s="90">
        <v>2.6143790849673199</v>
      </c>
      <c r="BC584" s="90">
        <v>2.6985180269851798</v>
      </c>
      <c r="BD584" s="90">
        <v>3.1078447747898199</v>
      </c>
      <c r="BE584" s="90">
        <v>2.0202020202020199</v>
      </c>
    </row>
    <row r="585" spans="2:57" ht="15" customHeight="1" x14ac:dyDescent="0.25">
      <c r="B585" s="91">
        <v>575</v>
      </c>
      <c r="C585" s="92" t="s">
        <v>503</v>
      </c>
      <c r="D585" s="92" t="s">
        <v>51</v>
      </c>
      <c r="E585" s="92" t="s">
        <v>373</v>
      </c>
      <c r="F585" s="92"/>
      <c r="G585" s="93" t="s">
        <v>501</v>
      </c>
      <c r="H585" s="94">
        <v>14374</v>
      </c>
      <c r="I585" s="94">
        <v>8319</v>
      </c>
      <c r="J585" s="94">
        <v>6055</v>
      </c>
      <c r="K585" s="94">
        <v>1420</v>
      </c>
      <c r="L585" s="94">
        <v>5637</v>
      </c>
      <c r="M585" s="94">
        <v>6661</v>
      </c>
      <c r="N585" s="94">
        <v>656</v>
      </c>
      <c r="O585" s="94">
        <v>14310</v>
      </c>
      <c r="P585" s="94">
        <v>64</v>
      </c>
      <c r="Q585" s="95">
        <v>2.0547425885207402</v>
      </c>
      <c r="R585" s="95">
        <v>1.15001938234914</v>
      </c>
      <c r="S585" s="95">
        <v>3.3394495412844001</v>
      </c>
      <c r="T585" s="95">
        <v>3.0182684670373301</v>
      </c>
      <c r="U585" s="95">
        <v>2.0935237722559199</v>
      </c>
      <c r="V585" s="95">
        <v>1.7880154639175301</v>
      </c>
      <c r="W585" s="95">
        <v>2.4549918166939402</v>
      </c>
      <c r="X585" s="95">
        <v>2.0562028786840298</v>
      </c>
      <c r="Y585" s="95">
        <v>1.72413793103448</v>
      </c>
      <c r="Z585" s="94">
        <v>31294</v>
      </c>
      <c r="AA585" s="94">
        <v>16704</v>
      </c>
      <c r="AB585" s="94">
        <v>14590</v>
      </c>
      <c r="AC585" s="94">
        <v>2229</v>
      </c>
      <c r="AD585" s="94">
        <v>11230</v>
      </c>
      <c r="AE585" s="94">
        <v>15938</v>
      </c>
      <c r="AF585" s="94">
        <v>1897</v>
      </c>
      <c r="AG585" s="94">
        <v>20199</v>
      </c>
      <c r="AH585" s="94">
        <v>10879</v>
      </c>
      <c r="AI585" s="94">
        <v>216</v>
      </c>
      <c r="AJ585" s="94">
        <v>31002</v>
      </c>
      <c r="AK585" s="94">
        <v>202</v>
      </c>
      <c r="AL585" s="94">
        <v>90</v>
      </c>
      <c r="AM585" s="94">
        <v>1332</v>
      </c>
      <c r="AN585" s="94">
        <v>29738</v>
      </c>
      <c r="AO585" s="94">
        <v>224</v>
      </c>
      <c r="AP585" s="95">
        <v>6.7693541381269</v>
      </c>
      <c r="AQ585" s="95">
        <v>2.6964895930413202</v>
      </c>
      <c r="AR585" s="95">
        <v>11.5078791383548</v>
      </c>
      <c r="AS585" s="95">
        <v>10.0283822138127</v>
      </c>
      <c r="AT585" s="95">
        <v>7.1823204419889501</v>
      </c>
      <c r="AU585" s="95">
        <v>6.1961347610342097</v>
      </c>
      <c r="AV585" s="95">
        <v>5.3846153846153904</v>
      </c>
      <c r="AW585" s="95">
        <v>5.9772247127325198</v>
      </c>
      <c r="AX585" s="95">
        <v>8.2089552238806007</v>
      </c>
      <c r="AY585" s="95">
        <v>9.3137254901960809</v>
      </c>
      <c r="AZ585" s="95">
        <v>6.74691482905118</v>
      </c>
      <c r="BA585" s="95">
        <v>10.752688172042999</v>
      </c>
      <c r="BB585" s="95">
        <v>5.8823529411764701</v>
      </c>
      <c r="BC585" s="95">
        <v>7.0597362296353801</v>
      </c>
      <c r="BD585" s="95">
        <v>6.7654095130875298</v>
      </c>
      <c r="BE585" s="95">
        <v>5.5555555555555598</v>
      </c>
    </row>
    <row r="586" spans="2:57" ht="15" customHeight="1" x14ac:dyDescent="0.25">
      <c r="B586" s="91">
        <v>576</v>
      </c>
      <c r="C586" s="92" t="s">
        <v>503</v>
      </c>
      <c r="D586" s="92" t="s">
        <v>51</v>
      </c>
      <c r="E586" s="92" t="s">
        <v>373</v>
      </c>
      <c r="F586" s="92"/>
      <c r="G586" s="93" t="s">
        <v>502</v>
      </c>
      <c r="H586" s="94">
        <v>52098</v>
      </c>
      <c r="I586" s="94">
        <v>32693</v>
      </c>
      <c r="J586" s="94">
        <v>19405</v>
      </c>
      <c r="K586" s="94">
        <v>5293</v>
      </c>
      <c r="L586" s="94">
        <v>15991</v>
      </c>
      <c r="M586" s="94">
        <v>26097</v>
      </c>
      <c r="N586" s="94">
        <v>4717</v>
      </c>
      <c r="O586" s="94">
        <v>52045</v>
      </c>
      <c r="P586" s="94">
        <v>53</v>
      </c>
      <c r="Q586" s="95">
        <v>0.218610205857944</v>
      </c>
      <c r="R586" s="95">
        <v>0.102040816326531</v>
      </c>
      <c r="S586" s="95">
        <v>0.42121598403813099</v>
      </c>
      <c r="T586" s="95">
        <v>0.38283296393310501</v>
      </c>
      <c r="U586" s="95">
        <v>0.232960596379127</v>
      </c>
      <c r="V586" s="95">
        <v>0.192500501303389</v>
      </c>
      <c r="W586" s="95">
        <v>0.13389868332961399</v>
      </c>
      <c r="X586" s="95">
        <v>0.21879621563582599</v>
      </c>
      <c r="Y586" s="95">
        <v>0</v>
      </c>
      <c r="Z586" s="94">
        <v>67863</v>
      </c>
      <c r="AA586" s="94">
        <v>40230</v>
      </c>
      <c r="AB586" s="94">
        <v>27633</v>
      </c>
      <c r="AC586" s="94">
        <v>4418</v>
      </c>
      <c r="AD586" s="94">
        <v>19936</v>
      </c>
      <c r="AE586" s="94">
        <v>35411</v>
      </c>
      <c r="AF586" s="94">
        <v>8098</v>
      </c>
      <c r="AG586" s="94">
        <v>54713</v>
      </c>
      <c r="AH586" s="94">
        <v>12558</v>
      </c>
      <c r="AI586" s="94">
        <v>592</v>
      </c>
      <c r="AJ586" s="94">
        <v>67403</v>
      </c>
      <c r="AK586" s="94">
        <v>229</v>
      </c>
      <c r="AL586" s="94">
        <v>231</v>
      </c>
      <c r="AM586" s="94">
        <v>3361</v>
      </c>
      <c r="AN586" s="94">
        <v>63791</v>
      </c>
      <c r="AO586" s="94">
        <v>711</v>
      </c>
      <c r="AP586" s="95">
        <v>1.38616591104031</v>
      </c>
      <c r="AQ586" s="95">
        <v>0.401005050633233</v>
      </c>
      <c r="AR586" s="95">
        <v>2.8856182639935102</v>
      </c>
      <c r="AS586" s="95">
        <v>2.6570048309178702</v>
      </c>
      <c r="AT586" s="95">
        <v>1.86866831137473</v>
      </c>
      <c r="AU586" s="95">
        <v>1.1414725287557701</v>
      </c>
      <c r="AV586" s="95">
        <v>0.61201071018742803</v>
      </c>
      <c r="AW586" s="95">
        <v>1.27137137327084</v>
      </c>
      <c r="AX586" s="95">
        <v>1.92147729163201</v>
      </c>
      <c r="AY586" s="95">
        <v>0.70546737213403898</v>
      </c>
      <c r="AZ586" s="95">
        <v>1.3720804748323401</v>
      </c>
      <c r="BA586" s="95">
        <v>5.9405940594059397</v>
      </c>
      <c r="BB586" s="95">
        <v>1.3574660633484199</v>
      </c>
      <c r="BC586" s="95">
        <v>0.95915841584158401</v>
      </c>
      <c r="BD586" s="95">
        <v>1.41411837539304</v>
      </c>
      <c r="BE586" s="95">
        <v>0.88888888888888895</v>
      </c>
    </row>
    <row r="587" spans="2:57" ht="15" customHeight="1" x14ac:dyDescent="0.25">
      <c r="B587" s="96">
        <v>577</v>
      </c>
      <c r="C587" s="97" t="s">
        <v>504</v>
      </c>
      <c r="D587" s="104" t="s">
        <v>51</v>
      </c>
      <c r="E587" s="104" t="s">
        <v>373</v>
      </c>
      <c r="F587" s="104" t="s">
        <v>180</v>
      </c>
      <c r="G587" s="105" t="s">
        <v>180</v>
      </c>
      <c r="H587" s="106">
        <v>7293</v>
      </c>
      <c r="I587" s="106">
        <v>4389</v>
      </c>
      <c r="J587" s="106">
        <v>2904</v>
      </c>
      <c r="K587" s="106">
        <v>901</v>
      </c>
      <c r="L587" s="106">
        <v>2212</v>
      </c>
      <c r="M587" s="106">
        <v>3285</v>
      </c>
      <c r="N587" s="106">
        <v>895</v>
      </c>
      <c r="O587" s="106">
        <v>7287</v>
      </c>
      <c r="P587" s="106">
        <v>6</v>
      </c>
      <c r="Q587" s="107">
        <v>0.30311778290993102</v>
      </c>
      <c r="R587" s="107">
        <v>9.5034449988120703E-2</v>
      </c>
      <c r="S587" s="107">
        <v>0.62522986392055901</v>
      </c>
      <c r="T587" s="107">
        <v>0.46349942062572402</v>
      </c>
      <c r="U587" s="107">
        <v>0.287907869481766</v>
      </c>
      <c r="V587" s="107">
        <v>0.28781579788935102</v>
      </c>
      <c r="W587" s="107">
        <v>0.23419203747072601</v>
      </c>
      <c r="X587" s="107">
        <v>0.30338052585957798</v>
      </c>
      <c r="Y587" s="107">
        <v>0</v>
      </c>
      <c r="Z587" s="106">
        <v>8839</v>
      </c>
      <c r="AA587" s="106">
        <v>4979</v>
      </c>
      <c r="AB587" s="106">
        <v>3860</v>
      </c>
      <c r="AC587" s="106">
        <v>673</v>
      </c>
      <c r="AD587" s="106">
        <v>2848</v>
      </c>
      <c r="AE587" s="106">
        <v>4158</v>
      </c>
      <c r="AF587" s="106">
        <v>1160</v>
      </c>
      <c r="AG587" s="106">
        <v>7536</v>
      </c>
      <c r="AH587" s="106">
        <v>1246</v>
      </c>
      <c r="AI587" s="106">
        <v>57</v>
      </c>
      <c r="AJ587" s="106">
        <v>8778</v>
      </c>
      <c r="AK587" s="106">
        <v>18</v>
      </c>
      <c r="AL587" s="106">
        <v>43</v>
      </c>
      <c r="AM587" s="106">
        <v>486</v>
      </c>
      <c r="AN587" s="106">
        <v>8234</v>
      </c>
      <c r="AO587" s="106">
        <v>119</v>
      </c>
      <c r="AP587" s="107">
        <v>1.3495760181535901</v>
      </c>
      <c r="AQ587" s="107">
        <v>0.30902348578492</v>
      </c>
      <c r="AR587" s="107">
        <v>2.7848820687695399</v>
      </c>
      <c r="AS587" s="107">
        <v>2.9411764705882399</v>
      </c>
      <c r="AT587" s="107">
        <v>1.26771066368382</v>
      </c>
      <c r="AU587" s="107">
        <v>1.2807634354595701</v>
      </c>
      <c r="AV587" s="107">
        <v>0.91157702825888798</v>
      </c>
      <c r="AW587" s="107">
        <v>1.3861663399608</v>
      </c>
      <c r="AX587" s="107">
        <v>1.1894647408666099</v>
      </c>
      <c r="AY587" s="107">
        <v>0</v>
      </c>
      <c r="AZ587" s="107">
        <v>1.34680134680135</v>
      </c>
      <c r="BA587" s="107">
        <v>0</v>
      </c>
      <c r="BB587" s="107">
        <v>2.5</v>
      </c>
      <c r="BC587" s="107">
        <v>1.3043478260869601</v>
      </c>
      <c r="BD587" s="107">
        <v>1.3582778062531999</v>
      </c>
      <c r="BE587" s="107">
        <v>0.91743119266055095</v>
      </c>
    </row>
    <row r="588" spans="2:57" ht="15" customHeight="1" x14ac:dyDescent="0.25">
      <c r="B588" s="91">
        <v>578</v>
      </c>
      <c r="C588" s="92" t="s">
        <v>504</v>
      </c>
      <c r="D588" s="92" t="s">
        <v>51</v>
      </c>
      <c r="E588" s="92" t="s">
        <v>373</v>
      </c>
      <c r="F588" s="92" t="s">
        <v>180</v>
      </c>
      <c r="G588" s="101" t="s">
        <v>501</v>
      </c>
      <c r="H588" s="94">
        <v>0</v>
      </c>
      <c r="I588" s="94">
        <v>0</v>
      </c>
      <c r="J588" s="94">
        <v>0</v>
      </c>
      <c r="K588" s="94">
        <v>0</v>
      </c>
      <c r="L588" s="94">
        <v>0</v>
      </c>
      <c r="M588" s="94">
        <v>0</v>
      </c>
      <c r="N588" s="94">
        <v>0</v>
      </c>
      <c r="O588" s="94">
        <v>0</v>
      </c>
      <c r="P588" s="94">
        <v>0</v>
      </c>
      <c r="Q588" s="95">
        <v>0</v>
      </c>
      <c r="R588" s="95">
        <v>0</v>
      </c>
      <c r="S588" s="95">
        <v>0</v>
      </c>
      <c r="T588" s="95">
        <v>0</v>
      </c>
      <c r="U588" s="95">
        <v>0</v>
      </c>
      <c r="V588" s="95">
        <v>0</v>
      </c>
      <c r="W588" s="95">
        <v>0</v>
      </c>
      <c r="X588" s="95">
        <v>0</v>
      </c>
      <c r="Y588" s="95">
        <v>0</v>
      </c>
      <c r="Z588" s="94">
        <v>0</v>
      </c>
      <c r="AA588" s="94">
        <v>0</v>
      </c>
      <c r="AB588" s="94">
        <v>0</v>
      </c>
      <c r="AC588" s="94">
        <v>0</v>
      </c>
      <c r="AD588" s="94">
        <v>0</v>
      </c>
      <c r="AE588" s="94">
        <v>0</v>
      </c>
      <c r="AF588" s="94">
        <v>0</v>
      </c>
      <c r="AG588" s="94">
        <v>0</v>
      </c>
      <c r="AH588" s="94">
        <v>0</v>
      </c>
      <c r="AI588" s="94">
        <v>0</v>
      </c>
      <c r="AJ588" s="94">
        <v>0</v>
      </c>
      <c r="AK588" s="94">
        <v>0</v>
      </c>
      <c r="AL588" s="94">
        <v>0</v>
      </c>
      <c r="AM588" s="94">
        <v>0</v>
      </c>
      <c r="AN588" s="94">
        <v>0</v>
      </c>
      <c r="AO588" s="94">
        <v>0</v>
      </c>
      <c r="AP588" s="95">
        <v>0</v>
      </c>
      <c r="AQ588" s="95">
        <v>0</v>
      </c>
      <c r="AR588" s="95">
        <v>0</v>
      </c>
      <c r="AS588" s="95">
        <v>0</v>
      </c>
      <c r="AT588" s="95">
        <v>0</v>
      </c>
      <c r="AU588" s="95">
        <v>0</v>
      </c>
      <c r="AV588" s="95">
        <v>0</v>
      </c>
      <c r="AW588" s="95">
        <v>0</v>
      </c>
      <c r="AX588" s="95">
        <v>0</v>
      </c>
      <c r="AY588" s="95">
        <v>0</v>
      </c>
      <c r="AZ588" s="95">
        <v>0</v>
      </c>
      <c r="BA588" s="95">
        <v>0</v>
      </c>
      <c r="BB588" s="95">
        <v>0</v>
      </c>
      <c r="BC588" s="95">
        <v>0</v>
      </c>
      <c r="BD588" s="95">
        <v>0</v>
      </c>
      <c r="BE588" s="95">
        <v>0</v>
      </c>
    </row>
    <row r="589" spans="2:57" ht="15" customHeight="1" x14ac:dyDescent="0.25">
      <c r="B589" s="91">
        <v>579</v>
      </c>
      <c r="C589" s="92" t="s">
        <v>504</v>
      </c>
      <c r="D589" s="92" t="s">
        <v>51</v>
      </c>
      <c r="E589" s="92" t="s">
        <v>373</v>
      </c>
      <c r="F589" s="92" t="s">
        <v>180</v>
      </c>
      <c r="G589" s="101" t="s">
        <v>502</v>
      </c>
      <c r="H589" s="94">
        <v>7293</v>
      </c>
      <c r="I589" s="94">
        <v>4389</v>
      </c>
      <c r="J589" s="94">
        <v>2904</v>
      </c>
      <c r="K589" s="94">
        <v>901</v>
      </c>
      <c r="L589" s="94">
        <v>2212</v>
      </c>
      <c r="M589" s="94">
        <v>3285</v>
      </c>
      <c r="N589" s="94">
        <v>895</v>
      </c>
      <c r="O589" s="94">
        <v>7287</v>
      </c>
      <c r="P589" s="94">
        <v>6</v>
      </c>
      <c r="Q589" s="95">
        <v>0.30311778290993102</v>
      </c>
      <c r="R589" s="95">
        <v>9.5034449988120703E-2</v>
      </c>
      <c r="S589" s="95">
        <v>0.62522986392055901</v>
      </c>
      <c r="T589" s="95">
        <v>0.46349942062572402</v>
      </c>
      <c r="U589" s="95">
        <v>0.287907869481766</v>
      </c>
      <c r="V589" s="95">
        <v>0.28781579788935102</v>
      </c>
      <c r="W589" s="95">
        <v>0.23419203747072601</v>
      </c>
      <c r="X589" s="95">
        <v>0.30338052585957798</v>
      </c>
      <c r="Y589" s="95">
        <v>0</v>
      </c>
      <c r="Z589" s="94">
        <v>8839</v>
      </c>
      <c r="AA589" s="94">
        <v>4979</v>
      </c>
      <c r="AB589" s="94">
        <v>3860</v>
      </c>
      <c r="AC589" s="94">
        <v>673</v>
      </c>
      <c r="AD589" s="94">
        <v>2848</v>
      </c>
      <c r="AE589" s="94">
        <v>4158</v>
      </c>
      <c r="AF589" s="94">
        <v>1160</v>
      </c>
      <c r="AG589" s="94">
        <v>7536</v>
      </c>
      <c r="AH589" s="94">
        <v>1246</v>
      </c>
      <c r="AI589" s="94">
        <v>57</v>
      </c>
      <c r="AJ589" s="94">
        <v>8778</v>
      </c>
      <c r="AK589" s="94">
        <v>18</v>
      </c>
      <c r="AL589" s="94">
        <v>43</v>
      </c>
      <c r="AM589" s="94">
        <v>486</v>
      </c>
      <c r="AN589" s="94">
        <v>8234</v>
      </c>
      <c r="AO589" s="94">
        <v>119</v>
      </c>
      <c r="AP589" s="95">
        <v>1.3495760181535901</v>
      </c>
      <c r="AQ589" s="95">
        <v>0.30902348578492</v>
      </c>
      <c r="AR589" s="95">
        <v>2.7848820687695399</v>
      </c>
      <c r="AS589" s="95">
        <v>2.9411764705882399</v>
      </c>
      <c r="AT589" s="95">
        <v>1.26771066368382</v>
      </c>
      <c r="AU589" s="95">
        <v>1.2807634354595701</v>
      </c>
      <c r="AV589" s="95">
        <v>0.91157702825888798</v>
      </c>
      <c r="AW589" s="95">
        <v>1.3861663399608</v>
      </c>
      <c r="AX589" s="95">
        <v>1.1894647408666099</v>
      </c>
      <c r="AY589" s="95">
        <v>0</v>
      </c>
      <c r="AZ589" s="95">
        <v>1.34680134680135</v>
      </c>
      <c r="BA589" s="95">
        <v>0</v>
      </c>
      <c r="BB589" s="95">
        <v>2.5</v>
      </c>
      <c r="BC589" s="95">
        <v>1.3043478260869601</v>
      </c>
      <c r="BD589" s="95">
        <v>1.3582778062531999</v>
      </c>
      <c r="BE589" s="95">
        <v>0.91743119266055095</v>
      </c>
    </row>
    <row r="590" spans="2:57" ht="15" customHeight="1" x14ac:dyDescent="0.25">
      <c r="B590" s="96">
        <v>580</v>
      </c>
      <c r="C590" s="97" t="s">
        <v>504</v>
      </c>
      <c r="D590" s="104" t="s">
        <v>51</v>
      </c>
      <c r="E590" s="104" t="s">
        <v>373</v>
      </c>
      <c r="F590" s="104" t="s">
        <v>205</v>
      </c>
      <c r="G590" s="105" t="s">
        <v>205</v>
      </c>
      <c r="H590" s="106">
        <v>4931</v>
      </c>
      <c r="I590" s="106">
        <v>2923</v>
      </c>
      <c r="J590" s="106">
        <v>2008</v>
      </c>
      <c r="K590" s="106">
        <v>561</v>
      </c>
      <c r="L590" s="106">
        <v>1441</v>
      </c>
      <c r="M590" s="106">
        <v>2353</v>
      </c>
      <c r="N590" s="106">
        <v>576</v>
      </c>
      <c r="O590" s="106">
        <v>4929</v>
      </c>
      <c r="P590" s="106">
        <v>2</v>
      </c>
      <c r="Q590" s="107">
        <v>0.17346053772766701</v>
      </c>
      <c r="R590" s="107">
        <v>7.2124053371799501E-2</v>
      </c>
      <c r="S590" s="107">
        <v>0.32626427406198999</v>
      </c>
      <c r="T590" s="107">
        <v>0.37664783427495302</v>
      </c>
      <c r="U590" s="107">
        <v>0</v>
      </c>
      <c r="V590" s="107">
        <v>0.22696323195642301</v>
      </c>
      <c r="W590" s="107">
        <v>0.18832391713747601</v>
      </c>
      <c r="X590" s="107">
        <v>0.17353579175705</v>
      </c>
      <c r="Y590" s="107">
        <v>0</v>
      </c>
      <c r="Z590" s="106">
        <v>6849</v>
      </c>
      <c r="AA590" s="106">
        <v>3861</v>
      </c>
      <c r="AB590" s="106">
        <v>2988</v>
      </c>
      <c r="AC590" s="106">
        <v>547</v>
      </c>
      <c r="AD590" s="106">
        <v>2148</v>
      </c>
      <c r="AE590" s="106">
        <v>3283</v>
      </c>
      <c r="AF590" s="106">
        <v>871</v>
      </c>
      <c r="AG590" s="106">
        <v>5665</v>
      </c>
      <c r="AH590" s="106">
        <v>1134</v>
      </c>
      <c r="AI590" s="106">
        <v>50</v>
      </c>
      <c r="AJ590" s="106">
        <v>6809</v>
      </c>
      <c r="AK590" s="106">
        <v>15</v>
      </c>
      <c r="AL590" s="106">
        <v>25</v>
      </c>
      <c r="AM590" s="106">
        <v>376</v>
      </c>
      <c r="AN590" s="106">
        <v>6409</v>
      </c>
      <c r="AO590" s="106">
        <v>64</v>
      </c>
      <c r="AP590" s="107">
        <v>1.1718155531882499</v>
      </c>
      <c r="AQ590" s="107">
        <v>0.185283218634198</v>
      </c>
      <c r="AR590" s="107">
        <v>2.5062656641604</v>
      </c>
      <c r="AS590" s="107">
        <v>2.3762376237623801</v>
      </c>
      <c r="AT590" s="107">
        <v>1.46699266503667</v>
      </c>
      <c r="AU590" s="107">
        <v>0.94607379375591305</v>
      </c>
      <c r="AV590" s="107">
        <v>0.58823529411764697</v>
      </c>
      <c r="AW590" s="107">
        <v>1.0857563489142401</v>
      </c>
      <c r="AX590" s="107">
        <v>1.5625</v>
      </c>
      <c r="AY590" s="107">
        <v>2.0408163265306101</v>
      </c>
      <c r="AZ590" s="107">
        <v>1.17899249732047</v>
      </c>
      <c r="BA590" s="107">
        <v>0</v>
      </c>
      <c r="BB590" s="107">
        <v>0</v>
      </c>
      <c r="BC590" s="107">
        <v>0.55555555555555602</v>
      </c>
      <c r="BD590" s="107">
        <v>1.20305641359129</v>
      </c>
      <c r="BE590" s="107">
        <v>1.6666666666666701</v>
      </c>
    </row>
    <row r="591" spans="2:57" ht="15" customHeight="1" x14ac:dyDescent="0.25">
      <c r="B591" s="91">
        <v>581</v>
      </c>
      <c r="C591" s="92" t="s">
        <v>504</v>
      </c>
      <c r="D591" s="92" t="s">
        <v>51</v>
      </c>
      <c r="E591" s="92" t="s">
        <v>373</v>
      </c>
      <c r="F591" s="92" t="s">
        <v>205</v>
      </c>
      <c r="G591" s="101" t="s">
        <v>501</v>
      </c>
      <c r="H591" s="94">
        <v>0</v>
      </c>
      <c r="I591" s="94">
        <v>0</v>
      </c>
      <c r="J591" s="94">
        <v>0</v>
      </c>
      <c r="K591" s="94">
        <v>0</v>
      </c>
      <c r="L591" s="94">
        <v>0</v>
      </c>
      <c r="M591" s="94">
        <v>0</v>
      </c>
      <c r="N591" s="94">
        <v>0</v>
      </c>
      <c r="O591" s="94">
        <v>0</v>
      </c>
      <c r="P591" s="94">
        <v>0</v>
      </c>
      <c r="Q591" s="95">
        <v>0</v>
      </c>
      <c r="R591" s="95">
        <v>0</v>
      </c>
      <c r="S591" s="95">
        <v>0</v>
      </c>
      <c r="T591" s="95">
        <v>0</v>
      </c>
      <c r="U591" s="95">
        <v>0</v>
      </c>
      <c r="V591" s="95">
        <v>0</v>
      </c>
      <c r="W591" s="95">
        <v>0</v>
      </c>
      <c r="X591" s="95">
        <v>0</v>
      </c>
      <c r="Y591" s="95">
        <v>0</v>
      </c>
      <c r="Z591" s="94">
        <v>0</v>
      </c>
      <c r="AA591" s="94">
        <v>0</v>
      </c>
      <c r="AB591" s="94">
        <v>0</v>
      </c>
      <c r="AC591" s="94">
        <v>0</v>
      </c>
      <c r="AD591" s="94">
        <v>0</v>
      </c>
      <c r="AE591" s="94">
        <v>0</v>
      </c>
      <c r="AF591" s="94">
        <v>0</v>
      </c>
      <c r="AG591" s="94">
        <v>0</v>
      </c>
      <c r="AH591" s="94">
        <v>0</v>
      </c>
      <c r="AI591" s="94">
        <v>0</v>
      </c>
      <c r="AJ591" s="94">
        <v>0</v>
      </c>
      <c r="AK591" s="94">
        <v>0</v>
      </c>
      <c r="AL591" s="94">
        <v>0</v>
      </c>
      <c r="AM591" s="94">
        <v>0</v>
      </c>
      <c r="AN591" s="94">
        <v>0</v>
      </c>
      <c r="AO591" s="94">
        <v>0</v>
      </c>
      <c r="AP591" s="95">
        <v>0</v>
      </c>
      <c r="AQ591" s="95">
        <v>0</v>
      </c>
      <c r="AR591" s="95">
        <v>0</v>
      </c>
      <c r="AS591" s="95">
        <v>0</v>
      </c>
      <c r="AT591" s="95">
        <v>0</v>
      </c>
      <c r="AU591" s="95">
        <v>0</v>
      </c>
      <c r="AV591" s="95">
        <v>0</v>
      </c>
      <c r="AW591" s="95">
        <v>0</v>
      </c>
      <c r="AX591" s="95">
        <v>0</v>
      </c>
      <c r="AY591" s="95">
        <v>0</v>
      </c>
      <c r="AZ591" s="95">
        <v>0</v>
      </c>
      <c r="BA591" s="95">
        <v>0</v>
      </c>
      <c r="BB591" s="95">
        <v>0</v>
      </c>
      <c r="BC591" s="95">
        <v>0</v>
      </c>
      <c r="BD591" s="95">
        <v>0</v>
      </c>
      <c r="BE591" s="95">
        <v>0</v>
      </c>
    </row>
    <row r="592" spans="2:57" ht="15" customHeight="1" x14ac:dyDescent="0.25">
      <c r="B592" s="91">
        <v>582</v>
      </c>
      <c r="C592" s="92" t="s">
        <v>504</v>
      </c>
      <c r="D592" s="92" t="s">
        <v>51</v>
      </c>
      <c r="E592" s="92" t="s">
        <v>373</v>
      </c>
      <c r="F592" s="92" t="s">
        <v>205</v>
      </c>
      <c r="G592" s="101" t="s">
        <v>502</v>
      </c>
      <c r="H592" s="94">
        <v>4931</v>
      </c>
      <c r="I592" s="94">
        <v>2923</v>
      </c>
      <c r="J592" s="94">
        <v>2008</v>
      </c>
      <c r="K592" s="94">
        <v>561</v>
      </c>
      <c r="L592" s="94">
        <v>1441</v>
      </c>
      <c r="M592" s="94">
        <v>2353</v>
      </c>
      <c r="N592" s="94">
        <v>576</v>
      </c>
      <c r="O592" s="94">
        <v>4929</v>
      </c>
      <c r="P592" s="94">
        <v>2</v>
      </c>
      <c r="Q592" s="95">
        <v>0.17346053772766701</v>
      </c>
      <c r="R592" s="95">
        <v>7.2124053371799501E-2</v>
      </c>
      <c r="S592" s="95">
        <v>0.32626427406198999</v>
      </c>
      <c r="T592" s="95">
        <v>0.37664783427495302</v>
      </c>
      <c r="U592" s="95">
        <v>0</v>
      </c>
      <c r="V592" s="95">
        <v>0.22696323195642301</v>
      </c>
      <c r="W592" s="95">
        <v>0.18832391713747601</v>
      </c>
      <c r="X592" s="95">
        <v>0.17353579175705</v>
      </c>
      <c r="Y592" s="95">
        <v>0</v>
      </c>
      <c r="Z592" s="94">
        <v>6849</v>
      </c>
      <c r="AA592" s="94">
        <v>3861</v>
      </c>
      <c r="AB592" s="94">
        <v>2988</v>
      </c>
      <c r="AC592" s="94">
        <v>547</v>
      </c>
      <c r="AD592" s="94">
        <v>2148</v>
      </c>
      <c r="AE592" s="94">
        <v>3283</v>
      </c>
      <c r="AF592" s="94">
        <v>871</v>
      </c>
      <c r="AG592" s="94">
        <v>5665</v>
      </c>
      <c r="AH592" s="94">
        <v>1134</v>
      </c>
      <c r="AI592" s="94">
        <v>50</v>
      </c>
      <c r="AJ592" s="94">
        <v>6809</v>
      </c>
      <c r="AK592" s="94">
        <v>15</v>
      </c>
      <c r="AL592" s="94">
        <v>25</v>
      </c>
      <c r="AM592" s="94">
        <v>376</v>
      </c>
      <c r="AN592" s="94">
        <v>6409</v>
      </c>
      <c r="AO592" s="94">
        <v>64</v>
      </c>
      <c r="AP592" s="95">
        <v>1.1718155531882499</v>
      </c>
      <c r="AQ592" s="95">
        <v>0.185283218634198</v>
      </c>
      <c r="AR592" s="95">
        <v>2.5062656641604</v>
      </c>
      <c r="AS592" s="95">
        <v>2.3762376237623801</v>
      </c>
      <c r="AT592" s="95">
        <v>1.46699266503667</v>
      </c>
      <c r="AU592" s="95">
        <v>0.94607379375591305</v>
      </c>
      <c r="AV592" s="95">
        <v>0.58823529411764697</v>
      </c>
      <c r="AW592" s="95">
        <v>1.0857563489142401</v>
      </c>
      <c r="AX592" s="95">
        <v>1.5625</v>
      </c>
      <c r="AY592" s="95">
        <v>2.0408163265306101</v>
      </c>
      <c r="AZ592" s="95">
        <v>1.17899249732047</v>
      </c>
      <c r="BA592" s="95">
        <v>0</v>
      </c>
      <c r="BB592" s="95">
        <v>0</v>
      </c>
      <c r="BC592" s="95">
        <v>0.55555555555555602</v>
      </c>
      <c r="BD592" s="95">
        <v>1.20305641359129</v>
      </c>
      <c r="BE592" s="95">
        <v>1.6666666666666701</v>
      </c>
    </row>
    <row r="593" spans="2:57" ht="15" customHeight="1" x14ac:dyDescent="0.25">
      <c r="B593" s="96">
        <v>583</v>
      </c>
      <c r="C593" s="97" t="s">
        <v>504</v>
      </c>
      <c r="D593" s="104" t="s">
        <v>51</v>
      </c>
      <c r="E593" s="104" t="s">
        <v>373</v>
      </c>
      <c r="F593" s="104" t="s">
        <v>242</v>
      </c>
      <c r="G593" s="105" t="s">
        <v>242</v>
      </c>
      <c r="H593" s="106">
        <v>5945</v>
      </c>
      <c r="I593" s="106">
        <v>3329</v>
      </c>
      <c r="J593" s="106">
        <v>2616</v>
      </c>
      <c r="K593" s="106">
        <v>736</v>
      </c>
      <c r="L593" s="106">
        <v>1447</v>
      </c>
      <c r="M593" s="106">
        <v>2863</v>
      </c>
      <c r="N593" s="106">
        <v>899</v>
      </c>
      <c r="O593" s="106">
        <v>5931</v>
      </c>
      <c r="P593" s="106">
        <v>14</v>
      </c>
      <c r="Q593" s="107">
        <v>0.21231422505307901</v>
      </c>
      <c r="R593" s="107">
        <v>0.12558869701726799</v>
      </c>
      <c r="S593" s="107">
        <v>0.32428050263477898</v>
      </c>
      <c r="T593" s="107">
        <v>0.43352601156069398</v>
      </c>
      <c r="U593" s="107">
        <v>0.21881838074398199</v>
      </c>
      <c r="V593" s="107">
        <v>0.183351668500183</v>
      </c>
      <c r="W593" s="107">
        <v>0.116009280742459</v>
      </c>
      <c r="X593" s="107">
        <v>0.21257750221434901</v>
      </c>
      <c r="Y593" s="107">
        <v>0</v>
      </c>
      <c r="Z593" s="106">
        <v>7459</v>
      </c>
      <c r="AA593" s="106">
        <v>4069</v>
      </c>
      <c r="AB593" s="106">
        <v>3390</v>
      </c>
      <c r="AC593" s="106">
        <v>471</v>
      </c>
      <c r="AD593" s="106">
        <v>1720</v>
      </c>
      <c r="AE593" s="106">
        <v>3710</v>
      </c>
      <c r="AF593" s="106">
        <v>1558</v>
      </c>
      <c r="AG593" s="106">
        <v>6384</v>
      </c>
      <c r="AH593" s="106">
        <v>993</v>
      </c>
      <c r="AI593" s="106">
        <v>82</v>
      </c>
      <c r="AJ593" s="106">
        <v>7358</v>
      </c>
      <c r="AK593" s="106">
        <v>72</v>
      </c>
      <c r="AL593" s="106">
        <v>29</v>
      </c>
      <c r="AM593" s="106">
        <v>538</v>
      </c>
      <c r="AN593" s="106">
        <v>6799</v>
      </c>
      <c r="AO593" s="106">
        <v>122</v>
      </c>
      <c r="AP593" s="107">
        <v>0.86365567039501601</v>
      </c>
      <c r="AQ593" s="107">
        <v>0.37773860488541899</v>
      </c>
      <c r="AR593" s="107">
        <v>1.48771021992238</v>
      </c>
      <c r="AS593" s="107">
        <v>1.5695067264574001</v>
      </c>
      <c r="AT593" s="107">
        <v>1.1111111111111101</v>
      </c>
      <c r="AU593" s="107">
        <v>0.85275724843661205</v>
      </c>
      <c r="AV593" s="107">
        <v>0.40567951318458401</v>
      </c>
      <c r="AW593" s="107">
        <v>0.82236842105263197</v>
      </c>
      <c r="AX593" s="107">
        <v>1.10132158590308</v>
      </c>
      <c r="AY593" s="107">
        <v>1.3333333333333299</v>
      </c>
      <c r="AZ593" s="107">
        <v>0.85922955749677798</v>
      </c>
      <c r="BA593" s="107">
        <v>1.92307692307692</v>
      </c>
      <c r="BB593" s="107">
        <v>0</v>
      </c>
      <c r="BC593" s="107">
        <v>1.1881188118811901</v>
      </c>
      <c r="BD593" s="107">
        <v>0.85377212045948503</v>
      </c>
      <c r="BE593" s="107">
        <v>0</v>
      </c>
    </row>
    <row r="594" spans="2:57" ht="15" customHeight="1" x14ac:dyDescent="0.25">
      <c r="B594" s="91">
        <v>584</v>
      </c>
      <c r="C594" s="92" t="s">
        <v>504</v>
      </c>
      <c r="D594" s="92" t="s">
        <v>51</v>
      </c>
      <c r="E594" s="92" t="s">
        <v>373</v>
      </c>
      <c r="F594" s="92" t="s">
        <v>242</v>
      </c>
      <c r="G594" s="101" t="s">
        <v>501</v>
      </c>
      <c r="H594" s="94">
        <v>0</v>
      </c>
      <c r="I594" s="94">
        <v>0</v>
      </c>
      <c r="J594" s="94">
        <v>0</v>
      </c>
      <c r="K594" s="94">
        <v>0</v>
      </c>
      <c r="L594" s="94">
        <v>0</v>
      </c>
      <c r="M594" s="94">
        <v>0</v>
      </c>
      <c r="N594" s="94">
        <v>0</v>
      </c>
      <c r="O594" s="94">
        <v>0</v>
      </c>
      <c r="P594" s="94">
        <v>0</v>
      </c>
      <c r="Q594" s="95">
        <v>0</v>
      </c>
      <c r="R594" s="95">
        <v>0</v>
      </c>
      <c r="S594" s="95">
        <v>0</v>
      </c>
      <c r="T594" s="95">
        <v>0</v>
      </c>
      <c r="U594" s="95">
        <v>0</v>
      </c>
      <c r="V594" s="95">
        <v>0</v>
      </c>
      <c r="W594" s="95">
        <v>0</v>
      </c>
      <c r="X594" s="95">
        <v>0</v>
      </c>
      <c r="Y594" s="95">
        <v>0</v>
      </c>
      <c r="Z594" s="94">
        <v>0</v>
      </c>
      <c r="AA594" s="94">
        <v>0</v>
      </c>
      <c r="AB594" s="94">
        <v>0</v>
      </c>
      <c r="AC594" s="94">
        <v>0</v>
      </c>
      <c r="AD594" s="94">
        <v>0</v>
      </c>
      <c r="AE594" s="94">
        <v>0</v>
      </c>
      <c r="AF594" s="94">
        <v>0</v>
      </c>
      <c r="AG594" s="94">
        <v>0</v>
      </c>
      <c r="AH594" s="94">
        <v>0</v>
      </c>
      <c r="AI594" s="94">
        <v>0</v>
      </c>
      <c r="AJ594" s="94">
        <v>0</v>
      </c>
      <c r="AK594" s="94">
        <v>0</v>
      </c>
      <c r="AL594" s="94">
        <v>0</v>
      </c>
      <c r="AM594" s="94">
        <v>0</v>
      </c>
      <c r="AN594" s="94">
        <v>0</v>
      </c>
      <c r="AO594" s="94">
        <v>0</v>
      </c>
      <c r="AP594" s="95">
        <v>0</v>
      </c>
      <c r="AQ594" s="95">
        <v>0</v>
      </c>
      <c r="AR594" s="95">
        <v>0</v>
      </c>
      <c r="AS594" s="95">
        <v>0</v>
      </c>
      <c r="AT594" s="95">
        <v>0</v>
      </c>
      <c r="AU594" s="95">
        <v>0</v>
      </c>
      <c r="AV594" s="95">
        <v>0</v>
      </c>
      <c r="AW594" s="95">
        <v>0</v>
      </c>
      <c r="AX594" s="95">
        <v>0</v>
      </c>
      <c r="AY594" s="95">
        <v>0</v>
      </c>
      <c r="AZ594" s="95">
        <v>0</v>
      </c>
      <c r="BA594" s="95">
        <v>0</v>
      </c>
      <c r="BB594" s="95">
        <v>0</v>
      </c>
      <c r="BC594" s="95">
        <v>0</v>
      </c>
      <c r="BD594" s="95">
        <v>0</v>
      </c>
      <c r="BE594" s="95">
        <v>0</v>
      </c>
    </row>
    <row r="595" spans="2:57" ht="15" customHeight="1" x14ac:dyDescent="0.25">
      <c r="B595" s="91">
        <v>585</v>
      </c>
      <c r="C595" s="92" t="s">
        <v>504</v>
      </c>
      <c r="D595" s="92" t="s">
        <v>51</v>
      </c>
      <c r="E595" s="92" t="s">
        <v>373</v>
      </c>
      <c r="F595" s="92" t="s">
        <v>242</v>
      </c>
      <c r="G595" s="101" t="s">
        <v>502</v>
      </c>
      <c r="H595" s="94">
        <v>5945</v>
      </c>
      <c r="I595" s="94">
        <v>3329</v>
      </c>
      <c r="J595" s="94">
        <v>2616</v>
      </c>
      <c r="K595" s="94">
        <v>736</v>
      </c>
      <c r="L595" s="94">
        <v>1447</v>
      </c>
      <c r="M595" s="94">
        <v>2863</v>
      </c>
      <c r="N595" s="94">
        <v>899</v>
      </c>
      <c r="O595" s="94">
        <v>5931</v>
      </c>
      <c r="P595" s="94">
        <v>14</v>
      </c>
      <c r="Q595" s="95">
        <v>0.21231422505307901</v>
      </c>
      <c r="R595" s="95">
        <v>0.12558869701726799</v>
      </c>
      <c r="S595" s="95">
        <v>0.32428050263477898</v>
      </c>
      <c r="T595" s="95">
        <v>0.43352601156069398</v>
      </c>
      <c r="U595" s="95">
        <v>0.21881838074398199</v>
      </c>
      <c r="V595" s="95">
        <v>0.183351668500183</v>
      </c>
      <c r="W595" s="95">
        <v>0.116009280742459</v>
      </c>
      <c r="X595" s="95">
        <v>0.21257750221434901</v>
      </c>
      <c r="Y595" s="95">
        <v>0</v>
      </c>
      <c r="Z595" s="94">
        <v>7459</v>
      </c>
      <c r="AA595" s="94">
        <v>4069</v>
      </c>
      <c r="AB595" s="94">
        <v>3390</v>
      </c>
      <c r="AC595" s="94">
        <v>471</v>
      </c>
      <c r="AD595" s="94">
        <v>1720</v>
      </c>
      <c r="AE595" s="94">
        <v>3710</v>
      </c>
      <c r="AF595" s="94">
        <v>1558</v>
      </c>
      <c r="AG595" s="94">
        <v>6384</v>
      </c>
      <c r="AH595" s="94">
        <v>993</v>
      </c>
      <c r="AI595" s="94">
        <v>82</v>
      </c>
      <c r="AJ595" s="94">
        <v>7358</v>
      </c>
      <c r="AK595" s="94">
        <v>72</v>
      </c>
      <c r="AL595" s="94">
        <v>29</v>
      </c>
      <c r="AM595" s="94">
        <v>538</v>
      </c>
      <c r="AN595" s="94">
        <v>6799</v>
      </c>
      <c r="AO595" s="94">
        <v>122</v>
      </c>
      <c r="AP595" s="95">
        <v>0.86365567039501601</v>
      </c>
      <c r="AQ595" s="95">
        <v>0.37773860488541899</v>
      </c>
      <c r="AR595" s="95">
        <v>1.48771021992238</v>
      </c>
      <c r="AS595" s="95">
        <v>1.5695067264574001</v>
      </c>
      <c r="AT595" s="95">
        <v>1.1111111111111101</v>
      </c>
      <c r="AU595" s="95">
        <v>0.85275724843661205</v>
      </c>
      <c r="AV595" s="95">
        <v>0.40567951318458401</v>
      </c>
      <c r="AW595" s="95">
        <v>0.82236842105263197</v>
      </c>
      <c r="AX595" s="95">
        <v>1.10132158590308</v>
      </c>
      <c r="AY595" s="95">
        <v>1.3333333333333299</v>
      </c>
      <c r="AZ595" s="95">
        <v>0.85922955749677798</v>
      </c>
      <c r="BA595" s="95">
        <v>1.92307692307692</v>
      </c>
      <c r="BB595" s="95">
        <v>0</v>
      </c>
      <c r="BC595" s="95">
        <v>1.1881188118811901</v>
      </c>
      <c r="BD595" s="95">
        <v>0.85377212045948503</v>
      </c>
      <c r="BE595" s="95">
        <v>0</v>
      </c>
    </row>
    <row r="596" spans="2:57" ht="15" customHeight="1" x14ac:dyDescent="0.25">
      <c r="B596" s="96">
        <v>586</v>
      </c>
      <c r="C596" s="97" t="s">
        <v>504</v>
      </c>
      <c r="D596" s="104" t="s">
        <v>51</v>
      </c>
      <c r="E596" s="104" t="s">
        <v>373</v>
      </c>
      <c r="F596" s="104" t="s">
        <v>237</v>
      </c>
      <c r="G596" s="105" t="s">
        <v>237</v>
      </c>
      <c r="H596" s="106">
        <v>10601</v>
      </c>
      <c r="I596" s="106">
        <v>6684</v>
      </c>
      <c r="J596" s="106">
        <v>3917</v>
      </c>
      <c r="K596" s="106">
        <v>981</v>
      </c>
      <c r="L596" s="106">
        <v>3625</v>
      </c>
      <c r="M596" s="106">
        <v>5284</v>
      </c>
      <c r="N596" s="106">
        <v>711</v>
      </c>
      <c r="O596" s="106">
        <v>10576</v>
      </c>
      <c r="P596" s="106">
        <v>25</v>
      </c>
      <c r="Q596" s="107">
        <v>0.73282442748091603</v>
      </c>
      <c r="R596" s="107">
        <v>0.46325878594249198</v>
      </c>
      <c r="S596" s="107">
        <v>1.20617110799439</v>
      </c>
      <c r="T596" s="107">
        <v>1.0204081632653099</v>
      </c>
      <c r="U596" s="107">
        <v>0.78431372549019596</v>
      </c>
      <c r="V596" s="107">
        <v>0.62575696406943904</v>
      </c>
      <c r="W596" s="107">
        <v>0.89020771513353103</v>
      </c>
      <c r="X596" s="107">
        <v>0.73439412484700095</v>
      </c>
      <c r="Y596" s="107">
        <v>0</v>
      </c>
      <c r="Z596" s="106">
        <v>15187</v>
      </c>
      <c r="AA596" s="106">
        <v>8937</v>
      </c>
      <c r="AB596" s="106">
        <v>6250</v>
      </c>
      <c r="AC596" s="106">
        <v>992</v>
      </c>
      <c r="AD596" s="106">
        <v>4748</v>
      </c>
      <c r="AE596" s="106">
        <v>8179</v>
      </c>
      <c r="AF596" s="106">
        <v>1268</v>
      </c>
      <c r="AG596" s="106">
        <v>11400</v>
      </c>
      <c r="AH596" s="106">
        <v>3652</v>
      </c>
      <c r="AI596" s="106">
        <v>135</v>
      </c>
      <c r="AJ596" s="106">
        <v>15091</v>
      </c>
      <c r="AK596" s="106">
        <v>54</v>
      </c>
      <c r="AL596" s="106">
        <v>42</v>
      </c>
      <c r="AM596" s="106">
        <v>670</v>
      </c>
      <c r="AN596" s="106">
        <v>14378</v>
      </c>
      <c r="AO596" s="106">
        <v>139</v>
      </c>
      <c r="AP596" s="107">
        <v>3.60403652090341</v>
      </c>
      <c r="AQ596" s="107">
        <v>1.23144205317068</v>
      </c>
      <c r="AR596" s="107">
        <v>7.1112623341272503</v>
      </c>
      <c r="AS596" s="107">
        <v>5.0213675213675204</v>
      </c>
      <c r="AT596" s="107">
        <v>4.5434397163120597</v>
      </c>
      <c r="AU596" s="107">
        <v>3.1210352702359798</v>
      </c>
      <c r="AV596" s="107">
        <v>2.18270008084074</v>
      </c>
      <c r="AW596" s="107">
        <v>3.0901444505394</v>
      </c>
      <c r="AX596" s="107">
        <v>5.3158045155758797</v>
      </c>
      <c r="AY596" s="107">
        <v>0.76923076923076905</v>
      </c>
      <c r="AZ596" s="107">
        <v>3.6062176165803099</v>
      </c>
      <c r="BA596" s="107">
        <v>5.7692307692307701</v>
      </c>
      <c r="BB596" s="107">
        <v>0</v>
      </c>
      <c r="BC596" s="107">
        <v>3.4003091190108199</v>
      </c>
      <c r="BD596" s="107">
        <v>3.6115744433969099</v>
      </c>
      <c r="BE596" s="107">
        <v>3.8167938931297698</v>
      </c>
    </row>
    <row r="597" spans="2:57" ht="15" customHeight="1" x14ac:dyDescent="0.25">
      <c r="B597" s="91">
        <v>587</v>
      </c>
      <c r="C597" s="92" t="s">
        <v>504</v>
      </c>
      <c r="D597" s="92" t="s">
        <v>51</v>
      </c>
      <c r="E597" s="92" t="s">
        <v>373</v>
      </c>
      <c r="F597" s="92" t="s">
        <v>237</v>
      </c>
      <c r="G597" s="101" t="s">
        <v>501</v>
      </c>
      <c r="H597" s="94">
        <v>3010</v>
      </c>
      <c r="I597" s="94">
        <v>1822</v>
      </c>
      <c r="J597" s="94">
        <v>1188</v>
      </c>
      <c r="K597" s="94">
        <v>235</v>
      </c>
      <c r="L597" s="94">
        <v>1128</v>
      </c>
      <c r="M597" s="94">
        <v>1501</v>
      </c>
      <c r="N597" s="94">
        <v>146</v>
      </c>
      <c r="O597" s="94">
        <v>2998</v>
      </c>
      <c r="P597" s="94">
        <v>12</v>
      </c>
      <c r="Q597" s="95">
        <v>2.1465581051073301</v>
      </c>
      <c r="R597" s="95">
        <v>1.4643075045759599</v>
      </c>
      <c r="S597" s="95">
        <v>3.1984948259642501</v>
      </c>
      <c r="T597" s="95">
        <v>3.4146341463414598</v>
      </c>
      <c r="U597" s="95">
        <v>2.12335692618807</v>
      </c>
      <c r="V597" s="95">
        <v>1.7492711370262399</v>
      </c>
      <c r="W597" s="95">
        <v>4.4117647058823497</v>
      </c>
      <c r="X597" s="95">
        <v>2.15453194650817</v>
      </c>
      <c r="Y597" s="95">
        <v>0</v>
      </c>
      <c r="Z597" s="94">
        <v>5827</v>
      </c>
      <c r="AA597" s="94">
        <v>3271</v>
      </c>
      <c r="AB597" s="94">
        <v>2556</v>
      </c>
      <c r="AC597" s="94">
        <v>353</v>
      </c>
      <c r="AD597" s="94">
        <v>1980</v>
      </c>
      <c r="AE597" s="94">
        <v>3123</v>
      </c>
      <c r="AF597" s="94">
        <v>371</v>
      </c>
      <c r="AG597" s="94">
        <v>4022</v>
      </c>
      <c r="AH597" s="94">
        <v>1769</v>
      </c>
      <c r="AI597" s="94">
        <v>36</v>
      </c>
      <c r="AJ597" s="94">
        <v>5782</v>
      </c>
      <c r="AK597" s="94">
        <v>31</v>
      </c>
      <c r="AL597" s="94">
        <v>14</v>
      </c>
      <c r="AM597" s="94">
        <v>220</v>
      </c>
      <c r="AN597" s="94">
        <v>5571</v>
      </c>
      <c r="AO597" s="94">
        <v>36</v>
      </c>
      <c r="AP597" s="95">
        <v>6.9544797687861299</v>
      </c>
      <c r="AQ597" s="95">
        <v>2.4809160305343498</v>
      </c>
      <c r="AR597" s="95">
        <v>12.8344481605351</v>
      </c>
      <c r="AS597" s="95">
        <v>8.1325301204819294</v>
      </c>
      <c r="AT597" s="95">
        <v>7.52401280683031</v>
      </c>
      <c r="AU597" s="95">
        <v>6.5882352941176503</v>
      </c>
      <c r="AV597" s="95">
        <v>5.9154929577464799</v>
      </c>
      <c r="AW597" s="95">
        <v>6.1944589649764801</v>
      </c>
      <c r="AX597" s="95">
        <v>8.7656529516994599</v>
      </c>
      <c r="AY597" s="95">
        <v>3.0303030303030298</v>
      </c>
      <c r="AZ597" s="95">
        <v>6.9919883466860897</v>
      </c>
      <c r="BA597" s="95">
        <v>3.3333333333333299</v>
      </c>
      <c r="BB597" s="95">
        <v>0</v>
      </c>
      <c r="BC597" s="95">
        <v>8.5714285714285694</v>
      </c>
      <c r="BD597" s="95">
        <v>6.8581144908369502</v>
      </c>
      <c r="BE597" s="95">
        <v>12.1212121212121</v>
      </c>
    </row>
    <row r="598" spans="2:57" ht="15" customHeight="1" x14ac:dyDescent="0.25">
      <c r="B598" s="91">
        <v>588</v>
      </c>
      <c r="C598" s="92" t="s">
        <v>504</v>
      </c>
      <c r="D598" s="92" t="s">
        <v>51</v>
      </c>
      <c r="E598" s="92" t="s">
        <v>373</v>
      </c>
      <c r="F598" s="92" t="s">
        <v>237</v>
      </c>
      <c r="G598" s="101" t="s">
        <v>502</v>
      </c>
      <c r="H598" s="94">
        <v>7591</v>
      </c>
      <c r="I598" s="94">
        <v>4862</v>
      </c>
      <c r="J598" s="94">
        <v>2729</v>
      </c>
      <c r="K598" s="94">
        <v>746</v>
      </c>
      <c r="L598" s="94">
        <v>2497</v>
      </c>
      <c r="M598" s="94">
        <v>3783</v>
      </c>
      <c r="N598" s="94">
        <v>565</v>
      </c>
      <c r="O598" s="94">
        <v>7578</v>
      </c>
      <c r="P598" s="94">
        <v>13</v>
      </c>
      <c r="Q598" s="95">
        <v>0.19654639898918999</v>
      </c>
      <c r="R598" s="95">
        <v>0.108201687946332</v>
      </c>
      <c r="S598" s="95">
        <v>0.35971223021582699</v>
      </c>
      <c r="T598" s="95">
        <v>0.29542097488921698</v>
      </c>
      <c r="U598" s="95">
        <v>0.214961306964746</v>
      </c>
      <c r="V598" s="95">
        <v>0.195421552205472</v>
      </c>
      <c r="W598" s="95">
        <v>0</v>
      </c>
      <c r="X598" s="95">
        <v>0.196850393700787</v>
      </c>
      <c r="Y598" s="95">
        <v>0</v>
      </c>
      <c r="Z598" s="94">
        <v>9360</v>
      </c>
      <c r="AA598" s="94">
        <v>5666</v>
      </c>
      <c r="AB598" s="94">
        <v>3694</v>
      </c>
      <c r="AC598" s="94">
        <v>639</v>
      </c>
      <c r="AD598" s="94">
        <v>2768</v>
      </c>
      <c r="AE598" s="94">
        <v>5056</v>
      </c>
      <c r="AF598" s="94">
        <v>897</v>
      </c>
      <c r="AG598" s="94">
        <v>7378</v>
      </c>
      <c r="AH598" s="94">
        <v>1883</v>
      </c>
      <c r="AI598" s="94">
        <v>99</v>
      </c>
      <c r="AJ598" s="94">
        <v>9309</v>
      </c>
      <c r="AK598" s="94">
        <v>23</v>
      </c>
      <c r="AL598" s="94">
        <v>28</v>
      </c>
      <c r="AM598" s="94">
        <v>450</v>
      </c>
      <c r="AN598" s="94">
        <v>8807</v>
      </c>
      <c r="AO598" s="94">
        <v>103</v>
      </c>
      <c r="AP598" s="95">
        <v>1.55021592293212</v>
      </c>
      <c r="AQ598" s="95">
        <v>0.52299368800721402</v>
      </c>
      <c r="AR598" s="95">
        <v>3.1841652323580001</v>
      </c>
      <c r="AS598" s="95">
        <v>3.3112582781456998</v>
      </c>
      <c r="AT598" s="95">
        <v>2.4260803639120501</v>
      </c>
      <c r="AU598" s="95">
        <v>1.01895251681272</v>
      </c>
      <c r="AV598" s="95">
        <v>0.68027210884353695</v>
      </c>
      <c r="AW598" s="95">
        <v>1.42013498312711</v>
      </c>
      <c r="AX598" s="95">
        <v>2.1405049396267799</v>
      </c>
      <c r="AY598" s="95">
        <v>0</v>
      </c>
      <c r="AZ598" s="95">
        <v>1.53623511076478</v>
      </c>
      <c r="BA598" s="95">
        <v>9.0909090909090899</v>
      </c>
      <c r="BB598" s="95">
        <v>0</v>
      </c>
      <c r="BC598" s="95">
        <v>0.91533180778031997</v>
      </c>
      <c r="BD598" s="95">
        <v>1.5889830508474601</v>
      </c>
      <c r="BE598" s="95">
        <v>1.0204081632653099</v>
      </c>
    </row>
    <row r="599" spans="2:57" ht="15" customHeight="1" x14ac:dyDescent="0.25">
      <c r="B599" s="96">
        <v>589</v>
      </c>
      <c r="C599" s="97" t="s">
        <v>504</v>
      </c>
      <c r="D599" s="104" t="s">
        <v>51</v>
      </c>
      <c r="E599" s="104" t="s">
        <v>373</v>
      </c>
      <c r="F599" s="104" t="s">
        <v>270</v>
      </c>
      <c r="G599" s="105" t="s">
        <v>270</v>
      </c>
      <c r="H599" s="106">
        <v>22871</v>
      </c>
      <c r="I599" s="106">
        <v>14261</v>
      </c>
      <c r="J599" s="106">
        <v>8610</v>
      </c>
      <c r="K599" s="106">
        <v>2267</v>
      </c>
      <c r="L599" s="106">
        <v>7773</v>
      </c>
      <c r="M599" s="106">
        <v>11406</v>
      </c>
      <c r="N599" s="106">
        <v>1425</v>
      </c>
      <c r="O599" s="106">
        <v>22823</v>
      </c>
      <c r="P599" s="106">
        <v>48</v>
      </c>
      <c r="Q599" s="107">
        <v>0.75271299930731905</v>
      </c>
      <c r="R599" s="107">
        <v>0.387738678762163</v>
      </c>
      <c r="S599" s="107">
        <v>1.37741046831956</v>
      </c>
      <c r="T599" s="107">
        <v>1</v>
      </c>
      <c r="U599" s="107">
        <v>0.92490336830480402</v>
      </c>
      <c r="V599" s="107">
        <v>0.63932779249246496</v>
      </c>
      <c r="W599" s="107">
        <v>0.36710719530102798</v>
      </c>
      <c r="X599" s="107">
        <v>0.74958356468628495</v>
      </c>
      <c r="Y599" s="107">
        <v>2.32558139534884</v>
      </c>
      <c r="Z599" s="106">
        <v>36242</v>
      </c>
      <c r="AA599" s="106">
        <v>20796</v>
      </c>
      <c r="AB599" s="106">
        <v>15446</v>
      </c>
      <c r="AC599" s="106">
        <v>2540</v>
      </c>
      <c r="AD599" s="106">
        <v>11740</v>
      </c>
      <c r="AE599" s="106">
        <v>18726</v>
      </c>
      <c r="AF599" s="106">
        <v>3236</v>
      </c>
      <c r="AG599" s="106">
        <v>26918</v>
      </c>
      <c r="AH599" s="106">
        <v>9080</v>
      </c>
      <c r="AI599" s="106">
        <v>244</v>
      </c>
      <c r="AJ599" s="106">
        <v>35989</v>
      </c>
      <c r="AK599" s="106">
        <v>144</v>
      </c>
      <c r="AL599" s="106">
        <v>109</v>
      </c>
      <c r="AM599" s="106">
        <v>1581</v>
      </c>
      <c r="AN599" s="106">
        <v>34385</v>
      </c>
      <c r="AO599" s="106">
        <v>276</v>
      </c>
      <c r="AP599" s="107">
        <v>3.6091473711325501</v>
      </c>
      <c r="AQ599" s="107">
        <v>1.4187192118226599</v>
      </c>
      <c r="AR599" s="107">
        <v>6.6466288680920798</v>
      </c>
      <c r="AS599" s="107">
        <v>6.25</v>
      </c>
      <c r="AT599" s="107">
        <v>4.1570233220580404</v>
      </c>
      <c r="AU599" s="107">
        <v>3.18422212428383</v>
      </c>
      <c r="AV599" s="107">
        <v>2.0932445290199801</v>
      </c>
      <c r="AW599" s="107">
        <v>2.8299351073225001</v>
      </c>
      <c r="AX599" s="107">
        <v>5.8735287329794597</v>
      </c>
      <c r="AY599" s="107">
        <v>6.5217391304347796</v>
      </c>
      <c r="AZ599" s="107">
        <v>3.5647387683352099</v>
      </c>
      <c r="BA599" s="107">
        <v>14.179104477611901</v>
      </c>
      <c r="BB599" s="107">
        <v>4.8076923076923102</v>
      </c>
      <c r="BC599" s="107">
        <v>3.5087719298245599</v>
      </c>
      <c r="BD599" s="107">
        <v>3.6158396716165599</v>
      </c>
      <c r="BE599" s="107">
        <v>3.3582089552238799</v>
      </c>
    </row>
    <row r="600" spans="2:57" ht="15" customHeight="1" x14ac:dyDescent="0.25">
      <c r="B600" s="91">
        <v>590</v>
      </c>
      <c r="C600" s="92" t="s">
        <v>504</v>
      </c>
      <c r="D600" s="92" t="s">
        <v>51</v>
      </c>
      <c r="E600" s="92" t="s">
        <v>373</v>
      </c>
      <c r="F600" s="92" t="s">
        <v>270</v>
      </c>
      <c r="G600" s="101" t="s">
        <v>501</v>
      </c>
      <c r="H600" s="94">
        <v>6013</v>
      </c>
      <c r="I600" s="94">
        <v>3390</v>
      </c>
      <c r="J600" s="94">
        <v>2623</v>
      </c>
      <c r="K600" s="94">
        <v>661</v>
      </c>
      <c r="L600" s="94">
        <v>2447</v>
      </c>
      <c r="M600" s="94">
        <v>2656</v>
      </c>
      <c r="N600" s="94">
        <v>249</v>
      </c>
      <c r="O600" s="94">
        <v>5979</v>
      </c>
      <c r="P600" s="94">
        <v>34</v>
      </c>
      <c r="Q600" s="95">
        <v>2.2690143401706302</v>
      </c>
      <c r="R600" s="95">
        <v>1.2987012987013</v>
      </c>
      <c r="S600" s="95">
        <v>3.5714285714285698</v>
      </c>
      <c r="T600" s="95">
        <v>2.7164685908319202</v>
      </c>
      <c r="U600" s="95">
        <v>2.3497514685946701</v>
      </c>
      <c r="V600" s="95">
        <v>2.1791767554479402</v>
      </c>
      <c r="W600" s="95">
        <v>1.31004366812227</v>
      </c>
      <c r="X600" s="95">
        <v>2.2631867129038099</v>
      </c>
      <c r="Y600" s="95">
        <v>3.3333333333333299</v>
      </c>
      <c r="Z600" s="94">
        <v>12013</v>
      </c>
      <c r="AA600" s="94">
        <v>6289</v>
      </c>
      <c r="AB600" s="94">
        <v>5724</v>
      </c>
      <c r="AC600" s="94">
        <v>896</v>
      </c>
      <c r="AD600" s="94">
        <v>4231</v>
      </c>
      <c r="AE600" s="94">
        <v>6085</v>
      </c>
      <c r="AF600" s="94">
        <v>801</v>
      </c>
      <c r="AG600" s="94">
        <v>7520</v>
      </c>
      <c r="AH600" s="94">
        <v>4408</v>
      </c>
      <c r="AI600" s="94">
        <v>85</v>
      </c>
      <c r="AJ600" s="94">
        <v>11889</v>
      </c>
      <c r="AK600" s="94">
        <v>85</v>
      </c>
      <c r="AL600" s="94">
        <v>39</v>
      </c>
      <c r="AM600" s="94">
        <v>539</v>
      </c>
      <c r="AN600" s="94">
        <v>11370</v>
      </c>
      <c r="AO600" s="94">
        <v>104</v>
      </c>
      <c r="AP600" s="95">
        <v>7.4695652173912999</v>
      </c>
      <c r="AQ600" s="95">
        <v>3.57436995552627</v>
      </c>
      <c r="AR600" s="95">
        <v>11.8253822066679</v>
      </c>
      <c r="AS600" s="95">
        <v>12.2786304604486</v>
      </c>
      <c r="AT600" s="95">
        <v>7.5829383886255899</v>
      </c>
      <c r="AU600" s="95">
        <v>6.8448833645496299</v>
      </c>
      <c r="AV600" s="95">
        <v>6.3553826199740602</v>
      </c>
      <c r="AW600" s="95">
        <v>6.3173901022947199</v>
      </c>
      <c r="AX600" s="95">
        <v>9.2928810320114703</v>
      </c>
      <c r="AY600" s="95">
        <v>16.25</v>
      </c>
      <c r="AZ600" s="95">
        <v>7.4207429524896797</v>
      </c>
      <c r="BA600" s="95">
        <v>14.285714285714301</v>
      </c>
      <c r="BB600" s="95">
        <v>8.3333333333333304</v>
      </c>
      <c r="BC600" s="95">
        <v>7.9847908745247196</v>
      </c>
      <c r="BD600" s="95">
        <v>7.4595290654893303</v>
      </c>
      <c r="BE600" s="95">
        <v>5.8823529411764701</v>
      </c>
    </row>
    <row r="601" spans="2:57" ht="15" customHeight="1" x14ac:dyDescent="0.25">
      <c r="B601" s="91">
        <v>591</v>
      </c>
      <c r="C601" s="92" t="s">
        <v>504</v>
      </c>
      <c r="D601" s="92" t="s">
        <v>51</v>
      </c>
      <c r="E601" s="92" t="s">
        <v>373</v>
      </c>
      <c r="F601" s="92" t="s">
        <v>270</v>
      </c>
      <c r="G601" s="101" t="s">
        <v>502</v>
      </c>
      <c r="H601" s="94">
        <v>16858</v>
      </c>
      <c r="I601" s="94">
        <v>10871</v>
      </c>
      <c r="J601" s="94">
        <v>5987</v>
      </c>
      <c r="K601" s="94">
        <v>1606</v>
      </c>
      <c r="L601" s="94">
        <v>5326</v>
      </c>
      <c r="M601" s="94">
        <v>8750</v>
      </c>
      <c r="N601" s="94">
        <v>1176</v>
      </c>
      <c r="O601" s="94">
        <v>16844</v>
      </c>
      <c r="P601" s="94">
        <v>14</v>
      </c>
      <c r="Q601" s="95">
        <v>0.23535240926545301</v>
      </c>
      <c r="R601" s="95">
        <v>0.114155251141553</v>
      </c>
      <c r="S601" s="95">
        <v>0.461483848065318</v>
      </c>
      <c r="T601" s="95">
        <v>0.33090668431502301</v>
      </c>
      <c r="U601" s="95">
        <v>0.298151460942159</v>
      </c>
      <c r="V601" s="95">
        <v>0.188879707236454</v>
      </c>
      <c r="W601" s="95">
        <v>0.17652250661959401</v>
      </c>
      <c r="X601" s="95">
        <v>0.235542056654063</v>
      </c>
      <c r="Y601" s="95">
        <v>0</v>
      </c>
      <c r="Z601" s="94">
        <v>24229</v>
      </c>
      <c r="AA601" s="94">
        <v>14507</v>
      </c>
      <c r="AB601" s="94">
        <v>9722</v>
      </c>
      <c r="AC601" s="94">
        <v>1644</v>
      </c>
      <c r="AD601" s="94">
        <v>7509</v>
      </c>
      <c r="AE601" s="94">
        <v>12641</v>
      </c>
      <c r="AF601" s="94">
        <v>2435</v>
      </c>
      <c r="AG601" s="94">
        <v>19398</v>
      </c>
      <c r="AH601" s="94">
        <v>4672</v>
      </c>
      <c r="AI601" s="94">
        <v>159</v>
      </c>
      <c r="AJ601" s="94">
        <v>24100</v>
      </c>
      <c r="AK601" s="94">
        <v>59</v>
      </c>
      <c r="AL601" s="94">
        <v>70</v>
      </c>
      <c r="AM601" s="94">
        <v>1042</v>
      </c>
      <c r="AN601" s="94">
        <v>23015</v>
      </c>
      <c r="AO601" s="94">
        <v>172</v>
      </c>
      <c r="AP601" s="95">
        <v>1.7150902342250101</v>
      </c>
      <c r="AQ601" s="95">
        <v>0.49898095438892398</v>
      </c>
      <c r="AR601" s="95">
        <v>3.5939196525515702</v>
      </c>
      <c r="AS601" s="95">
        <v>2.96200901481004</v>
      </c>
      <c r="AT601" s="95">
        <v>2.2560553633218001</v>
      </c>
      <c r="AU601" s="95">
        <v>1.4333414773190001</v>
      </c>
      <c r="AV601" s="95">
        <v>0.713685978169605</v>
      </c>
      <c r="AW601" s="95">
        <v>1.48864905098623</v>
      </c>
      <c r="AX601" s="95">
        <v>2.6785714285714302</v>
      </c>
      <c r="AY601" s="95">
        <v>1.3333333333333299</v>
      </c>
      <c r="AZ601" s="95">
        <v>1.68139315432787</v>
      </c>
      <c r="BA601" s="95">
        <v>14.0350877192982</v>
      </c>
      <c r="BB601" s="95">
        <v>2.9411764705882399</v>
      </c>
      <c r="BC601" s="95">
        <v>1.18460019743337</v>
      </c>
      <c r="BD601" s="95">
        <v>1.7385444743935301</v>
      </c>
      <c r="BE601" s="95">
        <v>1.80722891566265</v>
      </c>
    </row>
    <row r="602" spans="2:57" ht="15" customHeight="1" x14ac:dyDescent="0.25">
      <c r="B602" s="96">
        <v>592</v>
      </c>
      <c r="C602" s="97" t="s">
        <v>504</v>
      </c>
      <c r="D602" s="104" t="s">
        <v>51</v>
      </c>
      <c r="E602" s="104" t="s">
        <v>373</v>
      </c>
      <c r="F602" s="104" t="s">
        <v>223</v>
      </c>
      <c r="G602" s="105" t="s">
        <v>223</v>
      </c>
      <c r="H602" s="106">
        <v>14831</v>
      </c>
      <c r="I602" s="106">
        <v>9426</v>
      </c>
      <c r="J602" s="106">
        <v>5405</v>
      </c>
      <c r="K602" s="106">
        <v>1267</v>
      </c>
      <c r="L602" s="106">
        <v>5130</v>
      </c>
      <c r="M602" s="106">
        <v>7567</v>
      </c>
      <c r="N602" s="106">
        <v>867</v>
      </c>
      <c r="O602" s="106">
        <v>14809</v>
      </c>
      <c r="P602" s="106">
        <v>22</v>
      </c>
      <c r="Q602" s="107">
        <v>0.73994252873563204</v>
      </c>
      <c r="R602" s="107">
        <v>0.322114850605354</v>
      </c>
      <c r="S602" s="107">
        <v>1.5049827130364</v>
      </c>
      <c r="T602" s="107">
        <v>1.55979202772964</v>
      </c>
      <c r="U602" s="107">
        <v>0.83787180561374097</v>
      </c>
      <c r="V602" s="107">
        <v>0.54294862870666805</v>
      </c>
      <c r="W602" s="107">
        <v>0.74165636588380701</v>
      </c>
      <c r="X602" s="107">
        <v>0.74106050795021206</v>
      </c>
      <c r="Y602" s="107">
        <v>0</v>
      </c>
      <c r="Z602" s="106">
        <v>24581</v>
      </c>
      <c r="AA602" s="106">
        <v>14292</v>
      </c>
      <c r="AB602" s="106">
        <v>10289</v>
      </c>
      <c r="AC602" s="106">
        <v>1424</v>
      </c>
      <c r="AD602" s="106">
        <v>7962</v>
      </c>
      <c r="AE602" s="106">
        <v>13293</v>
      </c>
      <c r="AF602" s="106">
        <v>1902</v>
      </c>
      <c r="AG602" s="106">
        <v>17009</v>
      </c>
      <c r="AH602" s="106">
        <v>7332</v>
      </c>
      <c r="AI602" s="106">
        <v>240</v>
      </c>
      <c r="AJ602" s="106">
        <v>24380</v>
      </c>
      <c r="AK602" s="106">
        <v>128</v>
      </c>
      <c r="AL602" s="106">
        <v>73</v>
      </c>
      <c r="AM602" s="106">
        <v>1042</v>
      </c>
      <c r="AN602" s="106">
        <v>23324</v>
      </c>
      <c r="AO602" s="106">
        <v>215</v>
      </c>
      <c r="AP602" s="107">
        <v>3.7715153560580501</v>
      </c>
      <c r="AQ602" s="107">
        <v>1.1507479861910199</v>
      </c>
      <c r="AR602" s="107">
        <v>7.4897959183673501</v>
      </c>
      <c r="AS602" s="107">
        <v>6.49446494464945</v>
      </c>
      <c r="AT602" s="107">
        <v>4.8317402121251796</v>
      </c>
      <c r="AU602" s="107">
        <v>3.1480761756704201</v>
      </c>
      <c r="AV602" s="107">
        <v>1.7325392528424499</v>
      </c>
      <c r="AW602" s="107">
        <v>3.3213917056287601</v>
      </c>
      <c r="AX602" s="107">
        <v>4.8843187660668397</v>
      </c>
      <c r="AY602" s="107">
        <v>2.1459227467811202</v>
      </c>
      <c r="AZ602" s="107">
        <v>3.7547306204022601</v>
      </c>
      <c r="BA602" s="107">
        <v>7.6271186440678003</v>
      </c>
      <c r="BB602" s="107">
        <v>2.8985507246376798</v>
      </c>
      <c r="BC602" s="107">
        <v>3.1683168316831698</v>
      </c>
      <c r="BD602" s="107">
        <v>3.8244318939831898</v>
      </c>
      <c r="BE602" s="107">
        <v>0.96618357487922701</v>
      </c>
    </row>
    <row r="603" spans="2:57" ht="15" customHeight="1" x14ac:dyDescent="0.25">
      <c r="B603" s="91">
        <v>593</v>
      </c>
      <c r="C603" s="92" t="s">
        <v>504</v>
      </c>
      <c r="D603" s="92" t="s">
        <v>51</v>
      </c>
      <c r="E603" s="92" t="s">
        <v>373</v>
      </c>
      <c r="F603" s="92" t="s">
        <v>223</v>
      </c>
      <c r="G603" s="101" t="s">
        <v>501</v>
      </c>
      <c r="H603" s="94">
        <v>5351</v>
      </c>
      <c r="I603" s="94">
        <v>3107</v>
      </c>
      <c r="J603" s="94">
        <v>2244</v>
      </c>
      <c r="K603" s="94">
        <v>524</v>
      </c>
      <c r="L603" s="94">
        <v>2062</v>
      </c>
      <c r="M603" s="94">
        <v>2504</v>
      </c>
      <c r="N603" s="94">
        <v>261</v>
      </c>
      <c r="O603" s="94">
        <v>5333</v>
      </c>
      <c r="P603" s="94">
        <v>18</v>
      </c>
      <c r="Q603" s="95">
        <v>1.7677782241864199</v>
      </c>
      <c r="R603" s="95">
        <v>0.81549439347604502</v>
      </c>
      <c r="S603" s="95">
        <v>3.1449631449631399</v>
      </c>
      <c r="T603" s="95">
        <v>3.2258064516128999</v>
      </c>
      <c r="U603" s="95">
        <v>1.7810371922472501</v>
      </c>
      <c r="V603" s="95">
        <v>1.39949109414758</v>
      </c>
      <c r="W603" s="95">
        <v>2.4390243902439002</v>
      </c>
      <c r="X603" s="95">
        <v>1.7741935483871001</v>
      </c>
      <c r="Y603" s="95">
        <v>0</v>
      </c>
      <c r="Z603" s="94">
        <v>13454</v>
      </c>
      <c r="AA603" s="94">
        <v>7144</v>
      </c>
      <c r="AB603" s="94">
        <v>6310</v>
      </c>
      <c r="AC603" s="94">
        <v>980</v>
      </c>
      <c r="AD603" s="94">
        <v>5019</v>
      </c>
      <c r="AE603" s="94">
        <v>6730</v>
      </c>
      <c r="AF603" s="94">
        <v>725</v>
      </c>
      <c r="AG603" s="94">
        <v>8657</v>
      </c>
      <c r="AH603" s="94">
        <v>4702</v>
      </c>
      <c r="AI603" s="94">
        <v>95</v>
      </c>
      <c r="AJ603" s="94">
        <v>13331</v>
      </c>
      <c r="AK603" s="94">
        <v>86</v>
      </c>
      <c r="AL603" s="94">
        <v>37</v>
      </c>
      <c r="AM603" s="94">
        <v>573</v>
      </c>
      <c r="AN603" s="94">
        <v>12797</v>
      </c>
      <c r="AO603" s="94">
        <v>84</v>
      </c>
      <c r="AP603" s="95">
        <v>6.06530675560382</v>
      </c>
      <c r="AQ603" s="95">
        <v>2.0203488372092999</v>
      </c>
      <c r="AR603" s="95">
        <v>10.6934974222518</v>
      </c>
      <c r="AS603" s="95">
        <v>8.6631016042780704</v>
      </c>
      <c r="AT603" s="95">
        <v>6.7139282735613</v>
      </c>
      <c r="AU603" s="95">
        <v>5.4267161410018598</v>
      </c>
      <c r="AV603" s="95">
        <v>4.0345821325648403</v>
      </c>
      <c r="AW603" s="95">
        <v>5.5828441356175897</v>
      </c>
      <c r="AX603" s="95">
        <v>6.98092031425365</v>
      </c>
      <c r="AY603" s="95">
        <v>5.4945054945054901</v>
      </c>
      <c r="AZ603" s="95">
        <v>6.0411612802253698</v>
      </c>
      <c r="BA603" s="95">
        <v>10.126582278480999</v>
      </c>
      <c r="BB603" s="95">
        <v>5.71428571428571</v>
      </c>
      <c r="BC603" s="95">
        <v>5.6057866184448502</v>
      </c>
      <c r="BD603" s="95">
        <v>6.1097968839220202</v>
      </c>
      <c r="BE603" s="95">
        <v>2.4691358024691401</v>
      </c>
    </row>
    <row r="604" spans="2:57" ht="15" customHeight="1" x14ac:dyDescent="0.25">
      <c r="B604" s="91">
        <v>594</v>
      </c>
      <c r="C604" s="92" t="s">
        <v>504</v>
      </c>
      <c r="D604" s="92" t="s">
        <v>51</v>
      </c>
      <c r="E604" s="92" t="s">
        <v>373</v>
      </c>
      <c r="F604" s="92" t="s">
        <v>223</v>
      </c>
      <c r="G604" s="101" t="s">
        <v>502</v>
      </c>
      <c r="H604" s="94">
        <v>9480</v>
      </c>
      <c r="I604" s="94">
        <v>6319</v>
      </c>
      <c r="J604" s="94">
        <v>3161</v>
      </c>
      <c r="K604" s="94">
        <v>743</v>
      </c>
      <c r="L604" s="94">
        <v>3068</v>
      </c>
      <c r="M604" s="94">
        <v>5063</v>
      </c>
      <c r="N604" s="94">
        <v>606</v>
      </c>
      <c r="O604" s="94">
        <v>9476</v>
      </c>
      <c r="P604" s="94">
        <v>4</v>
      </c>
      <c r="Q604" s="95">
        <v>0.167747707447998</v>
      </c>
      <c r="R604" s="95">
        <v>8.2508250825082494E-2</v>
      </c>
      <c r="S604" s="95">
        <v>0.34698126301179699</v>
      </c>
      <c r="T604" s="95">
        <v>0.43541364296081297</v>
      </c>
      <c r="U604" s="95">
        <v>0.20942408376963401</v>
      </c>
      <c r="V604" s="95">
        <v>0.124352331606218</v>
      </c>
      <c r="W604" s="95">
        <v>0</v>
      </c>
      <c r="X604" s="95">
        <v>0.167804004922251</v>
      </c>
      <c r="Y604" s="95">
        <v>0</v>
      </c>
      <c r="Z604" s="94">
        <v>11127</v>
      </c>
      <c r="AA604" s="94">
        <v>7148</v>
      </c>
      <c r="AB604" s="94">
        <v>3979</v>
      </c>
      <c r="AC604" s="94">
        <v>444</v>
      </c>
      <c r="AD604" s="94">
        <v>2943</v>
      </c>
      <c r="AE604" s="94">
        <v>6563</v>
      </c>
      <c r="AF604" s="94">
        <v>1177</v>
      </c>
      <c r="AG604" s="94">
        <v>8352</v>
      </c>
      <c r="AH604" s="94">
        <v>2630</v>
      </c>
      <c r="AI604" s="94">
        <v>145</v>
      </c>
      <c r="AJ604" s="94">
        <v>11049</v>
      </c>
      <c r="AK604" s="94">
        <v>42</v>
      </c>
      <c r="AL604" s="94">
        <v>36</v>
      </c>
      <c r="AM604" s="94">
        <v>469</v>
      </c>
      <c r="AN604" s="94">
        <v>10527</v>
      </c>
      <c r="AO604" s="94">
        <v>131</v>
      </c>
      <c r="AP604" s="95">
        <v>1.0359818703172701</v>
      </c>
      <c r="AQ604" s="95">
        <v>0.29897494305239197</v>
      </c>
      <c r="AR604" s="95">
        <v>2.40295748613678</v>
      </c>
      <c r="AS604" s="95">
        <v>1.6666666666666701</v>
      </c>
      <c r="AT604" s="95">
        <v>1.65434706089405</v>
      </c>
      <c r="AU604" s="95">
        <v>0.84414569329373101</v>
      </c>
      <c r="AV604" s="95">
        <v>0.34692107545533402</v>
      </c>
      <c r="AW604" s="95">
        <v>0.99729130755971396</v>
      </c>
      <c r="AX604" s="95">
        <v>1.21711817824892</v>
      </c>
      <c r="AY604" s="95">
        <v>0</v>
      </c>
      <c r="AZ604" s="95">
        <v>1.0337120506612001</v>
      </c>
      <c r="BA604" s="95">
        <v>2.5641025641025599</v>
      </c>
      <c r="BB604" s="95">
        <v>0</v>
      </c>
      <c r="BC604" s="95">
        <v>0.21881838074398199</v>
      </c>
      <c r="BD604" s="95">
        <v>1.0852561595619901</v>
      </c>
      <c r="BE604" s="95">
        <v>0</v>
      </c>
    </row>
    <row r="605" spans="2:57" ht="15" customHeight="1" x14ac:dyDescent="0.25">
      <c r="B605" s="86">
        <v>595</v>
      </c>
      <c r="C605" s="87" t="s">
        <v>503</v>
      </c>
      <c r="D605" s="103" t="s">
        <v>51</v>
      </c>
      <c r="E605" s="103" t="s">
        <v>224</v>
      </c>
      <c r="F605" s="103"/>
      <c r="G605" s="88" t="s">
        <v>224</v>
      </c>
      <c r="H605" s="89">
        <v>17023</v>
      </c>
      <c r="I605" s="89">
        <v>10172</v>
      </c>
      <c r="J605" s="89">
        <v>6851</v>
      </c>
      <c r="K605" s="89">
        <v>2201</v>
      </c>
      <c r="L605" s="89">
        <v>4696</v>
      </c>
      <c r="M605" s="89">
        <v>7854</v>
      </c>
      <c r="N605" s="89">
        <v>2272</v>
      </c>
      <c r="O605" s="89">
        <v>17009</v>
      </c>
      <c r="P605" s="89">
        <v>14</v>
      </c>
      <c r="Q605" s="90">
        <v>0.308432545802233</v>
      </c>
      <c r="R605" s="90">
        <v>0.15253203172666299</v>
      </c>
      <c r="S605" s="90">
        <v>0.54884742041712398</v>
      </c>
      <c r="T605" s="90">
        <v>0.14416146083613601</v>
      </c>
      <c r="U605" s="90">
        <v>0.29134917077543698</v>
      </c>
      <c r="V605" s="90">
        <v>0.38651206184192999</v>
      </c>
      <c r="W605" s="90">
        <v>0.23094688221709</v>
      </c>
      <c r="X605" s="90">
        <v>0.30866102845854698</v>
      </c>
      <c r="Y605" s="90">
        <v>0</v>
      </c>
      <c r="Z605" s="89">
        <v>19828</v>
      </c>
      <c r="AA605" s="89">
        <v>10922</v>
      </c>
      <c r="AB605" s="89">
        <v>8906</v>
      </c>
      <c r="AC605" s="89">
        <v>1617</v>
      </c>
      <c r="AD605" s="89">
        <v>5252</v>
      </c>
      <c r="AE605" s="89">
        <v>9589</v>
      </c>
      <c r="AF605" s="89">
        <v>3370</v>
      </c>
      <c r="AG605" s="89">
        <v>16195</v>
      </c>
      <c r="AH605" s="89">
        <v>3425</v>
      </c>
      <c r="AI605" s="89">
        <v>208</v>
      </c>
      <c r="AJ605" s="89">
        <v>19703</v>
      </c>
      <c r="AK605" s="89">
        <v>49</v>
      </c>
      <c r="AL605" s="89">
        <v>76</v>
      </c>
      <c r="AM605" s="89">
        <v>1992</v>
      </c>
      <c r="AN605" s="89">
        <v>17634</v>
      </c>
      <c r="AO605" s="89">
        <v>202</v>
      </c>
      <c r="AP605" s="90">
        <v>2.2261705685618698</v>
      </c>
      <c r="AQ605" s="90">
        <v>0.65304599309637101</v>
      </c>
      <c r="AR605" s="90">
        <v>4.2295354639420202</v>
      </c>
      <c r="AS605" s="90">
        <v>2.98507462686567</v>
      </c>
      <c r="AT605" s="90">
        <v>2.8679545907189801</v>
      </c>
      <c r="AU605" s="90">
        <v>2.0656266810113002</v>
      </c>
      <c r="AV605" s="90">
        <v>1.3418725221104</v>
      </c>
      <c r="AW605" s="90">
        <v>1.9321817018554099</v>
      </c>
      <c r="AX605" s="90">
        <v>3.7205081669691502</v>
      </c>
      <c r="AY605" s="90">
        <v>0.5</v>
      </c>
      <c r="AZ605" s="90">
        <v>2.2189504679777099</v>
      </c>
      <c r="BA605" s="90">
        <v>8.8888888888888893</v>
      </c>
      <c r="BB605" s="90">
        <v>0</v>
      </c>
      <c r="BC605" s="90">
        <v>1.2486992715920899</v>
      </c>
      <c r="BD605" s="90">
        <v>2.3499001292445101</v>
      </c>
      <c r="BE605" s="90">
        <v>1.0416666666666701</v>
      </c>
    </row>
    <row r="606" spans="2:57" ht="15" customHeight="1" x14ac:dyDescent="0.25">
      <c r="B606" s="91">
        <v>596</v>
      </c>
      <c r="C606" s="92" t="s">
        <v>503</v>
      </c>
      <c r="D606" s="92" t="s">
        <v>51</v>
      </c>
      <c r="E606" s="92" t="s">
        <v>224</v>
      </c>
      <c r="F606" s="92"/>
      <c r="G606" s="93" t="s">
        <v>501</v>
      </c>
      <c r="H606" s="94">
        <v>1579</v>
      </c>
      <c r="I606" s="94">
        <v>821</v>
      </c>
      <c r="J606" s="94">
        <v>758</v>
      </c>
      <c r="K606" s="94">
        <v>151</v>
      </c>
      <c r="L606" s="94">
        <v>434</v>
      </c>
      <c r="M606" s="94">
        <v>813</v>
      </c>
      <c r="N606" s="94">
        <v>181</v>
      </c>
      <c r="O606" s="94">
        <v>1572</v>
      </c>
      <c r="P606" s="94">
        <v>7</v>
      </c>
      <c r="Q606" s="95">
        <v>1.9768234492160901</v>
      </c>
      <c r="R606" s="95">
        <v>0.91984231274638595</v>
      </c>
      <c r="S606" s="95">
        <v>3.1161473087818701</v>
      </c>
      <c r="T606" s="95">
        <v>2.2058823529411802</v>
      </c>
      <c r="U606" s="95">
        <v>1.0075566750629701</v>
      </c>
      <c r="V606" s="95">
        <v>2.23978919631094</v>
      </c>
      <c r="W606" s="95">
        <v>2.8571428571428599</v>
      </c>
      <c r="X606" s="95">
        <v>1.9863013698630101</v>
      </c>
      <c r="Y606" s="95">
        <v>0</v>
      </c>
      <c r="Z606" s="94">
        <v>2906</v>
      </c>
      <c r="AA606" s="94">
        <v>1559</v>
      </c>
      <c r="AB606" s="94">
        <v>1347</v>
      </c>
      <c r="AC606" s="94">
        <v>186</v>
      </c>
      <c r="AD606" s="94">
        <v>813</v>
      </c>
      <c r="AE606" s="94">
        <v>1601</v>
      </c>
      <c r="AF606" s="94">
        <v>306</v>
      </c>
      <c r="AG606" s="94">
        <v>1939</v>
      </c>
      <c r="AH606" s="94">
        <v>957</v>
      </c>
      <c r="AI606" s="94">
        <v>10</v>
      </c>
      <c r="AJ606" s="94">
        <v>2886</v>
      </c>
      <c r="AK606" s="94">
        <v>14</v>
      </c>
      <c r="AL606" s="94">
        <v>6</v>
      </c>
      <c r="AM606" s="94">
        <v>189</v>
      </c>
      <c r="AN606" s="94">
        <v>2700</v>
      </c>
      <c r="AO606" s="94">
        <v>17</v>
      </c>
      <c r="AP606" s="95">
        <v>7.4232690935046399</v>
      </c>
      <c r="AQ606" s="95">
        <v>2.3731048121292</v>
      </c>
      <c r="AR606" s="95">
        <v>13.3852140077821</v>
      </c>
      <c r="AS606" s="95">
        <v>15.168539325842699</v>
      </c>
      <c r="AT606" s="95">
        <v>7.89133247089263</v>
      </c>
      <c r="AU606" s="95">
        <v>6.4516129032258096</v>
      </c>
      <c r="AV606" s="95">
        <v>6.6445182724252501</v>
      </c>
      <c r="AW606" s="95">
        <v>6.2801932367149798</v>
      </c>
      <c r="AX606" s="95">
        <v>9.7954790096878401</v>
      </c>
      <c r="AY606" s="95">
        <v>0</v>
      </c>
      <c r="AZ606" s="95">
        <v>7.3661516349263403</v>
      </c>
      <c r="BA606" s="95">
        <v>23.076923076923102</v>
      </c>
      <c r="BB606" s="95">
        <v>0</v>
      </c>
      <c r="BC606" s="95">
        <v>6.5934065934065904</v>
      </c>
      <c r="BD606" s="95">
        <v>7.4913561275451404</v>
      </c>
      <c r="BE606" s="95">
        <v>5.8823529411764701</v>
      </c>
    </row>
    <row r="607" spans="2:57" ht="15" customHeight="1" x14ac:dyDescent="0.25">
      <c r="B607" s="91">
        <v>597</v>
      </c>
      <c r="C607" s="92" t="s">
        <v>503</v>
      </c>
      <c r="D607" s="92" t="s">
        <v>51</v>
      </c>
      <c r="E607" s="92" t="s">
        <v>224</v>
      </c>
      <c r="F607" s="92"/>
      <c r="G607" s="93" t="s">
        <v>502</v>
      </c>
      <c r="H607" s="94">
        <v>15444</v>
      </c>
      <c r="I607" s="94">
        <v>9351</v>
      </c>
      <c r="J607" s="94">
        <v>6093</v>
      </c>
      <c r="K607" s="94">
        <v>2050</v>
      </c>
      <c r="L607" s="94">
        <v>4262</v>
      </c>
      <c r="M607" s="94">
        <v>7041</v>
      </c>
      <c r="N607" s="94">
        <v>2091</v>
      </c>
      <c r="O607" s="94">
        <v>15437</v>
      </c>
      <c r="P607" s="94">
        <v>7</v>
      </c>
      <c r="Q607" s="95">
        <v>0.142430819316332</v>
      </c>
      <c r="R607" s="95">
        <v>8.8173702193320894E-2</v>
      </c>
      <c r="S607" s="95">
        <v>0.22923646623170499</v>
      </c>
      <c r="T607" s="95">
        <v>0</v>
      </c>
      <c r="U607" s="95">
        <v>0.22140221402214</v>
      </c>
      <c r="V607" s="95">
        <v>0.17793594306049801</v>
      </c>
      <c r="W607" s="95">
        <v>0</v>
      </c>
      <c r="X607" s="95">
        <v>0.142479136983513</v>
      </c>
      <c r="Y607" s="95">
        <v>0</v>
      </c>
      <c r="Z607" s="94">
        <v>16922</v>
      </c>
      <c r="AA607" s="94">
        <v>9363</v>
      </c>
      <c r="AB607" s="94">
        <v>7559</v>
      </c>
      <c r="AC607" s="94">
        <v>1431</v>
      </c>
      <c r="AD607" s="94">
        <v>4439</v>
      </c>
      <c r="AE607" s="94">
        <v>7988</v>
      </c>
      <c r="AF607" s="94">
        <v>3064</v>
      </c>
      <c r="AG607" s="94">
        <v>14256</v>
      </c>
      <c r="AH607" s="94">
        <v>2468</v>
      </c>
      <c r="AI607" s="94">
        <v>198</v>
      </c>
      <c r="AJ607" s="94">
        <v>16817</v>
      </c>
      <c r="AK607" s="94">
        <v>35</v>
      </c>
      <c r="AL607" s="94">
        <v>70</v>
      </c>
      <c r="AM607" s="94">
        <v>1803</v>
      </c>
      <c r="AN607" s="94">
        <v>14934</v>
      </c>
      <c r="AO607" s="94">
        <v>185</v>
      </c>
      <c r="AP607" s="95">
        <v>1.3346394024733701</v>
      </c>
      <c r="AQ607" s="95">
        <v>0.36948489458813299</v>
      </c>
      <c r="AR607" s="95">
        <v>2.5799214806505901</v>
      </c>
      <c r="AS607" s="95">
        <v>1.3939838591342599</v>
      </c>
      <c r="AT607" s="95">
        <v>1.9538606403013199</v>
      </c>
      <c r="AU607" s="95">
        <v>1.1878631375080699</v>
      </c>
      <c r="AV607" s="95">
        <v>0.80591000671591695</v>
      </c>
      <c r="AW607" s="95">
        <v>1.3437931284956799</v>
      </c>
      <c r="AX607" s="95">
        <v>1.34623474968448</v>
      </c>
      <c r="AY607" s="95">
        <v>0.52631578947368396</v>
      </c>
      <c r="AZ607" s="95">
        <v>1.3366184170003099</v>
      </c>
      <c r="BA607" s="95">
        <v>3.125</v>
      </c>
      <c r="BB607" s="95">
        <v>0</v>
      </c>
      <c r="BC607" s="95">
        <v>0.68965517241379304</v>
      </c>
      <c r="BD607" s="95">
        <v>1.42173521048616</v>
      </c>
      <c r="BE607" s="95">
        <v>0.57142857142857095</v>
      </c>
    </row>
    <row r="608" spans="2:57" ht="15" customHeight="1" x14ac:dyDescent="0.25">
      <c r="B608" s="96">
        <v>598</v>
      </c>
      <c r="C608" s="97" t="s">
        <v>504</v>
      </c>
      <c r="D608" s="104" t="s">
        <v>51</v>
      </c>
      <c r="E608" s="104" t="s">
        <v>224</v>
      </c>
      <c r="F608" s="104" t="s">
        <v>224</v>
      </c>
      <c r="G608" s="105" t="s">
        <v>224</v>
      </c>
      <c r="H608" s="106">
        <v>9236</v>
      </c>
      <c r="I608" s="106">
        <v>5671</v>
      </c>
      <c r="J608" s="106">
        <v>3565</v>
      </c>
      <c r="K608" s="106">
        <v>1112</v>
      </c>
      <c r="L608" s="106">
        <v>2512</v>
      </c>
      <c r="M608" s="106">
        <v>4383</v>
      </c>
      <c r="N608" s="106">
        <v>1229</v>
      </c>
      <c r="O608" s="106">
        <v>9227</v>
      </c>
      <c r="P608" s="106">
        <v>9</v>
      </c>
      <c r="Q608" s="107">
        <v>0.469053883994966</v>
      </c>
      <c r="R608" s="107">
        <v>0.16553246275519601</v>
      </c>
      <c r="S608" s="107">
        <v>0.96852300242130795</v>
      </c>
      <c r="T608" s="107">
        <v>0.28901734104046201</v>
      </c>
      <c r="U608" s="107">
        <v>0.37942664418212502</v>
      </c>
      <c r="V608" s="107">
        <v>0.57609217474796004</v>
      </c>
      <c r="W608" s="107">
        <v>0.42918454935622302</v>
      </c>
      <c r="X608" s="107">
        <v>0.46953733394411401</v>
      </c>
      <c r="Y608" s="107">
        <v>0</v>
      </c>
      <c r="Z608" s="106">
        <v>11004</v>
      </c>
      <c r="AA608" s="106">
        <v>5996</v>
      </c>
      <c r="AB608" s="106">
        <v>5008</v>
      </c>
      <c r="AC608" s="106">
        <v>837</v>
      </c>
      <c r="AD608" s="106">
        <v>2784</v>
      </c>
      <c r="AE608" s="106">
        <v>5504</v>
      </c>
      <c r="AF608" s="106">
        <v>1879</v>
      </c>
      <c r="AG608" s="106">
        <v>8415</v>
      </c>
      <c r="AH608" s="106">
        <v>2466</v>
      </c>
      <c r="AI608" s="106">
        <v>123</v>
      </c>
      <c r="AJ608" s="106">
        <v>10918</v>
      </c>
      <c r="AK608" s="106">
        <v>42</v>
      </c>
      <c r="AL608" s="106">
        <v>44</v>
      </c>
      <c r="AM608" s="106">
        <v>1054</v>
      </c>
      <c r="AN608" s="106">
        <v>9847</v>
      </c>
      <c r="AO608" s="106">
        <v>103</v>
      </c>
      <c r="AP608" s="107">
        <v>3.0351437699680499</v>
      </c>
      <c r="AQ608" s="107">
        <v>0.98908594815825401</v>
      </c>
      <c r="AR608" s="107">
        <v>5.54625366262034</v>
      </c>
      <c r="AS608" s="107">
        <v>4.7738693467336697</v>
      </c>
      <c r="AT608" s="107">
        <v>3.8663663663663699</v>
      </c>
      <c r="AU608" s="107">
        <v>2.6996625421822298</v>
      </c>
      <c r="AV608" s="107">
        <v>2.05627705627706</v>
      </c>
      <c r="AW608" s="107">
        <v>2.5584255842558399</v>
      </c>
      <c r="AX608" s="107">
        <v>4.7638946928541603</v>
      </c>
      <c r="AY608" s="107">
        <v>0.84033613445378197</v>
      </c>
      <c r="AZ608" s="107">
        <v>3.0208333333333299</v>
      </c>
      <c r="BA608" s="107">
        <v>10</v>
      </c>
      <c r="BB608" s="107">
        <v>0</v>
      </c>
      <c r="BC608" s="107">
        <v>1.85728250244379</v>
      </c>
      <c r="BD608" s="107">
        <v>3.1831074692719801</v>
      </c>
      <c r="BE608" s="107">
        <v>1</v>
      </c>
    </row>
    <row r="609" spans="2:57" ht="15" customHeight="1" x14ac:dyDescent="0.25">
      <c r="B609" s="91">
        <v>599</v>
      </c>
      <c r="C609" s="92" t="s">
        <v>504</v>
      </c>
      <c r="D609" s="92" t="s">
        <v>51</v>
      </c>
      <c r="E609" s="92" t="s">
        <v>224</v>
      </c>
      <c r="F609" s="92" t="s">
        <v>224</v>
      </c>
      <c r="G609" s="101" t="s">
        <v>501</v>
      </c>
      <c r="H609" s="94">
        <v>1579</v>
      </c>
      <c r="I609" s="94">
        <v>821</v>
      </c>
      <c r="J609" s="94">
        <v>758</v>
      </c>
      <c r="K609" s="94">
        <v>151</v>
      </c>
      <c r="L609" s="94">
        <v>434</v>
      </c>
      <c r="M609" s="94">
        <v>813</v>
      </c>
      <c r="N609" s="94">
        <v>181</v>
      </c>
      <c r="O609" s="94">
        <v>1572</v>
      </c>
      <c r="P609" s="94">
        <v>7</v>
      </c>
      <c r="Q609" s="95">
        <v>1.9768234492160901</v>
      </c>
      <c r="R609" s="95">
        <v>0.91984231274638595</v>
      </c>
      <c r="S609" s="95">
        <v>3.1161473087818701</v>
      </c>
      <c r="T609" s="95">
        <v>2.2058823529411802</v>
      </c>
      <c r="U609" s="95">
        <v>1.0075566750629701</v>
      </c>
      <c r="V609" s="95">
        <v>2.23978919631094</v>
      </c>
      <c r="W609" s="95">
        <v>2.8571428571428599</v>
      </c>
      <c r="X609" s="95">
        <v>1.9863013698630101</v>
      </c>
      <c r="Y609" s="95">
        <v>0</v>
      </c>
      <c r="Z609" s="94">
        <v>2906</v>
      </c>
      <c r="AA609" s="94">
        <v>1559</v>
      </c>
      <c r="AB609" s="94">
        <v>1347</v>
      </c>
      <c r="AC609" s="94">
        <v>186</v>
      </c>
      <c r="AD609" s="94">
        <v>813</v>
      </c>
      <c r="AE609" s="94">
        <v>1601</v>
      </c>
      <c r="AF609" s="94">
        <v>306</v>
      </c>
      <c r="AG609" s="94">
        <v>1939</v>
      </c>
      <c r="AH609" s="94">
        <v>957</v>
      </c>
      <c r="AI609" s="94">
        <v>10</v>
      </c>
      <c r="AJ609" s="94">
        <v>2886</v>
      </c>
      <c r="AK609" s="94">
        <v>14</v>
      </c>
      <c r="AL609" s="94">
        <v>6</v>
      </c>
      <c r="AM609" s="94">
        <v>189</v>
      </c>
      <c r="AN609" s="94">
        <v>2700</v>
      </c>
      <c r="AO609" s="94">
        <v>17</v>
      </c>
      <c r="AP609" s="95">
        <v>7.4232690935046399</v>
      </c>
      <c r="AQ609" s="95">
        <v>2.3731048121292</v>
      </c>
      <c r="AR609" s="95">
        <v>13.3852140077821</v>
      </c>
      <c r="AS609" s="95">
        <v>15.168539325842699</v>
      </c>
      <c r="AT609" s="95">
        <v>7.89133247089263</v>
      </c>
      <c r="AU609" s="95">
        <v>6.4516129032258096</v>
      </c>
      <c r="AV609" s="95">
        <v>6.6445182724252501</v>
      </c>
      <c r="AW609" s="95">
        <v>6.2801932367149798</v>
      </c>
      <c r="AX609" s="95">
        <v>9.7954790096878401</v>
      </c>
      <c r="AY609" s="95">
        <v>0</v>
      </c>
      <c r="AZ609" s="95">
        <v>7.3661516349263403</v>
      </c>
      <c r="BA609" s="95">
        <v>23.076923076923102</v>
      </c>
      <c r="BB609" s="95">
        <v>0</v>
      </c>
      <c r="BC609" s="95">
        <v>6.5934065934065904</v>
      </c>
      <c r="BD609" s="95">
        <v>7.4913561275451404</v>
      </c>
      <c r="BE609" s="95">
        <v>5.8823529411764701</v>
      </c>
    </row>
    <row r="610" spans="2:57" ht="15" customHeight="1" x14ac:dyDescent="0.25">
      <c r="B610" s="91">
        <v>600</v>
      </c>
      <c r="C610" s="92" t="s">
        <v>504</v>
      </c>
      <c r="D610" s="92" t="s">
        <v>51</v>
      </c>
      <c r="E610" s="92" t="s">
        <v>224</v>
      </c>
      <c r="F610" s="92" t="s">
        <v>224</v>
      </c>
      <c r="G610" s="101" t="s">
        <v>502</v>
      </c>
      <c r="H610" s="94">
        <v>7657</v>
      </c>
      <c r="I610" s="94">
        <v>4850</v>
      </c>
      <c r="J610" s="94">
        <v>2807</v>
      </c>
      <c r="K610" s="94">
        <v>961</v>
      </c>
      <c r="L610" s="94">
        <v>2078</v>
      </c>
      <c r="M610" s="94">
        <v>3570</v>
      </c>
      <c r="N610" s="94">
        <v>1048</v>
      </c>
      <c r="O610" s="94">
        <v>7655</v>
      </c>
      <c r="P610" s="94">
        <v>2</v>
      </c>
      <c r="Q610" s="95">
        <v>0.16497113005224101</v>
      </c>
      <c r="R610" s="95">
        <v>4.2771599657827203E-2</v>
      </c>
      <c r="S610" s="95">
        <v>0.384911470361817</v>
      </c>
      <c r="T610" s="95">
        <v>0</v>
      </c>
      <c r="U610" s="95">
        <v>0.253164556962025</v>
      </c>
      <c r="V610" s="95">
        <v>0.20545934840035199</v>
      </c>
      <c r="W610" s="95">
        <v>0</v>
      </c>
      <c r="X610" s="95">
        <v>0.16501650165016499</v>
      </c>
      <c r="Y610" s="95">
        <v>0</v>
      </c>
      <c r="Z610" s="94">
        <v>8098</v>
      </c>
      <c r="AA610" s="94">
        <v>4437</v>
      </c>
      <c r="AB610" s="94">
        <v>3661</v>
      </c>
      <c r="AC610" s="94">
        <v>651</v>
      </c>
      <c r="AD610" s="94">
        <v>1971</v>
      </c>
      <c r="AE610" s="94">
        <v>3903</v>
      </c>
      <c r="AF610" s="94">
        <v>1573</v>
      </c>
      <c r="AG610" s="94">
        <v>6476</v>
      </c>
      <c r="AH610" s="94">
        <v>1509</v>
      </c>
      <c r="AI610" s="94">
        <v>113</v>
      </c>
      <c r="AJ610" s="94">
        <v>8032</v>
      </c>
      <c r="AK610" s="94">
        <v>28</v>
      </c>
      <c r="AL610" s="94">
        <v>38</v>
      </c>
      <c r="AM610" s="94">
        <v>865</v>
      </c>
      <c r="AN610" s="94">
        <v>7147</v>
      </c>
      <c r="AO610" s="94">
        <v>86</v>
      </c>
      <c r="AP610" s="95">
        <v>1.46683673469388</v>
      </c>
      <c r="AQ610" s="95">
        <v>0.50609615827007104</v>
      </c>
      <c r="AR610" s="95">
        <v>2.66246779272831</v>
      </c>
      <c r="AS610" s="95">
        <v>1.7799352750809101</v>
      </c>
      <c r="AT610" s="95">
        <v>2.2210470650449499</v>
      </c>
      <c r="AU610" s="95">
        <v>1.16279069767442</v>
      </c>
      <c r="AV610" s="95">
        <v>1.1635423400129301</v>
      </c>
      <c r="AW610" s="95">
        <v>1.4520504228498501</v>
      </c>
      <c r="AX610" s="95">
        <v>1.5710382513661201</v>
      </c>
      <c r="AY610" s="95">
        <v>0.91743119266055095</v>
      </c>
      <c r="AZ610" s="95">
        <v>1.4658608718014701</v>
      </c>
      <c r="BA610" s="95">
        <v>3.7037037037037002</v>
      </c>
      <c r="BB610" s="95">
        <v>0</v>
      </c>
      <c r="BC610" s="95">
        <v>0.83234244946492297</v>
      </c>
      <c r="BD610" s="95">
        <v>1.5615962984384</v>
      </c>
      <c r="BE610" s="95">
        <v>0</v>
      </c>
    </row>
    <row r="611" spans="2:57" ht="15" customHeight="1" x14ac:dyDescent="0.25">
      <c r="B611" s="96">
        <v>601</v>
      </c>
      <c r="C611" s="97" t="s">
        <v>504</v>
      </c>
      <c r="D611" s="104" t="s">
        <v>51</v>
      </c>
      <c r="E611" s="104" t="s">
        <v>224</v>
      </c>
      <c r="F611" s="104" t="s">
        <v>38</v>
      </c>
      <c r="G611" s="105" t="s">
        <v>38</v>
      </c>
      <c r="H611" s="106">
        <v>2418</v>
      </c>
      <c r="I611" s="106">
        <v>1399</v>
      </c>
      <c r="J611" s="106">
        <v>1019</v>
      </c>
      <c r="K611" s="106">
        <v>256</v>
      </c>
      <c r="L611" s="106">
        <v>645</v>
      </c>
      <c r="M611" s="106">
        <v>1146</v>
      </c>
      <c r="N611" s="106">
        <v>371</v>
      </c>
      <c r="O611" s="106">
        <v>2413</v>
      </c>
      <c r="P611" s="106">
        <v>5</v>
      </c>
      <c r="Q611" s="107">
        <v>0.172562553925798</v>
      </c>
      <c r="R611" s="107">
        <v>0.220426157237326</v>
      </c>
      <c r="S611" s="107">
        <v>0.10449320794148401</v>
      </c>
      <c r="T611" s="107">
        <v>0</v>
      </c>
      <c r="U611" s="107">
        <v>0.16366612111293</v>
      </c>
      <c r="V611" s="107">
        <v>0.27075812274368199</v>
      </c>
      <c r="W611" s="107">
        <v>0</v>
      </c>
      <c r="X611" s="107">
        <v>0.172786177105832</v>
      </c>
      <c r="Y611" s="107">
        <v>0</v>
      </c>
      <c r="Z611" s="106">
        <v>2455</v>
      </c>
      <c r="AA611" s="106">
        <v>1360</v>
      </c>
      <c r="AB611" s="106">
        <v>1095</v>
      </c>
      <c r="AC611" s="106">
        <v>215</v>
      </c>
      <c r="AD611" s="106">
        <v>711</v>
      </c>
      <c r="AE611" s="106">
        <v>1102</v>
      </c>
      <c r="AF611" s="106">
        <v>427</v>
      </c>
      <c r="AG611" s="106">
        <v>1959</v>
      </c>
      <c r="AH611" s="106">
        <v>477</v>
      </c>
      <c r="AI611" s="106">
        <v>19</v>
      </c>
      <c r="AJ611" s="106">
        <v>2443</v>
      </c>
      <c r="AK611" s="106">
        <v>6</v>
      </c>
      <c r="AL611" s="106">
        <v>6</v>
      </c>
      <c r="AM611" s="106">
        <v>247</v>
      </c>
      <c r="AN611" s="106">
        <v>2187</v>
      </c>
      <c r="AO611" s="106">
        <v>21</v>
      </c>
      <c r="AP611" s="107">
        <v>1.6149596260093499</v>
      </c>
      <c r="AQ611" s="107">
        <v>0.37622272385252098</v>
      </c>
      <c r="AR611" s="107">
        <v>3.22265625</v>
      </c>
      <c r="AS611" s="107">
        <v>0.970873786407767</v>
      </c>
      <c r="AT611" s="107">
        <v>2.82317979197623</v>
      </c>
      <c r="AU611" s="107">
        <v>1.5947467166979401</v>
      </c>
      <c r="AV611" s="107">
        <v>0</v>
      </c>
      <c r="AW611" s="107">
        <v>1.7590618336887001</v>
      </c>
      <c r="AX611" s="107">
        <v>1.0869565217391299</v>
      </c>
      <c r="AY611" s="107">
        <v>0</v>
      </c>
      <c r="AZ611" s="107">
        <v>1.6211604095563099</v>
      </c>
      <c r="BA611" s="107">
        <v>0</v>
      </c>
      <c r="BB611" s="107">
        <v>0</v>
      </c>
      <c r="BC611" s="107">
        <v>0.42372881355932202</v>
      </c>
      <c r="BD611" s="107">
        <v>1.76442536957558</v>
      </c>
      <c r="BE611" s="107">
        <v>0</v>
      </c>
    </row>
    <row r="612" spans="2:57" ht="15" customHeight="1" x14ac:dyDescent="0.25">
      <c r="B612" s="91">
        <v>602</v>
      </c>
      <c r="C612" s="92" t="s">
        <v>504</v>
      </c>
      <c r="D612" s="92" t="s">
        <v>51</v>
      </c>
      <c r="E612" s="92" t="s">
        <v>224</v>
      </c>
      <c r="F612" s="92" t="s">
        <v>38</v>
      </c>
      <c r="G612" s="101" t="s">
        <v>501</v>
      </c>
      <c r="H612" s="94">
        <v>0</v>
      </c>
      <c r="I612" s="94">
        <v>0</v>
      </c>
      <c r="J612" s="94">
        <v>0</v>
      </c>
      <c r="K612" s="94">
        <v>0</v>
      </c>
      <c r="L612" s="94">
        <v>0</v>
      </c>
      <c r="M612" s="94">
        <v>0</v>
      </c>
      <c r="N612" s="94">
        <v>0</v>
      </c>
      <c r="O612" s="94">
        <v>0</v>
      </c>
      <c r="P612" s="94">
        <v>0</v>
      </c>
      <c r="Q612" s="95">
        <v>0</v>
      </c>
      <c r="R612" s="95">
        <v>0</v>
      </c>
      <c r="S612" s="95">
        <v>0</v>
      </c>
      <c r="T612" s="95">
        <v>0</v>
      </c>
      <c r="U612" s="95">
        <v>0</v>
      </c>
      <c r="V612" s="95">
        <v>0</v>
      </c>
      <c r="W612" s="95">
        <v>0</v>
      </c>
      <c r="X612" s="95">
        <v>0</v>
      </c>
      <c r="Y612" s="95">
        <v>0</v>
      </c>
      <c r="Z612" s="94">
        <v>0</v>
      </c>
      <c r="AA612" s="94">
        <v>0</v>
      </c>
      <c r="AB612" s="94">
        <v>0</v>
      </c>
      <c r="AC612" s="94">
        <v>0</v>
      </c>
      <c r="AD612" s="94">
        <v>0</v>
      </c>
      <c r="AE612" s="94">
        <v>0</v>
      </c>
      <c r="AF612" s="94">
        <v>0</v>
      </c>
      <c r="AG612" s="94">
        <v>0</v>
      </c>
      <c r="AH612" s="94">
        <v>0</v>
      </c>
      <c r="AI612" s="94">
        <v>0</v>
      </c>
      <c r="AJ612" s="94">
        <v>0</v>
      </c>
      <c r="AK612" s="94">
        <v>0</v>
      </c>
      <c r="AL612" s="94">
        <v>0</v>
      </c>
      <c r="AM612" s="94">
        <v>0</v>
      </c>
      <c r="AN612" s="94">
        <v>0</v>
      </c>
      <c r="AO612" s="94">
        <v>0</v>
      </c>
      <c r="AP612" s="95">
        <v>0</v>
      </c>
      <c r="AQ612" s="95">
        <v>0</v>
      </c>
      <c r="AR612" s="95">
        <v>0</v>
      </c>
      <c r="AS612" s="95">
        <v>0</v>
      </c>
      <c r="AT612" s="95">
        <v>0</v>
      </c>
      <c r="AU612" s="95">
        <v>0</v>
      </c>
      <c r="AV612" s="95">
        <v>0</v>
      </c>
      <c r="AW612" s="95">
        <v>0</v>
      </c>
      <c r="AX612" s="95">
        <v>0</v>
      </c>
      <c r="AY612" s="95">
        <v>0</v>
      </c>
      <c r="AZ612" s="95">
        <v>0</v>
      </c>
      <c r="BA612" s="95">
        <v>0</v>
      </c>
      <c r="BB612" s="95">
        <v>0</v>
      </c>
      <c r="BC612" s="95">
        <v>0</v>
      </c>
      <c r="BD612" s="95">
        <v>0</v>
      </c>
      <c r="BE612" s="95">
        <v>0</v>
      </c>
    </row>
    <row r="613" spans="2:57" ht="15" customHeight="1" x14ac:dyDescent="0.25">
      <c r="B613" s="91">
        <v>603</v>
      </c>
      <c r="C613" s="92" t="s">
        <v>504</v>
      </c>
      <c r="D613" s="92" t="s">
        <v>51</v>
      </c>
      <c r="E613" s="92" t="s">
        <v>224</v>
      </c>
      <c r="F613" s="92" t="s">
        <v>38</v>
      </c>
      <c r="G613" s="101" t="s">
        <v>502</v>
      </c>
      <c r="H613" s="94">
        <v>2418</v>
      </c>
      <c r="I613" s="94">
        <v>1399</v>
      </c>
      <c r="J613" s="94">
        <v>1019</v>
      </c>
      <c r="K613" s="94">
        <v>256</v>
      </c>
      <c r="L613" s="94">
        <v>645</v>
      </c>
      <c r="M613" s="94">
        <v>1146</v>
      </c>
      <c r="N613" s="94">
        <v>371</v>
      </c>
      <c r="O613" s="94">
        <v>2413</v>
      </c>
      <c r="P613" s="94">
        <v>5</v>
      </c>
      <c r="Q613" s="95">
        <v>0.172562553925798</v>
      </c>
      <c r="R613" s="95">
        <v>0.220426157237326</v>
      </c>
      <c r="S613" s="95">
        <v>0.10449320794148401</v>
      </c>
      <c r="T613" s="95">
        <v>0</v>
      </c>
      <c r="U613" s="95">
        <v>0.16366612111293</v>
      </c>
      <c r="V613" s="95">
        <v>0.27075812274368199</v>
      </c>
      <c r="W613" s="95">
        <v>0</v>
      </c>
      <c r="X613" s="95">
        <v>0.172786177105832</v>
      </c>
      <c r="Y613" s="95">
        <v>0</v>
      </c>
      <c r="Z613" s="94">
        <v>2455</v>
      </c>
      <c r="AA613" s="94">
        <v>1360</v>
      </c>
      <c r="AB613" s="94">
        <v>1095</v>
      </c>
      <c r="AC613" s="94">
        <v>215</v>
      </c>
      <c r="AD613" s="94">
        <v>711</v>
      </c>
      <c r="AE613" s="94">
        <v>1102</v>
      </c>
      <c r="AF613" s="94">
        <v>427</v>
      </c>
      <c r="AG613" s="94">
        <v>1959</v>
      </c>
      <c r="AH613" s="94">
        <v>477</v>
      </c>
      <c r="AI613" s="94">
        <v>19</v>
      </c>
      <c r="AJ613" s="94">
        <v>2443</v>
      </c>
      <c r="AK613" s="94">
        <v>6</v>
      </c>
      <c r="AL613" s="94">
        <v>6</v>
      </c>
      <c r="AM613" s="94">
        <v>247</v>
      </c>
      <c r="AN613" s="94">
        <v>2187</v>
      </c>
      <c r="AO613" s="94">
        <v>21</v>
      </c>
      <c r="AP613" s="95">
        <v>1.6149596260093499</v>
      </c>
      <c r="AQ613" s="95">
        <v>0.37622272385252098</v>
      </c>
      <c r="AR613" s="95">
        <v>3.22265625</v>
      </c>
      <c r="AS613" s="95">
        <v>0.970873786407767</v>
      </c>
      <c r="AT613" s="95">
        <v>2.82317979197623</v>
      </c>
      <c r="AU613" s="95">
        <v>1.5947467166979401</v>
      </c>
      <c r="AV613" s="95">
        <v>0</v>
      </c>
      <c r="AW613" s="95">
        <v>1.7590618336887001</v>
      </c>
      <c r="AX613" s="95">
        <v>1.0869565217391299</v>
      </c>
      <c r="AY613" s="95">
        <v>0</v>
      </c>
      <c r="AZ613" s="95">
        <v>1.6211604095563099</v>
      </c>
      <c r="BA613" s="95">
        <v>0</v>
      </c>
      <c r="BB613" s="95">
        <v>0</v>
      </c>
      <c r="BC613" s="95">
        <v>0.42372881355932202</v>
      </c>
      <c r="BD613" s="95">
        <v>1.76442536957558</v>
      </c>
      <c r="BE613" s="95">
        <v>0</v>
      </c>
    </row>
    <row r="614" spans="2:57" ht="15" customHeight="1" x14ac:dyDescent="0.25">
      <c r="B614" s="96">
        <v>604</v>
      </c>
      <c r="C614" s="97" t="s">
        <v>504</v>
      </c>
      <c r="D614" s="104" t="s">
        <v>51</v>
      </c>
      <c r="E614" s="104" t="s">
        <v>224</v>
      </c>
      <c r="F614" s="104" t="s">
        <v>21</v>
      </c>
      <c r="G614" s="105" t="s">
        <v>21</v>
      </c>
      <c r="H614" s="106">
        <v>1567</v>
      </c>
      <c r="I614" s="106">
        <v>928</v>
      </c>
      <c r="J614" s="106">
        <v>639</v>
      </c>
      <c r="K614" s="106">
        <v>180</v>
      </c>
      <c r="L614" s="106">
        <v>407</v>
      </c>
      <c r="M614" s="106">
        <v>750</v>
      </c>
      <c r="N614" s="106">
        <v>230</v>
      </c>
      <c r="O614" s="106">
        <v>1567</v>
      </c>
      <c r="P614" s="106">
        <v>0</v>
      </c>
      <c r="Q614" s="107">
        <v>0.26058631921824099</v>
      </c>
      <c r="R614" s="107">
        <v>0.218102508178844</v>
      </c>
      <c r="S614" s="107">
        <v>0.32362459546925598</v>
      </c>
      <c r="T614" s="107">
        <v>0</v>
      </c>
      <c r="U614" s="107">
        <v>0.75376884422110502</v>
      </c>
      <c r="V614" s="107">
        <v>0.13550135501355001</v>
      </c>
      <c r="W614" s="107">
        <v>0</v>
      </c>
      <c r="X614" s="107">
        <v>0.26058631921824099</v>
      </c>
      <c r="Y614" s="107">
        <v>0</v>
      </c>
      <c r="Z614" s="106">
        <v>2054</v>
      </c>
      <c r="AA614" s="106">
        <v>1174</v>
      </c>
      <c r="AB614" s="106">
        <v>880</v>
      </c>
      <c r="AC614" s="106">
        <v>126</v>
      </c>
      <c r="AD614" s="106">
        <v>575</v>
      </c>
      <c r="AE614" s="106">
        <v>972</v>
      </c>
      <c r="AF614" s="106">
        <v>381</v>
      </c>
      <c r="AG614" s="106">
        <v>1812</v>
      </c>
      <c r="AH614" s="106">
        <v>206</v>
      </c>
      <c r="AI614" s="106">
        <v>36</v>
      </c>
      <c r="AJ614" s="106">
        <v>2044</v>
      </c>
      <c r="AK614" s="106">
        <v>1</v>
      </c>
      <c r="AL614" s="106">
        <v>9</v>
      </c>
      <c r="AM614" s="106">
        <v>203</v>
      </c>
      <c r="AN614" s="106">
        <v>1815</v>
      </c>
      <c r="AO614" s="106">
        <v>36</v>
      </c>
      <c r="AP614" s="107">
        <v>1.6819571865443399</v>
      </c>
      <c r="AQ614" s="107">
        <v>0.42844901456726697</v>
      </c>
      <c r="AR614" s="107">
        <v>3.5220125786163501</v>
      </c>
      <c r="AS614" s="107">
        <v>3.3898305084745801</v>
      </c>
      <c r="AT614" s="107">
        <v>2.1857923497267802</v>
      </c>
      <c r="AU614" s="107">
        <v>1.3888888888888899</v>
      </c>
      <c r="AV614" s="107">
        <v>1.1142061281336999</v>
      </c>
      <c r="AW614" s="107">
        <v>1.6724336793540899</v>
      </c>
      <c r="AX614" s="107">
        <v>2.0618556701030899</v>
      </c>
      <c r="AY614" s="107">
        <v>0</v>
      </c>
      <c r="AZ614" s="107">
        <v>1.6905737704918</v>
      </c>
      <c r="BA614" s="107">
        <v>0</v>
      </c>
      <c r="BB614" s="107">
        <v>0</v>
      </c>
      <c r="BC614" s="107">
        <v>2.0618556701030899</v>
      </c>
      <c r="BD614" s="107">
        <v>1.6705069124423999</v>
      </c>
      <c r="BE614" s="107">
        <v>0</v>
      </c>
    </row>
    <row r="615" spans="2:57" ht="15" customHeight="1" x14ac:dyDescent="0.25">
      <c r="B615" s="91">
        <v>605</v>
      </c>
      <c r="C615" s="92" t="s">
        <v>504</v>
      </c>
      <c r="D615" s="92" t="s">
        <v>51</v>
      </c>
      <c r="E615" s="92" t="s">
        <v>224</v>
      </c>
      <c r="F615" s="92" t="s">
        <v>21</v>
      </c>
      <c r="G615" s="101" t="s">
        <v>501</v>
      </c>
      <c r="H615" s="94">
        <v>0</v>
      </c>
      <c r="I615" s="94">
        <v>0</v>
      </c>
      <c r="J615" s="94">
        <v>0</v>
      </c>
      <c r="K615" s="94">
        <v>0</v>
      </c>
      <c r="L615" s="94">
        <v>0</v>
      </c>
      <c r="M615" s="94">
        <v>0</v>
      </c>
      <c r="N615" s="94">
        <v>0</v>
      </c>
      <c r="O615" s="94">
        <v>0</v>
      </c>
      <c r="P615" s="94">
        <v>0</v>
      </c>
      <c r="Q615" s="95">
        <v>0</v>
      </c>
      <c r="R615" s="95">
        <v>0</v>
      </c>
      <c r="S615" s="95">
        <v>0</v>
      </c>
      <c r="T615" s="95">
        <v>0</v>
      </c>
      <c r="U615" s="95">
        <v>0</v>
      </c>
      <c r="V615" s="95">
        <v>0</v>
      </c>
      <c r="W615" s="95">
        <v>0</v>
      </c>
      <c r="X615" s="95">
        <v>0</v>
      </c>
      <c r="Y615" s="95">
        <v>0</v>
      </c>
      <c r="Z615" s="94">
        <v>0</v>
      </c>
      <c r="AA615" s="94">
        <v>0</v>
      </c>
      <c r="AB615" s="94">
        <v>0</v>
      </c>
      <c r="AC615" s="94">
        <v>0</v>
      </c>
      <c r="AD615" s="94">
        <v>0</v>
      </c>
      <c r="AE615" s="94">
        <v>0</v>
      </c>
      <c r="AF615" s="94">
        <v>0</v>
      </c>
      <c r="AG615" s="94">
        <v>0</v>
      </c>
      <c r="AH615" s="94">
        <v>0</v>
      </c>
      <c r="AI615" s="94">
        <v>0</v>
      </c>
      <c r="AJ615" s="94">
        <v>0</v>
      </c>
      <c r="AK615" s="94">
        <v>0</v>
      </c>
      <c r="AL615" s="94">
        <v>0</v>
      </c>
      <c r="AM615" s="94">
        <v>0</v>
      </c>
      <c r="AN615" s="94">
        <v>0</v>
      </c>
      <c r="AO615" s="94">
        <v>0</v>
      </c>
      <c r="AP615" s="95">
        <v>0</v>
      </c>
      <c r="AQ615" s="95">
        <v>0</v>
      </c>
      <c r="AR615" s="95">
        <v>0</v>
      </c>
      <c r="AS615" s="95">
        <v>0</v>
      </c>
      <c r="AT615" s="95">
        <v>0</v>
      </c>
      <c r="AU615" s="95">
        <v>0</v>
      </c>
      <c r="AV615" s="95">
        <v>0</v>
      </c>
      <c r="AW615" s="95">
        <v>0</v>
      </c>
      <c r="AX615" s="95">
        <v>0</v>
      </c>
      <c r="AY615" s="95">
        <v>0</v>
      </c>
      <c r="AZ615" s="95">
        <v>0</v>
      </c>
      <c r="BA615" s="95">
        <v>0</v>
      </c>
      <c r="BB615" s="95">
        <v>0</v>
      </c>
      <c r="BC615" s="95">
        <v>0</v>
      </c>
      <c r="BD615" s="95">
        <v>0</v>
      </c>
      <c r="BE615" s="95">
        <v>0</v>
      </c>
    </row>
    <row r="616" spans="2:57" ht="15" customHeight="1" x14ac:dyDescent="0.25">
      <c r="B616" s="91">
        <v>606</v>
      </c>
      <c r="C616" s="92" t="s">
        <v>504</v>
      </c>
      <c r="D616" s="92" t="s">
        <v>51</v>
      </c>
      <c r="E616" s="92" t="s">
        <v>224</v>
      </c>
      <c r="F616" s="92" t="s">
        <v>21</v>
      </c>
      <c r="G616" s="101" t="s">
        <v>502</v>
      </c>
      <c r="H616" s="94">
        <v>1567</v>
      </c>
      <c r="I616" s="94">
        <v>928</v>
      </c>
      <c r="J616" s="94">
        <v>639</v>
      </c>
      <c r="K616" s="94">
        <v>180</v>
      </c>
      <c r="L616" s="94">
        <v>407</v>
      </c>
      <c r="M616" s="94">
        <v>750</v>
      </c>
      <c r="N616" s="94">
        <v>230</v>
      </c>
      <c r="O616" s="94">
        <v>1567</v>
      </c>
      <c r="P616" s="94">
        <v>0</v>
      </c>
      <c r="Q616" s="95">
        <v>0.26058631921824099</v>
      </c>
      <c r="R616" s="95">
        <v>0.218102508178844</v>
      </c>
      <c r="S616" s="95">
        <v>0.32362459546925598</v>
      </c>
      <c r="T616" s="95">
        <v>0</v>
      </c>
      <c r="U616" s="95">
        <v>0.75376884422110502</v>
      </c>
      <c r="V616" s="95">
        <v>0.13550135501355001</v>
      </c>
      <c r="W616" s="95">
        <v>0</v>
      </c>
      <c r="X616" s="95">
        <v>0.26058631921824099</v>
      </c>
      <c r="Y616" s="95">
        <v>0</v>
      </c>
      <c r="Z616" s="94">
        <v>2054</v>
      </c>
      <c r="AA616" s="94">
        <v>1174</v>
      </c>
      <c r="AB616" s="94">
        <v>880</v>
      </c>
      <c r="AC616" s="94">
        <v>126</v>
      </c>
      <c r="AD616" s="94">
        <v>575</v>
      </c>
      <c r="AE616" s="94">
        <v>972</v>
      </c>
      <c r="AF616" s="94">
        <v>381</v>
      </c>
      <c r="AG616" s="94">
        <v>1812</v>
      </c>
      <c r="AH616" s="94">
        <v>206</v>
      </c>
      <c r="AI616" s="94">
        <v>36</v>
      </c>
      <c r="AJ616" s="94">
        <v>2044</v>
      </c>
      <c r="AK616" s="94">
        <v>1</v>
      </c>
      <c r="AL616" s="94">
        <v>9</v>
      </c>
      <c r="AM616" s="94">
        <v>203</v>
      </c>
      <c r="AN616" s="94">
        <v>1815</v>
      </c>
      <c r="AO616" s="94">
        <v>36</v>
      </c>
      <c r="AP616" s="95">
        <v>1.6819571865443399</v>
      </c>
      <c r="AQ616" s="95">
        <v>0.42844901456726697</v>
      </c>
      <c r="AR616" s="95">
        <v>3.5220125786163501</v>
      </c>
      <c r="AS616" s="95">
        <v>3.3898305084745801</v>
      </c>
      <c r="AT616" s="95">
        <v>2.1857923497267802</v>
      </c>
      <c r="AU616" s="95">
        <v>1.3888888888888899</v>
      </c>
      <c r="AV616" s="95">
        <v>1.1142061281336999</v>
      </c>
      <c r="AW616" s="95">
        <v>1.6724336793540899</v>
      </c>
      <c r="AX616" s="95">
        <v>2.0618556701030899</v>
      </c>
      <c r="AY616" s="95">
        <v>0</v>
      </c>
      <c r="AZ616" s="95">
        <v>1.6905737704918</v>
      </c>
      <c r="BA616" s="95">
        <v>0</v>
      </c>
      <c r="BB616" s="95">
        <v>0</v>
      </c>
      <c r="BC616" s="95">
        <v>2.0618556701030899</v>
      </c>
      <c r="BD616" s="95">
        <v>1.6705069124423999</v>
      </c>
      <c r="BE616" s="95">
        <v>0</v>
      </c>
    </row>
    <row r="617" spans="2:57" ht="15" customHeight="1" x14ac:dyDescent="0.25">
      <c r="B617" s="96">
        <v>607</v>
      </c>
      <c r="C617" s="97" t="s">
        <v>504</v>
      </c>
      <c r="D617" s="104" t="s">
        <v>51</v>
      </c>
      <c r="E617" s="104" t="s">
        <v>224</v>
      </c>
      <c r="F617" s="104" t="s">
        <v>316</v>
      </c>
      <c r="G617" s="105" t="s">
        <v>316</v>
      </c>
      <c r="H617" s="106">
        <v>3802</v>
      </c>
      <c r="I617" s="106">
        <v>2174</v>
      </c>
      <c r="J617" s="106">
        <v>1628</v>
      </c>
      <c r="K617" s="106">
        <v>653</v>
      </c>
      <c r="L617" s="106">
        <v>1132</v>
      </c>
      <c r="M617" s="106">
        <v>1575</v>
      </c>
      <c r="N617" s="106">
        <v>442</v>
      </c>
      <c r="O617" s="106">
        <v>3802</v>
      </c>
      <c r="P617" s="106">
        <v>0</v>
      </c>
      <c r="Q617" s="107">
        <v>2.7647221454243899E-2</v>
      </c>
      <c r="R617" s="107">
        <v>4.7192071731948997E-2</v>
      </c>
      <c r="S617" s="107">
        <v>0</v>
      </c>
      <c r="T617" s="107">
        <v>0</v>
      </c>
      <c r="U617" s="107">
        <v>0</v>
      </c>
      <c r="V617" s="107">
        <v>6.70690811535882E-2</v>
      </c>
      <c r="W617" s="107">
        <v>0</v>
      </c>
      <c r="X617" s="107">
        <v>2.7647221454243899E-2</v>
      </c>
      <c r="Y617" s="107">
        <v>0</v>
      </c>
      <c r="Z617" s="106">
        <v>4315</v>
      </c>
      <c r="AA617" s="106">
        <v>2392</v>
      </c>
      <c r="AB617" s="106">
        <v>1923</v>
      </c>
      <c r="AC617" s="106">
        <v>439</v>
      </c>
      <c r="AD617" s="106">
        <v>1182</v>
      </c>
      <c r="AE617" s="106">
        <v>2011</v>
      </c>
      <c r="AF617" s="106">
        <v>683</v>
      </c>
      <c r="AG617" s="106">
        <v>4009</v>
      </c>
      <c r="AH617" s="106">
        <v>276</v>
      </c>
      <c r="AI617" s="106">
        <v>30</v>
      </c>
      <c r="AJ617" s="106">
        <v>4298</v>
      </c>
      <c r="AK617" s="106">
        <v>0</v>
      </c>
      <c r="AL617" s="106">
        <v>17</v>
      </c>
      <c r="AM617" s="106">
        <v>488</v>
      </c>
      <c r="AN617" s="106">
        <v>3785</v>
      </c>
      <c r="AO617" s="106">
        <v>42</v>
      </c>
      <c r="AP617" s="107">
        <v>0.76573342905001196</v>
      </c>
      <c r="AQ617" s="107">
        <v>8.4781687155574395E-2</v>
      </c>
      <c r="AR617" s="107">
        <v>1.64835164835165</v>
      </c>
      <c r="AS617" s="107">
        <v>0.47505938242280299</v>
      </c>
      <c r="AT617" s="107">
        <v>0.88105726872246704</v>
      </c>
      <c r="AU617" s="107">
        <v>0.91883614088820798</v>
      </c>
      <c r="AV617" s="107">
        <v>0.30120481927710802</v>
      </c>
      <c r="AW617" s="107">
        <v>0.82262210796915203</v>
      </c>
      <c r="AX617" s="107">
        <v>0</v>
      </c>
      <c r="AY617" s="107">
        <v>0</v>
      </c>
      <c r="AZ617" s="107">
        <v>0.76886112445939503</v>
      </c>
      <c r="BA617" s="107">
        <v>0</v>
      </c>
      <c r="BB617" s="107">
        <v>0</v>
      </c>
      <c r="BC617" s="107">
        <v>0</v>
      </c>
      <c r="BD617" s="107">
        <v>0.84468664850136199</v>
      </c>
      <c r="BE617" s="107">
        <v>2.5</v>
      </c>
    </row>
    <row r="618" spans="2:57" ht="15" customHeight="1" x14ac:dyDescent="0.25">
      <c r="B618" s="91">
        <v>608</v>
      </c>
      <c r="C618" s="92" t="s">
        <v>504</v>
      </c>
      <c r="D618" s="92" t="s">
        <v>51</v>
      </c>
      <c r="E618" s="92" t="s">
        <v>224</v>
      </c>
      <c r="F618" s="92" t="s">
        <v>316</v>
      </c>
      <c r="G618" s="101" t="s">
        <v>501</v>
      </c>
      <c r="H618" s="94">
        <v>0</v>
      </c>
      <c r="I618" s="94">
        <v>0</v>
      </c>
      <c r="J618" s="94">
        <v>0</v>
      </c>
      <c r="K618" s="94">
        <v>0</v>
      </c>
      <c r="L618" s="94">
        <v>0</v>
      </c>
      <c r="M618" s="94">
        <v>0</v>
      </c>
      <c r="N618" s="94">
        <v>0</v>
      </c>
      <c r="O618" s="94">
        <v>0</v>
      </c>
      <c r="P618" s="94">
        <v>0</v>
      </c>
      <c r="Q618" s="95">
        <v>0</v>
      </c>
      <c r="R618" s="95">
        <v>0</v>
      </c>
      <c r="S618" s="95">
        <v>0</v>
      </c>
      <c r="T618" s="95">
        <v>0</v>
      </c>
      <c r="U618" s="95">
        <v>0</v>
      </c>
      <c r="V618" s="95">
        <v>0</v>
      </c>
      <c r="W618" s="95">
        <v>0</v>
      </c>
      <c r="X618" s="95">
        <v>0</v>
      </c>
      <c r="Y618" s="95">
        <v>0</v>
      </c>
      <c r="Z618" s="94">
        <v>0</v>
      </c>
      <c r="AA618" s="94">
        <v>0</v>
      </c>
      <c r="AB618" s="94">
        <v>0</v>
      </c>
      <c r="AC618" s="94">
        <v>0</v>
      </c>
      <c r="AD618" s="94">
        <v>0</v>
      </c>
      <c r="AE618" s="94">
        <v>0</v>
      </c>
      <c r="AF618" s="94">
        <v>0</v>
      </c>
      <c r="AG618" s="94">
        <v>0</v>
      </c>
      <c r="AH618" s="94">
        <v>0</v>
      </c>
      <c r="AI618" s="94">
        <v>0</v>
      </c>
      <c r="AJ618" s="94">
        <v>0</v>
      </c>
      <c r="AK618" s="94">
        <v>0</v>
      </c>
      <c r="AL618" s="94">
        <v>0</v>
      </c>
      <c r="AM618" s="94">
        <v>0</v>
      </c>
      <c r="AN618" s="94">
        <v>0</v>
      </c>
      <c r="AO618" s="94">
        <v>0</v>
      </c>
      <c r="AP618" s="95">
        <v>0</v>
      </c>
      <c r="AQ618" s="95">
        <v>0</v>
      </c>
      <c r="AR618" s="95">
        <v>0</v>
      </c>
      <c r="AS618" s="95">
        <v>0</v>
      </c>
      <c r="AT618" s="95">
        <v>0</v>
      </c>
      <c r="AU618" s="95">
        <v>0</v>
      </c>
      <c r="AV618" s="95">
        <v>0</v>
      </c>
      <c r="AW618" s="95">
        <v>0</v>
      </c>
      <c r="AX618" s="95">
        <v>0</v>
      </c>
      <c r="AY618" s="95">
        <v>0</v>
      </c>
      <c r="AZ618" s="95">
        <v>0</v>
      </c>
      <c r="BA618" s="95">
        <v>0</v>
      </c>
      <c r="BB618" s="95">
        <v>0</v>
      </c>
      <c r="BC618" s="95">
        <v>0</v>
      </c>
      <c r="BD618" s="95">
        <v>0</v>
      </c>
      <c r="BE618" s="95">
        <v>0</v>
      </c>
    </row>
    <row r="619" spans="2:57" ht="15" customHeight="1" x14ac:dyDescent="0.25">
      <c r="B619" s="91">
        <v>609</v>
      </c>
      <c r="C619" s="92" t="s">
        <v>504</v>
      </c>
      <c r="D619" s="92" t="s">
        <v>51</v>
      </c>
      <c r="E619" s="92" t="s">
        <v>224</v>
      </c>
      <c r="F619" s="92" t="s">
        <v>316</v>
      </c>
      <c r="G619" s="101" t="s">
        <v>502</v>
      </c>
      <c r="H619" s="94">
        <v>3802</v>
      </c>
      <c r="I619" s="94">
        <v>2174</v>
      </c>
      <c r="J619" s="94">
        <v>1628</v>
      </c>
      <c r="K619" s="94">
        <v>653</v>
      </c>
      <c r="L619" s="94">
        <v>1132</v>
      </c>
      <c r="M619" s="94">
        <v>1575</v>
      </c>
      <c r="N619" s="94">
        <v>442</v>
      </c>
      <c r="O619" s="94">
        <v>3802</v>
      </c>
      <c r="P619" s="94">
        <v>0</v>
      </c>
      <c r="Q619" s="95">
        <v>2.7647221454243899E-2</v>
      </c>
      <c r="R619" s="95">
        <v>4.7192071731948997E-2</v>
      </c>
      <c r="S619" s="95">
        <v>0</v>
      </c>
      <c r="T619" s="95">
        <v>0</v>
      </c>
      <c r="U619" s="95">
        <v>0</v>
      </c>
      <c r="V619" s="95">
        <v>6.70690811535882E-2</v>
      </c>
      <c r="W619" s="95">
        <v>0</v>
      </c>
      <c r="X619" s="95">
        <v>2.7647221454243899E-2</v>
      </c>
      <c r="Y619" s="95">
        <v>0</v>
      </c>
      <c r="Z619" s="94">
        <v>4315</v>
      </c>
      <c r="AA619" s="94">
        <v>2392</v>
      </c>
      <c r="AB619" s="94">
        <v>1923</v>
      </c>
      <c r="AC619" s="94">
        <v>439</v>
      </c>
      <c r="AD619" s="94">
        <v>1182</v>
      </c>
      <c r="AE619" s="94">
        <v>2011</v>
      </c>
      <c r="AF619" s="94">
        <v>683</v>
      </c>
      <c r="AG619" s="94">
        <v>4009</v>
      </c>
      <c r="AH619" s="94">
        <v>276</v>
      </c>
      <c r="AI619" s="94">
        <v>30</v>
      </c>
      <c r="AJ619" s="94">
        <v>4298</v>
      </c>
      <c r="AK619" s="94">
        <v>0</v>
      </c>
      <c r="AL619" s="94">
        <v>17</v>
      </c>
      <c r="AM619" s="94">
        <v>488</v>
      </c>
      <c r="AN619" s="94">
        <v>3785</v>
      </c>
      <c r="AO619" s="94">
        <v>42</v>
      </c>
      <c r="AP619" s="95">
        <v>0.76573342905001196</v>
      </c>
      <c r="AQ619" s="95">
        <v>8.4781687155574395E-2</v>
      </c>
      <c r="AR619" s="95">
        <v>1.64835164835165</v>
      </c>
      <c r="AS619" s="95">
        <v>0.47505938242280299</v>
      </c>
      <c r="AT619" s="95">
        <v>0.88105726872246704</v>
      </c>
      <c r="AU619" s="95">
        <v>0.91883614088820798</v>
      </c>
      <c r="AV619" s="95">
        <v>0.30120481927710802</v>
      </c>
      <c r="AW619" s="95">
        <v>0.82262210796915203</v>
      </c>
      <c r="AX619" s="95">
        <v>0</v>
      </c>
      <c r="AY619" s="95">
        <v>0</v>
      </c>
      <c r="AZ619" s="95">
        <v>0.76886112445939503</v>
      </c>
      <c r="BA619" s="95">
        <v>0</v>
      </c>
      <c r="BB619" s="95">
        <v>0</v>
      </c>
      <c r="BC619" s="95">
        <v>0</v>
      </c>
      <c r="BD619" s="95">
        <v>0.84468664850136199</v>
      </c>
      <c r="BE619" s="95">
        <v>2.5</v>
      </c>
    </row>
    <row r="620" spans="2:57" ht="15" customHeight="1" x14ac:dyDescent="0.25">
      <c r="B620" s="86">
        <v>610</v>
      </c>
      <c r="C620" s="87" t="s">
        <v>503</v>
      </c>
      <c r="D620" s="103" t="s">
        <v>51</v>
      </c>
      <c r="E620" s="103" t="s">
        <v>240</v>
      </c>
      <c r="F620" s="103"/>
      <c r="G620" s="88" t="s">
        <v>240</v>
      </c>
      <c r="H620" s="89">
        <v>24277</v>
      </c>
      <c r="I620" s="89">
        <v>13188</v>
      </c>
      <c r="J620" s="89">
        <v>11089</v>
      </c>
      <c r="K620" s="89">
        <v>1377</v>
      </c>
      <c r="L620" s="89">
        <v>6024</v>
      </c>
      <c r="M620" s="89">
        <v>12665</v>
      </c>
      <c r="N620" s="89">
        <v>4211</v>
      </c>
      <c r="O620" s="89">
        <v>24215</v>
      </c>
      <c r="P620" s="89">
        <v>62</v>
      </c>
      <c r="Q620" s="90">
        <v>0.87301587301587302</v>
      </c>
      <c r="R620" s="90">
        <v>0.49320827943078899</v>
      </c>
      <c r="S620" s="90">
        <v>1.3285492629945701</v>
      </c>
      <c r="T620" s="90">
        <v>1.56121610517666</v>
      </c>
      <c r="U620" s="90">
        <v>1.12481857764877</v>
      </c>
      <c r="V620" s="90">
        <v>0.80193801687411204</v>
      </c>
      <c r="W620" s="90">
        <v>0.52763819095477404</v>
      </c>
      <c r="X620" s="90">
        <v>0.866336633663366</v>
      </c>
      <c r="Y620" s="90">
        <v>3.5714285714285698</v>
      </c>
      <c r="Z620" s="89">
        <v>34253</v>
      </c>
      <c r="AA620" s="89">
        <v>17318</v>
      </c>
      <c r="AB620" s="89">
        <v>16935</v>
      </c>
      <c r="AC620" s="89">
        <v>1519</v>
      </c>
      <c r="AD620" s="89">
        <v>8132</v>
      </c>
      <c r="AE620" s="89">
        <v>18120</v>
      </c>
      <c r="AF620" s="89">
        <v>6482</v>
      </c>
      <c r="AG620" s="89">
        <v>23674</v>
      </c>
      <c r="AH620" s="89">
        <v>10349</v>
      </c>
      <c r="AI620" s="89">
        <v>230</v>
      </c>
      <c r="AJ620" s="89">
        <v>33882</v>
      </c>
      <c r="AK620" s="89">
        <v>299</v>
      </c>
      <c r="AL620" s="89">
        <v>72</v>
      </c>
      <c r="AM620" s="89">
        <v>2086</v>
      </c>
      <c r="AN620" s="89">
        <v>31972</v>
      </c>
      <c r="AO620" s="89">
        <v>195</v>
      </c>
      <c r="AP620" s="90">
        <v>4.0583870278193404</v>
      </c>
      <c r="AQ620" s="90">
        <v>1.9106372783900301</v>
      </c>
      <c r="AR620" s="90">
        <v>6.2924428384524296</v>
      </c>
      <c r="AS620" s="90">
        <v>7.7949438202247201</v>
      </c>
      <c r="AT620" s="90">
        <v>5.8761804826862498</v>
      </c>
      <c r="AU620" s="90">
        <v>3.5111876075731501</v>
      </c>
      <c r="AV620" s="90">
        <v>2.52033817195725</v>
      </c>
      <c r="AW620" s="90">
        <v>3.5918654811163</v>
      </c>
      <c r="AX620" s="90">
        <v>5.1227212547102603</v>
      </c>
      <c r="AY620" s="90">
        <v>4.7619047619047601</v>
      </c>
      <c r="AZ620" s="90">
        <v>4.0181464679196397</v>
      </c>
      <c r="BA620" s="90">
        <v>9.7826086956521703</v>
      </c>
      <c r="BB620" s="90">
        <v>0</v>
      </c>
      <c r="BC620" s="90">
        <v>2.5360517155643998</v>
      </c>
      <c r="BD620" s="90">
        <v>4.1567112885805004</v>
      </c>
      <c r="BE620" s="90">
        <v>4.3715846994535497</v>
      </c>
    </row>
    <row r="621" spans="2:57" ht="15" customHeight="1" x14ac:dyDescent="0.25">
      <c r="B621" s="91">
        <v>611</v>
      </c>
      <c r="C621" s="92" t="s">
        <v>503</v>
      </c>
      <c r="D621" s="92" t="s">
        <v>51</v>
      </c>
      <c r="E621" s="92" t="s">
        <v>240</v>
      </c>
      <c r="F621" s="92"/>
      <c r="G621" s="93" t="s">
        <v>501</v>
      </c>
      <c r="H621" s="94">
        <v>12187</v>
      </c>
      <c r="I621" s="94">
        <v>6457</v>
      </c>
      <c r="J621" s="94">
        <v>5730</v>
      </c>
      <c r="K621" s="94">
        <v>707</v>
      </c>
      <c r="L621" s="94">
        <v>3167</v>
      </c>
      <c r="M621" s="94">
        <v>6499</v>
      </c>
      <c r="N621" s="94">
        <v>1814</v>
      </c>
      <c r="O621" s="94">
        <v>12148</v>
      </c>
      <c r="P621" s="94">
        <v>39</v>
      </c>
      <c r="Q621" s="95">
        <v>1.4106720406553901</v>
      </c>
      <c r="R621" s="95">
        <v>0.85301837270341196</v>
      </c>
      <c r="S621" s="95">
        <v>2.0500282113974002</v>
      </c>
      <c r="T621" s="95">
        <v>2.71565495207668</v>
      </c>
      <c r="U621" s="95">
        <v>1.7400204708290701</v>
      </c>
      <c r="V621" s="95">
        <v>1.27097930584976</v>
      </c>
      <c r="W621" s="95">
        <v>0.87260034904014006</v>
      </c>
      <c r="X621" s="95">
        <v>1.40634613694296</v>
      </c>
      <c r="Y621" s="95">
        <v>2.7777777777777799</v>
      </c>
      <c r="Z621" s="94">
        <v>20013</v>
      </c>
      <c r="AA621" s="94">
        <v>9959</v>
      </c>
      <c r="AB621" s="94">
        <v>10054</v>
      </c>
      <c r="AC621" s="94">
        <v>934</v>
      </c>
      <c r="AD621" s="94">
        <v>5127</v>
      </c>
      <c r="AE621" s="94">
        <v>10734</v>
      </c>
      <c r="AF621" s="94">
        <v>3218</v>
      </c>
      <c r="AG621" s="94">
        <v>12708</v>
      </c>
      <c r="AH621" s="94">
        <v>7197</v>
      </c>
      <c r="AI621" s="94">
        <v>108</v>
      </c>
      <c r="AJ621" s="94">
        <v>19781</v>
      </c>
      <c r="AK621" s="94">
        <v>201</v>
      </c>
      <c r="AL621" s="94">
        <v>31</v>
      </c>
      <c r="AM621" s="94">
        <v>1100</v>
      </c>
      <c r="AN621" s="94">
        <v>18814</v>
      </c>
      <c r="AO621" s="94">
        <v>99</v>
      </c>
      <c r="AP621" s="95">
        <v>5.5442443226311697</v>
      </c>
      <c r="AQ621" s="95">
        <v>2.8526645768025101</v>
      </c>
      <c r="AR621" s="95">
        <v>8.2316118935837306</v>
      </c>
      <c r="AS621" s="95">
        <v>10.6575963718821</v>
      </c>
      <c r="AT621" s="95">
        <v>7.34804329725229</v>
      </c>
      <c r="AU621" s="95">
        <v>4.6597061098221202</v>
      </c>
      <c r="AV621" s="95">
        <v>4.2560000000000002</v>
      </c>
      <c r="AW621" s="95">
        <v>5.1735428945645099</v>
      </c>
      <c r="AX621" s="95">
        <v>6.1860193038900304</v>
      </c>
      <c r="AY621" s="95">
        <v>6.9306930693069297</v>
      </c>
      <c r="AZ621" s="95">
        <v>5.4904445148347598</v>
      </c>
      <c r="BA621" s="95">
        <v>12.021857923497301</v>
      </c>
      <c r="BB621" s="95">
        <v>0</v>
      </c>
      <c r="BC621" s="95">
        <v>3.9772727272727302</v>
      </c>
      <c r="BD621" s="95">
        <v>5.6311434442161401</v>
      </c>
      <c r="BE621" s="95">
        <v>6.5217391304347796</v>
      </c>
    </row>
    <row r="622" spans="2:57" ht="15" customHeight="1" x14ac:dyDescent="0.25">
      <c r="B622" s="91">
        <v>612</v>
      </c>
      <c r="C622" s="92" t="s">
        <v>503</v>
      </c>
      <c r="D622" s="92" t="s">
        <v>51</v>
      </c>
      <c r="E622" s="92" t="s">
        <v>240</v>
      </c>
      <c r="F622" s="92"/>
      <c r="G622" s="93" t="s">
        <v>502</v>
      </c>
      <c r="H622" s="94">
        <v>12090</v>
      </c>
      <c r="I622" s="94">
        <v>6731</v>
      </c>
      <c r="J622" s="94">
        <v>5359</v>
      </c>
      <c r="K622" s="94">
        <v>670</v>
      </c>
      <c r="L622" s="94">
        <v>2857</v>
      </c>
      <c r="M622" s="94">
        <v>6166</v>
      </c>
      <c r="N622" s="94">
        <v>2397</v>
      </c>
      <c r="O622" s="94">
        <v>12067</v>
      </c>
      <c r="P622" s="94">
        <v>23</v>
      </c>
      <c r="Q622" s="95">
        <v>0.32839265110499699</v>
      </c>
      <c r="R622" s="95">
        <v>0.14349489795918399</v>
      </c>
      <c r="S622" s="95">
        <v>0.56056056056056003</v>
      </c>
      <c r="T622" s="95">
        <v>0.33840947546531303</v>
      </c>
      <c r="U622" s="95">
        <v>0.42619139868268102</v>
      </c>
      <c r="V622" s="95">
        <v>0.30853616729516598</v>
      </c>
      <c r="W622" s="95">
        <v>0.26536930561698402</v>
      </c>
      <c r="X622" s="95">
        <v>0.32008535609495897</v>
      </c>
      <c r="Y622" s="95">
        <v>5</v>
      </c>
      <c r="Z622" s="94">
        <v>14240</v>
      </c>
      <c r="AA622" s="94">
        <v>7359</v>
      </c>
      <c r="AB622" s="94">
        <v>6881</v>
      </c>
      <c r="AC622" s="94">
        <v>585</v>
      </c>
      <c r="AD622" s="94">
        <v>3005</v>
      </c>
      <c r="AE622" s="94">
        <v>7386</v>
      </c>
      <c r="AF622" s="94">
        <v>3264</v>
      </c>
      <c r="AG622" s="94">
        <v>10966</v>
      </c>
      <c r="AH622" s="94">
        <v>3152</v>
      </c>
      <c r="AI622" s="94">
        <v>122</v>
      </c>
      <c r="AJ622" s="94">
        <v>14101</v>
      </c>
      <c r="AK622" s="94">
        <v>98</v>
      </c>
      <c r="AL622" s="94">
        <v>41</v>
      </c>
      <c r="AM622" s="94">
        <v>986</v>
      </c>
      <c r="AN622" s="94">
        <v>13158</v>
      </c>
      <c r="AO622" s="94">
        <v>96</v>
      </c>
      <c r="AP622" s="95">
        <v>1.9643908181283101</v>
      </c>
      <c r="AQ622" s="95">
        <v>0.64552343530732503</v>
      </c>
      <c r="AR622" s="95">
        <v>3.4178781317661602</v>
      </c>
      <c r="AS622" s="95">
        <v>3.1365313653136502</v>
      </c>
      <c r="AT622" s="95">
        <v>3.36879432624113</v>
      </c>
      <c r="AU622" s="95">
        <v>1.83460344340954</v>
      </c>
      <c r="AV622" s="95">
        <v>0.79516539440203604</v>
      </c>
      <c r="AW622" s="95">
        <v>1.7520472290992199</v>
      </c>
      <c r="AX622" s="95">
        <v>2.68366320026837</v>
      </c>
      <c r="AY622" s="95">
        <v>2.75229357798165</v>
      </c>
      <c r="AZ622" s="95">
        <v>1.9463635688284699</v>
      </c>
      <c r="BA622" s="95">
        <v>5.3763440860215104</v>
      </c>
      <c r="BB622" s="95">
        <v>0</v>
      </c>
      <c r="BC622" s="95">
        <v>0.942408376963351</v>
      </c>
      <c r="BD622" s="95">
        <v>2.0404909931452302</v>
      </c>
      <c r="BE622" s="95">
        <v>2.1978021978022002</v>
      </c>
    </row>
    <row r="623" spans="2:57" ht="15" customHeight="1" x14ac:dyDescent="0.25">
      <c r="B623" s="96">
        <v>613</v>
      </c>
      <c r="C623" s="97" t="s">
        <v>504</v>
      </c>
      <c r="D623" s="104" t="s">
        <v>51</v>
      </c>
      <c r="E623" s="104" t="s">
        <v>240</v>
      </c>
      <c r="F623" s="104" t="s">
        <v>240</v>
      </c>
      <c r="G623" s="105" t="s">
        <v>240</v>
      </c>
      <c r="H623" s="106">
        <v>12982</v>
      </c>
      <c r="I623" s="106">
        <v>6778</v>
      </c>
      <c r="J623" s="106">
        <v>6204</v>
      </c>
      <c r="K623" s="106">
        <v>741</v>
      </c>
      <c r="L623" s="106">
        <v>3185</v>
      </c>
      <c r="M623" s="106">
        <v>6847</v>
      </c>
      <c r="N623" s="106">
        <v>2209</v>
      </c>
      <c r="O623" s="106">
        <v>12940</v>
      </c>
      <c r="P623" s="106">
        <v>42</v>
      </c>
      <c r="Q623" s="107">
        <v>1.23031496062992</v>
      </c>
      <c r="R623" s="107">
        <v>0.73494917904613</v>
      </c>
      <c r="S623" s="107">
        <v>1.7767810936691399</v>
      </c>
      <c r="T623" s="107">
        <v>2.1341463414634099</v>
      </c>
      <c r="U623" s="107">
        <v>1.49001015916018</v>
      </c>
      <c r="V623" s="107">
        <v>1.1697706633831</v>
      </c>
      <c r="W623" s="107">
        <v>0.76701821668264603</v>
      </c>
      <c r="X623" s="107">
        <v>1.21790651744569</v>
      </c>
      <c r="Y623" s="107">
        <v>5</v>
      </c>
      <c r="Z623" s="106">
        <v>19306</v>
      </c>
      <c r="AA623" s="106">
        <v>9521</v>
      </c>
      <c r="AB623" s="106">
        <v>9785</v>
      </c>
      <c r="AC623" s="106">
        <v>828</v>
      </c>
      <c r="AD623" s="106">
        <v>4674</v>
      </c>
      <c r="AE623" s="106">
        <v>10141</v>
      </c>
      <c r="AF623" s="106">
        <v>3663</v>
      </c>
      <c r="AG623" s="106">
        <v>12255</v>
      </c>
      <c r="AH623" s="106">
        <v>6951</v>
      </c>
      <c r="AI623" s="106">
        <v>100</v>
      </c>
      <c r="AJ623" s="106">
        <v>19081</v>
      </c>
      <c r="AK623" s="106">
        <v>197</v>
      </c>
      <c r="AL623" s="106">
        <v>28</v>
      </c>
      <c r="AM623" s="106">
        <v>1206</v>
      </c>
      <c r="AN623" s="106">
        <v>18008</v>
      </c>
      <c r="AO623" s="106">
        <v>92</v>
      </c>
      <c r="AP623" s="107">
        <v>5.1858254105445099</v>
      </c>
      <c r="AQ623" s="107">
        <v>2.6003699271026002</v>
      </c>
      <c r="AR623" s="107">
        <v>7.7352215427529201</v>
      </c>
      <c r="AS623" s="107">
        <v>10.165184243964401</v>
      </c>
      <c r="AT623" s="107">
        <v>7.2648599407879804</v>
      </c>
      <c r="AU623" s="107">
        <v>4.4269502095900197</v>
      </c>
      <c r="AV623" s="107">
        <v>3.60258936110329</v>
      </c>
      <c r="AW623" s="107">
        <v>4.7498094996190003</v>
      </c>
      <c r="AX623" s="107">
        <v>5.9313057951278596</v>
      </c>
      <c r="AY623" s="107">
        <v>7.6086956521739104</v>
      </c>
      <c r="AZ623" s="107">
        <v>5.1297459710461597</v>
      </c>
      <c r="BA623" s="107">
        <v>11.731843575418999</v>
      </c>
      <c r="BB623" s="107">
        <v>0</v>
      </c>
      <c r="BC623" s="107">
        <v>3.0821917808219199</v>
      </c>
      <c r="BD623" s="107">
        <v>5.3192722215783999</v>
      </c>
      <c r="BE623" s="107">
        <v>6.9767441860465098</v>
      </c>
    </row>
    <row r="624" spans="2:57" ht="15" customHeight="1" x14ac:dyDescent="0.25">
      <c r="B624" s="91">
        <v>614</v>
      </c>
      <c r="C624" s="92" t="s">
        <v>504</v>
      </c>
      <c r="D624" s="92" t="s">
        <v>51</v>
      </c>
      <c r="E624" s="92" t="s">
        <v>240</v>
      </c>
      <c r="F624" s="92" t="s">
        <v>240</v>
      </c>
      <c r="G624" s="101" t="s">
        <v>501</v>
      </c>
      <c r="H624" s="94">
        <v>8580</v>
      </c>
      <c r="I624" s="94">
        <v>4415</v>
      </c>
      <c r="J624" s="94">
        <v>4165</v>
      </c>
      <c r="K624" s="94">
        <v>456</v>
      </c>
      <c r="L624" s="94">
        <v>2213</v>
      </c>
      <c r="M624" s="94">
        <v>4635</v>
      </c>
      <c r="N624" s="94">
        <v>1276</v>
      </c>
      <c r="O624" s="94">
        <v>8550</v>
      </c>
      <c r="P624" s="94">
        <v>30</v>
      </c>
      <c r="Q624" s="95">
        <v>1.7269225990806301</v>
      </c>
      <c r="R624" s="95">
        <v>1.0538922155688599</v>
      </c>
      <c r="S624" s="95">
        <v>2.4522457408363398</v>
      </c>
      <c r="T624" s="95">
        <v>3.25</v>
      </c>
      <c r="U624" s="95">
        <v>2.0428015564202302</v>
      </c>
      <c r="V624" s="95">
        <v>1.6184180533394099</v>
      </c>
      <c r="W624" s="95">
        <v>1.0779436152570501</v>
      </c>
      <c r="X624" s="95">
        <v>1.7206982543640901</v>
      </c>
      <c r="Y624" s="95">
        <v>3.4482758620689702</v>
      </c>
      <c r="Z624" s="94">
        <v>14242</v>
      </c>
      <c r="AA624" s="94">
        <v>6987</v>
      </c>
      <c r="AB624" s="94">
        <v>7255</v>
      </c>
      <c r="AC624" s="94">
        <v>607</v>
      </c>
      <c r="AD624" s="94">
        <v>3582</v>
      </c>
      <c r="AE624" s="94">
        <v>7632</v>
      </c>
      <c r="AF624" s="94">
        <v>2421</v>
      </c>
      <c r="AG624" s="94">
        <v>8530</v>
      </c>
      <c r="AH624" s="94">
        <v>5644</v>
      </c>
      <c r="AI624" s="94">
        <v>68</v>
      </c>
      <c r="AJ624" s="94">
        <v>14062</v>
      </c>
      <c r="AK624" s="94">
        <v>160</v>
      </c>
      <c r="AL624" s="94">
        <v>20</v>
      </c>
      <c r="AM624" s="94">
        <v>809</v>
      </c>
      <c r="AN624" s="94">
        <v>13367</v>
      </c>
      <c r="AO624" s="94">
        <v>66</v>
      </c>
      <c r="AP624" s="95">
        <v>6.0830100285484203</v>
      </c>
      <c r="AQ624" s="95">
        <v>3.28429187100609</v>
      </c>
      <c r="AR624" s="95">
        <v>8.7997691863819991</v>
      </c>
      <c r="AS624" s="95">
        <v>12.521739130434799</v>
      </c>
      <c r="AT624" s="95">
        <v>8.14022578728461</v>
      </c>
      <c r="AU624" s="95">
        <v>4.9694501018329902</v>
      </c>
      <c r="AV624" s="95">
        <v>5.0530785562632703</v>
      </c>
      <c r="AW624" s="95">
        <v>5.7886416149823701</v>
      </c>
      <c r="AX624" s="95">
        <v>6.4930232558139496</v>
      </c>
      <c r="AY624" s="95">
        <v>9.5238095238095202</v>
      </c>
      <c r="AZ624" s="95">
        <v>6.0013336296954902</v>
      </c>
      <c r="BA624" s="95">
        <v>14.5833333333333</v>
      </c>
      <c r="BB624" s="95">
        <v>0</v>
      </c>
      <c r="BC624" s="95">
        <v>3.9845758354755798</v>
      </c>
      <c r="BD624" s="95">
        <v>6.2002807674309803</v>
      </c>
      <c r="BE624" s="95">
        <v>8.1967213114754092</v>
      </c>
    </row>
    <row r="625" spans="2:57" ht="15" customHeight="1" x14ac:dyDescent="0.25">
      <c r="B625" s="91">
        <v>615</v>
      </c>
      <c r="C625" s="92" t="s">
        <v>504</v>
      </c>
      <c r="D625" s="92" t="s">
        <v>51</v>
      </c>
      <c r="E625" s="92" t="s">
        <v>240</v>
      </c>
      <c r="F625" s="92" t="s">
        <v>240</v>
      </c>
      <c r="G625" s="101" t="s">
        <v>502</v>
      </c>
      <c r="H625" s="94">
        <v>4402</v>
      </c>
      <c r="I625" s="94">
        <v>2363</v>
      </c>
      <c r="J625" s="94">
        <v>2039</v>
      </c>
      <c r="K625" s="94">
        <v>285</v>
      </c>
      <c r="L625" s="94">
        <v>972</v>
      </c>
      <c r="M625" s="94">
        <v>2212</v>
      </c>
      <c r="N625" s="94">
        <v>933</v>
      </c>
      <c r="O625" s="94">
        <v>4390</v>
      </c>
      <c r="P625" s="94">
        <v>12</v>
      </c>
      <c r="Q625" s="95">
        <v>0.26550808592807101</v>
      </c>
      <c r="R625" s="95">
        <v>0.135135135135135</v>
      </c>
      <c r="S625" s="95">
        <v>0.41601664066562699</v>
      </c>
      <c r="T625" s="95">
        <v>0.390625</v>
      </c>
      <c r="U625" s="95">
        <v>0.22296544035674501</v>
      </c>
      <c r="V625" s="95">
        <v>0.23696682464454999</v>
      </c>
      <c r="W625" s="95">
        <v>0.34090909090909099</v>
      </c>
      <c r="X625" s="95">
        <v>0.242013552758954</v>
      </c>
      <c r="Y625" s="95">
        <v>9.0909090909090899</v>
      </c>
      <c r="Z625" s="94">
        <v>5064</v>
      </c>
      <c r="AA625" s="94">
        <v>2534</v>
      </c>
      <c r="AB625" s="94">
        <v>2530</v>
      </c>
      <c r="AC625" s="94">
        <v>221</v>
      </c>
      <c r="AD625" s="94">
        <v>1092</v>
      </c>
      <c r="AE625" s="94">
        <v>2509</v>
      </c>
      <c r="AF625" s="94">
        <v>1242</v>
      </c>
      <c r="AG625" s="94">
        <v>3725</v>
      </c>
      <c r="AH625" s="94">
        <v>1307</v>
      </c>
      <c r="AI625" s="94">
        <v>32</v>
      </c>
      <c r="AJ625" s="94">
        <v>5019</v>
      </c>
      <c r="AK625" s="94">
        <v>37</v>
      </c>
      <c r="AL625" s="94">
        <v>8</v>
      </c>
      <c r="AM625" s="94">
        <v>397</v>
      </c>
      <c r="AN625" s="94">
        <v>4641</v>
      </c>
      <c r="AO625" s="94">
        <v>26</v>
      </c>
      <c r="AP625" s="95">
        <v>2.6592455163883701</v>
      </c>
      <c r="AQ625" s="95">
        <v>0.73111291632818898</v>
      </c>
      <c r="AR625" s="95">
        <v>4.6462955211385504</v>
      </c>
      <c r="AS625" s="95">
        <v>3.7735849056603801</v>
      </c>
      <c r="AT625" s="95">
        <v>4.3902439024390203</v>
      </c>
      <c r="AU625" s="95">
        <v>2.7731788079470201</v>
      </c>
      <c r="AV625" s="95">
        <v>0.75125208681135203</v>
      </c>
      <c r="AW625" s="95">
        <v>2.3690078037904101</v>
      </c>
      <c r="AX625" s="95">
        <v>3.4846029173419799</v>
      </c>
      <c r="AY625" s="95">
        <v>3.4482758620689702</v>
      </c>
      <c r="AZ625" s="95">
        <v>2.6830282861896801</v>
      </c>
      <c r="BA625" s="95">
        <v>0</v>
      </c>
      <c r="BB625" s="95">
        <v>0</v>
      </c>
      <c r="BC625" s="95">
        <v>1.2820512820512799</v>
      </c>
      <c r="BD625" s="95">
        <v>2.7727682596934198</v>
      </c>
      <c r="BE625" s="95">
        <v>4</v>
      </c>
    </row>
    <row r="626" spans="2:57" ht="15" customHeight="1" x14ac:dyDescent="0.25">
      <c r="B626" s="96">
        <v>616</v>
      </c>
      <c r="C626" s="97" t="s">
        <v>504</v>
      </c>
      <c r="D626" s="104" t="s">
        <v>51</v>
      </c>
      <c r="E626" s="104" t="s">
        <v>240</v>
      </c>
      <c r="F626" s="104" t="s">
        <v>163</v>
      </c>
      <c r="G626" s="105" t="s">
        <v>163</v>
      </c>
      <c r="H626" s="106">
        <v>3452</v>
      </c>
      <c r="I626" s="106">
        <v>1998</v>
      </c>
      <c r="J626" s="106">
        <v>1454</v>
      </c>
      <c r="K626" s="106">
        <v>164</v>
      </c>
      <c r="L626" s="106">
        <v>869</v>
      </c>
      <c r="M626" s="106">
        <v>1793</v>
      </c>
      <c r="N626" s="106">
        <v>626</v>
      </c>
      <c r="O626" s="106">
        <v>3448</v>
      </c>
      <c r="P626" s="106">
        <v>4</v>
      </c>
      <c r="Q626" s="107">
        <v>0.31259768677711802</v>
      </c>
      <c r="R626" s="107">
        <v>0.106894708711919</v>
      </c>
      <c r="S626" s="107">
        <v>0.60240963855421703</v>
      </c>
      <c r="T626" s="107">
        <v>0.69930069930069905</v>
      </c>
      <c r="U626" s="107">
        <v>0.38560411311053999</v>
      </c>
      <c r="V626" s="107">
        <v>0.29673590504450997</v>
      </c>
      <c r="W626" s="107">
        <v>0.168634064080944</v>
      </c>
      <c r="X626" s="107">
        <v>0.31289111389236501</v>
      </c>
      <c r="Y626" s="107">
        <v>0</v>
      </c>
      <c r="Z626" s="106">
        <v>4827</v>
      </c>
      <c r="AA626" s="106">
        <v>2527</v>
      </c>
      <c r="AB626" s="106">
        <v>2300</v>
      </c>
      <c r="AC626" s="106">
        <v>252</v>
      </c>
      <c r="AD626" s="106">
        <v>1173</v>
      </c>
      <c r="AE626" s="106">
        <v>2498</v>
      </c>
      <c r="AF626" s="106">
        <v>904</v>
      </c>
      <c r="AG626" s="106">
        <v>3923</v>
      </c>
      <c r="AH626" s="106">
        <v>874</v>
      </c>
      <c r="AI626" s="106">
        <v>30</v>
      </c>
      <c r="AJ626" s="106">
        <v>4783</v>
      </c>
      <c r="AK626" s="106">
        <v>25</v>
      </c>
      <c r="AL626" s="106">
        <v>19</v>
      </c>
      <c r="AM626" s="106">
        <v>362</v>
      </c>
      <c r="AN626" s="106">
        <v>4432</v>
      </c>
      <c r="AO626" s="106">
        <v>33</v>
      </c>
      <c r="AP626" s="107">
        <v>2.3539668700959</v>
      </c>
      <c r="AQ626" s="107">
        <v>0.69757899056216699</v>
      </c>
      <c r="AR626" s="107">
        <v>4.2305904230590397</v>
      </c>
      <c r="AS626" s="107">
        <v>3.4482758620689702</v>
      </c>
      <c r="AT626" s="107">
        <v>4.0036396724294798</v>
      </c>
      <c r="AU626" s="107">
        <v>1.92549183758895</v>
      </c>
      <c r="AV626" s="107">
        <v>1.1520737327188899</v>
      </c>
      <c r="AW626" s="107">
        <v>2.03371688520203</v>
      </c>
      <c r="AX626" s="107">
        <v>3.8929440389294401</v>
      </c>
      <c r="AY626" s="107">
        <v>0</v>
      </c>
      <c r="AZ626" s="107">
        <v>2.3306948109058898</v>
      </c>
      <c r="BA626" s="107">
        <v>9.0909090909090899</v>
      </c>
      <c r="BB626" s="107">
        <v>0</v>
      </c>
      <c r="BC626" s="107">
        <v>1.7341040462427699</v>
      </c>
      <c r="BD626" s="107">
        <v>2.4228028503562902</v>
      </c>
      <c r="BE626" s="107">
        <v>0</v>
      </c>
    </row>
    <row r="627" spans="2:57" ht="15" customHeight="1" x14ac:dyDescent="0.25">
      <c r="B627" s="91">
        <v>617</v>
      </c>
      <c r="C627" s="92" t="s">
        <v>504</v>
      </c>
      <c r="D627" s="92" t="s">
        <v>51</v>
      </c>
      <c r="E627" s="92" t="s">
        <v>240</v>
      </c>
      <c r="F627" s="92" t="s">
        <v>163</v>
      </c>
      <c r="G627" s="101" t="s">
        <v>501</v>
      </c>
      <c r="H627" s="94">
        <v>0</v>
      </c>
      <c r="I627" s="94">
        <v>0</v>
      </c>
      <c r="J627" s="94">
        <v>0</v>
      </c>
      <c r="K627" s="94">
        <v>0</v>
      </c>
      <c r="L627" s="94">
        <v>0</v>
      </c>
      <c r="M627" s="94">
        <v>0</v>
      </c>
      <c r="N627" s="94">
        <v>0</v>
      </c>
      <c r="O627" s="94">
        <v>0</v>
      </c>
      <c r="P627" s="94">
        <v>0</v>
      </c>
      <c r="Q627" s="95">
        <v>0</v>
      </c>
      <c r="R627" s="95">
        <v>0</v>
      </c>
      <c r="S627" s="95">
        <v>0</v>
      </c>
      <c r="T627" s="95">
        <v>0</v>
      </c>
      <c r="U627" s="95">
        <v>0</v>
      </c>
      <c r="V627" s="95">
        <v>0</v>
      </c>
      <c r="W627" s="95">
        <v>0</v>
      </c>
      <c r="X627" s="95">
        <v>0</v>
      </c>
      <c r="Y627" s="95">
        <v>0</v>
      </c>
      <c r="Z627" s="94">
        <v>1285</v>
      </c>
      <c r="AA627" s="94">
        <v>668</v>
      </c>
      <c r="AB627" s="94">
        <v>617</v>
      </c>
      <c r="AC627" s="94">
        <v>103</v>
      </c>
      <c r="AD627" s="94">
        <v>443</v>
      </c>
      <c r="AE627" s="94">
        <v>658</v>
      </c>
      <c r="AF627" s="94">
        <v>81</v>
      </c>
      <c r="AG627" s="94">
        <v>998</v>
      </c>
      <c r="AH627" s="94">
        <v>282</v>
      </c>
      <c r="AI627" s="94">
        <v>5</v>
      </c>
      <c r="AJ627" s="94">
        <v>1279</v>
      </c>
      <c r="AK627" s="94">
        <v>5</v>
      </c>
      <c r="AL627" s="94">
        <v>1</v>
      </c>
      <c r="AM627" s="94">
        <v>61</v>
      </c>
      <c r="AN627" s="94">
        <v>1217</v>
      </c>
      <c r="AO627" s="94">
        <v>7</v>
      </c>
      <c r="AP627" s="95">
        <v>5.4693877551020398</v>
      </c>
      <c r="AQ627" s="95">
        <v>1.25</v>
      </c>
      <c r="AR627" s="95">
        <v>10.085470085470099</v>
      </c>
      <c r="AS627" s="95">
        <v>5.1020408163265296</v>
      </c>
      <c r="AT627" s="95">
        <v>6.4593301435406696</v>
      </c>
      <c r="AU627" s="95">
        <v>4.5741324921135602</v>
      </c>
      <c r="AV627" s="95">
        <v>8</v>
      </c>
      <c r="AW627" s="95">
        <v>4.5929018789144003</v>
      </c>
      <c r="AX627" s="95">
        <v>8.7786259541984695</v>
      </c>
      <c r="AY627" s="95">
        <v>0</v>
      </c>
      <c r="AZ627" s="95">
        <v>5.4963084495488097</v>
      </c>
      <c r="BA627" s="95">
        <v>0</v>
      </c>
      <c r="BB627" s="95">
        <v>0</v>
      </c>
      <c r="BC627" s="95">
        <v>8.6206896551724093</v>
      </c>
      <c r="BD627" s="95">
        <v>5.3402239448751097</v>
      </c>
      <c r="BE627" s="95">
        <v>0</v>
      </c>
    </row>
    <row r="628" spans="2:57" ht="15" customHeight="1" x14ac:dyDescent="0.25">
      <c r="B628" s="91">
        <v>618</v>
      </c>
      <c r="C628" s="92" t="s">
        <v>504</v>
      </c>
      <c r="D628" s="92" t="s">
        <v>51</v>
      </c>
      <c r="E628" s="92" t="s">
        <v>240</v>
      </c>
      <c r="F628" s="92" t="s">
        <v>163</v>
      </c>
      <c r="G628" s="101" t="s">
        <v>502</v>
      </c>
      <c r="H628" s="94">
        <v>3452</v>
      </c>
      <c r="I628" s="94">
        <v>1998</v>
      </c>
      <c r="J628" s="94">
        <v>1454</v>
      </c>
      <c r="K628" s="94">
        <v>164</v>
      </c>
      <c r="L628" s="94">
        <v>869</v>
      </c>
      <c r="M628" s="94">
        <v>1793</v>
      </c>
      <c r="N628" s="94">
        <v>626</v>
      </c>
      <c r="O628" s="94">
        <v>3448</v>
      </c>
      <c r="P628" s="94">
        <v>4</v>
      </c>
      <c r="Q628" s="95">
        <v>0.31259768677711802</v>
      </c>
      <c r="R628" s="95">
        <v>0.106894708711919</v>
      </c>
      <c r="S628" s="95">
        <v>0.60240963855421703</v>
      </c>
      <c r="T628" s="95">
        <v>0.69930069930069905</v>
      </c>
      <c r="U628" s="95">
        <v>0.38560411311053999</v>
      </c>
      <c r="V628" s="95">
        <v>0.29673590504450997</v>
      </c>
      <c r="W628" s="95">
        <v>0.168634064080944</v>
      </c>
      <c r="X628" s="95">
        <v>0.31289111389236501</v>
      </c>
      <c r="Y628" s="95">
        <v>0</v>
      </c>
      <c r="Z628" s="94">
        <v>3542</v>
      </c>
      <c r="AA628" s="94">
        <v>1859</v>
      </c>
      <c r="AB628" s="94">
        <v>1683</v>
      </c>
      <c r="AC628" s="94">
        <v>149</v>
      </c>
      <c r="AD628" s="94">
        <v>730</v>
      </c>
      <c r="AE628" s="94">
        <v>1840</v>
      </c>
      <c r="AF628" s="94">
        <v>823</v>
      </c>
      <c r="AG628" s="94">
        <v>2925</v>
      </c>
      <c r="AH628" s="94">
        <v>592</v>
      </c>
      <c r="AI628" s="94">
        <v>25</v>
      </c>
      <c r="AJ628" s="94">
        <v>3504</v>
      </c>
      <c r="AK628" s="94">
        <v>20</v>
      </c>
      <c r="AL628" s="94">
        <v>18</v>
      </c>
      <c r="AM628" s="94">
        <v>301</v>
      </c>
      <c r="AN628" s="94">
        <v>3215</v>
      </c>
      <c r="AO628" s="94">
        <v>26</v>
      </c>
      <c r="AP628" s="95">
        <v>1.2191495688373499</v>
      </c>
      <c r="AQ628" s="95">
        <v>0.50083472454090106</v>
      </c>
      <c r="AR628" s="95">
        <v>2.04342273307791</v>
      </c>
      <c r="AS628" s="95">
        <v>2.23880597014925</v>
      </c>
      <c r="AT628" s="95">
        <v>2.49632892804699</v>
      </c>
      <c r="AU628" s="95">
        <v>0.96866096866096896</v>
      </c>
      <c r="AV628" s="95">
        <v>0.50441361916771799</v>
      </c>
      <c r="AW628" s="95">
        <v>1.1514933429291101</v>
      </c>
      <c r="AX628" s="95">
        <v>1.6071428571428601</v>
      </c>
      <c r="AY628" s="95">
        <v>0</v>
      </c>
      <c r="AZ628" s="95">
        <v>1.17152297987384</v>
      </c>
      <c r="BA628" s="95">
        <v>11.764705882352899</v>
      </c>
      <c r="BB628" s="95">
        <v>0</v>
      </c>
      <c r="BC628" s="95">
        <v>0.34722222222222199</v>
      </c>
      <c r="BD628" s="95">
        <v>1.3119055428009201</v>
      </c>
      <c r="BE628" s="95">
        <v>0</v>
      </c>
    </row>
    <row r="629" spans="2:57" ht="15" customHeight="1" x14ac:dyDescent="0.25">
      <c r="B629" s="96">
        <v>619</v>
      </c>
      <c r="C629" s="97" t="s">
        <v>504</v>
      </c>
      <c r="D629" s="104" t="s">
        <v>51</v>
      </c>
      <c r="E629" s="104" t="s">
        <v>240</v>
      </c>
      <c r="F629" s="104" t="s">
        <v>156</v>
      </c>
      <c r="G629" s="105" t="s">
        <v>156</v>
      </c>
      <c r="H629" s="106">
        <v>5988</v>
      </c>
      <c r="I629" s="106">
        <v>3367</v>
      </c>
      <c r="J629" s="106">
        <v>2621</v>
      </c>
      <c r="K629" s="106">
        <v>378</v>
      </c>
      <c r="L629" s="106">
        <v>1504</v>
      </c>
      <c r="M629" s="106">
        <v>3052</v>
      </c>
      <c r="N629" s="106">
        <v>1054</v>
      </c>
      <c r="O629" s="106">
        <v>5973</v>
      </c>
      <c r="P629" s="106">
        <v>15</v>
      </c>
      <c r="Q629" s="107">
        <v>0.63006300630062995</v>
      </c>
      <c r="R629" s="107">
        <v>0.38301947015639998</v>
      </c>
      <c r="S629" s="107">
        <v>0.94962840627580503</v>
      </c>
      <c r="T629" s="107">
        <v>1.2012012012012001</v>
      </c>
      <c r="U629" s="107">
        <v>1.0980966325036601</v>
      </c>
      <c r="V629" s="107">
        <v>0.41870202372644799</v>
      </c>
      <c r="W629" s="107">
        <v>0.40404040404040398</v>
      </c>
      <c r="X629" s="107">
        <v>0.63142702507667303</v>
      </c>
      <c r="Y629" s="107">
        <v>0</v>
      </c>
      <c r="Z629" s="106">
        <v>7267</v>
      </c>
      <c r="AA629" s="106">
        <v>3750</v>
      </c>
      <c r="AB629" s="106">
        <v>3517</v>
      </c>
      <c r="AC629" s="106">
        <v>333</v>
      </c>
      <c r="AD629" s="106">
        <v>1649</v>
      </c>
      <c r="AE629" s="106">
        <v>3846</v>
      </c>
      <c r="AF629" s="106">
        <v>1439</v>
      </c>
      <c r="AG629" s="106">
        <v>5402</v>
      </c>
      <c r="AH629" s="106">
        <v>1820</v>
      </c>
      <c r="AI629" s="106">
        <v>45</v>
      </c>
      <c r="AJ629" s="106">
        <v>7183</v>
      </c>
      <c r="AK629" s="106">
        <v>67</v>
      </c>
      <c r="AL629" s="106">
        <v>17</v>
      </c>
      <c r="AM629" s="106">
        <v>415</v>
      </c>
      <c r="AN629" s="106">
        <v>6811</v>
      </c>
      <c r="AO629" s="106">
        <v>41</v>
      </c>
      <c r="AP629" s="107">
        <v>3.2057761732852001</v>
      </c>
      <c r="AQ629" s="107">
        <v>1.58245419211549</v>
      </c>
      <c r="AR629" s="107">
        <v>4.9653927174240096</v>
      </c>
      <c r="AS629" s="107">
        <v>6.7741935483870996</v>
      </c>
      <c r="AT629" s="107">
        <v>4.7650130548302903</v>
      </c>
      <c r="AU629" s="107">
        <v>3.0073150907613102</v>
      </c>
      <c r="AV629" s="107">
        <v>1.2212643678160899</v>
      </c>
      <c r="AW629" s="107">
        <v>2.9599535693557799</v>
      </c>
      <c r="AX629" s="107">
        <v>3.9673278879813298</v>
      </c>
      <c r="AY629" s="107">
        <v>2.38095238095238</v>
      </c>
      <c r="AZ629" s="107">
        <v>3.18527177089421</v>
      </c>
      <c r="BA629" s="107">
        <v>6.1538461538461497</v>
      </c>
      <c r="BB629" s="107">
        <v>0</v>
      </c>
      <c r="BC629" s="107">
        <v>2.2613065326633199</v>
      </c>
      <c r="BD629" s="107">
        <v>3.25265916448281</v>
      </c>
      <c r="BE629" s="107">
        <v>5</v>
      </c>
    </row>
    <row r="630" spans="2:57" ht="15" customHeight="1" x14ac:dyDescent="0.25">
      <c r="B630" s="91">
        <v>620</v>
      </c>
      <c r="C630" s="92" t="s">
        <v>504</v>
      </c>
      <c r="D630" s="92" t="s">
        <v>51</v>
      </c>
      <c r="E630" s="92" t="s">
        <v>240</v>
      </c>
      <c r="F630" s="92" t="s">
        <v>156</v>
      </c>
      <c r="G630" s="101" t="s">
        <v>501</v>
      </c>
      <c r="H630" s="94">
        <v>3607</v>
      </c>
      <c r="I630" s="94">
        <v>2042</v>
      </c>
      <c r="J630" s="94">
        <v>1565</v>
      </c>
      <c r="K630" s="94">
        <v>251</v>
      </c>
      <c r="L630" s="94">
        <v>954</v>
      </c>
      <c r="M630" s="94">
        <v>1864</v>
      </c>
      <c r="N630" s="94">
        <v>538</v>
      </c>
      <c r="O630" s="94">
        <v>3598</v>
      </c>
      <c r="P630" s="94">
        <v>9</v>
      </c>
      <c r="Q630" s="95">
        <v>0.65398335315101097</v>
      </c>
      <c r="R630" s="95">
        <v>0.41644976574700698</v>
      </c>
      <c r="S630" s="95">
        <v>0.97020097020096996</v>
      </c>
      <c r="T630" s="95">
        <v>1.76991150442478</v>
      </c>
      <c r="U630" s="95">
        <v>1.02857142857143</v>
      </c>
      <c r="V630" s="95">
        <v>0.4</v>
      </c>
      <c r="W630" s="95">
        <v>0.38986354775828502</v>
      </c>
      <c r="X630" s="95">
        <v>0.65534703604408695</v>
      </c>
      <c r="Y630" s="95">
        <v>0</v>
      </c>
      <c r="Z630" s="94">
        <v>4486</v>
      </c>
      <c r="AA630" s="94">
        <v>2304</v>
      </c>
      <c r="AB630" s="94">
        <v>2182</v>
      </c>
      <c r="AC630" s="94">
        <v>224</v>
      </c>
      <c r="AD630" s="94">
        <v>1102</v>
      </c>
      <c r="AE630" s="94">
        <v>2444</v>
      </c>
      <c r="AF630" s="94">
        <v>716</v>
      </c>
      <c r="AG630" s="94">
        <v>3180</v>
      </c>
      <c r="AH630" s="94">
        <v>1271</v>
      </c>
      <c r="AI630" s="94">
        <v>35</v>
      </c>
      <c r="AJ630" s="94">
        <v>4440</v>
      </c>
      <c r="AK630" s="94">
        <v>36</v>
      </c>
      <c r="AL630" s="94">
        <v>10</v>
      </c>
      <c r="AM630" s="94">
        <v>230</v>
      </c>
      <c r="AN630" s="94">
        <v>4230</v>
      </c>
      <c r="AO630" s="94">
        <v>26</v>
      </c>
      <c r="AP630" s="95">
        <v>3.8416490981494502</v>
      </c>
      <c r="AQ630" s="95">
        <v>1.99909132212631</v>
      </c>
      <c r="AR630" s="95">
        <v>5.8027079303675002</v>
      </c>
      <c r="AS630" s="95">
        <v>8.1339712918660307</v>
      </c>
      <c r="AT630" s="95">
        <v>5.0980392156862697</v>
      </c>
      <c r="AU630" s="95">
        <v>3.7100213219616198</v>
      </c>
      <c r="AV630" s="95">
        <v>1.1510791366906501</v>
      </c>
      <c r="AW630" s="95">
        <v>3.6902800658978601</v>
      </c>
      <c r="AX630" s="95">
        <v>4.2464612822647796</v>
      </c>
      <c r="AY630" s="95">
        <v>3.0303030303030298</v>
      </c>
      <c r="AZ630" s="95">
        <v>3.8570752484619</v>
      </c>
      <c r="BA630" s="95">
        <v>2.9411764705882399</v>
      </c>
      <c r="BB630" s="95">
        <v>0</v>
      </c>
      <c r="BC630" s="95">
        <v>2.7272727272727302</v>
      </c>
      <c r="BD630" s="95">
        <v>3.9015904572564599</v>
      </c>
      <c r="BE630" s="95">
        <v>4</v>
      </c>
    </row>
    <row r="631" spans="2:57" ht="15" customHeight="1" x14ac:dyDescent="0.25">
      <c r="B631" s="91">
        <v>621</v>
      </c>
      <c r="C631" s="92" t="s">
        <v>504</v>
      </c>
      <c r="D631" s="92" t="s">
        <v>51</v>
      </c>
      <c r="E631" s="92" t="s">
        <v>240</v>
      </c>
      <c r="F631" s="92" t="s">
        <v>156</v>
      </c>
      <c r="G631" s="101" t="s">
        <v>502</v>
      </c>
      <c r="H631" s="94">
        <v>2381</v>
      </c>
      <c r="I631" s="94">
        <v>1325</v>
      </c>
      <c r="J631" s="94">
        <v>1056</v>
      </c>
      <c r="K631" s="94">
        <v>127</v>
      </c>
      <c r="L631" s="94">
        <v>550</v>
      </c>
      <c r="M631" s="94">
        <v>1188</v>
      </c>
      <c r="N631" s="94">
        <v>516</v>
      </c>
      <c r="O631" s="94">
        <v>2375</v>
      </c>
      <c r="P631" s="94">
        <v>6</v>
      </c>
      <c r="Q631" s="95">
        <v>0.59333637608398004</v>
      </c>
      <c r="R631" s="95">
        <v>0.33003300330032997</v>
      </c>
      <c r="S631" s="95">
        <v>0.91930541368743601</v>
      </c>
      <c r="T631" s="95">
        <v>0</v>
      </c>
      <c r="U631" s="95">
        <v>1.22199592668024</v>
      </c>
      <c r="V631" s="95">
        <v>0.44802867383512501</v>
      </c>
      <c r="W631" s="95">
        <v>0.41928721174004202</v>
      </c>
      <c r="X631" s="95">
        <v>0.59469350411710897</v>
      </c>
      <c r="Y631" s="95">
        <v>0</v>
      </c>
      <c r="Z631" s="94">
        <v>2781</v>
      </c>
      <c r="AA631" s="94">
        <v>1446</v>
      </c>
      <c r="AB631" s="94">
        <v>1335</v>
      </c>
      <c r="AC631" s="94">
        <v>109</v>
      </c>
      <c r="AD631" s="94">
        <v>547</v>
      </c>
      <c r="AE631" s="94">
        <v>1402</v>
      </c>
      <c r="AF631" s="94">
        <v>723</v>
      </c>
      <c r="AG631" s="94">
        <v>2222</v>
      </c>
      <c r="AH631" s="94">
        <v>549</v>
      </c>
      <c r="AI631" s="94">
        <v>10</v>
      </c>
      <c r="AJ631" s="94">
        <v>2743</v>
      </c>
      <c r="AK631" s="94">
        <v>31</v>
      </c>
      <c r="AL631" s="94">
        <v>7</v>
      </c>
      <c r="AM631" s="94">
        <v>185</v>
      </c>
      <c r="AN631" s="94">
        <v>2581</v>
      </c>
      <c r="AO631" s="94">
        <v>15</v>
      </c>
      <c r="AP631" s="95">
        <v>2.1837349397590402</v>
      </c>
      <c r="AQ631" s="95">
        <v>0.92790863668807999</v>
      </c>
      <c r="AR631" s="95">
        <v>3.58565737051793</v>
      </c>
      <c r="AS631" s="95">
        <v>3.9603960396039599</v>
      </c>
      <c r="AT631" s="95">
        <v>4.1015625</v>
      </c>
      <c r="AU631" s="95">
        <v>1.7830609212481401</v>
      </c>
      <c r="AV631" s="95">
        <v>1.29124820659971</v>
      </c>
      <c r="AW631" s="95">
        <v>1.92127460168697</v>
      </c>
      <c r="AX631" s="95">
        <v>3.31384015594542</v>
      </c>
      <c r="AY631" s="95">
        <v>0</v>
      </c>
      <c r="AZ631" s="95">
        <v>2.1008403361344499</v>
      </c>
      <c r="BA631" s="95">
        <v>9.67741935483871</v>
      </c>
      <c r="BB631" s="95">
        <v>0</v>
      </c>
      <c r="BC631" s="95">
        <v>1.68539325842697</v>
      </c>
      <c r="BD631" s="95">
        <v>2.19244823386114</v>
      </c>
      <c r="BE631" s="95">
        <v>6.6666666666666696</v>
      </c>
    </row>
    <row r="632" spans="2:57" ht="15" customHeight="1" x14ac:dyDescent="0.25">
      <c r="B632" s="96">
        <v>622</v>
      </c>
      <c r="C632" s="97" t="s">
        <v>504</v>
      </c>
      <c r="D632" s="104" t="s">
        <v>51</v>
      </c>
      <c r="E632" s="104" t="s">
        <v>240</v>
      </c>
      <c r="F632" s="104" t="s">
        <v>7</v>
      </c>
      <c r="G632" s="105" t="s">
        <v>7</v>
      </c>
      <c r="H632" s="106">
        <v>561</v>
      </c>
      <c r="I632" s="106">
        <v>331</v>
      </c>
      <c r="J632" s="106">
        <v>230</v>
      </c>
      <c r="K632" s="106">
        <v>28</v>
      </c>
      <c r="L632" s="106">
        <v>131</v>
      </c>
      <c r="M632" s="106">
        <v>304</v>
      </c>
      <c r="N632" s="106">
        <v>98</v>
      </c>
      <c r="O632" s="106">
        <v>560</v>
      </c>
      <c r="P632" s="106">
        <v>1</v>
      </c>
      <c r="Q632" s="107">
        <v>0.38240917782026801</v>
      </c>
      <c r="R632" s="107">
        <v>0</v>
      </c>
      <c r="S632" s="107">
        <v>0.93896713615023497</v>
      </c>
      <c r="T632" s="107">
        <v>0</v>
      </c>
      <c r="U632" s="107">
        <v>0</v>
      </c>
      <c r="V632" s="107">
        <v>0.69444444444444398</v>
      </c>
      <c r="W632" s="107">
        <v>0</v>
      </c>
      <c r="X632" s="107">
        <v>0.38314176245210702</v>
      </c>
      <c r="Y632" s="107">
        <v>0</v>
      </c>
      <c r="Z632" s="106">
        <v>733</v>
      </c>
      <c r="AA632" s="106">
        <v>383</v>
      </c>
      <c r="AB632" s="106">
        <v>350</v>
      </c>
      <c r="AC632" s="106">
        <v>35</v>
      </c>
      <c r="AD632" s="106">
        <v>144</v>
      </c>
      <c r="AE632" s="106">
        <v>404</v>
      </c>
      <c r="AF632" s="106">
        <v>150</v>
      </c>
      <c r="AG632" s="106">
        <v>590</v>
      </c>
      <c r="AH632" s="106">
        <v>139</v>
      </c>
      <c r="AI632" s="106">
        <v>4</v>
      </c>
      <c r="AJ632" s="106">
        <v>724</v>
      </c>
      <c r="AK632" s="106">
        <v>7</v>
      </c>
      <c r="AL632" s="106">
        <v>2</v>
      </c>
      <c r="AM632" s="106">
        <v>39</v>
      </c>
      <c r="AN632" s="106">
        <v>690</v>
      </c>
      <c r="AO632" s="106">
        <v>4</v>
      </c>
      <c r="AP632" s="107">
        <v>1.87590187590188</v>
      </c>
      <c r="AQ632" s="107">
        <v>0.27322404371584702</v>
      </c>
      <c r="AR632" s="107">
        <v>3.6697247706421998</v>
      </c>
      <c r="AS632" s="107">
        <v>3.2258064516128999</v>
      </c>
      <c r="AT632" s="107">
        <v>2.2900763358778602</v>
      </c>
      <c r="AU632" s="107">
        <v>2.3076923076923102</v>
      </c>
      <c r="AV632" s="107">
        <v>0</v>
      </c>
      <c r="AW632" s="107">
        <v>1.96428571428571</v>
      </c>
      <c r="AX632" s="107">
        <v>1.55038759689922</v>
      </c>
      <c r="AY632" s="107">
        <v>0</v>
      </c>
      <c r="AZ632" s="107">
        <v>1.9005847953216399</v>
      </c>
      <c r="BA632" s="107">
        <v>0</v>
      </c>
      <c r="BB632" s="107">
        <v>0</v>
      </c>
      <c r="BC632" s="107">
        <v>0</v>
      </c>
      <c r="BD632" s="107">
        <v>2</v>
      </c>
      <c r="BE632" s="107">
        <v>0</v>
      </c>
    </row>
    <row r="633" spans="2:57" ht="15" customHeight="1" x14ac:dyDescent="0.25">
      <c r="B633" s="91">
        <v>623</v>
      </c>
      <c r="C633" s="92" t="s">
        <v>504</v>
      </c>
      <c r="D633" s="92" t="s">
        <v>51</v>
      </c>
      <c r="E633" s="92" t="s">
        <v>240</v>
      </c>
      <c r="F633" s="92" t="s">
        <v>7</v>
      </c>
      <c r="G633" s="101" t="s">
        <v>501</v>
      </c>
      <c r="H633" s="94">
        <v>0</v>
      </c>
      <c r="I633" s="94">
        <v>0</v>
      </c>
      <c r="J633" s="94">
        <v>0</v>
      </c>
      <c r="K633" s="94">
        <v>0</v>
      </c>
      <c r="L633" s="94">
        <v>0</v>
      </c>
      <c r="M633" s="94">
        <v>0</v>
      </c>
      <c r="N633" s="94">
        <v>0</v>
      </c>
      <c r="O633" s="94">
        <v>0</v>
      </c>
      <c r="P633" s="94">
        <v>0</v>
      </c>
      <c r="Q633" s="95">
        <v>0</v>
      </c>
      <c r="R633" s="95">
        <v>0</v>
      </c>
      <c r="S633" s="95">
        <v>0</v>
      </c>
      <c r="T633" s="95">
        <v>0</v>
      </c>
      <c r="U633" s="95">
        <v>0</v>
      </c>
      <c r="V633" s="95">
        <v>0</v>
      </c>
      <c r="W633" s="95">
        <v>0</v>
      </c>
      <c r="X633" s="95">
        <v>0</v>
      </c>
      <c r="Y633" s="95">
        <v>0</v>
      </c>
      <c r="Z633" s="94">
        <v>0</v>
      </c>
      <c r="AA633" s="94">
        <v>0</v>
      </c>
      <c r="AB633" s="94">
        <v>0</v>
      </c>
      <c r="AC633" s="94">
        <v>0</v>
      </c>
      <c r="AD633" s="94">
        <v>0</v>
      </c>
      <c r="AE633" s="94">
        <v>0</v>
      </c>
      <c r="AF633" s="94">
        <v>0</v>
      </c>
      <c r="AG633" s="94">
        <v>0</v>
      </c>
      <c r="AH633" s="94">
        <v>0</v>
      </c>
      <c r="AI633" s="94">
        <v>0</v>
      </c>
      <c r="AJ633" s="94">
        <v>0</v>
      </c>
      <c r="AK633" s="94">
        <v>0</v>
      </c>
      <c r="AL633" s="94">
        <v>0</v>
      </c>
      <c r="AM633" s="94">
        <v>0</v>
      </c>
      <c r="AN633" s="94">
        <v>0</v>
      </c>
      <c r="AO633" s="94">
        <v>0</v>
      </c>
      <c r="AP633" s="95">
        <v>0</v>
      </c>
      <c r="AQ633" s="95">
        <v>0</v>
      </c>
      <c r="AR633" s="95">
        <v>0</v>
      </c>
      <c r="AS633" s="95">
        <v>0</v>
      </c>
      <c r="AT633" s="95">
        <v>0</v>
      </c>
      <c r="AU633" s="95">
        <v>0</v>
      </c>
      <c r="AV633" s="95">
        <v>0</v>
      </c>
      <c r="AW633" s="95">
        <v>0</v>
      </c>
      <c r="AX633" s="95">
        <v>0</v>
      </c>
      <c r="AY633" s="95">
        <v>0</v>
      </c>
      <c r="AZ633" s="95">
        <v>0</v>
      </c>
      <c r="BA633" s="95">
        <v>0</v>
      </c>
      <c r="BB633" s="95">
        <v>0</v>
      </c>
      <c r="BC633" s="95">
        <v>0</v>
      </c>
      <c r="BD633" s="95">
        <v>0</v>
      </c>
      <c r="BE633" s="95">
        <v>0</v>
      </c>
    </row>
    <row r="634" spans="2:57" ht="15" customHeight="1" x14ac:dyDescent="0.25">
      <c r="B634" s="91">
        <v>624</v>
      </c>
      <c r="C634" s="92" t="s">
        <v>504</v>
      </c>
      <c r="D634" s="92" t="s">
        <v>51</v>
      </c>
      <c r="E634" s="92" t="s">
        <v>240</v>
      </c>
      <c r="F634" s="92" t="s">
        <v>7</v>
      </c>
      <c r="G634" s="101" t="s">
        <v>502</v>
      </c>
      <c r="H634" s="94">
        <v>561</v>
      </c>
      <c r="I634" s="94">
        <v>331</v>
      </c>
      <c r="J634" s="94">
        <v>230</v>
      </c>
      <c r="K634" s="94">
        <v>28</v>
      </c>
      <c r="L634" s="94">
        <v>131</v>
      </c>
      <c r="M634" s="94">
        <v>304</v>
      </c>
      <c r="N634" s="94">
        <v>98</v>
      </c>
      <c r="O634" s="94">
        <v>560</v>
      </c>
      <c r="P634" s="94">
        <v>1</v>
      </c>
      <c r="Q634" s="95">
        <v>0.38240917782026801</v>
      </c>
      <c r="R634" s="95">
        <v>0</v>
      </c>
      <c r="S634" s="95">
        <v>0.93896713615023497</v>
      </c>
      <c r="T634" s="95">
        <v>0</v>
      </c>
      <c r="U634" s="95">
        <v>0</v>
      </c>
      <c r="V634" s="95">
        <v>0.69444444444444398</v>
      </c>
      <c r="W634" s="95">
        <v>0</v>
      </c>
      <c r="X634" s="95">
        <v>0.38314176245210702</v>
      </c>
      <c r="Y634" s="95">
        <v>0</v>
      </c>
      <c r="Z634" s="94">
        <v>733</v>
      </c>
      <c r="AA634" s="94">
        <v>383</v>
      </c>
      <c r="AB634" s="94">
        <v>350</v>
      </c>
      <c r="AC634" s="94">
        <v>35</v>
      </c>
      <c r="AD634" s="94">
        <v>144</v>
      </c>
      <c r="AE634" s="94">
        <v>404</v>
      </c>
      <c r="AF634" s="94">
        <v>150</v>
      </c>
      <c r="AG634" s="94">
        <v>590</v>
      </c>
      <c r="AH634" s="94">
        <v>139</v>
      </c>
      <c r="AI634" s="94">
        <v>4</v>
      </c>
      <c r="AJ634" s="94">
        <v>724</v>
      </c>
      <c r="AK634" s="94">
        <v>7</v>
      </c>
      <c r="AL634" s="94">
        <v>2</v>
      </c>
      <c r="AM634" s="94">
        <v>39</v>
      </c>
      <c r="AN634" s="94">
        <v>690</v>
      </c>
      <c r="AO634" s="94">
        <v>4</v>
      </c>
      <c r="AP634" s="95">
        <v>1.87590187590188</v>
      </c>
      <c r="AQ634" s="95">
        <v>0.27322404371584702</v>
      </c>
      <c r="AR634" s="95">
        <v>3.6697247706421998</v>
      </c>
      <c r="AS634" s="95">
        <v>3.2258064516128999</v>
      </c>
      <c r="AT634" s="95">
        <v>2.2900763358778602</v>
      </c>
      <c r="AU634" s="95">
        <v>2.3076923076923102</v>
      </c>
      <c r="AV634" s="95">
        <v>0</v>
      </c>
      <c r="AW634" s="95">
        <v>1.96428571428571</v>
      </c>
      <c r="AX634" s="95">
        <v>1.55038759689922</v>
      </c>
      <c r="AY634" s="95">
        <v>0</v>
      </c>
      <c r="AZ634" s="95">
        <v>1.9005847953216399</v>
      </c>
      <c r="BA634" s="95">
        <v>0</v>
      </c>
      <c r="BB634" s="95">
        <v>0</v>
      </c>
      <c r="BC634" s="95">
        <v>0</v>
      </c>
      <c r="BD634" s="95">
        <v>2</v>
      </c>
      <c r="BE634" s="95">
        <v>0</v>
      </c>
    </row>
    <row r="635" spans="2:57" ht="15" customHeight="1" x14ac:dyDescent="0.25">
      <c r="B635" s="96">
        <v>625</v>
      </c>
      <c r="C635" s="97" t="s">
        <v>504</v>
      </c>
      <c r="D635" s="104" t="s">
        <v>51</v>
      </c>
      <c r="E635" s="104" t="s">
        <v>240</v>
      </c>
      <c r="F635" s="104" t="s">
        <v>468</v>
      </c>
      <c r="G635" s="105" t="s">
        <v>468</v>
      </c>
      <c r="H635" s="106">
        <v>1294</v>
      </c>
      <c r="I635" s="106">
        <v>714</v>
      </c>
      <c r="J635" s="106">
        <v>580</v>
      </c>
      <c r="K635" s="106">
        <v>66</v>
      </c>
      <c r="L635" s="106">
        <v>335</v>
      </c>
      <c r="M635" s="106">
        <v>669</v>
      </c>
      <c r="N635" s="106">
        <v>224</v>
      </c>
      <c r="O635" s="106">
        <v>1294</v>
      </c>
      <c r="P635" s="106">
        <v>0</v>
      </c>
      <c r="Q635" s="107">
        <v>8.2576383154417801E-2</v>
      </c>
      <c r="R635" s="107">
        <v>0</v>
      </c>
      <c r="S635" s="107">
        <v>0.18115942028985499</v>
      </c>
      <c r="T635" s="107">
        <v>0</v>
      </c>
      <c r="U635" s="107">
        <v>0</v>
      </c>
      <c r="V635" s="107">
        <v>0.15748031496063</v>
      </c>
      <c r="W635" s="107">
        <v>0</v>
      </c>
      <c r="X635" s="107">
        <v>8.2576383154417801E-2</v>
      </c>
      <c r="Y635" s="107">
        <v>0</v>
      </c>
      <c r="Z635" s="106">
        <v>2120</v>
      </c>
      <c r="AA635" s="106">
        <v>1137</v>
      </c>
      <c r="AB635" s="106">
        <v>983</v>
      </c>
      <c r="AC635" s="106">
        <v>71</v>
      </c>
      <c r="AD635" s="106">
        <v>492</v>
      </c>
      <c r="AE635" s="106">
        <v>1231</v>
      </c>
      <c r="AF635" s="106">
        <v>326</v>
      </c>
      <c r="AG635" s="106">
        <v>1504</v>
      </c>
      <c r="AH635" s="106">
        <v>565</v>
      </c>
      <c r="AI635" s="106">
        <v>51</v>
      </c>
      <c r="AJ635" s="106">
        <v>2111</v>
      </c>
      <c r="AK635" s="106">
        <v>3</v>
      </c>
      <c r="AL635" s="106">
        <v>6</v>
      </c>
      <c r="AM635" s="106">
        <v>64</v>
      </c>
      <c r="AN635" s="106">
        <v>2031</v>
      </c>
      <c r="AO635" s="106">
        <v>25</v>
      </c>
      <c r="AP635" s="107">
        <v>1.2814194184327301</v>
      </c>
      <c r="AQ635" s="107">
        <v>0.45454545454545497</v>
      </c>
      <c r="AR635" s="107">
        <v>2.2604951560818098</v>
      </c>
      <c r="AS635" s="107">
        <v>1.5625</v>
      </c>
      <c r="AT635" s="107">
        <v>1.9108280254777099</v>
      </c>
      <c r="AU635" s="107">
        <v>1.1026293469041599</v>
      </c>
      <c r="AV635" s="107">
        <v>0.952380952380952</v>
      </c>
      <c r="AW635" s="107">
        <v>1.0409437890353901</v>
      </c>
      <c r="AX635" s="107">
        <v>1.65137614678899</v>
      </c>
      <c r="AY635" s="107">
        <v>4.6511627906976702</v>
      </c>
      <c r="AZ635" s="107">
        <v>1.28585558852621</v>
      </c>
      <c r="BA635" s="107">
        <v>0</v>
      </c>
      <c r="BB635" s="107">
        <v>0</v>
      </c>
      <c r="BC635" s="107">
        <v>0</v>
      </c>
      <c r="BD635" s="107">
        <v>1.3347022587269</v>
      </c>
      <c r="BE635" s="107">
        <v>0</v>
      </c>
    </row>
    <row r="636" spans="2:57" ht="15" customHeight="1" x14ac:dyDescent="0.25">
      <c r="B636" s="91">
        <v>626</v>
      </c>
      <c r="C636" s="92" t="s">
        <v>504</v>
      </c>
      <c r="D636" s="92" t="s">
        <v>51</v>
      </c>
      <c r="E636" s="92" t="s">
        <v>240</v>
      </c>
      <c r="F636" s="92" t="s">
        <v>468</v>
      </c>
      <c r="G636" s="101" t="s">
        <v>501</v>
      </c>
      <c r="H636" s="94">
        <v>0</v>
      </c>
      <c r="I636" s="94">
        <v>0</v>
      </c>
      <c r="J636" s="94">
        <v>0</v>
      </c>
      <c r="K636" s="94">
        <v>0</v>
      </c>
      <c r="L636" s="94">
        <v>0</v>
      </c>
      <c r="M636" s="94">
        <v>0</v>
      </c>
      <c r="N636" s="94">
        <v>0</v>
      </c>
      <c r="O636" s="94">
        <v>0</v>
      </c>
      <c r="P636" s="94">
        <v>0</v>
      </c>
      <c r="Q636" s="95">
        <v>0</v>
      </c>
      <c r="R636" s="95">
        <v>0</v>
      </c>
      <c r="S636" s="95">
        <v>0</v>
      </c>
      <c r="T636" s="95">
        <v>0</v>
      </c>
      <c r="U636" s="95">
        <v>0</v>
      </c>
      <c r="V636" s="95">
        <v>0</v>
      </c>
      <c r="W636" s="95">
        <v>0</v>
      </c>
      <c r="X636" s="95">
        <v>0</v>
      </c>
      <c r="Y636" s="95">
        <v>0</v>
      </c>
      <c r="Z636" s="94">
        <v>0</v>
      </c>
      <c r="AA636" s="94">
        <v>0</v>
      </c>
      <c r="AB636" s="94">
        <v>0</v>
      </c>
      <c r="AC636" s="94">
        <v>0</v>
      </c>
      <c r="AD636" s="94">
        <v>0</v>
      </c>
      <c r="AE636" s="94">
        <v>0</v>
      </c>
      <c r="AF636" s="94">
        <v>0</v>
      </c>
      <c r="AG636" s="94">
        <v>0</v>
      </c>
      <c r="AH636" s="94">
        <v>0</v>
      </c>
      <c r="AI636" s="94">
        <v>0</v>
      </c>
      <c r="AJ636" s="94">
        <v>0</v>
      </c>
      <c r="AK636" s="94">
        <v>0</v>
      </c>
      <c r="AL636" s="94">
        <v>0</v>
      </c>
      <c r="AM636" s="94">
        <v>0</v>
      </c>
      <c r="AN636" s="94">
        <v>0</v>
      </c>
      <c r="AO636" s="94">
        <v>0</v>
      </c>
      <c r="AP636" s="95">
        <v>0</v>
      </c>
      <c r="AQ636" s="95">
        <v>0</v>
      </c>
      <c r="AR636" s="95">
        <v>0</v>
      </c>
      <c r="AS636" s="95">
        <v>0</v>
      </c>
      <c r="AT636" s="95">
        <v>0</v>
      </c>
      <c r="AU636" s="95">
        <v>0</v>
      </c>
      <c r="AV636" s="95">
        <v>0</v>
      </c>
      <c r="AW636" s="95">
        <v>0</v>
      </c>
      <c r="AX636" s="95">
        <v>0</v>
      </c>
      <c r="AY636" s="95">
        <v>0</v>
      </c>
      <c r="AZ636" s="95">
        <v>0</v>
      </c>
      <c r="BA636" s="95">
        <v>0</v>
      </c>
      <c r="BB636" s="95">
        <v>0</v>
      </c>
      <c r="BC636" s="95">
        <v>0</v>
      </c>
      <c r="BD636" s="95">
        <v>0</v>
      </c>
      <c r="BE636" s="95">
        <v>0</v>
      </c>
    </row>
    <row r="637" spans="2:57" ht="15" customHeight="1" x14ac:dyDescent="0.25">
      <c r="B637" s="91">
        <v>627</v>
      </c>
      <c r="C637" s="92" t="s">
        <v>504</v>
      </c>
      <c r="D637" s="92" t="s">
        <v>51</v>
      </c>
      <c r="E637" s="92" t="s">
        <v>240</v>
      </c>
      <c r="F637" s="92" t="s">
        <v>468</v>
      </c>
      <c r="G637" s="101" t="s">
        <v>502</v>
      </c>
      <c r="H637" s="94">
        <v>1294</v>
      </c>
      <c r="I637" s="94">
        <v>714</v>
      </c>
      <c r="J637" s="94">
        <v>580</v>
      </c>
      <c r="K637" s="94">
        <v>66</v>
      </c>
      <c r="L637" s="94">
        <v>335</v>
      </c>
      <c r="M637" s="94">
        <v>669</v>
      </c>
      <c r="N637" s="94">
        <v>224</v>
      </c>
      <c r="O637" s="94">
        <v>1294</v>
      </c>
      <c r="P637" s="94">
        <v>0</v>
      </c>
      <c r="Q637" s="95">
        <v>8.2576383154417801E-2</v>
      </c>
      <c r="R637" s="95">
        <v>0</v>
      </c>
      <c r="S637" s="95">
        <v>0.18115942028985499</v>
      </c>
      <c r="T637" s="95">
        <v>0</v>
      </c>
      <c r="U637" s="95">
        <v>0</v>
      </c>
      <c r="V637" s="95">
        <v>0.15748031496063</v>
      </c>
      <c r="W637" s="95">
        <v>0</v>
      </c>
      <c r="X637" s="95">
        <v>8.2576383154417801E-2</v>
      </c>
      <c r="Y637" s="95">
        <v>0</v>
      </c>
      <c r="Z637" s="94">
        <v>2120</v>
      </c>
      <c r="AA637" s="94">
        <v>1137</v>
      </c>
      <c r="AB637" s="94">
        <v>983</v>
      </c>
      <c r="AC637" s="94">
        <v>71</v>
      </c>
      <c r="AD637" s="94">
        <v>492</v>
      </c>
      <c r="AE637" s="94">
        <v>1231</v>
      </c>
      <c r="AF637" s="94">
        <v>326</v>
      </c>
      <c r="AG637" s="94">
        <v>1504</v>
      </c>
      <c r="AH637" s="94">
        <v>565</v>
      </c>
      <c r="AI637" s="94">
        <v>51</v>
      </c>
      <c r="AJ637" s="94">
        <v>2111</v>
      </c>
      <c r="AK637" s="94">
        <v>3</v>
      </c>
      <c r="AL637" s="94">
        <v>6</v>
      </c>
      <c r="AM637" s="94">
        <v>64</v>
      </c>
      <c r="AN637" s="94">
        <v>2031</v>
      </c>
      <c r="AO637" s="94">
        <v>25</v>
      </c>
      <c r="AP637" s="95">
        <v>1.2814194184327301</v>
      </c>
      <c r="AQ637" s="95">
        <v>0.45454545454545497</v>
      </c>
      <c r="AR637" s="95">
        <v>2.2604951560818098</v>
      </c>
      <c r="AS637" s="95">
        <v>1.5625</v>
      </c>
      <c r="AT637" s="95">
        <v>1.9108280254777099</v>
      </c>
      <c r="AU637" s="95">
        <v>1.1026293469041599</v>
      </c>
      <c r="AV637" s="95">
        <v>0.952380952380952</v>
      </c>
      <c r="AW637" s="95">
        <v>1.0409437890353901</v>
      </c>
      <c r="AX637" s="95">
        <v>1.65137614678899</v>
      </c>
      <c r="AY637" s="95">
        <v>4.6511627906976702</v>
      </c>
      <c r="AZ637" s="95">
        <v>1.28585558852621</v>
      </c>
      <c r="BA637" s="95">
        <v>0</v>
      </c>
      <c r="BB637" s="95">
        <v>0</v>
      </c>
      <c r="BC637" s="95">
        <v>0</v>
      </c>
      <c r="BD637" s="95">
        <v>1.3347022587269</v>
      </c>
      <c r="BE637" s="95">
        <v>0</v>
      </c>
    </row>
    <row r="638" spans="2:57" ht="15" customHeight="1" x14ac:dyDescent="0.25">
      <c r="B638" s="86">
        <v>628</v>
      </c>
      <c r="C638" s="87" t="s">
        <v>503</v>
      </c>
      <c r="D638" s="103" t="s">
        <v>51</v>
      </c>
      <c r="E638" s="103" t="s">
        <v>469</v>
      </c>
      <c r="F638" s="103"/>
      <c r="G638" s="88" t="s">
        <v>469</v>
      </c>
      <c r="H638" s="89">
        <v>4302</v>
      </c>
      <c r="I638" s="89">
        <v>2436</v>
      </c>
      <c r="J638" s="89">
        <v>1866</v>
      </c>
      <c r="K638" s="89">
        <v>470</v>
      </c>
      <c r="L638" s="89">
        <v>1081</v>
      </c>
      <c r="M638" s="89">
        <v>2042</v>
      </c>
      <c r="N638" s="89">
        <v>709</v>
      </c>
      <c r="O638" s="89">
        <v>4296</v>
      </c>
      <c r="P638" s="89">
        <v>6</v>
      </c>
      <c r="Q638" s="90">
        <v>9.6665055582406997E-2</v>
      </c>
      <c r="R638" s="90">
        <v>0</v>
      </c>
      <c r="S638" s="90">
        <v>0.224089635854342</v>
      </c>
      <c r="T638" s="90">
        <v>0</v>
      </c>
      <c r="U638" s="90">
        <v>0</v>
      </c>
      <c r="V638" s="90">
        <v>0.15306122448979601</v>
      </c>
      <c r="W638" s="90">
        <v>0.14471780028943601</v>
      </c>
      <c r="X638" s="90">
        <v>9.6805421103581799E-2</v>
      </c>
      <c r="Y638" s="90">
        <v>0</v>
      </c>
      <c r="Z638" s="89">
        <v>4416</v>
      </c>
      <c r="AA638" s="89">
        <v>2635</v>
      </c>
      <c r="AB638" s="89">
        <v>1781</v>
      </c>
      <c r="AC638" s="89">
        <v>239</v>
      </c>
      <c r="AD638" s="89">
        <v>1068</v>
      </c>
      <c r="AE638" s="89">
        <v>2199</v>
      </c>
      <c r="AF638" s="89">
        <v>910</v>
      </c>
      <c r="AG638" s="89">
        <v>4008</v>
      </c>
      <c r="AH638" s="89">
        <v>312</v>
      </c>
      <c r="AI638" s="89">
        <v>96</v>
      </c>
      <c r="AJ638" s="89">
        <v>4391</v>
      </c>
      <c r="AK638" s="89">
        <v>4</v>
      </c>
      <c r="AL638" s="89">
        <v>21</v>
      </c>
      <c r="AM638" s="89">
        <v>286</v>
      </c>
      <c r="AN638" s="89">
        <v>4070</v>
      </c>
      <c r="AO638" s="89">
        <v>60</v>
      </c>
      <c r="AP638" s="90">
        <v>0.75205640423031705</v>
      </c>
      <c r="AQ638" s="90">
        <v>0.4296875</v>
      </c>
      <c r="AR638" s="90">
        <v>1.2389380530973499</v>
      </c>
      <c r="AS638" s="90">
        <v>0.88888888888888895</v>
      </c>
      <c r="AT638" s="90">
        <v>1.2909632571995999</v>
      </c>
      <c r="AU638" s="90">
        <v>0.60776063581112705</v>
      </c>
      <c r="AV638" s="90">
        <v>0.45248868778280499</v>
      </c>
      <c r="AW638" s="90">
        <v>0.67270375161707596</v>
      </c>
      <c r="AX638" s="90">
        <v>1.6891891891891899</v>
      </c>
      <c r="AY638" s="90">
        <v>1.0638297872340401</v>
      </c>
      <c r="AZ638" s="90">
        <v>0.75578649031648604</v>
      </c>
      <c r="BA638" s="90">
        <v>0</v>
      </c>
      <c r="BB638" s="90">
        <v>0</v>
      </c>
      <c r="BC638" s="90">
        <v>0.35714285714285698</v>
      </c>
      <c r="BD638" s="90">
        <v>0.791624106230848</v>
      </c>
      <c r="BE638" s="90">
        <v>0</v>
      </c>
    </row>
    <row r="639" spans="2:57" ht="15" customHeight="1" x14ac:dyDescent="0.25">
      <c r="B639" s="91">
        <v>629</v>
      </c>
      <c r="C639" s="92" t="s">
        <v>503</v>
      </c>
      <c r="D639" s="92" t="s">
        <v>51</v>
      </c>
      <c r="E639" s="92" t="s">
        <v>469</v>
      </c>
      <c r="F639" s="92"/>
      <c r="G639" s="93" t="s">
        <v>501</v>
      </c>
      <c r="H639" s="94">
        <v>0</v>
      </c>
      <c r="I639" s="94">
        <v>0</v>
      </c>
      <c r="J639" s="94">
        <v>0</v>
      </c>
      <c r="K639" s="94">
        <v>0</v>
      </c>
      <c r="L639" s="94">
        <v>0</v>
      </c>
      <c r="M639" s="94">
        <v>0</v>
      </c>
      <c r="N639" s="94">
        <v>0</v>
      </c>
      <c r="O639" s="94">
        <v>0</v>
      </c>
      <c r="P639" s="94">
        <v>0</v>
      </c>
      <c r="Q639" s="95">
        <v>0</v>
      </c>
      <c r="R639" s="95">
        <v>0</v>
      </c>
      <c r="S639" s="95">
        <v>0</v>
      </c>
      <c r="T639" s="95">
        <v>0</v>
      </c>
      <c r="U639" s="95">
        <v>0</v>
      </c>
      <c r="V639" s="95">
        <v>0</v>
      </c>
      <c r="W639" s="95">
        <v>0</v>
      </c>
      <c r="X639" s="95">
        <v>0</v>
      </c>
      <c r="Y639" s="95">
        <v>0</v>
      </c>
      <c r="Z639" s="94">
        <v>0</v>
      </c>
      <c r="AA639" s="94">
        <v>0</v>
      </c>
      <c r="AB639" s="94">
        <v>0</v>
      </c>
      <c r="AC639" s="94">
        <v>0</v>
      </c>
      <c r="AD639" s="94">
        <v>0</v>
      </c>
      <c r="AE639" s="94">
        <v>0</v>
      </c>
      <c r="AF639" s="94">
        <v>0</v>
      </c>
      <c r="AG639" s="94">
        <v>0</v>
      </c>
      <c r="AH639" s="94">
        <v>0</v>
      </c>
      <c r="AI639" s="94">
        <v>0</v>
      </c>
      <c r="AJ639" s="94">
        <v>0</v>
      </c>
      <c r="AK639" s="94">
        <v>0</v>
      </c>
      <c r="AL639" s="94">
        <v>0</v>
      </c>
      <c r="AM639" s="94">
        <v>0</v>
      </c>
      <c r="AN639" s="94">
        <v>0</v>
      </c>
      <c r="AO639" s="94">
        <v>0</v>
      </c>
      <c r="AP639" s="95">
        <v>0</v>
      </c>
      <c r="AQ639" s="95">
        <v>0</v>
      </c>
      <c r="AR639" s="95">
        <v>0</v>
      </c>
      <c r="AS639" s="95">
        <v>0</v>
      </c>
      <c r="AT639" s="95">
        <v>0</v>
      </c>
      <c r="AU639" s="95">
        <v>0</v>
      </c>
      <c r="AV639" s="95">
        <v>0</v>
      </c>
      <c r="AW639" s="95">
        <v>0</v>
      </c>
      <c r="AX639" s="95">
        <v>0</v>
      </c>
      <c r="AY639" s="95">
        <v>0</v>
      </c>
      <c r="AZ639" s="95">
        <v>0</v>
      </c>
      <c r="BA639" s="95">
        <v>0</v>
      </c>
      <c r="BB639" s="95">
        <v>0</v>
      </c>
      <c r="BC639" s="95">
        <v>0</v>
      </c>
      <c r="BD639" s="95">
        <v>0</v>
      </c>
      <c r="BE639" s="95">
        <v>0</v>
      </c>
    </row>
    <row r="640" spans="2:57" ht="15" customHeight="1" x14ac:dyDescent="0.25">
      <c r="B640" s="91">
        <v>630</v>
      </c>
      <c r="C640" s="92" t="s">
        <v>503</v>
      </c>
      <c r="D640" s="92" t="s">
        <v>51</v>
      </c>
      <c r="E640" s="92" t="s">
        <v>469</v>
      </c>
      <c r="F640" s="92"/>
      <c r="G640" s="93" t="s">
        <v>502</v>
      </c>
      <c r="H640" s="94">
        <v>4302</v>
      </c>
      <c r="I640" s="94">
        <v>2436</v>
      </c>
      <c r="J640" s="94">
        <v>1866</v>
      </c>
      <c r="K640" s="94">
        <v>470</v>
      </c>
      <c r="L640" s="94">
        <v>1081</v>
      </c>
      <c r="M640" s="94">
        <v>2042</v>
      </c>
      <c r="N640" s="94">
        <v>709</v>
      </c>
      <c r="O640" s="94">
        <v>4296</v>
      </c>
      <c r="P640" s="94">
        <v>6</v>
      </c>
      <c r="Q640" s="95">
        <v>9.6665055582406997E-2</v>
      </c>
      <c r="R640" s="95">
        <v>0</v>
      </c>
      <c r="S640" s="95">
        <v>0.224089635854342</v>
      </c>
      <c r="T640" s="95">
        <v>0</v>
      </c>
      <c r="U640" s="95">
        <v>0</v>
      </c>
      <c r="V640" s="95">
        <v>0.15306122448979601</v>
      </c>
      <c r="W640" s="95">
        <v>0.14471780028943601</v>
      </c>
      <c r="X640" s="95">
        <v>9.6805421103581799E-2</v>
      </c>
      <c r="Y640" s="95">
        <v>0</v>
      </c>
      <c r="Z640" s="94">
        <v>4416</v>
      </c>
      <c r="AA640" s="94">
        <v>2635</v>
      </c>
      <c r="AB640" s="94">
        <v>1781</v>
      </c>
      <c r="AC640" s="94">
        <v>239</v>
      </c>
      <c r="AD640" s="94">
        <v>1068</v>
      </c>
      <c r="AE640" s="94">
        <v>2199</v>
      </c>
      <c r="AF640" s="94">
        <v>910</v>
      </c>
      <c r="AG640" s="94">
        <v>4008</v>
      </c>
      <c r="AH640" s="94">
        <v>312</v>
      </c>
      <c r="AI640" s="94">
        <v>96</v>
      </c>
      <c r="AJ640" s="94">
        <v>4391</v>
      </c>
      <c r="AK640" s="94">
        <v>4</v>
      </c>
      <c r="AL640" s="94">
        <v>21</v>
      </c>
      <c r="AM640" s="94">
        <v>286</v>
      </c>
      <c r="AN640" s="94">
        <v>4070</v>
      </c>
      <c r="AO640" s="94">
        <v>60</v>
      </c>
      <c r="AP640" s="95">
        <v>0.75205640423031705</v>
      </c>
      <c r="AQ640" s="95">
        <v>0.4296875</v>
      </c>
      <c r="AR640" s="95">
        <v>1.2389380530973499</v>
      </c>
      <c r="AS640" s="95">
        <v>0.88888888888888895</v>
      </c>
      <c r="AT640" s="95">
        <v>1.2909632571995999</v>
      </c>
      <c r="AU640" s="95">
        <v>0.60776063581112705</v>
      </c>
      <c r="AV640" s="95">
        <v>0.45248868778280499</v>
      </c>
      <c r="AW640" s="95">
        <v>0.67270375161707596</v>
      </c>
      <c r="AX640" s="95">
        <v>1.6891891891891899</v>
      </c>
      <c r="AY640" s="95">
        <v>1.0638297872340401</v>
      </c>
      <c r="AZ640" s="95">
        <v>0.75578649031648604</v>
      </c>
      <c r="BA640" s="95">
        <v>0</v>
      </c>
      <c r="BB640" s="95">
        <v>0</v>
      </c>
      <c r="BC640" s="95">
        <v>0.35714285714285698</v>
      </c>
      <c r="BD640" s="95">
        <v>0.791624106230848</v>
      </c>
      <c r="BE640" s="95">
        <v>0</v>
      </c>
    </row>
    <row r="641" spans="2:57" ht="15" customHeight="1" x14ac:dyDescent="0.25">
      <c r="B641" s="96">
        <v>631</v>
      </c>
      <c r="C641" s="97" t="s">
        <v>504</v>
      </c>
      <c r="D641" s="104" t="s">
        <v>51</v>
      </c>
      <c r="E641" s="104" t="s">
        <v>469</v>
      </c>
      <c r="F641" s="104" t="s">
        <v>469</v>
      </c>
      <c r="G641" s="105" t="s">
        <v>469</v>
      </c>
      <c r="H641" s="106">
        <v>4302</v>
      </c>
      <c r="I641" s="106">
        <v>2436</v>
      </c>
      <c r="J641" s="106">
        <v>1866</v>
      </c>
      <c r="K641" s="106">
        <v>470</v>
      </c>
      <c r="L641" s="106">
        <v>1081</v>
      </c>
      <c r="M641" s="106">
        <v>2042</v>
      </c>
      <c r="N641" s="106">
        <v>709</v>
      </c>
      <c r="O641" s="106">
        <v>4296</v>
      </c>
      <c r="P641" s="106">
        <v>6</v>
      </c>
      <c r="Q641" s="107">
        <v>9.6665055582406997E-2</v>
      </c>
      <c r="R641" s="107">
        <v>0</v>
      </c>
      <c r="S641" s="107">
        <v>0.224089635854342</v>
      </c>
      <c r="T641" s="107">
        <v>0</v>
      </c>
      <c r="U641" s="107">
        <v>0</v>
      </c>
      <c r="V641" s="107">
        <v>0.15306122448979601</v>
      </c>
      <c r="W641" s="107">
        <v>0.14471780028943601</v>
      </c>
      <c r="X641" s="107">
        <v>9.6805421103581799E-2</v>
      </c>
      <c r="Y641" s="107">
        <v>0</v>
      </c>
      <c r="Z641" s="106">
        <v>4416</v>
      </c>
      <c r="AA641" s="106">
        <v>2635</v>
      </c>
      <c r="AB641" s="106">
        <v>1781</v>
      </c>
      <c r="AC641" s="106">
        <v>239</v>
      </c>
      <c r="AD641" s="106">
        <v>1068</v>
      </c>
      <c r="AE641" s="106">
        <v>2199</v>
      </c>
      <c r="AF641" s="106">
        <v>910</v>
      </c>
      <c r="AG641" s="106">
        <v>4008</v>
      </c>
      <c r="AH641" s="106">
        <v>312</v>
      </c>
      <c r="AI641" s="106">
        <v>96</v>
      </c>
      <c r="AJ641" s="106">
        <v>4391</v>
      </c>
      <c r="AK641" s="106">
        <v>4</v>
      </c>
      <c r="AL641" s="106">
        <v>21</v>
      </c>
      <c r="AM641" s="106">
        <v>286</v>
      </c>
      <c r="AN641" s="106">
        <v>4070</v>
      </c>
      <c r="AO641" s="106">
        <v>60</v>
      </c>
      <c r="AP641" s="107">
        <v>0.75205640423031705</v>
      </c>
      <c r="AQ641" s="107">
        <v>0.4296875</v>
      </c>
      <c r="AR641" s="107">
        <v>1.2389380530973499</v>
      </c>
      <c r="AS641" s="107">
        <v>0.88888888888888895</v>
      </c>
      <c r="AT641" s="107">
        <v>1.2909632571995999</v>
      </c>
      <c r="AU641" s="107">
        <v>0.60776063581112705</v>
      </c>
      <c r="AV641" s="107">
        <v>0.45248868778280499</v>
      </c>
      <c r="AW641" s="107">
        <v>0.67270375161707596</v>
      </c>
      <c r="AX641" s="107">
        <v>1.6891891891891899</v>
      </c>
      <c r="AY641" s="107">
        <v>1.0638297872340401</v>
      </c>
      <c r="AZ641" s="107">
        <v>0.75578649031648604</v>
      </c>
      <c r="BA641" s="107">
        <v>0</v>
      </c>
      <c r="BB641" s="107">
        <v>0</v>
      </c>
      <c r="BC641" s="107">
        <v>0.35714285714285698</v>
      </c>
      <c r="BD641" s="107">
        <v>0.791624106230848</v>
      </c>
      <c r="BE641" s="107">
        <v>0</v>
      </c>
    </row>
    <row r="642" spans="2:57" ht="15" customHeight="1" x14ac:dyDescent="0.25">
      <c r="B642" s="91">
        <v>632</v>
      </c>
      <c r="C642" s="92" t="s">
        <v>504</v>
      </c>
      <c r="D642" s="92" t="s">
        <v>51</v>
      </c>
      <c r="E642" s="92" t="s">
        <v>469</v>
      </c>
      <c r="F642" s="92" t="s">
        <v>469</v>
      </c>
      <c r="G642" s="101" t="s">
        <v>501</v>
      </c>
      <c r="H642" s="94">
        <v>0</v>
      </c>
      <c r="I642" s="94">
        <v>0</v>
      </c>
      <c r="J642" s="94">
        <v>0</v>
      </c>
      <c r="K642" s="94">
        <v>0</v>
      </c>
      <c r="L642" s="94">
        <v>0</v>
      </c>
      <c r="M642" s="94">
        <v>0</v>
      </c>
      <c r="N642" s="94">
        <v>0</v>
      </c>
      <c r="O642" s="94">
        <v>0</v>
      </c>
      <c r="P642" s="94">
        <v>0</v>
      </c>
      <c r="Q642" s="95">
        <v>0</v>
      </c>
      <c r="R642" s="95">
        <v>0</v>
      </c>
      <c r="S642" s="95">
        <v>0</v>
      </c>
      <c r="T642" s="95">
        <v>0</v>
      </c>
      <c r="U642" s="95">
        <v>0</v>
      </c>
      <c r="V642" s="95">
        <v>0</v>
      </c>
      <c r="W642" s="95">
        <v>0</v>
      </c>
      <c r="X642" s="95">
        <v>0</v>
      </c>
      <c r="Y642" s="95">
        <v>0</v>
      </c>
      <c r="Z642" s="94">
        <v>0</v>
      </c>
      <c r="AA642" s="94">
        <v>0</v>
      </c>
      <c r="AB642" s="94">
        <v>0</v>
      </c>
      <c r="AC642" s="94">
        <v>0</v>
      </c>
      <c r="AD642" s="94">
        <v>0</v>
      </c>
      <c r="AE642" s="94">
        <v>0</v>
      </c>
      <c r="AF642" s="94">
        <v>0</v>
      </c>
      <c r="AG642" s="94">
        <v>0</v>
      </c>
      <c r="AH642" s="94">
        <v>0</v>
      </c>
      <c r="AI642" s="94">
        <v>0</v>
      </c>
      <c r="AJ642" s="94">
        <v>0</v>
      </c>
      <c r="AK642" s="94">
        <v>0</v>
      </c>
      <c r="AL642" s="94">
        <v>0</v>
      </c>
      <c r="AM642" s="94">
        <v>0</v>
      </c>
      <c r="AN642" s="94">
        <v>0</v>
      </c>
      <c r="AO642" s="94">
        <v>0</v>
      </c>
      <c r="AP642" s="95">
        <v>0</v>
      </c>
      <c r="AQ642" s="95">
        <v>0</v>
      </c>
      <c r="AR642" s="95">
        <v>0</v>
      </c>
      <c r="AS642" s="95">
        <v>0</v>
      </c>
      <c r="AT642" s="95">
        <v>0</v>
      </c>
      <c r="AU642" s="95">
        <v>0</v>
      </c>
      <c r="AV642" s="95">
        <v>0</v>
      </c>
      <c r="AW642" s="95">
        <v>0</v>
      </c>
      <c r="AX642" s="95">
        <v>0</v>
      </c>
      <c r="AY642" s="95">
        <v>0</v>
      </c>
      <c r="AZ642" s="95">
        <v>0</v>
      </c>
      <c r="BA642" s="95">
        <v>0</v>
      </c>
      <c r="BB642" s="95">
        <v>0</v>
      </c>
      <c r="BC642" s="95">
        <v>0</v>
      </c>
      <c r="BD642" s="95">
        <v>0</v>
      </c>
      <c r="BE642" s="95">
        <v>0</v>
      </c>
    </row>
    <row r="643" spans="2:57" ht="15" customHeight="1" x14ac:dyDescent="0.25">
      <c r="B643" s="91">
        <v>633</v>
      </c>
      <c r="C643" s="92" t="s">
        <v>504</v>
      </c>
      <c r="D643" s="92" t="s">
        <v>51</v>
      </c>
      <c r="E643" s="92" t="s">
        <v>469</v>
      </c>
      <c r="F643" s="92" t="s">
        <v>469</v>
      </c>
      <c r="G643" s="101" t="s">
        <v>502</v>
      </c>
      <c r="H643" s="94">
        <v>4302</v>
      </c>
      <c r="I643" s="94">
        <v>2436</v>
      </c>
      <c r="J643" s="94">
        <v>1866</v>
      </c>
      <c r="K643" s="94">
        <v>470</v>
      </c>
      <c r="L643" s="94">
        <v>1081</v>
      </c>
      <c r="M643" s="94">
        <v>2042</v>
      </c>
      <c r="N643" s="94">
        <v>709</v>
      </c>
      <c r="O643" s="94">
        <v>4296</v>
      </c>
      <c r="P643" s="94">
        <v>6</v>
      </c>
      <c r="Q643" s="95">
        <v>9.6665055582406997E-2</v>
      </c>
      <c r="R643" s="95">
        <v>0</v>
      </c>
      <c r="S643" s="95">
        <v>0.224089635854342</v>
      </c>
      <c r="T643" s="95">
        <v>0</v>
      </c>
      <c r="U643" s="95">
        <v>0</v>
      </c>
      <c r="V643" s="95">
        <v>0.15306122448979601</v>
      </c>
      <c r="W643" s="95">
        <v>0.14471780028943601</v>
      </c>
      <c r="X643" s="95">
        <v>9.6805421103581799E-2</v>
      </c>
      <c r="Y643" s="95">
        <v>0</v>
      </c>
      <c r="Z643" s="94">
        <v>4416</v>
      </c>
      <c r="AA643" s="94">
        <v>2635</v>
      </c>
      <c r="AB643" s="94">
        <v>1781</v>
      </c>
      <c r="AC643" s="94">
        <v>239</v>
      </c>
      <c r="AD643" s="94">
        <v>1068</v>
      </c>
      <c r="AE643" s="94">
        <v>2199</v>
      </c>
      <c r="AF643" s="94">
        <v>910</v>
      </c>
      <c r="AG643" s="94">
        <v>4008</v>
      </c>
      <c r="AH643" s="94">
        <v>312</v>
      </c>
      <c r="AI643" s="94">
        <v>96</v>
      </c>
      <c r="AJ643" s="94">
        <v>4391</v>
      </c>
      <c r="AK643" s="94">
        <v>4</v>
      </c>
      <c r="AL643" s="94">
        <v>21</v>
      </c>
      <c r="AM643" s="94">
        <v>286</v>
      </c>
      <c r="AN643" s="94">
        <v>4070</v>
      </c>
      <c r="AO643" s="94">
        <v>60</v>
      </c>
      <c r="AP643" s="95">
        <v>0.75205640423031705</v>
      </c>
      <c r="AQ643" s="95">
        <v>0.4296875</v>
      </c>
      <c r="AR643" s="95">
        <v>1.2389380530973499</v>
      </c>
      <c r="AS643" s="95">
        <v>0.88888888888888895</v>
      </c>
      <c r="AT643" s="95">
        <v>1.2909632571995999</v>
      </c>
      <c r="AU643" s="95">
        <v>0.60776063581112705</v>
      </c>
      <c r="AV643" s="95">
        <v>0.45248868778280499</v>
      </c>
      <c r="AW643" s="95">
        <v>0.67270375161707596</v>
      </c>
      <c r="AX643" s="95">
        <v>1.6891891891891899</v>
      </c>
      <c r="AY643" s="95">
        <v>1.0638297872340401</v>
      </c>
      <c r="AZ643" s="95">
        <v>0.75578649031648604</v>
      </c>
      <c r="BA643" s="95">
        <v>0</v>
      </c>
      <c r="BB643" s="95">
        <v>0</v>
      </c>
      <c r="BC643" s="95">
        <v>0.35714285714285698</v>
      </c>
      <c r="BD643" s="95">
        <v>0.791624106230848</v>
      </c>
      <c r="BE643" s="95">
        <v>0</v>
      </c>
    </row>
    <row r="644" spans="2:57" ht="15" customHeight="1" x14ac:dyDescent="0.25">
      <c r="B644" s="86">
        <v>634</v>
      </c>
      <c r="C644" s="87" t="s">
        <v>503</v>
      </c>
      <c r="D644" s="103" t="s">
        <v>51</v>
      </c>
      <c r="E644" s="103" t="s">
        <v>282</v>
      </c>
      <c r="F644" s="103"/>
      <c r="G644" s="88" t="s">
        <v>282</v>
      </c>
      <c r="H644" s="89">
        <v>20436</v>
      </c>
      <c r="I644" s="89">
        <v>12223</v>
      </c>
      <c r="J644" s="89">
        <v>8213</v>
      </c>
      <c r="K644" s="89">
        <v>2119</v>
      </c>
      <c r="L644" s="89">
        <v>6093</v>
      </c>
      <c r="M644" s="89">
        <v>9952</v>
      </c>
      <c r="N644" s="89">
        <v>2272</v>
      </c>
      <c r="O644" s="89">
        <v>20410</v>
      </c>
      <c r="P644" s="89">
        <v>26</v>
      </c>
      <c r="Q644" s="90">
        <v>0.66071336396015101</v>
      </c>
      <c r="R644" s="90">
        <v>0.49454297407912701</v>
      </c>
      <c r="S644" s="90">
        <v>0.91563113145846997</v>
      </c>
      <c r="T644" s="90">
        <v>1.31712259371834</v>
      </c>
      <c r="U644" s="90">
        <v>0.82326151690313498</v>
      </c>
      <c r="V644" s="90">
        <v>0.50361976707585798</v>
      </c>
      <c r="W644" s="90">
        <v>0.32422417786011998</v>
      </c>
      <c r="X644" s="90">
        <v>0.66156708703741995</v>
      </c>
      <c r="Y644" s="90">
        <v>0</v>
      </c>
      <c r="Z644" s="89">
        <v>26304</v>
      </c>
      <c r="AA644" s="89">
        <v>14497</v>
      </c>
      <c r="AB644" s="89">
        <v>11807</v>
      </c>
      <c r="AC644" s="89">
        <v>1824</v>
      </c>
      <c r="AD644" s="89">
        <v>7571</v>
      </c>
      <c r="AE644" s="89">
        <v>13352</v>
      </c>
      <c r="AF644" s="89">
        <v>3557</v>
      </c>
      <c r="AG644" s="89">
        <v>21206</v>
      </c>
      <c r="AH644" s="89">
        <v>4884</v>
      </c>
      <c r="AI644" s="89">
        <v>214</v>
      </c>
      <c r="AJ644" s="89">
        <v>26182</v>
      </c>
      <c r="AK644" s="89">
        <v>72</v>
      </c>
      <c r="AL644" s="89">
        <v>50</v>
      </c>
      <c r="AM644" s="89">
        <v>1537</v>
      </c>
      <c r="AN644" s="89">
        <v>24556</v>
      </c>
      <c r="AO644" s="89">
        <v>211</v>
      </c>
      <c r="AP644" s="90">
        <v>3.0941278748122998</v>
      </c>
      <c r="AQ644" s="90">
        <v>1.1289406418631101</v>
      </c>
      <c r="AR644" s="90">
        <v>5.5605061486366099</v>
      </c>
      <c r="AS644" s="90">
        <v>4.91613649508386</v>
      </c>
      <c r="AT644" s="90">
        <v>4.5068855195437498</v>
      </c>
      <c r="AU644" s="90">
        <v>2.4911032028469799</v>
      </c>
      <c r="AV644" s="90">
        <v>1.5020219526285401</v>
      </c>
      <c r="AW644" s="90">
        <v>2.5801407349491798</v>
      </c>
      <c r="AX644" s="90">
        <v>5.4059875080766702</v>
      </c>
      <c r="AY644" s="90">
        <v>2.0100502512562799</v>
      </c>
      <c r="AZ644" s="90">
        <v>3.06855623039975</v>
      </c>
      <c r="BA644" s="90">
        <v>12.1212121212121</v>
      </c>
      <c r="BB644" s="90">
        <v>4.0816326530612201</v>
      </c>
      <c r="BC644" s="90">
        <v>3.2863849765258202</v>
      </c>
      <c r="BD644" s="90">
        <v>3.08728242917037</v>
      </c>
      <c r="BE644" s="90">
        <v>2.4752475247524801</v>
      </c>
    </row>
    <row r="645" spans="2:57" ht="15" customHeight="1" x14ac:dyDescent="0.25">
      <c r="B645" s="91">
        <v>635</v>
      </c>
      <c r="C645" s="92" t="s">
        <v>503</v>
      </c>
      <c r="D645" s="92" t="s">
        <v>51</v>
      </c>
      <c r="E645" s="92" t="s">
        <v>282</v>
      </c>
      <c r="F645" s="92"/>
      <c r="G645" s="93" t="s">
        <v>501</v>
      </c>
      <c r="H645" s="94">
        <v>3531</v>
      </c>
      <c r="I645" s="94">
        <v>1944</v>
      </c>
      <c r="J645" s="94">
        <v>1587</v>
      </c>
      <c r="K645" s="94">
        <v>307</v>
      </c>
      <c r="L645" s="94">
        <v>1193</v>
      </c>
      <c r="M645" s="94">
        <v>1764</v>
      </c>
      <c r="N645" s="94">
        <v>267</v>
      </c>
      <c r="O645" s="94">
        <v>3515</v>
      </c>
      <c r="P645" s="94">
        <v>16</v>
      </c>
      <c r="Q645" s="95">
        <v>2.8313253012048198</v>
      </c>
      <c r="R645" s="95">
        <v>2.0086862106406098</v>
      </c>
      <c r="S645" s="95">
        <v>3.8565629228687399</v>
      </c>
      <c r="T645" s="95">
        <v>6.78571428571429</v>
      </c>
      <c r="U645" s="95">
        <v>2.6881720430107499</v>
      </c>
      <c r="V645" s="95">
        <v>2.3837902264600701</v>
      </c>
      <c r="W645" s="95">
        <v>2.03252032520325</v>
      </c>
      <c r="X645" s="95">
        <v>2.8450363196125901</v>
      </c>
      <c r="Y645" s="95">
        <v>0</v>
      </c>
      <c r="Z645" s="94">
        <v>6099</v>
      </c>
      <c r="AA645" s="94">
        <v>3155</v>
      </c>
      <c r="AB645" s="94">
        <v>2944</v>
      </c>
      <c r="AC645" s="94">
        <v>429</v>
      </c>
      <c r="AD645" s="94">
        <v>2016</v>
      </c>
      <c r="AE645" s="94">
        <v>3080</v>
      </c>
      <c r="AF645" s="94">
        <v>574</v>
      </c>
      <c r="AG645" s="94">
        <v>4080</v>
      </c>
      <c r="AH645" s="94">
        <v>1978</v>
      </c>
      <c r="AI645" s="94">
        <v>41</v>
      </c>
      <c r="AJ645" s="94">
        <v>6044</v>
      </c>
      <c r="AK645" s="94">
        <v>43</v>
      </c>
      <c r="AL645" s="94">
        <v>12</v>
      </c>
      <c r="AM645" s="94">
        <v>291</v>
      </c>
      <c r="AN645" s="94">
        <v>5771</v>
      </c>
      <c r="AO645" s="94">
        <v>37</v>
      </c>
      <c r="AP645" s="95">
        <v>8.15762184583477</v>
      </c>
      <c r="AQ645" s="95">
        <v>3.1270791749833702</v>
      </c>
      <c r="AR645" s="95">
        <v>13.597122302158301</v>
      </c>
      <c r="AS645" s="95">
        <v>13.4328358208955</v>
      </c>
      <c r="AT645" s="95">
        <v>9.5970307529162309</v>
      </c>
      <c r="AU645" s="95">
        <v>6.9175991861648001</v>
      </c>
      <c r="AV645" s="95">
        <v>6.0109289617486299</v>
      </c>
      <c r="AW645" s="95">
        <v>7.5929752066115697</v>
      </c>
      <c r="AX645" s="95">
        <v>9.3766648907831591</v>
      </c>
      <c r="AY645" s="95">
        <v>5.4054054054054097</v>
      </c>
      <c r="AZ645" s="95">
        <v>8.1081081081081106</v>
      </c>
      <c r="BA645" s="95">
        <v>15.384615384615399</v>
      </c>
      <c r="BB645" s="95">
        <v>8.3333333333333304</v>
      </c>
      <c r="BC645" s="95">
        <v>10.0358422939068</v>
      </c>
      <c r="BD645" s="95">
        <v>8.0745341614906803</v>
      </c>
      <c r="BE645" s="95">
        <v>6.0606060606060597</v>
      </c>
    </row>
    <row r="646" spans="2:57" ht="15" customHeight="1" x14ac:dyDescent="0.25">
      <c r="B646" s="91">
        <v>636</v>
      </c>
      <c r="C646" s="92" t="s">
        <v>503</v>
      </c>
      <c r="D646" s="92" t="s">
        <v>51</v>
      </c>
      <c r="E646" s="92" t="s">
        <v>282</v>
      </c>
      <c r="F646" s="92"/>
      <c r="G646" s="93" t="s">
        <v>502</v>
      </c>
      <c r="H646" s="94">
        <v>16905</v>
      </c>
      <c r="I646" s="94">
        <v>10279</v>
      </c>
      <c r="J646" s="94">
        <v>6626</v>
      </c>
      <c r="K646" s="94">
        <v>1812</v>
      </c>
      <c r="L646" s="94">
        <v>4900</v>
      </c>
      <c r="M646" s="94">
        <v>8188</v>
      </c>
      <c r="N646" s="94">
        <v>2005</v>
      </c>
      <c r="O646" s="94">
        <v>16895</v>
      </c>
      <c r="P646" s="94">
        <v>10</v>
      </c>
      <c r="Q646" s="95">
        <v>0.21179841774123201</v>
      </c>
      <c r="R646" s="95">
        <v>0.212421606311956</v>
      </c>
      <c r="S646" s="95">
        <v>0.21079941624776999</v>
      </c>
      <c r="T646" s="95">
        <v>0.413223140495868</v>
      </c>
      <c r="U646" s="95">
        <v>0.37012845634661401</v>
      </c>
      <c r="V646" s="95">
        <v>0.10187189609066601</v>
      </c>
      <c r="W646" s="95">
        <v>0.10454783063251399</v>
      </c>
      <c r="X646" s="95">
        <v>0.211917227624034</v>
      </c>
      <c r="Y646" s="95">
        <v>0</v>
      </c>
      <c r="Z646" s="94">
        <v>20205</v>
      </c>
      <c r="AA646" s="94">
        <v>11342</v>
      </c>
      <c r="AB646" s="94">
        <v>8863</v>
      </c>
      <c r="AC646" s="94">
        <v>1395</v>
      </c>
      <c r="AD646" s="94">
        <v>5555</v>
      </c>
      <c r="AE646" s="94">
        <v>10272</v>
      </c>
      <c r="AF646" s="94">
        <v>2983</v>
      </c>
      <c r="AG646" s="94">
        <v>17126</v>
      </c>
      <c r="AH646" s="94">
        <v>2906</v>
      </c>
      <c r="AI646" s="94">
        <v>173</v>
      </c>
      <c r="AJ646" s="94">
        <v>20138</v>
      </c>
      <c r="AK646" s="94">
        <v>29</v>
      </c>
      <c r="AL646" s="94">
        <v>38</v>
      </c>
      <c r="AM646" s="94">
        <v>1246</v>
      </c>
      <c r="AN646" s="94">
        <v>18785</v>
      </c>
      <c r="AO646" s="94">
        <v>174</v>
      </c>
      <c r="AP646" s="95">
        <v>1.59323770491803</v>
      </c>
      <c r="AQ646" s="95">
        <v>0.58674851056147304</v>
      </c>
      <c r="AR646" s="95">
        <v>2.9140014214641101</v>
      </c>
      <c r="AS646" s="95">
        <v>2.3360964581763399</v>
      </c>
      <c r="AT646" s="95">
        <v>2.69658683763907</v>
      </c>
      <c r="AU646" s="95">
        <v>1.18272025659016</v>
      </c>
      <c r="AV646" s="95">
        <v>0.65224854102300001</v>
      </c>
      <c r="AW646" s="95">
        <v>1.4103182256509199</v>
      </c>
      <c r="AX646" s="95">
        <v>2.7114967462038999</v>
      </c>
      <c r="AY646" s="95">
        <v>1.2345679012345701</v>
      </c>
      <c r="AZ646" s="95">
        <v>1.5830592105263199</v>
      </c>
      <c r="BA646" s="95">
        <v>7.4074074074074101</v>
      </c>
      <c r="BB646" s="95">
        <v>2.7027027027027</v>
      </c>
      <c r="BC646" s="95">
        <v>1.73267326732673</v>
      </c>
      <c r="BD646" s="95">
        <v>1.58222614256574</v>
      </c>
      <c r="BE646" s="95">
        <v>1.7751479289940799</v>
      </c>
    </row>
    <row r="647" spans="2:57" ht="15" customHeight="1" x14ac:dyDescent="0.25">
      <c r="B647" s="96">
        <v>637</v>
      </c>
      <c r="C647" s="97" t="s">
        <v>504</v>
      </c>
      <c r="D647" s="104" t="s">
        <v>51</v>
      </c>
      <c r="E647" s="104" t="s">
        <v>282</v>
      </c>
      <c r="F647" s="104" t="s">
        <v>282</v>
      </c>
      <c r="G647" s="105" t="s">
        <v>282</v>
      </c>
      <c r="H647" s="106">
        <v>10079</v>
      </c>
      <c r="I647" s="106">
        <v>5672</v>
      </c>
      <c r="J647" s="106">
        <v>4407</v>
      </c>
      <c r="K647" s="106">
        <v>1192</v>
      </c>
      <c r="L647" s="106">
        <v>2600</v>
      </c>
      <c r="M647" s="106">
        <v>4703</v>
      </c>
      <c r="N647" s="106">
        <v>1584</v>
      </c>
      <c r="O647" s="106">
        <v>10071</v>
      </c>
      <c r="P647" s="106">
        <v>8</v>
      </c>
      <c r="Q647" s="107">
        <v>0.22916666666666699</v>
      </c>
      <c r="R647" s="107">
        <v>0.20065669463699401</v>
      </c>
      <c r="S647" s="107">
        <v>0.26711996114618702</v>
      </c>
      <c r="T647" s="107">
        <v>0.71877807726864296</v>
      </c>
      <c r="U647" s="107">
        <v>0.20259319286871999</v>
      </c>
      <c r="V647" s="107">
        <v>0.13291980505095299</v>
      </c>
      <c r="W647" s="107">
        <v>0.199335548172757</v>
      </c>
      <c r="X647" s="107">
        <v>0.22935779816513799</v>
      </c>
      <c r="Y647" s="107">
        <v>0</v>
      </c>
      <c r="Z647" s="106">
        <v>11290</v>
      </c>
      <c r="AA647" s="106">
        <v>5935</v>
      </c>
      <c r="AB647" s="106">
        <v>5355</v>
      </c>
      <c r="AC647" s="106">
        <v>743</v>
      </c>
      <c r="AD647" s="106">
        <v>2683</v>
      </c>
      <c r="AE647" s="106">
        <v>5580</v>
      </c>
      <c r="AF647" s="106">
        <v>2284</v>
      </c>
      <c r="AG647" s="106">
        <v>10146</v>
      </c>
      <c r="AH647" s="106">
        <v>1081</v>
      </c>
      <c r="AI647" s="106">
        <v>63</v>
      </c>
      <c r="AJ647" s="106">
        <v>11246</v>
      </c>
      <c r="AK647" s="106">
        <v>17</v>
      </c>
      <c r="AL647" s="106">
        <v>27</v>
      </c>
      <c r="AM647" s="106">
        <v>835</v>
      </c>
      <c r="AN647" s="106">
        <v>10356</v>
      </c>
      <c r="AO647" s="106">
        <v>99</v>
      </c>
      <c r="AP647" s="107">
        <v>1.1417610522469901</v>
      </c>
      <c r="AQ647" s="107">
        <v>0.48225973131243499</v>
      </c>
      <c r="AR647" s="107">
        <v>1.88642551536367</v>
      </c>
      <c r="AS647" s="107">
        <v>0.56737588652482296</v>
      </c>
      <c r="AT647" s="107">
        <v>1.6705516705516701</v>
      </c>
      <c r="AU647" s="107">
        <v>1.10314396028682</v>
      </c>
      <c r="AV647" s="107">
        <v>0.80717488789237701</v>
      </c>
      <c r="AW647" s="107">
        <v>1.02506850705369</v>
      </c>
      <c r="AX647" s="107">
        <v>2.3188405797101499</v>
      </c>
      <c r="AY647" s="107">
        <v>0</v>
      </c>
      <c r="AZ647" s="107">
        <v>1.1279229711141701</v>
      </c>
      <c r="BA647" s="107">
        <v>6.25</v>
      </c>
      <c r="BB647" s="107">
        <v>3.7037037037037002</v>
      </c>
      <c r="BC647" s="107">
        <v>1.5990159901598999</v>
      </c>
      <c r="BD647" s="107">
        <v>1.1057979677226499</v>
      </c>
      <c r="BE647" s="107">
        <v>1.0309278350515501</v>
      </c>
    </row>
    <row r="648" spans="2:57" ht="15" customHeight="1" x14ac:dyDescent="0.25">
      <c r="B648" s="91">
        <v>638</v>
      </c>
      <c r="C648" s="92" t="s">
        <v>504</v>
      </c>
      <c r="D648" s="92" t="s">
        <v>51</v>
      </c>
      <c r="E648" s="92" t="s">
        <v>282</v>
      </c>
      <c r="F648" s="92" t="s">
        <v>282</v>
      </c>
      <c r="G648" s="101" t="s">
        <v>501</v>
      </c>
      <c r="H648" s="94">
        <v>863</v>
      </c>
      <c r="I648" s="94">
        <v>513</v>
      </c>
      <c r="J648" s="94">
        <v>350</v>
      </c>
      <c r="K648" s="94">
        <v>66</v>
      </c>
      <c r="L648" s="94">
        <v>225</v>
      </c>
      <c r="M648" s="94">
        <v>443</v>
      </c>
      <c r="N648" s="94">
        <v>129</v>
      </c>
      <c r="O648" s="94">
        <v>859</v>
      </c>
      <c r="P648" s="94">
        <v>4</v>
      </c>
      <c r="Q648" s="95">
        <v>2.3312883435582799</v>
      </c>
      <c r="R648" s="95">
        <v>1.8329938900203699</v>
      </c>
      <c r="S648" s="95">
        <v>3.0864197530864201</v>
      </c>
      <c r="T648" s="95">
        <v>11.4754098360656</v>
      </c>
      <c r="U648" s="95">
        <v>1.9047619047619</v>
      </c>
      <c r="V648" s="95">
        <v>1.4184397163120599</v>
      </c>
      <c r="W648" s="95">
        <v>1.65289256198347</v>
      </c>
      <c r="X648" s="95">
        <v>2.3427866831072799</v>
      </c>
      <c r="Y648" s="95">
        <v>0</v>
      </c>
      <c r="Z648" s="94">
        <v>1369</v>
      </c>
      <c r="AA648" s="94">
        <v>709</v>
      </c>
      <c r="AB648" s="94">
        <v>660</v>
      </c>
      <c r="AC648" s="94">
        <v>73</v>
      </c>
      <c r="AD648" s="94">
        <v>355</v>
      </c>
      <c r="AE648" s="94">
        <v>717</v>
      </c>
      <c r="AF648" s="94">
        <v>224</v>
      </c>
      <c r="AG648" s="94">
        <v>1105</v>
      </c>
      <c r="AH648" s="94">
        <v>260</v>
      </c>
      <c r="AI648" s="94">
        <v>4</v>
      </c>
      <c r="AJ648" s="94">
        <v>1363</v>
      </c>
      <c r="AK648" s="94">
        <v>5</v>
      </c>
      <c r="AL648" s="94">
        <v>1</v>
      </c>
      <c r="AM648" s="94">
        <v>95</v>
      </c>
      <c r="AN648" s="94">
        <v>1262</v>
      </c>
      <c r="AO648" s="94">
        <v>12</v>
      </c>
      <c r="AP648" s="95">
        <v>5.3571428571428603</v>
      </c>
      <c r="AQ648" s="95">
        <v>2.9940119760478998</v>
      </c>
      <c r="AR648" s="95">
        <v>7.9032258064516103</v>
      </c>
      <c r="AS648" s="95">
        <v>4.28571428571429</v>
      </c>
      <c r="AT648" s="95">
        <v>5.5384615384615401</v>
      </c>
      <c r="AU648" s="95">
        <v>5.5882352941176503</v>
      </c>
      <c r="AV648" s="95">
        <v>4.6948356807511704</v>
      </c>
      <c r="AW648" s="95">
        <v>4.8169556840077101</v>
      </c>
      <c r="AX648" s="95">
        <v>7.7235772357723604</v>
      </c>
      <c r="AY648" s="95">
        <v>0</v>
      </c>
      <c r="AZ648" s="95">
        <v>5.3042121684867398</v>
      </c>
      <c r="BA648" s="95">
        <v>20</v>
      </c>
      <c r="BB648" s="95">
        <v>0</v>
      </c>
      <c r="BC648" s="95">
        <v>7.6086956521739104</v>
      </c>
      <c r="BD648" s="95">
        <v>5.2276559865092702</v>
      </c>
      <c r="BE648" s="95">
        <v>0</v>
      </c>
    </row>
    <row r="649" spans="2:57" ht="15" customHeight="1" x14ac:dyDescent="0.25">
      <c r="B649" s="91">
        <v>639</v>
      </c>
      <c r="C649" s="92" t="s">
        <v>504</v>
      </c>
      <c r="D649" s="92" t="s">
        <v>51</v>
      </c>
      <c r="E649" s="92" t="s">
        <v>282</v>
      </c>
      <c r="F649" s="92" t="s">
        <v>282</v>
      </c>
      <c r="G649" s="101" t="s">
        <v>502</v>
      </c>
      <c r="H649" s="94">
        <v>9216</v>
      </c>
      <c r="I649" s="94">
        <v>5159</v>
      </c>
      <c r="J649" s="94">
        <v>4057</v>
      </c>
      <c r="K649" s="94">
        <v>1126</v>
      </c>
      <c r="L649" s="94">
        <v>2375</v>
      </c>
      <c r="M649" s="94">
        <v>4260</v>
      </c>
      <c r="N649" s="94">
        <v>1455</v>
      </c>
      <c r="O649" s="94">
        <v>9212</v>
      </c>
      <c r="P649" s="94">
        <v>4</v>
      </c>
      <c r="Q649" s="95">
        <v>3.4149117814456502E-2</v>
      </c>
      <c r="R649" s="95">
        <v>4.0072129833700697E-2</v>
      </c>
      <c r="S649" s="95">
        <v>2.6357406431207198E-2</v>
      </c>
      <c r="T649" s="95">
        <v>9.5057034220532299E-2</v>
      </c>
      <c r="U649" s="95">
        <v>4.4286979627989401E-2</v>
      </c>
      <c r="V649" s="95">
        <v>0</v>
      </c>
      <c r="W649" s="95">
        <v>7.2254335260115599E-2</v>
      </c>
      <c r="X649" s="95">
        <v>3.4164673727365903E-2</v>
      </c>
      <c r="Y649" s="95">
        <v>0</v>
      </c>
      <c r="Z649" s="94">
        <v>9921</v>
      </c>
      <c r="AA649" s="94">
        <v>5226</v>
      </c>
      <c r="AB649" s="94">
        <v>4695</v>
      </c>
      <c r="AC649" s="94">
        <v>670</v>
      </c>
      <c r="AD649" s="94">
        <v>2328</v>
      </c>
      <c r="AE649" s="94">
        <v>4863</v>
      </c>
      <c r="AF649" s="94">
        <v>2060</v>
      </c>
      <c r="AG649" s="94">
        <v>9041</v>
      </c>
      <c r="AH649" s="94">
        <v>821</v>
      </c>
      <c r="AI649" s="94">
        <v>59</v>
      </c>
      <c r="AJ649" s="94">
        <v>9883</v>
      </c>
      <c r="AK649" s="94">
        <v>12</v>
      </c>
      <c r="AL649" s="94">
        <v>26</v>
      </c>
      <c r="AM649" s="94">
        <v>740</v>
      </c>
      <c r="AN649" s="94">
        <v>9094</v>
      </c>
      <c r="AO649" s="94">
        <v>87</v>
      </c>
      <c r="AP649" s="95">
        <v>0.57971014492753603</v>
      </c>
      <c r="AQ649" s="95">
        <v>0.15570260801868399</v>
      </c>
      <c r="AR649" s="95">
        <v>1.0614772224679301</v>
      </c>
      <c r="AS649" s="95">
        <v>0.15748031496063</v>
      </c>
      <c r="AT649" s="95">
        <v>1.11160515784793</v>
      </c>
      <c r="AU649" s="95">
        <v>0.46228199201512898</v>
      </c>
      <c r="AV649" s="95">
        <v>0.396628656420426</v>
      </c>
      <c r="AW649" s="95">
        <v>0.57855927396483298</v>
      </c>
      <c r="AX649" s="95">
        <v>0.63371356147021496</v>
      </c>
      <c r="AY649" s="95">
        <v>0</v>
      </c>
      <c r="AZ649" s="95">
        <v>0.57154733451106698</v>
      </c>
      <c r="BA649" s="95">
        <v>0</v>
      </c>
      <c r="BB649" s="95">
        <v>3.8461538461538498</v>
      </c>
      <c r="BC649" s="95">
        <v>0.83217753120665705</v>
      </c>
      <c r="BD649" s="95">
        <v>0.55354722096701303</v>
      </c>
      <c r="BE649" s="95">
        <v>1.14942528735632</v>
      </c>
    </row>
    <row r="650" spans="2:57" ht="15" customHeight="1" x14ac:dyDescent="0.25">
      <c r="B650" s="96">
        <v>640</v>
      </c>
      <c r="C650" s="97" t="s">
        <v>504</v>
      </c>
      <c r="D650" s="104" t="s">
        <v>51</v>
      </c>
      <c r="E650" s="104" t="s">
        <v>282</v>
      </c>
      <c r="F650" s="104" t="s">
        <v>243</v>
      </c>
      <c r="G650" s="105" t="s">
        <v>243</v>
      </c>
      <c r="H650" s="106">
        <v>10357</v>
      </c>
      <c r="I650" s="106">
        <v>6551</v>
      </c>
      <c r="J650" s="106">
        <v>3806</v>
      </c>
      <c r="K650" s="106">
        <v>927</v>
      </c>
      <c r="L650" s="106">
        <v>3493</v>
      </c>
      <c r="M650" s="106">
        <v>5249</v>
      </c>
      <c r="N650" s="106">
        <v>688</v>
      </c>
      <c r="O650" s="106">
        <v>10339</v>
      </c>
      <c r="P650" s="106">
        <v>18</v>
      </c>
      <c r="Q650" s="107">
        <v>1.0846208943006199</v>
      </c>
      <c r="R650" s="107">
        <v>0.75248158821645805</v>
      </c>
      <c r="S650" s="107">
        <v>1.6728097533314401</v>
      </c>
      <c r="T650" s="107">
        <v>2.0905923344947701</v>
      </c>
      <c r="U650" s="107">
        <v>1.2958963282937399</v>
      </c>
      <c r="V650" s="107">
        <v>0.83715367749651204</v>
      </c>
      <c r="W650" s="107">
        <v>0.61162079510703404</v>
      </c>
      <c r="X650" s="107">
        <v>1.0865108651086499</v>
      </c>
      <c r="Y650" s="107">
        <v>0</v>
      </c>
      <c r="Z650" s="106">
        <v>15014</v>
      </c>
      <c r="AA650" s="106">
        <v>8562</v>
      </c>
      <c r="AB650" s="106">
        <v>6452</v>
      </c>
      <c r="AC650" s="106">
        <v>1081</v>
      </c>
      <c r="AD650" s="106">
        <v>4888</v>
      </c>
      <c r="AE650" s="106">
        <v>7772</v>
      </c>
      <c r="AF650" s="106">
        <v>1273</v>
      </c>
      <c r="AG650" s="106">
        <v>11060</v>
      </c>
      <c r="AH650" s="106">
        <v>3803</v>
      </c>
      <c r="AI650" s="106">
        <v>151</v>
      </c>
      <c r="AJ650" s="106">
        <v>14936</v>
      </c>
      <c r="AK650" s="106">
        <v>55</v>
      </c>
      <c r="AL650" s="106">
        <v>23</v>
      </c>
      <c r="AM650" s="106">
        <v>702</v>
      </c>
      <c r="AN650" s="106">
        <v>14200</v>
      </c>
      <c r="AO650" s="106">
        <v>112</v>
      </c>
      <c r="AP650" s="107">
        <v>4.5828109764591201</v>
      </c>
      <c r="AQ650" s="107">
        <v>1.5825078521382001</v>
      </c>
      <c r="AR650" s="107">
        <v>8.6677631578947398</v>
      </c>
      <c r="AS650" s="107">
        <v>7.91015625</v>
      </c>
      <c r="AT650" s="107">
        <v>6.0888407367280601</v>
      </c>
      <c r="AU650" s="107">
        <v>3.4993989581942002</v>
      </c>
      <c r="AV650" s="107">
        <v>2.7597402597402598</v>
      </c>
      <c r="AW650" s="107">
        <v>4.0241259070775603</v>
      </c>
      <c r="AX650" s="107">
        <v>6.2915742793791596</v>
      </c>
      <c r="AY650" s="107">
        <v>2.8776978417266199</v>
      </c>
      <c r="AZ650" s="107">
        <v>4.5499090018199597</v>
      </c>
      <c r="BA650" s="107">
        <v>14</v>
      </c>
      <c r="BB650" s="107">
        <v>4.5454545454545503</v>
      </c>
      <c r="BC650" s="107">
        <v>5.3097345132743401</v>
      </c>
      <c r="BD650" s="107">
        <v>4.5524861878453002</v>
      </c>
      <c r="BE650" s="107">
        <v>3.8095238095238102</v>
      </c>
    </row>
    <row r="651" spans="2:57" ht="15" customHeight="1" x14ac:dyDescent="0.25">
      <c r="B651" s="91">
        <v>641</v>
      </c>
      <c r="C651" s="92" t="s">
        <v>504</v>
      </c>
      <c r="D651" s="92" t="s">
        <v>51</v>
      </c>
      <c r="E651" s="92" t="s">
        <v>282</v>
      </c>
      <c r="F651" s="92" t="s">
        <v>243</v>
      </c>
      <c r="G651" s="101" t="s">
        <v>501</v>
      </c>
      <c r="H651" s="94">
        <v>2668</v>
      </c>
      <c r="I651" s="94">
        <v>1431</v>
      </c>
      <c r="J651" s="94">
        <v>1237</v>
      </c>
      <c r="K651" s="94">
        <v>241</v>
      </c>
      <c r="L651" s="94">
        <v>968</v>
      </c>
      <c r="M651" s="94">
        <v>1321</v>
      </c>
      <c r="N651" s="94">
        <v>138</v>
      </c>
      <c r="O651" s="94">
        <v>2656</v>
      </c>
      <c r="P651" s="94">
        <v>12</v>
      </c>
      <c r="Q651" s="95">
        <v>2.9940119760478998</v>
      </c>
      <c r="R651" s="95">
        <v>2.0725388601036299</v>
      </c>
      <c r="S651" s="95">
        <v>4.0727902946273797</v>
      </c>
      <c r="T651" s="95">
        <v>5.4794520547945202</v>
      </c>
      <c r="U651" s="95">
        <v>2.86975717439294</v>
      </c>
      <c r="V651" s="95">
        <v>2.7091633466135501</v>
      </c>
      <c r="W651" s="95">
        <v>2.4</v>
      </c>
      <c r="X651" s="95">
        <v>3.0084235860409101</v>
      </c>
      <c r="Y651" s="95">
        <v>0</v>
      </c>
      <c r="Z651" s="94">
        <v>4730</v>
      </c>
      <c r="AA651" s="94">
        <v>2446</v>
      </c>
      <c r="AB651" s="94">
        <v>2284</v>
      </c>
      <c r="AC651" s="94">
        <v>356</v>
      </c>
      <c r="AD651" s="94">
        <v>1661</v>
      </c>
      <c r="AE651" s="94">
        <v>2363</v>
      </c>
      <c r="AF651" s="94">
        <v>350</v>
      </c>
      <c r="AG651" s="94">
        <v>2975</v>
      </c>
      <c r="AH651" s="94">
        <v>1718</v>
      </c>
      <c r="AI651" s="94">
        <v>37</v>
      </c>
      <c r="AJ651" s="94">
        <v>4681</v>
      </c>
      <c r="AK651" s="94">
        <v>38</v>
      </c>
      <c r="AL651" s="94">
        <v>11</v>
      </c>
      <c r="AM651" s="94">
        <v>196</v>
      </c>
      <c r="AN651" s="94">
        <v>4509</v>
      </c>
      <c r="AO651" s="94">
        <v>25</v>
      </c>
      <c r="AP651" s="95">
        <v>8.9595375722543409</v>
      </c>
      <c r="AQ651" s="95">
        <v>3.1650983746792098</v>
      </c>
      <c r="AR651" s="95">
        <v>15.2314814814815</v>
      </c>
      <c r="AS651" s="95">
        <v>15.361445783132501</v>
      </c>
      <c r="AT651" s="95">
        <v>10.442024343369599</v>
      </c>
      <c r="AU651" s="95">
        <v>7.3159982371088601</v>
      </c>
      <c r="AV651" s="95">
        <v>6.8452380952381002</v>
      </c>
      <c r="AW651" s="95">
        <v>8.6097388849682392</v>
      </c>
      <c r="AX651" s="95">
        <v>9.6259963212752897</v>
      </c>
      <c r="AY651" s="95">
        <v>6.0606060606060597</v>
      </c>
      <c r="AZ651" s="95">
        <v>8.9153379743992804</v>
      </c>
      <c r="BA651" s="95">
        <v>14.705882352941201</v>
      </c>
      <c r="BB651" s="95">
        <v>9.0909090909090899</v>
      </c>
      <c r="BC651" s="95">
        <v>11.2299465240642</v>
      </c>
      <c r="BD651" s="95">
        <v>8.8619402985074593</v>
      </c>
      <c r="BE651" s="95">
        <v>8.6956521739130395</v>
      </c>
    </row>
    <row r="652" spans="2:57" ht="15" customHeight="1" x14ac:dyDescent="0.25">
      <c r="B652" s="91">
        <v>642</v>
      </c>
      <c r="C652" s="92" t="s">
        <v>504</v>
      </c>
      <c r="D652" s="92" t="s">
        <v>51</v>
      </c>
      <c r="E652" s="92" t="s">
        <v>282</v>
      </c>
      <c r="F652" s="92" t="s">
        <v>243</v>
      </c>
      <c r="G652" s="101" t="s">
        <v>502</v>
      </c>
      <c r="H652" s="94">
        <v>7689</v>
      </c>
      <c r="I652" s="94">
        <v>5120</v>
      </c>
      <c r="J652" s="94">
        <v>2569</v>
      </c>
      <c r="K652" s="94">
        <v>686</v>
      </c>
      <c r="L652" s="94">
        <v>2525</v>
      </c>
      <c r="M652" s="94">
        <v>3928</v>
      </c>
      <c r="N652" s="94">
        <v>550</v>
      </c>
      <c r="O652" s="94">
        <v>7683</v>
      </c>
      <c r="P652" s="94">
        <v>6</v>
      </c>
      <c r="Q652" s="95">
        <v>0.42652724270775999</v>
      </c>
      <c r="R652" s="95">
        <v>0.38815117466802901</v>
      </c>
      <c r="S652" s="95">
        <v>0.505689001264223</v>
      </c>
      <c r="T652" s="95">
        <v>0.934579439252336</v>
      </c>
      <c r="U652" s="95">
        <v>0.685224839400428</v>
      </c>
      <c r="V652" s="95">
        <v>0.21265284423179201</v>
      </c>
      <c r="W652" s="95">
        <v>0.18903591682419699</v>
      </c>
      <c r="X652" s="95">
        <v>0.42682087291752702</v>
      </c>
      <c r="Y652" s="95">
        <v>0</v>
      </c>
      <c r="Z652" s="94">
        <v>10284</v>
      </c>
      <c r="AA652" s="94">
        <v>6116</v>
      </c>
      <c r="AB652" s="94">
        <v>4168</v>
      </c>
      <c r="AC652" s="94">
        <v>725</v>
      </c>
      <c r="AD652" s="94">
        <v>3227</v>
      </c>
      <c r="AE652" s="94">
        <v>5409</v>
      </c>
      <c r="AF652" s="94">
        <v>923</v>
      </c>
      <c r="AG652" s="94">
        <v>8085</v>
      </c>
      <c r="AH652" s="94">
        <v>2085</v>
      </c>
      <c r="AI652" s="94">
        <v>114</v>
      </c>
      <c r="AJ652" s="94">
        <v>10255</v>
      </c>
      <c r="AK652" s="94">
        <v>17</v>
      </c>
      <c r="AL652" s="94">
        <v>12</v>
      </c>
      <c r="AM652" s="94">
        <v>506</v>
      </c>
      <c r="AN652" s="94">
        <v>9691</v>
      </c>
      <c r="AO652" s="94">
        <v>87</v>
      </c>
      <c r="AP652" s="95">
        <v>2.5862068965517202</v>
      </c>
      <c r="AQ652" s="95">
        <v>0.95959595959596</v>
      </c>
      <c r="AR652" s="95">
        <v>5.0510204081632697</v>
      </c>
      <c r="AS652" s="95">
        <v>4.3352601156069399</v>
      </c>
      <c r="AT652" s="95">
        <v>3.8637851997380501</v>
      </c>
      <c r="AU652" s="95">
        <v>1.83978535837486</v>
      </c>
      <c r="AV652" s="95">
        <v>1.2276785714285701</v>
      </c>
      <c r="AW652" s="95">
        <v>2.35309245210235</v>
      </c>
      <c r="AX652" s="95">
        <v>3.5407182599898799</v>
      </c>
      <c r="AY652" s="95">
        <v>1.88679245283019</v>
      </c>
      <c r="AZ652" s="95">
        <v>2.5729685752059401</v>
      </c>
      <c r="BA652" s="95">
        <v>12.5</v>
      </c>
      <c r="BB652" s="95">
        <v>0</v>
      </c>
      <c r="BC652" s="95">
        <v>3.0549898167006102</v>
      </c>
      <c r="BD652" s="95">
        <v>2.5627220846344301</v>
      </c>
      <c r="BE652" s="95">
        <v>2.4390243902439002</v>
      </c>
    </row>
    <row r="653" spans="2:57" ht="15" customHeight="1" x14ac:dyDescent="0.25">
      <c r="B653" s="76">
        <v>643</v>
      </c>
      <c r="C653" s="77" t="s">
        <v>3</v>
      </c>
      <c r="D653" s="77" t="s">
        <v>57</v>
      </c>
      <c r="E653" s="77"/>
      <c r="F653" s="77"/>
      <c r="G653" s="78" t="s">
        <v>57</v>
      </c>
      <c r="H653" s="79">
        <v>218002</v>
      </c>
      <c r="I653" s="79">
        <v>123200</v>
      </c>
      <c r="J653" s="79">
        <v>94802</v>
      </c>
      <c r="K653" s="79">
        <v>7651</v>
      </c>
      <c r="L653" s="79">
        <v>59727</v>
      </c>
      <c r="M653" s="79">
        <v>121786</v>
      </c>
      <c r="N653" s="79">
        <v>28838</v>
      </c>
      <c r="O653" s="79">
        <v>217486</v>
      </c>
      <c r="P653" s="79">
        <v>516</v>
      </c>
      <c r="Q653" s="80">
        <v>1.4195322173366201</v>
      </c>
      <c r="R653" s="80">
        <v>0.87517193947730398</v>
      </c>
      <c r="S653" s="80">
        <v>2.1324506293769301</v>
      </c>
      <c r="T653" s="80">
        <v>3.2477118393858899</v>
      </c>
      <c r="U653" s="80">
        <v>2.0410732268738299</v>
      </c>
      <c r="V653" s="80">
        <v>1.18732708302617</v>
      </c>
      <c r="W653" s="80">
        <v>0.68475687488617698</v>
      </c>
      <c r="X653" s="80">
        <v>1.4130546312718999</v>
      </c>
      <c r="Y653" s="80">
        <v>4.2105263157894699</v>
      </c>
      <c r="Z653" s="79">
        <v>290202</v>
      </c>
      <c r="AA653" s="79">
        <v>156585</v>
      </c>
      <c r="AB653" s="79">
        <v>133617</v>
      </c>
      <c r="AC653" s="79">
        <v>10178</v>
      </c>
      <c r="AD653" s="79">
        <v>72659</v>
      </c>
      <c r="AE653" s="79">
        <v>165147</v>
      </c>
      <c r="AF653" s="79">
        <v>42218</v>
      </c>
      <c r="AG653" s="79">
        <v>170497</v>
      </c>
      <c r="AH653" s="79">
        <v>117678</v>
      </c>
      <c r="AI653" s="79">
        <v>2027</v>
      </c>
      <c r="AJ653" s="79">
        <v>287865</v>
      </c>
      <c r="AK653" s="79">
        <v>1612</v>
      </c>
      <c r="AL653" s="79">
        <v>725</v>
      </c>
      <c r="AM653" s="79">
        <v>17728</v>
      </c>
      <c r="AN653" s="79">
        <v>270274</v>
      </c>
      <c r="AO653" s="79">
        <v>2200</v>
      </c>
      <c r="AP653" s="80">
        <v>4.7843188292626504</v>
      </c>
      <c r="AQ653" s="80">
        <v>2.3439168980987</v>
      </c>
      <c r="AR653" s="80">
        <v>7.6667718025548002</v>
      </c>
      <c r="AS653" s="80">
        <v>8.8974252491694408</v>
      </c>
      <c r="AT653" s="80">
        <v>7.00958664055252</v>
      </c>
      <c r="AU653" s="80">
        <v>4.1525246970932299</v>
      </c>
      <c r="AV653" s="80">
        <v>2.5626590953593098</v>
      </c>
      <c r="AW653" s="80">
        <v>3.4010161572665001</v>
      </c>
      <c r="AX653" s="80">
        <v>6.8351071032036197</v>
      </c>
      <c r="AY653" s="80">
        <v>4.5744680851063801</v>
      </c>
      <c r="AZ653" s="80">
        <v>4.7775214899191401</v>
      </c>
      <c r="BA653" s="80">
        <v>6.2834224598930497</v>
      </c>
      <c r="BB653" s="80">
        <v>4.2335766423357697</v>
      </c>
      <c r="BC653" s="80">
        <v>4.5714285714285703</v>
      </c>
      <c r="BD653" s="80">
        <v>4.8100105991838999</v>
      </c>
      <c r="BE653" s="80">
        <v>3.3333333333333299</v>
      </c>
    </row>
    <row r="654" spans="2:57" ht="15" customHeight="1" x14ac:dyDescent="0.25">
      <c r="B654" s="81">
        <v>644</v>
      </c>
      <c r="C654" s="82" t="s">
        <v>3</v>
      </c>
      <c r="D654" s="102" t="s">
        <v>57</v>
      </c>
      <c r="E654" s="102"/>
      <c r="F654" s="102"/>
      <c r="G654" s="83" t="s">
        <v>501</v>
      </c>
      <c r="H654" s="84">
        <v>127249</v>
      </c>
      <c r="I654" s="84">
        <v>71203</v>
      </c>
      <c r="J654" s="84">
        <v>56046</v>
      </c>
      <c r="K654" s="84">
        <v>4426</v>
      </c>
      <c r="L654" s="84">
        <v>38557</v>
      </c>
      <c r="M654" s="84">
        <v>73529</v>
      </c>
      <c r="N654" s="84">
        <v>10737</v>
      </c>
      <c r="O654" s="84">
        <v>126814</v>
      </c>
      <c r="P654" s="84">
        <v>435</v>
      </c>
      <c r="Q654" s="85">
        <v>2.2430916829943901</v>
      </c>
      <c r="R654" s="85">
        <v>1.37801769380717</v>
      </c>
      <c r="S654" s="85">
        <v>3.3585985536950398</v>
      </c>
      <c r="T654" s="85">
        <v>5.1881993896236001</v>
      </c>
      <c r="U654" s="85">
        <v>2.9163275044208001</v>
      </c>
      <c r="V654" s="85">
        <v>1.8166240706319701</v>
      </c>
      <c r="W654" s="85">
        <v>1.62243365047571</v>
      </c>
      <c r="X654" s="85">
        <v>2.2345942647956099</v>
      </c>
      <c r="Y654" s="85">
        <v>4.75</v>
      </c>
      <c r="Z654" s="84">
        <v>168878</v>
      </c>
      <c r="AA654" s="84">
        <v>89324</v>
      </c>
      <c r="AB654" s="84">
        <v>79554</v>
      </c>
      <c r="AC654" s="84">
        <v>5506</v>
      </c>
      <c r="AD654" s="84">
        <v>45557</v>
      </c>
      <c r="AE654" s="84">
        <v>99743</v>
      </c>
      <c r="AF654" s="84">
        <v>18072</v>
      </c>
      <c r="AG654" s="84">
        <v>67246</v>
      </c>
      <c r="AH654" s="84">
        <v>100610</v>
      </c>
      <c r="AI654" s="84">
        <v>1022</v>
      </c>
      <c r="AJ654" s="84">
        <v>167520</v>
      </c>
      <c r="AK654" s="84">
        <v>1041</v>
      </c>
      <c r="AL654" s="84">
        <v>317</v>
      </c>
      <c r="AM654" s="84">
        <v>10068</v>
      </c>
      <c r="AN654" s="84">
        <v>157896</v>
      </c>
      <c r="AO654" s="84">
        <v>914</v>
      </c>
      <c r="AP654" s="85">
        <v>7.1274311576285303</v>
      </c>
      <c r="AQ654" s="85">
        <v>3.6255596640243799</v>
      </c>
      <c r="AR654" s="85">
        <v>11.0745672436751</v>
      </c>
      <c r="AS654" s="85">
        <v>14.493865030674799</v>
      </c>
      <c r="AT654" s="85">
        <v>9.7943146583351108</v>
      </c>
      <c r="AU654" s="85">
        <v>5.9316861688694296</v>
      </c>
      <c r="AV654" s="85">
        <v>4.9559471365638803</v>
      </c>
      <c r="AW654" s="85">
        <v>6.44453094589334</v>
      </c>
      <c r="AX654" s="85">
        <v>7.5835747362188899</v>
      </c>
      <c r="AY654" s="85">
        <v>7.8891257995735602</v>
      </c>
      <c r="AZ654" s="85">
        <v>7.1154574132492101</v>
      </c>
      <c r="BA654" s="85">
        <v>9.0625</v>
      </c>
      <c r="BB654" s="85">
        <v>7.2664359861591699</v>
      </c>
      <c r="BC654" s="85">
        <v>7.2440944881889804</v>
      </c>
      <c r="BD654" s="85">
        <v>7.1223430962343102</v>
      </c>
      <c r="BE654" s="85">
        <v>6.7137809187279203</v>
      </c>
    </row>
    <row r="655" spans="2:57" ht="15" customHeight="1" x14ac:dyDescent="0.25">
      <c r="B655" s="81">
        <v>645</v>
      </c>
      <c r="C655" s="82" t="s">
        <v>3</v>
      </c>
      <c r="D655" s="102" t="s">
        <v>57</v>
      </c>
      <c r="E655" s="102"/>
      <c r="F655" s="102"/>
      <c r="G655" s="83" t="s">
        <v>502</v>
      </c>
      <c r="H655" s="84">
        <v>90753</v>
      </c>
      <c r="I655" s="84">
        <v>51997</v>
      </c>
      <c r="J655" s="84">
        <v>38756</v>
      </c>
      <c r="K655" s="84">
        <v>3225</v>
      </c>
      <c r="L655" s="84">
        <v>21170</v>
      </c>
      <c r="M655" s="84">
        <v>48257</v>
      </c>
      <c r="N655" s="84">
        <v>18101</v>
      </c>
      <c r="O655" s="84">
        <v>90672</v>
      </c>
      <c r="P655" s="84">
        <v>81</v>
      </c>
      <c r="Q655" s="85">
        <v>0.29516891502363701</v>
      </c>
      <c r="R655" s="85">
        <v>0.19947612331251299</v>
      </c>
      <c r="S655" s="85">
        <v>0.42318059299191402</v>
      </c>
      <c r="T655" s="85">
        <v>0.56298381421534105</v>
      </c>
      <c r="U655" s="85">
        <v>0.48045643361193102</v>
      </c>
      <c r="V655" s="85">
        <v>0.25410771583004899</v>
      </c>
      <c r="W655" s="85">
        <v>0.14882655981682899</v>
      </c>
      <c r="X655" s="85">
        <v>0.29427038255149701</v>
      </c>
      <c r="Y655" s="85">
        <v>1.3333333333333299</v>
      </c>
      <c r="Z655" s="84">
        <v>121324</v>
      </c>
      <c r="AA655" s="84">
        <v>67261</v>
      </c>
      <c r="AB655" s="84">
        <v>54063</v>
      </c>
      <c r="AC655" s="84">
        <v>4672</v>
      </c>
      <c r="AD655" s="84">
        <v>27102</v>
      </c>
      <c r="AE655" s="84">
        <v>65404</v>
      </c>
      <c r="AF655" s="84">
        <v>24146</v>
      </c>
      <c r="AG655" s="84">
        <v>103251</v>
      </c>
      <c r="AH655" s="84">
        <v>17068</v>
      </c>
      <c r="AI655" s="84">
        <v>1005</v>
      </c>
      <c r="AJ655" s="84">
        <v>120345</v>
      </c>
      <c r="AK655" s="84">
        <v>571</v>
      </c>
      <c r="AL655" s="84">
        <v>408</v>
      </c>
      <c r="AM655" s="84">
        <v>7660</v>
      </c>
      <c r="AN655" s="84">
        <v>112378</v>
      </c>
      <c r="AO655" s="84">
        <v>1286</v>
      </c>
      <c r="AP655" s="85">
        <v>1.5813388326502</v>
      </c>
      <c r="AQ655" s="85">
        <v>0.67850728397525395</v>
      </c>
      <c r="AR655" s="85">
        <v>2.7184841453983002</v>
      </c>
      <c r="AS655" s="85">
        <v>2.28713768115942</v>
      </c>
      <c r="AT655" s="85">
        <v>2.4241951827889898</v>
      </c>
      <c r="AU655" s="85">
        <v>1.4766162855108</v>
      </c>
      <c r="AV655" s="85">
        <v>0.81342145399084897</v>
      </c>
      <c r="AW655" s="85">
        <v>1.4409481980626899</v>
      </c>
      <c r="AX655" s="85">
        <v>2.4637233714109299</v>
      </c>
      <c r="AY655" s="85">
        <v>1.2738853503184699</v>
      </c>
      <c r="AZ655" s="85">
        <v>1.58111290336493</v>
      </c>
      <c r="BA655" s="85">
        <v>1.3059701492537299</v>
      </c>
      <c r="BB655" s="85">
        <v>2.0202020202020199</v>
      </c>
      <c r="BC655" s="85">
        <v>1.15436241610738</v>
      </c>
      <c r="BD655" s="85">
        <v>1.6174948240165601</v>
      </c>
      <c r="BE655" s="85">
        <v>0.98280098280098305</v>
      </c>
    </row>
    <row r="656" spans="2:57" ht="15" customHeight="1" x14ac:dyDescent="0.25">
      <c r="B656" s="86">
        <v>646</v>
      </c>
      <c r="C656" s="87" t="s">
        <v>503</v>
      </c>
      <c r="D656" s="103" t="s">
        <v>57</v>
      </c>
      <c r="E656" s="103" t="s">
        <v>367</v>
      </c>
      <c r="F656" s="103"/>
      <c r="G656" s="88" t="s">
        <v>367</v>
      </c>
      <c r="H656" s="89">
        <v>129250</v>
      </c>
      <c r="I656" s="89">
        <v>70968</v>
      </c>
      <c r="J656" s="89">
        <v>58282</v>
      </c>
      <c r="K656" s="89">
        <v>4549</v>
      </c>
      <c r="L656" s="89">
        <v>38571</v>
      </c>
      <c r="M656" s="89">
        <v>73712</v>
      </c>
      <c r="N656" s="89">
        <v>12418</v>
      </c>
      <c r="O656" s="89">
        <v>128842</v>
      </c>
      <c r="P656" s="89">
        <v>408</v>
      </c>
      <c r="Q656" s="90">
        <v>2.0510906527328499</v>
      </c>
      <c r="R656" s="90">
        <v>1.31060811013918</v>
      </c>
      <c r="S656" s="90">
        <v>2.96283958842253</v>
      </c>
      <c r="T656" s="90">
        <v>4.1461006910167804</v>
      </c>
      <c r="U656" s="90">
        <v>2.7717833020375</v>
      </c>
      <c r="V656" s="90">
        <v>1.6810974111389001</v>
      </c>
      <c r="W656" s="90">
        <v>1.3126286890871699</v>
      </c>
      <c r="X656" s="90">
        <v>2.0416652800425998</v>
      </c>
      <c r="Y656" s="90">
        <v>5.0802139037433198</v>
      </c>
      <c r="Z656" s="89">
        <v>167983</v>
      </c>
      <c r="AA656" s="89">
        <v>88226</v>
      </c>
      <c r="AB656" s="89">
        <v>79757</v>
      </c>
      <c r="AC656" s="89">
        <v>5587</v>
      </c>
      <c r="AD656" s="89">
        <v>44443</v>
      </c>
      <c r="AE656" s="89">
        <v>98185</v>
      </c>
      <c r="AF656" s="89">
        <v>19768</v>
      </c>
      <c r="AG656" s="89">
        <v>73341</v>
      </c>
      <c r="AH656" s="89">
        <v>93530</v>
      </c>
      <c r="AI656" s="89">
        <v>1112</v>
      </c>
      <c r="AJ656" s="89">
        <v>166697</v>
      </c>
      <c r="AK656" s="89">
        <v>941</v>
      </c>
      <c r="AL656" s="89">
        <v>345</v>
      </c>
      <c r="AM656" s="89">
        <v>9910</v>
      </c>
      <c r="AN656" s="89">
        <v>157104</v>
      </c>
      <c r="AO656" s="89">
        <v>969</v>
      </c>
      <c r="AP656" s="90">
        <v>6.5740990665821304</v>
      </c>
      <c r="AQ656" s="90">
        <v>3.38198817019653</v>
      </c>
      <c r="AR656" s="90">
        <v>10.121800903897901</v>
      </c>
      <c r="AS656" s="90">
        <v>12.9469326307866</v>
      </c>
      <c r="AT656" s="90">
        <v>9.2514636860695791</v>
      </c>
      <c r="AU656" s="90">
        <v>5.5141214002966201</v>
      </c>
      <c r="AV656" s="90">
        <v>4.1877904520490103</v>
      </c>
      <c r="AW656" s="90">
        <v>5.4266211604095602</v>
      </c>
      <c r="AX656" s="90">
        <v>7.4912456228114097</v>
      </c>
      <c r="AY656" s="90">
        <v>6.5955383123181397</v>
      </c>
      <c r="AZ656" s="90">
        <v>6.5680458403430402</v>
      </c>
      <c r="BA656" s="90">
        <v>7.8947368421052602</v>
      </c>
      <c r="BB656" s="90">
        <v>5.9561128526645799</v>
      </c>
      <c r="BC656" s="90">
        <v>6.7561807331628296</v>
      </c>
      <c r="BD656" s="90">
        <v>6.5682017970621596</v>
      </c>
      <c r="BE656" s="90">
        <v>5.6541019955654104</v>
      </c>
    </row>
    <row r="657" spans="2:57" ht="15" customHeight="1" x14ac:dyDescent="0.25">
      <c r="B657" s="91">
        <v>647</v>
      </c>
      <c r="C657" s="92" t="s">
        <v>503</v>
      </c>
      <c r="D657" s="92" t="s">
        <v>57</v>
      </c>
      <c r="E657" s="92" t="s">
        <v>367</v>
      </c>
      <c r="F657" s="92"/>
      <c r="G657" s="93" t="s">
        <v>501</v>
      </c>
      <c r="H657" s="94">
        <v>109138</v>
      </c>
      <c r="I657" s="94">
        <v>59996</v>
      </c>
      <c r="J657" s="94">
        <v>49142</v>
      </c>
      <c r="K657" s="94">
        <v>3651</v>
      </c>
      <c r="L657" s="94">
        <v>33519</v>
      </c>
      <c r="M657" s="94">
        <v>63030</v>
      </c>
      <c r="N657" s="94">
        <v>8938</v>
      </c>
      <c r="O657" s="94">
        <v>108739</v>
      </c>
      <c r="P657" s="94">
        <v>399</v>
      </c>
      <c r="Q657" s="95">
        <v>2.3841438173897598</v>
      </c>
      <c r="R657" s="95">
        <v>1.51601524922507</v>
      </c>
      <c r="S657" s="95">
        <v>3.4592304977056099</v>
      </c>
      <c r="T657" s="95">
        <v>5.0260496475635899</v>
      </c>
      <c r="U657" s="95">
        <v>3.0966450321289001</v>
      </c>
      <c r="V657" s="95">
        <v>1.9445151438024899</v>
      </c>
      <c r="W657" s="95">
        <v>1.8083182640144699</v>
      </c>
      <c r="X657" s="95">
        <v>2.3739576842042802</v>
      </c>
      <c r="Y657" s="95">
        <v>5.2054794520547896</v>
      </c>
      <c r="Z657" s="94">
        <v>143902</v>
      </c>
      <c r="AA657" s="94">
        <v>75376</v>
      </c>
      <c r="AB657" s="94">
        <v>68526</v>
      </c>
      <c r="AC657" s="94">
        <v>4451</v>
      </c>
      <c r="AD657" s="94">
        <v>38842</v>
      </c>
      <c r="AE657" s="94">
        <v>85394</v>
      </c>
      <c r="AF657" s="94">
        <v>15215</v>
      </c>
      <c r="AG657" s="94">
        <v>53149</v>
      </c>
      <c r="AH657" s="94">
        <v>89927</v>
      </c>
      <c r="AI657" s="94">
        <v>826</v>
      </c>
      <c r="AJ657" s="94">
        <v>142753</v>
      </c>
      <c r="AK657" s="94">
        <v>889</v>
      </c>
      <c r="AL657" s="94">
        <v>260</v>
      </c>
      <c r="AM657" s="94">
        <v>8470</v>
      </c>
      <c r="AN657" s="94">
        <v>134709</v>
      </c>
      <c r="AO657" s="94">
        <v>723</v>
      </c>
      <c r="AP657" s="95">
        <v>7.3451060796460803</v>
      </c>
      <c r="AQ657" s="95">
        <v>3.81205797913311</v>
      </c>
      <c r="AR657" s="95">
        <v>11.2459797130134</v>
      </c>
      <c r="AS657" s="95">
        <v>15.4882951052258</v>
      </c>
      <c r="AT657" s="95">
        <v>10.1124531445231</v>
      </c>
      <c r="AU657" s="95">
        <v>6.0811309157959403</v>
      </c>
      <c r="AV657" s="95">
        <v>5.1853897673134002</v>
      </c>
      <c r="AW657" s="95">
        <v>6.8066846446075999</v>
      </c>
      <c r="AX657" s="95">
        <v>7.66108994533709</v>
      </c>
      <c r="AY657" s="95">
        <v>8.2010582010581992</v>
      </c>
      <c r="AZ657" s="95">
        <v>7.3405027477817804</v>
      </c>
      <c r="BA657" s="95">
        <v>8.3737864077669908</v>
      </c>
      <c r="BB657" s="95">
        <v>6.3829787234042596</v>
      </c>
      <c r="BC657" s="95">
        <v>7.5795539964921099</v>
      </c>
      <c r="BD657" s="95">
        <v>7.3321561702962503</v>
      </c>
      <c r="BE657" s="95">
        <v>7.0149253731343304</v>
      </c>
    </row>
    <row r="658" spans="2:57" ht="15" customHeight="1" x14ac:dyDescent="0.25">
      <c r="B658" s="91">
        <v>648</v>
      </c>
      <c r="C658" s="92" t="s">
        <v>503</v>
      </c>
      <c r="D658" s="92" t="s">
        <v>57</v>
      </c>
      <c r="E658" s="92" t="s">
        <v>367</v>
      </c>
      <c r="F658" s="92"/>
      <c r="G658" s="93" t="s">
        <v>502</v>
      </c>
      <c r="H658" s="94">
        <v>20112</v>
      </c>
      <c r="I658" s="94">
        <v>10972</v>
      </c>
      <c r="J658" s="94">
        <v>9140</v>
      </c>
      <c r="K658" s="94">
        <v>898</v>
      </c>
      <c r="L658" s="94">
        <v>5052</v>
      </c>
      <c r="M658" s="94">
        <v>10682</v>
      </c>
      <c r="N658" s="94">
        <v>3480</v>
      </c>
      <c r="O658" s="94">
        <v>20103</v>
      </c>
      <c r="P658" s="94">
        <v>9</v>
      </c>
      <c r="Q658" s="95">
        <v>0.282604144860791</v>
      </c>
      <c r="R658" s="95">
        <v>0.20192307692307701</v>
      </c>
      <c r="S658" s="95">
        <v>0.37896187413872301</v>
      </c>
      <c r="T658" s="95">
        <v>0.50697084917617197</v>
      </c>
      <c r="U658" s="95">
        <v>0.63667232597623102</v>
      </c>
      <c r="V658" s="95">
        <v>0.16591840718329101</v>
      </c>
      <c r="W658" s="95">
        <v>8.9259149062778903E-2</v>
      </c>
      <c r="X658" s="95">
        <v>0.28273731608984798</v>
      </c>
      <c r="Y658" s="95">
        <v>0</v>
      </c>
      <c r="Z658" s="94">
        <v>24081</v>
      </c>
      <c r="AA658" s="94">
        <v>12850</v>
      </c>
      <c r="AB658" s="94">
        <v>11231</v>
      </c>
      <c r="AC658" s="94">
        <v>1136</v>
      </c>
      <c r="AD658" s="94">
        <v>5601</v>
      </c>
      <c r="AE658" s="94">
        <v>12791</v>
      </c>
      <c r="AF658" s="94">
        <v>4553</v>
      </c>
      <c r="AG658" s="94">
        <v>20192</v>
      </c>
      <c r="AH658" s="94">
        <v>3603</v>
      </c>
      <c r="AI658" s="94">
        <v>286</v>
      </c>
      <c r="AJ658" s="94">
        <v>23944</v>
      </c>
      <c r="AK658" s="94">
        <v>52</v>
      </c>
      <c r="AL658" s="94">
        <v>85</v>
      </c>
      <c r="AM658" s="94">
        <v>1440</v>
      </c>
      <c r="AN658" s="94">
        <v>22395</v>
      </c>
      <c r="AO658" s="94">
        <v>246</v>
      </c>
      <c r="AP658" s="95">
        <v>2.0576840292724898</v>
      </c>
      <c r="AQ658" s="95">
        <v>0.91558910930848902</v>
      </c>
      <c r="AR658" s="95">
        <v>3.37693663605158</v>
      </c>
      <c r="AS658" s="95">
        <v>3.0414746543778799</v>
      </c>
      <c r="AT658" s="95">
        <v>3.4216958074826098</v>
      </c>
      <c r="AU658" s="95">
        <v>1.7861472561222</v>
      </c>
      <c r="AV658" s="95">
        <v>0.94318437008758105</v>
      </c>
      <c r="AW658" s="95">
        <v>1.8342983040426299</v>
      </c>
      <c r="AX658" s="95">
        <v>3.31588132635253</v>
      </c>
      <c r="AY658" s="95">
        <v>2.1818181818181799</v>
      </c>
      <c r="AZ658" s="95">
        <v>2.05230342916522</v>
      </c>
      <c r="BA658" s="95">
        <v>0</v>
      </c>
      <c r="BB658" s="95">
        <v>4.7619047619047601</v>
      </c>
      <c r="BC658" s="95">
        <v>2.0684736091298102</v>
      </c>
      <c r="BD658" s="95">
        <v>2.0605667716243699</v>
      </c>
      <c r="BE658" s="95">
        <v>1.72413793103448</v>
      </c>
    </row>
    <row r="659" spans="2:57" ht="15" customHeight="1" x14ac:dyDescent="0.25">
      <c r="B659" s="96">
        <v>649</v>
      </c>
      <c r="C659" s="97" t="s">
        <v>504</v>
      </c>
      <c r="D659" s="104" t="s">
        <v>57</v>
      </c>
      <c r="E659" s="104" t="s">
        <v>367</v>
      </c>
      <c r="F659" s="104" t="s">
        <v>57</v>
      </c>
      <c r="G659" s="105" t="s">
        <v>57</v>
      </c>
      <c r="H659" s="106">
        <v>107221</v>
      </c>
      <c r="I659" s="106">
        <v>58994</v>
      </c>
      <c r="J659" s="106">
        <v>48227</v>
      </c>
      <c r="K659" s="106">
        <v>3550</v>
      </c>
      <c r="L659" s="106">
        <v>32835</v>
      </c>
      <c r="M659" s="106">
        <v>62091</v>
      </c>
      <c r="N659" s="106">
        <v>8745</v>
      </c>
      <c r="O659" s="106">
        <v>106827</v>
      </c>
      <c r="P659" s="106">
        <v>394</v>
      </c>
      <c r="Q659" s="107">
        <v>2.3719184132337601</v>
      </c>
      <c r="R659" s="107">
        <v>1.5206162211146399</v>
      </c>
      <c r="S659" s="107">
        <v>3.4286485635222399</v>
      </c>
      <c r="T659" s="107">
        <v>4.9526813880126204</v>
      </c>
      <c r="U659" s="107">
        <v>3.09087910275441</v>
      </c>
      <c r="V659" s="107">
        <v>1.93865242116147</v>
      </c>
      <c r="W659" s="107">
        <v>1.77580466148724</v>
      </c>
      <c r="X659" s="107">
        <v>2.3613797549967801</v>
      </c>
      <c r="Y659" s="107">
        <v>5.2777777777777803</v>
      </c>
      <c r="Z659" s="106">
        <v>140452</v>
      </c>
      <c r="AA659" s="106">
        <v>73488</v>
      </c>
      <c r="AB659" s="106">
        <v>66964</v>
      </c>
      <c r="AC659" s="106">
        <v>4285</v>
      </c>
      <c r="AD659" s="106">
        <v>37814</v>
      </c>
      <c r="AE659" s="106">
        <v>83560</v>
      </c>
      <c r="AF659" s="106">
        <v>14793</v>
      </c>
      <c r="AG659" s="106">
        <v>50688</v>
      </c>
      <c r="AH659" s="106">
        <v>88957</v>
      </c>
      <c r="AI659" s="106">
        <v>807</v>
      </c>
      <c r="AJ659" s="106">
        <v>139315</v>
      </c>
      <c r="AK659" s="106">
        <v>883</v>
      </c>
      <c r="AL659" s="106">
        <v>254</v>
      </c>
      <c r="AM659" s="106">
        <v>8280</v>
      </c>
      <c r="AN659" s="106">
        <v>131466</v>
      </c>
      <c r="AO659" s="106">
        <v>706</v>
      </c>
      <c r="AP659" s="107">
        <v>7.3378544170887903</v>
      </c>
      <c r="AQ659" s="107">
        <v>3.83847953720052</v>
      </c>
      <c r="AR659" s="107">
        <v>11.1953288182796</v>
      </c>
      <c r="AS659" s="107">
        <v>15.475313190862201</v>
      </c>
      <c r="AT659" s="107">
        <v>10.1296850505914</v>
      </c>
      <c r="AU659" s="107">
        <v>6.0789510041573003</v>
      </c>
      <c r="AV659" s="107">
        <v>5.1476853166714003</v>
      </c>
      <c r="AW659" s="107">
        <v>6.7762018636101304</v>
      </c>
      <c r="AX659" s="107">
        <v>7.6555996746878403</v>
      </c>
      <c r="AY659" s="107">
        <v>8.2543978349120408</v>
      </c>
      <c r="AZ659" s="107">
        <v>7.3332271206500197</v>
      </c>
      <c r="BA659" s="107">
        <v>8.3028083028083</v>
      </c>
      <c r="BB659" s="107">
        <v>6.5502183406113499</v>
      </c>
      <c r="BC659" s="107">
        <v>7.5670129537001403</v>
      </c>
      <c r="BD659" s="107">
        <v>7.3242878271493801</v>
      </c>
      <c r="BE659" s="107">
        <v>7.1865443425076396</v>
      </c>
    </row>
    <row r="660" spans="2:57" ht="15" customHeight="1" x14ac:dyDescent="0.25">
      <c r="B660" s="91">
        <v>650</v>
      </c>
      <c r="C660" s="92" t="s">
        <v>504</v>
      </c>
      <c r="D660" s="92" t="s">
        <v>57</v>
      </c>
      <c r="E660" s="92" t="s">
        <v>367</v>
      </c>
      <c r="F660" s="92" t="s">
        <v>57</v>
      </c>
      <c r="G660" s="101" t="s">
        <v>501</v>
      </c>
      <c r="H660" s="94">
        <v>107221</v>
      </c>
      <c r="I660" s="94">
        <v>58994</v>
      </c>
      <c r="J660" s="94">
        <v>48227</v>
      </c>
      <c r="K660" s="94">
        <v>3550</v>
      </c>
      <c r="L660" s="94">
        <v>32835</v>
      </c>
      <c r="M660" s="94">
        <v>62091</v>
      </c>
      <c r="N660" s="94">
        <v>8745</v>
      </c>
      <c r="O660" s="94">
        <v>106827</v>
      </c>
      <c r="P660" s="94">
        <v>394</v>
      </c>
      <c r="Q660" s="95">
        <v>2.3719184132337601</v>
      </c>
      <c r="R660" s="95">
        <v>1.5206162211146399</v>
      </c>
      <c r="S660" s="95">
        <v>3.4286485635222399</v>
      </c>
      <c r="T660" s="95">
        <v>4.9526813880126204</v>
      </c>
      <c r="U660" s="95">
        <v>3.09087910275441</v>
      </c>
      <c r="V660" s="95">
        <v>1.93865242116147</v>
      </c>
      <c r="W660" s="95">
        <v>1.77580466148724</v>
      </c>
      <c r="X660" s="95">
        <v>2.3613797549967801</v>
      </c>
      <c r="Y660" s="95">
        <v>5.2777777777777803</v>
      </c>
      <c r="Z660" s="94">
        <v>140379</v>
      </c>
      <c r="AA660" s="94">
        <v>73445</v>
      </c>
      <c r="AB660" s="94">
        <v>66934</v>
      </c>
      <c r="AC660" s="94">
        <v>4284</v>
      </c>
      <c r="AD660" s="94">
        <v>37801</v>
      </c>
      <c r="AE660" s="94">
        <v>83523</v>
      </c>
      <c r="AF660" s="94">
        <v>14771</v>
      </c>
      <c r="AG660" s="94">
        <v>50625</v>
      </c>
      <c r="AH660" s="94">
        <v>88947</v>
      </c>
      <c r="AI660" s="94">
        <v>807</v>
      </c>
      <c r="AJ660" s="94">
        <v>139242</v>
      </c>
      <c r="AK660" s="94">
        <v>883</v>
      </c>
      <c r="AL660" s="94">
        <v>254</v>
      </c>
      <c r="AM660" s="94">
        <v>8275</v>
      </c>
      <c r="AN660" s="94">
        <v>131399</v>
      </c>
      <c r="AO660" s="94">
        <v>705</v>
      </c>
      <c r="AP660" s="95">
        <v>7.3395186312016198</v>
      </c>
      <c r="AQ660" s="95">
        <v>3.8364310131854902</v>
      </c>
      <c r="AR660" s="95">
        <v>11.2006459171073</v>
      </c>
      <c r="AS660" s="95">
        <v>15.479115479115499</v>
      </c>
      <c r="AT660" s="95">
        <v>10.133439781021901</v>
      </c>
      <c r="AU660" s="95">
        <v>6.0791113791716898</v>
      </c>
      <c r="AV660" s="95">
        <v>5.1486275067558003</v>
      </c>
      <c r="AW660" s="95">
        <v>6.7785414989576198</v>
      </c>
      <c r="AX660" s="95">
        <v>7.6565153943685598</v>
      </c>
      <c r="AY660" s="95">
        <v>8.2543978349120408</v>
      </c>
      <c r="AZ660" s="95">
        <v>7.3349020798542597</v>
      </c>
      <c r="BA660" s="95">
        <v>8.3028083028083</v>
      </c>
      <c r="BB660" s="95">
        <v>6.5502183406113499</v>
      </c>
      <c r="BC660" s="95">
        <v>7.5718685831622201</v>
      </c>
      <c r="BD660" s="95">
        <v>7.3257038996968102</v>
      </c>
      <c r="BE660" s="95">
        <v>7.1975497702909603</v>
      </c>
    </row>
    <row r="661" spans="2:57" ht="15" customHeight="1" x14ac:dyDescent="0.25">
      <c r="B661" s="91">
        <v>651</v>
      </c>
      <c r="C661" s="92" t="s">
        <v>504</v>
      </c>
      <c r="D661" s="92" t="s">
        <v>57</v>
      </c>
      <c r="E661" s="92" t="s">
        <v>367</v>
      </c>
      <c r="F661" s="92" t="s">
        <v>57</v>
      </c>
      <c r="G661" s="101" t="s">
        <v>502</v>
      </c>
      <c r="H661" s="94">
        <v>0</v>
      </c>
      <c r="I661" s="94">
        <v>0</v>
      </c>
      <c r="J661" s="94">
        <v>0</v>
      </c>
      <c r="K661" s="94">
        <v>0</v>
      </c>
      <c r="L661" s="94">
        <v>0</v>
      </c>
      <c r="M661" s="94">
        <v>0</v>
      </c>
      <c r="N661" s="94">
        <v>0</v>
      </c>
      <c r="O661" s="94">
        <v>0</v>
      </c>
      <c r="P661" s="94">
        <v>0</v>
      </c>
      <c r="Q661" s="95">
        <v>0</v>
      </c>
      <c r="R661" s="95">
        <v>0</v>
      </c>
      <c r="S661" s="95">
        <v>0</v>
      </c>
      <c r="T661" s="95">
        <v>0</v>
      </c>
      <c r="U661" s="95">
        <v>0</v>
      </c>
      <c r="V661" s="95">
        <v>0</v>
      </c>
      <c r="W661" s="95">
        <v>0</v>
      </c>
      <c r="X661" s="95">
        <v>0</v>
      </c>
      <c r="Y661" s="95">
        <v>0</v>
      </c>
      <c r="Z661" s="94">
        <v>73</v>
      </c>
      <c r="AA661" s="94">
        <v>43</v>
      </c>
      <c r="AB661" s="94">
        <v>30</v>
      </c>
      <c r="AC661" s="94">
        <v>1</v>
      </c>
      <c r="AD661" s="94">
        <v>13</v>
      </c>
      <c r="AE661" s="94">
        <v>37</v>
      </c>
      <c r="AF661" s="94">
        <v>22</v>
      </c>
      <c r="AG661" s="94">
        <v>63</v>
      </c>
      <c r="AH661" s="94">
        <v>10</v>
      </c>
      <c r="AI661" s="94">
        <v>0</v>
      </c>
      <c r="AJ661" s="94">
        <v>73</v>
      </c>
      <c r="AK661" s="94">
        <v>0</v>
      </c>
      <c r="AL661" s="94">
        <v>0</v>
      </c>
      <c r="AM661" s="94">
        <v>5</v>
      </c>
      <c r="AN661" s="94">
        <v>67</v>
      </c>
      <c r="AO661" s="94">
        <v>1</v>
      </c>
      <c r="AP661" s="95">
        <v>4.2253521126760596</v>
      </c>
      <c r="AQ661" s="95">
        <v>7.3170731707317103</v>
      </c>
      <c r="AR661" s="95">
        <v>0</v>
      </c>
      <c r="AS661" s="95">
        <v>0</v>
      </c>
      <c r="AT661" s="95">
        <v>0</v>
      </c>
      <c r="AU661" s="95">
        <v>5.71428571428571</v>
      </c>
      <c r="AV661" s="95">
        <v>4.5454545454545503</v>
      </c>
      <c r="AW661" s="95">
        <v>4.9180327868852496</v>
      </c>
      <c r="AX661" s="95">
        <v>0</v>
      </c>
      <c r="AY661" s="95">
        <v>0</v>
      </c>
      <c r="AZ661" s="95">
        <v>4.2253521126760596</v>
      </c>
      <c r="BA661" s="95">
        <v>0</v>
      </c>
      <c r="BB661" s="95">
        <v>0</v>
      </c>
      <c r="BC661" s="95">
        <v>0</v>
      </c>
      <c r="BD661" s="95">
        <v>4.6153846153846203</v>
      </c>
      <c r="BE661" s="95">
        <v>0</v>
      </c>
    </row>
    <row r="662" spans="2:57" ht="15" customHeight="1" x14ac:dyDescent="0.25">
      <c r="B662" s="96">
        <v>652</v>
      </c>
      <c r="C662" s="97" t="s">
        <v>504</v>
      </c>
      <c r="D662" s="104" t="s">
        <v>57</v>
      </c>
      <c r="E662" s="104" t="s">
        <v>367</v>
      </c>
      <c r="F662" s="104" t="s">
        <v>286</v>
      </c>
      <c r="G662" s="105" t="s">
        <v>286</v>
      </c>
      <c r="H662" s="106">
        <v>10525</v>
      </c>
      <c r="I662" s="106">
        <v>5862</v>
      </c>
      <c r="J662" s="106">
        <v>4663</v>
      </c>
      <c r="K662" s="106">
        <v>423</v>
      </c>
      <c r="L662" s="106">
        <v>2692</v>
      </c>
      <c r="M662" s="106">
        <v>5645</v>
      </c>
      <c r="N662" s="106">
        <v>1765</v>
      </c>
      <c r="O662" s="106">
        <v>10513</v>
      </c>
      <c r="P662" s="106">
        <v>12</v>
      </c>
      <c r="Q662" s="107">
        <v>0.93882495457298598</v>
      </c>
      <c r="R662" s="107">
        <v>0.43423195223448502</v>
      </c>
      <c r="S662" s="107">
        <v>1.5757022151176101</v>
      </c>
      <c r="T662" s="107">
        <v>3.0898876404494402</v>
      </c>
      <c r="U662" s="107">
        <v>1.7628205128205101</v>
      </c>
      <c r="V662" s="107">
        <v>0.57846613174099604</v>
      </c>
      <c r="W662" s="107">
        <v>0.41297935103244798</v>
      </c>
      <c r="X662" s="107">
        <v>0.93996361431170405</v>
      </c>
      <c r="Y662" s="107">
        <v>0</v>
      </c>
      <c r="Z662" s="106">
        <v>12452</v>
      </c>
      <c r="AA662" s="106">
        <v>6681</v>
      </c>
      <c r="AB662" s="106">
        <v>5771</v>
      </c>
      <c r="AC662" s="106">
        <v>588</v>
      </c>
      <c r="AD662" s="106">
        <v>3054</v>
      </c>
      <c r="AE662" s="106">
        <v>6477</v>
      </c>
      <c r="AF662" s="106">
        <v>2333</v>
      </c>
      <c r="AG662" s="106">
        <v>9873</v>
      </c>
      <c r="AH662" s="106">
        <v>2459</v>
      </c>
      <c r="AI662" s="106">
        <v>120</v>
      </c>
      <c r="AJ662" s="106">
        <v>12404</v>
      </c>
      <c r="AK662" s="106">
        <v>13</v>
      </c>
      <c r="AL662" s="106">
        <v>35</v>
      </c>
      <c r="AM662" s="106">
        <v>875</v>
      </c>
      <c r="AN662" s="106">
        <v>11458</v>
      </c>
      <c r="AO662" s="106">
        <v>119</v>
      </c>
      <c r="AP662" s="107">
        <v>3.96323467408719</v>
      </c>
      <c r="AQ662" s="107">
        <v>1.5120491415971</v>
      </c>
      <c r="AR662" s="107">
        <v>6.7876588021778597</v>
      </c>
      <c r="AS662" s="107">
        <v>6.69077757685353</v>
      </c>
      <c r="AT662" s="107">
        <v>6.3402606551602698</v>
      </c>
      <c r="AU662" s="107">
        <v>3.3553798999838702</v>
      </c>
      <c r="AV662" s="107">
        <v>1.98412698412698</v>
      </c>
      <c r="AW662" s="107">
        <v>3.5551310622943899</v>
      </c>
      <c r="AX662" s="107">
        <v>5.6847545219638196</v>
      </c>
      <c r="AY662" s="107">
        <v>2.6315789473684199</v>
      </c>
      <c r="AZ662" s="107">
        <v>3.9448065690341099</v>
      </c>
      <c r="BA662" s="107">
        <v>9.0909090909090899</v>
      </c>
      <c r="BB662" s="107">
        <v>8.5714285714285694</v>
      </c>
      <c r="BC662" s="107">
        <v>3.6172695449241501</v>
      </c>
      <c r="BD662" s="107">
        <v>4.0312213039485796</v>
      </c>
      <c r="BE662" s="107">
        <v>0</v>
      </c>
    </row>
    <row r="663" spans="2:57" ht="15" customHeight="1" x14ac:dyDescent="0.25">
      <c r="B663" s="91">
        <v>653</v>
      </c>
      <c r="C663" s="92" t="s">
        <v>504</v>
      </c>
      <c r="D663" s="92" t="s">
        <v>57</v>
      </c>
      <c r="E663" s="92" t="s">
        <v>367</v>
      </c>
      <c r="F663" s="92" t="s">
        <v>286</v>
      </c>
      <c r="G663" s="101" t="s">
        <v>501</v>
      </c>
      <c r="H663" s="94">
        <v>1917</v>
      </c>
      <c r="I663" s="94">
        <v>1002</v>
      </c>
      <c r="J663" s="94">
        <v>915</v>
      </c>
      <c r="K663" s="94">
        <v>101</v>
      </c>
      <c r="L663" s="94">
        <v>684</v>
      </c>
      <c r="M663" s="94">
        <v>939</v>
      </c>
      <c r="N663" s="94">
        <v>193</v>
      </c>
      <c r="O663" s="94">
        <v>1912</v>
      </c>
      <c r="P663" s="94">
        <v>5</v>
      </c>
      <c r="Q663" s="95">
        <v>3.0467899891186101</v>
      </c>
      <c r="R663" s="95">
        <v>1.2513034410844599</v>
      </c>
      <c r="S663" s="95">
        <v>5.0056882821387898</v>
      </c>
      <c r="T663" s="95">
        <v>7.5268817204301097</v>
      </c>
      <c r="U663" s="95">
        <v>3.3639143730886798</v>
      </c>
      <c r="V663" s="95">
        <v>2.3204419889502801</v>
      </c>
      <c r="W663" s="95">
        <v>3.2258064516128999</v>
      </c>
      <c r="X663" s="95">
        <v>3.0551009274413499</v>
      </c>
      <c r="Y663" s="95">
        <v>0</v>
      </c>
      <c r="Z663" s="94">
        <v>3523</v>
      </c>
      <c r="AA663" s="94">
        <v>1931</v>
      </c>
      <c r="AB663" s="94">
        <v>1592</v>
      </c>
      <c r="AC663" s="94">
        <v>167</v>
      </c>
      <c r="AD663" s="94">
        <v>1041</v>
      </c>
      <c r="AE663" s="94">
        <v>1871</v>
      </c>
      <c r="AF663" s="94">
        <v>444</v>
      </c>
      <c r="AG663" s="94">
        <v>2524</v>
      </c>
      <c r="AH663" s="94">
        <v>980</v>
      </c>
      <c r="AI663" s="94">
        <v>19</v>
      </c>
      <c r="AJ663" s="94">
        <v>3511</v>
      </c>
      <c r="AK663" s="94">
        <v>6</v>
      </c>
      <c r="AL663" s="94">
        <v>6</v>
      </c>
      <c r="AM663" s="94">
        <v>195</v>
      </c>
      <c r="AN663" s="94">
        <v>3310</v>
      </c>
      <c r="AO663" s="94">
        <v>18</v>
      </c>
      <c r="AP663" s="95">
        <v>7.5706901793858297</v>
      </c>
      <c r="AQ663" s="95">
        <v>2.8603477285473899</v>
      </c>
      <c r="AR663" s="95">
        <v>13.147410358565701</v>
      </c>
      <c r="AS663" s="95">
        <v>15.7232704402516</v>
      </c>
      <c r="AT663" s="95">
        <v>9.3319194061505808</v>
      </c>
      <c r="AU663" s="95">
        <v>6.1721404303510798</v>
      </c>
      <c r="AV663" s="95">
        <v>6.4133016627078403</v>
      </c>
      <c r="AW663" s="95">
        <v>7.38539898132428</v>
      </c>
      <c r="AX663" s="95">
        <v>8.0786026200873398</v>
      </c>
      <c r="AY663" s="95">
        <v>5.8823529411764701</v>
      </c>
      <c r="AZ663" s="95">
        <v>7.5655887736424603</v>
      </c>
      <c r="BA663" s="95">
        <v>20</v>
      </c>
      <c r="BB663" s="95">
        <v>0</v>
      </c>
      <c r="BC663" s="95">
        <v>7.8947368421052602</v>
      </c>
      <c r="BD663" s="95">
        <v>7.5924724205061596</v>
      </c>
      <c r="BE663" s="95">
        <v>0</v>
      </c>
    </row>
    <row r="664" spans="2:57" ht="15" customHeight="1" x14ac:dyDescent="0.25">
      <c r="B664" s="91">
        <v>654</v>
      </c>
      <c r="C664" s="92" t="s">
        <v>504</v>
      </c>
      <c r="D664" s="92" t="s">
        <v>57</v>
      </c>
      <c r="E664" s="92" t="s">
        <v>367</v>
      </c>
      <c r="F664" s="92" t="s">
        <v>286</v>
      </c>
      <c r="G664" s="101" t="s">
        <v>502</v>
      </c>
      <c r="H664" s="94">
        <v>8608</v>
      </c>
      <c r="I664" s="94">
        <v>4860</v>
      </c>
      <c r="J664" s="94">
        <v>3748</v>
      </c>
      <c r="K664" s="94">
        <v>322</v>
      </c>
      <c r="L664" s="94">
        <v>2008</v>
      </c>
      <c r="M664" s="94">
        <v>4706</v>
      </c>
      <c r="N664" s="94">
        <v>1572</v>
      </c>
      <c r="O664" s="94">
        <v>8601</v>
      </c>
      <c r="P664" s="94">
        <v>7</v>
      </c>
      <c r="Q664" s="95">
        <v>0.45860188398611801</v>
      </c>
      <c r="R664" s="95">
        <v>0.26269702276707502</v>
      </c>
      <c r="S664" s="95">
        <v>0.71428571428571397</v>
      </c>
      <c r="T664" s="95">
        <v>1.5209125475285199</v>
      </c>
      <c r="U664" s="95">
        <v>1.1943539630836</v>
      </c>
      <c r="V664" s="95">
        <v>0.22451728783116301</v>
      </c>
      <c r="W664" s="95">
        <v>6.62690523525514E-2</v>
      </c>
      <c r="X664" s="95">
        <v>0.45900012405408802</v>
      </c>
      <c r="Y664" s="95">
        <v>0</v>
      </c>
      <c r="Z664" s="94">
        <v>8929</v>
      </c>
      <c r="AA664" s="94">
        <v>4750</v>
      </c>
      <c r="AB664" s="94">
        <v>4179</v>
      </c>
      <c r="AC664" s="94">
        <v>421</v>
      </c>
      <c r="AD664" s="94">
        <v>2013</v>
      </c>
      <c r="AE664" s="94">
        <v>4606</v>
      </c>
      <c r="AF664" s="94">
        <v>1889</v>
      </c>
      <c r="AG664" s="94">
        <v>7349</v>
      </c>
      <c r="AH664" s="94">
        <v>1479</v>
      </c>
      <c r="AI664" s="94">
        <v>101</v>
      </c>
      <c r="AJ664" s="94">
        <v>8893</v>
      </c>
      <c r="AK664" s="94">
        <v>7</v>
      </c>
      <c r="AL664" s="94">
        <v>29</v>
      </c>
      <c r="AM664" s="94">
        <v>680</v>
      </c>
      <c r="AN664" s="94">
        <v>8148</v>
      </c>
      <c r="AO664" s="94">
        <v>101</v>
      </c>
      <c r="AP664" s="95">
        <v>2.5787631271878602</v>
      </c>
      <c r="AQ664" s="95">
        <v>0.98554533508541398</v>
      </c>
      <c r="AR664" s="95">
        <v>4.3956043956044004</v>
      </c>
      <c r="AS664" s="95">
        <v>3.0456852791878202</v>
      </c>
      <c r="AT664" s="95">
        <v>4.8523206751054904</v>
      </c>
      <c r="AU664" s="95">
        <v>2.2332506203473899</v>
      </c>
      <c r="AV664" s="95">
        <v>0.97455332972387698</v>
      </c>
      <c r="AW664" s="95">
        <v>2.27819442479128</v>
      </c>
      <c r="AX664" s="95">
        <v>4.1251778093883402</v>
      </c>
      <c r="AY664" s="95">
        <v>2.0618556701030899</v>
      </c>
      <c r="AZ664" s="95">
        <v>2.55418863503222</v>
      </c>
      <c r="BA664" s="95">
        <v>0</v>
      </c>
      <c r="BB664" s="95">
        <v>10.3448275862069</v>
      </c>
      <c r="BC664" s="95">
        <v>2.39880059970015</v>
      </c>
      <c r="BD664" s="95">
        <v>2.62551229508197</v>
      </c>
      <c r="BE664" s="95">
        <v>0</v>
      </c>
    </row>
    <row r="665" spans="2:57" ht="15" customHeight="1" x14ac:dyDescent="0.25">
      <c r="B665" s="96">
        <v>655</v>
      </c>
      <c r="C665" s="97" t="s">
        <v>504</v>
      </c>
      <c r="D665" s="104" t="s">
        <v>57</v>
      </c>
      <c r="E665" s="104" t="s">
        <v>367</v>
      </c>
      <c r="F665" s="104" t="s">
        <v>32</v>
      </c>
      <c r="G665" s="105" t="s">
        <v>32</v>
      </c>
      <c r="H665" s="106">
        <v>4933</v>
      </c>
      <c r="I665" s="106">
        <v>2447</v>
      </c>
      <c r="J665" s="106">
        <v>2486</v>
      </c>
      <c r="K665" s="106">
        <v>200</v>
      </c>
      <c r="L665" s="106">
        <v>1279</v>
      </c>
      <c r="M665" s="106">
        <v>2587</v>
      </c>
      <c r="N665" s="106">
        <v>867</v>
      </c>
      <c r="O665" s="106">
        <v>4932</v>
      </c>
      <c r="P665" s="106">
        <v>1</v>
      </c>
      <c r="Q665" s="107">
        <v>4.1744938426215801E-2</v>
      </c>
      <c r="R665" s="107">
        <v>4.2034468263976499E-2</v>
      </c>
      <c r="S665" s="107">
        <v>4.1459369817578799E-2</v>
      </c>
      <c r="T665" s="107">
        <v>0</v>
      </c>
      <c r="U665" s="107">
        <v>0.16339869281045799</v>
      </c>
      <c r="V665" s="107">
        <v>0</v>
      </c>
      <c r="W665" s="107">
        <v>0</v>
      </c>
      <c r="X665" s="107">
        <v>4.1753653444676402E-2</v>
      </c>
      <c r="Y665" s="107">
        <v>0</v>
      </c>
      <c r="Z665" s="106">
        <v>5777</v>
      </c>
      <c r="AA665" s="106">
        <v>3007</v>
      </c>
      <c r="AB665" s="106">
        <v>2770</v>
      </c>
      <c r="AC665" s="106">
        <v>235</v>
      </c>
      <c r="AD665" s="106">
        <v>1326</v>
      </c>
      <c r="AE665" s="106">
        <v>3165</v>
      </c>
      <c r="AF665" s="106">
        <v>1051</v>
      </c>
      <c r="AG665" s="106">
        <v>4803</v>
      </c>
      <c r="AH665" s="106">
        <v>909</v>
      </c>
      <c r="AI665" s="106">
        <v>65</v>
      </c>
      <c r="AJ665" s="106">
        <v>5716</v>
      </c>
      <c r="AK665" s="106">
        <v>39</v>
      </c>
      <c r="AL665" s="106">
        <v>22</v>
      </c>
      <c r="AM665" s="106">
        <v>323</v>
      </c>
      <c r="AN665" s="106">
        <v>5380</v>
      </c>
      <c r="AO665" s="106">
        <v>74</v>
      </c>
      <c r="AP665" s="107">
        <v>1.3940356449620599</v>
      </c>
      <c r="AQ665" s="107">
        <v>1.14864864864865</v>
      </c>
      <c r="AR665" s="107">
        <v>1.6623568526043599</v>
      </c>
      <c r="AS665" s="107">
        <v>1.74672489082969</v>
      </c>
      <c r="AT665" s="107">
        <v>2.02177293934681</v>
      </c>
      <c r="AU665" s="107">
        <v>1.28493414712496</v>
      </c>
      <c r="AV665" s="107">
        <v>0.86621751684311799</v>
      </c>
      <c r="AW665" s="107">
        <v>1.46155475534844</v>
      </c>
      <c r="AX665" s="107">
        <v>1.0180995475113099</v>
      </c>
      <c r="AY665" s="107">
        <v>1.61290322580645</v>
      </c>
      <c r="AZ665" s="107">
        <v>1.4087018544935801</v>
      </c>
      <c r="BA665" s="107">
        <v>0</v>
      </c>
      <c r="BB665" s="107">
        <v>0</v>
      </c>
      <c r="BC665" s="107">
        <v>0.62893081761006298</v>
      </c>
      <c r="BD665" s="107">
        <v>1.4207236218980901</v>
      </c>
      <c r="BE665" s="107">
        <v>2.8571428571428599</v>
      </c>
    </row>
    <row r="666" spans="2:57" ht="15" customHeight="1" x14ac:dyDescent="0.25">
      <c r="B666" s="91">
        <v>656</v>
      </c>
      <c r="C666" s="92" t="s">
        <v>504</v>
      </c>
      <c r="D666" s="92" t="s">
        <v>57</v>
      </c>
      <c r="E666" s="92" t="s">
        <v>367</v>
      </c>
      <c r="F666" s="92" t="s">
        <v>32</v>
      </c>
      <c r="G666" s="101" t="s">
        <v>501</v>
      </c>
      <c r="H666" s="94">
        <v>0</v>
      </c>
      <c r="I666" s="94">
        <v>0</v>
      </c>
      <c r="J666" s="94">
        <v>0</v>
      </c>
      <c r="K666" s="94">
        <v>0</v>
      </c>
      <c r="L666" s="94">
        <v>0</v>
      </c>
      <c r="M666" s="94">
        <v>0</v>
      </c>
      <c r="N666" s="94">
        <v>0</v>
      </c>
      <c r="O666" s="94">
        <v>0</v>
      </c>
      <c r="P666" s="94">
        <v>0</v>
      </c>
      <c r="Q666" s="95">
        <v>0</v>
      </c>
      <c r="R666" s="95">
        <v>0</v>
      </c>
      <c r="S666" s="95">
        <v>0</v>
      </c>
      <c r="T666" s="95">
        <v>0</v>
      </c>
      <c r="U666" s="95">
        <v>0</v>
      </c>
      <c r="V666" s="95">
        <v>0</v>
      </c>
      <c r="W666" s="95">
        <v>0</v>
      </c>
      <c r="X666" s="95">
        <v>0</v>
      </c>
      <c r="Y666" s="95">
        <v>0</v>
      </c>
      <c r="Z666" s="94">
        <v>0</v>
      </c>
      <c r="AA666" s="94">
        <v>0</v>
      </c>
      <c r="AB666" s="94">
        <v>0</v>
      </c>
      <c r="AC666" s="94">
        <v>0</v>
      </c>
      <c r="AD666" s="94">
        <v>0</v>
      </c>
      <c r="AE666" s="94">
        <v>0</v>
      </c>
      <c r="AF666" s="94">
        <v>0</v>
      </c>
      <c r="AG666" s="94">
        <v>0</v>
      </c>
      <c r="AH666" s="94">
        <v>0</v>
      </c>
      <c r="AI666" s="94">
        <v>0</v>
      </c>
      <c r="AJ666" s="94">
        <v>0</v>
      </c>
      <c r="AK666" s="94">
        <v>0</v>
      </c>
      <c r="AL666" s="94">
        <v>0</v>
      </c>
      <c r="AM666" s="94">
        <v>0</v>
      </c>
      <c r="AN666" s="94">
        <v>0</v>
      </c>
      <c r="AO666" s="94">
        <v>0</v>
      </c>
      <c r="AP666" s="95">
        <v>0</v>
      </c>
      <c r="AQ666" s="95">
        <v>0</v>
      </c>
      <c r="AR666" s="95">
        <v>0</v>
      </c>
      <c r="AS666" s="95">
        <v>0</v>
      </c>
      <c r="AT666" s="95">
        <v>0</v>
      </c>
      <c r="AU666" s="95">
        <v>0</v>
      </c>
      <c r="AV666" s="95">
        <v>0</v>
      </c>
      <c r="AW666" s="95">
        <v>0</v>
      </c>
      <c r="AX666" s="95">
        <v>0</v>
      </c>
      <c r="AY666" s="95">
        <v>0</v>
      </c>
      <c r="AZ666" s="95">
        <v>0</v>
      </c>
      <c r="BA666" s="95">
        <v>0</v>
      </c>
      <c r="BB666" s="95">
        <v>0</v>
      </c>
      <c r="BC666" s="95">
        <v>0</v>
      </c>
      <c r="BD666" s="95">
        <v>0</v>
      </c>
      <c r="BE666" s="95">
        <v>0</v>
      </c>
    </row>
    <row r="667" spans="2:57" ht="15" customHeight="1" x14ac:dyDescent="0.25">
      <c r="B667" s="91">
        <v>657</v>
      </c>
      <c r="C667" s="92" t="s">
        <v>504</v>
      </c>
      <c r="D667" s="92" t="s">
        <v>57</v>
      </c>
      <c r="E667" s="92" t="s">
        <v>367</v>
      </c>
      <c r="F667" s="92" t="s">
        <v>32</v>
      </c>
      <c r="G667" s="101" t="s">
        <v>502</v>
      </c>
      <c r="H667" s="94">
        <v>4933</v>
      </c>
      <c r="I667" s="94">
        <v>2447</v>
      </c>
      <c r="J667" s="94">
        <v>2486</v>
      </c>
      <c r="K667" s="94">
        <v>200</v>
      </c>
      <c r="L667" s="94">
        <v>1279</v>
      </c>
      <c r="M667" s="94">
        <v>2587</v>
      </c>
      <c r="N667" s="94">
        <v>867</v>
      </c>
      <c r="O667" s="94">
        <v>4932</v>
      </c>
      <c r="P667" s="94">
        <v>1</v>
      </c>
      <c r="Q667" s="95">
        <v>4.1744938426215801E-2</v>
      </c>
      <c r="R667" s="95">
        <v>4.2034468263976499E-2</v>
      </c>
      <c r="S667" s="95">
        <v>4.1459369817578799E-2</v>
      </c>
      <c r="T667" s="95">
        <v>0</v>
      </c>
      <c r="U667" s="95">
        <v>0.16339869281045799</v>
      </c>
      <c r="V667" s="95">
        <v>0</v>
      </c>
      <c r="W667" s="95">
        <v>0</v>
      </c>
      <c r="X667" s="95">
        <v>4.1753653444676402E-2</v>
      </c>
      <c r="Y667" s="95">
        <v>0</v>
      </c>
      <c r="Z667" s="94">
        <v>5777</v>
      </c>
      <c r="AA667" s="94">
        <v>3007</v>
      </c>
      <c r="AB667" s="94">
        <v>2770</v>
      </c>
      <c r="AC667" s="94">
        <v>235</v>
      </c>
      <c r="AD667" s="94">
        <v>1326</v>
      </c>
      <c r="AE667" s="94">
        <v>3165</v>
      </c>
      <c r="AF667" s="94">
        <v>1051</v>
      </c>
      <c r="AG667" s="94">
        <v>4803</v>
      </c>
      <c r="AH667" s="94">
        <v>909</v>
      </c>
      <c r="AI667" s="94">
        <v>65</v>
      </c>
      <c r="AJ667" s="94">
        <v>5716</v>
      </c>
      <c r="AK667" s="94">
        <v>39</v>
      </c>
      <c r="AL667" s="94">
        <v>22</v>
      </c>
      <c r="AM667" s="94">
        <v>323</v>
      </c>
      <c r="AN667" s="94">
        <v>5380</v>
      </c>
      <c r="AO667" s="94">
        <v>74</v>
      </c>
      <c r="AP667" s="95">
        <v>1.3940356449620599</v>
      </c>
      <c r="AQ667" s="95">
        <v>1.14864864864865</v>
      </c>
      <c r="AR667" s="95">
        <v>1.6623568526043599</v>
      </c>
      <c r="AS667" s="95">
        <v>1.74672489082969</v>
      </c>
      <c r="AT667" s="95">
        <v>2.02177293934681</v>
      </c>
      <c r="AU667" s="95">
        <v>1.28493414712496</v>
      </c>
      <c r="AV667" s="95">
        <v>0.86621751684311799</v>
      </c>
      <c r="AW667" s="95">
        <v>1.46155475534844</v>
      </c>
      <c r="AX667" s="95">
        <v>1.0180995475113099</v>
      </c>
      <c r="AY667" s="95">
        <v>1.61290322580645</v>
      </c>
      <c r="AZ667" s="95">
        <v>1.4087018544935801</v>
      </c>
      <c r="BA667" s="95">
        <v>0</v>
      </c>
      <c r="BB667" s="95">
        <v>0</v>
      </c>
      <c r="BC667" s="95">
        <v>0.62893081761006298</v>
      </c>
      <c r="BD667" s="95">
        <v>1.4207236218980901</v>
      </c>
      <c r="BE667" s="95">
        <v>2.8571428571428599</v>
      </c>
    </row>
    <row r="668" spans="2:57" ht="15" customHeight="1" x14ac:dyDescent="0.25">
      <c r="B668" s="96">
        <v>658</v>
      </c>
      <c r="C668" s="97" t="s">
        <v>504</v>
      </c>
      <c r="D668" s="104" t="s">
        <v>57</v>
      </c>
      <c r="E668" s="104" t="s">
        <v>367</v>
      </c>
      <c r="F668" s="104" t="s">
        <v>470</v>
      </c>
      <c r="G668" s="105" t="s">
        <v>470</v>
      </c>
      <c r="H668" s="106">
        <v>6571</v>
      </c>
      <c r="I668" s="106">
        <v>3665</v>
      </c>
      <c r="J668" s="106">
        <v>2906</v>
      </c>
      <c r="K668" s="106">
        <v>376</v>
      </c>
      <c r="L668" s="106">
        <v>1765</v>
      </c>
      <c r="M668" s="106">
        <v>3389</v>
      </c>
      <c r="N668" s="106">
        <v>1041</v>
      </c>
      <c r="O668" s="106">
        <v>6570</v>
      </c>
      <c r="P668" s="106">
        <v>1</v>
      </c>
      <c r="Q668" s="107">
        <v>0.24003840614498301</v>
      </c>
      <c r="R668" s="107">
        <v>0.23168259484506201</v>
      </c>
      <c r="S668" s="107">
        <v>0.25035765379113001</v>
      </c>
      <c r="T668" s="107">
        <v>0</v>
      </c>
      <c r="U668" s="107">
        <v>0.36452004860267301</v>
      </c>
      <c r="V668" s="107">
        <v>0.21478981282602</v>
      </c>
      <c r="W668" s="107">
        <v>0.19940179461615201</v>
      </c>
      <c r="X668" s="107">
        <v>0.240076824583867</v>
      </c>
      <c r="Y668" s="107">
        <v>0</v>
      </c>
      <c r="Z668" s="106">
        <v>9302</v>
      </c>
      <c r="AA668" s="106">
        <v>5050</v>
      </c>
      <c r="AB668" s="106">
        <v>4252</v>
      </c>
      <c r="AC668" s="106">
        <v>479</v>
      </c>
      <c r="AD668" s="106">
        <v>2249</v>
      </c>
      <c r="AE668" s="106">
        <v>4983</v>
      </c>
      <c r="AF668" s="106">
        <v>1591</v>
      </c>
      <c r="AG668" s="106">
        <v>7977</v>
      </c>
      <c r="AH668" s="106">
        <v>1205</v>
      </c>
      <c r="AI668" s="106">
        <v>120</v>
      </c>
      <c r="AJ668" s="106">
        <v>9262</v>
      </c>
      <c r="AK668" s="106">
        <v>6</v>
      </c>
      <c r="AL668" s="106">
        <v>34</v>
      </c>
      <c r="AM668" s="106">
        <v>432</v>
      </c>
      <c r="AN668" s="106">
        <v>8800</v>
      </c>
      <c r="AO668" s="106">
        <v>70</v>
      </c>
      <c r="AP668" s="107">
        <v>1.96144362250616</v>
      </c>
      <c r="AQ668" s="107">
        <v>0.65520065520065496</v>
      </c>
      <c r="AR668" s="107">
        <v>3.5413571074789498</v>
      </c>
      <c r="AS668" s="107">
        <v>3.68763557483731</v>
      </c>
      <c r="AT668" s="107">
        <v>3.0131826741996202</v>
      </c>
      <c r="AU668" s="107">
        <v>1.6694490818029999</v>
      </c>
      <c r="AV668" s="107">
        <v>0.90614886731391597</v>
      </c>
      <c r="AW668" s="107">
        <v>1.6301512780386</v>
      </c>
      <c r="AX668" s="107">
        <v>4.1300527240773297</v>
      </c>
      <c r="AY668" s="107">
        <v>2.5862068965517202</v>
      </c>
      <c r="AZ668" s="107">
        <v>1.9590182391353299</v>
      </c>
      <c r="BA668" s="107">
        <v>0</v>
      </c>
      <c r="BB668" s="107">
        <v>2.9411764705882399</v>
      </c>
      <c r="BC668" s="107">
        <v>2.6699029126213598</v>
      </c>
      <c r="BD668" s="107">
        <v>1.91852202747513</v>
      </c>
      <c r="BE668" s="107">
        <v>3.0303030303030298</v>
      </c>
    </row>
    <row r="669" spans="2:57" ht="15" customHeight="1" x14ac:dyDescent="0.25">
      <c r="B669" s="91">
        <v>659</v>
      </c>
      <c r="C669" s="92" t="s">
        <v>504</v>
      </c>
      <c r="D669" s="92" t="s">
        <v>57</v>
      </c>
      <c r="E669" s="92" t="s">
        <v>367</v>
      </c>
      <c r="F669" s="92" t="s">
        <v>470</v>
      </c>
      <c r="G669" s="101" t="s">
        <v>501</v>
      </c>
      <c r="H669" s="94">
        <v>0</v>
      </c>
      <c r="I669" s="94">
        <v>0</v>
      </c>
      <c r="J669" s="94">
        <v>0</v>
      </c>
      <c r="K669" s="94">
        <v>0</v>
      </c>
      <c r="L669" s="94">
        <v>0</v>
      </c>
      <c r="M669" s="94">
        <v>0</v>
      </c>
      <c r="N669" s="94">
        <v>0</v>
      </c>
      <c r="O669" s="94">
        <v>0</v>
      </c>
      <c r="P669" s="94">
        <v>0</v>
      </c>
      <c r="Q669" s="95">
        <v>0</v>
      </c>
      <c r="R669" s="95">
        <v>0</v>
      </c>
      <c r="S669" s="95">
        <v>0</v>
      </c>
      <c r="T669" s="95">
        <v>0</v>
      </c>
      <c r="U669" s="95">
        <v>0</v>
      </c>
      <c r="V669" s="95">
        <v>0</v>
      </c>
      <c r="W669" s="95">
        <v>0</v>
      </c>
      <c r="X669" s="95">
        <v>0</v>
      </c>
      <c r="Y669" s="95">
        <v>0</v>
      </c>
      <c r="Z669" s="94">
        <v>0</v>
      </c>
      <c r="AA669" s="94">
        <v>0</v>
      </c>
      <c r="AB669" s="94">
        <v>0</v>
      </c>
      <c r="AC669" s="94">
        <v>0</v>
      </c>
      <c r="AD669" s="94">
        <v>0</v>
      </c>
      <c r="AE669" s="94">
        <v>0</v>
      </c>
      <c r="AF669" s="94">
        <v>0</v>
      </c>
      <c r="AG669" s="94">
        <v>0</v>
      </c>
      <c r="AH669" s="94">
        <v>0</v>
      </c>
      <c r="AI669" s="94">
        <v>0</v>
      </c>
      <c r="AJ669" s="94">
        <v>0</v>
      </c>
      <c r="AK669" s="94">
        <v>0</v>
      </c>
      <c r="AL669" s="94">
        <v>0</v>
      </c>
      <c r="AM669" s="94">
        <v>0</v>
      </c>
      <c r="AN669" s="94">
        <v>0</v>
      </c>
      <c r="AO669" s="94">
        <v>0</v>
      </c>
      <c r="AP669" s="95">
        <v>0</v>
      </c>
      <c r="AQ669" s="95">
        <v>0</v>
      </c>
      <c r="AR669" s="95">
        <v>0</v>
      </c>
      <c r="AS669" s="95">
        <v>0</v>
      </c>
      <c r="AT669" s="95">
        <v>0</v>
      </c>
      <c r="AU669" s="95">
        <v>0</v>
      </c>
      <c r="AV669" s="95">
        <v>0</v>
      </c>
      <c r="AW669" s="95">
        <v>0</v>
      </c>
      <c r="AX669" s="95">
        <v>0</v>
      </c>
      <c r="AY669" s="95">
        <v>0</v>
      </c>
      <c r="AZ669" s="95">
        <v>0</v>
      </c>
      <c r="BA669" s="95">
        <v>0</v>
      </c>
      <c r="BB669" s="95">
        <v>0</v>
      </c>
      <c r="BC669" s="95">
        <v>0</v>
      </c>
      <c r="BD669" s="95">
        <v>0</v>
      </c>
      <c r="BE669" s="95">
        <v>0</v>
      </c>
    </row>
    <row r="670" spans="2:57" ht="15" customHeight="1" x14ac:dyDescent="0.25">
      <c r="B670" s="91">
        <v>660</v>
      </c>
      <c r="C670" s="92" t="s">
        <v>504</v>
      </c>
      <c r="D670" s="92" t="s">
        <v>57</v>
      </c>
      <c r="E670" s="92" t="s">
        <v>367</v>
      </c>
      <c r="F670" s="92" t="s">
        <v>470</v>
      </c>
      <c r="G670" s="101" t="s">
        <v>502</v>
      </c>
      <c r="H670" s="94">
        <v>6571</v>
      </c>
      <c r="I670" s="94">
        <v>3665</v>
      </c>
      <c r="J670" s="94">
        <v>2906</v>
      </c>
      <c r="K670" s="94">
        <v>376</v>
      </c>
      <c r="L670" s="94">
        <v>1765</v>
      </c>
      <c r="M670" s="94">
        <v>3389</v>
      </c>
      <c r="N670" s="94">
        <v>1041</v>
      </c>
      <c r="O670" s="94">
        <v>6570</v>
      </c>
      <c r="P670" s="94">
        <v>1</v>
      </c>
      <c r="Q670" s="95">
        <v>0.24003840614498301</v>
      </c>
      <c r="R670" s="95">
        <v>0.23168259484506201</v>
      </c>
      <c r="S670" s="95">
        <v>0.25035765379113001</v>
      </c>
      <c r="T670" s="95">
        <v>0</v>
      </c>
      <c r="U670" s="95">
        <v>0.36452004860267301</v>
      </c>
      <c r="V670" s="95">
        <v>0.21478981282602</v>
      </c>
      <c r="W670" s="95">
        <v>0.19940179461615201</v>
      </c>
      <c r="X670" s="95">
        <v>0.240076824583867</v>
      </c>
      <c r="Y670" s="95">
        <v>0</v>
      </c>
      <c r="Z670" s="94">
        <v>9302</v>
      </c>
      <c r="AA670" s="94">
        <v>5050</v>
      </c>
      <c r="AB670" s="94">
        <v>4252</v>
      </c>
      <c r="AC670" s="94">
        <v>479</v>
      </c>
      <c r="AD670" s="94">
        <v>2249</v>
      </c>
      <c r="AE670" s="94">
        <v>4983</v>
      </c>
      <c r="AF670" s="94">
        <v>1591</v>
      </c>
      <c r="AG670" s="94">
        <v>7977</v>
      </c>
      <c r="AH670" s="94">
        <v>1205</v>
      </c>
      <c r="AI670" s="94">
        <v>120</v>
      </c>
      <c r="AJ670" s="94">
        <v>9262</v>
      </c>
      <c r="AK670" s="94">
        <v>6</v>
      </c>
      <c r="AL670" s="94">
        <v>34</v>
      </c>
      <c r="AM670" s="94">
        <v>432</v>
      </c>
      <c r="AN670" s="94">
        <v>8800</v>
      </c>
      <c r="AO670" s="94">
        <v>70</v>
      </c>
      <c r="AP670" s="95">
        <v>1.96144362250616</v>
      </c>
      <c r="AQ670" s="95">
        <v>0.65520065520065496</v>
      </c>
      <c r="AR670" s="95">
        <v>3.5413571074789498</v>
      </c>
      <c r="AS670" s="95">
        <v>3.68763557483731</v>
      </c>
      <c r="AT670" s="95">
        <v>3.0131826741996202</v>
      </c>
      <c r="AU670" s="95">
        <v>1.6694490818029999</v>
      </c>
      <c r="AV670" s="95">
        <v>0.90614886731391597</v>
      </c>
      <c r="AW670" s="95">
        <v>1.6301512780386</v>
      </c>
      <c r="AX670" s="95">
        <v>4.1300527240773297</v>
      </c>
      <c r="AY670" s="95">
        <v>2.5862068965517202</v>
      </c>
      <c r="AZ670" s="95">
        <v>1.9590182391353299</v>
      </c>
      <c r="BA670" s="95">
        <v>0</v>
      </c>
      <c r="BB670" s="95">
        <v>2.9411764705882399</v>
      </c>
      <c r="BC670" s="95">
        <v>2.6699029126213598</v>
      </c>
      <c r="BD670" s="95">
        <v>1.91852202747513</v>
      </c>
      <c r="BE670" s="95">
        <v>3.0303030303030298</v>
      </c>
    </row>
    <row r="671" spans="2:57" ht="15" customHeight="1" x14ac:dyDescent="0.25">
      <c r="B671" s="86">
        <v>661</v>
      </c>
      <c r="C671" s="87" t="s">
        <v>503</v>
      </c>
      <c r="D671" s="103" t="s">
        <v>57</v>
      </c>
      <c r="E671" s="103" t="s">
        <v>374</v>
      </c>
      <c r="F671" s="103"/>
      <c r="G671" s="88" t="s">
        <v>374</v>
      </c>
      <c r="H671" s="89">
        <v>15861</v>
      </c>
      <c r="I671" s="89">
        <v>8876</v>
      </c>
      <c r="J671" s="89">
        <v>6985</v>
      </c>
      <c r="K671" s="89">
        <v>897</v>
      </c>
      <c r="L671" s="89">
        <v>4148</v>
      </c>
      <c r="M671" s="89">
        <v>8101</v>
      </c>
      <c r="N671" s="89">
        <v>2715</v>
      </c>
      <c r="O671" s="89">
        <v>15838</v>
      </c>
      <c r="P671" s="89">
        <v>23</v>
      </c>
      <c r="Q671" s="90">
        <v>0.76719576719576699</v>
      </c>
      <c r="R671" s="90">
        <v>0.31847133757961799</v>
      </c>
      <c r="S671" s="90">
        <v>1.3399578440228801</v>
      </c>
      <c r="T671" s="90">
        <v>2.8571428571428599</v>
      </c>
      <c r="U671" s="90">
        <v>1.1574074074074101</v>
      </c>
      <c r="V671" s="90">
        <v>0.525910723447922</v>
      </c>
      <c r="W671" s="90">
        <v>0.26605853287723302</v>
      </c>
      <c r="X671" s="90">
        <v>0.76836457574352501</v>
      </c>
      <c r="Y671" s="90">
        <v>0</v>
      </c>
      <c r="Z671" s="89">
        <v>22049</v>
      </c>
      <c r="AA671" s="89">
        <v>12366</v>
      </c>
      <c r="AB671" s="89">
        <v>9683</v>
      </c>
      <c r="AC671" s="89">
        <v>1158</v>
      </c>
      <c r="AD671" s="89">
        <v>5714</v>
      </c>
      <c r="AE671" s="89">
        <v>11404</v>
      </c>
      <c r="AF671" s="89">
        <v>3773</v>
      </c>
      <c r="AG671" s="89">
        <v>18186</v>
      </c>
      <c r="AH671" s="89">
        <v>3692</v>
      </c>
      <c r="AI671" s="89">
        <v>171</v>
      </c>
      <c r="AJ671" s="89">
        <v>21899</v>
      </c>
      <c r="AK671" s="89">
        <v>66</v>
      </c>
      <c r="AL671" s="89">
        <v>84</v>
      </c>
      <c r="AM671" s="89">
        <v>1321</v>
      </c>
      <c r="AN671" s="89">
        <v>20560</v>
      </c>
      <c r="AO671" s="89">
        <v>168</v>
      </c>
      <c r="AP671" s="90">
        <v>2.9241418279418001</v>
      </c>
      <c r="AQ671" s="90">
        <v>1.26085504342017</v>
      </c>
      <c r="AR671" s="90">
        <v>5.0750458913724197</v>
      </c>
      <c r="AS671" s="90">
        <v>6.7281105990783399</v>
      </c>
      <c r="AT671" s="90">
        <v>3.9764359351988201</v>
      </c>
      <c r="AU671" s="90">
        <v>2.6384985039441502</v>
      </c>
      <c r="AV671" s="90">
        <v>1.1108100785694901</v>
      </c>
      <c r="AW671" s="90">
        <v>2.4103937546298901</v>
      </c>
      <c r="AX671" s="90">
        <v>5.4751773049645402</v>
      </c>
      <c r="AY671" s="90">
        <v>3.0674846625766898</v>
      </c>
      <c r="AZ671" s="90">
        <v>2.8731272520386901</v>
      </c>
      <c r="BA671" s="90">
        <v>12.698412698412699</v>
      </c>
      <c r="BB671" s="90">
        <v>8.5365853658536608</v>
      </c>
      <c r="BC671" s="90">
        <v>2.1722265321954999</v>
      </c>
      <c r="BD671" s="90">
        <v>2.9917121487770402</v>
      </c>
      <c r="BE671" s="90">
        <v>0.625</v>
      </c>
    </row>
    <row r="672" spans="2:57" ht="15" customHeight="1" x14ac:dyDescent="0.25">
      <c r="B672" s="91">
        <v>662</v>
      </c>
      <c r="C672" s="92" t="s">
        <v>503</v>
      </c>
      <c r="D672" s="92" t="s">
        <v>57</v>
      </c>
      <c r="E672" s="92" t="s">
        <v>374</v>
      </c>
      <c r="F672" s="92"/>
      <c r="G672" s="93" t="s">
        <v>501</v>
      </c>
      <c r="H672" s="94">
        <v>4835</v>
      </c>
      <c r="I672" s="94">
        <v>2417</v>
      </c>
      <c r="J672" s="94">
        <v>2418</v>
      </c>
      <c r="K672" s="94">
        <v>377</v>
      </c>
      <c r="L672" s="94">
        <v>1581</v>
      </c>
      <c r="M672" s="94">
        <v>2368</v>
      </c>
      <c r="N672" s="94">
        <v>509</v>
      </c>
      <c r="O672" s="94">
        <v>4815</v>
      </c>
      <c r="P672" s="94">
        <v>20</v>
      </c>
      <c r="Q672" s="95">
        <v>2.2108083966056302</v>
      </c>
      <c r="R672" s="95">
        <v>1.1205737337516799</v>
      </c>
      <c r="S672" s="95">
        <v>3.2932799287939498</v>
      </c>
      <c r="T672" s="95">
        <v>6.4220183486238502</v>
      </c>
      <c r="U672" s="95">
        <v>2.48104755341144</v>
      </c>
      <c r="V672" s="95">
        <v>1.70940170940171</v>
      </c>
      <c r="W672" s="95">
        <v>0.83857442348008404</v>
      </c>
      <c r="X672" s="95">
        <v>2.2207267833109001</v>
      </c>
      <c r="Y672" s="95">
        <v>0</v>
      </c>
      <c r="Z672" s="94">
        <v>6124</v>
      </c>
      <c r="AA672" s="94">
        <v>2924</v>
      </c>
      <c r="AB672" s="94">
        <v>3200</v>
      </c>
      <c r="AC672" s="94">
        <v>465</v>
      </c>
      <c r="AD672" s="94">
        <v>1893</v>
      </c>
      <c r="AE672" s="94">
        <v>3126</v>
      </c>
      <c r="AF672" s="94">
        <v>640</v>
      </c>
      <c r="AG672" s="94">
        <v>4048</v>
      </c>
      <c r="AH672" s="94">
        <v>2034</v>
      </c>
      <c r="AI672" s="94">
        <v>42</v>
      </c>
      <c r="AJ672" s="94">
        <v>6068</v>
      </c>
      <c r="AK672" s="94">
        <v>43</v>
      </c>
      <c r="AL672" s="94">
        <v>13</v>
      </c>
      <c r="AM672" s="94">
        <v>404</v>
      </c>
      <c r="AN672" s="94">
        <v>5686</v>
      </c>
      <c r="AO672" s="94">
        <v>34</v>
      </c>
      <c r="AP672" s="95">
        <v>7.2786436033567403</v>
      </c>
      <c r="AQ672" s="95">
        <v>3.4482758620689702</v>
      </c>
      <c r="AR672" s="95">
        <v>10.7692307692308</v>
      </c>
      <c r="AS672" s="95">
        <v>13.073394495412799</v>
      </c>
      <c r="AT672" s="95">
        <v>8.9064261555806095</v>
      </c>
      <c r="AU672" s="95">
        <v>6.0505319148936199</v>
      </c>
      <c r="AV672" s="95">
        <v>4.5088566827697303</v>
      </c>
      <c r="AW672" s="95">
        <v>6.6942362367536798</v>
      </c>
      <c r="AX672" s="95">
        <v>8.3376488865872602</v>
      </c>
      <c r="AY672" s="95">
        <v>12.8205128205128</v>
      </c>
      <c r="AZ672" s="95">
        <v>7.1564390665514299</v>
      </c>
      <c r="BA672" s="95">
        <v>17.0731707317073</v>
      </c>
      <c r="BB672" s="95">
        <v>30.769230769230798</v>
      </c>
      <c r="BC672" s="95">
        <v>5.3164556962025298</v>
      </c>
      <c r="BD672" s="95">
        <v>7.4662724080576597</v>
      </c>
      <c r="BE672" s="95">
        <v>0</v>
      </c>
    </row>
    <row r="673" spans="2:57" ht="15" customHeight="1" x14ac:dyDescent="0.25">
      <c r="B673" s="91">
        <v>663</v>
      </c>
      <c r="C673" s="92" t="s">
        <v>503</v>
      </c>
      <c r="D673" s="92" t="s">
        <v>57</v>
      </c>
      <c r="E673" s="92" t="s">
        <v>374</v>
      </c>
      <c r="F673" s="92"/>
      <c r="G673" s="93" t="s">
        <v>502</v>
      </c>
      <c r="H673" s="94">
        <v>11026</v>
      </c>
      <c r="I673" s="94">
        <v>6459</v>
      </c>
      <c r="J673" s="94">
        <v>4567</v>
      </c>
      <c r="K673" s="94">
        <v>520</v>
      </c>
      <c r="L673" s="94">
        <v>2567</v>
      </c>
      <c r="M673" s="94">
        <v>5733</v>
      </c>
      <c r="N673" s="94">
        <v>2206</v>
      </c>
      <c r="O673" s="94">
        <v>11023</v>
      </c>
      <c r="P673" s="94">
        <v>3</v>
      </c>
      <c r="Q673" s="95">
        <v>0.15974440894568701</v>
      </c>
      <c r="R673" s="95">
        <v>3.20153673763406E-2</v>
      </c>
      <c r="S673" s="95">
        <v>0.34129692832764502</v>
      </c>
      <c r="T673" s="95">
        <v>0.418410041841004</v>
      </c>
      <c r="U673" s="95">
        <v>0.36930652441526501</v>
      </c>
      <c r="V673" s="95">
        <v>5.3830970751839201E-2</v>
      </c>
      <c r="W673" s="95">
        <v>0.13927576601671299</v>
      </c>
      <c r="X673" s="95">
        <v>0.15978945389604299</v>
      </c>
      <c r="Y673" s="95">
        <v>0</v>
      </c>
      <c r="Z673" s="94">
        <v>15925</v>
      </c>
      <c r="AA673" s="94">
        <v>9442</v>
      </c>
      <c r="AB673" s="94">
        <v>6483</v>
      </c>
      <c r="AC673" s="94">
        <v>693</v>
      </c>
      <c r="AD673" s="94">
        <v>3821</v>
      </c>
      <c r="AE673" s="94">
        <v>8278</v>
      </c>
      <c r="AF673" s="94">
        <v>3133</v>
      </c>
      <c r="AG673" s="94">
        <v>14138</v>
      </c>
      <c r="AH673" s="94">
        <v>1658</v>
      </c>
      <c r="AI673" s="94">
        <v>129</v>
      </c>
      <c r="AJ673" s="94">
        <v>15831</v>
      </c>
      <c r="AK673" s="94">
        <v>23</v>
      </c>
      <c r="AL673" s="94">
        <v>71</v>
      </c>
      <c r="AM673" s="94">
        <v>917</v>
      </c>
      <c r="AN673" s="94">
        <v>14874</v>
      </c>
      <c r="AO673" s="94">
        <v>134</v>
      </c>
      <c r="AP673" s="95">
        <v>1.2728925834524001</v>
      </c>
      <c r="AQ673" s="95">
        <v>0.59834638816362096</v>
      </c>
      <c r="AR673" s="95">
        <v>2.27199484369965</v>
      </c>
      <c r="AS673" s="95">
        <v>2.4653312788905999</v>
      </c>
      <c r="AT673" s="95">
        <v>1.5855658829961701</v>
      </c>
      <c r="AU673" s="95">
        <v>1.35893280139633</v>
      </c>
      <c r="AV673" s="95">
        <v>0.42345276872964199</v>
      </c>
      <c r="AW673" s="95">
        <v>1.1988304093567299</v>
      </c>
      <c r="AX673" s="95">
        <v>2.0075282308657498</v>
      </c>
      <c r="AY673" s="95">
        <v>0</v>
      </c>
      <c r="AZ673" s="95">
        <v>1.25432808518978</v>
      </c>
      <c r="BA673" s="95">
        <v>4.5454545454545503</v>
      </c>
      <c r="BB673" s="95">
        <v>4.3478260869565197</v>
      </c>
      <c r="BC673" s="95">
        <v>0.78299776286353495</v>
      </c>
      <c r="BD673" s="95">
        <v>1.30764415385685</v>
      </c>
      <c r="BE673" s="95">
        <v>0.78740157480314998</v>
      </c>
    </row>
    <row r="674" spans="2:57" ht="15" customHeight="1" x14ac:dyDescent="0.25">
      <c r="B674" s="96">
        <v>664</v>
      </c>
      <c r="C674" s="97" t="s">
        <v>504</v>
      </c>
      <c r="D674" s="104" t="s">
        <v>57</v>
      </c>
      <c r="E674" s="104" t="s">
        <v>374</v>
      </c>
      <c r="F674" s="104" t="s">
        <v>247</v>
      </c>
      <c r="G674" s="105" t="s">
        <v>247</v>
      </c>
      <c r="H674" s="106">
        <v>13567</v>
      </c>
      <c r="I674" s="106">
        <v>7579</v>
      </c>
      <c r="J674" s="106">
        <v>5988</v>
      </c>
      <c r="K674" s="106">
        <v>797</v>
      </c>
      <c r="L674" s="106">
        <v>3622</v>
      </c>
      <c r="M674" s="106">
        <v>6932</v>
      </c>
      <c r="N674" s="106">
        <v>2216</v>
      </c>
      <c r="O674" s="106">
        <v>13544</v>
      </c>
      <c r="P674" s="106">
        <v>23</v>
      </c>
      <c r="Q674" s="107">
        <v>0.86734298768682705</v>
      </c>
      <c r="R674" s="107">
        <v>0.37313432835820898</v>
      </c>
      <c r="S674" s="107">
        <v>1.4972696846926199</v>
      </c>
      <c r="T674" s="107">
        <v>3.2440056417489398</v>
      </c>
      <c r="U674" s="107">
        <v>1.2952605239917601</v>
      </c>
      <c r="V674" s="107">
        <v>0.60033018159988005</v>
      </c>
      <c r="W674" s="107">
        <v>0.23320895522388099</v>
      </c>
      <c r="X674" s="107">
        <v>0.86889061287820002</v>
      </c>
      <c r="Y674" s="107">
        <v>0</v>
      </c>
      <c r="Z674" s="106">
        <v>19005</v>
      </c>
      <c r="AA674" s="106">
        <v>10684</v>
      </c>
      <c r="AB674" s="106">
        <v>8321</v>
      </c>
      <c r="AC674" s="106">
        <v>1027</v>
      </c>
      <c r="AD674" s="106">
        <v>5151</v>
      </c>
      <c r="AE674" s="106">
        <v>9741</v>
      </c>
      <c r="AF674" s="106">
        <v>3086</v>
      </c>
      <c r="AG674" s="106">
        <v>15497</v>
      </c>
      <c r="AH674" s="106">
        <v>3355</v>
      </c>
      <c r="AI674" s="106">
        <v>153</v>
      </c>
      <c r="AJ674" s="106">
        <v>18876</v>
      </c>
      <c r="AK674" s="106">
        <v>55</v>
      </c>
      <c r="AL674" s="106">
        <v>74</v>
      </c>
      <c r="AM674" s="106">
        <v>1129</v>
      </c>
      <c r="AN674" s="106">
        <v>17739</v>
      </c>
      <c r="AO674" s="106">
        <v>137</v>
      </c>
      <c r="AP674" s="107">
        <v>3.15985130111524</v>
      </c>
      <c r="AQ674" s="107">
        <v>1.3352685050798301</v>
      </c>
      <c r="AR674" s="107">
        <v>5.5297222571320797</v>
      </c>
      <c r="AS674" s="107">
        <v>7.2992700729926998</v>
      </c>
      <c r="AT674" s="107">
        <v>4.1819665442676497</v>
      </c>
      <c r="AU674" s="107">
        <v>2.8349968146103199</v>
      </c>
      <c r="AV674" s="107">
        <v>1.19482243611019</v>
      </c>
      <c r="AW674" s="107">
        <v>2.5958386298253799</v>
      </c>
      <c r="AX674" s="107">
        <v>5.78125</v>
      </c>
      <c r="AY674" s="107">
        <v>3.4482758620689702</v>
      </c>
      <c r="AZ674" s="107">
        <v>3.1045301921065702</v>
      </c>
      <c r="BA674" s="107">
        <v>15.384615384615399</v>
      </c>
      <c r="BB674" s="107">
        <v>8.2191780821917799</v>
      </c>
      <c r="BC674" s="107">
        <v>2.4478694469628302</v>
      </c>
      <c r="BD674" s="107">
        <v>3.2299665865525502</v>
      </c>
      <c r="BE674" s="107">
        <v>0</v>
      </c>
    </row>
    <row r="675" spans="2:57" ht="15" customHeight="1" x14ac:dyDescent="0.25">
      <c r="B675" s="91">
        <v>665</v>
      </c>
      <c r="C675" s="92" t="s">
        <v>504</v>
      </c>
      <c r="D675" s="92" t="s">
        <v>57</v>
      </c>
      <c r="E675" s="92" t="s">
        <v>374</v>
      </c>
      <c r="F675" s="92" t="s">
        <v>247</v>
      </c>
      <c r="G675" s="101" t="s">
        <v>501</v>
      </c>
      <c r="H675" s="94">
        <v>4835</v>
      </c>
      <c r="I675" s="94">
        <v>2417</v>
      </c>
      <c r="J675" s="94">
        <v>2418</v>
      </c>
      <c r="K675" s="94">
        <v>377</v>
      </c>
      <c r="L675" s="94">
        <v>1581</v>
      </c>
      <c r="M675" s="94">
        <v>2368</v>
      </c>
      <c r="N675" s="94">
        <v>509</v>
      </c>
      <c r="O675" s="94">
        <v>4815</v>
      </c>
      <c r="P675" s="94">
        <v>20</v>
      </c>
      <c r="Q675" s="95">
        <v>2.2108083966056302</v>
      </c>
      <c r="R675" s="95">
        <v>1.1205737337516799</v>
      </c>
      <c r="S675" s="95">
        <v>3.2932799287939498</v>
      </c>
      <c r="T675" s="95">
        <v>6.4220183486238502</v>
      </c>
      <c r="U675" s="95">
        <v>2.48104755341144</v>
      </c>
      <c r="V675" s="95">
        <v>1.70940170940171</v>
      </c>
      <c r="W675" s="95">
        <v>0.83857442348008404</v>
      </c>
      <c r="X675" s="95">
        <v>2.2207267833109001</v>
      </c>
      <c r="Y675" s="95">
        <v>0</v>
      </c>
      <c r="Z675" s="94">
        <v>6124</v>
      </c>
      <c r="AA675" s="94">
        <v>2924</v>
      </c>
      <c r="AB675" s="94">
        <v>3200</v>
      </c>
      <c r="AC675" s="94">
        <v>465</v>
      </c>
      <c r="AD675" s="94">
        <v>1893</v>
      </c>
      <c r="AE675" s="94">
        <v>3126</v>
      </c>
      <c r="AF675" s="94">
        <v>640</v>
      </c>
      <c r="AG675" s="94">
        <v>4048</v>
      </c>
      <c r="AH675" s="94">
        <v>2034</v>
      </c>
      <c r="AI675" s="94">
        <v>42</v>
      </c>
      <c r="AJ675" s="94">
        <v>6068</v>
      </c>
      <c r="AK675" s="94">
        <v>43</v>
      </c>
      <c r="AL675" s="94">
        <v>13</v>
      </c>
      <c r="AM675" s="94">
        <v>404</v>
      </c>
      <c r="AN675" s="94">
        <v>5686</v>
      </c>
      <c r="AO675" s="94">
        <v>34</v>
      </c>
      <c r="AP675" s="95">
        <v>7.2786436033567403</v>
      </c>
      <c r="AQ675" s="95">
        <v>3.4482758620689702</v>
      </c>
      <c r="AR675" s="95">
        <v>10.7692307692308</v>
      </c>
      <c r="AS675" s="95">
        <v>13.073394495412799</v>
      </c>
      <c r="AT675" s="95">
        <v>8.9064261555806095</v>
      </c>
      <c r="AU675" s="95">
        <v>6.0505319148936199</v>
      </c>
      <c r="AV675" s="95">
        <v>4.5088566827697303</v>
      </c>
      <c r="AW675" s="95">
        <v>6.6942362367536798</v>
      </c>
      <c r="AX675" s="95">
        <v>8.3376488865872602</v>
      </c>
      <c r="AY675" s="95">
        <v>12.8205128205128</v>
      </c>
      <c r="AZ675" s="95">
        <v>7.1564390665514299</v>
      </c>
      <c r="BA675" s="95">
        <v>17.0731707317073</v>
      </c>
      <c r="BB675" s="95">
        <v>30.769230769230798</v>
      </c>
      <c r="BC675" s="95">
        <v>5.3164556962025298</v>
      </c>
      <c r="BD675" s="95">
        <v>7.4662724080576597</v>
      </c>
      <c r="BE675" s="95">
        <v>0</v>
      </c>
    </row>
    <row r="676" spans="2:57" ht="15" customHeight="1" x14ac:dyDescent="0.25">
      <c r="B676" s="91">
        <v>666</v>
      </c>
      <c r="C676" s="92" t="s">
        <v>504</v>
      </c>
      <c r="D676" s="92" t="s">
        <v>57</v>
      </c>
      <c r="E676" s="92" t="s">
        <v>374</v>
      </c>
      <c r="F676" s="92" t="s">
        <v>247</v>
      </c>
      <c r="G676" s="101" t="s">
        <v>502</v>
      </c>
      <c r="H676" s="94">
        <v>8732</v>
      </c>
      <c r="I676" s="94">
        <v>5162</v>
      </c>
      <c r="J676" s="94">
        <v>3570</v>
      </c>
      <c r="K676" s="94">
        <v>420</v>
      </c>
      <c r="L676" s="94">
        <v>2041</v>
      </c>
      <c r="M676" s="94">
        <v>4564</v>
      </c>
      <c r="N676" s="94">
        <v>1707</v>
      </c>
      <c r="O676" s="94">
        <v>8729</v>
      </c>
      <c r="P676" s="94">
        <v>3</v>
      </c>
      <c r="Q676" s="95">
        <v>0.15411973918197999</v>
      </c>
      <c r="R676" s="95">
        <v>3.9960039960040002E-2</v>
      </c>
      <c r="S676" s="95">
        <v>0.32069970845481</v>
      </c>
      <c r="T676" s="95">
        <v>0.52356020942408399</v>
      </c>
      <c r="U676" s="95">
        <v>0.41109969167523103</v>
      </c>
      <c r="V676" s="95">
        <v>4.5045045045045001E-2</v>
      </c>
      <c r="W676" s="95">
        <v>5.9988002399520103E-2</v>
      </c>
      <c r="X676" s="95">
        <v>0.15417457305502799</v>
      </c>
      <c r="Y676" s="95">
        <v>0</v>
      </c>
      <c r="Z676" s="94">
        <v>12881</v>
      </c>
      <c r="AA676" s="94">
        <v>7760</v>
      </c>
      <c r="AB676" s="94">
        <v>5121</v>
      </c>
      <c r="AC676" s="94">
        <v>562</v>
      </c>
      <c r="AD676" s="94">
        <v>3258</v>
      </c>
      <c r="AE676" s="94">
        <v>6615</v>
      </c>
      <c r="AF676" s="94">
        <v>2446</v>
      </c>
      <c r="AG676" s="94">
        <v>11449</v>
      </c>
      <c r="AH676" s="94">
        <v>1321</v>
      </c>
      <c r="AI676" s="94">
        <v>111</v>
      </c>
      <c r="AJ676" s="94">
        <v>12808</v>
      </c>
      <c r="AK676" s="94">
        <v>12</v>
      </c>
      <c r="AL676" s="94">
        <v>61</v>
      </c>
      <c r="AM676" s="94">
        <v>725</v>
      </c>
      <c r="AN676" s="94">
        <v>12053</v>
      </c>
      <c r="AO676" s="94">
        <v>103</v>
      </c>
      <c r="AP676" s="95">
        <v>1.2286196097325901</v>
      </c>
      <c r="AQ676" s="95">
        <v>0.55621771950734999</v>
      </c>
      <c r="AR676" s="95">
        <v>2.2643818849449202</v>
      </c>
      <c r="AS676" s="95">
        <v>2.4856596558317401</v>
      </c>
      <c r="AT676" s="95">
        <v>1.5025575447570301</v>
      </c>
      <c r="AU676" s="95">
        <v>1.3260530421216801</v>
      </c>
      <c r="AV676" s="95">
        <v>0.334448160535117</v>
      </c>
      <c r="AW676" s="95">
        <v>1.16447012096046</v>
      </c>
      <c r="AX676" s="95">
        <v>1.8912529550827399</v>
      </c>
      <c r="AY676" s="95">
        <v>0</v>
      </c>
      <c r="AZ676" s="95">
        <v>1.21143595541916</v>
      </c>
      <c r="BA676" s="95">
        <v>9.0909090909090899</v>
      </c>
      <c r="BB676" s="95">
        <v>3.3333333333333299</v>
      </c>
      <c r="BC676" s="95">
        <v>0.84745762711864403</v>
      </c>
      <c r="BD676" s="95">
        <v>1.2620192307692299</v>
      </c>
      <c r="BE676" s="95">
        <v>0</v>
      </c>
    </row>
    <row r="677" spans="2:57" ht="15" customHeight="1" x14ac:dyDescent="0.25">
      <c r="B677" s="96">
        <v>667</v>
      </c>
      <c r="C677" s="97" t="s">
        <v>504</v>
      </c>
      <c r="D677" s="104" t="s">
        <v>57</v>
      </c>
      <c r="E677" s="104" t="s">
        <v>374</v>
      </c>
      <c r="F677" s="104" t="s">
        <v>319</v>
      </c>
      <c r="G677" s="105" t="s">
        <v>319</v>
      </c>
      <c r="H677" s="106">
        <v>2294</v>
      </c>
      <c r="I677" s="106">
        <v>1297</v>
      </c>
      <c r="J677" s="106">
        <v>997</v>
      </c>
      <c r="K677" s="106">
        <v>100</v>
      </c>
      <c r="L677" s="106">
        <v>526</v>
      </c>
      <c r="M677" s="106">
        <v>1169</v>
      </c>
      <c r="N677" s="106">
        <v>499</v>
      </c>
      <c r="O677" s="106">
        <v>2294</v>
      </c>
      <c r="P677" s="106">
        <v>0</v>
      </c>
      <c r="Q677" s="107">
        <v>0.18124150430448599</v>
      </c>
      <c r="R677" s="107">
        <v>0</v>
      </c>
      <c r="S677" s="107">
        <v>0.41450777202072497</v>
      </c>
      <c r="T677" s="107">
        <v>0</v>
      </c>
      <c r="U677" s="107">
        <v>0.203665987780041</v>
      </c>
      <c r="V677" s="107">
        <v>8.8261253309797005E-2</v>
      </c>
      <c r="W677" s="107">
        <v>0.41067761806981501</v>
      </c>
      <c r="X677" s="107">
        <v>0.18124150430448599</v>
      </c>
      <c r="Y677" s="107">
        <v>0</v>
      </c>
      <c r="Z677" s="106">
        <v>3044</v>
      </c>
      <c r="AA677" s="106">
        <v>1682</v>
      </c>
      <c r="AB677" s="106">
        <v>1362</v>
      </c>
      <c r="AC677" s="106">
        <v>131</v>
      </c>
      <c r="AD677" s="106">
        <v>563</v>
      </c>
      <c r="AE677" s="106">
        <v>1663</v>
      </c>
      <c r="AF677" s="106">
        <v>687</v>
      </c>
      <c r="AG677" s="106">
        <v>2689</v>
      </c>
      <c r="AH677" s="106">
        <v>337</v>
      </c>
      <c r="AI677" s="106">
        <v>18</v>
      </c>
      <c r="AJ677" s="106">
        <v>3023</v>
      </c>
      <c r="AK677" s="106">
        <v>11</v>
      </c>
      <c r="AL677" s="106">
        <v>10</v>
      </c>
      <c r="AM677" s="106">
        <v>192</v>
      </c>
      <c r="AN677" s="106">
        <v>2821</v>
      </c>
      <c r="AO677" s="106">
        <v>31</v>
      </c>
      <c r="AP677" s="107">
        <v>1.46010186757216</v>
      </c>
      <c r="AQ677" s="107">
        <v>0.792199878123096</v>
      </c>
      <c r="AR677" s="107">
        <v>2.3006134969325198</v>
      </c>
      <c r="AS677" s="107">
        <v>2.38095238095238</v>
      </c>
      <c r="AT677" s="107">
        <v>2.0754716981132102</v>
      </c>
      <c r="AU677" s="107">
        <v>1.4897579143389199</v>
      </c>
      <c r="AV677" s="107">
        <v>0.737463126843658</v>
      </c>
      <c r="AW677" s="107">
        <v>1.34511913912375</v>
      </c>
      <c r="AX677" s="107">
        <v>2.4615384615384599</v>
      </c>
      <c r="AY677" s="107">
        <v>0</v>
      </c>
      <c r="AZ677" s="107">
        <v>1.4358974358974399</v>
      </c>
      <c r="BA677" s="107">
        <v>0</v>
      </c>
      <c r="BB677" s="107">
        <v>11.1111111111111</v>
      </c>
      <c r="BC677" s="107">
        <v>0.53763440860215095</v>
      </c>
      <c r="BD677" s="107">
        <v>1.50238182484427</v>
      </c>
      <c r="BE677" s="107">
        <v>3.3333333333333299</v>
      </c>
    </row>
    <row r="678" spans="2:57" ht="15" customHeight="1" x14ac:dyDescent="0.25">
      <c r="B678" s="91">
        <v>668</v>
      </c>
      <c r="C678" s="92" t="s">
        <v>504</v>
      </c>
      <c r="D678" s="92" t="s">
        <v>57</v>
      </c>
      <c r="E678" s="92" t="s">
        <v>374</v>
      </c>
      <c r="F678" s="92" t="s">
        <v>319</v>
      </c>
      <c r="G678" s="101" t="s">
        <v>501</v>
      </c>
      <c r="H678" s="94">
        <v>0</v>
      </c>
      <c r="I678" s="94">
        <v>0</v>
      </c>
      <c r="J678" s="94">
        <v>0</v>
      </c>
      <c r="K678" s="94">
        <v>0</v>
      </c>
      <c r="L678" s="94">
        <v>0</v>
      </c>
      <c r="M678" s="94">
        <v>0</v>
      </c>
      <c r="N678" s="94">
        <v>0</v>
      </c>
      <c r="O678" s="94">
        <v>0</v>
      </c>
      <c r="P678" s="94">
        <v>0</v>
      </c>
      <c r="Q678" s="95">
        <v>0</v>
      </c>
      <c r="R678" s="95">
        <v>0</v>
      </c>
      <c r="S678" s="95">
        <v>0</v>
      </c>
      <c r="T678" s="95">
        <v>0</v>
      </c>
      <c r="U678" s="95">
        <v>0</v>
      </c>
      <c r="V678" s="95">
        <v>0</v>
      </c>
      <c r="W678" s="95">
        <v>0</v>
      </c>
      <c r="X678" s="95">
        <v>0</v>
      </c>
      <c r="Y678" s="95">
        <v>0</v>
      </c>
      <c r="Z678" s="94">
        <v>0</v>
      </c>
      <c r="AA678" s="94">
        <v>0</v>
      </c>
      <c r="AB678" s="94">
        <v>0</v>
      </c>
      <c r="AC678" s="94">
        <v>0</v>
      </c>
      <c r="AD678" s="94">
        <v>0</v>
      </c>
      <c r="AE678" s="94">
        <v>0</v>
      </c>
      <c r="AF678" s="94">
        <v>0</v>
      </c>
      <c r="AG678" s="94">
        <v>0</v>
      </c>
      <c r="AH678" s="94">
        <v>0</v>
      </c>
      <c r="AI678" s="94">
        <v>0</v>
      </c>
      <c r="AJ678" s="94">
        <v>0</v>
      </c>
      <c r="AK678" s="94">
        <v>0</v>
      </c>
      <c r="AL678" s="94">
        <v>0</v>
      </c>
      <c r="AM678" s="94">
        <v>0</v>
      </c>
      <c r="AN678" s="94">
        <v>0</v>
      </c>
      <c r="AO678" s="94">
        <v>0</v>
      </c>
      <c r="AP678" s="95">
        <v>0</v>
      </c>
      <c r="AQ678" s="95">
        <v>0</v>
      </c>
      <c r="AR678" s="95">
        <v>0</v>
      </c>
      <c r="AS678" s="95">
        <v>0</v>
      </c>
      <c r="AT678" s="95">
        <v>0</v>
      </c>
      <c r="AU678" s="95">
        <v>0</v>
      </c>
      <c r="AV678" s="95">
        <v>0</v>
      </c>
      <c r="AW678" s="95">
        <v>0</v>
      </c>
      <c r="AX678" s="95">
        <v>0</v>
      </c>
      <c r="AY678" s="95">
        <v>0</v>
      </c>
      <c r="AZ678" s="95">
        <v>0</v>
      </c>
      <c r="BA678" s="95">
        <v>0</v>
      </c>
      <c r="BB678" s="95">
        <v>0</v>
      </c>
      <c r="BC678" s="95">
        <v>0</v>
      </c>
      <c r="BD678" s="95">
        <v>0</v>
      </c>
      <c r="BE678" s="95">
        <v>0</v>
      </c>
    </row>
    <row r="679" spans="2:57" ht="15" customHeight="1" x14ac:dyDescent="0.25">
      <c r="B679" s="91">
        <v>669</v>
      </c>
      <c r="C679" s="92" t="s">
        <v>504</v>
      </c>
      <c r="D679" s="92" t="s">
        <v>57</v>
      </c>
      <c r="E679" s="92" t="s">
        <v>374</v>
      </c>
      <c r="F679" s="92" t="s">
        <v>319</v>
      </c>
      <c r="G679" s="101" t="s">
        <v>502</v>
      </c>
      <c r="H679" s="94">
        <v>2294</v>
      </c>
      <c r="I679" s="94">
        <v>1297</v>
      </c>
      <c r="J679" s="94">
        <v>997</v>
      </c>
      <c r="K679" s="94">
        <v>100</v>
      </c>
      <c r="L679" s="94">
        <v>526</v>
      </c>
      <c r="M679" s="94">
        <v>1169</v>
      </c>
      <c r="N679" s="94">
        <v>499</v>
      </c>
      <c r="O679" s="94">
        <v>2294</v>
      </c>
      <c r="P679" s="94">
        <v>0</v>
      </c>
      <c r="Q679" s="95">
        <v>0.18124150430448599</v>
      </c>
      <c r="R679" s="95">
        <v>0</v>
      </c>
      <c r="S679" s="95">
        <v>0.41450777202072497</v>
      </c>
      <c r="T679" s="95">
        <v>0</v>
      </c>
      <c r="U679" s="95">
        <v>0.203665987780041</v>
      </c>
      <c r="V679" s="95">
        <v>8.8261253309797005E-2</v>
      </c>
      <c r="W679" s="95">
        <v>0.41067761806981501</v>
      </c>
      <c r="X679" s="95">
        <v>0.18124150430448599</v>
      </c>
      <c r="Y679" s="95">
        <v>0</v>
      </c>
      <c r="Z679" s="94">
        <v>3044</v>
      </c>
      <c r="AA679" s="94">
        <v>1682</v>
      </c>
      <c r="AB679" s="94">
        <v>1362</v>
      </c>
      <c r="AC679" s="94">
        <v>131</v>
      </c>
      <c r="AD679" s="94">
        <v>563</v>
      </c>
      <c r="AE679" s="94">
        <v>1663</v>
      </c>
      <c r="AF679" s="94">
        <v>687</v>
      </c>
      <c r="AG679" s="94">
        <v>2689</v>
      </c>
      <c r="AH679" s="94">
        <v>337</v>
      </c>
      <c r="AI679" s="94">
        <v>18</v>
      </c>
      <c r="AJ679" s="94">
        <v>3023</v>
      </c>
      <c r="AK679" s="94">
        <v>11</v>
      </c>
      <c r="AL679" s="94">
        <v>10</v>
      </c>
      <c r="AM679" s="94">
        <v>192</v>
      </c>
      <c r="AN679" s="94">
        <v>2821</v>
      </c>
      <c r="AO679" s="94">
        <v>31</v>
      </c>
      <c r="AP679" s="95">
        <v>1.46010186757216</v>
      </c>
      <c r="AQ679" s="95">
        <v>0.792199878123096</v>
      </c>
      <c r="AR679" s="95">
        <v>2.3006134969325198</v>
      </c>
      <c r="AS679" s="95">
        <v>2.38095238095238</v>
      </c>
      <c r="AT679" s="95">
        <v>2.0754716981132102</v>
      </c>
      <c r="AU679" s="95">
        <v>1.4897579143389199</v>
      </c>
      <c r="AV679" s="95">
        <v>0.737463126843658</v>
      </c>
      <c r="AW679" s="95">
        <v>1.34511913912375</v>
      </c>
      <c r="AX679" s="95">
        <v>2.4615384615384599</v>
      </c>
      <c r="AY679" s="95">
        <v>0</v>
      </c>
      <c r="AZ679" s="95">
        <v>1.4358974358974399</v>
      </c>
      <c r="BA679" s="95">
        <v>0</v>
      </c>
      <c r="BB679" s="95">
        <v>11.1111111111111</v>
      </c>
      <c r="BC679" s="95">
        <v>0.53763440860215095</v>
      </c>
      <c r="BD679" s="95">
        <v>1.50238182484427</v>
      </c>
      <c r="BE679" s="95">
        <v>3.3333333333333299</v>
      </c>
    </row>
    <row r="680" spans="2:57" ht="15" customHeight="1" x14ac:dyDescent="0.25">
      <c r="B680" s="86">
        <v>670</v>
      </c>
      <c r="C680" s="87" t="s">
        <v>503</v>
      </c>
      <c r="D680" s="103" t="s">
        <v>57</v>
      </c>
      <c r="E680" s="103" t="s">
        <v>8</v>
      </c>
      <c r="F680" s="103"/>
      <c r="G680" s="88" t="s">
        <v>8</v>
      </c>
      <c r="H680" s="89">
        <v>5372</v>
      </c>
      <c r="I680" s="89">
        <v>3172</v>
      </c>
      <c r="J680" s="89">
        <v>2200</v>
      </c>
      <c r="K680" s="89">
        <v>90</v>
      </c>
      <c r="L680" s="89">
        <v>1083</v>
      </c>
      <c r="M680" s="89">
        <v>2843</v>
      </c>
      <c r="N680" s="89">
        <v>1356</v>
      </c>
      <c r="O680" s="89">
        <v>5370</v>
      </c>
      <c r="P680" s="89">
        <v>2</v>
      </c>
      <c r="Q680" s="90">
        <v>0.25028879476318799</v>
      </c>
      <c r="R680" s="90">
        <v>0.16297262059973899</v>
      </c>
      <c r="S680" s="90">
        <v>0.376293508936971</v>
      </c>
      <c r="T680" s="90">
        <v>1.2820512820512799</v>
      </c>
      <c r="U680" s="90">
        <v>0.479846449136276</v>
      </c>
      <c r="V680" s="90">
        <v>0.25408348457350299</v>
      </c>
      <c r="W680" s="90">
        <v>0</v>
      </c>
      <c r="X680" s="90">
        <v>0.250385208012327</v>
      </c>
      <c r="Y680" s="90">
        <v>0</v>
      </c>
      <c r="Z680" s="89">
        <v>10151</v>
      </c>
      <c r="AA680" s="89">
        <v>5445</v>
      </c>
      <c r="AB680" s="89">
        <v>4706</v>
      </c>
      <c r="AC680" s="89">
        <v>372</v>
      </c>
      <c r="AD680" s="89">
        <v>2107</v>
      </c>
      <c r="AE680" s="89">
        <v>5659</v>
      </c>
      <c r="AF680" s="89">
        <v>2013</v>
      </c>
      <c r="AG680" s="89">
        <v>9261</v>
      </c>
      <c r="AH680" s="89">
        <v>841</v>
      </c>
      <c r="AI680" s="89">
        <v>49</v>
      </c>
      <c r="AJ680" s="89">
        <v>10033</v>
      </c>
      <c r="AK680" s="89">
        <v>82</v>
      </c>
      <c r="AL680" s="89">
        <v>36</v>
      </c>
      <c r="AM680" s="89">
        <v>568</v>
      </c>
      <c r="AN680" s="89">
        <v>9494</v>
      </c>
      <c r="AO680" s="89">
        <v>89</v>
      </c>
      <c r="AP680" s="90">
        <v>1.8014329580348001</v>
      </c>
      <c r="AQ680" s="90">
        <v>0.81655905810862095</v>
      </c>
      <c r="AR680" s="90">
        <v>2.9529307282415602</v>
      </c>
      <c r="AS680" s="90">
        <v>2.5787965616045798</v>
      </c>
      <c r="AT680" s="90">
        <v>2.6754164563351801</v>
      </c>
      <c r="AU680" s="90">
        <v>1.9005847953216399</v>
      </c>
      <c r="AV680" s="90">
        <v>0.50813008130081305</v>
      </c>
      <c r="AW680" s="90">
        <v>1.6347553465457401</v>
      </c>
      <c r="AX680" s="90">
        <v>3.5131744040150599</v>
      </c>
      <c r="AY680" s="90">
        <v>4.7619047619047601</v>
      </c>
      <c r="AZ680" s="90">
        <v>1.80236171535115</v>
      </c>
      <c r="BA680" s="90">
        <v>1.2345679012345701</v>
      </c>
      <c r="BB680" s="90">
        <v>2.8571428571428599</v>
      </c>
      <c r="BC680" s="90">
        <v>0.72595281306715098</v>
      </c>
      <c r="BD680" s="90">
        <v>1.87130663164806</v>
      </c>
      <c r="BE680" s="90">
        <v>1.2345679012345701</v>
      </c>
    </row>
    <row r="681" spans="2:57" ht="15" customHeight="1" x14ac:dyDescent="0.25">
      <c r="B681" s="91">
        <v>671</v>
      </c>
      <c r="C681" s="92" t="s">
        <v>503</v>
      </c>
      <c r="D681" s="92" t="s">
        <v>57</v>
      </c>
      <c r="E681" s="92" t="s">
        <v>8</v>
      </c>
      <c r="F681" s="92"/>
      <c r="G681" s="93" t="s">
        <v>501</v>
      </c>
      <c r="H681" s="94">
        <v>0</v>
      </c>
      <c r="I681" s="94">
        <v>0</v>
      </c>
      <c r="J681" s="94">
        <v>0</v>
      </c>
      <c r="K681" s="94">
        <v>0</v>
      </c>
      <c r="L681" s="94">
        <v>0</v>
      </c>
      <c r="M681" s="94">
        <v>0</v>
      </c>
      <c r="N681" s="94">
        <v>0</v>
      </c>
      <c r="O681" s="94">
        <v>0</v>
      </c>
      <c r="P681" s="94">
        <v>0</v>
      </c>
      <c r="Q681" s="95">
        <v>0</v>
      </c>
      <c r="R681" s="95">
        <v>0</v>
      </c>
      <c r="S681" s="95">
        <v>0</v>
      </c>
      <c r="T681" s="95">
        <v>0</v>
      </c>
      <c r="U681" s="95">
        <v>0</v>
      </c>
      <c r="V681" s="95">
        <v>0</v>
      </c>
      <c r="W681" s="95">
        <v>0</v>
      </c>
      <c r="X681" s="95">
        <v>0</v>
      </c>
      <c r="Y681" s="95">
        <v>0</v>
      </c>
      <c r="Z681" s="94">
        <v>0</v>
      </c>
      <c r="AA681" s="94">
        <v>0</v>
      </c>
      <c r="AB681" s="94">
        <v>0</v>
      </c>
      <c r="AC681" s="94">
        <v>0</v>
      </c>
      <c r="AD681" s="94">
        <v>0</v>
      </c>
      <c r="AE681" s="94">
        <v>0</v>
      </c>
      <c r="AF681" s="94">
        <v>0</v>
      </c>
      <c r="AG681" s="94">
        <v>0</v>
      </c>
      <c r="AH681" s="94">
        <v>0</v>
      </c>
      <c r="AI681" s="94">
        <v>0</v>
      </c>
      <c r="AJ681" s="94">
        <v>0</v>
      </c>
      <c r="AK681" s="94">
        <v>0</v>
      </c>
      <c r="AL681" s="94">
        <v>0</v>
      </c>
      <c r="AM681" s="94">
        <v>0</v>
      </c>
      <c r="AN681" s="94">
        <v>0</v>
      </c>
      <c r="AO681" s="94">
        <v>0</v>
      </c>
      <c r="AP681" s="95">
        <v>0</v>
      </c>
      <c r="AQ681" s="95">
        <v>0</v>
      </c>
      <c r="AR681" s="95">
        <v>0</v>
      </c>
      <c r="AS681" s="95">
        <v>0</v>
      </c>
      <c r="AT681" s="95">
        <v>0</v>
      </c>
      <c r="AU681" s="95">
        <v>0</v>
      </c>
      <c r="AV681" s="95">
        <v>0</v>
      </c>
      <c r="AW681" s="95">
        <v>0</v>
      </c>
      <c r="AX681" s="95">
        <v>0</v>
      </c>
      <c r="AY681" s="95">
        <v>0</v>
      </c>
      <c r="AZ681" s="95">
        <v>0</v>
      </c>
      <c r="BA681" s="95">
        <v>0</v>
      </c>
      <c r="BB681" s="95">
        <v>0</v>
      </c>
      <c r="BC681" s="95">
        <v>0</v>
      </c>
      <c r="BD681" s="95">
        <v>0</v>
      </c>
      <c r="BE681" s="95">
        <v>0</v>
      </c>
    </row>
    <row r="682" spans="2:57" ht="15" customHeight="1" x14ac:dyDescent="0.25">
      <c r="B682" s="91">
        <v>672</v>
      </c>
      <c r="C682" s="92" t="s">
        <v>503</v>
      </c>
      <c r="D682" s="92" t="s">
        <v>57</v>
      </c>
      <c r="E682" s="92" t="s">
        <v>8</v>
      </c>
      <c r="F682" s="92"/>
      <c r="G682" s="93" t="s">
        <v>502</v>
      </c>
      <c r="H682" s="94">
        <v>5372</v>
      </c>
      <c r="I682" s="94">
        <v>3172</v>
      </c>
      <c r="J682" s="94">
        <v>2200</v>
      </c>
      <c r="K682" s="94">
        <v>90</v>
      </c>
      <c r="L682" s="94">
        <v>1083</v>
      </c>
      <c r="M682" s="94">
        <v>2843</v>
      </c>
      <c r="N682" s="94">
        <v>1356</v>
      </c>
      <c r="O682" s="94">
        <v>5370</v>
      </c>
      <c r="P682" s="94">
        <v>2</v>
      </c>
      <c r="Q682" s="95">
        <v>0.25028879476318799</v>
      </c>
      <c r="R682" s="95">
        <v>0.16297262059973899</v>
      </c>
      <c r="S682" s="95">
        <v>0.376293508936971</v>
      </c>
      <c r="T682" s="95">
        <v>1.2820512820512799</v>
      </c>
      <c r="U682" s="95">
        <v>0.479846449136276</v>
      </c>
      <c r="V682" s="95">
        <v>0.25408348457350299</v>
      </c>
      <c r="W682" s="95">
        <v>0</v>
      </c>
      <c r="X682" s="95">
        <v>0.250385208012327</v>
      </c>
      <c r="Y682" s="95">
        <v>0</v>
      </c>
      <c r="Z682" s="94">
        <v>10151</v>
      </c>
      <c r="AA682" s="94">
        <v>5445</v>
      </c>
      <c r="AB682" s="94">
        <v>4706</v>
      </c>
      <c r="AC682" s="94">
        <v>372</v>
      </c>
      <c r="AD682" s="94">
        <v>2107</v>
      </c>
      <c r="AE682" s="94">
        <v>5659</v>
      </c>
      <c r="AF682" s="94">
        <v>2013</v>
      </c>
      <c r="AG682" s="94">
        <v>9261</v>
      </c>
      <c r="AH682" s="94">
        <v>841</v>
      </c>
      <c r="AI682" s="94">
        <v>49</v>
      </c>
      <c r="AJ682" s="94">
        <v>10033</v>
      </c>
      <c r="AK682" s="94">
        <v>82</v>
      </c>
      <c r="AL682" s="94">
        <v>36</v>
      </c>
      <c r="AM682" s="94">
        <v>568</v>
      </c>
      <c r="AN682" s="94">
        <v>9494</v>
      </c>
      <c r="AO682" s="94">
        <v>89</v>
      </c>
      <c r="AP682" s="95">
        <v>1.8014329580348001</v>
      </c>
      <c r="AQ682" s="95">
        <v>0.81655905810862095</v>
      </c>
      <c r="AR682" s="95">
        <v>2.9529307282415602</v>
      </c>
      <c r="AS682" s="95">
        <v>2.5787965616045798</v>
      </c>
      <c r="AT682" s="95">
        <v>2.6754164563351801</v>
      </c>
      <c r="AU682" s="95">
        <v>1.9005847953216399</v>
      </c>
      <c r="AV682" s="95">
        <v>0.50813008130081305</v>
      </c>
      <c r="AW682" s="95">
        <v>1.6347553465457401</v>
      </c>
      <c r="AX682" s="95">
        <v>3.5131744040150599</v>
      </c>
      <c r="AY682" s="95">
        <v>4.7619047619047601</v>
      </c>
      <c r="AZ682" s="95">
        <v>1.80236171535115</v>
      </c>
      <c r="BA682" s="95">
        <v>1.2345679012345701</v>
      </c>
      <c r="BB682" s="95">
        <v>2.8571428571428599</v>
      </c>
      <c r="BC682" s="95">
        <v>0.72595281306715098</v>
      </c>
      <c r="BD682" s="95">
        <v>1.87130663164806</v>
      </c>
      <c r="BE682" s="95">
        <v>1.2345679012345701</v>
      </c>
    </row>
    <row r="683" spans="2:57" ht="15" customHeight="1" x14ac:dyDescent="0.25">
      <c r="B683" s="96">
        <v>673</v>
      </c>
      <c r="C683" s="97" t="s">
        <v>504</v>
      </c>
      <c r="D683" s="104" t="s">
        <v>57</v>
      </c>
      <c r="E683" s="104" t="s">
        <v>8</v>
      </c>
      <c r="F683" s="104" t="s">
        <v>190</v>
      </c>
      <c r="G683" s="105" t="s">
        <v>190</v>
      </c>
      <c r="H683" s="106">
        <v>4421</v>
      </c>
      <c r="I683" s="106">
        <v>2655</v>
      </c>
      <c r="J683" s="106">
        <v>1766</v>
      </c>
      <c r="K683" s="106">
        <v>64</v>
      </c>
      <c r="L683" s="106">
        <v>869</v>
      </c>
      <c r="M683" s="106">
        <v>2329</v>
      </c>
      <c r="N683" s="106">
        <v>1159</v>
      </c>
      <c r="O683" s="106">
        <v>4419</v>
      </c>
      <c r="P683" s="106">
        <v>2</v>
      </c>
      <c r="Q683" s="107">
        <v>0.28037383177570102</v>
      </c>
      <c r="R683" s="107">
        <v>0.155159038013964</v>
      </c>
      <c r="S683" s="107">
        <v>0.47003525264394802</v>
      </c>
      <c r="T683" s="107">
        <v>1.8518518518518501</v>
      </c>
      <c r="U683" s="107">
        <v>0.59880239520958101</v>
      </c>
      <c r="V683" s="107">
        <v>0.265486725663717</v>
      </c>
      <c r="W683" s="107">
        <v>0</v>
      </c>
      <c r="X683" s="107">
        <v>0.28050490883590501</v>
      </c>
      <c r="Y683" s="107">
        <v>0</v>
      </c>
      <c r="Z683" s="106">
        <v>8742</v>
      </c>
      <c r="AA683" s="106">
        <v>4694</v>
      </c>
      <c r="AB683" s="106">
        <v>4048</v>
      </c>
      <c r="AC683" s="106">
        <v>331</v>
      </c>
      <c r="AD683" s="106">
        <v>1815</v>
      </c>
      <c r="AE683" s="106">
        <v>4861</v>
      </c>
      <c r="AF683" s="106">
        <v>1735</v>
      </c>
      <c r="AG683" s="106">
        <v>7959</v>
      </c>
      <c r="AH683" s="106">
        <v>740</v>
      </c>
      <c r="AI683" s="106">
        <v>43</v>
      </c>
      <c r="AJ683" s="106">
        <v>8634</v>
      </c>
      <c r="AK683" s="106">
        <v>78</v>
      </c>
      <c r="AL683" s="106">
        <v>30</v>
      </c>
      <c r="AM683" s="106">
        <v>453</v>
      </c>
      <c r="AN683" s="106">
        <v>8212</v>
      </c>
      <c r="AO683" s="106">
        <v>77</v>
      </c>
      <c r="AP683" s="107">
        <v>1.8192627824019001</v>
      </c>
      <c r="AQ683" s="107">
        <v>0.79365079365079405</v>
      </c>
      <c r="AR683" s="107">
        <v>3.0201342281879202</v>
      </c>
      <c r="AS683" s="107">
        <v>2.5641025641025599</v>
      </c>
      <c r="AT683" s="107">
        <v>2.8638223261250699</v>
      </c>
      <c r="AU683" s="107">
        <v>1.8534299105240699</v>
      </c>
      <c r="AV683" s="107">
        <v>0.53160070880094501</v>
      </c>
      <c r="AW683" s="107">
        <v>1.61689920458991</v>
      </c>
      <c r="AX683" s="107">
        <v>3.8352272727272698</v>
      </c>
      <c r="AY683" s="107">
        <v>5.4054054054054097</v>
      </c>
      <c r="AZ683" s="107">
        <v>1.8304431599229301</v>
      </c>
      <c r="BA683" s="107">
        <v>1.2987012987013</v>
      </c>
      <c r="BB683" s="107">
        <v>0</v>
      </c>
      <c r="BC683" s="107">
        <v>0.68649885583523995</v>
      </c>
      <c r="BD683" s="107">
        <v>1.8853599898772599</v>
      </c>
      <c r="BE683" s="107">
        <v>1.4285714285714299</v>
      </c>
    </row>
    <row r="684" spans="2:57" ht="15" customHeight="1" x14ac:dyDescent="0.25">
      <c r="B684" s="91">
        <v>674</v>
      </c>
      <c r="C684" s="92" t="s">
        <v>504</v>
      </c>
      <c r="D684" s="92" t="s">
        <v>57</v>
      </c>
      <c r="E684" s="92" t="s">
        <v>8</v>
      </c>
      <c r="F684" s="92" t="s">
        <v>190</v>
      </c>
      <c r="G684" s="101" t="s">
        <v>501</v>
      </c>
      <c r="H684" s="94">
        <v>0</v>
      </c>
      <c r="I684" s="94">
        <v>0</v>
      </c>
      <c r="J684" s="94">
        <v>0</v>
      </c>
      <c r="K684" s="94">
        <v>0</v>
      </c>
      <c r="L684" s="94">
        <v>0</v>
      </c>
      <c r="M684" s="94">
        <v>0</v>
      </c>
      <c r="N684" s="94">
        <v>0</v>
      </c>
      <c r="O684" s="94">
        <v>0</v>
      </c>
      <c r="P684" s="94">
        <v>0</v>
      </c>
      <c r="Q684" s="95">
        <v>0</v>
      </c>
      <c r="R684" s="95">
        <v>0</v>
      </c>
      <c r="S684" s="95">
        <v>0</v>
      </c>
      <c r="T684" s="95">
        <v>0</v>
      </c>
      <c r="U684" s="95">
        <v>0</v>
      </c>
      <c r="V684" s="95">
        <v>0</v>
      </c>
      <c r="W684" s="95">
        <v>0</v>
      </c>
      <c r="X684" s="95">
        <v>0</v>
      </c>
      <c r="Y684" s="95">
        <v>0</v>
      </c>
      <c r="Z684" s="94">
        <v>0</v>
      </c>
      <c r="AA684" s="94">
        <v>0</v>
      </c>
      <c r="AB684" s="94">
        <v>0</v>
      </c>
      <c r="AC684" s="94">
        <v>0</v>
      </c>
      <c r="AD684" s="94">
        <v>0</v>
      </c>
      <c r="AE684" s="94">
        <v>0</v>
      </c>
      <c r="AF684" s="94">
        <v>0</v>
      </c>
      <c r="AG684" s="94">
        <v>0</v>
      </c>
      <c r="AH684" s="94">
        <v>0</v>
      </c>
      <c r="AI684" s="94">
        <v>0</v>
      </c>
      <c r="AJ684" s="94">
        <v>0</v>
      </c>
      <c r="AK684" s="94">
        <v>0</v>
      </c>
      <c r="AL684" s="94">
        <v>0</v>
      </c>
      <c r="AM684" s="94">
        <v>0</v>
      </c>
      <c r="AN684" s="94">
        <v>0</v>
      </c>
      <c r="AO684" s="94">
        <v>0</v>
      </c>
      <c r="AP684" s="95">
        <v>0</v>
      </c>
      <c r="AQ684" s="95">
        <v>0</v>
      </c>
      <c r="AR684" s="95">
        <v>0</v>
      </c>
      <c r="AS684" s="95">
        <v>0</v>
      </c>
      <c r="AT684" s="95">
        <v>0</v>
      </c>
      <c r="AU684" s="95">
        <v>0</v>
      </c>
      <c r="AV684" s="95">
        <v>0</v>
      </c>
      <c r="AW684" s="95">
        <v>0</v>
      </c>
      <c r="AX684" s="95">
        <v>0</v>
      </c>
      <c r="AY684" s="95">
        <v>0</v>
      </c>
      <c r="AZ684" s="95">
        <v>0</v>
      </c>
      <c r="BA684" s="95">
        <v>0</v>
      </c>
      <c r="BB684" s="95">
        <v>0</v>
      </c>
      <c r="BC684" s="95">
        <v>0</v>
      </c>
      <c r="BD684" s="95">
        <v>0</v>
      </c>
      <c r="BE684" s="95">
        <v>0</v>
      </c>
    </row>
    <row r="685" spans="2:57" ht="15" customHeight="1" x14ac:dyDescent="0.25">
      <c r="B685" s="91">
        <v>675</v>
      </c>
      <c r="C685" s="92" t="s">
        <v>504</v>
      </c>
      <c r="D685" s="92" t="s">
        <v>57</v>
      </c>
      <c r="E685" s="92" t="s">
        <v>8</v>
      </c>
      <c r="F685" s="92" t="s">
        <v>190</v>
      </c>
      <c r="G685" s="101" t="s">
        <v>502</v>
      </c>
      <c r="H685" s="94">
        <v>4421</v>
      </c>
      <c r="I685" s="94">
        <v>2655</v>
      </c>
      <c r="J685" s="94">
        <v>1766</v>
      </c>
      <c r="K685" s="94">
        <v>64</v>
      </c>
      <c r="L685" s="94">
        <v>869</v>
      </c>
      <c r="M685" s="94">
        <v>2329</v>
      </c>
      <c r="N685" s="94">
        <v>1159</v>
      </c>
      <c r="O685" s="94">
        <v>4419</v>
      </c>
      <c r="P685" s="94">
        <v>2</v>
      </c>
      <c r="Q685" s="95">
        <v>0.28037383177570102</v>
      </c>
      <c r="R685" s="95">
        <v>0.155159038013964</v>
      </c>
      <c r="S685" s="95">
        <v>0.47003525264394802</v>
      </c>
      <c r="T685" s="95">
        <v>1.8518518518518501</v>
      </c>
      <c r="U685" s="95">
        <v>0.59880239520958101</v>
      </c>
      <c r="V685" s="95">
        <v>0.265486725663717</v>
      </c>
      <c r="W685" s="95">
        <v>0</v>
      </c>
      <c r="X685" s="95">
        <v>0.28050490883590501</v>
      </c>
      <c r="Y685" s="95">
        <v>0</v>
      </c>
      <c r="Z685" s="94">
        <v>8742</v>
      </c>
      <c r="AA685" s="94">
        <v>4694</v>
      </c>
      <c r="AB685" s="94">
        <v>4048</v>
      </c>
      <c r="AC685" s="94">
        <v>331</v>
      </c>
      <c r="AD685" s="94">
        <v>1815</v>
      </c>
      <c r="AE685" s="94">
        <v>4861</v>
      </c>
      <c r="AF685" s="94">
        <v>1735</v>
      </c>
      <c r="AG685" s="94">
        <v>7959</v>
      </c>
      <c r="AH685" s="94">
        <v>740</v>
      </c>
      <c r="AI685" s="94">
        <v>43</v>
      </c>
      <c r="AJ685" s="94">
        <v>8634</v>
      </c>
      <c r="AK685" s="94">
        <v>78</v>
      </c>
      <c r="AL685" s="94">
        <v>30</v>
      </c>
      <c r="AM685" s="94">
        <v>453</v>
      </c>
      <c r="AN685" s="94">
        <v>8212</v>
      </c>
      <c r="AO685" s="94">
        <v>77</v>
      </c>
      <c r="AP685" s="95">
        <v>1.8192627824019001</v>
      </c>
      <c r="AQ685" s="95">
        <v>0.79365079365079405</v>
      </c>
      <c r="AR685" s="95">
        <v>3.0201342281879202</v>
      </c>
      <c r="AS685" s="95">
        <v>2.5641025641025599</v>
      </c>
      <c r="AT685" s="95">
        <v>2.8638223261250699</v>
      </c>
      <c r="AU685" s="95">
        <v>1.8534299105240699</v>
      </c>
      <c r="AV685" s="95">
        <v>0.53160070880094501</v>
      </c>
      <c r="AW685" s="95">
        <v>1.61689920458991</v>
      </c>
      <c r="AX685" s="95">
        <v>3.8352272727272698</v>
      </c>
      <c r="AY685" s="95">
        <v>5.4054054054054097</v>
      </c>
      <c r="AZ685" s="95">
        <v>1.8304431599229301</v>
      </c>
      <c r="BA685" s="95">
        <v>1.2987012987013</v>
      </c>
      <c r="BB685" s="95">
        <v>0</v>
      </c>
      <c r="BC685" s="95">
        <v>0.68649885583523995</v>
      </c>
      <c r="BD685" s="95">
        <v>1.8853599898772599</v>
      </c>
      <c r="BE685" s="95">
        <v>1.4285714285714299</v>
      </c>
    </row>
    <row r="686" spans="2:57" ht="15" customHeight="1" x14ac:dyDescent="0.25">
      <c r="B686" s="96">
        <v>676</v>
      </c>
      <c r="C686" s="97" t="s">
        <v>504</v>
      </c>
      <c r="D686" s="104" t="s">
        <v>57</v>
      </c>
      <c r="E686" s="104" t="s">
        <v>8</v>
      </c>
      <c r="F686" s="104" t="s">
        <v>320</v>
      </c>
      <c r="G686" s="105" t="s">
        <v>320</v>
      </c>
      <c r="H686" s="106">
        <v>951</v>
      </c>
      <c r="I686" s="106">
        <v>517</v>
      </c>
      <c r="J686" s="106">
        <v>434</v>
      </c>
      <c r="K686" s="106">
        <v>26</v>
      </c>
      <c r="L686" s="106">
        <v>214</v>
      </c>
      <c r="M686" s="106">
        <v>514</v>
      </c>
      <c r="N686" s="106">
        <v>197</v>
      </c>
      <c r="O686" s="106">
        <v>951</v>
      </c>
      <c r="P686" s="106">
        <v>0</v>
      </c>
      <c r="Q686" s="107">
        <v>0.109409190371991</v>
      </c>
      <c r="R686" s="107">
        <v>0.20408163265306101</v>
      </c>
      <c r="S686" s="107">
        <v>0</v>
      </c>
      <c r="T686" s="107">
        <v>0</v>
      </c>
      <c r="U686" s="107">
        <v>0</v>
      </c>
      <c r="V686" s="107">
        <v>0.20202020202020199</v>
      </c>
      <c r="W686" s="107">
        <v>0</v>
      </c>
      <c r="X686" s="107">
        <v>0.109409190371991</v>
      </c>
      <c r="Y686" s="107">
        <v>0</v>
      </c>
      <c r="Z686" s="106">
        <v>1409</v>
      </c>
      <c r="AA686" s="106">
        <v>751</v>
      </c>
      <c r="AB686" s="106">
        <v>658</v>
      </c>
      <c r="AC686" s="106">
        <v>41</v>
      </c>
      <c r="AD686" s="106">
        <v>292</v>
      </c>
      <c r="AE686" s="106">
        <v>798</v>
      </c>
      <c r="AF686" s="106">
        <v>278</v>
      </c>
      <c r="AG686" s="106">
        <v>1302</v>
      </c>
      <c r="AH686" s="106">
        <v>101</v>
      </c>
      <c r="AI686" s="106">
        <v>6</v>
      </c>
      <c r="AJ686" s="106">
        <v>1399</v>
      </c>
      <c r="AK686" s="106">
        <v>4</v>
      </c>
      <c r="AL686" s="106">
        <v>6</v>
      </c>
      <c r="AM686" s="106">
        <v>115</v>
      </c>
      <c r="AN686" s="106">
        <v>1282</v>
      </c>
      <c r="AO686" s="106">
        <v>12</v>
      </c>
      <c r="AP686" s="107">
        <v>1.6911764705882399</v>
      </c>
      <c r="AQ686" s="107">
        <v>0.95890410958904104</v>
      </c>
      <c r="AR686" s="107">
        <v>2.53968253968254</v>
      </c>
      <c r="AS686" s="107">
        <v>2.7027027027027</v>
      </c>
      <c r="AT686" s="107">
        <v>1.4814814814814801</v>
      </c>
      <c r="AU686" s="107">
        <v>2.1850899742930601</v>
      </c>
      <c r="AV686" s="107">
        <v>0.36363636363636398</v>
      </c>
      <c r="AW686" s="107">
        <v>1.7432646592709999</v>
      </c>
      <c r="AX686" s="107">
        <v>1.0752688172042999</v>
      </c>
      <c r="AY686" s="107">
        <v>0</v>
      </c>
      <c r="AZ686" s="107">
        <v>1.62962962962963</v>
      </c>
      <c r="BA686" s="107">
        <v>0</v>
      </c>
      <c r="BB686" s="107">
        <v>16.6666666666667</v>
      </c>
      <c r="BC686" s="107">
        <v>0.87719298245613997</v>
      </c>
      <c r="BD686" s="107">
        <v>1.7813765182186201</v>
      </c>
      <c r="BE686" s="107">
        <v>0</v>
      </c>
    </row>
    <row r="687" spans="2:57" ht="15" customHeight="1" x14ac:dyDescent="0.25">
      <c r="B687" s="91">
        <v>677</v>
      </c>
      <c r="C687" s="92" t="s">
        <v>504</v>
      </c>
      <c r="D687" s="92" t="s">
        <v>57</v>
      </c>
      <c r="E687" s="92" t="s">
        <v>8</v>
      </c>
      <c r="F687" s="92" t="s">
        <v>320</v>
      </c>
      <c r="G687" s="101" t="s">
        <v>501</v>
      </c>
      <c r="H687" s="94">
        <v>0</v>
      </c>
      <c r="I687" s="94">
        <v>0</v>
      </c>
      <c r="J687" s="94">
        <v>0</v>
      </c>
      <c r="K687" s="94">
        <v>0</v>
      </c>
      <c r="L687" s="94">
        <v>0</v>
      </c>
      <c r="M687" s="94">
        <v>0</v>
      </c>
      <c r="N687" s="94">
        <v>0</v>
      </c>
      <c r="O687" s="94">
        <v>0</v>
      </c>
      <c r="P687" s="94">
        <v>0</v>
      </c>
      <c r="Q687" s="95">
        <v>0</v>
      </c>
      <c r="R687" s="95">
        <v>0</v>
      </c>
      <c r="S687" s="95">
        <v>0</v>
      </c>
      <c r="T687" s="95">
        <v>0</v>
      </c>
      <c r="U687" s="95">
        <v>0</v>
      </c>
      <c r="V687" s="95">
        <v>0</v>
      </c>
      <c r="W687" s="95">
        <v>0</v>
      </c>
      <c r="X687" s="95">
        <v>0</v>
      </c>
      <c r="Y687" s="95">
        <v>0</v>
      </c>
      <c r="Z687" s="94">
        <v>0</v>
      </c>
      <c r="AA687" s="94">
        <v>0</v>
      </c>
      <c r="AB687" s="94">
        <v>0</v>
      </c>
      <c r="AC687" s="94">
        <v>0</v>
      </c>
      <c r="AD687" s="94">
        <v>0</v>
      </c>
      <c r="AE687" s="94">
        <v>0</v>
      </c>
      <c r="AF687" s="94">
        <v>0</v>
      </c>
      <c r="AG687" s="94">
        <v>0</v>
      </c>
      <c r="AH687" s="94">
        <v>0</v>
      </c>
      <c r="AI687" s="94">
        <v>0</v>
      </c>
      <c r="AJ687" s="94">
        <v>0</v>
      </c>
      <c r="AK687" s="94">
        <v>0</v>
      </c>
      <c r="AL687" s="94">
        <v>0</v>
      </c>
      <c r="AM687" s="94">
        <v>0</v>
      </c>
      <c r="AN687" s="94">
        <v>0</v>
      </c>
      <c r="AO687" s="94">
        <v>0</v>
      </c>
      <c r="AP687" s="95">
        <v>0</v>
      </c>
      <c r="AQ687" s="95">
        <v>0</v>
      </c>
      <c r="AR687" s="95">
        <v>0</v>
      </c>
      <c r="AS687" s="95">
        <v>0</v>
      </c>
      <c r="AT687" s="95">
        <v>0</v>
      </c>
      <c r="AU687" s="95">
        <v>0</v>
      </c>
      <c r="AV687" s="95">
        <v>0</v>
      </c>
      <c r="AW687" s="95">
        <v>0</v>
      </c>
      <c r="AX687" s="95">
        <v>0</v>
      </c>
      <c r="AY687" s="95">
        <v>0</v>
      </c>
      <c r="AZ687" s="95">
        <v>0</v>
      </c>
      <c r="BA687" s="95">
        <v>0</v>
      </c>
      <c r="BB687" s="95">
        <v>0</v>
      </c>
      <c r="BC687" s="95">
        <v>0</v>
      </c>
      <c r="BD687" s="95">
        <v>0</v>
      </c>
      <c r="BE687" s="95">
        <v>0</v>
      </c>
    </row>
    <row r="688" spans="2:57" ht="15" customHeight="1" x14ac:dyDescent="0.25">
      <c r="B688" s="91">
        <v>678</v>
      </c>
      <c r="C688" s="92" t="s">
        <v>504</v>
      </c>
      <c r="D688" s="92" t="s">
        <v>57</v>
      </c>
      <c r="E688" s="92" t="s">
        <v>8</v>
      </c>
      <c r="F688" s="92" t="s">
        <v>320</v>
      </c>
      <c r="G688" s="101" t="s">
        <v>502</v>
      </c>
      <c r="H688" s="94">
        <v>951</v>
      </c>
      <c r="I688" s="94">
        <v>517</v>
      </c>
      <c r="J688" s="94">
        <v>434</v>
      </c>
      <c r="K688" s="94">
        <v>26</v>
      </c>
      <c r="L688" s="94">
        <v>214</v>
      </c>
      <c r="M688" s="94">
        <v>514</v>
      </c>
      <c r="N688" s="94">
        <v>197</v>
      </c>
      <c r="O688" s="94">
        <v>951</v>
      </c>
      <c r="P688" s="94">
        <v>0</v>
      </c>
      <c r="Q688" s="95">
        <v>0.109409190371991</v>
      </c>
      <c r="R688" s="95">
        <v>0.20408163265306101</v>
      </c>
      <c r="S688" s="95">
        <v>0</v>
      </c>
      <c r="T688" s="95">
        <v>0</v>
      </c>
      <c r="U688" s="95">
        <v>0</v>
      </c>
      <c r="V688" s="95">
        <v>0.20202020202020199</v>
      </c>
      <c r="W688" s="95">
        <v>0</v>
      </c>
      <c r="X688" s="95">
        <v>0.109409190371991</v>
      </c>
      <c r="Y688" s="95">
        <v>0</v>
      </c>
      <c r="Z688" s="94">
        <v>1409</v>
      </c>
      <c r="AA688" s="94">
        <v>751</v>
      </c>
      <c r="AB688" s="94">
        <v>658</v>
      </c>
      <c r="AC688" s="94">
        <v>41</v>
      </c>
      <c r="AD688" s="94">
        <v>292</v>
      </c>
      <c r="AE688" s="94">
        <v>798</v>
      </c>
      <c r="AF688" s="94">
        <v>278</v>
      </c>
      <c r="AG688" s="94">
        <v>1302</v>
      </c>
      <c r="AH688" s="94">
        <v>101</v>
      </c>
      <c r="AI688" s="94">
        <v>6</v>
      </c>
      <c r="AJ688" s="94">
        <v>1399</v>
      </c>
      <c r="AK688" s="94">
        <v>4</v>
      </c>
      <c r="AL688" s="94">
        <v>6</v>
      </c>
      <c r="AM688" s="94">
        <v>115</v>
      </c>
      <c r="AN688" s="94">
        <v>1282</v>
      </c>
      <c r="AO688" s="94">
        <v>12</v>
      </c>
      <c r="AP688" s="95">
        <v>1.6911764705882399</v>
      </c>
      <c r="AQ688" s="95">
        <v>0.95890410958904104</v>
      </c>
      <c r="AR688" s="95">
        <v>2.53968253968254</v>
      </c>
      <c r="AS688" s="95">
        <v>2.7027027027027</v>
      </c>
      <c r="AT688" s="95">
        <v>1.4814814814814801</v>
      </c>
      <c r="AU688" s="95">
        <v>2.1850899742930601</v>
      </c>
      <c r="AV688" s="95">
        <v>0.36363636363636398</v>
      </c>
      <c r="AW688" s="95">
        <v>1.7432646592709999</v>
      </c>
      <c r="AX688" s="95">
        <v>1.0752688172042999</v>
      </c>
      <c r="AY688" s="95">
        <v>0</v>
      </c>
      <c r="AZ688" s="95">
        <v>1.62962962962963</v>
      </c>
      <c r="BA688" s="95">
        <v>0</v>
      </c>
      <c r="BB688" s="95">
        <v>16.6666666666667</v>
      </c>
      <c r="BC688" s="95">
        <v>0.87719298245613997</v>
      </c>
      <c r="BD688" s="95">
        <v>1.7813765182186201</v>
      </c>
      <c r="BE688" s="95">
        <v>0</v>
      </c>
    </row>
    <row r="689" spans="2:57" ht="15" customHeight="1" x14ac:dyDescent="0.25">
      <c r="B689" s="86">
        <v>679</v>
      </c>
      <c r="C689" s="87" t="s">
        <v>503</v>
      </c>
      <c r="D689" s="103" t="s">
        <v>57</v>
      </c>
      <c r="E689" s="103" t="s">
        <v>375</v>
      </c>
      <c r="F689" s="103"/>
      <c r="G689" s="88" t="s">
        <v>375</v>
      </c>
      <c r="H689" s="89">
        <v>4717</v>
      </c>
      <c r="I689" s="89">
        <v>2637</v>
      </c>
      <c r="J689" s="89">
        <v>2080</v>
      </c>
      <c r="K689" s="89">
        <v>159</v>
      </c>
      <c r="L689" s="89">
        <v>1017</v>
      </c>
      <c r="M689" s="89">
        <v>2525</v>
      </c>
      <c r="N689" s="89">
        <v>1016</v>
      </c>
      <c r="O689" s="89">
        <v>4710</v>
      </c>
      <c r="P689" s="89">
        <v>7</v>
      </c>
      <c r="Q689" s="90">
        <v>0.49527239981990101</v>
      </c>
      <c r="R689" s="90">
        <v>0.24590163934426201</v>
      </c>
      <c r="S689" s="90">
        <v>0.79920079920079901</v>
      </c>
      <c r="T689" s="90">
        <v>0.75757575757575801</v>
      </c>
      <c r="U689" s="90">
        <v>0.84566596194503196</v>
      </c>
      <c r="V689" s="90">
        <v>0.41701417848206801</v>
      </c>
      <c r="W689" s="90">
        <v>0.31055900621117999</v>
      </c>
      <c r="X689" s="90">
        <v>0.49594229035166798</v>
      </c>
      <c r="Y689" s="90">
        <v>0</v>
      </c>
      <c r="Z689" s="89">
        <v>7621</v>
      </c>
      <c r="AA689" s="89">
        <v>4062</v>
      </c>
      <c r="AB689" s="89">
        <v>3559</v>
      </c>
      <c r="AC689" s="89">
        <v>287</v>
      </c>
      <c r="AD689" s="89">
        <v>1700</v>
      </c>
      <c r="AE689" s="89">
        <v>4112</v>
      </c>
      <c r="AF689" s="89">
        <v>1522</v>
      </c>
      <c r="AG689" s="89">
        <v>7106</v>
      </c>
      <c r="AH689" s="89">
        <v>476</v>
      </c>
      <c r="AI689" s="89">
        <v>39</v>
      </c>
      <c r="AJ689" s="89">
        <v>7547</v>
      </c>
      <c r="AK689" s="89">
        <v>60</v>
      </c>
      <c r="AL689" s="89">
        <v>14</v>
      </c>
      <c r="AM689" s="89">
        <v>610</v>
      </c>
      <c r="AN689" s="89">
        <v>6935</v>
      </c>
      <c r="AO689" s="89">
        <v>76</v>
      </c>
      <c r="AP689" s="90">
        <v>1.9059205190592099</v>
      </c>
      <c r="AQ689" s="90">
        <v>1.03981739792037</v>
      </c>
      <c r="AR689" s="90">
        <v>2.8943560057887101</v>
      </c>
      <c r="AS689" s="90">
        <v>1.8450184501844999</v>
      </c>
      <c r="AT689" s="90">
        <v>2.5386996904024799</v>
      </c>
      <c r="AU689" s="90">
        <v>2.0713750935862199</v>
      </c>
      <c r="AV689" s="90">
        <v>0.79734219269103002</v>
      </c>
      <c r="AW689" s="90">
        <v>1.90916980040498</v>
      </c>
      <c r="AX689" s="90">
        <v>2.01793721973094</v>
      </c>
      <c r="AY689" s="90">
        <v>0</v>
      </c>
      <c r="AZ689" s="90">
        <v>1.8955407063957499</v>
      </c>
      <c r="BA689" s="90">
        <v>3.8461538461538498</v>
      </c>
      <c r="BB689" s="90">
        <v>0</v>
      </c>
      <c r="BC689" s="90">
        <v>1.16472545757072</v>
      </c>
      <c r="BD689" s="90">
        <v>1.97887219163815</v>
      </c>
      <c r="BE689" s="90">
        <v>1.31578947368421</v>
      </c>
    </row>
    <row r="690" spans="2:57" ht="15" customHeight="1" x14ac:dyDescent="0.25">
      <c r="B690" s="91">
        <v>680</v>
      </c>
      <c r="C690" s="92" t="s">
        <v>503</v>
      </c>
      <c r="D690" s="92" t="s">
        <v>57</v>
      </c>
      <c r="E690" s="92" t="s">
        <v>375</v>
      </c>
      <c r="F690" s="92"/>
      <c r="G690" s="93" t="s">
        <v>501</v>
      </c>
      <c r="H690" s="94">
        <v>0</v>
      </c>
      <c r="I690" s="94">
        <v>0</v>
      </c>
      <c r="J690" s="94">
        <v>0</v>
      </c>
      <c r="K690" s="94">
        <v>0</v>
      </c>
      <c r="L690" s="94">
        <v>0</v>
      </c>
      <c r="M690" s="94">
        <v>0</v>
      </c>
      <c r="N690" s="94">
        <v>0</v>
      </c>
      <c r="O690" s="94">
        <v>0</v>
      </c>
      <c r="P690" s="94">
        <v>0</v>
      </c>
      <c r="Q690" s="95">
        <v>0</v>
      </c>
      <c r="R690" s="95">
        <v>0</v>
      </c>
      <c r="S690" s="95">
        <v>0</v>
      </c>
      <c r="T690" s="95">
        <v>0</v>
      </c>
      <c r="U690" s="95">
        <v>0</v>
      </c>
      <c r="V690" s="95">
        <v>0</v>
      </c>
      <c r="W690" s="95">
        <v>0</v>
      </c>
      <c r="X690" s="95">
        <v>0</v>
      </c>
      <c r="Y690" s="95">
        <v>0</v>
      </c>
      <c r="Z690" s="94">
        <v>0</v>
      </c>
      <c r="AA690" s="94">
        <v>0</v>
      </c>
      <c r="AB690" s="94">
        <v>0</v>
      </c>
      <c r="AC690" s="94">
        <v>0</v>
      </c>
      <c r="AD690" s="94">
        <v>0</v>
      </c>
      <c r="AE690" s="94">
        <v>0</v>
      </c>
      <c r="AF690" s="94">
        <v>0</v>
      </c>
      <c r="AG690" s="94">
        <v>0</v>
      </c>
      <c r="AH690" s="94">
        <v>0</v>
      </c>
      <c r="AI690" s="94">
        <v>0</v>
      </c>
      <c r="AJ690" s="94">
        <v>0</v>
      </c>
      <c r="AK690" s="94">
        <v>0</v>
      </c>
      <c r="AL690" s="94">
        <v>0</v>
      </c>
      <c r="AM690" s="94">
        <v>0</v>
      </c>
      <c r="AN690" s="94">
        <v>0</v>
      </c>
      <c r="AO690" s="94">
        <v>0</v>
      </c>
      <c r="AP690" s="95">
        <v>0</v>
      </c>
      <c r="AQ690" s="95">
        <v>0</v>
      </c>
      <c r="AR690" s="95">
        <v>0</v>
      </c>
      <c r="AS690" s="95">
        <v>0</v>
      </c>
      <c r="AT690" s="95">
        <v>0</v>
      </c>
      <c r="AU690" s="95">
        <v>0</v>
      </c>
      <c r="AV690" s="95">
        <v>0</v>
      </c>
      <c r="AW690" s="95">
        <v>0</v>
      </c>
      <c r="AX690" s="95">
        <v>0</v>
      </c>
      <c r="AY690" s="95">
        <v>0</v>
      </c>
      <c r="AZ690" s="95">
        <v>0</v>
      </c>
      <c r="BA690" s="95">
        <v>0</v>
      </c>
      <c r="BB690" s="95">
        <v>0</v>
      </c>
      <c r="BC690" s="95">
        <v>0</v>
      </c>
      <c r="BD690" s="95">
        <v>0</v>
      </c>
      <c r="BE690" s="95">
        <v>0</v>
      </c>
    </row>
    <row r="691" spans="2:57" ht="15" customHeight="1" x14ac:dyDescent="0.25">
      <c r="B691" s="91">
        <v>681</v>
      </c>
      <c r="C691" s="92" t="s">
        <v>503</v>
      </c>
      <c r="D691" s="92" t="s">
        <v>57</v>
      </c>
      <c r="E691" s="92" t="s">
        <v>375</v>
      </c>
      <c r="F691" s="92"/>
      <c r="G691" s="93" t="s">
        <v>502</v>
      </c>
      <c r="H691" s="94">
        <v>4717</v>
      </c>
      <c r="I691" s="94">
        <v>2637</v>
      </c>
      <c r="J691" s="94">
        <v>2080</v>
      </c>
      <c r="K691" s="94">
        <v>159</v>
      </c>
      <c r="L691" s="94">
        <v>1017</v>
      </c>
      <c r="M691" s="94">
        <v>2525</v>
      </c>
      <c r="N691" s="94">
        <v>1016</v>
      </c>
      <c r="O691" s="94">
        <v>4710</v>
      </c>
      <c r="P691" s="94">
        <v>7</v>
      </c>
      <c r="Q691" s="95">
        <v>0.49527239981990101</v>
      </c>
      <c r="R691" s="95">
        <v>0.24590163934426201</v>
      </c>
      <c r="S691" s="95">
        <v>0.79920079920079901</v>
      </c>
      <c r="T691" s="95">
        <v>0.75757575757575801</v>
      </c>
      <c r="U691" s="95">
        <v>0.84566596194503196</v>
      </c>
      <c r="V691" s="95">
        <v>0.41701417848206801</v>
      </c>
      <c r="W691" s="95">
        <v>0.31055900621117999</v>
      </c>
      <c r="X691" s="95">
        <v>0.49594229035166798</v>
      </c>
      <c r="Y691" s="95">
        <v>0</v>
      </c>
      <c r="Z691" s="94">
        <v>7621</v>
      </c>
      <c r="AA691" s="94">
        <v>4062</v>
      </c>
      <c r="AB691" s="94">
        <v>3559</v>
      </c>
      <c r="AC691" s="94">
        <v>287</v>
      </c>
      <c r="AD691" s="94">
        <v>1700</v>
      </c>
      <c r="AE691" s="94">
        <v>4112</v>
      </c>
      <c r="AF691" s="94">
        <v>1522</v>
      </c>
      <c r="AG691" s="94">
        <v>7106</v>
      </c>
      <c r="AH691" s="94">
        <v>476</v>
      </c>
      <c r="AI691" s="94">
        <v>39</v>
      </c>
      <c r="AJ691" s="94">
        <v>7547</v>
      </c>
      <c r="AK691" s="94">
        <v>60</v>
      </c>
      <c r="AL691" s="94">
        <v>14</v>
      </c>
      <c r="AM691" s="94">
        <v>610</v>
      </c>
      <c r="AN691" s="94">
        <v>6935</v>
      </c>
      <c r="AO691" s="94">
        <v>76</v>
      </c>
      <c r="AP691" s="95">
        <v>1.9059205190592099</v>
      </c>
      <c r="AQ691" s="95">
        <v>1.03981739792037</v>
      </c>
      <c r="AR691" s="95">
        <v>2.8943560057887101</v>
      </c>
      <c r="AS691" s="95">
        <v>1.8450184501844999</v>
      </c>
      <c r="AT691" s="95">
        <v>2.5386996904024799</v>
      </c>
      <c r="AU691" s="95">
        <v>2.0713750935862199</v>
      </c>
      <c r="AV691" s="95">
        <v>0.79734219269103002</v>
      </c>
      <c r="AW691" s="95">
        <v>1.90916980040498</v>
      </c>
      <c r="AX691" s="95">
        <v>2.01793721973094</v>
      </c>
      <c r="AY691" s="95">
        <v>0</v>
      </c>
      <c r="AZ691" s="95">
        <v>1.8955407063957499</v>
      </c>
      <c r="BA691" s="95">
        <v>3.8461538461538498</v>
      </c>
      <c r="BB691" s="95">
        <v>0</v>
      </c>
      <c r="BC691" s="95">
        <v>1.16472545757072</v>
      </c>
      <c r="BD691" s="95">
        <v>1.97887219163815</v>
      </c>
      <c r="BE691" s="95">
        <v>1.31578947368421</v>
      </c>
    </row>
    <row r="692" spans="2:57" ht="15" customHeight="1" x14ac:dyDescent="0.25">
      <c r="B692" s="96">
        <v>682</v>
      </c>
      <c r="C692" s="97" t="s">
        <v>504</v>
      </c>
      <c r="D692" s="104" t="s">
        <v>57</v>
      </c>
      <c r="E692" s="104" t="s">
        <v>375</v>
      </c>
      <c r="F692" s="104" t="s">
        <v>110</v>
      </c>
      <c r="G692" s="105" t="s">
        <v>110</v>
      </c>
      <c r="H692" s="106">
        <v>1952</v>
      </c>
      <c r="I692" s="106">
        <v>1083</v>
      </c>
      <c r="J692" s="106">
        <v>869</v>
      </c>
      <c r="K692" s="106">
        <v>84</v>
      </c>
      <c r="L692" s="106">
        <v>403</v>
      </c>
      <c r="M692" s="106">
        <v>1040</v>
      </c>
      <c r="N692" s="106">
        <v>425</v>
      </c>
      <c r="O692" s="106">
        <v>1948</v>
      </c>
      <c r="P692" s="106">
        <v>4</v>
      </c>
      <c r="Q692" s="107">
        <v>0.32733224222585899</v>
      </c>
      <c r="R692" s="107">
        <v>0.200601805416249</v>
      </c>
      <c r="S692" s="107">
        <v>0.47846889952153099</v>
      </c>
      <c r="T692" s="107">
        <v>0</v>
      </c>
      <c r="U692" s="107">
        <v>0.79787234042553201</v>
      </c>
      <c r="V692" s="107">
        <v>0.30612244897959201</v>
      </c>
      <c r="W692" s="107">
        <v>0</v>
      </c>
      <c r="X692" s="107">
        <v>0.32786885245901598</v>
      </c>
      <c r="Y692" s="107">
        <v>0</v>
      </c>
      <c r="Z692" s="106">
        <v>4034</v>
      </c>
      <c r="AA692" s="106">
        <v>2104</v>
      </c>
      <c r="AB692" s="106">
        <v>1930</v>
      </c>
      <c r="AC692" s="106">
        <v>184</v>
      </c>
      <c r="AD692" s="106">
        <v>948</v>
      </c>
      <c r="AE692" s="106">
        <v>2185</v>
      </c>
      <c r="AF692" s="106">
        <v>717</v>
      </c>
      <c r="AG692" s="106">
        <v>3804</v>
      </c>
      <c r="AH692" s="106">
        <v>218</v>
      </c>
      <c r="AI692" s="106">
        <v>12</v>
      </c>
      <c r="AJ692" s="106">
        <v>3992</v>
      </c>
      <c r="AK692" s="106">
        <v>36</v>
      </c>
      <c r="AL692" s="106">
        <v>6</v>
      </c>
      <c r="AM692" s="106">
        <v>310</v>
      </c>
      <c r="AN692" s="106">
        <v>3682</v>
      </c>
      <c r="AO692" s="106">
        <v>42</v>
      </c>
      <c r="AP692" s="107">
        <v>1.9122896481386999</v>
      </c>
      <c r="AQ692" s="107">
        <v>1.07421875</v>
      </c>
      <c r="AR692" s="107">
        <v>2.8281750266809</v>
      </c>
      <c r="AS692" s="107">
        <v>1.13636363636364</v>
      </c>
      <c r="AT692" s="107">
        <v>2.88248337028825</v>
      </c>
      <c r="AU692" s="107">
        <v>1.87353629976581</v>
      </c>
      <c r="AV692" s="107">
        <v>0.98730606488011297</v>
      </c>
      <c r="AW692" s="107">
        <v>1.94436943019174</v>
      </c>
      <c r="AX692" s="107">
        <v>1.4492753623188399</v>
      </c>
      <c r="AY692" s="107">
        <v>0</v>
      </c>
      <c r="AZ692" s="107">
        <v>1.9324916258696201</v>
      </c>
      <c r="BA692" s="107">
        <v>0</v>
      </c>
      <c r="BB692" s="107">
        <v>0</v>
      </c>
      <c r="BC692" s="107">
        <v>1.3114754098360699</v>
      </c>
      <c r="BD692" s="107">
        <v>1.98601398601399</v>
      </c>
      <c r="BE692" s="107">
        <v>0</v>
      </c>
    </row>
    <row r="693" spans="2:57" ht="15" customHeight="1" x14ac:dyDescent="0.25">
      <c r="B693" s="91">
        <v>683</v>
      </c>
      <c r="C693" s="92" t="s">
        <v>504</v>
      </c>
      <c r="D693" s="92" t="s">
        <v>57</v>
      </c>
      <c r="E693" s="92" t="s">
        <v>375</v>
      </c>
      <c r="F693" s="92" t="s">
        <v>110</v>
      </c>
      <c r="G693" s="101" t="s">
        <v>501</v>
      </c>
      <c r="H693" s="94">
        <v>0</v>
      </c>
      <c r="I693" s="94">
        <v>0</v>
      </c>
      <c r="J693" s="94">
        <v>0</v>
      </c>
      <c r="K693" s="94">
        <v>0</v>
      </c>
      <c r="L693" s="94">
        <v>0</v>
      </c>
      <c r="M693" s="94">
        <v>0</v>
      </c>
      <c r="N693" s="94">
        <v>0</v>
      </c>
      <c r="O693" s="94">
        <v>0</v>
      </c>
      <c r="P693" s="94">
        <v>0</v>
      </c>
      <c r="Q693" s="95">
        <v>0</v>
      </c>
      <c r="R693" s="95">
        <v>0</v>
      </c>
      <c r="S693" s="95">
        <v>0</v>
      </c>
      <c r="T693" s="95">
        <v>0</v>
      </c>
      <c r="U693" s="95">
        <v>0</v>
      </c>
      <c r="V693" s="95">
        <v>0</v>
      </c>
      <c r="W693" s="95">
        <v>0</v>
      </c>
      <c r="X693" s="95">
        <v>0</v>
      </c>
      <c r="Y693" s="95">
        <v>0</v>
      </c>
      <c r="Z693" s="94">
        <v>0</v>
      </c>
      <c r="AA693" s="94">
        <v>0</v>
      </c>
      <c r="AB693" s="94">
        <v>0</v>
      </c>
      <c r="AC693" s="94">
        <v>0</v>
      </c>
      <c r="AD693" s="94">
        <v>0</v>
      </c>
      <c r="AE693" s="94">
        <v>0</v>
      </c>
      <c r="AF693" s="94">
        <v>0</v>
      </c>
      <c r="AG693" s="94">
        <v>0</v>
      </c>
      <c r="AH693" s="94">
        <v>0</v>
      </c>
      <c r="AI693" s="94">
        <v>0</v>
      </c>
      <c r="AJ693" s="94">
        <v>0</v>
      </c>
      <c r="AK693" s="94">
        <v>0</v>
      </c>
      <c r="AL693" s="94">
        <v>0</v>
      </c>
      <c r="AM693" s="94">
        <v>0</v>
      </c>
      <c r="AN693" s="94">
        <v>0</v>
      </c>
      <c r="AO693" s="94">
        <v>0</v>
      </c>
      <c r="AP693" s="95">
        <v>0</v>
      </c>
      <c r="AQ693" s="95">
        <v>0</v>
      </c>
      <c r="AR693" s="95">
        <v>0</v>
      </c>
      <c r="AS693" s="95">
        <v>0</v>
      </c>
      <c r="AT693" s="95">
        <v>0</v>
      </c>
      <c r="AU693" s="95">
        <v>0</v>
      </c>
      <c r="AV693" s="95">
        <v>0</v>
      </c>
      <c r="AW693" s="95">
        <v>0</v>
      </c>
      <c r="AX693" s="95">
        <v>0</v>
      </c>
      <c r="AY693" s="95">
        <v>0</v>
      </c>
      <c r="AZ693" s="95">
        <v>0</v>
      </c>
      <c r="BA693" s="95">
        <v>0</v>
      </c>
      <c r="BB693" s="95">
        <v>0</v>
      </c>
      <c r="BC693" s="95">
        <v>0</v>
      </c>
      <c r="BD693" s="95">
        <v>0</v>
      </c>
      <c r="BE693" s="95">
        <v>0</v>
      </c>
    </row>
    <row r="694" spans="2:57" ht="15" customHeight="1" x14ac:dyDescent="0.25">
      <c r="B694" s="91">
        <v>684</v>
      </c>
      <c r="C694" s="92" t="s">
        <v>504</v>
      </c>
      <c r="D694" s="92" t="s">
        <v>57</v>
      </c>
      <c r="E694" s="92" t="s">
        <v>375</v>
      </c>
      <c r="F694" s="92" t="s">
        <v>110</v>
      </c>
      <c r="G694" s="101" t="s">
        <v>502</v>
      </c>
      <c r="H694" s="94">
        <v>1952</v>
      </c>
      <c r="I694" s="94">
        <v>1083</v>
      </c>
      <c r="J694" s="94">
        <v>869</v>
      </c>
      <c r="K694" s="94">
        <v>84</v>
      </c>
      <c r="L694" s="94">
        <v>403</v>
      </c>
      <c r="M694" s="94">
        <v>1040</v>
      </c>
      <c r="N694" s="94">
        <v>425</v>
      </c>
      <c r="O694" s="94">
        <v>1948</v>
      </c>
      <c r="P694" s="94">
        <v>4</v>
      </c>
      <c r="Q694" s="95">
        <v>0.32733224222585899</v>
      </c>
      <c r="R694" s="95">
        <v>0.200601805416249</v>
      </c>
      <c r="S694" s="95">
        <v>0.47846889952153099</v>
      </c>
      <c r="T694" s="95">
        <v>0</v>
      </c>
      <c r="U694" s="95">
        <v>0.79787234042553201</v>
      </c>
      <c r="V694" s="95">
        <v>0.30612244897959201</v>
      </c>
      <c r="W694" s="95">
        <v>0</v>
      </c>
      <c r="X694" s="95">
        <v>0.32786885245901598</v>
      </c>
      <c r="Y694" s="95">
        <v>0</v>
      </c>
      <c r="Z694" s="94">
        <v>4034</v>
      </c>
      <c r="AA694" s="94">
        <v>2104</v>
      </c>
      <c r="AB694" s="94">
        <v>1930</v>
      </c>
      <c r="AC694" s="94">
        <v>184</v>
      </c>
      <c r="AD694" s="94">
        <v>948</v>
      </c>
      <c r="AE694" s="94">
        <v>2185</v>
      </c>
      <c r="AF694" s="94">
        <v>717</v>
      </c>
      <c r="AG694" s="94">
        <v>3804</v>
      </c>
      <c r="AH694" s="94">
        <v>218</v>
      </c>
      <c r="AI694" s="94">
        <v>12</v>
      </c>
      <c r="AJ694" s="94">
        <v>3992</v>
      </c>
      <c r="AK694" s="94">
        <v>36</v>
      </c>
      <c r="AL694" s="94">
        <v>6</v>
      </c>
      <c r="AM694" s="94">
        <v>310</v>
      </c>
      <c r="AN694" s="94">
        <v>3682</v>
      </c>
      <c r="AO694" s="94">
        <v>42</v>
      </c>
      <c r="AP694" s="95">
        <v>1.9122896481386999</v>
      </c>
      <c r="AQ694" s="95">
        <v>1.07421875</v>
      </c>
      <c r="AR694" s="95">
        <v>2.8281750266809</v>
      </c>
      <c r="AS694" s="95">
        <v>1.13636363636364</v>
      </c>
      <c r="AT694" s="95">
        <v>2.88248337028825</v>
      </c>
      <c r="AU694" s="95">
        <v>1.87353629976581</v>
      </c>
      <c r="AV694" s="95">
        <v>0.98730606488011297</v>
      </c>
      <c r="AW694" s="95">
        <v>1.94436943019174</v>
      </c>
      <c r="AX694" s="95">
        <v>1.4492753623188399</v>
      </c>
      <c r="AY694" s="95">
        <v>0</v>
      </c>
      <c r="AZ694" s="95">
        <v>1.9324916258696201</v>
      </c>
      <c r="BA694" s="95">
        <v>0</v>
      </c>
      <c r="BB694" s="95">
        <v>0</v>
      </c>
      <c r="BC694" s="95">
        <v>1.3114754098360699</v>
      </c>
      <c r="BD694" s="95">
        <v>1.98601398601399</v>
      </c>
      <c r="BE694" s="95">
        <v>0</v>
      </c>
    </row>
    <row r="695" spans="2:57" ht="15" customHeight="1" x14ac:dyDescent="0.25">
      <c r="B695" s="96">
        <v>685</v>
      </c>
      <c r="C695" s="97" t="s">
        <v>504</v>
      </c>
      <c r="D695" s="104" t="s">
        <v>57</v>
      </c>
      <c r="E695" s="104" t="s">
        <v>375</v>
      </c>
      <c r="F695" s="104" t="s">
        <v>144</v>
      </c>
      <c r="G695" s="105" t="s">
        <v>144</v>
      </c>
      <c r="H695" s="106">
        <v>2765</v>
      </c>
      <c r="I695" s="106">
        <v>1554</v>
      </c>
      <c r="J695" s="106">
        <v>1211</v>
      </c>
      <c r="K695" s="106">
        <v>75</v>
      </c>
      <c r="L695" s="106">
        <v>614</v>
      </c>
      <c r="M695" s="106">
        <v>1485</v>
      </c>
      <c r="N695" s="106">
        <v>591</v>
      </c>
      <c r="O695" s="106">
        <v>2762</v>
      </c>
      <c r="P695" s="106">
        <v>3</v>
      </c>
      <c r="Q695" s="107">
        <v>0.61326178612495197</v>
      </c>
      <c r="R695" s="107">
        <v>0.27720027720027701</v>
      </c>
      <c r="S695" s="107">
        <v>1.0291595197255601</v>
      </c>
      <c r="T695" s="107">
        <v>1.6666666666666701</v>
      </c>
      <c r="U695" s="107">
        <v>0.87719298245613997</v>
      </c>
      <c r="V695" s="107">
        <v>0.49365303244005598</v>
      </c>
      <c r="W695" s="107">
        <v>0.53475935828876997</v>
      </c>
      <c r="X695" s="107">
        <v>0.61396776669224895</v>
      </c>
      <c r="Y695" s="107">
        <v>0</v>
      </c>
      <c r="Z695" s="106">
        <v>3587</v>
      </c>
      <c r="AA695" s="106">
        <v>1958</v>
      </c>
      <c r="AB695" s="106">
        <v>1629</v>
      </c>
      <c r="AC695" s="106">
        <v>103</v>
      </c>
      <c r="AD695" s="106">
        <v>752</v>
      </c>
      <c r="AE695" s="106">
        <v>1927</v>
      </c>
      <c r="AF695" s="106">
        <v>805</v>
      </c>
      <c r="AG695" s="106">
        <v>3302</v>
      </c>
      <c r="AH695" s="106">
        <v>258</v>
      </c>
      <c r="AI695" s="106">
        <v>27</v>
      </c>
      <c r="AJ695" s="106">
        <v>3555</v>
      </c>
      <c r="AK695" s="106">
        <v>24</v>
      </c>
      <c r="AL695" s="106">
        <v>8</v>
      </c>
      <c r="AM695" s="106">
        <v>300</v>
      </c>
      <c r="AN695" s="106">
        <v>3253</v>
      </c>
      <c r="AO695" s="106">
        <v>34</v>
      </c>
      <c r="AP695" s="107">
        <v>1.89873417721519</v>
      </c>
      <c r="AQ695" s="107">
        <v>1.0026385224274399</v>
      </c>
      <c r="AR695" s="107">
        <v>2.97280202403542</v>
      </c>
      <c r="AS695" s="107">
        <v>3.1578947368421102</v>
      </c>
      <c r="AT695" s="107">
        <v>2.1037868162692801</v>
      </c>
      <c r="AU695" s="107">
        <v>2.29700854700855</v>
      </c>
      <c r="AV695" s="107">
        <v>0.62814070351758799</v>
      </c>
      <c r="AW695" s="107">
        <v>1.86857676736219</v>
      </c>
      <c r="AX695" s="107">
        <v>2.5104602510460201</v>
      </c>
      <c r="AY695" s="107">
        <v>0</v>
      </c>
      <c r="AZ695" s="107">
        <v>1.8539976825029001</v>
      </c>
      <c r="BA695" s="107">
        <v>11.764705882352899</v>
      </c>
      <c r="BB695" s="107">
        <v>0</v>
      </c>
      <c r="BC695" s="107">
        <v>1.01351351351351</v>
      </c>
      <c r="BD695" s="107">
        <v>1.9707565162110601</v>
      </c>
      <c r="BE695" s="107">
        <v>2.9411764705882399</v>
      </c>
    </row>
    <row r="696" spans="2:57" ht="15" customHeight="1" x14ac:dyDescent="0.25">
      <c r="B696" s="91">
        <v>686</v>
      </c>
      <c r="C696" s="92" t="s">
        <v>504</v>
      </c>
      <c r="D696" s="92" t="s">
        <v>57</v>
      </c>
      <c r="E696" s="92" t="s">
        <v>375</v>
      </c>
      <c r="F696" s="92" t="s">
        <v>144</v>
      </c>
      <c r="G696" s="101" t="s">
        <v>501</v>
      </c>
      <c r="H696" s="94">
        <v>0</v>
      </c>
      <c r="I696" s="94">
        <v>0</v>
      </c>
      <c r="J696" s="94">
        <v>0</v>
      </c>
      <c r="K696" s="94">
        <v>0</v>
      </c>
      <c r="L696" s="94">
        <v>0</v>
      </c>
      <c r="M696" s="94">
        <v>0</v>
      </c>
      <c r="N696" s="94">
        <v>0</v>
      </c>
      <c r="O696" s="94">
        <v>0</v>
      </c>
      <c r="P696" s="94">
        <v>0</v>
      </c>
      <c r="Q696" s="95">
        <v>0</v>
      </c>
      <c r="R696" s="95">
        <v>0</v>
      </c>
      <c r="S696" s="95">
        <v>0</v>
      </c>
      <c r="T696" s="95">
        <v>0</v>
      </c>
      <c r="U696" s="95">
        <v>0</v>
      </c>
      <c r="V696" s="95">
        <v>0</v>
      </c>
      <c r="W696" s="95">
        <v>0</v>
      </c>
      <c r="X696" s="95">
        <v>0</v>
      </c>
      <c r="Y696" s="95">
        <v>0</v>
      </c>
      <c r="Z696" s="94">
        <v>0</v>
      </c>
      <c r="AA696" s="94">
        <v>0</v>
      </c>
      <c r="AB696" s="94">
        <v>0</v>
      </c>
      <c r="AC696" s="94">
        <v>0</v>
      </c>
      <c r="AD696" s="94">
        <v>0</v>
      </c>
      <c r="AE696" s="94">
        <v>0</v>
      </c>
      <c r="AF696" s="94">
        <v>0</v>
      </c>
      <c r="AG696" s="94">
        <v>0</v>
      </c>
      <c r="AH696" s="94">
        <v>0</v>
      </c>
      <c r="AI696" s="94">
        <v>0</v>
      </c>
      <c r="AJ696" s="94">
        <v>0</v>
      </c>
      <c r="AK696" s="94">
        <v>0</v>
      </c>
      <c r="AL696" s="94">
        <v>0</v>
      </c>
      <c r="AM696" s="94">
        <v>0</v>
      </c>
      <c r="AN696" s="94">
        <v>0</v>
      </c>
      <c r="AO696" s="94">
        <v>0</v>
      </c>
      <c r="AP696" s="95">
        <v>0</v>
      </c>
      <c r="AQ696" s="95">
        <v>0</v>
      </c>
      <c r="AR696" s="95">
        <v>0</v>
      </c>
      <c r="AS696" s="95">
        <v>0</v>
      </c>
      <c r="AT696" s="95">
        <v>0</v>
      </c>
      <c r="AU696" s="95">
        <v>0</v>
      </c>
      <c r="AV696" s="95">
        <v>0</v>
      </c>
      <c r="AW696" s="95">
        <v>0</v>
      </c>
      <c r="AX696" s="95">
        <v>0</v>
      </c>
      <c r="AY696" s="95">
        <v>0</v>
      </c>
      <c r="AZ696" s="95">
        <v>0</v>
      </c>
      <c r="BA696" s="95">
        <v>0</v>
      </c>
      <c r="BB696" s="95">
        <v>0</v>
      </c>
      <c r="BC696" s="95">
        <v>0</v>
      </c>
      <c r="BD696" s="95">
        <v>0</v>
      </c>
      <c r="BE696" s="95">
        <v>0</v>
      </c>
    </row>
    <row r="697" spans="2:57" ht="15" customHeight="1" x14ac:dyDescent="0.25">
      <c r="B697" s="91">
        <v>687</v>
      </c>
      <c r="C697" s="92" t="s">
        <v>504</v>
      </c>
      <c r="D697" s="92" t="s">
        <v>57</v>
      </c>
      <c r="E697" s="92" t="s">
        <v>375</v>
      </c>
      <c r="F697" s="92" t="s">
        <v>144</v>
      </c>
      <c r="G697" s="101" t="s">
        <v>502</v>
      </c>
      <c r="H697" s="94">
        <v>2765</v>
      </c>
      <c r="I697" s="94">
        <v>1554</v>
      </c>
      <c r="J697" s="94">
        <v>1211</v>
      </c>
      <c r="K697" s="94">
        <v>75</v>
      </c>
      <c r="L697" s="94">
        <v>614</v>
      </c>
      <c r="M697" s="94">
        <v>1485</v>
      </c>
      <c r="N697" s="94">
        <v>591</v>
      </c>
      <c r="O697" s="94">
        <v>2762</v>
      </c>
      <c r="P697" s="94">
        <v>3</v>
      </c>
      <c r="Q697" s="95">
        <v>0.61326178612495197</v>
      </c>
      <c r="R697" s="95">
        <v>0.27720027720027701</v>
      </c>
      <c r="S697" s="95">
        <v>1.0291595197255601</v>
      </c>
      <c r="T697" s="95">
        <v>1.6666666666666701</v>
      </c>
      <c r="U697" s="95">
        <v>0.87719298245613997</v>
      </c>
      <c r="V697" s="95">
        <v>0.49365303244005598</v>
      </c>
      <c r="W697" s="95">
        <v>0.53475935828876997</v>
      </c>
      <c r="X697" s="95">
        <v>0.61396776669224895</v>
      </c>
      <c r="Y697" s="95">
        <v>0</v>
      </c>
      <c r="Z697" s="94">
        <v>3587</v>
      </c>
      <c r="AA697" s="94">
        <v>1958</v>
      </c>
      <c r="AB697" s="94">
        <v>1629</v>
      </c>
      <c r="AC697" s="94">
        <v>103</v>
      </c>
      <c r="AD697" s="94">
        <v>752</v>
      </c>
      <c r="AE697" s="94">
        <v>1927</v>
      </c>
      <c r="AF697" s="94">
        <v>805</v>
      </c>
      <c r="AG697" s="94">
        <v>3302</v>
      </c>
      <c r="AH697" s="94">
        <v>258</v>
      </c>
      <c r="AI697" s="94">
        <v>27</v>
      </c>
      <c r="AJ697" s="94">
        <v>3555</v>
      </c>
      <c r="AK697" s="94">
        <v>24</v>
      </c>
      <c r="AL697" s="94">
        <v>8</v>
      </c>
      <c r="AM697" s="94">
        <v>300</v>
      </c>
      <c r="AN697" s="94">
        <v>3253</v>
      </c>
      <c r="AO697" s="94">
        <v>34</v>
      </c>
      <c r="AP697" s="95">
        <v>1.89873417721519</v>
      </c>
      <c r="AQ697" s="95">
        <v>1.0026385224274399</v>
      </c>
      <c r="AR697" s="95">
        <v>2.97280202403542</v>
      </c>
      <c r="AS697" s="95">
        <v>3.1578947368421102</v>
      </c>
      <c r="AT697" s="95">
        <v>2.1037868162692801</v>
      </c>
      <c r="AU697" s="95">
        <v>2.29700854700855</v>
      </c>
      <c r="AV697" s="95">
        <v>0.62814070351758799</v>
      </c>
      <c r="AW697" s="95">
        <v>1.86857676736219</v>
      </c>
      <c r="AX697" s="95">
        <v>2.5104602510460201</v>
      </c>
      <c r="AY697" s="95">
        <v>0</v>
      </c>
      <c r="AZ697" s="95">
        <v>1.8539976825029001</v>
      </c>
      <c r="BA697" s="95">
        <v>11.764705882352899</v>
      </c>
      <c r="BB697" s="95">
        <v>0</v>
      </c>
      <c r="BC697" s="95">
        <v>1.01351351351351</v>
      </c>
      <c r="BD697" s="95">
        <v>1.9707565162110601</v>
      </c>
      <c r="BE697" s="95">
        <v>2.9411764705882399</v>
      </c>
    </row>
    <row r="698" spans="2:57" ht="15" customHeight="1" x14ac:dyDescent="0.25">
      <c r="B698" s="86">
        <v>688</v>
      </c>
      <c r="C698" s="87" t="s">
        <v>503</v>
      </c>
      <c r="D698" s="103" t="s">
        <v>57</v>
      </c>
      <c r="E698" s="103" t="s">
        <v>376</v>
      </c>
      <c r="F698" s="103"/>
      <c r="G698" s="88" t="s">
        <v>376</v>
      </c>
      <c r="H698" s="89">
        <v>4581</v>
      </c>
      <c r="I698" s="89">
        <v>2735</v>
      </c>
      <c r="J698" s="89">
        <v>1846</v>
      </c>
      <c r="K698" s="89">
        <v>107</v>
      </c>
      <c r="L698" s="89">
        <v>1366</v>
      </c>
      <c r="M698" s="89">
        <v>2436</v>
      </c>
      <c r="N698" s="89">
        <v>672</v>
      </c>
      <c r="O698" s="89">
        <v>4565</v>
      </c>
      <c r="P698" s="89">
        <v>16</v>
      </c>
      <c r="Q698" s="90">
        <v>0.27180067950169901</v>
      </c>
      <c r="R698" s="90">
        <v>0.18867924528301899</v>
      </c>
      <c r="S698" s="90">
        <v>0.39660056657223802</v>
      </c>
      <c r="T698" s="90">
        <v>0</v>
      </c>
      <c r="U698" s="90">
        <v>0.38226299694189603</v>
      </c>
      <c r="V698" s="90">
        <v>0.16906170752324601</v>
      </c>
      <c r="W698" s="90">
        <v>0.46511627906976699</v>
      </c>
      <c r="X698" s="90">
        <v>0.27272727272727298</v>
      </c>
      <c r="Y698" s="90">
        <v>0</v>
      </c>
      <c r="Z698" s="89">
        <v>7668</v>
      </c>
      <c r="AA698" s="89">
        <v>4162</v>
      </c>
      <c r="AB698" s="89">
        <v>3506</v>
      </c>
      <c r="AC698" s="89">
        <v>258</v>
      </c>
      <c r="AD698" s="89">
        <v>2056</v>
      </c>
      <c r="AE698" s="89">
        <v>4399</v>
      </c>
      <c r="AF698" s="89">
        <v>955</v>
      </c>
      <c r="AG698" s="89">
        <v>5185</v>
      </c>
      <c r="AH698" s="89">
        <v>2433</v>
      </c>
      <c r="AI698" s="89">
        <v>50</v>
      </c>
      <c r="AJ698" s="89">
        <v>7536</v>
      </c>
      <c r="AK698" s="89">
        <v>110</v>
      </c>
      <c r="AL698" s="89">
        <v>22</v>
      </c>
      <c r="AM698" s="89">
        <v>353</v>
      </c>
      <c r="AN698" s="89">
        <v>7238</v>
      </c>
      <c r="AO698" s="89">
        <v>77</v>
      </c>
      <c r="AP698" s="90">
        <v>1.5814587593728699</v>
      </c>
      <c r="AQ698" s="90">
        <v>0.74349442379182196</v>
      </c>
      <c r="AR698" s="90">
        <v>2.60606060606061</v>
      </c>
      <c r="AS698" s="90">
        <v>1.2448132780083001</v>
      </c>
      <c r="AT698" s="90">
        <v>1.69840452907874</v>
      </c>
      <c r="AU698" s="90">
        <v>1.7314990512334001</v>
      </c>
      <c r="AV698" s="90">
        <v>0.74866310160427796</v>
      </c>
      <c r="AW698" s="90">
        <v>1.56626506024096</v>
      </c>
      <c r="AX698" s="90">
        <v>1.6450216450216499</v>
      </c>
      <c r="AY698" s="90">
        <v>0</v>
      </c>
      <c r="AZ698" s="90">
        <v>1.5958923119622499</v>
      </c>
      <c r="BA698" s="90">
        <v>0.934579439252336</v>
      </c>
      <c r="BB698" s="90">
        <v>0</v>
      </c>
      <c r="BC698" s="90">
        <v>1.73913043478261</v>
      </c>
      <c r="BD698" s="90">
        <v>1.57582767095562</v>
      </c>
      <c r="BE698" s="90">
        <v>1.3698630136986301</v>
      </c>
    </row>
    <row r="699" spans="2:57" ht="15" customHeight="1" x14ac:dyDescent="0.25">
      <c r="B699" s="91">
        <v>689</v>
      </c>
      <c r="C699" s="92" t="s">
        <v>503</v>
      </c>
      <c r="D699" s="92" t="s">
        <v>57</v>
      </c>
      <c r="E699" s="92" t="s">
        <v>376</v>
      </c>
      <c r="F699" s="92"/>
      <c r="G699" s="93" t="s">
        <v>501</v>
      </c>
      <c r="H699" s="94">
        <v>0</v>
      </c>
      <c r="I699" s="94">
        <v>0</v>
      </c>
      <c r="J699" s="94">
        <v>0</v>
      </c>
      <c r="K699" s="94">
        <v>0</v>
      </c>
      <c r="L699" s="94">
        <v>0</v>
      </c>
      <c r="M699" s="94">
        <v>0</v>
      </c>
      <c r="N699" s="94">
        <v>0</v>
      </c>
      <c r="O699" s="94">
        <v>0</v>
      </c>
      <c r="P699" s="94">
        <v>0</v>
      </c>
      <c r="Q699" s="95">
        <v>0</v>
      </c>
      <c r="R699" s="95">
        <v>0</v>
      </c>
      <c r="S699" s="95">
        <v>0</v>
      </c>
      <c r="T699" s="95">
        <v>0</v>
      </c>
      <c r="U699" s="95">
        <v>0</v>
      </c>
      <c r="V699" s="95">
        <v>0</v>
      </c>
      <c r="W699" s="95">
        <v>0</v>
      </c>
      <c r="X699" s="95">
        <v>0</v>
      </c>
      <c r="Y699" s="95">
        <v>0</v>
      </c>
      <c r="Z699" s="94">
        <v>3384</v>
      </c>
      <c r="AA699" s="94">
        <v>1830</v>
      </c>
      <c r="AB699" s="94">
        <v>1554</v>
      </c>
      <c r="AC699" s="94">
        <v>112</v>
      </c>
      <c r="AD699" s="94">
        <v>822</v>
      </c>
      <c r="AE699" s="94">
        <v>1975</v>
      </c>
      <c r="AF699" s="94">
        <v>475</v>
      </c>
      <c r="AG699" s="94">
        <v>2139</v>
      </c>
      <c r="AH699" s="94">
        <v>1226</v>
      </c>
      <c r="AI699" s="94">
        <v>19</v>
      </c>
      <c r="AJ699" s="94">
        <v>3350</v>
      </c>
      <c r="AK699" s="94">
        <v>28</v>
      </c>
      <c r="AL699" s="94">
        <v>6</v>
      </c>
      <c r="AM699" s="94">
        <v>169</v>
      </c>
      <c r="AN699" s="94">
        <v>3189</v>
      </c>
      <c r="AO699" s="94">
        <v>26</v>
      </c>
      <c r="AP699" s="95">
        <v>2.46797875663855</v>
      </c>
      <c r="AQ699" s="95">
        <v>1.1979463776383299</v>
      </c>
      <c r="AR699" s="95">
        <v>4.0055248618784498</v>
      </c>
      <c r="AS699" s="95">
        <v>0.96153846153846201</v>
      </c>
      <c r="AT699" s="95">
        <v>2.4739583333333299</v>
      </c>
      <c r="AU699" s="95">
        <v>2.9474812433011799</v>
      </c>
      <c r="AV699" s="95">
        <v>0.86393088552915798</v>
      </c>
      <c r="AW699" s="95">
        <v>2.61857707509881</v>
      </c>
      <c r="AX699" s="95">
        <v>2.2375215146299499</v>
      </c>
      <c r="AY699" s="95">
        <v>0</v>
      </c>
      <c r="AZ699" s="95">
        <v>2.4928999684442998</v>
      </c>
      <c r="BA699" s="95">
        <v>0</v>
      </c>
      <c r="BB699" s="95">
        <v>0</v>
      </c>
      <c r="BC699" s="95">
        <v>3.0303030303030298</v>
      </c>
      <c r="BD699" s="95">
        <v>2.4252491694352201</v>
      </c>
      <c r="BE699" s="95">
        <v>3.8461538461538498</v>
      </c>
    </row>
    <row r="700" spans="2:57" ht="15" customHeight="1" x14ac:dyDescent="0.25">
      <c r="B700" s="91">
        <v>690</v>
      </c>
      <c r="C700" s="92" t="s">
        <v>503</v>
      </c>
      <c r="D700" s="92" t="s">
        <v>57</v>
      </c>
      <c r="E700" s="92" t="s">
        <v>376</v>
      </c>
      <c r="F700" s="92"/>
      <c r="G700" s="93" t="s">
        <v>502</v>
      </c>
      <c r="H700" s="94">
        <v>4581</v>
      </c>
      <c r="I700" s="94">
        <v>2735</v>
      </c>
      <c r="J700" s="94">
        <v>1846</v>
      </c>
      <c r="K700" s="94">
        <v>107</v>
      </c>
      <c r="L700" s="94">
        <v>1366</v>
      </c>
      <c r="M700" s="94">
        <v>2436</v>
      </c>
      <c r="N700" s="94">
        <v>672</v>
      </c>
      <c r="O700" s="94">
        <v>4565</v>
      </c>
      <c r="P700" s="94">
        <v>16</v>
      </c>
      <c r="Q700" s="95">
        <v>0.27180067950169901</v>
      </c>
      <c r="R700" s="95">
        <v>0.18867924528301899</v>
      </c>
      <c r="S700" s="95">
        <v>0.39660056657223802</v>
      </c>
      <c r="T700" s="95">
        <v>0</v>
      </c>
      <c r="U700" s="95">
        <v>0.38226299694189603</v>
      </c>
      <c r="V700" s="95">
        <v>0.16906170752324601</v>
      </c>
      <c r="W700" s="95">
        <v>0.46511627906976699</v>
      </c>
      <c r="X700" s="95">
        <v>0.27272727272727298</v>
      </c>
      <c r="Y700" s="95">
        <v>0</v>
      </c>
      <c r="Z700" s="94">
        <v>4284</v>
      </c>
      <c r="AA700" s="94">
        <v>2332</v>
      </c>
      <c r="AB700" s="94">
        <v>1952</v>
      </c>
      <c r="AC700" s="94">
        <v>146</v>
      </c>
      <c r="AD700" s="94">
        <v>1234</v>
      </c>
      <c r="AE700" s="94">
        <v>2424</v>
      </c>
      <c r="AF700" s="94">
        <v>480</v>
      </c>
      <c r="AG700" s="94">
        <v>3046</v>
      </c>
      <c r="AH700" s="94">
        <v>1207</v>
      </c>
      <c r="AI700" s="94">
        <v>31</v>
      </c>
      <c r="AJ700" s="94">
        <v>4186</v>
      </c>
      <c r="AK700" s="94">
        <v>82</v>
      </c>
      <c r="AL700" s="94">
        <v>16</v>
      </c>
      <c r="AM700" s="94">
        <v>184</v>
      </c>
      <c r="AN700" s="94">
        <v>4049</v>
      </c>
      <c r="AO700" s="94">
        <v>51</v>
      </c>
      <c r="AP700" s="95">
        <v>0.89501693275278205</v>
      </c>
      <c r="AQ700" s="95">
        <v>0.39439088518843102</v>
      </c>
      <c r="AR700" s="95">
        <v>1.5118790496760299</v>
      </c>
      <c r="AS700" s="95">
        <v>1.4598540145985399</v>
      </c>
      <c r="AT700" s="95">
        <v>1.19148936170213</v>
      </c>
      <c r="AU700" s="95">
        <v>0.76595744680851097</v>
      </c>
      <c r="AV700" s="95">
        <v>0.63559322033898302</v>
      </c>
      <c r="AW700" s="95">
        <v>0.84573748308524999</v>
      </c>
      <c r="AX700" s="95">
        <v>1.0452961672473899</v>
      </c>
      <c r="AY700" s="95">
        <v>0</v>
      </c>
      <c r="AZ700" s="95">
        <v>0.89175130047064599</v>
      </c>
      <c r="BA700" s="95">
        <v>1.2345679012345701</v>
      </c>
      <c r="BB700" s="95">
        <v>0</v>
      </c>
      <c r="BC700" s="95">
        <v>0.55555555555555602</v>
      </c>
      <c r="BD700" s="95">
        <v>0.92142308676734097</v>
      </c>
      <c r="BE700" s="95">
        <v>0</v>
      </c>
    </row>
    <row r="701" spans="2:57" ht="15" customHeight="1" x14ac:dyDescent="0.25">
      <c r="B701" s="96">
        <v>691</v>
      </c>
      <c r="C701" s="97" t="s">
        <v>504</v>
      </c>
      <c r="D701" s="104" t="s">
        <v>57</v>
      </c>
      <c r="E701" s="104" t="s">
        <v>376</v>
      </c>
      <c r="F701" s="104" t="s">
        <v>6</v>
      </c>
      <c r="G701" s="105" t="s">
        <v>6</v>
      </c>
      <c r="H701" s="106">
        <v>345</v>
      </c>
      <c r="I701" s="106">
        <v>210</v>
      </c>
      <c r="J701" s="106">
        <v>135</v>
      </c>
      <c r="K701" s="106">
        <v>14</v>
      </c>
      <c r="L701" s="106">
        <v>113</v>
      </c>
      <c r="M701" s="106">
        <v>163</v>
      </c>
      <c r="N701" s="106">
        <v>55</v>
      </c>
      <c r="O701" s="106">
        <v>337</v>
      </c>
      <c r="P701" s="106">
        <v>8</v>
      </c>
      <c r="Q701" s="107">
        <v>1.8348623853210999</v>
      </c>
      <c r="R701" s="107">
        <v>0.49504950495049499</v>
      </c>
      <c r="S701" s="107">
        <v>4</v>
      </c>
      <c r="T701" s="107">
        <v>0</v>
      </c>
      <c r="U701" s="107">
        <v>1.8518518518518501</v>
      </c>
      <c r="V701" s="107">
        <v>1.2987012987013</v>
      </c>
      <c r="W701" s="107">
        <v>3.8461538461538498</v>
      </c>
      <c r="X701" s="107">
        <v>1.8808777429467101</v>
      </c>
      <c r="Y701" s="107">
        <v>0</v>
      </c>
      <c r="Z701" s="106">
        <v>2101</v>
      </c>
      <c r="AA701" s="106">
        <v>1131</v>
      </c>
      <c r="AB701" s="106">
        <v>970</v>
      </c>
      <c r="AC701" s="106">
        <v>71</v>
      </c>
      <c r="AD701" s="106">
        <v>540</v>
      </c>
      <c r="AE701" s="106">
        <v>1202</v>
      </c>
      <c r="AF701" s="106">
        <v>288</v>
      </c>
      <c r="AG701" s="106">
        <v>1501</v>
      </c>
      <c r="AH701" s="106">
        <v>593</v>
      </c>
      <c r="AI701" s="106">
        <v>7</v>
      </c>
      <c r="AJ701" s="106">
        <v>2070</v>
      </c>
      <c r="AK701" s="106">
        <v>25</v>
      </c>
      <c r="AL701" s="106">
        <v>6</v>
      </c>
      <c r="AM701" s="106">
        <v>129</v>
      </c>
      <c r="AN701" s="106">
        <v>1959</v>
      </c>
      <c r="AO701" s="106">
        <v>13</v>
      </c>
      <c r="AP701" s="107">
        <v>2.9979674796747999</v>
      </c>
      <c r="AQ701" s="107">
        <v>1.4031805425631401</v>
      </c>
      <c r="AR701" s="107">
        <v>4.8943270300333701</v>
      </c>
      <c r="AS701" s="107">
        <v>1.51515151515152</v>
      </c>
      <c r="AT701" s="107">
        <v>3.39321357285429</v>
      </c>
      <c r="AU701" s="107">
        <v>3.2976827094474199</v>
      </c>
      <c r="AV701" s="107">
        <v>1.4336917562724001</v>
      </c>
      <c r="AW701" s="107">
        <v>3.0496453900709199</v>
      </c>
      <c r="AX701" s="107">
        <v>2.89330922242315</v>
      </c>
      <c r="AY701" s="107">
        <v>0</v>
      </c>
      <c r="AZ701" s="107">
        <v>3.0428055698813798</v>
      </c>
      <c r="BA701" s="107">
        <v>0</v>
      </c>
      <c r="BB701" s="107">
        <v>0</v>
      </c>
      <c r="BC701" s="107">
        <v>3.17460317460317</v>
      </c>
      <c r="BD701" s="107">
        <v>2.9524330235101099</v>
      </c>
      <c r="BE701" s="107">
        <v>7.6923076923076898</v>
      </c>
    </row>
    <row r="702" spans="2:57" ht="15" customHeight="1" x14ac:dyDescent="0.25">
      <c r="B702" s="91">
        <v>692</v>
      </c>
      <c r="C702" s="92" t="s">
        <v>504</v>
      </c>
      <c r="D702" s="92" t="s">
        <v>57</v>
      </c>
      <c r="E702" s="92" t="s">
        <v>376</v>
      </c>
      <c r="F702" s="92" t="s">
        <v>6</v>
      </c>
      <c r="G702" s="101" t="s">
        <v>501</v>
      </c>
      <c r="H702" s="94">
        <v>0</v>
      </c>
      <c r="I702" s="94">
        <v>0</v>
      </c>
      <c r="J702" s="94">
        <v>0</v>
      </c>
      <c r="K702" s="94">
        <v>0</v>
      </c>
      <c r="L702" s="94">
        <v>0</v>
      </c>
      <c r="M702" s="94">
        <v>0</v>
      </c>
      <c r="N702" s="94">
        <v>0</v>
      </c>
      <c r="O702" s="94">
        <v>0</v>
      </c>
      <c r="P702" s="94">
        <v>0</v>
      </c>
      <c r="Q702" s="95">
        <v>0</v>
      </c>
      <c r="R702" s="95">
        <v>0</v>
      </c>
      <c r="S702" s="95">
        <v>0</v>
      </c>
      <c r="T702" s="95">
        <v>0</v>
      </c>
      <c r="U702" s="95">
        <v>0</v>
      </c>
      <c r="V702" s="95">
        <v>0</v>
      </c>
      <c r="W702" s="95">
        <v>0</v>
      </c>
      <c r="X702" s="95">
        <v>0</v>
      </c>
      <c r="Y702" s="95">
        <v>0</v>
      </c>
      <c r="Z702" s="94">
        <v>2030</v>
      </c>
      <c r="AA702" s="94">
        <v>1092</v>
      </c>
      <c r="AB702" s="94">
        <v>938</v>
      </c>
      <c r="AC702" s="94">
        <v>70</v>
      </c>
      <c r="AD702" s="94">
        <v>525</v>
      </c>
      <c r="AE702" s="94">
        <v>1159</v>
      </c>
      <c r="AF702" s="94">
        <v>276</v>
      </c>
      <c r="AG702" s="94">
        <v>1444</v>
      </c>
      <c r="AH702" s="94">
        <v>579</v>
      </c>
      <c r="AI702" s="94">
        <v>7</v>
      </c>
      <c r="AJ702" s="94">
        <v>2000</v>
      </c>
      <c r="AK702" s="94">
        <v>25</v>
      </c>
      <c r="AL702" s="94">
        <v>5</v>
      </c>
      <c r="AM702" s="94">
        <v>120</v>
      </c>
      <c r="AN702" s="94">
        <v>1900</v>
      </c>
      <c r="AO702" s="94">
        <v>10</v>
      </c>
      <c r="AP702" s="95">
        <v>2.8962611901000499</v>
      </c>
      <c r="AQ702" s="95">
        <v>1.2609117361784701</v>
      </c>
      <c r="AR702" s="95">
        <v>4.8387096774193497</v>
      </c>
      <c r="AS702" s="95">
        <v>1.5384615384615401</v>
      </c>
      <c r="AT702" s="95">
        <v>3.0800821355236101</v>
      </c>
      <c r="AU702" s="95">
        <v>3.24074074074074</v>
      </c>
      <c r="AV702" s="95">
        <v>1.4981273408239699</v>
      </c>
      <c r="AW702" s="95">
        <v>2.8782287822878199</v>
      </c>
      <c r="AX702" s="95">
        <v>2.96846011131725</v>
      </c>
      <c r="AY702" s="95">
        <v>0</v>
      </c>
      <c r="AZ702" s="95">
        <v>2.93960448957777</v>
      </c>
      <c r="BA702" s="95">
        <v>0</v>
      </c>
      <c r="BB702" s="95">
        <v>0</v>
      </c>
      <c r="BC702" s="95">
        <v>2.5641025641025599</v>
      </c>
      <c r="BD702" s="95">
        <v>2.8781038374717798</v>
      </c>
      <c r="BE702" s="95">
        <v>10</v>
      </c>
    </row>
    <row r="703" spans="2:57" ht="15" customHeight="1" x14ac:dyDescent="0.25">
      <c r="B703" s="91">
        <v>693</v>
      </c>
      <c r="C703" s="92" t="s">
        <v>504</v>
      </c>
      <c r="D703" s="92" t="s">
        <v>57</v>
      </c>
      <c r="E703" s="92" t="s">
        <v>376</v>
      </c>
      <c r="F703" s="92" t="s">
        <v>6</v>
      </c>
      <c r="G703" s="101" t="s">
        <v>502</v>
      </c>
      <c r="H703" s="94">
        <v>345</v>
      </c>
      <c r="I703" s="94">
        <v>210</v>
      </c>
      <c r="J703" s="94">
        <v>135</v>
      </c>
      <c r="K703" s="94">
        <v>14</v>
      </c>
      <c r="L703" s="94">
        <v>113</v>
      </c>
      <c r="M703" s="94">
        <v>163</v>
      </c>
      <c r="N703" s="94">
        <v>55</v>
      </c>
      <c r="O703" s="94">
        <v>337</v>
      </c>
      <c r="P703" s="94">
        <v>8</v>
      </c>
      <c r="Q703" s="95">
        <v>1.8348623853210999</v>
      </c>
      <c r="R703" s="95">
        <v>0.49504950495049499</v>
      </c>
      <c r="S703" s="95">
        <v>4</v>
      </c>
      <c r="T703" s="95">
        <v>0</v>
      </c>
      <c r="U703" s="95">
        <v>1.8518518518518501</v>
      </c>
      <c r="V703" s="95">
        <v>1.2987012987013</v>
      </c>
      <c r="W703" s="95">
        <v>3.8461538461538498</v>
      </c>
      <c r="X703" s="95">
        <v>1.8808777429467101</v>
      </c>
      <c r="Y703" s="95">
        <v>0</v>
      </c>
      <c r="Z703" s="94">
        <v>71</v>
      </c>
      <c r="AA703" s="94">
        <v>39</v>
      </c>
      <c r="AB703" s="94">
        <v>32</v>
      </c>
      <c r="AC703" s="94">
        <v>1</v>
      </c>
      <c r="AD703" s="94">
        <v>15</v>
      </c>
      <c r="AE703" s="94">
        <v>43</v>
      </c>
      <c r="AF703" s="94">
        <v>12</v>
      </c>
      <c r="AG703" s="94">
        <v>57</v>
      </c>
      <c r="AH703" s="94">
        <v>14</v>
      </c>
      <c r="AI703" s="94">
        <v>0</v>
      </c>
      <c r="AJ703" s="94">
        <v>70</v>
      </c>
      <c r="AK703" s="94">
        <v>0</v>
      </c>
      <c r="AL703" s="94">
        <v>1</v>
      </c>
      <c r="AM703" s="94">
        <v>9</v>
      </c>
      <c r="AN703" s="94">
        <v>59</v>
      </c>
      <c r="AO703" s="94">
        <v>3</v>
      </c>
      <c r="AP703" s="95">
        <v>5.7971014492753596</v>
      </c>
      <c r="AQ703" s="95">
        <v>5.2631578947368398</v>
      </c>
      <c r="AR703" s="95">
        <v>6.4516129032258096</v>
      </c>
      <c r="AS703" s="95">
        <v>0</v>
      </c>
      <c r="AT703" s="95">
        <v>14.285714285714301</v>
      </c>
      <c r="AU703" s="95">
        <v>4.7619047619047601</v>
      </c>
      <c r="AV703" s="95">
        <v>0</v>
      </c>
      <c r="AW703" s="95">
        <v>7.2727272727272698</v>
      </c>
      <c r="AX703" s="95">
        <v>0</v>
      </c>
      <c r="AY703" s="95">
        <v>0</v>
      </c>
      <c r="AZ703" s="95">
        <v>5.8823529411764701</v>
      </c>
      <c r="BA703" s="95">
        <v>0</v>
      </c>
      <c r="BB703" s="95">
        <v>0</v>
      </c>
      <c r="BC703" s="95">
        <v>11.1111111111111</v>
      </c>
      <c r="BD703" s="95">
        <v>5.2631578947368398</v>
      </c>
      <c r="BE703" s="95">
        <v>0</v>
      </c>
    </row>
    <row r="704" spans="2:57" ht="15" customHeight="1" x14ac:dyDescent="0.25">
      <c r="B704" s="96">
        <v>694</v>
      </c>
      <c r="C704" s="97" t="s">
        <v>504</v>
      </c>
      <c r="D704" s="104" t="s">
        <v>57</v>
      </c>
      <c r="E704" s="104" t="s">
        <v>376</v>
      </c>
      <c r="F704" s="104" t="s">
        <v>111</v>
      </c>
      <c r="G704" s="105" t="s">
        <v>111</v>
      </c>
      <c r="H704" s="106">
        <v>2052</v>
      </c>
      <c r="I704" s="106">
        <v>1168</v>
      </c>
      <c r="J704" s="106">
        <v>884</v>
      </c>
      <c r="K704" s="106">
        <v>40</v>
      </c>
      <c r="L704" s="106">
        <v>592</v>
      </c>
      <c r="M704" s="106">
        <v>1103</v>
      </c>
      <c r="N704" s="106">
        <v>317</v>
      </c>
      <c r="O704" s="106">
        <v>2048</v>
      </c>
      <c r="P704" s="106">
        <v>4</v>
      </c>
      <c r="Q704" s="107">
        <v>0.20232675771370801</v>
      </c>
      <c r="R704" s="107">
        <v>0.26431718061673998</v>
      </c>
      <c r="S704" s="107">
        <v>0.118764845605701</v>
      </c>
      <c r="T704" s="107">
        <v>0</v>
      </c>
      <c r="U704" s="107">
        <v>0.53380782918149505</v>
      </c>
      <c r="V704" s="107">
        <v>9.3109869646182494E-2</v>
      </c>
      <c r="W704" s="107">
        <v>0</v>
      </c>
      <c r="X704" s="107">
        <v>0.20273694880891999</v>
      </c>
      <c r="Y704" s="107">
        <v>0</v>
      </c>
      <c r="Z704" s="106">
        <v>2188</v>
      </c>
      <c r="AA704" s="106">
        <v>1208</v>
      </c>
      <c r="AB704" s="106">
        <v>980</v>
      </c>
      <c r="AC704" s="106">
        <v>76</v>
      </c>
      <c r="AD704" s="106">
        <v>499</v>
      </c>
      <c r="AE704" s="106">
        <v>1293</v>
      </c>
      <c r="AF704" s="106">
        <v>320</v>
      </c>
      <c r="AG704" s="106">
        <v>1268</v>
      </c>
      <c r="AH704" s="106">
        <v>907</v>
      </c>
      <c r="AI704" s="106">
        <v>13</v>
      </c>
      <c r="AJ704" s="106">
        <v>2178</v>
      </c>
      <c r="AK704" s="106">
        <v>5</v>
      </c>
      <c r="AL704" s="106">
        <v>5</v>
      </c>
      <c r="AM704" s="106">
        <v>85</v>
      </c>
      <c r="AN704" s="106">
        <v>2083</v>
      </c>
      <c r="AO704" s="106">
        <v>20</v>
      </c>
      <c r="AP704" s="107">
        <v>1.4698909435751499</v>
      </c>
      <c r="AQ704" s="107">
        <v>0.67624683009298403</v>
      </c>
      <c r="AR704" s="107">
        <v>2.4838012958963298</v>
      </c>
      <c r="AS704" s="107">
        <v>1.3888888888888899</v>
      </c>
      <c r="AT704" s="107">
        <v>1.0482180293501</v>
      </c>
      <c r="AU704" s="107">
        <v>1.9261637239165299</v>
      </c>
      <c r="AV704" s="107">
        <v>0.31847133757961799</v>
      </c>
      <c r="AW704" s="107">
        <v>1.54723127035831</v>
      </c>
      <c r="AX704" s="107">
        <v>1.3793103448275901</v>
      </c>
      <c r="AY704" s="107">
        <v>0</v>
      </c>
      <c r="AZ704" s="107">
        <v>1.4768937589328299</v>
      </c>
      <c r="BA704" s="107">
        <v>0</v>
      </c>
      <c r="BB704" s="107">
        <v>0</v>
      </c>
      <c r="BC704" s="107">
        <v>2.4096385542168699</v>
      </c>
      <c r="BD704" s="107">
        <v>1.4456630109671</v>
      </c>
      <c r="BE704" s="107">
        <v>0</v>
      </c>
    </row>
    <row r="705" spans="2:57" ht="15" customHeight="1" x14ac:dyDescent="0.25">
      <c r="B705" s="91">
        <v>695</v>
      </c>
      <c r="C705" s="92" t="s">
        <v>504</v>
      </c>
      <c r="D705" s="92" t="s">
        <v>57</v>
      </c>
      <c r="E705" s="92" t="s">
        <v>376</v>
      </c>
      <c r="F705" s="92" t="s">
        <v>111</v>
      </c>
      <c r="G705" s="101" t="s">
        <v>501</v>
      </c>
      <c r="H705" s="94">
        <v>0</v>
      </c>
      <c r="I705" s="94">
        <v>0</v>
      </c>
      <c r="J705" s="94">
        <v>0</v>
      </c>
      <c r="K705" s="94">
        <v>0</v>
      </c>
      <c r="L705" s="94">
        <v>0</v>
      </c>
      <c r="M705" s="94">
        <v>0</v>
      </c>
      <c r="N705" s="94">
        <v>0</v>
      </c>
      <c r="O705" s="94">
        <v>0</v>
      </c>
      <c r="P705" s="94">
        <v>0</v>
      </c>
      <c r="Q705" s="95">
        <v>0</v>
      </c>
      <c r="R705" s="95">
        <v>0</v>
      </c>
      <c r="S705" s="95">
        <v>0</v>
      </c>
      <c r="T705" s="95">
        <v>0</v>
      </c>
      <c r="U705" s="95">
        <v>0</v>
      </c>
      <c r="V705" s="95">
        <v>0</v>
      </c>
      <c r="W705" s="95">
        <v>0</v>
      </c>
      <c r="X705" s="95">
        <v>0</v>
      </c>
      <c r="Y705" s="95">
        <v>0</v>
      </c>
      <c r="Z705" s="94">
        <v>1354</v>
      </c>
      <c r="AA705" s="94">
        <v>738</v>
      </c>
      <c r="AB705" s="94">
        <v>616</v>
      </c>
      <c r="AC705" s="94">
        <v>42</v>
      </c>
      <c r="AD705" s="94">
        <v>297</v>
      </c>
      <c r="AE705" s="94">
        <v>816</v>
      </c>
      <c r="AF705" s="94">
        <v>199</v>
      </c>
      <c r="AG705" s="94">
        <v>695</v>
      </c>
      <c r="AH705" s="94">
        <v>647</v>
      </c>
      <c r="AI705" s="94">
        <v>12</v>
      </c>
      <c r="AJ705" s="94">
        <v>1350</v>
      </c>
      <c r="AK705" s="94">
        <v>3</v>
      </c>
      <c r="AL705" s="94">
        <v>1</v>
      </c>
      <c r="AM705" s="94">
        <v>49</v>
      </c>
      <c r="AN705" s="94">
        <v>1289</v>
      </c>
      <c r="AO705" s="94">
        <v>16</v>
      </c>
      <c r="AP705" s="95">
        <v>1.84331797235023</v>
      </c>
      <c r="AQ705" s="95">
        <v>1.10803324099723</v>
      </c>
      <c r="AR705" s="95">
        <v>2.7586206896551699</v>
      </c>
      <c r="AS705" s="95">
        <v>0</v>
      </c>
      <c r="AT705" s="95">
        <v>1.4234875444839901</v>
      </c>
      <c r="AU705" s="95">
        <v>2.5445292620865101</v>
      </c>
      <c r="AV705" s="95">
        <v>0</v>
      </c>
      <c r="AW705" s="95">
        <v>2.0926756352765299</v>
      </c>
      <c r="AX705" s="95">
        <v>1.6051364365971099</v>
      </c>
      <c r="AY705" s="95">
        <v>0</v>
      </c>
      <c r="AZ705" s="95">
        <v>1.84899845916795</v>
      </c>
      <c r="BA705" s="95">
        <v>0</v>
      </c>
      <c r="BB705" s="95">
        <v>0</v>
      </c>
      <c r="BC705" s="95">
        <v>4.1666666666666696</v>
      </c>
      <c r="BD705" s="95">
        <v>1.7770597738287599</v>
      </c>
      <c r="BE705" s="95">
        <v>0</v>
      </c>
    </row>
    <row r="706" spans="2:57" ht="15" customHeight="1" x14ac:dyDescent="0.25">
      <c r="B706" s="91">
        <v>696</v>
      </c>
      <c r="C706" s="92" t="s">
        <v>504</v>
      </c>
      <c r="D706" s="92" t="s">
        <v>57</v>
      </c>
      <c r="E706" s="92" t="s">
        <v>376</v>
      </c>
      <c r="F706" s="92" t="s">
        <v>111</v>
      </c>
      <c r="G706" s="101" t="s">
        <v>502</v>
      </c>
      <c r="H706" s="94">
        <v>2052</v>
      </c>
      <c r="I706" s="94">
        <v>1168</v>
      </c>
      <c r="J706" s="94">
        <v>884</v>
      </c>
      <c r="K706" s="94">
        <v>40</v>
      </c>
      <c r="L706" s="94">
        <v>592</v>
      </c>
      <c r="M706" s="94">
        <v>1103</v>
      </c>
      <c r="N706" s="94">
        <v>317</v>
      </c>
      <c r="O706" s="94">
        <v>2048</v>
      </c>
      <c r="P706" s="94">
        <v>4</v>
      </c>
      <c r="Q706" s="95">
        <v>0.20232675771370801</v>
      </c>
      <c r="R706" s="95">
        <v>0.26431718061673998</v>
      </c>
      <c r="S706" s="95">
        <v>0.118764845605701</v>
      </c>
      <c r="T706" s="95">
        <v>0</v>
      </c>
      <c r="U706" s="95">
        <v>0.53380782918149505</v>
      </c>
      <c r="V706" s="95">
        <v>9.3109869646182494E-2</v>
      </c>
      <c r="W706" s="95">
        <v>0</v>
      </c>
      <c r="X706" s="95">
        <v>0.20273694880891999</v>
      </c>
      <c r="Y706" s="95">
        <v>0</v>
      </c>
      <c r="Z706" s="94">
        <v>834</v>
      </c>
      <c r="AA706" s="94">
        <v>470</v>
      </c>
      <c r="AB706" s="94">
        <v>364</v>
      </c>
      <c r="AC706" s="94">
        <v>34</v>
      </c>
      <c r="AD706" s="94">
        <v>202</v>
      </c>
      <c r="AE706" s="94">
        <v>477</v>
      </c>
      <c r="AF706" s="94">
        <v>121</v>
      </c>
      <c r="AG706" s="94">
        <v>573</v>
      </c>
      <c r="AH706" s="94">
        <v>260</v>
      </c>
      <c r="AI706" s="94">
        <v>1</v>
      </c>
      <c r="AJ706" s="94">
        <v>828</v>
      </c>
      <c r="AK706" s="94">
        <v>2</v>
      </c>
      <c r="AL706" s="94">
        <v>4</v>
      </c>
      <c r="AM706" s="94">
        <v>36</v>
      </c>
      <c r="AN706" s="94">
        <v>794</v>
      </c>
      <c r="AO706" s="94">
        <v>4</v>
      </c>
      <c r="AP706" s="95">
        <v>0.86741016109045899</v>
      </c>
      <c r="AQ706" s="95">
        <v>0</v>
      </c>
      <c r="AR706" s="95">
        <v>2.0231213872832399</v>
      </c>
      <c r="AS706" s="95">
        <v>3.0303030303030298</v>
      </c>
      <c r="AT706" s="95">
        <v>0.51020408163265296</v>
      </c>
      <c r="AU706" s="95">
        <v>0.86956521739130399</v>
      </c>
      <c r="AV706" s="95">
        <v>0.84745762711864403</v>
      </c>
      <c r="AW706" s="95">
        <v>0.89445438282647605</v>
      </c>
      <c r="AX706" s="95">
        <v>0.80971659919028305</v>
      </c>
      <c r="AY706" s="95">
        <v>0</v>
      </c>
      <c r="AZ706" s="95">
        <v>0.87390761548064899</v>
      </c>
      <c r="BA706" s="95">
        <v>0</v>
      </c>
      <c r="BB706" s="95">
        <v>0</v>
      </c>
      <c r="BC706" s="95">
        <v>0</v>
      </c>
      <c r="BD706" s="95">
        <v>0.91145833333333304</v>
      </c>
      <c r="BE706" s="95">
        <v>0</v>
      </c>
    </row>
    <row r="707" spans="2:57" ht="15" customHeight="1" x14ac:dyDescent="0.25">
      <c r="B707" s="96">
        <v>697</v>
      </c>
      <c r="C707" s="97" t="s">
        <v>504</v>
      </c>
      <c r="D707" s="104" t="s">
        <v>57</v>
      </c>
      <c r="E707" s="104" t="s">
        <v>376</v>
      </c>
      <c r="F707" s="104" t="s">
        <v>40</v>
      </c>
      <c r="G707" s="105" t="s">
        <v>40</v>
      </c>
      <c r="H707" s="106">
        <v>800</v>
      </c>
      <c r="I707" s="106">
        <v>515</v>
      </c>
      <c r="J707" s="106">
        <v>285</v>
      </c>
      <c r="K707" s="106">
        <v>18</v>
      </c>
      <c r="L707" s="106">
        <v>200</v>
      </c>
      <c r="M707" s="106">
        <v>459</v>
      </c>
      <c r="N707" s="106">
        <v>123</v>
      </c>
      <c r="O707" s="106">
        <v>800</v>
      </c>
      <c r="P707" s="106">
        <v>0</v>
      </c>
      <c r="Q707" s="107">
        <v>0.26143790849673199</v>
      </c>
      <c r="R707" s="107">
        <v>0.203252032520325</v>
      </c>
      <c r="S707" s="107">
        <v>0.366300366300366</v>
      </c>
      <c r="T707" s="107">
        <v>0</v>
      </c>
      <c r="U707" s="107">
        <v>0</v>
      </c>
      <c r="V707" s="107">
        <v>0.22831050228310501</v>
      </c>
      <c r="W707" s="107">
        <v>0.84033613445378197</v>
      </c>
      <c r="X707" s="107">
        <v>0.26143790849673199</v>
      </c>
      <c r="Y707" s="107">
        <v>0</v>
      </c>
      <c r="Z707" s="106">
        <v>852</v>
      </c>
      <c r="AA707" s="106">
        <v>453</v>
      </c>
      <c r="AB707" s="106">
        <v>399</v>
      </c>
      <c r="AC707" s="106">
        <v>32</v>
      </c>
      <c r="AD707" s="106">
        <v>240</v>
      </c>
      <c r="AE707" s="106">
        <v>493</v>
      </c>
      <c r="AF707" s="106">
        <v>87</v>
      </c>
      <c r="AG707" s="106">
        <v>697</v>
      </c>
      <c r="AH707" s="106">
        <v>151</v>
      </c>
      <c r="AI707" s="106">
        <v>4</v>
      </c>
      <c r="AJ707" s="106">
        <v>831</v>
      </c>
      <c r="AK707" s="106">
        <v>18</v>
      </c>
      <c r="AL707" s="106">
        <v>3</v>
      </c>
      <c r="AM707" s="106">
        <v>42</v>
      </c>
      <c r="AN707" s="106">
        <v>787</v>
      </c>
      <c r="AO707" s="106">
        <v>23</v>
      </c>
      <c r="AP707" s="107">
        <v>0.72376357056694796</v>
      </c>
      <c r="AQ707" s="107">
        <v>0.22675736961451201</v>
      </c>
      <c r="AR707" s="107">
        <v>1.28865979381443</v>
      </c>
      <c r="AS707" s="107">
        <v>3.125</v>
      </c>
      <c r="AT707" s="107">
        <v>1.31004366812227</v>
      </c>
      <c r="AU707" s="107">
        <v>0.41407867494824002</v>
      </c>
      <c r="AV707" s="107">
        <v>0</v>
      </c>
      <c r="AW707" s="107">
        <v>0.58997050147492602</v>
      </c>
      <c r="AX707" s="107">
        <v>1.3605442176870699</v>
      </c>
      <c r="AY707" s="107">
        <v>0</v>
      </c>
      <c r="AZ707" s="107">
        <v>0.74165636588380701</v>
      </c>
      <c r="BA707" s="107">
        <v>0</v>
      </c>
      <c r="BB707" s="107">
        <v>0</v>
      </c>
      <c r="BC707" s="107">
        <v>0</v>
      </c>
      <c r="BD707" s="107">
        <v>0.78226857887874801</v>
      </c>
      <c r="BE707" s="107">
        <v>0</v>
      </c>
    </row>
    <row r="708" spans="2:57" ht="15" customHeight="1" x14ac:dyDescent="0.25">
      <c r="B708" s="91">
        <v>698</v>
      </c>
      <c r="C708" s="92" t="s">
        <v>504</v>
      </c>
      <c r="D708" s="92" t="s">
        <v>57</v>
      </c>
      <c r="E708" s="92" t="s">
        <v>376</v>
      </c>
      <c r="F708" s="92" t="s">
        <v>40</v>
      </c>
      <c r="G708" s="101" t="s">
        <v>501</v>
      </c>
      <c r="H708" s="94">
        <v>0</v>
      </c>
      <c r="I708" s="94">
        <v>0</v>
      </c>
      <c r="J708" s="94">
        <v>0</v>
      </c>
      <c r="K708" s="94">
        <v>0</v>
      </c>
      <c r="L708" s="94">
        <v>0</v>
      </c>
      <c r="M708" s="94">
        <v>0</v>
      </c>
      <c r="N708" s="94">
        <v>0</v>
      </c>
      <c r="O708" s="94">
        <v>0</v>
      </c>
      <c r="P708" s="94">
        <v>0</v>
      </c>
      <c r="Q708" s="95">
        <v>0</v>
      </c>
      <c r="R708" s="95">
        <v>0</v>
      </c>
      <c r="S708" s="95">
        <v>0</v>
      </c>
      <c r="T708" s="95">
        <v>0</v>
      </c>
      <c r="U708" s="95">
        <v>0</v>
      </c>
      <c r="V708" s="95">
        <v>0</v>
      </c>
      <c r="W708" s="95">
        <v>0</v>
      </c>
      <c r="X708" s="95">
        <v>0</v>
      </c>
      <c r="Y708" s="95">
        <v>0</v>
      </c>
      <c r="Z708" s="94">
        <v>0</v>
      </c>
      <c r="AA708" s="94">
        <v>0</v>
      </c>
      <c r="AB708" s="94">
        <v>0</v>
      </c>
      <c r="AC708" s="94">
        <v>0</v>
      </c>
      <c r="AD708" s="94">
        <v>0</v>
      </c>
      <c r="AE708" s="94">
        <v>0</v>
      </c>
      <c r="AF708" s="94">
        <v>0</v>
      </c>
      <c r="AG708" s="94">
        <v>0</v>
      </c>
      <c r="AH708" s="94">
        <v>0</v>
      </c>
      <c r="AI708" s="94">
        <v>0</v>
      </c>
      <c r="AJ708" s="94">
        <v>0</v>
      </c>
      <c r="AK708" s="94">
        <v>0</v>
      </c>
      <c r="AL708" s="94">
        <v>0</v>
      </c>
      <c r="AM708" s="94">
        <v>0</v>
      </c>
      <c r="AN708" s="94">
        <v>0</v>
      </c>
      <c r="AO708" s="94">
        <v>0</v>
      </c>
      <c r="AP708" s="95">
        <v>0</v>
      </c>
      <c r="AQ708" s="95">
        <v>0</v>
      </c>
      <c r="AR708" s="95">
        <v>0</v>
      </c>
      <c r="AS708" s="95">
        <v>0</v>
      </c>
      <c r="AT708" s="95">
        <v>0</v>
      </c>
      <c r="AU708" s="95">
        <v>0</v>
      </c>
      <c r="AV708" s="95">
        <v>0</v>
      </c>
      <c r="AW708" s="95">
        <v>0</v>
      </c>
      <c r="AX708" s="95">
        <v>0</v>
      </c>
      <c r="AY708" s="95">
        <v>0</v>
      </c>
      <c r="AZ708" s="95">
        <v>0</v>
      </c>
      <c r="BA708" s="95">
        <v>0</v>
      </c>
      <c r="BB708" s="95">
        <v>0</v>
      </c>
      <c r="BC708" s="95">
        <v>0</v>
      </c>
      <c r="BD708" s="95">
        <v>0</v>
      </c>
      <c r="BE708" s="95">
        <v>0</v>
      </c>
    </row>
    <row r="709" spans="2:57" ht="15" customHeight="1" x14ac:dyDescent="0.25">
      <c r="B709" s="91">
        <v>699</v>
      </c>
      <c r="C709" s="92" t="s">
        <v>504</v>
      </c>
      <c r="D709" s="92" t="s">
        <v>57</v>
      </c>
      <c r="E709" s="92" t="s">
        <v>376</v>
      </c>
      <c r="F709" s="92" t="s">
        <v>40</v>
      </c>
      <c r="G709" s="101" t="s">
        <v>502</v>
      </c>
      <c r="H709" s="94">
        <v>800</v>
      </c>
      <c r="I709" s="94">
        <v>515</v>
      </c>
      <c r="J709" s="94">
        <v>285</v>
      </c>
      <c r="K709" s="94">
        <v>18</v>
      </c>
      <c r="L709" s="94">
        <v>200</v>
      </c>
      <c r="M709" s="94">
        <v>459</v>
      </c>
      <c r="N709" s="94">
        <v>123</v>
      </c>
      <c r="O709" s="94">
        <v>800</v>
      </c>
      <c r="P709" s="94">
        <v>0</v>
      </c>
      <c r="Q709" s="95">
        <v>0.26143790849673199</v>
      </c>
      <c r="R709" s="95">
        <v>0.203252032520325</v>
      </c>
      <c r="S709" s="95">
        <v>0.366300366300366</v>
      </c>
      <c r="T709" s="95">
        <v>0</v>
      </c>
      <c r="U709" s="95">
        <v>0</v>
      </c>
      <c r="V709" s="95">
        <v>0.22831050228310501</v>
      </c>
      <c r="W709" s="95">
        <v>0.84033613445378197</v>
      </c>
      <c r="X709" s="95">
        <v>0.26143790849673199</v>
      </c>
      <c r="Y709" s="95">
        <v>0</v>
      </c>
      <c r="Z709" s="94">
        <v>852</v>
      </c>
      <c r="AA709" s="94">
        <v>453</v>
      </c>
      <c r="AB709" s="94">
        <v>399</v>
      </c>
      <c r="AC709" s="94">
        <v>32</v>
      </c>
      <c r="AD709" s="94">
        <v>240</v>
      </c>
      <c r="AE709" s="94">
        <v>493</v>
      </c>
      <c r="AF709" s="94">
        <v>87</v>
      </c>
      <c r="AG709" s="94">
        <v>697</v>
      </c>
      <c r="AH709" s="94">
        <v>151</v>
      </c>
      <c r="AI709" s="94">
        <v>4</v>
      </c>
      <c r="AJ709" s="94">
        <v>831</v>
      </c>
      <c r="AK709" s="94">
        <v>18</v>
      </c>
      <c r="AL709" s="94">
        <v>3</v>
      </c>
      <c r="AM709" s="94">
        <v>42</v>
      </c>
      <c r="AN709" s="94">
        <v>787</v>
      </c>
      <c r="AO709" s="94">
        <v>23</v>
      </c>
      <c r="AP709" s="95">
        <v>0.72376357056694796</v>
      </c>
      <c r="AQ709" s="95">
        <v>0.22675736961451201</v>
      </c>
      <c r="AR709" s="95">
        <v>1.28865979381443</v>
      </c>
      <c r="AS709" s="95">
        <v>3.125</v>
      </c>
      <c r="AT709" s="95">
        <v>1.31004366812227</v>
      </c>
      <c r="AU709" s="95">
        <v>0.41407867494824002</v>
      </c>
      <c r="AV709" s="95">
        <v>0</v>
      </c>
      <c r="AW709" s="95">
        <v>0.58997050147492602</v>
      </c>
      <c r="AX709" s="95">
        <v>1.3605442176870699</v>
      </c>
      <c r="AY709" s="95">
        <v>0</v>
      </c>
      <c r="AZ709" s="95">
        <v>0.74165636588380701</v>
      </c>
      <c r="BA709" s="95">
        <v>0</v>
      </c>
      <c r="BB709" s="95">
        <v>0</v>
      </c>
      <c r="BC709" s="95">
        <v>0</v>
      </c>
      <c r="BD709" s="95">
        <v>0.78226857887874801</v>
      </c>
      <c r="BE709" s="95">
        <v>0</v>
      </c>
    </row>
    <row r="710" spans="2:57" ht="15" customHeight="1" x14ac:dyDescent="0.25">
      <c r="B710" s="96">
        <v>700</v>
      </c>
      <c r="C710" s="97" t="s">
        <v>504</v>
      </c>
      <c r="D710" s="104" t="s">
        <v>57</v>
      </c>
      <c r="E710" s="104" t="s">
        <v>376</v>
      </c>
      <c r="F710" s="104" t="s">
        <v>321</v>
      </c>
      <c r="G710" s="105" t="s">
        <v>321</v>
      </c>
      <c r="H710" s="106">
        <v>250</v>
      </c>
      <c r="I710" s="106">
        <v>153</v>
      </c>
      <c r="J710" s="106">
        <v>97</v>
      </c>
      <c r="K710" s="106">
        <v>7</v>
      </c>
      <c r="L710" s="106">
        <v>91</v>
      </c>
      <c r="M710" s="106">
        <v>121</v>
      </c>
      <c r="N710" s="106">
        <v>31</v>
      </c>
      <c r="O710" s="106">
        <v>249</v>
      </c>
      <c r="P710" s="106">
        <v>1</v>
      </c>
      <c r="Q710" s="107">
        <v>0</v>
      </c>
      <c r="R710" s="107">
        <v>0</v>
      </c>
      <c r="S710" s="107">
        <v>0</v>
      </c>
      <c r="T710" s="107">
        <v>0</v>
      </c>
      <c r="U710" s="107">
        <v>0</v>
      </c>
      <c r="V710" s="107">
        <v>0</v>
      </c>
      <c r="W710" s="107">
        <v>0</v>
      </c>
      <c r="X710" s="107">
        <v>0</v>
      </c>
      <c r="Y710" s="107">
        <v>0</v>
      </c>
      <c r="Z710" s="106">
        <v>444</v>
      </c>
      <c r="AA710" s="106">
        <v>253</v>
      </c>
      <c r="AB710" s="106">
        <v>191</v>
      </c>
      <c r="AC710" s="106">
        <v>11</v>
      </c>
      <c r="AD710" s="106">
        <v>150</v>
      </c>
      <c r="AE710" s="106">
        <v>236</v>
      </c>
      <c r="AF710" s="106">
        <v>47</v>
      </c>
      <c r="AG710" s="106">
        <v>305</v>
      </c>
      <c r="AH710" s="106">
        <v>136</v>
      </c>
      <c r="AI710" s="106">
        <v>3</v>
      </c>
      <c r="AJ710" s="106">
        <v>425</v>
      </c>
      <c r="AK710" s="106">
        <v>18</v>
      </c>
      <c r="AL710" s="106">
        <v>1</v>
      </c>
      <c r="AM710" s="106">
        <v>15</v>
      </c>
      <c r="AN710" s="106">
        <v>428</v>
      </c>
      <c r="AO710" s="106">
        <v>1</v>
      </c>
      <c r="AP710" s="107">
        <v>2.0881670533642702</v>
      </c>
      <c r="AQ710" s="107">
        <v>1.2</v>
      </c>
      <c r="AR710" s="107">
        <v>3.3149171270718201</v>
      </c>
      <c r="AS710" s="107">
        <v>0</v>
      </c>
      <c r="AT710" s="107">
        <v>3.4482758620689702</v>
      </c>
      <c r="AU710" s="107">
        <v>1.74672489082969</v>
      </c>
      <c r="AV710" s="107">
        <v>0</v>
      </c>
      <c r="AW710" s="107">
        <v>2.0134228187919501</v>
      </c>
      <c r="AX710" s="107">
        <v>2.3076923076923102</v>
      </c>
      <c r="AY710" s="107">
        <v>0</v>
      </c>
      <c r="AZ710" s="107">
        <v>1.94174757281553</v>
      </c>
      <c r="BA710" s="107">
        <v>5.5555555555555598</v>
      </c>
      <c r="BB710" s="107">
        <v>0</v>
      </c>
      <c r="BC710" s="107">
        <v>0</v>
      </c>
      <c r="BD710" s="107">
        <v>2.1634615384615401</v>
      </c>
      <c r="BE710" s="107">
        <v>0</v>
      </c>
    </row>
    <row r="711" spans="2:57" ht="15" customHeight="1" x14ac:dyDescent="0.25">
      <c r="B711" s="91">
        <v>701</v>
      </c>
      <c r="C711" s="92" t="s">
        <v>504</v>
      </c>
      <c r="D711" s="92" t="s">
        <v>57</v>
      </c>
      <c r="E711" s="92" t="s">
        <v>376</v>
      </c>
      <c r="F711" s="92" t="s">
        <v>321</v>
      </c>
      <c r="G711" s="101" t="s">
        <v>501</v>
      </c>
      <c r="H711" s="94">
        <v>0</v>
      </c>
      <c r="I711" s="94">
        <v>0</v>
      </c>
      <c r="J711" s="94">
        <v>0</v>
      </c>
      <c r="K711" s="94">
        <v>0</v>
      </c>
      <c r="L711" s="94">
        <v>0</v>
      </c>
      <c r="M711" s="94">
        <v>0</v>
      </c>
      <c r="N711" s="94">
        <v>0</v>
      </c>
      <c r="O711" s="94">
        <v>0</v>
      </c>
      <c r="P711" s="94">
        <v>0</v>
      </c>
      <c r="Q711" s="95">
        <v>0</v>
      </c>
      <c r="R711" s="95">
        <v>0</v>
      </c>
      <c r="S711" s="95">
        <v>0</v>
      </c>
      <c r="T711" s="95">
        <v>0</v>
      </c>
      <c r="U711" s="95">
        <v>0</v>
      </c>
      <c r="V711" s="95">
        <v>0</v>
      </c>
      <c r="W711" s="95">
        <v>0</v>
      </c>
      <c r="X711" s="95">
        <v>0</v>
      </c>
      <c r="Y711" s="95">
        <v>0</v>
      </c>
      <c r="Z711" s="94">
        <v>0</v>
      </c>
      <c r="AA711" s="94">
        <v>0</v>
      </c>
      <c r="AB711" s="94">
        <v>0</v>
      </c>
      <c r="AC711" s="94">
        <v>0</v>
      </c>
      <c r="AD711" s="94">
        <v>0</v>
      </c>
      <c r="AE711" s="94">
        <v>0</v>
      </c>
      <c r="AF711" s="94">
        <v>0</v>
      </c>
      <c r="AG711" s="94">
        <v>0</v>
      </c>
      <c r="AH711" s="94">
        <v>0</v>
      </c>
      <c r="AI711" s="94">
        <v>0</v>
      </c>
      <c r="AJ711" s="94">
        <v>0</v>
      </c>
      <c r="AK711" s="94">
        <v>0</v>
      </c>
      <c r="AL711" s="94">
        <v>0</v>
      </c>
      <c r="AM711" s="94">
        <v>0</v>
      </c>
      <c r="AN711" s="94">
        <v>0</v>
      </c>
      <c r="AO711" s="94">
        <v>0</v>
      </c>
      <c r="AP711" s="95">
        <v>0</v>
      </c>
      <c r="AQ711" s="95">
        <v>0</v>
      </c>
      <c r="AR711" s="95">
        <v>0</v>
      </c>
      <c r="AS711" s="95">
        <v>0</v>
      </c>
      <c r="AT711" s="95">
        <v>0</v>
      </c>
      <c r="AU711" s="95">
        <v>0</v>
      </c>
      <c r="AV711" s="95">
        <v>0</v>
      </c>
      <c r="AW711" s="95">
        <v>0</v>
      </c>
      <c r="AX711" s="95">
        <v>0</v>
      </c>
      <c r="AY711" s="95">
        <v>0</v>
      </c>
      <c r="AZ711" s="95">
        <v>0</v>
      </c>
      <c r="BA711" s="95">
        <v>0</v>
      </c>
      <c r="BB711" s="95">
        <v>0</v>
      </c>
      <c r="BC711" s="95">
        <v>0</v>
      </c>
      <c r="BD711" s="95">
        <v>0</v>
      </c>
      <c r="BE711" s="95">
        <v>0</v>
      </c>
    </row>
    <row r="712" spans="2:57" ht="15" customHeight="1" x14ac:dyDescent="0.25">
      <c r="B712" s="91">
        <v>702</v>
      </c>
      <c r="C712" s="92" t="s">
        <v>504</v>
      </c>
      <c r="D712" s="92" t="s">
        <v>57</v>
      </c>
      <c r="E712" s="92" t="s">
        <v>376</v>
      </c>
      <c r="F712" s="92" t="s">
        <v>321</v>
      </c>
      <c r="G712" s="101" t="s">
        <v>502</v>
      </c>
      <c r="H712" s="94">
        <v>250</v>
      </c>
      <c r="I712" s="94">
        <v>153</v>
      </c>
      <c r="J712" s="94">
        <v>97</v>
      </c>
      <c r="K712" s="94">
        <v>7</v>
      </c>
      <c r="L712" s="94">
        <v>91</v>
      </c>
      <c r="M712" s="94">
        <v>121</v>
      </c>
      <c r="N712" s="94">
        <v>31</v>
      </c>
      <c r="O712" s="94">
        <v>249</v>
      </c>
      <c r="P712" s="94">
        <v>1</v>
      </c>
      <c r="Q712" s="95">
        <v>0</v>
      </c>
      <c r="R712" s="95">
        <v>0</v>
      </c>
      <c r="S712" s="95">
        <v>0</v>
      </c>
      <c r="T712" s="95">
        <v>0</v>
      </c>
      <c r="U712" s="95">
        <v>0</v>
      </c>
      <c r="V712" s="95">
        <v>0</v>
      </c>
      <c r="W712" s="95">
        <v>0</v>
      </c>
      <c r="X712" s="95">
        <v>0</v>
      </c>
      <c r="Y712" s="95">
        <v>0</v>
      </c>
      <c r="Z712" s="94">
        <v>444</v>
      </c>
      <c r="AA712" s="94">
        <v>253</v>
      </c>
      <c r="AB712" s="94">
        <v>191</v>
      </c>
      <c r="AC712" s="94">
        <v>11</v>
      </c>
      <c r="AD712" s="94">
        <v>150</v>
      </c>
      <c r="AE712" s="94">
        <v>236</v>
      </c>
      <c r="AF712" s="94">
        <v>47</v>
      </c>
      <c r="AG712" s="94">
        <v>305</v>
      </c>
      <c r="AH712" s="94">
        <v>136</v>
      </c>
      <c r="AI712" s="94">
        <v>3</v>
      </c>
      <c r="AJ712" s="94">
        <v>425</v>
      </c>
      <c r="AK712" s="94">
        <v>18</v>
      </c>
      <c r="AL712" s="94">
        <v>1</v>
      </c>
      <c r="AM712" s="94">
        <v>15</v>
      </c>
      <c r="AN712" s="94">
        <v>428</v>
      </c>
      <c r="AO712" s="94">
        <v>1</v>
      </c>
      <c r="AP712" s="95">
        <v>2.0881670533642702</v>
      </c>
      <c r="AQ712" s="95">
        <v>1.2</v>
      </c>
      <c r="AR712" s="95">
        <v>3.3149171270718201</v>
      </c>
      <c r="AS712" s="95">
        <v>0</v>
      </c>
      <c r="AT712" s="95">
        <v>3.4482758620689702</v>
      </c>
      <c r="AU712" s="95">
        <v>1.74672489082969</v>
      </c>
      <c r="AV712" s="95">
        <v>0</v>
      </c>
      <c r="AW712" s="95">
        <v>2.0134228187919501</v>
      </c>
      <c r="AX712" s="95">
        <v>2.3076923076923102</v>
      </c>
      <c r="AY712" s="95">
        <v>0</v>
      </c>
      <c r="AZ712" s="95">
        <v>1.94174757281553</v>
      </c>
      <c r="BA712" s="95">
        <v>5.5555555555555598</v>
      </c>
      <c r="BB712" s="95">
        <v>0</v>
      </c>
      <c r="BC712" s="95">
        <v>0</v>
      </c>
      <c r="BD712" s="95">
        <v>2.1634615384615401</v>
      </c>
      <c r="BE712" s="95">
        <v>0</v>
      </c>
    </row>
    <row r="713" spans="2:57" ht="15" customHeight="1" x14ac:dyDescent="0.25">
      <c r="B713" s="96">
        <v>703</v>
      </c>
      <c r="C713" s="97" t="s">
        <v>504</v>
      </c>
      <c r="D713" s="104" t="s">
        <v>57</v>
      </c>
      <c r="E713" s="104" t="s">
        <v>376</v>
      </c>
      <c r="F713" s="104" t="s">
        <v>22</v>
      </c>
      <c r="G713" s="105" t="s">
        <v>22</v>
      </c>
      <c r="H713" s="106">
        <v>1134</v>
      </c>
      <c r="I713" s="106">
        <v>689</v>
      </c>
      <c r="J713" s="106">
        <v>445</v>
      </c>
      <c r="K713" s="106">
        <v>28</v>
      </c>
      <c r="L713" s="106">
        <v>370</v>
      </c>
      <c r="M713" s="106">
        <v>590</v>
      </c>
      <c r="N713" s="106">
        <v>146</v>
      </c>
      <c r="O713" s="106">
        <v>1131</v>
      </c>
      <c r="P713" s="106">
        <v>3</v>
      </c>
      <c r="Q713" s="107">
        <v>0</v>
      </c>
      <c r="R713" s="107">
        <v>0</v>
      </c>
      <c r="S713" s="107">
        <v>0</v>
      </c>
      <c r="T713" s="107">
        <v>0</v>
      </c>
      <c r="U713" s="107">
        <v>0</v>
      </c>
      <c r="V713" s="107">
        <v>0</v>
      </c>
      <c r="W713" s="107">
        <v>0</v>
      </c>
      <c r="X713" s="107">
        <v>0</v>
      </c>
      <c r="Y713" s="107">
        <v>0</v>
      </c>
      <c r="Z713" s="106">
        <v>2083</v>
      </c>
      <c r="AA713" s="106">
        <v>1117</v>
      </c>
      <c r="AB713" s="106">
        <v>966</v>
      </c>
      <c r="AC713" s="106">
        <v>68</v>
      </c>
      <c r="AD713" s="106">
        <v>627</v>
      </c>
      <c r="AE713" s="106">
        <v>1175</v>
      </c>
      <c r="AF713" s="106">
        <v>213</v>
      </c>
      <c r="AG713" s="106">
        <v>1414</v>
      </c>
      <c r="AH713" s="106">
        <v>646</v>
      </c>
      <c r="AI713" s="106">
        <v>23</v>
      </c>
      <c r="AJ713" s="106">
        <v>2032</v>
      </c>
      <c r="AK713" s="106">
        <v>44</v>
      </c>
      <c r="AL713" s="106">
        <v>7</v>
      </c>
      <c r="AM713" s="106">
        <v>82</v>
      </c>
      <c r="AN713" s="106">
        <v>1981</v>
      </c>
      <c r="AO713" s="106">
        <v>20</v>
      </c>
      <c r="AP713" s="107">
        <v>0.55055055055055102</v>
      </c>
      <c r="AQ713" s="107">
        <v>0.27472527472527503</v>
      </c>
      <c r="AR713" s="107">
        <v>0.88300220750551905</v>
      </c>
      <c r="AS713" s="107">
        <v>0</v>
      </c>
      <c r="AT713" s="107">
        <v>0.50761421319796995</v>
      </c>
      <c r="AU713" s="107">
        <v>0.528169014084507</v>
      </c>
      <c r="AV713" s="107">
        <v>0.952380952380952</v>
      </c>
      <c r="AW713" s="107">
        <v>0.43923865300146397</v>
      </c>
      <c r="AX713" s="107">
        <v>0.81967213114754101</v>
      </c>
      <c r="AY713" s="107">
        <v>0</v>
      </c>
      <c r="AZ713" s="107">
        <v>0.56497175141242895</v>
      </c>
      <c r="BA713" s="107">
        <v>0</v>
      </c>
      <c r="BB713" s="107">
        <v>0</v>
      </c>
      <c r="BC713" s="107">
        <v>0</v>
      </c>
      <c r="BD713" s="107">
        <v>0.57925223802001102</v>
      </c>
      <c r="BE713" s="107">
        <v>0</v>
      </c>
    </row>
    <row r="714" spans="2:57" ht="15" customHeight="1" x14ac:dyDescent="0.25">
      <c r="B714" s="91">
        <v>704</v>
      </c>
      <c r="C714" s="92" t="s">
        <v>504</v>
      </c>
      <c r="D714" s="92" t="s">
        <v>57</v>
      </c>
      <c r="E714" s="92" t="s">
        <v>376</v>
      </c>
      <c r="F714" s="92" t="s">
        <v>22</v>
      </c>
      <c r="G714" s="101" t="s">
        <v>501</v>
      </c>
      <c r="H714" s="94">
        <v>0</v>
      </c>
      <c r="I714" s="94">
        <v>0</v>
      </c>
      <c r="J714" s="94">
        <v>0</v>
      </c>
      <c r="K714" s="94">
        <v>0</v>
      </c>
      <c r="L714" s="94">
        <v>0</v>
      </c>
      <c r="M714" s="94">
        <v>0</v>
      </c>
      <c r="N714" s="94">
        <v>0</v>
      </c>
      <c r="O714" s="94">
        <v>0</v>
      </c>
      <c r="P714" s="94">
        <v>0</v>
      </c>
      <c r="Q714" s="95">
        <v>0</v>
      </c>
      <c r="R714" s="95">
        <v>0</v>
      </c>
      <c r="S714" s="95">
        <v>0</v>
      </c>
      <c r="T714" s="95">
        <v>0</v>
      </c>
      <c r="U714" s="95">
        <v>0</v>
      </c>
      <c r="V714" s="95">
        <v>0</v>
      </c>
      <c r="W714" s="95">
        <v>0</v>
      </c>
      <c r="X714" s="95">
        <v>0</v>
      </c>
      <c r="Y714" s="95">
        <v>0</v>
      </c>
      <c r="Z714" s="94">
        <v>0</v>
      </c>
      <c r="AA714" s="94">
        <v>0</v>
      </c>
      <c r="AB714" s="94">
        <v>0</v>
      </c>
      <c r="AC714" s="94">
        <v>0</v>
      </c>
      <c r="AD714" s="94">
        <v>0</v>
      </c>
      <c r="AE714" s="94">
        <v>0</v>
      </c>
      <c r="AF714" s="94">
        <v>0</v>
      </c>
      <c r="AG714" s="94">
        <v>0</v>
      </c>
      <c r="AH714" s="94">
        <v>0</v>
      </c>
      <c r="AI714" s="94">
        <v>0</v>
      </c>
      <c r="AJ714" s="94">
        <v>0</v>
      </c>
      <c r="AK714" s="94">
        <v>0</v>
      </c>
      <c r="AL714" s="94">
        <v>0</v>
      </c>
      <c r="AM714" s="94">
        <v>0</v>
      </c>
      <c r="AN714" s="94">
        <v>0</v>
      </c>
      <c r="AO714" s="94">
        <v>0</v>
      </c>
      <c r="AP714" s="95">
        <v>0</v>
      </c>
      <c r="AQ714" s="95">
        <v>0</v>
      </c>
      <c r="AR714" s="95">
        <v>0</v>
      </c>
      <c r="AS714" s="95">
        <v>0</v>
      </c>
      <c r="AT714" s="95">
        <v>0</v>
      </c>
      <c r="AU714" s="95">
        <v>0</v>
      </c>
      <c r="AV714" s="95">
        <v>0</v>
      </c>
      <c r="AW714" s="95">
        <v>0</v>
      </c>
      <c r="AX714" s="95">
        <v>0</v>
      </c>
      <c r="AY714" s="95">
        <v>0</v>
      </c>
      <c r="AZ714" s="95">
        <v>0</v>
      </c>
      <c r="BA714" s="95">
        <v>0</v>
      </c>
      <c r="BB714" s="95">
        <v>0</v>
      </c>
      <c r="BC714" s="95">
        <v>0</v>
      </c>
      <c r="BD714" s="95">
        <v>0</v>
      </c>
      <c r="BE714" s="95">
        <v>0</v>
      </c>
    </row>
    <row r="715" spans="2:57" ht="15" customHeight="1" x14ac:dyDescent="0.25">
      <c r="B715" s="91">
        <v>705</v>
      </c>
      <c r="C715" s="92" t="s">
        <v>504</v>
      </c>
      <c r="D715" s="92" t="s">
        <v>57</v>
      </c>
      <c r="E715" s="92" t="s">
        <v>376</v>
      </c>
      <c r="F715" s="92" t="s">
        <v>22</v>
      </c>
      <c r="G715" s="101" t="s">
        <v>502</v>
      </c>
      <c r="H715" s="94">
        <v>1134</v>
      </c>
      <c r="I715" s="94">
        <v>689</v>
      </c>
      <c r="J715" s="94">
        <v>445</v>
      </c>
      <c r="K715" s="94">
        <v>28</v>
      </c>
      <c r="L715" s="94">
        <v>370</v>
      </c>
      <c r="M715" s="94">
        <v>590</v>
      </c>
      <c r="N715" s="94">
        <v>146</v>
      </c>
      <c r="O715" s="94">
        <v>1131</v>
      </c>
      <c r="P715" s="94">
        <v>3</v>
      </c>
      <c r="Q715" s="95">
        <v>0</v>
      </c>
      <c r="R715" s="95">
        <v>0</v>
      </c>
      <c r="S715" s="95">
        <v>0</v>
      </c>
      <c r="T715" s="95">
        <v>0</v>
      </c>
      <c r="U715" s="95">
        <v>0</v>
      </c>
      <c r="V715" s="95">
        <v>0</v>
      </c>
      <c r="W715" s="95">
        <v>0</v>
      </c>
      <c r="X715" s="95">
        <v>0</v>
      </c>
      <c r="Y715" s="95">
        <v>0</v>
      </c>
      <c r="Z715" s="94">
        <v>2083</v>
      </c>
      <c r="AA715" s="94">
        <v>1117</v>
      </c>
      <c r="AB715" s="94">
        <v>966</v>
      </c>
      <c r="AC715" s="94">
        <v>68</v>
      </c>
      <c r="AD715" s="94">
        <v>627</v>
      </c>
      <c r="AE715" s="94">
        <v>1175</v>
      </c>
      <c r="AF715" s="94">
        <v>213</v>
      </c>
      <c r="AG715" s="94">
        <v>1414</v>
      </c>
      <c r="AH715" s="94">
        <v>646</v>
      </c>
      <c r="AI715" s="94">
        <v>23</v>
      </c>
      <c r="AJ715" s="94">
        <v>2032</v>
      </c>
      <c r="AK715" s="94">
        <v>44</v>
      </c>
      <c r="AL715" s="94">
        <v>7</v>
      </c>
      <c r="AM715" s="94">
        <v>82</v>
      </c>
      <c r="AN715" s="94">
        <v>1981</v>
      </c>
      <c r="AO715" s="94">
        <v>20</v>
      </c>
      <c r="AP715" s="95">
        <v>0.55055055055055102</v>
      </c>
      <c r="AQ715" s="95">
        <v>0.27472527472527503</v>
      </c>
      <c r="AR715" s="95">
        <v>0.88300220750551905</v>
      </c>
      <c r="AS715" s="95">
        <v>0</v>
      </c>
      <c r="AT715" s="95">
        <v>0.50761421319796995</v>
      </c>
      <c r="AU715" s="95">
        <v>0.528169014084507</v>
      </c>
      <c r="AV715" s="95">
        <v>0.952380952380952</v>
      </c>
      <c r="AW715" s="95">
        <v>0.43923865300146397</v>
      </c>
      <c r="AX715" s="95">
        <v>0.81967213114754101</v>
      </c>
      <c r="AY715" s="95">
        <v>0</v>
      </c>
      <c r="AZ715" s="95">
        <v>0.56497175141242895</v>
      </c>
      <c r="BA715" s="95">
        <v>0</v>
      </c>
      <c r="BB715" s="95">
        <v>0</v>
      </c>
      <c r="BC715" s="95">
        <v>0</v>
      </c>
      <c r="BD715" s="95">
        <v>0.57925223802001102</v>
      </c>
      <c r="BE715" s="95">
        <v>0</v>
      </c>
    </row>
    <row r="716" spans="2:57" ht="15" customHeight="1" x14ac:dyDescent="0.25">
      <c r="B716" s="86">
        <v>706</v>
      </c>
      <c r="C716" s="87" t="s">
        <v>503</v>
      </c>
      <c r="D716" s="103" t="s">
        <v>57</v>
      </c>
      <c r="E716" s="103" t="s">
        <v>208</v>
      </c>
      <c r="F716" s="103"/>
      <c r="G716" s="88" t="s">
        <v>208</v>
      </c>
      <c r="H716" s="89">
        <v>8009</v>
      </c>
      <c r="I716" s="89">
        <v>4753</v>
      </c>
      <c r="J716" s="89">
        <v>3256</v>
      </c>
      <c r="K716" s="89">
        <v>243</v>
      </c>
      <c r="L716" s="89">
        <v>1726</v>
      </c>
      <c r="M716" s="89">
        <v>4447</v>
      </c>
      <c r="N716" s="89">
        <v>1593</v>
      </c>
      <c r="O716" s="89">
        <v>7999</v>
      </c>
      <c r="P716" s="89">
        <v>10</v>
      </c>
      <c r="Q716" s="90">
        <v>0.69408067050811995</v>
      </c>
      <c r="R716" s="90">
        <v>0.46002190580503799</v>
      </c>
      <c r="S716" s="90">
        <v>1.0420058612829699</v>
      </c>
      <c r="T716" s="90">
        <v>2.4630541871921201</v>
      </c>
      <c r="U716" s="90">
        <v>0.79705702023298597</v>
      </c>
      <c r="V716" s="90">
        <v>0.72616537830873695</v>
      </c>
      <c r="W716" s="90">
        <v>0.26092628832354903</v>
      </c>
      <c r="X716" s="90">
        <v>0.69489969843975397</v>
      </c>
      <c r="Y716" s="90">
        <v>0</v>
      </c>
      <c r="Z716" s="89">
        <v>8963</v>
      </c>
      <c r="AA716" s="89">
        <v>5268</v>
      </c>
      <c r="AB716" s="89">
        <v>3695</v>
      </c>
      <c r="AC716" s="89">
        <v>264</v>
      </c>
      <c r="AD716" s="89">
        <v>1838</v>
      </c>
      <c r="AE716" s="89">
        <v>4964</v>
      </c>
      <c r="AF716" s="89">
        <v>1897</v>
      </c>
      <c r="AG716" s="89">
        <v>6133</v>
      </c>
      <c r="AH716" s="89">
        <v>2728</v>
      </c>
      <c r="AI716" s="89">
        <v>102</v>
      </c>
      <c r="AJ716" s="89">
        <v>8915</v>
      </c>
      <c r="AK716" s="89">
        <v>30</v>
      </c>
      <c r="AL716" s="89">
        <v>18</v>
      </c>
      <c r="AM716" s="89">
        <v>752</v>
      </c>
      <c r="AN716" s="89">
        <v>8104</v>
      </c>
      <c r="AO716" s="89">
        <v>107</v>
      </c>
      <c r="AP716" s="90">
        <v>3.0895260386190802</v>
      </c>
      <c r="AQ716" s="90">
        <v>1.0127084988085799</v>
      </c>
      <c r="AR716" s="90">
        <v>6.0701054431461996</v>
      </c>
      <c r="AS716" s="90">
        <v>3.2653061224489801</v>
      </c>
      <c r="AT716" s="90">
        <v>5.5684454756380504</v>
      </c>
      <c r="AU716" s="90">
        <v>2.3643656322567002</v>
      </c>
      <c r="AV716" s="90">
        <v>2.6101141924959199</v>
      </c>
      <c r="AW716" s="90">
        <v>2.7504244482173199</v>
      </c>
      <c r="AX716" s="90">
        <v>3.8910505836575902</v>
      </c>
      <c r="AY716" s="90">
        <v>2.3529411764705901</v>
      </c>
      <c r="AZ716" s="90">
        <v>3.0816278522700502</v>
      </c>
      <c r="BA716" s="90">
        <v>7.6923076923076898</v>
      </c>
      <c r="BB716" s="90">
        <v>0</v>
      </c>
      <c r="BC716" s="90">
        <v>2.0718232044198901</v>
      </c>
      <c r="BD716" s="90">
        <v>3.1990674783059201</v>
      </c>
      <c r="BE716" s="90">
        <v>2</v>
      </c>
    </row>
    <row r="717" spans="2:57" ht="15" customHeight="1" x14ac:dyDescent="0.25">
      <c r="B717" s="91">
        <v>707</v>
      </c>
      <c r="C717" s="92" t="s">
        <v>503</v>
      </c>
      <c r="D717" s="92" t="s">
        <v>57</v>
      </c>
      <c r="E717" s="92" t="s">
        <v>208</v>
      </c>
      <c r="F717" s="92"/>
      <c r="G717" s="93" t="s">
        <v>501</v>
      </c>
      <c r="H717" s="94">
        <v>1335</v>
      </c>
      <c r="I717" s="94">
        <v>931</v>
      </c>
      <c r="J717" s="94">
        <v>404</v>
      </c>
      <c r="K717" s="94">
        <v>46</v>
      </c>
      <c r="L717" s="94">
        <v>419</v>
      </c>
      <c r="M717" s="94">
        <v>757</v>
      </c>
      <c r="N717" s="94">
        <v>113</v>
      </c>
      <c r="O717" s="94">
        <v>1332</v>
      </c>
      <c r="P717" s="94">
        <v>3</v>
      </c>
      <c r="Q717" s="95">
        <v>0.95465393794749398</v>
      </c>
      <c r="R717" s="95">
        <v>0.225733634311512</v>
      </c>
      <c r="S717" s="95">
        <v>2.6954177897574101</v>
      </c>
      <c r="T717" s="95">
        <v>5.1282051282051304</v>
      </c>
      <c r="U717" s="95">
        <v>0.77120822622107998</v>
      </c>
      <c r="V717" s="95">
        <v>0.69541029207232297</v>
      </c>
      <c r="W717" s="95">
        <v>1.8181818181818199</v>
      </c>
      <c r="X717" s="95">
        <v>0.95693779904306198</v>
      </c>
      <c r="Y717" s="95">
        <v>0</v>
      </c>
      <c r="Z717" s="94">
        <v>2071</v>
      </c>
      <c r="AA717" s="94">
        <v>1348</v>
      </c>
      <c r="AB717" s="94">
        <v>723</v>
      </c>
      <c r="AC717" s="94">
        <v>66</v>
      </c>
      <c r="AD717" s="94">
        <v>619</v>
      </c>
      <c r="AE717" s="94">
        <v>1194</v>
      </c>
      <c r="AF717" s="94">
        <v>192</v>
      </c>
      <c r="AG717" s="94">
        <v>1190</v>
      </c>
      <c r="AH717" s="94">
        <v>865</v>
      </c>
      <c r="AI717" s="94">
        <v>16</v>
      </c>
      <c r="AJ717" s="94">
        <v>2057</v>
      </c>
      <c r="AK717" s="94">
        <v>14</v>
      </c>
      <c r="AL717" s="94">
        <v>0</v>
      </c>
      <c r="AM717" s="94">
        <v>124</v>
      </c>
      <c r="AN717" s="94">
        <v>1937</v>
      </c>
      <c r="AO717" s="94">
        <v>10</v>
      </c>
      <c r="AP717" s="95">
        <v>5.1525762881440702</v>
      </c>
      <c r="AQ717" s="95">
        <v>1.3709063214013699</v>
      </c>
      <c r="AR717" s="95">
        <v>12.3906705539359</v>
      </c>
      <c r="AS717" s="95">
        <v>4.8387096774193497</v>
      </c>
      <c r="AT717" s="95">
        <v>7.6400679117147696</v>
      </c>
      <c r="AU717" s="95">
        <v>4.1343669250646</v>
      </c>
      <c r="AV717" s="95">
        <v>3.7433155080213898</v>
      </c>
      <c r="AW717" s="95">
        <v>4.63917525773196</v>
      </c>
      <c r="AX717" s="95">
        <v>5.9829059829059803</v>
      </c>
      <c r="AY717" s="95">
        <v>0</v>
      </c>
      <c r="AZ717" s="95">
        <v>5.0881612090680104</v>
      </c>
      <c r="BA717" s="95">
        <v>14.285714285714301</v>
      </c>
      <c r="BB717" s="95">
        <v>0</v>
      </c>
      <c r="BC717" s="95">
        <v>3.47826086956522</v>
      </c>
      <c r="BD717" s="95">
        <v>5.2266666666666701</v>
      </c>
      <c r="BE717" s="95">
        <v>11.1111111111111</v>
      </c>
    </row>
    <row r="718" spans="2:57" ht="15" customHeight="1" x14ac:dyDescent="0.25">
      <c r="B718" s="91">
        <v>708</v>
      </c>
      <c r="C718" s="92" t="s">
        <v>503</v>
      </c>
      <c r="D718" s="92" t="s">
        <v>57</v>
      </c>
      <c r="E718" s="92" t="s">
        <v>208</v>
      </c>
      <c r="F718" s="92"/>
      <c r="G718" s="93" t="s">
        <v>502</v>
      </c>
      <c r="H718" s="94">
        <v>6674</v>
      </c>
      <c r="I718" s="94">
        <v>3822</v>
      </c>
      <c r="J718" s="94">
        <v>2852</v>
      </c>
      <c r="K718" s="94">
        <v>197</v>
      </c>
      <c r="L718" s="94">
        <v>1307</v>
      </c>
      <c r="M718" s="94">
        <v>3690</v>
      </c>
      <c r="N718" s="94">
        <v>1480</v>
      </c>
      <c r="O718" s="94">
        <v>6667</v>
      </c>
      <c r="P718" s="94">
        <v>7</v>
      </c>
      <c r="Q718" s="95">
        <v>0.64273397084182504</v>
      </c>
      <c r="R718" s="95">
        <v>0.51644468605599303</v>
      </c>
      <c r="S718" s="95">
        <v>0.81481481481481499</v>
      </c>
      <c r="T718" s="95">
        <v>1.82926829268293</v>
      </c>
      <c r="U718" s="95">
        <v>0.80515297906602201</v>
      </c>
      <c r="V718" s="95">
        <v>0.73239436619718301</v>
      </c>
      <c r="W718" s="95">
        <v>0.14054813773717501</v>
      </c>
      <c r="X718" s="95">
        <v>0.64333908677232099</v>
      </c>
      <c r="Y718" s="95">
        <v>0</v>
      </c>
      <c r="Z718" s="94">
        <v>6892</v>
      </c>
      <c r="AA718" s="94">
        <v>3920</v>
      </c>
      <c r="AB718" s="94">
        <v>2972</v>
      </c>
      <c r="AC718" s="94">
        <v>198</v>
      </c>
      <c r="AD718" s="94">
        <v>1219</v>
      </c>
      <c r="AE718" s="94">
        <v>3770</v>
      </c>
      <c r="AF718" s="94">
        <v>1705</v>
      </c>
      <c r="AG718" s="94">
        <v>4943</v>
      </c>
      <c r="AH718" s="94">
        <v>1863</v>
      </c>
      <c r="AI718" s="94">
        <v>86</v>
      </c>
      <c r="AJ718" s="94">
        <v>6858</v>
      </c>
      <c r="AK718" s="94">
        <v>16</v>
      </c>
      <c r="AL718" s="94">
        <v>18</v>
      </c>
      <c r="AM718" s="94">
        <v>628</v>
      </c>
      <c r="AN718" s="94">
        <v>6167</v>
      </c>
      <c r="AO718" s="94">
        <v>97</v>
      </c>
      <c r="AP718" s="95">
        <v>2.4595172624503499</v>
      </c>
      <c r="AQ718" s="95">
        <v>0.88638195004028997</v>
      </c>
      <c r="AR718" s="95">
        <v>4.5341834927382196</v>
      </c>
      <c r="AS718" s="95">
        <v>2.7322404371584699</v>
      </c>
      <c r="AT718" s="95">
        <v>4.49339207048458</v>
      </c>
      <c r="AU718" s="95">
        <v>1.78970917225951</v>
      </c>
      <c r="AV718" s="95">
        <v>2.4818401937046</v>
      </c>
      <c r="AW718" s="95">
        <v>2.2852306390182</v>
      </c>
      <c r="AX718" s="95">
        <v>2.9126213592233001</v>
      </c>
      <c r="AY718" s="95">
        <v>2.8985507246376798</v>
      </c>
      <c r="AZ718" s="95">
        <v>2.4704618689581102</v>
      </c>
      <c r="BA718" s="95">
        <v>0</v>
      </c>
      <c r="BB718" s="95">
        <v>0</v>
      </c>
      <c r="BC718" s="95">
        <v>1.80623973727422</v>
      </c>
      <c r="BD718" s="95">
        <v>2.5487512829285</v>
      </c>
      <c r="BE718" s="95">
        <v>1.0989010989011001</v>
      </c>
    </row>
    <row r="719" spans="2:57" ht="15" customHeight="1" x14ac:dyDescent="0.25">
      <c r="B719" s="96">
        <v>709</v>
      </c>
      <c r="C719" s="97" t="s">
        <v>504</v>
      </c>
      <c r="D719" s="104" t="s">
        <v>57</v>
      </c>
      <c r="E719" s="104" t="s">
        <v>208</v>
      </c>
      <c r="F719" s="104" t="s">
        <v>208</v>
      </c>
      <c r="G719" s="105" t="s">
        <v>208</v>
      </c>
      <c r="H719" s="106">
        <v>3632</v>
      </c>
      <c r="I719" s="106">
        <v>2172</v>
      </c>
      <c r="J719" s="106">
        <v>1460</v>
      </c>
      <c r="K719" s="106">
        <v>104</v>
      </c>
      <c r="L719" s="106">
        <v>805</v>
      </c>
      <c r="M719" s="106">
        <v>1930</v>
      </c>
      <c r="N719" s="106">
        <v>793</v>
      </c>
      <c r="O719" s="106">
        <v>3629</v>
      </c>
      <c r="P719" s="106">
        <v>3</v>
      </c>
      <c r="Q719" s="107">
        <v>0.57887120115774204</v>
      </c>
      <c r="R719" s="107">
        <v>0.33621517771373699</v>
      </c>
      <c r="S719" s="107">
        <v>0.94683175528040797</v>
      </c>
      <c r="T719" s="107">
        <v>3.4482758620689702</v>
      </c>
      <c r="U719" s="107">
        <v>0.52910052910052896</v>
      </c>
      <c r="V719" s="107">
        <v>0.54054054054054101</v>
      </c>
      <c r="W719" s="107">
        <v>0.39370078740157499</v>
      </c>
      <c r="X719" s="107">
        <v>0.57937427578215495</v>
      </c>
      <c r="Y719" s="107">
        <v>0</v>
      </c>
      <c r="Z719" s="106">
        <v>4721</v>
      </c>
      <c r="AA719" s="106">
        <v>2801</v>
      </c>
      <c r="AB719" s="106">
        <v>1920</v>
      </c>
      <c r="AC719" s="106">
        <v>129</v>
      </c>
      <c r="AD719" s="106">
        <v>1064</v>
      </c>
      <c r="AE719" s="106">
        <v>2563</v>
      </c>
      <c r="AF719" s="106">
        <v>965</v>
      </c>
      <c r="AG719" s="106">
        <v>3305</v>
      </c>
      <c r="AH719" s="106">
        <v>1380</v>
      </c>
      <c r="AI719" s="106">
        <v>36</v>
      </c>
      <c r="AJ719" s="106">
        <v>4698</v>
      </c>
      <c r="AK719" s="106">
        <v>18</v>
      </c>
      <c r="AL719" s="106">
        <v>5</v>
      </c>
      <c r="AM719" s="106">
        <v>396</v>
      </c>
      <c r="AN719" s="106">
        <v>4276</v>
      </c>
      <c r="AO719" s="106">
        <v>49</v>
      </c>
      <c r="AP719" s="107">
        <v>3.69964973730298</v>
      </c>
      <c r="AQ719" s="107">
        <v>1.3587954461990499</v>
      </c>
      <c r="AR719" s="107">
        <v>7.1544715447154497</v>
      </c>
      <c r="AS719" s="107">
        <v>4.0322580645161299</v>
      </c>
      <c r="AT719" s="107">
        <v>6.4102564102564097</v>
      </c>
      <c r="AU719" s="107">
        <v>2.8548451950140699</v>
      </c>
      <c r="AV719" s="107">
        <v>2.9692470837751901</v>
      </c>
      <c r="AW719" s="107">
        <v>3.3840422229121399</v>
      </c>
      <c r="AX719" s="107">
        <v>4.5731707317073198</v>
      </c>
      <c r="AY719" s="107">
        <v>0</v>
      </c>
      <c r="AZ719" s="107">
        <v>3.6743674367436698</v>
      </c>
      <c r="BA719" s="107">
        <v>11.1111111111111</v>
      </c>
      <c r="BB719" s="107">
        <v>0</v>
      </c>
      <c r="BC719" s="107">
        <v>2.6315789473684199</v>
      </c>
      <c r="BD719" s="107">
        <v>3.81642512077295</v>
      </c>
      <c r="BE719" s="107">
        <v>2.0833333333333299</v>
      </c>
    </row>
    <row r="720" spans="2:57" ht="15" customHeight="1" x14ac:dyDescent="0.25">
      <c r="B720" s="91">
        <v>710</v>
      </c>
      <c r="C720" s="92" t="s">
        <v>504</v>
      </c>
      <c r="D720" s="92" t="s">
        <v>57</v>
      </c>
      <c r="E720" s="92" t="s">
        <v>208</v>
      </c>
      <c r="F720" s="92" t="s">
        <v>208</v>
      </c>
      <c r="G720" s="101" t="s">
        <v>501</v>
      </c>
      <c r="H720" s="94">
        <v>1335</v>
      </c>
      <c r="I720" s="94">
        <v>931</v>
      </c>
      <c r="J720" s="94">
        <v>404</v>
      </c>
      <c r="K720" s="94">
        <v>46</v>
      </c>
      <c r="L720" s="94">
        <v>419</v>
      </c>
      <c r="M720" s="94">
        <v>757</v>
      </c>
      <c r="N720" s="94">
        <v>113</v>
      </c>
      <c r="O720" s="94">
        <v>1332</v>
      </c>
      <c r="P720" s="94">
        <v>3</v>
      </c>
      <c r="Q720" s="95">
        <v>0.95465393794749398</v>
      </c>
      <c r="R720" s="95">
        <v>0.225733634311512</v>
      </c>
      <c r="S720" s="95">
        <v>2.6954177897574101</v>
      </c>
      <c r="T720" s="95">
        <v>5.1282051282051304</v>
      </c>
      <c r="U720" s="95">
        <v>0.77120822622107998</v>
      </c>
      <c r="V720" s="95">
        <v>0.69541029207232297</v>
      </c>
      <c r="W720" s="95">
        <v>1.8181818181818199</v>
      </c>
      <c r="X720" s="95">
        <v>0.95693779904306198</v>
      </c>
      <c r="Y720" s="95">
        <v>0</v>
      </c>
      <c r="Z720" s="94">
        <v>2071</v>
      </c>
      <c r="AA720" s="94">
        <v>1348</v>
      </c>
      <c r="AB720" s="94">
        <v>723</v>
      </c>
      <c r="AC720" s="94">
        <v>66</v>
      </c>
      <c r="AD720" s="94">
        <v>619</v>
      </c>
      <c r="AE720" s="94">
        <v>1194</v>
      </c>
      <c r="AF720" s="94">
        <v>192</v>
      </c>
      <c r="AG720" s="94">
        <v>1190</v>
      </c>
      <c r="AH720" s="94">
        <v>865</v>
      </c>
      <c r="AI720" s="94">
        <v>16</v>
      </c>
      <c r="AJ720" s="94">
        <v>2057</v>
      </c>
      <c r="AK720" s="94">
        <v>14</v>
      </c>
      <c r="AL720" s="94">
        <v>0</v>
      </c>
      <c r="AM720" s="94">
        <v>124</v>
      </c>
      <c r="AN720" s="94">
        <v>1937</v>
      </c>
      <c r="AO720" s="94">
        <v>10</v>
      </c>
      <c r="AP720" s="95">
        <v>5.1525762881440702</v>
      </c>
      <c r="AQ720" s="95">
        <v>1.3709063214013699</v>
      </c>
      <c r="AR720" s="95">
        <v>12.3906705539359</v>
      </c>
      <c r="AS720" s="95">
        <v>4.8387096774193497</v>
      </c>
      <c r="AT720" s="95">
        <v>7.6400679117147696</v>
      </c>
      <c r="AU720" s="95">
        <v>4.1343669250646</v>
      </c>
      <c r="AV720" s="95">
        <v>3.7433155080213898</v>
      </c>
      <c r="AW720" s="95">
        <v>4.63917525773196</v>
      </c>
      <c r="AX720" s="95">
        <v>5.9829059829059803</v>
      </c>
      <c r="AY720" s="95">
        <v>0</v>
      </c>
      <c r="AZ720" s="95">
        <v>5.0881612090680104</v>
      </c>
      <c r="BA720" s="95">
        <v>14.285714285714301</v>
      </c>
      <c r="BB720" s="95">
        <v>0</v>
      </c>
      <c r="BC720" s="95">
        <v>3.47826086956522</v>
      </c>
      <c r="BD720" s="95">
        <v>5.2266666666666701</v>
      </c>
      <c r="BE720" s="95">
        <v>11.1111111111111</v>
      </c>
    </row>
    <row r="721" spans="2:57" ht="15" customHeight="1" x14ac:dyDescent="0.25">
      <c r="B721" s="91">
        <v>711</v>
      </c>
      <c r="C721" s="92" t="s">
        <v>504</v>
      </c>
      <c r="D721" s="92" t="s">
        <v>57</v>
      </c>
      <c r="E721" s="92" t="s">
        <v>208</v>
      </c>
      <c r="F721" s="92" t="s">
        <v>208</v>
      </c>
      <c r="G721" s="101" t="s">
        <v>502</v>
      </c>
      <c r="H721" s="94">
        <v>2297</v>
      </c>
      <c r="I721" s="94">
        <v>1241</v>
      </c>
      <c r="J721" s="94">
        <v>1056</v>
      </c>
      <c r="K721" s="94">
        <v>58</v>
      </c>
      <c r="L721" s="94">
        <v>386</v>
      </c>
      <c r="M721" s="94">
        <v>1173</v>
      </c>
      <c r="N721" s="94">
        <v>680</v>
      </c>
      <c r="O721" s="94">
        <v>2297</v>
      </c>
      <c r="P721" s="94">
        <v>0</v>
      </c>
      <c r="Q721" s="95">
        <v>0.36396724294813498</v>
      </c>
      <c r="R721" s="95">
        <v>0.41806020066889599</v>
      </c>
      <c r="S721" s="95">
        <v>0.29940119760479</v>
      </c>
      <c r="T721" s="95">
        <v>2.0833333333333299</v>
      </c>
      <c r="U721" s="95">
        <v>0.27247956403269802</v>
      </c>
      <c r="V721" s="95">
        <v>0.44208664898320099</v>
      </c>
      <c r="W721" s="95">
        <v>0.153374233128834</v>
      </c>
      <c r="X721" s="95">
        <v>0.36396724294813498</v>
      </c>
      <c r="Y721" s="95">
        <v>0</v>
      </c>
      <c r="Z721" s="94">
        <v>2650</v>
      </c>
      <c r="AA721" s="94">
        <v>1453</v>
      </c>
      <c r="AB721" s="94">
        <v>1197</v>
      </c>
      <c r="AC721" s="94">
        <v>63</v>
      </c>
      <c r="AD721" s="94">
        <v>445</v>
      </c>
      <c r="AE721" s="94">
        <v>1369</v>
      </c>
      <c r="AF721" s="94">
        <v>773</v>
      </c>
      <c r="AG721" s="94">
        <v>2115</v>
      </c>
      <c r="AH721" s="94">
        <v>515</v>
      </c>
      <c r="AI721" s="94">
        <v>20</v>
      </c>
      <c r="AJ721" s="94">
        <v>2641</v>
      </c>
      <c r="AK721" s="94">
        <v>4</v>
      </c>
      <c r="AL721" s="94">
        <v>5</v>
      </c>
      <c r="AM721" s="94">
        <v>272</v>
      </c>
      <c r="AN721" s="94">
        <v>2339</v>
      </c>
      <c r="AO721" s="94">
        <v>39</v>
      </c>
      <c r="AP721" s="95">
        <v>2.5690930323082899</v>
      </c>
      <c r="AQ721" s="95">
        <v>1.3475177304964501</v>
      </c>
      <c r="AR721" s="95">
        <v>4.0552200172562598</v>
      </c>
      <c r="AS721" s="95">
        <v>3.2258064516128999</v>
      </c>
      <c r="AT721" s="95">
        <v>4.7058823529411802</v>
      </c>
      <c r="AU721" s="95">
        <v>1.73453996983409</v>
      </c>
      <c r="AV721" s="95">
        <v>2.7777777777777799</v>
      </c>
      <c r="AW721" s="95">
        <v>2.6737967914438499</v>
      </c>
      <c r="AX721" s="95">
        <v>2.2312373225152098</v>
      </c>
      <c r="AY721" s="95">
        <v>0</v>
      </c>
      <c r="AZ721" s="95">
        <v>2.578125</v>
      </c>
      <c r="BA721" s="95">
        <v>0</v>
      </c>
      <c r="BB721" s="95">
        <v>0</v>
      </c>
      <c r="BC721" s="95">
        <v>2.2641509433962299</v>
      </c>
      <c r="BD721" s="95">
        <v>2.64900662251656</v>
      </c>
      <c r="BE721" s="95">
        <v>0</v>
      </c>
    </row>
    <row r="722" spans="2:57" ht="15" customHeight="1" x14ac:dyDescent="0.25">
      <c r="B722" s="96">
        <v>712</v>
      </c>
      <c r="C722" s="97" t="s">
        <v>504</v>
      </c>
      <c r="D722" s="104" t="s">
        <v>57</v>
      </c>
      <c r="E722" s="104" t="s">
        <v>208</v>
      </c>
      <c r="F722" s="104" t="s">
        <v>137</v>
      </c>
      <c r="G722" s="105" t="s">
        <v>137</v>
      </c>
      <c r="H722" s="106">
        <v>2965</v>
      </c>
      <c r="I722" s="106">
        <v>1692</v>
      </c>
      <c r="J722" s="106">
        <v>1273</v>
      </c>
      <c r="K722" s="106">
        <v>104</v>
      </c>
      <c r="L722" s="106">
        <v>619</v>
      </c>
      <c r="M722" s="106">
        <v>1655</v>
      </c>
      <c r="N722" s="106">
        <v>587</v>
      </c>
      <c r="O722" s="106">
        <v>2964</v>
      </c>
      <c r="P722" s="106">
        <v>1</v>
      </c>
      <c r="Q722" s="107">
        <v>0.63246661981728702</v>
      </c>
      <c r="R722" s="107">
        <v>0.49049662783568398</v>
      </c>
      <c r="S722" s="107">
        <v>0.82304526748971196</v>
      </c>
      <c r="T722" s="107">
        <v>1.0989010989011001</v>
      </c>
      <c r="U722" s="107">
        <v>0.68027210884353695</v>
      </c>
      <c r="V722" s="107">
        <v>0.8125</v>
      </c>
      <c r="W722" s="107">
        <v>0</v>
      </c>
      <c r="X722" s="107">
        <v>0.63246661981728702</v>
      </c>
      <c r="Y722" s="107">
        <v>0</v>
      </c>
      <c r="Z722" s="106">
        <v>2360</v>
      </c>
      <c r="AA722" s="106">
        <v>1310</v>
      </c>
      <c r="AB722" s="106">
        <v>1050</v>
      </c>
      <c r="AC722" s="106">
        <v>98</v>
      </c>
      <c r="AD722" s="106">
        <v>411</v>
      </c>
      <c r="AE722" s="106">
        <v>1268</v>
      </c>
      <c r="AF722" s="106">
        <v>583</v>
      </c>
      <c r="AG722" s="106">
        <v>1542</v>
      </c>
      <c r="AH722" s="106">
        <v>766</v>
      </c>
      <c r="AI722" s="106">
        <v>52</v>
      </c>
      <c r="AJ722" s="106">
        <v>2348</v>
      </c>
      <c r="AK722" s="106">
        <v>4</v>
      </c>
      <c r="AL722" s="106">
        <v>8</v>
      </c>
      <c r="AM722" s="106">
        <v>188</v>
      </c>
      <c r="AN722" s="106">
        <v>2122</v>
      </c>
      <c r="AO722" s="106">
        <v>50</v>
      </c>
      <c r="AP722" s="107">
        <v>1.76710466696874</v>
      </c>
      <c r="AQ722" s="107">
        <v>0.32653061224489799</v>
      </c>
      <c r="AR722" s="107">
        <v>3.5641547861507101</v>
      </c>
      <c r="AS722" s="107">
        <v>2.2471910112359601</v>
      </c>
      <c r="AT722" s="107">
        <v>4.2895442359249296</v>
      </c>
      <c r="AU722" s="107">
        <v>1.3456686291000799</v>
      </c>
      <c r="AV722" s="107">
        <v>0.89928057553956797</v>
      </c>
      <c r="AW722" s="107">
        <v>1.4542936288088599</v>
      </c>
      <c r="AX722" s="107">
        <v>2.3545706371191102</v>
      </c>
      <c r="AY722" s="107">
        <v>2.4390243902439002</v>
      </c>
      <c r="AZ722" s="107">
        <v>1.7743403093721599</v>
      </c>
      <c r="BA722" s="107">
        <v>0</v>
      </c>
      <c r="BB722" s="107">
        <v>0</v>
      </c>
      <c r="BC722" s="107">
        <v>0.54644808743169404</v>
      </c>
      <c r="BD722" s="107">
        <v>1.92016169782719</v>
      </c>
      <c r="BE722" s="107">
        <v>0</v>
      </c>
    </row>
    <row r="723" spans="2:57" ht="15" customHeight="1" x14ac:dyDescent="0.25">
      <c r="B723" s="91">
        <v>713</v>
      </c>
      <c r="C723" s="92" t="s">
        <v>504</v>
      </c>
      <c r="D723" s="92" t="s">
        <v>57</v>
      </c>
      <c r="E723" s="92" t="s">
        <v>208</v>
      </c>
      <c r="F723" s="92" t="s">
        <v>137</v>
      </c>
      <c r="G723" s="101" t="s">
        <v>501</v>
      </c>
      <c r="H723" s="94">
        <v>0</v>
      </c>
      <c r="I723" s="94">
        <v>0</v>
      </c>
      <c r="J723" s="94">
        <v>0</v>
      </c>
      <c r="K723" s="94">
        <v>0</v>
      </c>
      <c r="L723" s="94">
        <v>0</v>
      </c>
      <c r="M723" s="94">
        <v>0</v>
      </c>
      <c r="N723" s="94">
        <v>0</v>
      </c>
      <c r="O723" s="94">
        <v>0</v>
      </c>
      <c r="P723" s="94">
        <v>0</v>
      </c>
      <c r="Q723" s="95">
        <v>0</v>
      </c>
      <c r="R723" s="95">
        <v>0</v>
      </c>
      <c r="S723" s="95">
        <v>0</v>
      </c>
      <c r="T723" s="95">
        <v>0</v>
      </c>
      <c r="U723" s="95">
        <v>0</v>
      </c>
      <c r="V723" s="95">
        <v>0</v>
      </c>
      <c r="W723" s="95">
        <v>0</v>
      </c>
      <c r="X723" s="95">
        <v>0</v>
      </c>
      <c r="Y723" s="95">
        <v>0</v>
      </c>
      <c r="Z723" s="94">
        <v>0</v>
      </c>
      <c r="AA723" s="94">
        <v>0</v>
      </c>
      <c r="AB723" s="94">
        <v>0</v>
      </c>
      <c r="AC723" s="94">
        <v>0</v>
      </c>
      <c r="AD723" s="94">
        <v>0</v>
      </c>
      <c r="AE723" s="94">
        <v>0</v>
      </c>
      <c r="AF723" s="94">
        <v>0</v>
      </c>
      <c r="AG723" s="94">
        <v>0</v>
      </c>
      <c r="AH723" s="94">
        <v>0</v>
      </c>
      <c r="AI723" s="94">
        <v>0</v>
      </c>
      <c r="AJ723" s="94">
        <v>0</v>
      </c>
      <c r="AK723" s="94">
        <v>0</v>
      </c>
      <c r="AL723" s="94">
        <v>0</v>
      </c>
      <c r="AM723" s="94">
        <v>0</v>
      </c>
      <c r="AN723" s="94">
        <v>0</v>
      </c>
      <c r="AO723" s="94">
        <v>0</v>
      </c>
      <c r="AP723" s="95">
        <v>0</v>
      </c>
      <c r="AQ723" s="95">
        <v>0</v>
      </c>
      <c r="AR723" s="95">
        <v>0</v>
      </c>
      <c r="AS723" s="95">
        <v>0</v>
      </c>
      <c r="AT723" s="95">
        <v>0</v>
      </c>
      <c r="AU723" s="95">
        <v>0</v>
      </c>
      <c r="AV723" s="95">
        <v>0</v>
      </c>
      <c r="AW723" s="95">
        <v>0</v>
      </c>
      <c r="AX723" s="95">
        <v>0</v>
      </c>
      <c r="AY723" s="95">
        <v>0</v>
      </c>
      <c r="AZ723" s="95">
        <v>0</v>
      </c>
      <c r="BA723" s="95">
        <v>0</v>
      </c>
      <c r="BB723" s="95">
        <v>0</v>
      </c>
      <c r="BC723" s="95">
        <v>0</v>
      </c>
      <c r="BD723" s="95">
        <v>0</v>
      </c>
      <c r="BE723" s="95">
        <v>0</v>
      </c>
    </row>
    <row r="724" spans="2:57" ht="15" customHeight="1" x14ac:dyDescent="0.25">
      <c r="B724" s="91">
        <v>714</v>
      </c>
      <c r="C724" s="92" t="s">
        <v>504</v>
      </c>
      <c r="D724" s="92" t="s">
        <v>57</v>
      </c>
      <c r="E724" s="92" t="s">
        <v>208</v>
      </c>
      <c r="F724" s="92" t="s">
        <v>137</v>
      </c>
      <c r="G724" s="101" t="s">
        <v>502</v>
      </c>
      <c r="H724" s="94">
        <v>2965</v>
      </c>
      <c r="I724" s="94">
        <v>1692</v>
      </c>
      <c r="J724" s="94">
        <v>1273</v>
      </c>
      <c r="K724" s="94">
        <v>104</v>
      </c>
      <c r="L724" s="94">
        <v>619</v>
      </c>
      <c r="M724" s="94">
        <v>1655</v>
      </c>
      <c r="N724" s="94">
        <v>587</v>
      </c>
      <c r="O724" s="94">
        <v>2964</v>
      </c>
      <c r="P724" s="94">
        <v>1</v>
      </c>
      <c r="Q724" s="95">
        <v>0.63246661981728702</v>
      </c>
      <c r="R724" s="95">
        <v>0.49049662783568398</v>
      </c>
      <c r="S724" s="95">
        <v>0.82304526748971196</v>
      </c>
      <c r="T724" s="95">
        <v>1.0989010989011001</v>
      </c>
      <c r="U724" s="95">
        <v>0.68027210884353695</v>
      </c>
      <c r="V724" s="95">
        <v>0.8125</v>
      </c>
      <c r="W724" s="95">
        <v>0</v>
      </c>
      <c r="X724" s="95">
        <v>0.63246661981728702</v>
      </c>
      <c r="Y724" s="95">
        <v>0</v>
      </c>
      <c r="Z724" s="94">
        <v>2360</v>
      </c>
      <c r="AA724" s="94">
        <v>1310</v>
      </c>
      <c r="AB724" s="94">
        <v>1050</v>
      </c>
      <c r="AC724" s="94">
        <v>98</v>
      </c>
      <c r="AD724" s="94">
        <v>411</v>
      </c>
      <c r="AE724" s="94">
        <v>1268</v>
      </c>
      <c r="AF724" s="94">
        <v>583</v>
      </c>
      <c r="AG724" s="94">
        <v>1542</v>
      </c>
      <c r="AH724" s="94">
        <v>766</v>
      </c>
      <c r="AI724" s="94">
        <v>52</v>
      </c>
      <c r="AJ724" s="94">
        <v>2348</v>
      </c>
      <c r="AK724" s="94">
        <v>4</v>
      </c>
      <c r="AL724" s="94">
        <v>8</v>
      </c>
      <c r="AM724" s="94">
        <v>188</v>
      </c>
      <c r="AN724" s="94">
        <v>2122</v>
      </c>
      <c r="AO724" s="94">
        <v>50</v>
      </c>
      <c r="AP724" s="95">
        <v>1.76710466696874</v>
      </c>
      <c r="AQ724" s="95">
        <v>0.32653061224489799</v>
      </c>
      <c r="AR724" s="95">
        <v>3.5641547861507101</v>
      </c>
      <c r="AS724" s="95">
        <v>2.2471910112359601</v>
      </c>
      <c r="AT724" s="95">
        <v>4.2895442359249296</v>
      </c>
      <c r="AU724" s="95">
        <v>1.3456686291000799</v>
      </c>
      <c r="AV724" s="95">
        <v>0.89928057553956797</v>
      </c>
      <c r="AW724" s="95">
        <v>1.4542936288088599</v>
      </c>
      <c r="AX724" s="95">
        <v>2.3545706371191102</v>
      </c>
      <c r="AY724" s="95">
        <v>2.4390243902439002</v>
      </c>
      <c r="AZ724" s="95">
        <v>1.7743403093721599</v>
      </c>
      <c r="BA724" s="95">
        <v>0</v>
      </c>
      <c r="BB724" s="95">
        <v>0</v>
      </c>
      <c r="BC724" s="95">
        <v>0.54644808743169404</v>
      </c>
      <c r="BD724" s="95">
        <v>1.92016169782719</v>
      </c>
      <c r="BE724" s="95">
        <v>0</v>
      </c>
    </row>
    <row r="725" spans="2:57" ht="15" customHeight="1" x14ac:dyDescent="0.25">
      <c r="B725" s="96">
        <v>715</v>
      </c>
      <c r="C725" s="97" t="s">
        <v>504</v>
      </c>
      <c r="D725" s="104" t="s">
        <v>57</v>
      </c>
      <c r="E725" s="104" t="s">
        <v>208</v>
      </c>
      <c r="F725" s="104" t="s">
        <v>45</v>
      </c>
      <c r="G725" s="105" t="s">
        <v>45</v>
      </c>
      <c r="H725" s="106">
        <v>1412</v>
      </c>
      <c r="I725" s="106">
        <v>889</v>
      </c>
      <c r="J725" s="106">
        <v>523</v>
      </c>
      <c r="K725" s="106">
        <v>35</v>
      </c>
      <c r="L725" s="106">
        <v>302</v>
      </c>
      <c r="M725" s="106">
        <v>862</v>
      </c>
      <c r="N725" s="106">
        <v>213</v>
      </c>
      <c r="O725" s="106">
        <v>1406</v>
      </c>
      <c r="P725" s="106">
        <v>6</v>
      </c>
      <c r="Q725" s="107">
        <v>1.1235955056179801</v>
      </c>
      <c r="R725" s="107">
        <v>0.70422535211267601</v>
      </c>
      <c r="S725" s="107">
        <v>1.86335403726708</v>
      </c>
      <c r="T725" s="107">
        <v>4</v>
      </c>
      <c r="U725" s="107">
        <v>1.7421602787456401</v>
      </c>
      <c r="V725" s="107">
        <v>0.97680097680097699</v>
      </c>
      <c r="W725" s="107">
        <v>0.49019607843137297</v>
      </c>
      <c r="X725" s="107">
        <v>1.1286681715575599</v>
      </c>
      <c r="Y725" s="107">
        <v>0</v>
      </c>
      <c r="Z725" s="106">
        <v>1882</v>
      </c>
      <c r="AA725" s="106">
        <v>1157</v>
      </c>
      <c r="AB725" s="106">
        <v>725</v>
      </c>
      <c r="AC725" s="106">
        <v>37</v>
      </c>
      <c r="AD725" s="106">
        <v>363</v>
      </c>
      <c r="AE725" s="106">
        <v>1133</v>
      </c>
      <c r="AF725" s="106">
        <v>349</v>
      </c>
      <c r="AG725" s="106">
        <v>1286</v>
      </c>
      <c r="AH725" s="106">
        <v>582</v>
      </c>
      <c r="AI725" s="106">
        <v>14</v>
      </c>
      <c r="AJ725" s="106">
        <v>1869</v>
      </c>
      <c r="AK725" s="106">
        <v>8</v>
      </c>
      <c r="AL725" s="106">
        <v>5</v>
      </c>
      <c r="AM725" s="106">
        <v>168</v>
      </c>
      <c r="AN725" s="106">
        <v>1706</v>
      </c>
      <c r="AO725" s="106">
        <v>8</v>
      </c>
      <c r="AP725" s="107">
        <v>3.1638418079095998</v>
      </c>
      <c r="AQ725" s="107">
        <v>0.91911764705882404</v>
      </c>
      <c r="AR725" s="107">
        <v>6.7448680351906196</v>
      </c>
      <c r="AS725" s="107">
        <v>3.125</v>
      </c>
      <c r="AT725" s="107">
        <v>4.4510385756676598</v>
      </c>
      <c r="AU725" s="107">
        <v>2.3562676720075402</v>
      </c>
      <c r="AV725" s="107">
        <v>4.4117647058823497</v>
      </c>
      <c r="AW725" s="107">
        <v>2.6122448979591799</v>
      </c>
      <c r="AX725" s="107">
        <v>4.2910447761194002</v>
      </c>
      <c r="AY725" s="107">
        <v>11.1111111111111</v>
      </c>
      <c r="AZ725" s="107">
        <v>3.1836270608300201</v>
      </c>
      <c r="BA725" s="107">
        <v>0</v>
      </c>
      <c r="BB725" s="107">
        <v>0</v>
      </c>
      <c r="BC725" s="107">
        <v>2.4844720496894399</v>
      </c>
      <c r="BD725" s="107">
        <v>3.1835205992509401</v>
      </c>
      <c r="BE725" s="107">
        <v>14.285714285714301</v>
      </c>
    </row>
    <row r="726" spans="2:57" ht="15" customHeight="1" x14ac:dyDescent="0.25">
      <c r="B726" s="91">
        <v>716</v>
      </c>
      <c r="C726" s="92" t="s">
        <v>504</v>
      </c>
      <c r="D726" s="92" t="s">
        <v>57</v>
      </c>
      <c r="E726" s="92" t="s">
        <v>208</v>
      </c>
      <c r="F726" s="92" t="s">
        <v>45</v>
      </c>
      <c r="G726" s="101" t="s">
        <v>501</v>
      </c>
      <c r="H726" s="94">
        <v>0</v>
      </c>
      <c r="I726" s="94">
        <v>0</v>
      </c>
      <c r="J726" s="94">
        <v>0</v>
      </c>
      <c r="K726" s="94">
        <v>0</v>
      </c>
      <c r="L726" s="94">
        <v>0</v>
      </c>
      <c r="M726" s="94">
        <v>0</v>
      </c>
      <c r="N726" s="94">
        <v>0</v>
      </c>
      <c r="O726" s="94">
        <v>0</v>
      </c>
      <c r="P726" s="94">
        <v>0</v>
      </c>
      <c r="Q726" s="95">
        <v>0</v>
      </c>
      <c r="R726" s="95">
        <v>0</v>
      </c>
      <c r="S726" s="95">
        <v>0</v>
      </c>
      <c r="T726" s="95">
        <v>0</v>
      </c>
      <c r="U726" s="95">
        <v>0</v>
      </c>
      <c r="V726" s="95">
        <v>0</v>
      </c>
      <c r="W726" s="95">
        <v>0</v>
      </c>
      <c r="X726" s="95">
        <v>0</v>
      </c>
      <c r="Y726" s="95">
        <v>0</v>
      </c>
      <c r="Z726" s="94">
        <v>0</v>
      </c>
      <c r="AA726" s="94">
        <v>0</v>
      </c>
      <c r="AB726" s="94">
        <v>0</v>
      </c>
      <c r="AC726" s="94">
        <v>0</v>
      </c>
      <c r="AD726" s="94">
        <v>0</v>
      </c>
      <c r="AE726" s="94">
        <v>0</v>
      </c>
      <c r="AF726" s="94">
        <v>0</v>
      </c>
      <c r="AG726" s="94">
        <v>0</v>
      </c>
      <c r="AH726" s="94">
        <v>0</v>
      </c>
      <c r="AI726" s="94">
        <v>0</v>
      </c>
      <c r="AJ726" s="94">
        <v>0</v>
      </c>
      <c r="AK726" s="94">
        <v>0</v>
      </c>
      <c r="AL726" s="94">
        <v>0</v>
      </c>
      <c r="AM726" s="94">
        <v>0</v>
      </c>
      <c r="AN726" s="94">
        <v>0</v>
      </c>
      <c r="AO726" s="94">
        <v>0</v>
      </c>
      <c r="AP726" s="95">
        <v>0</v>
      </c>
      <c r="AQ726" s="95">
        <v>0</v>
      </c>
      <c r="AR726" s="95">
        <v>0</v>
      </c>
      <c r="AS726" s="95">
        <v>0</v>
      </c>
      <c r="AT726" s="95">
        <v>0</v>
      </c>
      <c r="AU726" s="95">
        <v>0</v>
      </c>
      <c r="AV726" s="95">
        <v>0</v>
      </c>
      <c r="AW726" s="95">
        <v>0</v>
      </c>
      <c r="AX726" s="95">
        <v>0</v>
      </c>
      <c r="AY726" s="95">
        <v>0</v>
      </c>
      <c r="AZ726" s="95">
        <v>0</v>
      </c>
      <c r="BA726" s="95">
        <v>0</v>
      </c>
      <c r="BB726" s="95">
        <v>0</v>
      </c>
      <c r="BC726" s="95">
        <v>0</v>
      </c>
      <c r="BD726" s="95">
        <v>0</v>
      </c>
      <c r="BE726" s="95">
        <v>0</v>
      </c>
    </row>
    <row r="727" spans="2:57" ht="15" customHeight="1" x14ac:dyDescent="0.25">
      <c r="B727" s="91">
        <v>717</v>
      </c>
      <c r="C727" s="92" t="s">
        <v>504</v>
      </c>
      <c r="D727" s="92" t="s">
        <v>57</v>
      </c>
      <c r="E727" s="92" t="s">
        <v>208</v>
      </c>
      <c r="F727" s="92" t="s">
        <v>45</v>
      </c>
      <c r="G727" s="101" t="s">
        <v>502</v>
      </c>
      <c r="H727" s="94">
        <v>1412</v>
      </c>
      <c r="I727" s="94">
        <v>889</v>
      </c>
      <c r="J727" s="94">
        <v>523</v>
      </c>
      <c r="K727" s="94">
        <v>35</v>
      </c>
      <c r="L727" s="94">
        <v>302</v>
      </c>
      <c r="M727" s="94">
        <v>862</v>
      </c>
      <c r="N727" s="94">
        <v>213</v>
      </c>
      <c r="O727" s="94">
        <v>1406</v>
      </c>
      <c r="P727" s="94">
        <v>6</v>
      </c>
      <c r="Q727" s="95">
        <v>1.1235955056179801</v>
      </c>
      <c r="R727" s="95">
        <v>0.70422535211267601</v>
      </c>
      <c r="S727" s="95">
        <v>1.86335403726708</v>
      </c>
      <c r="T727" s="95">
        <v>4</v>
      </c>
      <c r="U727" s="95">
        <v>1.7421602787456401</v>
      </c>
      <c r="V727" s="95">
        <v>0.97680097680097699</v>
      </c>
      <c r="W727" s="95">
        <v>0.49019607843137297</v>
      </c>
      <c r="X727" s="95">
        <v>1.1286681715575599</v>
      </c>
      <c r="Y727" s="95">
        <v>0</v>
      </c>
      <c r="Z727" s="94">
        <v>1882</v>
      </c>
      <c r="AA727" s="94">
        <v>1157</v>
      </c>
      <c r="AB727" s="94">
        <v>725</v>
      </c>
      <c r="AC727" s="94">
        <v>37</v>
      </c>
      <c r="AD727" s="94">
        <v>363</v>
      </c>
      <c r="AE727" s="94">
        <v>1133</v>
      </c>
      <c r="AF727" s="94">
        <v>349</v>
      </c>
      <c r="AG727" s="94">
        <v>1286</v>
      </c>
      <c r="AH727" s="94">
        <v>582</v>
      </c>
      <c r="AI727" s="94">
        <v>14</v>
      </c>
      <c r="AJ727" s="94">
        <v>1869</v>
      </c>
      <c r="AK727" s="94">
        <v>8</v>
      </c>
      <c r="AL727" s="94">
        <v>5</v>
      </c>
      <c r="AM727" s="94">
        <v>168</v>
      </c>
      <c r="AN727" s="94">
        <v>1706</v>
      </c>
      <c r="AO727" s="94">
        <v>8</v>
      </c>
      <c r="AP727" s="95">
        <v>3.1638418079095998</v>
      </c>
      <c r="AQ727" s="95">
        <v>0.91911764705882404</v>
      </c>
      <c r="AR727" s="95">
        <v>6.7448680351906196</v>
      </c>
      <c r="AS727" s="95">
        <v>3.125</v>
      </c>
      <c r="AT727" s="95">
        <v>4.4510385756676598</v>
      </c>
      <c r="AU727" s="95">
        <v>2.3562676720075402</v>
      </c>
      <c r="AV727" s="95">
        <v>4.4117647058823497</v>
      </c>
      <c r="AW727" s="95">
        <v>2.6122448979591799</v>
      </c>
      <c r="AX727" s="95">
        <v>4.2910447761194002</v>
      </c>
      <c r="AY727" s="95">
        <v>11.1111111111111</v>
      </c>
      <c r="AZ727" s="95">
        <v>3.1836270608300201</v>
      </c>
      <c r="BA727" s="95">
        <v>0</v>
      </c>
      <c r="BB727" s="95">
        <v>0</v>
      </c>
      <c r="BC727" s="95">
        <v>2.4844720496894399</v>
      </c>
      <c r="BD727" s="95">
        <v>3.1835205992509401</v>
      </c>
      <c r="BE727" s="95">
        <v>14.285714285714301</v>
      </c>
    </row>
    <row r="728" spans="2:57" ht="15" customHeight="1" x14ac:dyDescent="0.25">
      <c r="B728" s="86">
        <v>718</v>
      </c>
      <c r="C728" s="87" t="s">
        <v>503</v>
      </c>
      <c r="D728" s="103" t="s">
        <v>57</v>
      </c>
      <c r="E728" s="103" t="s">
        <v>377</v>
      </c>
      <c r="F728" s="103"/>
      <c r="G728" s="88" t="s">
        <v>377</v>
      </c>
      <c r="H728" s="89">
        <v>11810</v>
      </c>
      <c r="I728" s="89">
        <v>7875</v>
      </c>
      <c r="J728" s="89">
        <v>3935</v>
      </c>
      <c r="K728" s="89">
        <v>390</v>
      </c>
      <c r="L728" s="89">
        <v>2998</v>
      </c>
      <c r="M728" s="89">
        <v>7091</v>
      </c>
      <c r="N728" s="89">
        <v>1331</v>
      </c>
      <c r="O728" s="89">
        <v>11800</v>
      </c>
      <c r="P728" s="89">
        <v>10</v>
      </c>
      <c r="Q728" s="90">
        <v>0.88479756904102203</v>
      </c>
      <c r="R728" s="90">
        <v>0.38574088853418498</v>
      </c>
      <c r="S728" s="90">
        <v>1.90683737401253</v>
      </c>
      <c r="T728" s="90">
        <v>4.1055718475073304</v>
      </c>
      <c r="U728" s="90">
        <v>1.20056497175141</v>
      </c>
      <c r="V728" s="90">
        <v>0.71142730102267704</v>
      </c>
      <c r="W728" s="90">
        <v>0.23640661938534299</v>
      </c>
      <c r="X728" s="90">
        <v>0.88558905089900697</v>
      </c>
      <c r="Y728" s="90">
        <v>0</v>
      </c>
      <c r="Z728" s="89">
        <v>12293</v>
      </c>
      <c r="AA728" s="89">
        <v>7351</v>
      </c>
      <c r="AB728" s="89">
        <v>4942</v>
      </c>
      <c r="AC728" s="89">
        <v>378</v>
      </c>
      <c r="AD728" s="89">
        <v>2685</v>
      </c>
      <c r="AE728" s="89">
        <v>7441</v>
      </c>
      <c r="AF728" s="89">
        <v>1789</v>
      </c>
      <c r="AG728" s="89">
        <v>7309</v>
      </c>
      <c r="AH728" s="89">
        <v>4877</v>
      </c>
      <c r="AI728" s="89">
        <v>107</v>
      </c>
      <c r="AJ728" s="89">
        <v>12210</v>
      </c>
      <c r="AK728" s="89">
        <v>45</v>
      </c>
      <c r="AL728" s="89">
        <v>38</v>
      </c>
      <c r="AM728" s="89">
        <v>936</v>
      </c>
      <c r="AN728" s="89">
        <v>11246</v>
      </c>
      <c r="AO728" s="89">
        <v>111</v>
      </c>
      <c r="AP728" s="90">
        <v>4.7282749117216403</v>
      </c>
      <c r="AQ728" s="90">
        <v>1.9438444924406</v>
      </c>
      <c r="AR728" s="90">
        <v>8.8726960994427806</v>
      </c>
      <c r="AS728" s="90">
        <v>8.4985835694051008</v>
      </c>
      <c r="AT728" s="90">
        <v>7.61047463175123</v>
      </c>
      <c r="AU728" s="90">
        <v>3.8955539872971099</v>
      </c>
      <c r="AV728" s="90">
        <v>3.2967032967033001</v>
      </c>
      <c r="AW728" s="90">
        <v>3.5032304379038002</v>
      </c>
      <c r="AX728" s="90">
        <v>6.6212054553453603</v>
      </c>
      <c r="AY728" s="90">
        <v>4</v>
      </c>
      <c r="AZ728" s="90">
        <v>4.6900736887732997</v>
      </c>
      <c r="BA728" s="90">
        <v>15.789473684210501</v>
      </c>
      <c r="BB728" s="90">
        <v>5.2631578947368398</v>
      </c>
      <c r="BC728" s="90">
        <v>4.2222222222222197</v>
      </c>
      <c r="BD728" s="90">
        <v>4.7888386123680204</v>
      </c>
      <c r="BE728" s="90">
        <v>2.9126213592233001</v>
      </c>
    </row>
    <row r="729" spans="2:57" ht="15" customHeight="1" x14ac:dyDescent="0.25">
      <c r="B729" s="91">
        <v>719</v>
      </c>
      <c r="C729" s="92" t="s">
        <v>503</v>
      </c>
      <c r="D729" s="92" t="s">
        <v>57</v>
      </c>
      <c r="E729" s="92" t="s">
        <v>377</v>
      </c>
      <c r="F729" s="92"/>
      <c r="G729" s="93" t="s">
        <v>501</v>
      </c>
      <c r="H729" s="94">
        <v>8664</v>
      </c>
      <c r="I729" s="94">
        <v>6043</v>
      </c>
      <c r="J729" s="94">
        <v>2621</v>
      </c>
      <c r="K729" s="94">
        <v>244</v>
      </c>
      <c r="L729" s="94">
        <v>2218</v>
      </c>
      <c r="M729" s="94">
        <v>5509</v>
      </c>
      <c r="N729" s="94">
        <v>693</v>
      </c>
      <c r="O729" s="94">
        <v>8655</v>
      </c>
      <c r="P729" s="94">
        <v>9</v>
      </c>
      <c r="Q729" s="95">
        <v>1.1529498344167799</v>
      </c>
      <c r="R729" s="95">
        <v>0.48644892286309899</v>
      </c>
      <c r="S729" s="95">
        <v>2.7534418022528202</v>
      </c>
      <c r="T729" s="95">
        <v>6.5727699530516404</v>
      </c>
      <c r="U729" s="95">
        <v>1.54440154440154</v>
      </c>
      <c r="V729" s="95">
        <v>0.86256469235192601</v>
      </c>
      <c r="W729" s="95">
        <v>0.460829493087558</v>
      </c>
      <c r="X729" s="95">
        <v>1.15422396856582</v>
      </c>
      <c r="Y729" s="95">
        <v>0</v>
      </c>
      <c r="Z729" s="94">
        <v>8578</v>
      </c>
      <c r="AA729" s="94">
        <v>5204</v>
      </c>
      <c r="AB729" s="94">
        <v>3374</v>
      </c>
      <c r="AC729" s="94">
        <v>258</v>
      </c>
      <c r="AD729" s="94">
        <v>1917</v>
      </c>
      <c r="AE729" s="94">
        <v>5457</v>
      </c>
      <c r="AF729" s="94">
        <v>946</v>
      </c>
      <c r="AG729" s="94">
        <v>4304</v>
      </c>
      <c r="AH729" s="94">
        <v>4214</v>
      </c>
      <c r="AI729" s="94">
        <v>60</v>
      </c>
      <c r="AJ729" s="94">
        <v>8512</v>
      </c>
      <c r="AK729" s="94">
        <v>39</v>
      </c>
      <c r="AL729" s="94">
        <v>27</v>
      </c>
      <c r="AM729" s="94">
        <v>626</v>
      </c>
      <c r="AN729" s="94">
        <v>7874</v>
      </c>
      <c r="AO729" s="94">
        <v>78</v>
      </c>
      <c r="AP729" s="95">
        <v>5.9079601990049797</v>
      </c>
      <c r="AQ729" s="95">
        <v>2.44052502050861</v>
      </c>
      <c r="AR729" s="95">
        <v>11.2515802781289</v>
      </c>
      <c r="AS729" s="95">
        <v>10.4602510460251</v>
      </c>
      <c r="AT729" s="95">
        <v>9.1700522344747508</v>
      </c>
      <c r="AU729" s="95">
        <v>4.7738693467336697</v>
      </c>
      <c r="AV729" s="95">
        <v>4.9778761061946897</v>
      </c>
      <c r="AW729" s="95">
        <v>4.74434611602753</v>
      </c>
      <c r="AX729" s="95">
        <v>7.0990806945863101</v>
      </c>
      <c r="AY729" s="95">
        <v>7.1428571428571397</v>
      </c>
      <c r="AZ729" s="95">
        <v>5.8513970680365901</v>
      </c>
      <c r="BA729" s="95">
        <v>18.75</v>
      </c>
      <c r="BB729" s="95">
        <v>7.4074074074074101</v>
      </c>
      <c r="BC729" s="95">
        <v>5.6572379367720496</v>
      </c>
      <c r="BD729" s="95">
        <v>5.9598153679066002</v>
      </c>
      <c r="BE729" s="95">
        <v>2.7397260273972601</v>
      </c>
    </row>
    <row r="730" spans="2:57" ht="15" customHeight="1" x14ac:dyDescent="0.25">
      <c r="B730" s="91">
        <v>720</v>
      </c>
      <c r="C730" s="92" t="s">
        <v>503</v>
      </c>
      <c r="D730" s="92" t="s">
        <v>57</v>
      </c>
      <c r="E730" s="92" t="s">
        <v>377</v>
      </c>
      <c r="F730" s="92"/>
      <c r="G730" s="93" t="s">
        <v>502</v>
      </c>
      <c r="H730" s="94">
        <v>3146</v>
      </c>
      <c r="I730" s="94">
        <v>1832</v>
      </c>
      <c r="J730" s="94">
        <v>1314</v>
      </c>
      <c r="K730" s="94">
        <v>146</v>
      </c>
      <c r="L730" s="94">
        <v>780</v>
      </c>
      <c r="M730" s="94">
        <v>1582</v>
      </c>
      <c r="N730" s="94">
        <v>638</v>
      </c>
      <c r="O730" s="94">
        <v>3145</v>
      </c>
      <c r="P730" s="94">
        <v>1</v>
      </c>
      <c r="Q730" s="95">
        <v>0.16469038208168599</v>
      </c>
      <c r="R730" s="95">
        <v>5.67536889897843E-2</v>
      </c>
      <c r="S730" s="95">
        <v>0.31397174254317101</v>
      </c>
      <c r="T730" s="95">
        <v>0</v>
      </c>
      <c r="U730" s="95">
        <v>0.26315789473684198</v>
      </c>
      <c r="V730" s="95">
        <v>0.19607843137254899</v>
      </c>
      <c r="W730" s="95">
        <v>0</v>
      </c>
      <c r="X730" s="95">
        <v>0.16474464579901199</v>
      </c>
      <c r="Y730" s="95">
        <v>0</v>
      </c>
      <c r="Z730" s="94">
        <v>3715</v>
      </c>
      <c r="AA730" s="94">
        <v>2147</v>
      </c>
      <c r="AB730" s="94">
        <v>1568</v>
      </c>
      <c r="AC730" s="94">
        <v>120</v>
      </c>
      <c r="AD730" s="94">
        <v>768</v>
      </c>
      <c r="AE730" s="94">
        <v>1984</v>
      </c>
      <c r="AF730" s="94">
        <v>843</v>
      </c>
      <c r="AG730" s="94">
        <v>3005</v>
      </c>
      <c r="AH730" s="94">
        <v>663</v>
      </c>
      <c r="AI730" s="94">
        <v>47</v>
      </c>
      <c r="AJ730" s="94">
        <v>3698</v>
      </c>
      <c r="AK730" s="94">
        <v>6</v>
      </c>
      <c r="AL730" s="94">
        <v>11</v>
      </c>
      <c r="AM730" s="94">
        <v>310</v>
      </c>
      <c r="AN730" s="94">
        <v>3372</v>
      </c>
      <c r="AO730" s="94">
        <v>33</v>
      </c>
      <c r="AP730" s="95">
        <v>2.0722486698403801</v>
      </c>
      <c r="AQ730" s="95">
        <v>0.77332044465925598</v>
      </c>
      <c r="AR730" s="95">
        <v>3.8615179760319598</v>
      </c>
      <c r="AS730" s="95">
        <v>4.3859649122807003</v>
      </c>
      <c r="AT730" s="95">
        <v>3.8834951456310698</v>
      </c>
      <c r="AU730" s="95">
        <v>1.51753008895866</v>
      </c>
      <c r="AV730" s="95">
        <v>1.4545454545454499</v>
      </c>
      <c r="AW730" s="95">
        <v>1.7604418363824601</v>
      </c>
      <c r="AX730" s="95">
        <v>3.6507936507936498</v>
      </c>
      <c r="AY730" s="95">
        <v>0</v>
      </c>
      <c r="AZ730" s="95">
        <v>2.0821609454136198</v>
      </c>
      <c r="BA730" s="95">
        <v>0</v>
      </c>
      <c r="BB730" s="95">
        <v>0</v>
      </c>
      <c r="BC730" s="95">
        <v>1.33779264214047</v>
      </c>
      <c r="BD730" s="95">
        <v>2.12831585441086</v>
      </c>
      <c r="BE730" s="95">
        <v>3.3333333333333299</v>
      </c>
    </row>
    <row r="731" spans="2:57" ht="15" customHeight="1" x14ac:dyDescent="0.25">
      <c r="B731" s="96">
        <v>721</v>
      </c>
      <c r="C731" s="97" t="s">
        <v>504</v>
      </c>
      <c r="D731" s="104" t="s">
        <v>57</v>
      </c>
      <c r="E731" s="104" t="s">
        <v>377</v>
      </c>
      <c r="F731" s="104" t="s">
        <v>215</v>
      </c>
      <c r="G731" s="105" t="s">
        <v>215</v>
      </c>
      <c r="H731" s="106">
        <v>9718</v>
      </c>
      <c r="I731" s="106">
        <v>6695</v>
      </c>
      <c r="J731" s="106">
        <v>3023</v>
      </c>
      <c r="K731" s="106">
        <v>323</v>
      </c>
      <c r="L731" s="106">
        <v>2534</v>
      </c>
      <c r="M731" s="106">
        <v>5942</v>
      </c>
      <c r="N731" s="106">
        <v>919</v>
      </c>
      <c r="O731" s="106">
        <v>9711</v>
      </c>
      <c r="P731" s="106">
        <v>7</v>
      </c>
      <c r="Q731" s="107">
        <v>0.80225498699046005</v>
      </c>
      <c r="R731" s="107">
        <v>0.32751091703056801</v>
      </c>
      <c r="S731" s="107">
        <v>1.88477951635846</v>
      </c>
      <c r="T731" s="107">
        <v>2.4822695035461</v>
      </c>
      <c r="U731" s="107">
        <v>1.125</v>
      </c>
      <c r="V731" s="107">
        <v>0.65313327449249803</v>
      </c>
      <c r="W731" s="107">
        <v>0.342075256556442</v>
      </c>
      <c r="X731" s="107">
        <v>0.80286427253987203</v>
      </c>
      <c r="Y731" s="107">
        <v>0</v>
      </c>
      <c r="Z731" s="106">
        <v>9150</v>
      </c>
      <c r="AA731" s="106">
        <v>5582</v>
      </c>
      <c r="AB731" s="106">
        <v>3568</v>
      </c>
      <c r="AC731" s="106">
        <v>294</v>
      </c>
      <c r="AD731" s="106">
        <v>2011</v>
      </c>
      <c r="AE731" s="106">
        <v>5689</v>
      </c>
      <c r="AF731" s="106">
        <v>1156</v>
      </c>
      <c r="AG731" s="106">
        <v>5034</v>
      </c>
      <c r="AH731" s="106">
        <v>4029</v>
      </c>
      <c r="AI731" s="106">
        <v>87</v>
      </c>
      <c r="AJ731" s="106">
        <v>9088</v>
      </c>
      <c r="AK731" s="106">
        <v>31</v>
      </c>
      <c r="AL731" s="106">
        <v>31</v>
      </c>
      <c r="AM731" s="106">
        <v>740</v>
      </c>
      <c r="AN731" s="106">
        <v>8314</v>
      </c>
      <c r="AO731" s="106">
        <v>96</v>
      </c>
      <c r="AP731" s="107">
        <v>4.8933209647495399</v>
      </c>
      <c r="AQ731" s="107">
        <v>1.7477203647416399</v>
      </c>
      <c r="AR731" s="107">
        <v>9.8214285714285694</v>
      </c>
      <c r="AS731" s="107">
        <v>8.6642599277978292</v>
      </c>
      <c r="AT731" s="107">
        <v>7.5150850246845904</v>
      </c>
      <c r="AU731" s="107">
        <v>4.1012377609458701</v>
      </c>
      <c r="AV731" s="107">
        <v>3.5103510351035099</v>
      </c>
      <c r="AW731" s="107">
        <v>3.5431429762400999</v>
      </c>
      <c r="AX731" s="107">
        <v>6.6470902295782199</v>
      </c>
      <c r="AY731" s="107">
        <v>3.75</v>
      </c>
      <c r="AZ731" s="107">
        <v>4.8441694875685801</v>
      </c>
      <c r="BA731" s="107">
        <v>19.230769230769202</v>
      </c>
      <c r="BB731" s="107">
        <v>6.4516129032258096</v>
      </c>
      <c r="BC731" s="107">
        <v>4.5007032348804499</v>
      </c>
      <c r="BD731" s="107">
        <v>4.9463190184049104</v>
      </c>
      <c r="BE731" s="107">
        <v>3.3707865168539302</v>
      </c>
    </row>
    <row r="732" spans="2:57" ht="15" customHeight="1" x14ac:dyDescent="0.25">
      <c r="B732" s="91">
        <v>722</v>
      </c>
      <c r="C732" s="92" t="s">
        <v>504</v>
      </c>
      <c r="D732" s="92" t="s">
        <v>57</v>
      </c>
      <c r="E732" s="92" t="s">
        <v>377</v>
      </c>
      <c r="F732" s="92" t="s">
        <v>215</v>
      </c>
      <c r="G732" s="101" t="s">
        <v>501</v>
      </c>
      <c r="H732" s="94">
        <v>7618</v>
      </c>
      <c r="I732" s="94">
        <v>5442</v>
      </c>
      <c r="J732" s="94">
        <v>2176</v>
      </c>
      <c r="K732" s="94">
        <v>206</v>
      </c>
      <c r="L732" s="94">
        <v>1947</v>
      </c>
      <c r="M732" s="94">
        <v>4939</v>
      </c>
      <c r="N732" s="94">
        <v>526</v>
      </c>
      <c r="O732" s="94">
        <v>7611</v>
      </c>
      <c r="P732" s="94">
        <v>7</v>
      </c>
      <c r="Q732" s="95">
        <v>1.0161469933184899</v>
      </c>
      <c r="R732" s="95">
        <v>0.40423484119345499</v>
      </c>
      <c r="S732" s="95">
        <v>2.6143790849673199</v>
      </c>
      <c r="T732" s="95">
        <v>3.91061452513966</v>
      </c>
      <c r="U732" s="95">
        <v>1.4254385964912299</v>
      </c>
      <c r="V732" s="95">
        <v>0.78941753787070601</v>
      </c>
      <c r="W732" s="95">
        <v>0.60728744939271295</v>
      </c>
      <c r="X732" s="95">
        <v>1.0171380799777101</v>
      </c>
      <c r="Y732" s="95">
        <v>0</v>
      </c>
      <c r="Z732" s="94">
        <v>7103</v>
      </c>
      <c r="AA732" s="94">
        <v>4376</v>
      </c>
      <c r="AB732" s="94">
        <v>2727</v>
      </c>
      <c r="AC732" s="94">
        <v>228</v>
      </c>
      <c r="AD732" s="94">
        <v>1578</v>
      </c>
      <c r="AE732" s="94">
        <v>4594</v>
      </c>
      <c r="AF732" s="94">
        <v>703</v>
      </c>
      <c r="AG732" s="94">
        <v>3395</v>
      </c>
      <c r="AH732" s="94">
        <v>3663</v>
      </c>
      <c r="AI732" s="94">
        <v>45</v>
      </c>
      <c r="AJ732" s="94">
        <v>7049</v>
      </c>
      <c r="AK732" s="94">
        <v>29</v>
      </c>
      <c r="AL732" s="94">
        <v>25</v>
      </c>
      <c r="AM732" s="94">
        <v>556</v>
      </c>
      <c r="AN732" s="94">
        <v>6473</v>
      </c>
      <c r="AO732" s="94">
        <v>74</v>
      </c>
      <c r="AP732" s="95">
        <v>5.7709648331830499</v>
      </c>
      <c r="AQ732" s="95">
        <v>2.00048792388387</v>
      </c>
      <c r="AR732" s="95">
        <v>11.819960861056799</v>
      </c>
      <c r="AS732" s="95">
        <v>9.8130841121495305</v>
      </c>
      <c r="AT732" s="95">
        <v>8.5633404104741704</v>
      </c>
      <c r="AU732" s="95">
        <v>4.7750229568411404</v>
      </c>
      <c r="AV732" s="95">
        <v>5.06706408345753</v>
      </c>
      <c r="AW732" s="95">
        <v>4.5129162776221596</v>
      </c>
      <c r="AX732" s="95">
        <v>6.9411764705882399</v>
      </c>
      <c r="AY732" s="95">
        <v>7.3170731707317103</v>
      </c>
      <c r="AZ732" s="95">
        <v>5.7077971233913702</v>
      </c>
      <c r="BA732" s="95">
        <v>20.8333333333333</v>
      </c>
      <c r="BB732" s="95">
        <v>8</v>
      </c>
      <c r="BC732" s="95">
        <v>5.4205607476635498</v>
      </c>
      <c r="BD732" s="95">
        <v>5.8356753182344203</v>
      </c>
      <c r="BE732" s="95">
        <v>2.8571428571428599</v>
      </c>
    </row>
    <row r="733" spans="2:57" ht="15" customHeight="1" x14ac:dyDescent="0.25">
      <c r="B733" s="91">
        <v>723</v>
      </c>
      <c r="C733" s="92" t="s">
        <v>504</v>
      </c>
      <c r="D733" s="92" t="s">
        <v>57</v>
      </c>
      <c r="E733" s="92" t="s">
        <v>377</v>
      </c>
      <c r="F733" s="92" t="s">
        <v>215</v>
      </c>
      <c r="G733" s="101" t="s">
        <v>502</v>
      </c>
      <c r="H733" s="94">
        <v>2100</v>
      </c>
      <c r="I733" s="94">
        <v>1253</v>
      </c>
      <c r="J733" s="94">
        <v>847</v>
      </c>
      <c r="K733" s="94">
        <v>117</v>
      </c>
      <c r="L733" s="94">
        <v>587</v>
      </c>
      <c r="M733" s="94">
        <v>1003</v>
      </c>
      <c r="N733" s="94">
        <v>393</v>
      </c>
      <c r="O733" s="94">
        <v>2100</v>
      </c>
      <c r="P733" s="94">
        <v>0</v>
      </c>
      <c r="Q733" s="95">
        <v>4.9019607843137303E-2</v>
      </c>
      <c r="R733" s="95">
        <v>0</v>
      </c>
      <c r="S733" s="95">
        <v>0.121506682867558</v>
      </c>
      <c r="T733" s="95">
        <v>0</v>
      </c>
      <c r="U733" s="95">
        <v>0.17361111111111099</v>
      </c>
      <c r="V733" s="95">
        <v>0</v>
      </c>
      <c r="W733" s="95">
        <v>0</v>
      </c>
      <c r="X733" s="95">
        <v>4.9019607843137303E-2</v>
      </c>
      <c r="Y733" s="95">
        <v>0</v>
      </c>
      <c r="Z733" s="94">
        <v>2047</v>
      </c>
      <c r="AA733" s="94">
        <v>1206</v>
      </c>
      <c r="AB733" s="94">
        <v>841</v>
      </c>
      <c r="AC733" s="94">
        <v>66</v>
      </c>
      <c r="AD733" s="94">
        <v>433</v>
      </c>
      <c r="AE733" s="94">
        <v>1095</v>
      </c>
      <c r="AF733" s="94">
        <v>453</v>
      </c>
      <c r="AG733" s="94">
        <v>1639</v>
      </c>
      <c r="AH733" s="94">
        <v>366</v>
      </c>
      <c r="AI733" s="94">
        <v>42</v>
      </c>
      <c r="AJ733" s="94">
        <v>2039</v>
      </c>
      <c r="AK733" s="94">
        <v>2</v>
      </c>
      <c r="AL733" s="94">
        <v>6</v>
      </c>
      <c r="AM733" s="94">
        <v>184</v>
      </c>
      <c r="AN733" s="94">
        <v>1841</v>
      </c>
      <c r="AO733" s="94">
        <v>22</v>
      </c>
      <c r="AP733" s="95">
        <v>1.9289340101522801</v>
      </c>
      <c r="AQ733" s="95">
        <v>0.85836909871244604</v>
      </c>
      <c r="AR733" s="95">
        <v>3.47826086956522</v>
      </c>
      <c r="AS733" s="95">
        <v>4.7619047619047601</v>
      </c>
      <c r="AT733" s="95">
        <v>3.9024390243902398</v>
      </c>
      <c r="AU733" s="95">
        <v>1.32450331125828</v>
      </c>
      <c r="AV733" s="95">
        <v>1.13636363636364</v>
      </c>
      <c r="AW733" s="95">
        <v>1.5772870662460601</v>
      </c>
      <c r="AX733" s="95">
        <v>3.7572254335260098</v>
      </c>
      <c r="AY733" s="95">
        <v>0</v>
      </c>
      <c r="AZ733" s="95">
        <v>1.9367991845056101</v>
      </c>
      <c r="BA733" s="95">
        <v>0</v>
      </c>
      <c r="BB733" s="95">
        <v>0</v>
      </c>
      <c r="BC733" s="95">
        <v>1.7045454545454499</v>
      </c>
      <c r="BD733" s="95">
        <v>1.9154929577464801</v>
      </c>
      <c r="BE733" s="95">
        <v>5.2631578947368398</v>
      </c>
    </row>
    <row r="734" spans="2:57" ht="15" customHeight="1" x14ac:dyDescent="0.25">
      <c r="B734" s="96">
        <v>724</v>
      </c>
      <c r="C734" s="97" t="s">
        <v>504</v>
      </c>
      <c r="D734" s="104" t="s">
        <v>57</v>
      </c>
      <c r="E734" s="104" t="s">
        <v>377</v>
      </c>
      <c r="F734" s="104" t="s">
        <v>47</v>
      </c>
      <c r="G734" s="105" t="s">
        <v>47</v>
      </c>
      <c r="H734" s="106">
        <v>2092</v>
      </c>
      <c r="I734" s="106">
        <v>1180</v>
      </c>
      <c r="J734" s="106">
        <v>912</v>
      </c>
      <c r="K734" s="106">
        <v>67</v>
      </c>
      <c r="L734" s="106">
        <v>464</v>
      </c>
      <c r="M734" s="106">
        <v>1149</v>
      </c>
      <c r="N734" s="106">
        <v>412</v>
      </c>
      <c r="O734" s="106">
        <v>2089</v>
      </c>
      <c r="P734" s="106">
        <v>3</v>
      </c>
      <c r="Q734" s="107">
        <v>1.2722646310432599</v>
      </c>
      <c r="R734" s="107">
        <v>0.72332730560578695</v>
      </c>
      <c r="S734" s="107">
        <v>1.9790454016298</v>
      </c>
      <c r="T734" s="107">
        <v>11.864406779661</v>
      </c>
      <c r="U734" s="107">
        <v>1.62037037037037</v>
      </c>
      <c r="V734" s="107">
        <v>1.01663585951941</v>
      </c>
      <c r="W734" s="107">
        <v>0</v>
      </c>
      <c r="X734" s="107">
        <v>1.2742099898063199</v>
      </c>
      <c r="Y734" s="107">
        <v>0</v>
      </c>
      <c r="Z734" s="106">
        <v>3143</v>
      </c>
      <c r="AA734" s="106">
        <v>1769</v>
      </c>
      <c r="AB734" s="106">
        <v>1374</v>
      </c>
      <c r="AC734" s="106">
        <v>84</v>
      </c>
      <c r="AD734" s="106">
        <v>674</v>
      </c>
      <c r="AE734" s="106">
        <v>1752</v>
      </c>
      <c r="AF734" s="106">
        <v>633</v>
      </c>
      <c r="AG734" s="106">
        <v>2275</v>
      </c>
      <c r="AH734" s="106">
        <v>848</v>
      </c>
      <c r="AI734" s="106">
        <v>20</v>
      </c>
      <c r="AJ734" s="106">
        <v>3122</v>
      </c>
      <c r="AK734" s="106">
        <v>14</v>
      </c>
      <c r="AL734" s="106">
        <v>7</v>
      </c>
      <c r="AM734" s="106">
        <v>196</v>
      </c>
      <c r="AN734" s="106">
        <v>2932</v>
      </c>
      <c r="AO734" s="106">
        <v>15</v>
      </c>
      <c r="AP734" s="107">
        <v>4.2517576163374597</v>
      </c>
      <c r="AQ734" s="107">
        <v>2.5580011897679999</v>
      </c>
      <c r="AR734" s="107">
        <v>6.4318529862174598</v>
      </c>
      <c r="AS734" s="107">
        <v>7.8947368421052602</v>
      </c>
      <c r="AT734" s="107">
        <v>7.8904991948470196</v>
      </c>
      <c r="AU734" s="107">
        <v>3.2296650717703401</v>
      </c>
      <c r="AV734" s="107">
        <v>2.9126213592233001</v>
      </c>
      <c r="AW734" s="107">
        <v>3.4148592524226999</v>
      </c>
      <c r="AX734" s="107">
        <v>6.5</v>
      </c>
      <c r="AY734" s="107">
        <v>5</v>
      </c>
      <c r="AZ734" s="107">
        <v>4.2452830188679203</v>
      </c>
      <c r="BA734" s="107">
        <v>8.3333333333333304</v>
      </c>
      <c r="BB734" s="107">
        <v>0</v>
      </c>
      <c r="BC734" s="107">
        <v>3.17460317460317</v>
      </c>
      <c r="BD734" s="107">
        <v>4.3462643678160902</v>
      </c>
      <c r="BE734" s="107">
        <v>0</v>
      </c>
    </row>
    <row r="735" spans="2:57" ht="15" customHeight="1" x14ac:dyDescent="0.25">
      <c r="B735" s="91">
        <v>725</v>
      </c>
      <c r="C735" s="92" t="s">
        <v>504</v>
      </c>
      <c r="D735" s="92" t="s">
        <v>57</v>
      </c>
      <c r="E735" s="92" t="s">
        <v>377</v>
      </c>
      <c r="F735" s="92" t="s">
        <v>47</v>
      </c>
      <c r="G735" s="101" t="s">
        <v>501</v>
      </c>
      <c r="H735" s="94">
        <v>1046</v>
      </c>
      <c r="I735" s="94">
        <v>601</v>
      </c>
      <c r="J735" s="94">
        <v>445</v>
      </c>
      <c r="K735" s="94">
        <v>38</v>
      </c>
      <c r="L735" s="94">
        <v>271</v>
      </c>
      <c r="M735" s="94">
        <v>570</v>
      </c>
      <c r="N735" s="94">
        <v>167</v>
      </c>
      <c r="O735" s="94">
        <v>1044</v>
      </c>
      <c r="P735" s="94">
        <v>2</v>
      </c>
      <c r="Q735" s="95">
        <v>2.1671826625386998</v>
      </c>
      <c r="R735" s="95">
        <v>1.2477718360071299</v>
      </c>
      <c r="S735" s="95">
        <v>3.4313725490196099</v>
      </c>
      <c r="T735" s="95">
        <v>20.588235294117599</v>
      </c>
      <c r="U735" s="95">
        <v>2.4193548387096802</v>
      </c>
      <c r="V735" s="95">
        <v>1.5094339622641499</v>
      </c>
      <c r="W735" s="95">
        <v>0</v>
      </c>
      <c r="X735" s="95">
        <v>2.1716649431230599</v>
      </c>
      <c r="Y735" s="95">
        <v>0</v>
      </c>
      <c r="Z735" s="94">
        <v>1475</v>
      </c>
      <c r="AA735" s="94">
        <v>828</v>
      </c>
      <c r="AB735" s="94">
        <v>647</v>
      </c>
      <c r="AC735" s="94">
        <v>30</v>
      </c>
      <c r="AD735" s="94">
        <v>339</v>
      </c>
      <c r="AE735" s="94">
        <v>863</v>
      </c>
      <c r="AF735" s="94">
        <v>243</v>
      </c>
      <c r="AG735" s="94">
        <v>909</v>
      </c>
      <c r="AH735" s="94">
        <v>551</v>
      </c>
      <c r="AI735" s="94">
        <v>15</v>
      </c>
      <c r="AJ735" s="94">
        <v>1463</v>
      </c>
      <c r="AK735" s="94">
        <v>10</v>
      </c>
      <c r="AL735" s="94">
        <v>2</v>
      </c>
      <c r="AM735" s="94">
        <v>70</v>
      </c>
      <c r="AN735" s="94">
        <v>1401</v>
      </c>
      <c r="AO735" s="94">
        <v>4</v>
      </c>
      <c r="AP735" s="95">
        <v>6.5656565656565702</v>
      </c>
      <c r="AQ735" s="95">
        <v>4.7619047619047601</v>
      </c>
      <c r="AR735" s="95">
        <v>8.8669950738916299</v>
      </c>
      <c r="AS735" s="95">
        <v>16</v>
      </c>
      <c r="AT735" s="95">
        <v>11.935483870967699</v>
      </c>
      <c r="AU735" s="95">
        <v>4.7677261613691897</v>
      </c>
      <c r="AV735" s="95">
        <v>4.7210300429184597</v>
      </c>
      <c r="AW735" s="95">
        <v>5.6140350877192997</v>
      </c>
      <c r="AX735" s="95">
        <v>8.1395348837209305</v>
      </c>
      <c r="AY735" s="95">
        <v>6.6666666666666696</v>
      </c>
      <c r="AZ735" s="95">
        <v>6.5406976744186096</v>
      </c>
      <c r="BA735" s="95">
        <v>12.5</v>
      </c>
      <c r="BB735" s="95">
        <v>0</v>
      </c>
      <c r="BC735" s="95">
        <v>7.5757575757575797</v>
      </c>
      <c r="BD735" s="95">
        <v>6.5299924069855697</v>
      </c>
      <c r="BE735" s="95">
        <v>0</v>
      </c>
    </row>
    <row r="736" spans="2:57" ht="15" customHeight="1" x14ac:dyDescent="0.25">
      <c r="B736" s="91">
        <v>726</v>
      </c>
      <c r="C736" s="92" t="s">
        <v>504</v>
      </c>
      <c r="D736" s="92" t="s">
        <v>57</v>
      </c>
      <c r="E736" s="92" t="s">
        <v>377</v>
      </c>
      <c r="F736" s="92" t="s">
        <v>47</v>
      </c>
      <c r="G736" s="101" t="s">
        <v>502</v>
      </c>
      <c r="H736" s="94">
        <v>1046</v>
      </c>
      <c r="I736" s="94">
        <v>579</v>
      </c>
      <c r="J736" s="94">
        <v>467</v>
      </c>
      <c r="K736" s="94">
        <v>29</v>
      </c>
      <c r="L736" s="94">
        <v>193</v>
      </c>
      <c r="M736" s="94">
        <v>579</v>
      </c>
      <c r="N736" s="94">
        <v>245</v>
      </c>
      <c r="O736" s="94">
        <v>1045</v>
      </c>
      <c r="P736" s="94">
        <v>1</v>
      </c>
      <c r="Q736" s="95">
        <v>0.40160642570281102</v>
      </c>
      <c r="R736" s="95">
        <v>0.18348623853210999</v>
      </c>
      <c r="S736" s="95">
        <v>0.66518847006651904</v>
      </c>
      <c r="T736" s="95">
        <v>0</v>
      </c>
      <c r="U736" s="95">
        <v>0.54347826086956497</v>
      </c>
      <c r="V736" s="95">
        <v>0.54347826086956497</v>
      </c>
      <c r="W736" s="95">
        <v>0</v>
      </c>
      <c r="X736" s="95">
        <v>0.40201005025125602</v>
      </c>
      <c r="Y736" s="95">
        <v>0</v>
      </c>
      <c r="Z736" s="94">
        <v>1668</v>
      </c>
      <c r="AA736" s="94">
        <v>941</v>
      </c>
      <c r="AB736" s="94">
        <v>727</v>
      </c>
      <c r="AC736" s="94">
        <v>54</v>
      </c>
      <c r="AD736" s="94">
        <v>335</v>
      </c>
      <c r="AE736" s="94">
        <v>889</v>
      </c>
      <c r="AF736" s="94">
        <v>390</v>
      </c>
      <c r="AG736" s="94">
        <v>1366</v>
      </c>
      <c r="AH736" s="94">
        <v>297</v>
      </c>
      <c r="AI736" s="94">
        <v>5</v>
      </c>
      <c r="AJ736" s="94">
        <v>1659</v>
      </c>
      <c r="AK736" s="94">
        <v>4</v>
      </c>
      <c r="AL736" s="94">
        <v>5</v>
      </c>
      <c r="AM736" s="94">
        <v>126</v>
      </c>
      <c r="AN736" s="94">
        <v>1531</v>
      </c>
      <c r="AO736" s="94">
        <v>11</v>
      </c>
      <c r="AP736" s="95">
        <v>2.2485946283572802</v>
      </c>
      <c r="AQ736" s="95">
        <v>0.66371681415929196</v>
      </c>
      <c r="AR736" s="95">
        <v>4.3041606886657098</v>
      </c>
      <c r="AS736" s="95">
        <v>3.9215686274509798</v>
      </c>
      <c r="AT736" s="95">
        <v>3.8585209003215399</v>
      </c>
      <c r="AU736" s="95">
        <v>1.75644028103044</v>
      </c>
      <c r="AV736" s="95">
        <v>1.8181818181818199</v>
      </c>
      <c r="AW736" s="95">
        <v>1.98170731707317</v>
      </c>
      <c r="AX736" s="95">
        <v>3.52112676056338</v>
      </c>
      <c r="AY736" s="95">
        <v>0</v>
      </c>
      <c r="AZ736" s="95">
        <v>2.2613065326633199</v>
      </c>
      <c r="BA736" s="95">
        <v>0</v>
      </c>
      <c r="BB736" s="95">
        <v>0</v>
      </c>
      <c r="BC736" s="95">
        <v>0.81300813008130102</v>
      </c>
      <c r="BD736" s="95">
        <v>2.3858214042263102</v>
      </c>
      <c r="BE736" s="95">
        <v>0</v>
      </c>
    </row>
    <row r="737" spans="2:57" ht="15" customHeight="1" x14ac:dyDescent="0.25">
      <c r="B737" s="86">
        <v>727</v>
      </c>
      <c r="C737" s="87" t="s">
        <v>503</v>
      </c>
      <c r="D737" s="103" t="s">
        <v>57</v>
      </c>
      <c r="E737" s="103" t="s">
        <v>378</v>
      </c>
      <c r="F737" s="103"/>
      <c r="G737" s="88" t="s">
        <v>378</v>
      </c>
      <c r="H737" s="89">
        <v>7907</v>
      </c>
      <c r="I737" s="89">
        <v>4468</v>
      </c>
      <c r="J737" s="89">
        <v>3439</v>
      </c>
      <c r="K737" s="89">
        <v>266</v>
      </c>
      <c r="L737" s="89">
        <v>1749</v>
      </c>
      <c r="M737" s="89">
        <v>4346</v>
      </c>
      <c r="N737" s="89">
        <v>1546</v>
      </c>
      <c r="O737" s="89">
        <v>7902</v>
      </c>
      <c r="P737" s="89">
        <v>5</v>
      </c>
      <c r="Q737" s="90">
        <v>0.37174721189591098</v>
      </c>
      <c r="R737" s="90">
        <v>0.21291696238467001</v>
      </c>
      <c r="S737" s="90">
        <v>0.57488653555219404</v>
      </c>
      <c r="T737" s="90">
        <v>0.427350427350427</v>
      </c>
      <c r="U737" s="90">
        <v>0.54644808743169404</v>
      </c>
      <c r="V737" s="90">
        <v>0.383877159309021</v>
      </c>
      <c r="W737" s="90">
        <v>0.13486176668914401</v>
      </c>
      <c r="X737" s="90">
        <v>0.35870864886408899</v>
      </c>
      <c r="Y737" s="90">
        <v>20</v>
      </c>
      <c r="Z737" s="89">
        <v>10554</v>
      </c>
      <c r="AA737" s="89">
        <v>5809</v>
      </c>
      <c r="AB737" s="89">
        <v>4745</v>
      </c>
      <c r="AC737" s="89">
        <v>376</v>
      </c>
      <c r="AD737" s="89">
        <v>2294</v>
      </c>
      <c r="AE737" s="89">
        <v>5674</v>
      </c>
      <c r="AF737" s="89">
        <v>2210</v>
      </c>
      <c r="AG737" s="89">
        <v>9246</v>
      </c>
      <c r="AH737" s="89">
        <v>1259</v>
      </c>
      <c r="AI737" s="89">
        <v>49</v>
      </c>
      <c r="AJ737" s="89">
        <v>10511</v>
      </c>
      <c r="AK737" s="89">
        <v>10</v>
      </c>
      <c r="AL737" s="89">
        <v>33</v>
      </c>
      <c r="AM737" s="89">
        <v>668</v>
      </c>
      <c r="AN737" s="89">
        <v>9794</v>
      </c>
      <c r="AO737" s="89">
        <v>92</v>
      </c>
      <c r="AP737" s="90">
        <v>1.67586750788644</v>
      </c>
      <c r="AQ737" s="90">
        <v>0.58813045802887198</v>
      </c>
      <c r="AR737" s="90">
        <v>3.0222810500772099</v>
      </c>
      <c r="AS737" s="90">
        <v>2.5714285714285698</v>
      </c>
      <c r="AT737" s="90">
        <v>2.2356776897997199</v>
      </c>
      <c r="AU737" s="90">
        <v>1.75150519978106</v>
      </c>
      <c r="AV737" s="90">
        <v>0.78485687903970403</v>
      </c>
      <c r="AW737" s="90">
        <v>1.4828128510447101</v>
      </c>
      <c r="AX737" s="90">
        <v>3.09882747068677</v>
      </c>
      <c r="AY737" s="90">
        <v>2.0833333333333299</v>
      </c>
      <c r="AZ737" s="90">
        <v>1.68283508216195</v>
      </c>
      <c r="BA737" s="90">
        <v>0</v>
      </c>
      <c r="BB737" s="90">
        <v>0</v>
      </c>
      <c r="BC737" s="90">
        <v>0.92735703245749601</v>
      </c>
      <c r="BD737" s="90">
        <v>1.74319727891156</v>
      </c>
      <c r="BE737" s="90">
        <v>0</v>
      </c>
    </row>
    <row r="738" spans="2:57" ht="15" customHeight="1" x14ac:dyDescent="0.25">
      <c r="B738" s="91">
        <v>728</v>
      </c>
      <c r="C738" s="92" t="s">
        <v>503</v>
      </c>
      <c r="D738" s="92" t="s">
        <v>57</v>
      </c>
      <c r="E738" s="92" t="s">
        <v>378</v>
      </c>
      <c r="F738" s="92"/>
      <c r="G738" s="93" t="s">
        <v>501</v>
      </c>
      <c r="H738" s="94">
        <v>0</v>
      </c>
      <c r="I738" s="94">
        <v>0</v>
      </c>
      <c r="J738" s="94">
        <v>0</v>
      </c>
      <c r="K738" s="94">
        <v>0</v>
      </c>
      <c r="L738" s="94">
        <v>0</v>
      </c>
      <c r="M738" s="94">
        <v>0</v>
      </c>
      <c r="N738" s="94">
        <v>0</v>
      </c>
      <c r="O738" s="94">
        <v>0</v>
      </c>
      <c r="P738" s="94">
        <v>0</v>
      </c>
      <c r="Q738" s="95">
        <v>0</v>
      </c>
      <c r="R738" s="95">
        <v>0</v>
      </c>
      <c r="S738" s="95">
        <v>0</v>
      </c>
      <c r="T738" s="95">
        <v>0</v>
      </c>
      <c r="U738" s="95">
        <v>0</v>
      </c>
      <c r="V738" s="95">
        <v>0</v>
      </c>
      <c r="W738" s="95">
        <v>0</v>
      </c>
      <c r="X738" s="95">
        <v>0</v>
      </c>
      <c r="Y738" s="95">
        <v>0</v>
      </c>
      <c r="Z738" s="94">
        <v>0</v>
      </c>
      <c r="AA738" s="94">
        <v>0</v>
      </c>
      <c r="AB738" s="94">
        <v>0</v>
      </c>
      <c r="AC738" s="94">
        <v>0</v>
      </c>
      <c r="AD738" s="94">
        <v>0</v>
      </c>
      <c r="AE738" s="94">
        <v>0</v>
      </c>
      <c r="AF738" s="94">
        <v>0</v>
      </c>
      <c r="AG738" s="94">
        <v>0</v>
      </c>
      <c r="AH738" s="94">
        <v>0</v>
      </c>
      <c r="AI738" s="94">
        <v>0</v>
      </c>
      <c r="AJ738" s="94">
        <v>0</v>
      </c>
      <c r="AK738" s="94">
        <v>0</v>
      </c>
      <c r="AL738" s="94">
        <v>0</v>
      </c>
      <c r="AM738" s="94">
        <v>0</v>
      </c>
      <c r="AN738" s="94">
        <v>0</v>
      </c>
      <c r="AO738" s="94">
        <v>0</v>
      </c>
      <c r="AP738" s="95">
        <v>0</v>
      </c>
      <c r="AQ738" s="95">
        <v>0</v>
      </c>
      <c r="AR738" s="95">
        <v>0</v>
      </c>
      <c r="AS738" s="95">
        <v>0</v>
      </c>
      <c r="AT738" s="95">
        <v>0</v>
      </c>
      <c r="AU738" s="95">
        <v>0</v>
      </c>
      <c r="AV738" s="95">
        <v>0</v>
      </c>
      <c r="AW738" s="95">
        <v>0</v>
      </c>
      <c r="AX738" s="95">
        <v>0</v>
      </c>
      <c r="AY738" s="95">
        <v>0</v>
      </c>
      <c r="AZ738" s="95">
        <v>0</v>
      </c>
      <c r="BA738" s="95">
        <v>0</v>
      </c>
      <c r="BB738" s="95">
        <v>0</v>
      </c>
      <c r="BC738" s="95">
        <v>0</v>
      </c>
      <c r="BD738" s="95">
        <v>0</v>
      </c>
      <c r="BE738" s="95">
        <v>0</v>
      </c>
    </row>
    <row r="739" spans="2:57" ht="15" customHeight="1" x14ac:dyDescent="0.25">
      <c r="B739" s="91">
        <v>729</v>
      </c>
      <c r="C739" s="92" t="s">
        <v>503</v>
      </c>
      <c r="D739" s="92" t="s">
        <v>57</v>
      </c>
      <c r="E739" s="92" t="s">
        <v>378</v>
      </c>
      <c r="F739" s="92"/>
      <c r="G739" s="93" t="s">
        <v>502</v>
      </c>
      <c r="H739" s="94">
        <v>7907</v>
      </c>
      <c r="I739" s="94">
        <v>4468</v>
      </c>
      <c r="J739" s="94">
        <v>3439</v>
      </c>
      <c r="K739" s="94">
        <v>266</v>
      </c>
      <c r="L739" s="94">
        <v>1749</v>
      </c>
      <c r="M739" s="94">
        <v>4346</v>
      </c>
      <c r="N739" s="94">
        <v>1546</v>
      </c>
      <c r="O739" s="94">
        <v>7902</v>
      </c>
      <c r="P739" s="94">
        <v>5</v>
      </c>
      <c r="Q739" s="95">
        <v>0.37174721189591098</v>
      </c>
      <c r="R739" s="95">
        <v>0.21291696238467001</v>
      </c>
      <c r="S739" s="95">
        <v>0.57488653555219404</v>
      </c>
      <c r="T739" s="95">
        <v>0.427350427350427</v>
      </c>
      <c r="U739" s="95">
        <v>0.54644808743169404</v>
      </c>
      <c r="V739" s="95">
        <v>0.383877159309021</v>
      </c>
      <c r="W739" s="95">
        <v>0.13486176668914401</v>
      </c>
      <c r="X739" s="95">
        <v>0.35870864886408899</v>
      </c>
      <c r="Y739" s="95">
        <v>20</v>
      </c>
      <c r="Z739" s="94">
        <v>10554</v>
      </c>
      <c r="AA739" s="94">
        <v>5809</v>
      </c>
      <c r="AB739" s="94">
        <v>4745</v>
      </c>
      <c r="AC739" s="94">
        <v>376</v>
      </c>
      <c r="AD739" s="94">
        <v>2294</v>
      </c>
      <c r="AE739" s="94">
        <v>5674</v>
      </c>
      <c r="AF739" s="94">
        <v>2210</v>
      </c>
      <c r="AG739" s="94">
        <v>9246</v>
      </c>
      <c r="AH739" s="94">
        <v>1259</v>
      </c>
      <c r="AI739" s="94">
        <v>49</v>
      </c>
      <c r="AJ739" s="94">
        <v>10511</v>
      </c>
      <c r="AK739" s="94">
        <v>10</v>
      </c>
      <c r="AL739" s="94">
        <v>33</v>
      </c>
      <c r="AM739" s="94">
        <v>668</v>
      </c>
      <c r="AN739" s="94">
        <v>9794</v>
      </c>
      <c r="AO739" s="94">
        <v>92</v>
      </c>
      <c r="AP739" s="95">
        <v>1.67586750788644</v>
      </c>
      <c r="AQ739" s="95">
        <v>0.58813045802887198</v>
      </c>
      <c r="AR739" s="95">
        <v>3.0222810500772099</v>
      </c>
      <c r="AS739" s="95">
        <v>2.5714285714285698</v>
      </c>
      <c r="AT739" s="95">
        <v>2.2356776897997199</v>
      </c>
      <c r="AU739" s="95">
        <v>1.75150519978106</v>
      </c>
      <c r="AV739" s="95">
        <v>0.78485687903970403</v>
      </c>
      <c r="AW739" s="95">
        <v>1.4828128510447101</v>
      </c>
      <c r="AX739" s="95">
        <v>3.09882747068677</v>
      </c>
      <c r="AY739" s="95">
        <v>2.0833333333333299</v>
      </c>
      <c r="AZ739" s="95">
        <v>1.68283508216195</v>
      </c>
      <c r="BA739" s="95">
        <v>0</v>
      </c>
      <c r="BB739" s="95">
        <v>0</v>
      </c>
      <c r="BC739" s="95">
        <v>0.92735703245749601</v>
      </c>
      <c r="BD739" s="95">
        <v>1.74319727891156</v>
      </c>
      <c r="BE739" s="95">
        <v>0</v>
      </c>
    </row>
    <row r="740" spans="2:57" ht="15" customHeight="1" x14ac:dyDescent="0.25">
      <c r="B740" s="96">
        <v>730</v>
      </c>
      <c r="C740" s="97" t="s">
        <v>504</v>
      </c>
      <c r="D740" s="104" t="s">
        <v>57</v>
      </c>
      <c r="E740" s="104" t="s">
        <v>378</v>
      </c>
      <c r="F740" s="104" t="s">
        <v>471</v>
      </c>
      <c r="G740" s="105" t="s">
        <v>471</v>
      </c>
      <c r="H740" s="106">
        <v>6507</v>
      </c>
      <c r="I740" s="106">
        <v>3621</v>
      </c>
      <c r="J740" s="106">
        <v>2886</v>
      </c>
      <c r="K740" s="106">
        <v>223</v>
      </c>
      <c r="L740" s="106">
        <v>1463</v>
      </c>
      <c r="M740" s="106">
        <v>3558</v>
      </c>
      <c r="N740" s="106">
        <v>1263</v>
      </c>
      <c r="O740" s="106">
        <v>6503</v>
      </c>
      <c r="P740" s="106">
        <v>4</v>
      </c>
      <c r="Q740" s="107">
        <v>0.355641771742645</v>
      </c>
      <c r="R740" s="107">
        <v>0.17579841781423999</v>
      </c>
      <c r="S740" s="107">
        <v>0.57699242697439601</v>
      </c>
      <c r="T740" s="107">
        <v>0.50761421319796995</v>
      </c>
      <c r="U740" s="107">
        <v>0.434782608695652</v>
      </c>
      <c r="V740" s="107">
        <v>0.41212834854283198</v>
      </c>
      <c r="W740" s="107">
        <v>8.2508250825082494E-2</v>
      </c>
      <c r="X740" s="107">
        <v>0.33969589129731498</v>
      </c>
      <c r="Y740" s="107">
        <v>25</v>
      </c>
      <c r="Z740" s="106">
        <v>8794</v>
      </c>
      <c r="AA740" s="106">
        <v>4828</v>
      </c>
      <c r="AB740" s="106">
        <v>3966</v>
      </c>
      <c r="AC740" s="106">
        <v>319</v>
      </c>
      <c r="AD740" s="106">
        <v>1949</v>
      </c>
      <c r="AE740" s="106">
        <v>4727</v>
      </c>
      <c r="AF740" s="106">
        <v>1799</v>
      </c>
      <c r="AG740" s="106">
        <v>7664</v>
      </c>
      <c r="AH740" s="106">
        <v>1087</v>
      </c>
      <c r="AI740" s="106">
        <v>43</v>
      </c>
      <c r="AJ740" s="106">
        <v>8757</v>
      </c>
      <c r="AK740" s="106">
        <v>9</v>
      </c>
      <c r="AL740" s="106">
        <v>28</v>
      </c>
      <c r="AM740" s="106">
        <v>503</v>
      </c>
      <c r="AN740" s="106">
        <v>8223</v>
      </c>
      <c r="AO740" s="106">
        <v>68</v>
      </c>
      <c r="AP740" s="107">
        <v>1.69871416774802</v>
      </c>
      <c r="AQ740" s="107">
        <v>0.70633561643835596</v>
      </c>
      <c r="AR740" s="107">
        <v>2.91721419185283</v>
      </c>
      <c r="AS740" s="107">
        <v>2.6936026936026898</v>
      </c>
      <c r="AT740" s="107">
        <v>2.24288840262582</v>
      </c>
      <c r="AU740" s="107">
        <v>1.78961152335225</v>
      </c>
      <c r="AV740" s="107">
        <v>0.73446327683615797</v>
      </c>
      <c r="AW740" s="107">
        <v>1.4729729729729699</v>
      </c>
      <c r="AX740" s="107">
        <v>3.2850241545893701</v>
      </c>
      <c r="AY740" s="107">
        <v>2.38095238095238</v>
      </c>
      <c r="AZ740" s="107">
        <v>1.70595900959602</v>
      </c>
      <c r="BA740" s="107">
        <v>0</v>
      </c>
      <c r="BB740" s="107">
        <v>0</v>
      </c>
      <c r="BC740" s="107">
        <v>1.0162601626016301</v>
      </c>
      <c r="BD740" s="107">
        <v>1.7554938115685801</v>
      </c>
      <c r="BE740" s="107">
        <v>0</v>
      </c>
    </row>
    <row r="741" spans="2:57" ht="15" customHeight="1" x14ac:dyDescent="0.25">
      <c r="B741" s="91">
        <v>731</v>
      </c>
      <c r="C741" s="92" t="s">
        <v>504</v>
      </c>
      <c r="D741" s="92" t="s">
        <v>57</v>
      </c>
      <c r="E741" s="92" t="s">
        <v>378</v>
      </c>
      <c r="F741" s="92" t="s">
        <v>471</v>
      </c>
      <c r="G741" s="101" t="s">
        <v>501</v>
      </c>
      <c r="H741" s="94">
        <v>0</v>
      </c>
      <c r="I741" s="94">
        <v>0</v>
      </c>
      <c r="J741" s="94">
        <v>0</v>
      </c>
      <c r="K741" s="94">
        <v>0</v>
      </c>
      <c r="L741" s="94">
        <v>0</v>
      </c>
      <c r="M741" s="94">
        <v>0</v>
      </c>
      <c r="N741" s="94">
        <v>0</v>
      </c>
      <c r="O741" s="94">
        <v>0</v>
      </c>
      <c r="P741" s="94">
        <v>0</v>
      </c>
      <c r="Q741" s="95">
        <v>0</v>
      </c>
      <c r="R741" s="95">
        <v>0</v>
      </c>
      <c r="S741" s="95">
        <v>0</v>
      </c>
      <c r="T741" s="95">
        <v>0</v>
      </c>
      <c r="U741" s="95">
        <v>0</v>
      </c>
      <c r="V741" s="95">
        <v>0</v>
      </c>
      <c r="W741" s="95">
        <v>0</v>
      </c>
      <c r="X741" s="95">
        <v>0</v>
      </c>
      <c r="Y741" s="95">
        <v>0</v>
      </c>
      <c r="Z741" s="94">
        <v>0</v>
      </c>
      <c r="AA741" s="94">
        <v>0</v>
      </c>
      <c r="AB741" s="94">
        <v>0</v>
      </c>
      <c r="AC741" s="94">
        <v>0</v>
      </c>
      <c r="AD741" s="94">
        <v>0</v>
      </c>
      <c r="AE741" s="94">
        <v>0</v>
      </c>
      <c r="AF741" s="94">
        <v>0</v>
      </c>
      <c r="AG741" s="94">
        <v>0</v>
      </c>
      <c r="AH741" s="94">
        <v>0</v>
      </c>
      <c r="AI741" s="94">
        <v>0</v>
      </c>
      <c r="AJ741" s="94">
        <v>0</v>
      </c>
      <c r="AK741" s="94">
        <v>0</v>
      </c>
      <c r="AL741" s="94">
        <v>0</v>
      </c>
      <c r="AM741" s="94">
        <v>0</v>
      </c>
      <c r="AN741" s="94">
        <v>0</v>
      </c>
      <c r="AO741" s="94">
        <v>0</v>
      </c>
      <c r="AP741" s="95">
        <v>0</v>
      </c>
      <c r="AQ741" s="95">
        <v>0</v>
      </c>
      <c r="AR741" s="95">
        <v>0</v>
      </c>
      <c r="AS741" s="95">
        <v>0</v>
      </c>
      <c r="AT741" s="95">
        <v>0</v>
      </c>
      <c r="AU741" s="95">
        <v>0</v>
      </c>
      <c r="AV741" s="95">
        <v>0</v>
      </c>
      <c r="AW741" s="95">
        <v>0</v>
      </c>
      <c r="AX741" s="95">
        <v>0</v>
      </c>
      <c r="AY741" s="95">
        <v>0</v>
      </c>
      <c r="AZ741" s="95">
        <v>0</v>
      </c>
      <c r="BA741" s="95">
        <v>0</v>
      </c>
      <c r="BB741" s="95">
        <v>0</v>
      </c>
      <c r="BC741" s="95">
        <v>0</v>
      </c>
      <c r="BD741" s="95">
        <v>0</v>
      </c>
      <c r="BE741" s="95">
        <v>0</v>
      </c>
    </row>
    <row r="742" spans="2:57" ht="15" customHeight="1" x14ac:dyDescent="0.25">
      <c r="B742" s="91">
        <v>732</v>
      </c>
      <c r="C742" s="92" t="s">
        <v>504</v>
      </c>
      <c r="D742" s="92" t="s">
        <v>57</v>
      </c>
      <c r="E742" s="92" t="s">
        <v>378</v>
      </c>
      <c r="F742" s="92" t="s">
        <v>471</v>
      </c>
      <c r="G742" s="101" t="s">
        <v>502</v>
      </c>
      <c r="H742" s="94">
        <v>6507</v>
      </c>
      <c r="I742" s="94">
        <v>3621</v>
      </c>
      <c r="J742" s="94">
        <v>2886</v>
      </c>
      <c r="K742" s="94">
        <v>223</v>
      </c>
      <c r="L742" s="94">
        <v>1463</v>
      </c>
      <c r="M742" s="94">
        <v>3558</v>
      </c>
      <c r="N742" s="94">
        <v>1263</v>
      </c>
      <c r="O742" s="94">
        <v>6503</v>
      </c>
      <c r="P742" s="94">
        <v>4</v>
      </c>
      <c r="Q742" s="95">
        <v>0.355641771742645</v>
      </c>
      <c r="R742" s="95">
        <v>0.17579841781423999</v>
      </c>
      <c r="S742" s="95">
        <v>0.57699242697439601</v>
      </c>
      <c r="T742" s="95">
        <v>0.50761421319796995</v>
      </c>
      <c r="U742" s="95">
        <v>0.434782608695652</v>
      </c>
      <c r="V742" s="95">
        <v>0.41212834854283198</v>
      </c>
      <c r="W742" s="95">
        <v>8.2508250825082494E-2</v>
      </c>
      <c r="X742" s="95">
        <v>0.33969589129731498</v>
      </c>
      <c r="Y742" s="95">
        <v>25</v>
      </c>
      <c r="Z742" s="94">
        <v>8794</v>
      </c>
      <c r="AA742" s="94">
        <v>4828</v>
      </c>
      <c r="AB742" s="94">
        <v>3966</v>
      </c>
      <c r="AC742" s="94">
        <v>319</v>
      </c>
      <c r="AD742" s="94">
        <v>1949</v>
      </c>
      <c r="AE742" s="94">
        <v>4727</v>
      </c>
      <c r="AF742" s="94">
        <v>1799</v>
      </c>
      <c r="AG742" s="94">
        <v>7664</v>
      </c>
      <c r="AH742" s="94">
        <v>1087</v>
      </c>
      <c r="AI742" s="94">
        <v>43</v>
      </c>
      <c r="AJ742" s="94">
        <v>8757</v>
      </c>
      <c r="AK742" s="94">
        <v>9</v>
      </c>
      <c r="AL742" s="94">
        <v>28</v>
      </c>
      <c r="AM742" s="94">
        <v>503</v>
      </c>
      <c r="AN742" s="94">
        <v>8223</v>
      </c>
      <c r="AO742" s="94">
        <v>68</v>
      </c>
      <c r="AP742" s="95">
        <v>1.69871416774802</v>
      </c>
      <c r="AQ742" s="95">
        <v>0.70633561643835596</v>
      </c>
      <c r="AR742" s="95">
        <v>2.91721419185283</v>
      </c>
      <c r="AS742" s="95">
        <v>2.6936026936026898</v>
      </c>
      <c r="AT742" s="95">
        <v>2.24288840262582</v>
      </c>
      <c r="AU742" s="95">
        <v>1.78961152335225</v>
      </c>
      <c r="AV742" s="95">
        <v>0.73446327683615797</v>
      </c>
      <c r="AW742" s="95">
        <v>1.4729729729729699</v>
      </c>
      <c r="AX742" s="95">
        <v>3.2850241545893701</v>
      </c>
      <c r="AY742" s="95">
        <v>2.38095238095238</v>
      </c>
      <c r="AZ742" s="95">
        <v>1.70595900959602</v>
      </c>
      <c r="BA742" s="95">
        <v>0</v>
      </c>
      <c r="BB742" s="95">
        <v>0</v>
      </c>
      <c r="BC742" s="95">
        <v>1.0162601626016301</v>
      </c>
      <c r="BD742" s="95">
        <v>1.7554938115685801</v>
      </c>
      <c r="BE742" s="95">
        <v>0</v>
      </c>
    </row>
    <row r="743" spans="2:57" ht="15" customHeight="1" x14ac:dyDescent="0.25">
      <c r="B743" s="96">
        <v>733</v>
      </c>
      <c r="C743" s="97" t="s">
        <v>504</v>
      </c>
      <c r="D743" s="104" t="s">
        <v>57</v>
      </c>
      <c r="E743" s="104" t="s">
        <v>378</v>
      </c>
      <c r="F743" s="104" t="s">
        <v>69</v>
      </c>
      <c r="G743" s="105" t="s">
        <v>69</v>
      </c>
      <c r="H743" s="106">
        <v>1400</v>
      </c>
      <c r="I743" s="106">
        <v>847</v>
      </c>
      <c r="J743" s="106">
        <v>553</v>
      </c>
      <c r="K743" s="106">
        <v>43</v>
      </c>
      <c r="L743" s="106">
        <v>286</v>
      </c>
      <c r="M743" s="106">
        <v>788</v>
      </c>
      <c r="N743" s="106">
        <v>283</v>
      </c>
      <c r="O743" s="106">
        <v>1399</v>
      </c>
      <c r="P743" s="106">
        <v>1</v>
      </c>
      <c r="Q743" s="107">
        <v>0.44576523031203602</v>
      </c>
      <c r="R743" s="107">
        <v>0.36855036855036899</v>
      </c>
      <c r="S743" s="107">
        <v>0.56390977443609003</v>
      </c>
      <c r="T743" s="107">
        <v>0</v>
      </c>
      <c r="U743" s="107">
        <v>1.1235955056179801</v>
      </c>
      <c r="V743" s="107">
        <v>0.25940337224383903</v>
      </c>
      <c r="W743" s="107">
        <v>0.36900369003689998</v>
      </c>
      <c r="X743" s="107">
        <v>0.44609665427509299</v>
      </c>
      <c r="Y743" s="107">
        <v>0</v>
      </c>
      <c r="Z743" s="106">
        <v>1760</v>
      </c>
      <c r="AA743" s="106">
        <v>981</v>
      </c>
      <c r="AB743" s="106">
        <v>779</v>
      </c>
      <c r="AC743" s="106">
        <v>57</v>
      </c>
      <c r="AD743" s="106">
        <v>345</v>
      </c>
      <c r="AE743" s="106">
        <v>947</v>
      </c>
      <c r="AF743" s="106">
        <v>411</v>
      </c>
      <c r="AG743" s="106">
        <v>1582</v>
      </c>
      <c r="AH743" s="106">
        <v>172</v>
      </c>
      <c r="AI743" s="106">
        <v>6</v>
      </c>
      <c r="AJ743" s="106">
        <v>1754</v>
      </c>
      <c r="AK743" s="106">
        <v>1</v>
      </c>
      <c r="AL743" s="106">
        <v>5</v>
      </c>
      <c r="AM743" s="106">
        <v>165</v>
      </c>
      <c r="AN743" s="106">
        <v>1571</v>
      </c>
      <c r="AO743" s="106">
        <v>24</v>
      </c>
      <c r="AP743" s="107">
        <v>1.55968806238752</v>
      </c>
      <c r="AQ743" s="107">
        <v>0</v>
      </c>
      <c r="AR743" s="107">
        <v>3.5714285714285698</v>
      </c>
      <c r="AS743" s="107">
        <v>1.88679245283019</v>
      </c>
      <c r="AT743" s="107">
        <v>2.1943573667711598</v>
      </c>
      <c r="AU743" s="107">
        <v>1.5572858731924399</v>
      </c>
      <c r="AV743" s="107">
        <v>1.0101010101010099</v>
      </c>
      <c r="AW743" s="107">
        <v>1.5312916111850901</v>
      </c>
      <c r="AX743" s="107">
        <v>1.88679245283019</v>
      </c>
      <c r="AY743" s="107">
        <v>0</v>
      </c>
      <c r="AZ743" s="107">
        <v>1.5653220951234199</v>
      </c>
      <c r="BA743" s="107">
        <v>0</v>
      </c>
      <c r="BB743" s="107">
        <v>0</v>
      </c>
      <c r="BC743" s="107">
        <v>0.64516129032258096</v>
      </c>
      <c r="BD743" s="107">
        <v>1.6778523489932899</v>
      </c>
      <c r="BE743" s="107">
        <v>0</v>
      </c>
    </row>
    <row r="744" spans="2:57" ht="15" customHeight="1" x14ac:dyDescent="0.25">
      <c r="B744" s="91">
        <v>734</v>
      </c>
      <c r="C744" s="92" t="s">
        <v>504</v>
      </c>
      <c r="D744" s="92" t="s">
        <v>57</v>
      </c>
      <c r="E744" s="92" t="s">
        <v>378</v>
      </c>
      <c r="F744" s="92" t="s">
        <v>69</v>
      </c>
      <c r="G744" s="101" t="s">
        <v>501</v>
      </c>
      <c r="H744" s="94">
        <v>0</v>
      </c>
      <c r="I744" s="94">
        <v>0</v>
      </c>
      <c r="J744" s="94">
        <v>0</v>
      </c>
      <c r="K744" s="94">
        <v>0</v>
      </c>
      <c r="L744" s="94">
        <v>0</v>
      </c>
      <c r="M744" s="94">
        <v>0</v>
      </c>
      <c r="N744" s="94">
        <v>0</v>
      </c>
      <c r="O744" s="94">
        <v>0</v>
      </c>
      <c r="P744" s="94">
        <v>0</v>
      </c>
      <c r="Q744" s="95">
        <v>0</v>
      </c>
      <c r="R744" s="95">
        <v>0</v>
      </c>
      <c r="S744" s="95">
        <v>0</v>
      </c>
      <c r="T744" s="95">
        <v>0</v>
      </c>
      <c r="U744" s="95">
        <v>0</v>
      </c>
      <c r="V744" s="95">
        <v>0</v>
      </c>
      <c r="W744" s="95">
        <v>0</v>
      </c>
      <c r="X744" s="95">
        <v>0</v>
      </c>
      <c r="Y744" s="95">
        <v>0</v>
      </c>
      <c r="Z744" s="94">
        <v>0</v>
      </c>
      <c r="AA744" s="94">
        <v>0</v>
      </c>
      <c r="AB744" s="94">
        <v>0</v>
      </c>
      <c r="AC744" s="94">
        <v>0</v>
      </c>
      <c r="AD744" s="94">
        <v>0</v>
      </c>
      <c r="AE744" s="94">
        <v>0</v>
      </c>
      <c r="AF744" s="94">
        <v>0</v>
      </c>
      <c r="AG744" s="94">
        <v>0</v>
      </c>
      <c r="AH744" s="94">
        <v>0</v>
      </c>
      <c r="AI744" s="94">
        <v>0</v>
      </c>
      <c r="AJ744" s="94">
        <v>0</v>
      </c>
      <c r="AK744" s="94">
        <v>0</v>
      </c>
      <c r="AL744" s="94">
        <v>0</v>
      </c>
      <c r="AM744" s="94">
        <v>0</v>
      </c>
      <c r="AN744" s="94">
        <v>0</v>
      </c>
      <c r="AO744" s="94">
        <v>0</v>
      </c>
      <c r="AP744" s="95">
        <v>0</v>
      </c>
      <c r="AQ744" s="95">
        <v>0</v>
      </c>
      <c r="AR744" s="95">
        <v>0</v>
      </c>
      <c r="AS744" s="95">
        <v>0</v>
      </c>
      <c r="AT744" s="95">
        <v>0</v>
      </c>
      <c r="AU744" s="95">
        <v>0</v>
      </c>
      <c r="AV744" s="95">
        <v>0</v>
      </c>
      <c r="AW744" s="95">
        <v>0</v>
      </c>
      <c r="AX744" s="95">
        <v>0</v>
      </c>
      <c r="AY744" s="95">
        <v>0</v>
      </c>
      <c r="AZ744" s="95">
        <v>0</v>
      </c>
      <c r="BA744" s="95">
        <v>0</v>
      </c>
      <c r="BB744" s="95">
        <v>0</v>
      </c>
      <c r="BC744" s="95">
        <v>0</v>
      </c>
      <c r="BD744" s="95">
        <v>0</v>
      </c>
      <c r="BE744" s="95">
        <v>0</v>
      </c>
    </row>
    <row r="745" spans="2:57" ht="15" customHeight="1" x14ac:dyDescent="0.25">
      <c r="B745" s="91">
        <v>735</v>
      </c>
      <c r="C745" s="92" t="s">
        <v>504</v>
      </c>
      <c r="D745" s="92" t="s">
        <v>57</v>
      </c>
      <c r="E745" s="92" t="s">
        <v>378</v>
      </c>
      <c r="F745" s="92" t="s">
        <v>69</v>
      </c>
      <c r="G745" s="101" t="s">
        <v>502</v>
      </c>
      <c r="H745" s="94">
        <v>1400</v>
      </c>
      <c r="I745" s="94">
        <v>847</v>
      </c>
      <c r="J745" s="94">
        <v>553</v>
      </c>
      <c r="K745" s="94">
        <v>43</v>
      </c>
      <c r="L745" s="94">
        <v>286</v>
      </c>
      <c r="M745" s="94">
        <v>788</v>
      </c>
      <c r="N745" s="94">
        <v>283</v>
      </c>
      <c r="O745" s="94">
        <v>1399</v>
      </c>
      <c r="P745" s="94">
        <v>1</v>
      </c>
      <c r="Q745" s="95">
        <v>0.44576523031203602</v>
      </c>
      <c r="R745" s="95">
        <v>0.36855036855036899</v>
      </c>
      <c r="S745" s="95">
        <v>0.56390977443609003</v>
      </c>
      <c r="T745" s="95">
        <v>0</v>
      </c>
      <c r="U745" s="95">
        <v>1.1235955056179801</v>
      </c>
      <c r="V745" s="95">
        <v>0.25940337224383903</v>
      </c>
      <c r="W745" s="95">
        <v>0.36900369003689998</v>
      </c>
      <c r="X745" s="95">
        <v>0.44609665427509299</v>
      </c>
      <c r="Y745" s="95">
        <v>0</v>
      </c>
      <c r="Z745" s="94">
        <v>1760</v>
      </c>
      <c r="AA745" s="94">
        <v>981</v>
      </c>
      <c r="AB745" s="94">
        <v>779</v>
      </c>
      <c r="AC745" s="94">
        <v>57</v>
      </c>
      <c r="AD745" s="94">
        <v>345</v>
      </c>
      <c r="AE745" s="94">
        <v>947</v>
      </c>
      <c r="AF745" s="94">
        <v>411</v>
      </c>
      <c r="AG745" s="94">
        <v>1582</v>
      </c>
      <c r="AH745" s="94">
        <v>172</v>
      </c>
      <c r="AI745" s="94">
        <v>6</v>
      </c>
      <c r="AJ745" s="94">
        <v>1754</v>
      </c>
      <c r="AK745" s="94">
        <v>1</v>
      </c>
      <c r="AL745" s="94">
        <v>5</v>
      </c>
      <c r="AM745" s="94">
        <v>165</v>
      </c>
      <c r="AN745" s="94">
        <v>1571</v>
      </c>
      <c r="AO745" s="94">
        <v>24</v>
      </c>
      <c r="AP745" s="95">
        <v>1.55968806238752</v>
      </c>
      <c r="AQ745" s="95">
        <v>0</v>
      </c>
      <c r="AR745" s="95">
        <v>3.5714285714285698</v>
      </c>
      <c r="AS745" s="95">
        <v>1.88679245283019</v>
      </c>
      <c r="AT745" s="95">
        <v>2.1943573667711598</v>
      </c>
      <c r="AU745" s="95">
        <v>1.5572858731924399</v>
      </c>
      <c r="AV745" s="95">
        <v>1.0101010101010099</v>
      </c>
      <c r="AW745" s="95">
        <v>1.5312916111850901</v>
      </c>
      <c r="AX745" s="95">
        <v>1.88679245283019</v>
      </c>
      <c r="AY745" s="95">
        <v>0</v>
      </c>
      <c r="AZ745" s="95">
        <v>1.5653220951234199</v>
      </c>
      <c r="BA745" s="95">
        <v>0</v>
      </c>
      <c r="BB745" s="95">
        <v>0</v>
      </c>
      <c r="BC745" s="95">
        <v>0.64516129032258096</v>
      </c>
      <c r="BD745" s="95">
        <v>1.6778523489932899</v>
      </c>
      <c r="BE745" s="95">
        <v>0</v>
      </c>
    </row>
    <row r="746" spans="2:57" ht="15" customHeight="1" x14ac:dyDescent="0.25">
      <c r="B746" s="86">
        <v>736</v>
      </c>
      <c r="C746" s="87" t="s">
        <v>503</v>
      </c>
      <c r="D746" s="103" t="s">
        <v>57</v>
      </c>
      <c r="E746" s="103" t="s">
        <v>173</v>
      </c>
      <c r="F746" s="103"/>
      <c r="G746" s="88" t="s">
        <v>173</v>
      </c>
      <c r="H746" s="89">
        <v>4442</v>
      </c>
      <c r="I746" s="89">
        <v>2754</v>
      </c>
      <c r="J746" s="89">
        <v>1688</v>
      </c>
      <c r="K746" s="89">
        <v>139</v>
      </c>
      <c r="L746" s="89">
        <v>1391</v>
      </c>
      <c r="M746" s="89">
        <v>2369</v>
      </c>
      <c r="N746" s="89">
        <v>543</v>
      </c>
      <c r="O746" s="89">
        <v>4431</v>
      </c>
      <c r="P746" s="89">
        <v>11</v>
      </c>
      <c r="Q746" s="90">
        <v>0.57102069950035705</v>
      </c>
      <c r="R746" s="90">
        <v>0.56796667928814804</v>
      </c>
      <c r="S746" s="90">
        <v>0.57618437900127994</v>
      </c>
      <c r="T746" s="90">
        <v>0.86206896551724099</v>
      </c>
      <c r="U746" s="90">
        <v>0.61491160645657195</v>
      </c>
      <c r="V746" s="90">
        <v>0.57293962097840501</v>
      </c>
      <c r="W746" s="90">
        <v>0.38684719535783402</v>
      </c>
      <c r="X746" s="90">
        <v>0.57224606580829795</v>
      </c>
      <c r="Y746" s="90">
        <v>0</v>
      </c>
      <c r="Z746" s="89">
        <v>9934</v>
      </c>
      <c r="AA746" s="89">
        <v>5532</v>
      </c>
      <c r="AB746" s="89">
        <v>4402</v>
      </c>
      <c r="AC746" s="89">
        <v>349</v>
      </c>
      <c r="AD746" s="89">
        <v>3246</v>
      </c>
      <c r="AE746" s="89">
        <v>5331</v>
      </c>
      <c r="AF746" s="89">
        <v>1008</v>
      </c>
      <c r="AG746" s="89">
        <v>6892</v>
      </c>
      <c r="AH746" s="89">
        <v>2967</v>
      </c>
      <c r="AI746" s="89">
        <v>75</v>
      </c>
      <c r="AJ746" s="89">
        <v>9787</v>
      </c>
      <c r="AK746" s="89">
        <v>125</v>
      </c>
      <c r="AL746" s="89">
        <v>22</v>
      </c>
      <c r="AM746" s="89">
        <v>444</v>
      </c>
      <c r="AN746" s="89">
        <v>9424</v>
      </c>
      <c r="AO746" s="89">
        <v>66</v>
      </c>
      <c r="AP746" s="90">
        <v>3.34811998310097</v>
      </c>
      <c r="AQ746" s="90">
        <v>1.9996262380863401</v>
      </c>
      <c r="AR746" s="90">
        <v>5.1008015545300003</v>
      </c>
      <c r="AS746" s="90">
        <v>4.2813455657492296</v>
      </c>
      <c r="AT746" s="90">
        <v>4.4117647058823497</v>
      </c>
      <c r="AU746" s="90">
        <v>3.05104635243497</v>
      </c>
      <c r="AV746" s="90">
        <v>1.2396694214876001</v>
      </c>
      <c r="AW746" s="90">
        <v>2.1218551076083698</v>
      </c>
      <c r="AX746" s="90">
        <v>6.2544674767691202</v>
      </c>
      <c r="AY746" s="90">
        <v>2.7777777777777799</v>
      </c>
      <c r="AZ746" s="90">
        <v>3.3536912032572599</v>
      </c>
      <c r="BA746" s="90">
        <v>3.5087719298245599</v>
      </c>
      <c r="BB746" s="90">
        <v>0</v>
      </c>
      <c r="BC746" s="90">
        <v>3.2941176470588198</v>
      </c>
      <c r="BD746" s="90">
        <v>3.29621380846325</v>
      </c>
      <c r="BE746" s="90">
        <v>11.1111111111111</v>
      </c>
    </row>
    <row r="747" spans="2:57" ht="15" customHeight="1" x14ac:dyDescent="0.25">
      <c r="B747" s="91">
        <v>737</v>
      </c>
      <c r="C747" s="92" t="s">
        <v>503</v>
      </c>
      <c r="D747" s="92" t="s">
        <v>57</v>
      </c>
      <c r="E747" s="92" t="s">
        <v>173</v>
      </c>
      <c r="F747" s="92"/>
      <c r="G747" s="93" t="s">
        <v>501</v>
      </c>
      <c r="H747" s="94">
        <v>0</v>
      </c>
      <c r="I747" s="94">
        <v>0</v>
      </c>
      <c r="J747" s="94">
        <v>0</v>
      </c>
      <c r="K747" s="94">
        <v>0</v>
      </c>
      <c r="L747" s="94">
        <v>0</v>
      </c>
      <c r="M747" s="94">
        <v>0</v>
      </c>
      <c r="N747" s="94">
        <v>0</v>
      </c>
      <c r="O747" s="94">
        <v>0</v>
      </c>
      <c r="P747" s="94">
        <v>0</v>
      </c>
      <c r="Q747" s="95">
        <v>0</v>
      </c>
      <c r="R747" s="95">
        <v>0</v>
      </c>
      <c r="S747" s="95">
        <v>0</v>
      </c>
      <c r="T747" s="95">
        <v>0</v>
      </c>
      <c r="U747" s="95">
        <v>0</v>
      </c>
      <c r="V747" s="95">
        <v>0</v>
      </c>
      <c r="W747" s="95">
        <v>0</v>
      </c>
      <c r="X747" s="95">
        <v>0</v>
      </c>
      <c r="Y747" s="95">
        <v>0</v>
      </c>
      <c r="Z747" s="94">
        <v>1810</v>
      </c>
      <c r="AA747" s="94">
        <v>1040</v>
      </c>
      <c r="AB747" s="94">
        <v>770</v>
      </c>
      <c r="AC747" s="94">
        <v>52</v>
      </c>
      <c r="AD747" s="94">
        <v>762</v>
      </c>
      <c r="AE747" s="94">
        <v>901</v>
      </c>
      <c r="AF747" s="94">
        <v>95</v>
      </c>
      <c r="AG747" s="94">
        <v>588</v>
      </c>
      <c r="AH747" s="94">
        <v>1188</v>
      </c>
      <c r="AI747" s="94">
        <v>34</v>
      </c>
      <c r="AJ747" s="94">
        <v>1787</v>
      </c>
      <c r="AK747" s="94">
        <v>21</v>
      </c>
      <c r="AL747" s="94">
        <v>2</v>
      </c>
      <c r="AM747" s="94">
        <v>69</v>
      </c>
      <c r="AN747" s="94">
        <v>1721</v>
      </c>
      <c r="AO747" s="94">
        <v>20</v>
      </c>
      <c r="AP747" s="95">
        <v>11.2138728323699</v>
      </c>
      <c r="AQ747" s="95">
        <v>6.5261044176706804</v>
      </c>
      <c r="AR747" s="95">
        <v>17.574931880108998</v>
      </c>
      <c r="AS747" s="95">
        <v>22.9166666666667</v>
      </c>
      <c r="AT747" s="95">
        <v>11.715481171548101</v>
      </c>
      <c r="AU747" s="95">
        <v>10.5747126436782</v>
      </c>
      <c r="AV747" s="95">
        <v>7.3684210526315796</v>
      </c>
      <c r="AW747" s="95">
        <v>10.0538599640934</v>
      </c>
      <c r="AX747" s="95">
        <v>11.9402985074627</v>
      </c>
      <c r="AY747" s="95">
        <v>5.8823529411764701</v>
      </c>
      <c r="AZ747" s="95">
        <v>11.176126389701601</v>
      </c>
      <c r="BA747" s="95">
        <v>15</v>
      </c>
      <c r="BB747" s="95">
        <v>0</v>
      </c>
      <c r="BC747" s="95">
        <v>17.647058823529399</v>
      </c>
      <c r="BD747" s="95">
        <v>10.7729762629337</v>
      </c>
      <c r="BE747" s="95">
        <v>26.315789473684202</v>
      </c>
    </row>
    <row r="748" spans="2:57" ht="15" customHeight="1" x14ac:dyDescent="0.25">
      <c r="B748" s="91">
        <v>738</v>
      </c>
      <c r="C748" s="92" t="s">
        <v>503</v>
      </c>
      <c r="D748" s="92" t="s">
        <v>57</v>
      </c>
      <c r="E748" s="92" t="s">
        <v>173</v>
      </c>
      <c r="F748" s="92"/>
      <c r="G748" s="93" t="s">
        <v>502</v>
      </c>
      <c r="H748" s="94">
        <v>4442</v>
      </c>
      <c r="I748" s="94">
        <v>2754</v>
      </c>
      <c r="J748" s="94">
        <v>1688</v>
      </c>
      <c r="K748" s="94">
        <v>139</v>
      </c>
      <c r="L748" s="94">
        <v>1391</v>
      </c>
      <c r="M748" s="94">
        <v>2369</v>
      </c>
      <c r="N748" s="94">
        <v>543</v>
      </c>
      <c r="O748" s="94">
        <v>4431</v>
      </c>
      <c r="P748" s="94">
        <v>11</v>
      </c>
      <c r="Q748" s="95">
        <v>0.57102069950035705</v>
      </c>
      <c r="R748" s="95">
        <v>0.56796667928814804</v>
      </c>
      <c r="S748" s="95">
        <v>0.57618437900127994</v>
      </c>
      <c r="T748" s="95">
        <v>0.86206896551724099</v>
      </c>
      <c r="U748" s="95">
        <v>0.61491160645657195</v>
      </c>
      <c r="V748" s="95">
        <v>0.57293962097840501</v>
      </c>
      <c r="W748" s="95">
        <v>0.38684719535783402</v>
      </c>
      <c r="X748" s="95">
        <v>0.57224606580829795</v>
      </c>
      <c r="Y748" s="95">
        <v>0</v>
      </c>
      <c r="Z748" s="94">
        <v>8124</v>
      </c>
      <c r="AA748" s="94">
        <v>4492</v>
      </c>
      <c r="AB748" s="94">
        <v>3632</v>
      </c>
      <c r="AC748" s="94">
        <v>297</v>
      </c>
      <c r="AD748" s="94">
        <v>2484</v>
      </c>
      <c r="AE748" s="94">
        <v>4430</v>
      </c>
      <c r="AF748" s="94">
        <v>913</v>
      </c>
      <c r="AG748" s="94">
        <v>6304</v>
      </c>
      <c r="AH748" s="94">
        <v>1779</v>
      </c>
      <c r="AI748" s="94">
        <v>41</v>
      </c>
      <c r="AJ748" s="94">
        <v>8000</v>
      </c>
      <c r="AK748" s="94">
        <v>104</v>
      </c>
      <c r="AL748" s="94">
        <v>20</v>
      </c>
      <c r="AM748" s="94">
        <v>375</v>
      </c>
      <c r="AN748" s="94">
        <v>7703</v>
      </c>
      <c r="AO748" s="94">
        <v>46</v>
      </c>
      <c r="AP748" s="95">
        <v>1.58955802532954</v>
      </c>
      <c r="AQ748" s="95">
        <v>0.96440872560275503</v>
      </c>
      <c r="AR748" s="95">
        <v>2.3943245639964501</v>
      </c>
      <c r="AS748" s="95">
        <v>1.0752688172042999</v>
      </c>
      <c r="AT748" s="95">
        <v>2.1766965428937302</v>
      </c>
      <c r="AU748" s="95">
        <v>1.5083667216592</v>
      </c>
      <c r="AV748" s="95">
        <v>0.57273768613974796</v>
      </c>
      <c r="AW748" s="95">
        <v>1.39049826187717</v>
      </c>
      <c r="AX748" s="95">
        <v>2.3508137432188101</v>
      </c>
      <c r="AY748" s="95">
        <v>0</v>
      </c>
      <c r="AZ748" s="95">
        <v>1.6002098635886699</v>
      </c>
      <c r="BA748" s="95">
        <v>1.0638297872340401</v>
      </c>
      <c r="BB748" s="95">
        <v>0</v>
      </c>
      <c r="BC748" s="95">
        <v>0.56022408963585402</v>
      </c>
      <c r="BD748" s="95">
        <v>1.62191631456999</v>
      </c>
      <c r="BE748" s="95">
        <v>4.5454545454545503</v>
      </c>
    </row>
    <row r="749" spans="2:57" ht="15" customHeight="1" x14ac:dyDescent="0.25">
      <c r="B749" s="96">
        <v>739</v>
      </c>
      <c r="C749" s="97" t="s">
        <v>504</v>
      </c>
      <c r="D749" s="104" t="s">
        <v>57</v>
      </c>
      <c r="E749" s="104" t="s">
        <v>173</v>
      </c>
      <c r="F749" s="104" t="s">
        <v>173</v>
      </c>
      <c r="G749" s="105" t="s">
        <v>173</v>
      </c>
      <c r="H749" s="106">
        <v>3311</v>
      </c>
      <c r="I749" s="106">
        <v>2065</v>
      </c>
      <c r="J749" s="106">
        <v>1246</v>
      </c>
      <c r="K749" s="106">
        <v>87</v>
      </c>
      <c r="L749" s="106">
        <v>1017</v>
      </c>
      <c r="M749" s="106">
        <v>1811</v>
      </c>
      <c r="N749" s="106">
        <v>396</v>
      </c>
      <c r="O749" s="106">
        <v>3302</v>
      </c>
      <c r="P749" s="106">
        <v>9</v>
      </c>
      <c r="Q749" s="107">
        <v>0.72738772928526296</v>
      </c>
      <c r="R749" s="107">
        <v>0.75037518759379696</v>
      </c>
      <c r="S749" s="107">
        <v>0.68787618228718805</v>
      </c>
      <c r="T749" s="107">
        <v>1.3698630136986301</v>
      </c>
      <c r="U749" s="107">
        <v>0.72765072765072802</v>
      </c>
      <c r="V749" s="107">
        <v>0.74498567335243504</v>
      </c>
      <c r="W749" s="107">
        <v>0.52356020942408399</v>
      </c>
      <c r="X749" s="107">
        <v>0.72946400253726595</v>
      </c>
      <c r="Y749" s="107">
        <v>0</v>
      </c>
      <c r="Z749" s="106">
        <v>8384</v>
      </c>
      <c r="AA749" s="106">
        <v>4654</v>
      </c>
      <c r="AB749" s="106">
        <v>3730</v>
      </c>
      <c r="AC749" s="106">
        <v>283</v>
      </c>
      <c r="AD749" s="106">
        <v>2759</v>
      </c>
      <c r="AE749" s="106">
        <v>4517</v>
      </c>
      <c r="AF749" s="106">
        <v>825</v>
      </c>
      <c r="AG749" s="106">
        <v>5534</v>
      </c>
      <c r="AH749" s="106">
        <v>2781</v>
      </c>
      <c r="AI749" s="106">
        <v>69</v>
      </c>
      <c r="AJ749" s="106">
        <v>8270</v>
      </c>
      <c r="AK749" s="106">
        <v>98</v>
      </c>
      <c r="AL749" s="106">
        <v>16</v>
      </c>
      <c r="AM749" s="106">
        <v>382</v>
      </c>
      <c r="AN749" s="106">
        <v>7953</v>
      </c>
      <c r="AO749" s="106">
        <v>49</v>
      </c>
      <c r="AP749" s="107">
        <v>3.6953526243266901</v>
      </c>
      <c r="AQ749" s="107">
        <v>2.19560878243513</v>
      </c>
      <c r="AR749" s="107">
        <v>5.64191134139321</v>
      </c>
      <c r="AS749" s="107">
        <v>5.3435114503816799</v>
      </c>
      <c r="AT749" s="107">
        <v>4.7289504036908898</v>
      </c>
      <c r="AU749" s="107">
        <v>3.4203836376242198</v>
      </c>
      <c r="AV749" s="107">
        <v>1.2610340479192901</v>
      </c>
      <c r="AW749" s="107">
        <v>2.3277819833459499</v>
      </c>
      <c r="AX749" s="107">
        <v>6.4565134827193296</v>
      </c>
      <c r="AY749" s="107">
        <v>3.0303030303030298</v>
      </c>
      <c r="AZ749" s="107">
        <v>3.7074657186389</v>
      </c>
      <c r="BA749" s="107">
        <v>3.2608695652173898</v>
      </c>
      <c r="BB749" s="107">
        <v>0</v>
      </c>
      <c r="BC749" s="107">
        <v>3.81471389645777</v>
      </c>
      <c r="BD749" s="107">
        <v>3.6459709379128098</v>
      </c>
      <c r="BE749" s="107">
        <v>10.869565217391299</v>
      </c>
    </row>
    <row r="750" spans="2:57" ht="15" customHeight="1" x14ac:dyDescent="0.25">
      <c r="B750" s="91">
        <v>740</v>
      </c>
      <c r="C750" s="92" t="s">
        <v>504</v>
      </c>
      <c r="D750" s="92" t="s">
        <v>57</v>
      </c>
      <c r="E750" s="92" t="s">
        <v>173</v>
      </c>
      <c r="F750" s="92" t="s">
        <v>173</v>
      </c>
      <c r="G750" s="101" t="s">
        <v>501</v>
      </c>
      <c r="H750" s="94">
        <v>0</v>
      </c>
      <c r="I750" s="94">
        <v>0</v>
      </c>
      <c r="J750" s="94">
        <v>0</v>
      </c>
      <c r="K750" s="94">
        <v>0</v>
      </c>
      <c r="L750" s="94">
        <v>0</v>
      </c>
      <c r="M750" s="94">
        <v>0</v>
      </c>
      <c r="N750" s="94">
        <v>0</v>
      </c>
      <c r="O750" s="94">
        <v>0</v>
      </c>
      <c r="P750" s="94">
        <v>0</v>
      </c>
      <c r="Q750" s="95">
        <v>0</v>
      </c>
      <c r="R750" s="95">
        <v>0</v>
      </c>
      <c r="S750" s="95">
        <v>0</v>
      </c>
      <c r="T750" s="95">
        <v>0</v>
      </c>
      <c r="U750" s="95">
        <v>0</v>
      </c>
      <c r="V750" s="95">
        <v>0</v>
      </c>
      <c r="W750" s="95">
        <v>0</v>
      </c>
      <c r="X750" s="95">
        <v>0</v>
      </c>
      <c r="Y750" s="95">
        <v>0</v>
      </c>
      <c r="Z750" s="94">
        <v>1810</v>
      </c>
      <c r="AA750" s="94">
        <v>1040</v>
      </c>
      <c r="AB750" s="94">
        <v>770</v>
      </c>
      <c r="AC750" s="94">
        <v>52</v>
      </c>
      <c r="AD750" s="94">
        <v>762</v>
      </c>
      <c r="AE750" s="94">
        <v>901</v>
      </c>
      <c r="AF750" s="94">
        <v>95</v>
      </c>
      <c r="AG750" s="94">
        <v>588</v>
      </c>
      <c r="AH750" s="94">
        <v>1188</v>
      </c>
      <c r="AI750" s="94">
        <v>34</v>
      </c>
      <c r="AJ750" s="94">
        <v>1787</v>
      </c>
      <c r="AK750" s="94">
        <v>21</v>
      </c>
      <c r="AL750" s="94">
        <v>2</v>
      </c>
      <c r="AM750" s="94">
        <v>69</v>
      </c>
      <c r="AN750" s="94">
        <v>1721</v>
      </c>
      <c r="AO750" s="94">
        <v>20</v>
      </c>
      <c r="AP750" s="95">
        <v>11.2138728323699</v>
      </c>
      <c r="AQ750" s="95">
        <v>6.5261044176706804</v>
      </c>
      <c r="AR750" s="95">
        <v>17.574931880108998</v>
      </c>
      <c r="AS750" s="95">
        <v>22.9166666666667</v>
      </c>
      <c r="AT750" s="95">
        <v>11.715481171548101</v>
      </c>
      <c r="AU750" s="95">
        <v>10.5747126436782</v>
      </c>
      <c r="AV750" s="95">
        <v>7.3684210526315796</v>
      </c>
      <c r="AW750" s="95">
        <v>10.0538599640934</v>
      </c>
      <c r="AX750" s="95">
        <v>11.9402985074627</v>
      </c>
      <c r="AY750" s="95">
        <v>5.8823529411764701</v>
      </c>
      <c r="AZ750" s="95">
        <v>11.176126389701601</v>
      </c>
      <c r="BA750" s="95">
        <v>15</v>
      </c>
      <c r="BB750" s="95">
        <v>0</v>
      </c>
      <c r="BC750" s="95">
        <v>17.647058823529399</v>
      </c>
      <c r="BD750" s="95">
        <v>10.7729762629337</v>
      </c>
      <c r="BE750" s="95">
        <v>26.315789473684202</v>
      </c>
    </row>
    <row r="751" spans="2:57" ht="15" customHeight="1" x14ac:dyDescent="0.25">
      <c r="B751" s="91">
        <v>741</v>
      </c>
      <c r="C751" s="92" t="s">
        <v>504</v>
      </c>
      <c r="D751" s="92" t="s">
        <v>57</v>
      </c>
      <c r="E751" s="92" t="s">
        <v>173</v>
      </c>
      <c r="F751" s="92" t="s">
        <v>173</v>
      </c>
      <c r="G751" s="101" t="s">
        <v>502</v>
      </c>
      <c r="H751" s="94">
        <v>3311</v>
      </c>
      <c r="I751" s="94">
        <v>2065</v>
      </c>
      <c r="J751" s="94">
        <v>1246</v>
      </c>
      <c r="K751" s="94">
        <v>87</v>
      </c>
      <c r="L751" s="94">
        <v>1017</v>
      </c>
      <c r="M751" s="94">
        <v>1811</v>
      </c>
      <c r="N751" s="94">
        <v>396</v>
      </c>
      <c r="O751" s="94">
        <v>3302</v>
      </c>
      <c r="P751" s="94">
        <v>9</v>
      </c>
      <c r="Q751" s="95">
        <v>0.72738772928526296</v>
      </c>
      <c r="R751" s="95">
        <v>0.75037518759379696</v>
      </c>
      <c r="S751" s="95">
        <v>0.68787618228718805</v>
      </c>
      <c r="T751" s="95">
        <v>1.3698630136986301</v>
      </c>
      <c r="U751" s="95">
        <v>0.72765072765072802</v>
      </c>
      <c r="V751" s="95">
        <v>0.74498567335243504</v>
      </c>
      <c r="W751" s="95">
        <v>0.52356020942408399</v>
      </c>
      <c r="X751" s="95">
        <v>0.72946400253726595</v>
      </c>
      <c r="Y751" s="95">
        <v>0</v>
      </c>
      <c r="Z751" s="94">
        <v>6574</v>
      </c>
      <c r="AA751" s="94">
        <v>3614</v>
      </c>
      <c r="AB751" s="94">
        <v>2960</v>
      </c>
      <c r="AC751" s="94">
        <v>231</v>
      </c>
      <c r="AD751" s="94">
        <v>1997</v>
      </c>
      <c r="AE751" s="94">
        <v>3616</v>
      </c>
      <c r="AF751" s="94">
        <v>730</v>
      </c>
      <c r="AG751" s="94">
        <v>4946</v>
      </c>
      <c r="AH751" s="94">
        <v>1593</v>
      </c>
      <c r="AI751" s="94">
        <v>35</v>
      </c>
      <c r="AJ751" s="94">
        <v>6483</v>
      </c>
      <c r="AK751" s="94">
        <v>77</v>
      </c>
      <c r="AL751" s="94">
        <v>14</v>
      </c>
      <c r="AM751" s="94">
        <v>313</v>
      </c>
      <c r="AN751" s="94">
        <v>6232</v>
      </c>
      <c r="AO751" s="94">
        <v>29</v>
      </c>
      <c r="AP751" s="95">
        <v>1.61522469214777</v>
      </c>
      <c r="AQ751" s="95">
        <v>0.96783376031881596</v>
      </c>
      <c r="AR751" s="95">
        <v>2.4452554744525501</v>
      </c>
      <c r="AS751" s="95">
        <v>1.4018691588784999</v>
      </c>
      <c r="AT751" s="95">
        <v>2.0700636942675201</v>
      </c>
      <c r="AU751" s="95">
        <v>1.6199016488284601</v>
      </c>
      <c r="AV751" s="95">
        <v>0.42979942693409701</v>
      </c>
      <c r="AW751" s="95">
        <v>1.4173894647768099</v>
      </c>
      <c r="AX751" s="95">
        <v>2.27576974564926</v>
      </c>
      <c r="AY751" s="95">
        <v>0</v>
      </c>
      <c r="AZ751" s="95">
        <v>1.6377493108480601</v>
      </c>
      <c r="BA751" s="95">
        <v>0</v>
      </c>
      <c r="BB751" s="95">
        <v>0</v>
      </c>
      <c r="BC751" s="95">
        <v>0.668896321070234</v>
      </c>
      <c r="BD751" s="95">
        <v>1.67032225409145</v>
      </c>
      <c r="BE751" s="95">
        <v>0</v>
      </c>
    </row>
    <row r="752" spans="2:57" ht="15" customHeight="1" x14ac:dyDescent="0.25">
      <c r="B752" s="96">
        <v>742</v>
      </c>
      <c r="C752" s="97" t="s">
        <v>504</v>
      </c>
      <c r="D752" s="104" t="s">
        <v>57</v>
      </c>
      <c r="E752" s="104" t="s">
        <v>173</v>
      </c>
      <c r="F752" s="104" t="s">
        <v>0</v>
      </c>
      <c r="G752" s="105" t="s">
        <v>0</v>
      </c>
      <c r="H752" s="106">
        <v>385</v>
      </c>
      <c r="I752" s="106">
        <v>244</v>
      </c>
      <c r="J752" s="106">
        <v>141</v>
      </c>
      <c r="K752" s="106">
        <v>9</v>
      </c>
      <c r="L752" s="106">
        <v>131</v>
      </c>
      <c r="M752" s="106">
        <v>196</v>
      </c>
      <c r="N752" s="106">
        <v>49</v>
      </c>
      <c r="O752" s="106">
        <v>385</v>
      </c>
      <c r="P752" s="106">
        <v>0</v>
      </c>
      <c r="Q752" s="107">
        <v>0.26385224274406299</v>
      </c>
      <c r="R752" s="107">
        <v>0</v>
      </c>
      <c r="S752" s="107">
        <v>0.72992700729926996</v>
      </c>
      <c r="T752" s="107">
        <v>0</v>
      </c>
      <c r="U752" s="107">
        <v>0.79365079365079405</v>
      </c>
      <c r="V752" s="107">
        <v>0</v>
      </c>
      <c r="W752" s="107">
        <v>0</v>
      </c>
      <c r="X752" s="107">
        <v>0.26385224274406299</v>
      </c>
      <c r="Y752" s="107">
        <v>0</v>
      </c>
      <c r="Z752" s="106">
        <v>583</v>
      </c>
      <c r="AA752" s="106">
        <v>344</v>
      </c>
      <c r="AB752" s="106">
        <v>239</v>
      </c>
      <c r="AC752" s="106">
        <v>18</v>
      </c>
      <c r="AD752" s="106">
        <v>189</v>
      </c>
      <c r="AE752" s="106">
        <v>302</v>
      </c>
      <c r="AF752" s="106">
        <v>74</v>
      </c>
      <c r="AG752" s="106">
        <v>437</v>
      </c>
      <c r="AH752" s="106">
        <v>145</v>
      </c>
      <c r="AI752" s="106">
        <v>1</v>
      </c>
      <c r="AJ752" s="106">
        <v>565</v>
      </c>
      <c r="AK752" s="106">
        <v>17</v>
      </c>
      <c r="AL752" s="106">
        <v>1</v>
      </c>
      <c r="AM752" s="106">
        <v>30</v>
      </c>
      <c r="AN752" s="106">
        <v>550</v>
      </c>
      <c r="AO752" s="106">
        <v>3</v>
      </c>
      <c r="AP752" s="107">
        <v>2.69784172661871</v>
      </c>
      <c r="AQ752" s="107">
        <v>2.1406727828746202</v>
      </c>
      <c r="AR752" s="107">
        <v>3.4934497816593901</v>
      </c>
      <c r="AS752" s="107">
        <v>0</v>
      </c>
      <c r="AT752" s="107">
        <v>3.9325842696629199</v>
      </c>
      <c r="AU752" s="107">
        <v>2.0761245674740501</v>
      </c>
      <c r="AV752" s="107">
        <v>2.7777777777777799</v>
      </c>
      <c r="AW752" s="107">
        <v>2.3696682464454999</v>
      </c>
      <c r="AX752" s="107">
        <v>3.7593984962406002</v>
      </c>
      <c r="AY752" s="107">
        <v>0</v>
      </c>
      <c r="AZ752" s="107">
        <v>2.5878003696857701</v>
      </c>
      <c r="BA752" s="107">
        <v>7.1428571428571397</v>
      </c>
      <c r="BB752" s="107">
        <v>0</v>
      </c>
      <c r="BC752" s="107">
        <v>0</v>
      </c>
      <c r="BD752" s="107">
        <v>2.8517110266159702</v>
      </c>
      <c r="BE752" s="107">
        <v>0</v>
      </c>
    </row>
    <row r="753" spans="2:57" ht="15" customHeight="1" x14ac:dyDescent="0.25">
      <c r="B753" s="91">
        <v>743</v>
      </c>
      <c r="C753" s="92" t="s">
        <v>504</v>
      </c>
      <c r="D753" s="92" t="s">
        <v>57</v>
      </c>
      <c r="E753" s="92" t="s">
        <v>173</v>
      </c>
      <c r="F753" s="92" t="s">
        <v>0</v>
      </c>
      <c r="G753" s="101" t="s">
        <v>501</v>
      </c>
      <c r="H753" s="94">
        <v>0</v>
      </c>
      <c r="I753" s="94">
        <v>0</v>
      </c>
      <c r="J753" s="94">
        <v>0</v>
      </c>
      <c r="K753" s="94">
        <v>0</v>
      </c>
      <c r="L753" s="94">
        <v>0</v>
      </c>
      <c r="M753" s="94">
        <v>0</v>
      </c>
      <c r="N753" s="94">
        <v>0</v>
      </c>
      <c r="O753" s="94">
        <v>0</v>
      </c>
      <c r="P753" s="94">
        <v>0</v>
      </c>
      <c r="Q753" s="95">
        <v>0</v>
      </c>
      <c r="R753" s="95">
        <v>0</v>
      </c>
      <c r="S753" s="95">
        <v>0</v>
      </c>
      <c r="T753" s="95">
        <v>0</v>
      </c>
      <c r="U753" s="95">
        <v>0</v>
      </c>
      <c r="V753" s="95">
        <v>0</v>
      </c>
      <c r="W753" s="95">
        <v>0</v>
      </c>
      <c r="X753" s="95">
        <v>0</v>
      </c>
      <c r="Y753" s="95">
        <v>0</v>
      </c>
      <c r="Z753" s="94">
        <v>0</v>
      </c>
      <c r="AA753" s="94">
        <v>0</v>
      </c>
      <c r="AB753" s="94">
        <v>0</v>
      </c>
      <c r="AC753" s="94">
        <v>0</v>
      </c>
      <c r="AD753" s="94">
        <v>0</v>
      </c>
      <c r="AE753" s="94">
        <v>0</v>
      </c>
      <c r="AF753" s="94">
        <v>0</v>
      </c>
      <c r="AG753" s="94">
        <v>0</v>
      </c>
      <c r="AH753" s="94">
        <v>0</v>
      </c>
      <c r="AI753" s="94">
        <v>0</v>
      </c>
      <c r="AJ753" s="94">
        <v>0</v>
      </c>
      <c r="AK753" s="94">
        <v>0</v>
      </c>
      <c r="AL753" s="94">
        <v>0</v>
      </c>
      <c r="AM753" s="94">
        <v>0</v>
      </c>
      <c r="AN753" s="94">
        <v>0</v>
      </c>
      <c r="AO753" s="94">
        <v>0</v>
      </c>
      <c r="AP753" s="95">
        <v>0</v>
      </c>
      <c r="AQ753" s="95">
        <v>0</v>
      </c>
      <c r="AR753" s="95">
        <v>0</v>
      </c>
      <c r="AS753" s="95">
        <v>0</v>
      </c>
      <c r="AT753" s="95">
        <v>0</v>
      </c>
      <c r="AU753" s="95">
        <v>0</v>
      </c>
      <c r="AV753" s="95">
        <v>0</v>
      </c>
      <c r="AW753" s="95">
        <v>0</v>
      </c>
      <c r="AX753" s="95">
        <v>0</v>
      </c>
      <c r="AY753" s="95">
        <v>0</v>
      </c>
      <c r="AZ753" s="95">
        <v>0</v>
      </c>
      <c r="BA753" s="95">
        <v>0</v>
      </c>
      <c r="BB753" s="95">
        <v>0</v>
      </c>
      <c r="BC753" s="95">
        <v>0</v>
      </c>
      <c r="BD753" s="95">
        <v>0</v>
      </c>
      <c r="BE753" s="95">
        <v>0</v>
      </c>
    </row>
    <row r="754" spans="2:57" ht="15" customHeight="1" x14ac:dyDescent="0.25">
      <c r="B754" s="91">
        <v>744</v>
      </c>
      <c r="C754" s="92" t="s">
        <v>504</v>
      </c>
      <c r="D754" s="92" t="s">
        <v>57</v>
      </c>
      <c r="E754" s="92" t="s">
        <v>173</v>
      </c>
      <c r="F754" s="92" t="s">
        <v>0</v>
      </c>
      <c r="G754" s="101" t="s">
        <v>502</v>
      </c>
      <c r="H754" s="94">
        <v>385</v>
      </c>
      <c r="I754" s="94">
        <v>244</v>
      </c>
      <c r="J754" s="94">
        <v>141</v>
      </c>
      <c r="K754" s="94">
        <v>9</v>
      </c>
      <c r="L754" s="94">
        <v>131</v>
      </c>
      <c r="M754" s="94">
        <v>196</v>
      </c>
      <c r="N754" s="94">
        <v>49</v>
      </c>
      <c r="O754" s="94">
        <v>385</v>
      </c>
      <c r="P754" s="94">
        <v>0</v>
      </c>
      <c r="Q754" s="95">
        <v>0.26385224274406299</v>
      </c>
      <c r="R754" s="95">
        <v>0</v>
      </c>
      <c r="S754" s="95">
        <v>0.72992700729926996</v>
      </c>
      <c r="T754" s="95">
        <v>0</v>
      </c>
      <c r="U754" s="95">
        <v>0.79365079365079405</v>
      </c>
      <c r="V754" s="95">
        <v>0</v>
      </c>
      <c r="W754" s="95">
        <v>0</v>
      </c>
      <c r="X754" s="95">
        <v>0.26385224274406299</v>
      </c>
      <c r="Y754" s="95">
        <v>0</v>
      </c>
      <c r="Z754" s="94">
        <v>583</v>
      </c>
      <c r="AA754" s="94">
        <v>344</v>
      </c>
      <c r="AB754" s="94">
        <v>239</v>
      </c>
      <c r="AC754" s="94">
        <v>18</v>
      </c>
      <c r="AD754" s="94">
        <v>189</v>
      </c>
      <c r="AE754" s="94">
        <v>302</v>
      </c>
      <c r="AF754" s="94">
        <v>74</v>
      </c>
      <c r="AG754" s="94">
        <v>437</v>
      </c>
      <c r="AH754" s="94">
        <v>145</v>
      </c>
      <c r="AI754" s="94">
        <v>1</v>
      </c>
      <c r="AJ754" s="94">
        <v>565</v>
      </c>
      <c r="AK754" s="94">
        <v>17</v>
      </c>
      <c r="AL754" s="94">
        <v>1</v>
      </c>
      <c r="AM754" s="94">
        <v>30</v>
      </c>
      <c r="AN754" s="94">
        <v>550</v>
      </c>
      <c r="AO754" s="94">
        <v>3</v>
      </c>
      <c r="AP754" s="95">
        <v>2.69784172661871</v>
      </c>
      <c r="AQ754" s="95">
        <v>2.1406727828746202</v>
      </c>
      <c r="AR754" s="95">
        <v>3.4934497816593901</v>
      </c>
      <c r="AS754" s="95">
        <v>0</v>
      </c>
      <c r="AT754" s="95">
        <v>3.9325842696629199</v>
      </c>
      <c r="AU754" s="95">
        <v>2.0761245674740501</v>
      </c>
      <c r="AV754" s="95">
        <v>2.7777777777777799</v>
      </c>
      <c r="AW754" s="95">
        <v>2.3696682464454999</v>
      </c>
      <c r="AX754" s="95">
        <v>3.7593984962406002</v>
      </c>
      <c r="AY754" s="95">
        <v>0</v>
      </c>
      <c r="AZ754" s="95">
        <v>2.5878003696857701</v>
      </c>
      <c r="BA754" s="95">
        <v>7.1428571428571397</v>
      </c>
      <c r="BB754" s="95">
        <v>0</v>
      </c>
      <c r="BC754" s="95">
        <v>0</v>
      </c>
      <c r="BD754" s="95">
        <v>2.8517110266159702</v>
      </c>
      <c r="BE754" s="95">
        <v>0</v>
      </c>
    </row>
    <row r="755" spans="2:57" ht="15" customHeight="1" x14ac:dyDescent="0.25">
      <c r="B755" s="96">
        <v>745</v>
      </c>
      <c r="C755" s="97" t="s">
        <v>504</v>
      </c>
      <c r="D755" s="104" t="s">
        <v>57</v>
      </c>
      <c r="E755" s="104" t="s">
        <v>173</v>
      </c>
      <c r="F755" s="104" t="s">
        <v>472</v>
      </c>
      <c r="G755" s="105" t="s">
        <v>472</v>
      </c>
      <c r="H755" s="106">
        <v>746</v>
      </c>
      <c r="I755" s="106">
        <v>445</v>
      </c>
      <c r="J755" s="106">
        <v>301</v>
      </c>
      <c r="K755" s="106">
        <v>43</v>
      </c>
      <c r="L755" s="106">
        <v>243</v>
      </c>
      <c r="M755" s="106">
        <v>362</v>
      </c>
      <c r="N755" s="106">
        <v>98</v>
      </c>
      <c r="O755" s="106">
        <v>744</v>
      </c>
      <c r="P755" s="106">
        <v>2</v>
      </c>
      <c r="Q755" s="107">
        <v>0</v>
      </c>
      <c r="R755" s="107">
        <v>0</v>
      </c>
      <c r="S755" s="107">
        <v>0</v>
      </c>
      <c r="T755" s="107">
        <v>0</v>
      </c>
      <c r="U755" s="107">
        <v>0</v>
      </c>
      <c r="V755" s="107">
        <v>0</v>
      </c>
      <c r="W755" s="107">
        <v>0</v>
      </c>
      <c r="X755" s="107">
        <v>0</v>
      </c>
      <c r="Y755" s="107">
        <v>0</v>
      </c>
      <c r="Z755" s="106">
        <v>967</v>
      </c>
      <c r="AA755" s="106">
        <v>534</v>
      </c>
      <c r="AB755" s="106">
        <v>433</v>
      </c>
      <c r="AC755" s="106">
        <v>48</v>
      </c>
      <c r="AD755" s="106">
        <v>298</v>
      </c>
      <c r="AE755" s="106">
        <v>512</v>
      </c>
      <c r="AF755" s="106">
        <v>109</v>
      </c>
      <c r="AG755" s="106">
        <v>921</v>
      </c>
      <c r="AH755" s="106">
        <v>41</v>
      </c>
      <c r="AI755" s="106">
        <v>5</v>
      </c>
      <c r="AJ755" s="106">
        <v>952</v>
      </c>
      <c r="AK755" s="106">
        <v>10</v>
      </c>
      <c r="AL755" s="106">
        <v>5</v>
      </c>
      <c r="AM755" s="106">
        <v>32</v>
      </c>
      <c r="AN755" s="106">
        <v>921</v>
      </c>
      <c r="AO755" s="106">
        <v>14</v>
      </c>
      <c r="AP755" s="107">
        <v>0.75349838536060298</v>
      </c>
      <c r="AQ755" s="107">
        <v>0.19417475728155301</v>
      </c>
      <c r="AR755" s="107">
        <v>1.4492753623188399</v>
      </c>
      <c r="AS755" s="107">
        <v>0</v>
      </c>
      <c r="AT755" s="107">
        <v>1.77935943060498</v>
      </c>
      <c r="AU755" s="107">
        <v>0.40241448692152898</v>
      </c>
      <c r="AV755" s="107">
        <v>0</v>
      </c>
      <c r="AW755" s="107">
        <v>0.78475336322870004</v>
      </c>
      <c r="AX755" s="107">
        <v>0</v>
      </c>
      <c r="AY755" s="107">
        <v>0</v>
      </c>
      <c r="AZ755" s="107">
        <v>0.76419213973799105</v>
      </c>
      <c r="BA755" s="107">
        <v>0</v>
      </c>
      <c r="BB755" s="107">
        <v>0</v>
      </c>
      <c r="BC755" s="107">
        <v>0</v>
      </c>
      <c r="BD755" s="107">
        <v>0.565610859728507</v>
      </c>
      <c r="BE755" s="107">
        <v>14.285714285714301</v>
      </c>
    </row>
    <row r="756" spans="2:57" ht="15" customHeight="1" x14ac:dyDescent="0.25">
      <c r="B756" s="91">
        <v>746</v>
      </c>
      <c r="C756" s="92" t="s">
        <v>504</v>
      </c>
      <c r="D756" s="92" t="s">
        <v>57</v>
      </c>
      <c r="E756" s="92" t="s">
        <v>173</v>
      </c>
      <c r="F756" s="92" t="s">
        <v>472</v>
      </c>
      <c r="G756" s="101" t="s">
        <v>501</v>
      </c>
      <c r="H756" s="94">
        <v>0</v>
      </c>
      <c r="I756" s="94">
        <v>0</v>
      </c>
      <c r="J756" s="94">
        <v>0</v>
      </c>
      <c r="K756" s="94">
        <v>0</v>
      </c>
      <c r="L756" s="94">
        <v>0</v>
      </c>
      <c r="M756" s="94">
        <v>0</v>
      </c>
      <c r="N756" s="94">
        <v>0</v>
      </c>
      <c r="O756" s="94">
        <v>0</v>
      </c>
      <c r="P756" s="94">
        <v>0</v>
      </c>
      <c r="Q756" s="95">
        <v>0</v>
      </c>
      <c r="R756" s="95">
        <v>0</v>
      </c>
      <c r="S756" s="95">
        <v>0</v>
      </c>
      <c r="T756" s="95">
        <v>0</v>
      </c>
      <c r="U756" s="95">
        <v>0</v>
      </c>
      <c r="V756" s="95">
        <v>0</v>
      </c>
      <c r="W756" s="95">
        <v>0</v>
      </c>
      <c r="X756" s="95">
        <v>0</v>
      </c>
      <c r="Y756" s="95">
        <v>0</v>
      </c>
      <c r="Z756" s="94">
        <v>0</v>
      </c>
      <c r="AA756" s="94">
        <v>0</v>
      </c>
      <c r="AB756" s="94">
        <v>0</v>
      </c>
      <c r="AC756" s="94">
        <v>0</v>
      </c>
      <c r="AD756" s="94">
        <v>0</v>
      </c>
      <c r="AE756" s="94">
        <v>0</v>
      </c>
      <c r="AF756" s="94">
        <v>0</v>
      </c>
      <c r="AG756" s="94">
        <v>0</v>
      </c>
      <c r="AH756" s="94">
        <v>0</v>
      </c>
      <c r="AI756" s="94">
        <v>0</v>
      </c>
      <c r="AJ756" s="94">
        <v>0</v>
      </c>
      <c r="AK756" s="94">
        <v>0</v>
      </c>
      <c r="AL756" s="94">
        <v>0</v>
      </c>
      <c r="AM756" s="94">
        <v>0</v>
      </c>
      <c r="AN756" s="94">
        <v>0</v>
      </c>
      <c r="AO756" s="94">
        <v>0</v>
      </c>
      <c r="AP756" s="95">
        <v>0</v>
      </c>
      <c r="AQ756" s="95">
        <v>0</v>
      </c>
      <c r="AR756" s="95">
        <v>0</v>
      </c>
      <c r="AS756" s="95">
        <v>0</v>
      </c>
      <c r="AT756" s="95">
        <v>0</v>
      </c>
      <c r="AU756" s="95">
        <v>0</v>
      </c>
      <c r="AV756" s="95">
        <v>0</v>
      </c>
      <c r="AW756" s="95">
        <v>0</v>
      </c>
      <c r="AX756" s="95">
        <v>0</v>
      </c>
      <c r="AY756" s="95">
        <v>0</v>
      </c>
      <c r="AZ756" s="95">
        <v>0</v>
      </c>
      <c r="BA756" s="95">
        <v>0</v>
      </c>
      <c r="BB756" s="95">
        <v>0</v>
      </c>
      <c r="BC756" s="95">
        <v>0</v>
      </c>
      <c r="BD756" s="95">
        <v>0</v>
      </c>
      <c r="BE756" s="95">
        <v>0</v>
      </c>
    </row>
    <row r="757" spans="2:57" ht="15" customHeight="1" x14ac:dyDescent="0.25">
      <c r="B757" s="91">
        <v>747</v>
      </c>
      <c r="C757" s="92" t="s">
        <v>504</v>
      </c>
      <c r="D757" s="92" t="s">
        <v>57</v>
      </c>
      <c r="E757" s="92" t="s">
        <v>173</v>
      </c>
      <c r="F757" s="92" t="s">
        <v>472</v>
      </c>
      <c r="G757" s="101" t="s">
        <v>502</v>
      </c>
      <c r="H757" s="94">
        <v>746</v>
      </c>
      <c r="I757" s="94">
        <v>445</v>
      </c>
      <c r="J757" s="94">
        <v>301</v>
      </c>
      <c r="K757" s="94">
        <v>43</v>
      </c>
      <c r="L757" s="94">
        <v>243</v>
      </c>
      <c r="M757" s="94">
        <v>362</v>
      </c>
      <c r="N757" s="94">
        <v>98</v>
      </c>
      <c r="O757" s="94">
        <v>744</v>
      </c>
      <c r="P757" s="94">
        <v>2</v>
      </c>
      <c r="Q757" s="95">
        <v>0</v>
      </c>
      <c r="R757" s="95">
        <v>0</v>
      </c>
      <c r="S757" s="95">
        <v>0</v>
      </c>
      <c r="T757" s="95">
        <v>0</v>
      </c>
      <c r="U757" s="95">
        <v>0</v>
      </c>
      <c r="V757" s="95">
        <v>0</v>
      </c>
      <c r="W757" s="95">
        <v>0</v>
      </c>
      <c r="X757" s="95">
        <v>0</v>
      </c>
      <c r="Y757" s="95">
        <v>0</v>
      </c>
      <c r="Z757" s="94">
        <v>967</v>
      </c>
      <c r="AA757" s="94">
        <v>534</v>
      </c>
      <c r="AB757" s="94">
        <v>433</v>
      </c>
      <c r="AC757" s="94">
        <v>48</v>
      </c>
      <c r="AD757" s="94">
        <v>298</v>
      </c>
      <c r="AE757" s="94">
        <v>512</v>
      </c>
      <c r="AF757" s="94">
        <v>109</v>
      </c>
      <c r="AG757" s="94">
        <v>921</v>
      </c>
      <c r="AH757" s="94">
        <v>41</v>
      </c>
      <c r="AI757" s="94">
        <v>5</v>
      </c>
      <c r="AJ757" s="94">
        <v>952</v>
      </c>
      <c r="AK757" s="94">
        <v>10</v>
      </c>
      <c r="AL757" s="94">
        <v>5</v>
      </c>
      <c r="AM757" s="94">
        <v>32</v>
      </c>
      <c r="AN757" s="94">
        <v>921</v>
      </c>
      <c r="AO757" s="94">
        <v>14</v>
      </c>
      <c r="AP757" s="95">
        <v>0.75349838536060298</v>
      </c>
      <c r="AQ757" s="95">
        <v>0.19417475728155301</v>
      </c>
      <c r="AR757" s="95">
        <v>1.4492753623188399</v>
      </c>
      <c r="AS757" s="95">
        <v>0</v>
      </c>
      <c r="AT757" s="95">
        <v>1.77935943060498</v>
      </c>
      <c r="AU757" s="95">
        <v>0.40241448692152898</v>
      </c>
      <c r="AV757" s="95">
        <v>0</v>
      </c>
      <c r="AW757" s="95">
        <v>0.78475336322870004</v>
      </c>
      <c r="AX757" s="95">
        <v>0</v>
      </c>
      <c r="AY757" s="95">
        <v>0</v>
      </c>
      <c r="AZ757" s="95">
        <v>0.76419213973799105</v>
      </c>
      <c r="BA757" s="95">
        <v>0</v>
      </c>
      <c r="BB757" s="95">
        <v>0</v>
      </c>
      <c r="BC757" s="95">
        <v>0</v>
      </c>
      <c r="BD757" s="95">
        <v>0.565610859728507</v>
      </c>
      <c r="BE757" s="95">
        <v>14.285714285714301</v>
      </c>
    </row>
    <row r="758" spans="2:57" ht="15" customHeight="1" x14ac:dyDescent="0.25">
      <c r="B758" s="86">
        <v>748</v>
      </c>
      <c r="C758" s="87" t="s">
        <v>503</v>
      </c>
      <c r="D758" s="103" t="s">
        <v>57</v>
      </c>
      <c r="E758" s="103" t="s">
        <v>379</v>
      </c>
      <c r="F758" s="103"/>
      <c r="G758" s="88" t="s">
        <v>379</v>
      </c>
      <c r="H758" s="89">
        <v>5663</v>
      </c>
      <c r="I758" s="89">
        <v>3093</v>
      </c>
      <c r="J758" s="89">
        <v>2570</v>
      </c>
      <c r="K758" s="89">
        <v>167</v>
      </c>
      <c r="L758" s="89">
        <v>1216</v>
      </c>
      <c r="M758" s="89">
        <v>3125</v>
      </c>
      <c r="N758" s="89">
        <v>1155</v>
      </c>
      <c r="O758" s="89">
        <v>5658</v>
      </c>
      <c r="P758" s="89">
        <v>5</v>
      </c>
      <c r="Q758" s="90">
        <v>0.12822861329913901</v>
      </c>
      <c r="R758" s="90">
        <v>6.7544748395812204E-2</v>
      </c>
      <c r="S758" s="90">
        <v>0.20016012810248199</v>
      </c>
      <c r="T758" s="90">
        <v>0</v>
      </c>
      <c r="U758" s="90">
        <v>0.17035775127768299</v>
      </c>
      <c r="V758" s="90">
        <v>9.9337748344370896E-2</v>
      </c>
      <c r="W758" s="90">
        <v>0.17953321364452399</v>
      </c>
      <c r="X758" s="90">
        <v>0.12832263978001801</v>
      </c>
      <c r="Y758" s="90">
        <v>0</v>
      </c>
      <c r="Z758" s="89">
        <v>7417</v>
      </c>
      <c r="AA758" s="89">
        <v>3967</v>
      </c>
      <c r="AB758" s="89">
        <v>3450</v>
      </c>
      <c r="AC758" s="89">
        <v>236</v>
      </c>
      <c r="AD758" s="89">
        <v>1397</v>
      </c>
      <c r="AE758" s="89">
        <v>4254</v>
      </c>
      <c r="AF758" s="89">
        <v>1530</v>
      </c>
      <c r="AG758" s="89">
        <v>5999</v>
      </c>
      <c r="AH758" s="89">
        <v>1335</v>
      </c>
      <c r="AI758" s="89">
        <v>83</v>
      </c>
      <c r="AJ758" s="89">
        <v>7380</v>
      </c>
      <c r="AK758" s="89">
        <v>13</v>
      </c>
      <c r="AL758" s="89">
        <v>24</v>
      </c>
      <c r="AM758" s="89">
        <v>414</v>
      </c>
      <c r="AN758" s="89">
        <v>6897</v>
      </c>
      <c r="AO758" s="89">
        <v>106</v>
      </c>
      <c r="AP758" s="90">
        <v>1.19411274645932</v>
      </c>
      <c r="AQ758" s="90">
        <v>0.43927648578811401</v>
      </c>
      <c r="AR758" s="90">
        <v>2.07082833133253</v>
      </c>
      <c r="AS758" s="90">
        <v>1.73160173160173</v>
      </c>
      <c r="AT758" s="90">
        <v>2.0392749244713002</v>
      </c>
      <c r="AU758" s="90">
        <v>1.15606936416185</v>
      </c>
      <c r="AV758" s="90">
        <v>0.46822742474916401</v>
      </c>
      <c r="AW758" s="90">
        <v>1.1287839917906599</v>
      </c>
      <c r="AX758" s="90">
        <v>1.5673981191222599</v>
      </c>
      <c r="AY758" s="90">
        <v>0</v>
      </c>
      <c r="AZ758" s="90">
        <v>1.2002791346824799</v>
      </c>
      <c r="BA758" s="90">
        <v>0</v>
      </c>
      <c r="BB758" s="90">
        <v>0</v>
      </c>
      <c r="BC758" s="90">
        <v>0.24937655860349101</v>
      </c>
      <c r="BD758" s="90">
        <v>1.2690355329949199</v>
      </c>
      <c r="BE758" s="90">
        <v>0</v>
      </c>
    </row>
    <row r="759" spans="2:57" ht="15" customHeight="1" x14ac:dyDescent="0.25">
      <c r="B759" s="91">
        <v>749</v>
      </c>
      <c r="C759" s="92" t="s">
        <v>503</v>
      </c>
      <c r="D759" s="92" t="s">
        <v>57</v>
      </c>
      <c r="E759" s="92" t="s">
        <v>379</v>
      </c>
      <c r="F759" s="92"/>
      <c r="G759" s="93" t="s">
        <v>501</v>
      </c>
      <c r="H759" s="94">
        <v>0</v>
      </c>
      <c r="I759" s="94">
        <v>0</v>
      </c>
      <c r="J759" s="94">
        <v>0</v>
      </c>
      <c r="K759" s="94">
        <v>0</v>
      </c>
      <c r="L759" s="94">
        <v>0</v>
      </c>
      <c r="M759" s="94">
        <v>0</v>
      </c>
      <c r="N759" s="94">
        <v>0</v>
      </c>
      <c r="O759" s="94">
        <v>0</v>
      </c>
      <c r="P759" s="94">
        <v>0</v>
      </c>
      <c r="Q759" s="95">
        <v>0</v>
      </c>
      <c r="R759" s="95">
        <v>0</v>
      </c>
      <c r="S759" s="95">
        <v>0</v>
      </c>
      <c r="T759" s="95">
        <v>0</v>
      </c>
      <c r="U759" s="95">
        <v>0</v>
      </c>
      <c r="V759" s="95">
        <v>0</v>
      </c>
      <c r="W759" s="95">
        <v>0</v>
      </c>
      <c r="X759" s="95">
        <v>0</v>
      </c>
      <c r="Y759" s="95">
        <v>0</v>
      </c>
      <c r="Z759" s="94">
        <v>0</v>
      </c>
      <c r="AA759" s="94">
        <v>0</v>
      </c>
      <c r="AB759" s="94">
        <v>0</v>
      </c>
      <c r="AC759" s="94">
        <v>0</v>
      </c>
      <c r="AD759" s="94">
        <v>0</v>
      </c>
      <c r="AE759" s="94">
        <v>0</v>
      </c>
      <c r="AF759" s="94">
        <v>0</v>
      </c>
      <c r="AG759" s="94">
        <v>0</v>
      </c>
      <c r="AH759" s="94">
        <v>0</v>
      </c>
      <c r="AI759" s="94">
        <v>0</v>
      </c>
      <c r="AJ759" s="94">
        <v>0</v>
      </c>
      <c r="AK759" s="94">
        <v>0</v>
      </c>
      <c r="AL759" s="94">
        <v>0</v>
      </c>
      <c r="AM759" s="94">
        <v>0</v>
      </c>
      <c r="AN759" s="94">
        <v>0</v>
      </c>
      <c r="AO759" s="94">
        <v>0</v>
      </c>
      <c r="AP759" s="95">
        <v>0</v>
      </c>
      <c r="AQ759" s="95">
        <v>0</v>
      </c>
      <c r="AR759" s="95">
        <v>0</v>
      </c>
      <c r="AS759" s="95">
        <v>0</v>
      </c>
      <c r="AT759" s="95">
        <v>0</v>
      </c>
      <c r="AU759" s="95">
        <v>0</v>
      </c>
      <c r="AV759" s="95">
        <v>0</v>
      </c>
      <c r="AW759" s="95">
        <v>0</v>
      </c>
      <c r="AX759" s="95">
        <v>0</v>
      </c>
      <c r="AY759" s="95">
        <v>0</v>
      </c>
      <c r="AZ759" s="95">
        <v>0</v>
      </c>
      <c r="BA759" s="95">
        <v>0</v>
      </c>
      <c r="BB759" s="95">
        <v>0</v>
      </c>
      <c r="BC759" s="95">
        <v>0</v>
      </c>
      <c r="BD759" s="95">
        <v>0</v>
      </c>
      <c r="BE759" s="95">
        <v>0</v>
      </c>
    </row>
    <row r="760" spans="2:57" ht="15" customHeight="1" x14ac:dyDescent="0.25">
      <c r="B760" s="91">
        <v>750</v>
      </c>
      <c r="C760" s="92" t="s">
        <v>503</v>
      </c>
      <c r="D760" s="92" t="s">
        <v>57</v>
      </c>
      <c r="E760" s="92" t="s">
        <v>379</v>
      </c>
      <c r="F760" s="92"/>
      <c r="G760" s="93" t="s">
        <v>502</v>
      </c>
      <c r="H760" s="94">
        <v>5663</v>
      </c>
      <c r="I760" s="94">
        <v>3093</v>
      </c>
      <c r="J760" s="94">
        <v>2570</v>
      </c>
      <c r="K760" s="94">
        <v>167</v>
      </c>
      <c r="L760" s="94">
        <v>1216</v>
      </c>
      <c r="M760" s="94">
        <v>3125</v>
      </c>
      <c r="N760" s="94">
        <v>1155</v>
      </c>
      <c r="O760" s="94">
        <v>5658</v>
      </c>
      <c r="P760" s="94">
        <v>5</v>
      </c>
      <c r="Q760" s="95">
        <v>0.12822861329913901</v>
      </c>
      <c r="R760" s="95">
        <v>6.7544748395812204E-2</v>
      </c>
      <c r="S760" s="95">
        <v>0.20016012810248199</v>
      </c>
      <c r="T760" s="95">
        <v>0</v>
      </c>
      <c r="U760" s="95">
        <v>0.17035775127768299</v>
      </c>
      <c r="V760" s="95">
        <v>9.9337748344370896E-2</v>
      </c>
      <c r="W760" s="95">
        <v>0.17953321364452399</v>
      </c>
      <c r="X760" s="95">
        <v>0.12832263978001801</v>
      </c>
      <c r="Y760" s="95">
        <v>0</v>
      </c>
      <c r="Z760" s="94">
        <v>7417</v>
      </c>
      <c r="AA760" s="94">
        <v>3967</v>
      </c>
      <c r="AB760" s="94">
        <v>3450</v>
      </c>
      <c r="AC760" s="94">
        <v>236</v>
      </c>
      <c r="AD760" s="94">
        <v>1397</v>
      </c>
      <c r="AE760" s="94">
        <v>4254</v>
      </c>
      <c r="AF760" s="94">
        <v>1530</v>
      </c>
      <c r="AG760" s="94">
        <v>5999</v>
      </c>
      <c r="AH760" s="94">
        <v>1335</v>
      </c>
      <c r="AI760" s="94">
        <v>83</v>
      </c>
      <c r="AJ760" s="94">
        <v>7380</v>
      </c>
      <c r="AK760" s="94">
        <v>13</v>
      </c>
      <c r="AL760" s="94">
        <v>24</v>
      </c>
      <c r="AM760" s="94">
        <v>414</v>
      </c>
      <c r="AN760" s="94">
        <v>6897</v>
      </c>
      <c r="AO760" s="94">
        <v>106</v>
      </c>
      <c r="AP760" s="95">
        <v>1.19411274645932</v>
      </c>
      <c r="AQ760" s="95">
        <v>0.43927648578811401</v>
      </c>
      <c r="AR760" s="95">
        <v>2.07082833133253</v>
      </c>
      <c r="AS760" s="95">
        <v>1.73160173160173</v>
      </c>
      <c r="AT760" s="95">
        <v>2.0392749244713002</v>
      </c>
      <c r="AU760" s="95">
        <v>1.15606936416185</v>
      </c>
      <c r="AV760" s="95">
        <v>0.46822742474916401</v>
      </c>
      <c r="AW760" s="95">
        <v>1.1287839917906599</v>
      </c>
      <c r="AX760" s="95">
        <v>1.5673981191222599</v>
      </c>
      <c r="AY760" s="95">
        <v>0</v>
      </c>
      <c r="AZ760" s="95">
        <v>1.2002791346824799</v>
      </c>
      <c r="BA760" s="95">
        <v>0</v>
      </c>
      <c r="BB760" s="95">
        <v>0</v>
      </c>
      <c r="BC760" s="95">
        <v>0.24937655860349101</v>
      </c>
      <c r="BD760" s="95">
        <v>1.2690355329949199</v>
      </c>
      <c r="BE760" s="95">
        <v>0</v>
      </c>
    </row>
    <row r="761" spans="2:57" ht="15" customHeight="1" x14ac:dyDescent="0.25">
      <c r="B761" s="96">
        <v>751</v>
      </c>
      <c r="C761" s="97" t="s">
        <v>504</v>
      </c>
      <c r="D761" s="104" t="s">
        <v>57</v>
      </c>
      <c r="E761" s="104" t="s">
        <v>379</v>
      </c>
      <c r="F761" s="104" t="s">
        <v>125</v>
      </c>
      <c r="G761" s="105" t="s">
        <v>125</v>
      </c>
      <c r="H761" s="106">
        <v>5663</v>
      </c>
      <c r="I761" s="106">
        <v>3093</v>
      </c>
      <c r="J761" s="106">
        <v>2570</v>
      </c>
      <c r="K761" s="106">
        <v>167</v>
      </c>
      <c r="L761" s="106">
        <v>1216</v>
      </c>
      <c r="M761" s="106">
        <v>3125</v>
      </c>
      <c r="N761" s="106">
        <v>1155</v>
      </c>
      <c r="O761" s="106">
        <v>5658</v>
      </c>
      <c r="P761" s="106">
        <v>5</v>
      </c>
      <c r="Q761" s="107">
        <v>0.12822861329913901</v>
      </c>
      <c r="R761" s="107">
        <v>6.7544748395812204E-2</v>
      </c>
      <c r="S761" s="107">
        <v>0.20016012810248199</v>
      </c>
      <c r="T761" s="107">
        <v>0</v>
      </c>
      <c r="U761" s="107">
        <v>0.17035775127768299</v>
      </c>
      <c r="V761" s="107">
        <v>9.9337748344370896E-2</v>
      </c>
      <c r="W761" s="107">
        <v>0.17953321364452399</v>
      </c>
      <c r="X761" s="107">
        <v>0.12832263978001801</v>
      </c>
      <c r="Y761" s="107">
        <v>0</v>
      </c>
      <c r="Z761" s="106">
        <v>7417</v>
      </c>
      <c r="AA761" s="106">
        <v>3967</v>
      </c>
      <c r="AB761" s="106">
        <v>3450</v>
      </c>
      <c r="AC761" s="106">
        <v>236</v>
      </c>
      <c r="AD761" s="106">
        <v>1397</v>
      </c>
      <c r="AE761" s="106">
        <v>4254</v>
      </c>
      <c r="AF761" s="106">
        <v>1530</v>
      </c>
      <c r="AG761" s="106">
        <v>5999</v>
      </c>
      <c r="AH761" s="106">
        <v>1335</v>
      </c>
      <c r="AI761" s="106">
        <v>83</v>
      </c>
      <c r="AJ761" s="106">
        <v>7380</v>
      </c>
      <c r="AK761" s="106">
        <v>13</v>
      </c>
      <c r="AL761" s="106">
        <v>24</v>
      </c>
      <c r="AM761" s="106">
        <v>414</v>
      </c>
      <c r="AN761" s="106">
        <v>6897</v>
      </c>
      <c r="AO761" s="106">
        <v>106</v>
      </c>
      <c r="AP761" s="107">
        <v>1.19411274645932</v>
      </c>
      <c r="AQ761" s="107">
        <v>0.43927648578811401</v>
      </c>
      <c r="AR761" s="107">
        <v>2.07082833133253</v>
      </c>
      <c r="AS761" s="107">
        <v>1.73160173160173</v>
      </c>
      <c r="AT761" s="107">
        <v>2.0392749244713002</v>
      </c>
      <c r="AU761" s="107">
        <v>1.15606936416185</v>
      </c>
      <c r="AV761" s="107">
        <v>0.46822742474916401</v>
      </c>
      <c r="AW761" s="107">
        <v>1.1287839917906599</v>
      </c>
      <c r="AX761" s="107">
        <v>1.5673981191222599</v>
      </c>
      <c r="AY761" s="107">
        <v>0</v>
      </c>
      <c r="AZ761" s="107">
        <v>1.2002791346824799</v>
      </c>
      <c r="BA761" s="107">
        <v>0</v>
      </c>
      <c r="BB761" s="107">
        <v>0</v>
      </c>
      <c r="BC761" s="107">
        <v>0.24937655860349101</v>
      </c>
      <c r="BD761" s="107">
        <v>1.2690355329949199</v>
      </c>
      <c r="BE761" s="107">
        <v>0</v>
      </c>
    </row>
    <row r="762" spans="2:57" ht="15" customHeight="1" x14ac:dyDescent="0.25">
      <c r="B762" s="91">
        <v>752</v>
      </c>
      <c r="C762" s="92" t="s">
        <v>504</v>
      </c>
      <c r="D762" s="92" t="s">
        <v>57</v>
      </c>
      <c r="E762" s="92" t="s">
        <v>379</v>
      </c>
      <c r="F762" s="92" t="s">
        <v>125</v>
      </c>
      <c r="G762" s="101" t="s">
        <v>501</v>
      </c>
      <c r="H762" s="94">
        <v>0</v>
      </c>
      <c r="I762" s="94">
        <v>0</v>
      </c>
      <c r="J762" s="94">
        <v>0</v>
      </c>
      <c r="K762" s="94">
        <v>0</v>
      </c>
      <c r="L762" s="94">
        <v>0</v>
      </c>
      <c r="M762" s="94">
        <v>0</v>
      </c>
      <c r="N762" s="94">
        <v>0</v>
      </c>
      <c r="O762" s="94">
        <v>0</v>
      </c>
      <c r="P762" s="94">
        <v>0</v>
      </c>
      <c r="Q762" s="95">
        <v>0</v>
      </c>
      <c r="R762" s="95">
        <v>0</v>
      </c>
      <c r="S762" s="95">
        <v>0</v>
      </c>
      <c r="T762" s="95">
        <v>0</v>
      </c>
      <c r="U762" s="95">
        <v>0</v>
      </c>
      <c r="V762" s="95">
        <v>0</v>
      </c>
      <c r="W762" s="95">
        <v>0</v>
      </c>
      <c r="X762" s="95">
        <v>0</v>
      </c>
      <c r="Y762" s="95">
        <v>0</v>
      </c>
      <c r="Z762" s="94">
        <v>0</v>
      </c>
      <c r="AA762" s="94">
        <v>0</v>
      </c>
      <c r="AB762" s="94">
        <v>0</v>
      </c>
      <c r="AC762" s="94">
        <v>0</v>
      </c>
      <c r="AD762" s="94">
        <v>0</v>
      </c>
      <c r="AE762" s="94">
        <v>0</v>
      </c>
      <c r="AF762" s="94">
        <v>0</v>
      </c>
      <c r="AG762" s="94">
        <v>0</v>
      </c>
      <c r="AH762" s="94">
        <v>0</v>
      </c>
      <c r="AI762" s="94">
        <v>0</v>
      </c>
      <c r="AJ762" s="94">
        <v>0</v>
      </c>
      <c r="AK762" s="94">
        <v>0</v>
      </c>
      <c r="AL762" s="94">
        <v>0</v>
      </c>
      <c r="AM762" s="94">
        <v>0</v>
      </c>
      <c r="AN762" s="94">
        <v>0</v>
      </c>
      <c r="AO762" s="94">
        <v>0</v>
      </c>
      <c r="AP762" s="95">
        <v>0</v>
      </c>
      <c r="AQ762" s="95">
        <v>0</v>
      </c>
      <c r="AR762" s="95">
        <v>0</v>
      </c>
      <c r="AS762" s="95">
        <v>0</v>
      </c>
      <c r="AT762" s="95">
        <v>0</v>
      </c>
      <c r="AU762" s="95">
        <v>0</v>
      </c>
      <c r="AV762" s="95">
        <v>0</v>
      </c>
      <c r="AW762" s="95">
        <v>0</v>
      </c>
      <c r="AX762" s="95">
        <v>0</v>
      </c>
      <c r="AY762" s="95">
        <v>0</v>
      </c>
      <c r="AZ762" s="95">
        <v>0</v>
      </c>
      <c r="BA762" s="95">
        <v>0</v>
      </c>
      <c r="BB762" s="95">
        <v>0</v>
      </c>
      <c r="BC762" s="95">
        <v>0</v>
      </c>
      <c r="BD762" s="95">
        <v>0</v>
      </c>
      <c r="BE762" s="95">
        <v>0</v>
      </c>
    </row>
    <row r="763" spans="2:57" ht="15" customHeight="1" x14ac:dyDescent="0.25">
      <c r="B763" s="91">
        <v>753</v>
      </c>
      <c r="C763" s="92" t="s">
        <v>504</v>
      </c>
      <c r="D763" s="92" t="s">
        <v>57</v>
      </c>
      <c r="E763" s="92" t="s">
        <v>379</v>
      </c>
      <c r="F763" s="92" t="s">
        <v>125</v>
      </c>
      <c r="G763" s="101" t="s">
        <v>502</v>
      </c>
      <c r="H763" s="94">
        <v>5663</v>
      </c>
      <c r="I763" s="94">
        <v>3093</v>
      </c>
      <c r="J763" s="94">
        <v>2570</v>
      </c>
      <c r="K763" s="94">
        <v>167</v>
      </c>
      <c r="L763" s="94">
        <v>1216</v>
      </c>
      <c r="M763" s="94">
        <v>3125</v>
      </c>
      <c r="N763" s="94">
        <v>1155</v>
      </c>
      <c r="O763" s="94">
        <v>5658</v>
      </c>
      <c r="P763" s="94">
        <v>5</v>
      </c>
      <c r="Q763" s="95">
        <v>0.12822861329913901</v>
      </c>
      <c r="R763" s="95">
        <v>6.7544748395812204E-2</v>
      </c>
      <c r="S763" s="95">
        <v>0.20016012810248199</v>
      </c>
      <c r="T763" s="95">
        <v>0</v>
      </c>
      <c r="U763" s="95">
        <v>0.17035775127768299</v>
      </c>
      <c r="V763" s="95">
        <v>9.9337748344370896E-2</v>
      </c>
      <c r="W763" s="95">
        <v>0.17953321364452399</v>
      </c>
      <c r="X763" s="95">
        <v>0.12832263978001801</v>
      </c>
      <c r="Y763" s="95">
        <v>0</v>
      </c>
      <c r="Z763" s="94">
        <v>7417</v>
      </c>
      <c r="AA763" s="94">
        <v>3967</v>
      </c>
      <c r="AB763" s="94">
        <v>3450</v>
      </c>
      <c r="AC763" s="94">
        <v>236</v>
      </c>
      <c r="AD763" s="94">
        <v>1397</v>
      </c>
      <c r="AE763" s="94">
        <v>4254</v>
      </c>
      <c r="AF763" s="94">
        <v>1530</v>
      </c>
      <c r="AG763" s="94">
        <v>5999</v>
      </c>
      <c r="AH763" s="94">
        <v>1335</v>
      </c>
      <c r="AI763" s="94">
        <v>83</v>
      </c>
      <c r="AJ763" s="94">
        <v>7380</v>
      </c>
      <c r="AK763" s="94">
        <v>13</v>
      </c>
      <c r="AL763" s="94">
        <v>24</v>
      </c>
      <c r="AM763" s="94">
        <v>414</v>
      </c>
      <c r="AN763" s="94">
        <v>6897</v>
      </c>
      <c r="AO763" s="94">
        <v>106</v>
      </c>
      <c r="AP763" s="95">
        <v>1.19411274645932</v>
      </c>
      <c r="AQ763" s="95">
        <v>0.43927648578811401</v>
      </c>
      <c r="AR763" s="95">
        <v>2.07082833133253</v>
      </c>
      <c r="AS763" s="95">
        <v>1.73160173160173</v>
      </c>
      <c r="AT763" s="95">
        <v>2.0392749244713002</v>
      </c>
      <c r="AU763" s="95">
        <v>1.15606936416185</v>
      </c>
      <c r="AV763" s="95">
        <v>0.46822742474916401</v>
      </c>
      <c r="AW763" s="95">
        <v>1.1287839917906599</v>
      </c>
      <c r="AX763" s="95">
        <v>1.5673981191222599</v>
      </c>
      <c r="AY763" s="95">
        <v>0</v>
      </c>
      <c r="AZ763" s="95">
        <v>1.2002791346824799</v>
      </c>
      <c r="BA763" s="95">
        <v>0</v>
      </c>
      <c r="BB763" s="95">
        <v>0</v>
      </c>
      <c r="BC763" s="95">
        <v>0.24937655860349101</v>
      </c>
      <c r="BD763" s="95">
        <v>1.2690355329949199</v>
      </c>
      <c r="BE763" s="95">
        <v>0</v>
      </c>
    </row>
    <row r="764" spans="2:57" ht="15" customHeight="1" x14ac:dyDescent="0.25">
      <c r="B764" s="86">
        <v>754</v>
      </c>
      <c r="C764" s="87" t="s">
        <v>503</v>
      </c>
      <c r="D764" s="103" t="s">
        <v>57</v>
      </c>
      <c r="E764" s="103" t="s">
        <v>380</v>
      </c>
      <c r="F764" s="103"/>
      <c r="G764" s="88" t="s">
        <v>380</v>
      </c>
      <c r="H764" s="89">
        <v>2596</v>
      </c>
      <c r="I764" s="89">
        <v>1453</v>
      </c>
      <c r="J764" s="89">
        <v>1143</v>
      </c>
      <c r="K764" s="89">
        <v>127</v>
      </c>
      <c r="L764" s="89">
        <v>649</v>
      </c>
      <c r="M764" s="89">
        <v>1368</v>
      </c>
      <c r="N764" s="89">
        <v>452</v>
      </c>
      <c r="O764" s="89">
        <v>2596</v>
      </c>
      <c r="P764" s="89">
        <v>0</v>
      </c>
      <c r="Q764" s="90">
        <v>0.56887444128403097</v>
      </c>
      <c r="R764" s="90">
        <v>0.44247787610619499</v>
      </c>
      <c r="S764" s="90">
        <v>0.723981900452489</v>
      </c>
      <c r="T764" s="90">
        <v>0.92592592592592604</v>
      </c>
      <c r="U764" s="90">
        <v>0.99337748344370902</v>
      </c>
      <c r="V764" s="90">
        <v>0.45627376425855498</v>
      </c>
      <c r="W764" s="90">
        <v>0.230414746543779</v>
      </c>
      <c r="X764" s="90">
        <v>0.56887444128403097</v>
      </c>
      <c r="Y764" s="90">
        <v>0</v>
      </c>
      <c r="Z764" s="89">
        <v>3019</v>
      </c>
      <c r="AA764" s="89">
        <v>1654</v>
      </c>
      <c r="AB764" s="89">
        <v>1365</v>
      </c>
      <c r="AC764" s="89">
        <v>139</v>
      </c>
      <c r="AD764" s="89">
        <v>719</v>
      </c>
      <c r="AE764" s="89">
        <v>1572</v>
      </c>
      <c r="AF764" s="89">
        <v>589</v>
      </c>
      <c r="AG764" s="89">
        <v>2587</v>
      </c>
      <c r="AH764" s="89">
        <v>418</v>
      </c>
      <c r="AI764" s="89">
        <v>14</v>
      </c>
      <c r="AJ764" s="89">
        <v>3010</v>
      </c>
      <c r="AK764" s="89">
        <v>5</v>
      </c>
      <c r="AL764" s="89">
        <v>4</v>
      </c>
      <c r="AM764" s="89">
        <v>206</v>
      </c>
      <c r="AN764" s="89">
        <v>2778</v>
      </c>
      <c r="AO764" s="89">
        <v>35</v>
      </c>
      <c r="AP764" s="90">
        <v>2.4440619621342501</v>
      </c>
      <c r="AQ764" s="90">
        <v>1.1808576755748901</v>
      </c>
      <c r="AR764" s="90">
        <v>4.0123456790123502</v>
      </c>
      <c r="AS764" s="90">
        <v>2.2556390977443601</v>
      </c>
      <c r="AT764" s="90">
        <v>3.0701754385964901</v>
      </c>
      <c r="AU764" s="90">
        <v>2.45358090185676</v>
      </c>
      <c r="AV764" s="90">
        <v>1.72413793103448</v>
      </c>
      <c r="AW764" s="90">
        <v>2.3675762439807402</v>
      </c>
      <c r="AX764" s="90">
        <v>2.75</v>
      </c>
      <c r="AY764" s="90">
        <v>7.6923076923076898</v>
      </c>
      <c r="AZ764" s="90">
        <v>2.4465885596140602</v>
      </c>
      <c r="BA764" s="90">
        <v>0</v>
      </c>
      <c r="BB764" s="90">
        <v>0</v>
      </c>
      <c r="BC764" s="90">
        <v>3.9800995024875601</v>
      </c>
      <c r="BD764" s="90">
        <v>2.3212280044927001</v>
      </c>
      <c r="BE764" s="90">
        <v>3.0303030303030298</v>
      </c>
    </row>
    <row r="765" spans="2:57" ht="15" customHeight="1" x14ac:dyDescent="0.25">
      <c r="B765" s="91">
        <v>755</v>
      </c>
      <c r="C765" s="92" t="s">
        <v>503</v>
      </c>
      <c r="D765" s="92" t="s">
        <v>57</v>
      </c>
      <c r="E765" s="92" t="s">
        <v>380</v>
      </c>
      <c r="F765" s="92"/>
      <c r="G765" s="93" t="s">
        <v>501</v>
      </c>
      <c r="H765" s="94">
        <v>1120</v>
      </c>
      <c r="I765" s="94">
        <v>572</v>
      </c>
      <c r="J765" s="94">
        <v>548</v>
      </c>
      <c r="K765" s="94">
        <v>49</v>
      </c>
      <c r="L765" s="94">
        <v>290</v>
      </c>
      <c r="M765" s="94">
        <v>614</v>
      </c>
      <c r="N765" s="94">
        <v>167</v>
      </c>
      <c r="O765" s="94">
        <v>1120</v>
      </c>
      <c r="P765" s="94">
        <v>0</v>
      </c>
      <c r="Q765" s="95">
        <v>1.2298959318826901</v>
      </c>
      <c r="R765" s="95">
        <v>1.13636363636364</v>
      </c>
      <c r="S765" s="95">
        <v>1.3232514177693799</v>
      </c>
      <c r="T765" s="95">
        <v>2.5641025641025599</v>
      </c>
      <c r="U765" s="95">
        <v>1.8382352941176501</v>
      </c>
      <c r="V765" s="95">
        <v>1.0169491525423699</v>
      </c>
      <c r="W765" s="95">
        <v>0.64102564102564097</v>
      </c>
      <c r="X765" s="95">
        <v>1.2298959318826901</v>
      </c>
      <c r="Y765" s="95">
        <v>0</v>
      </c>
      <c r="Z765" s="94">
        <v>1098</v>
      </c>
      <c r="AA765" s="94">
        <v>571</v>
      </c>
      <c r="AB765" s="94">
        <v>527</v>
      </c>
      <c r="AC765" s="94">
        <v>59</v>
      </c>
      <c r="AD765" s="94">
        <v>295</v>
      </c>
      <c r="AE765" s="94">
        <v>574</v>
      </c>
      <c r="AF765" s="94">
        <v>170</v>
      </c>
      <c r="AG765" s="94">
        <v>817</v>
      </c>
      <c r="AH765" s="94">
        <v>275</v>
      </c>
      <c r="AI765" s="94">
        <v>6</v>
      </c>
      <c r="AJ765" s="94">
        <v>1091</v>
      </c>
      <c r="AK765" s="94">
        <v>5</v>
      </c>
      <c r="AL765" s="94">
        <v>2</v>
      </c>
      <c r="AM765" s="94">
        <v>68</v>
      </c>
      <c r="AN765" s="94">
        <v>1022</v>
      </c>
      <c r="AO765" s="94">
        <v>8</v>
      </c>
      <c r="AP765" s="95">
        <v>5</v>
      </c>
      <c r="AQ765" s="95">
        <v>2.5641025641025599</v>
      </c>
      <c r="AR765" s="95">
        <v>7.6923076923076898</v>
      </c>
      <c r="AS765" s="95">
        <v>5.2631578947368398</v>
      </c>
      <c r="AT765" s="95">
        <v>4.3478260869565197</v>
      </c>
      <c r="AU765" s="95">
        <v>5.3604436229205197</v>
      </c>
      <c r="AV765" s="95">
        <v>4.8192771084337398</v>
      </c>
      <c r="AW765" s="95">
        <v>5.1679586563307502</v>
      </c>
      <c r="AX765" s="95">
        <v>4.2145593869731801</v>
      </c>
      <c r="AY765" s="95">
        <v>20</v>
      </c>
      <c r="AZ765" s="95">
        <v>5.0048123195380203</v>
      </c>
      <c r="BA765" s="95">
        <v>0</v>
      </c>
      <c r="BB765" s="95">
        <v>0</v>
      </c>
      <c r="BC765" s="95">
        <v>5.9701492537313401</v>
      </c>
      <c r="BD765" s="95">
        <v>4.8603929679420901</v>
      </c>
      <c r="BE765" s="95">
        <v>16.6666666666667</v>
      </c>
    </row>
    <row r="766" spans="2:57" ht="15" customHeight="1" x14ac:dyDescent="0.25">
      <c r="B766" s="91">
        <v>756</v>
      </c>
      <c r="C766" s="92" t="s">
        <v>503</v>
      </c>
      <c r="D766" s="92" t="s">
        <v>57</v>
      </c>
      <c r="E766" s="92" t="s">
        <v>380</v>
      </c>
      <c r="F766" s="92"/>
      <c r="G766" s="93" t="s">
        <v>502</v>
      </c>
      <c r="H766" s="94">
        <v>1476</v>
      </c>
      <c r="I766" s="94">
        <v>881</v>
      </c>
      <c r="J766" s="94">
        <v>595</v>
      </c>
      <c r="K766" s="94">
        <v>78</v>
      </c>
      <c r="L766" s="94">
        <v>359</v>
      </c>
      <c r="M766" s="94">
        <v>754</v>
      </c>
      <c r="N766" s="94">
        <v>285</v>
      </c>
      <c r="O766" s="94">
        <v>1476</v>
      </c>
      <c r="P766" s="94">
        <v>0</v>
      </c>
      <c r="Q766" s="95">
        <v>7.1225071225071199E-2</v>
      </c>
      <c r="R766" s="95">
        <v>0</v>
      </c>
      <c r="S766" s="95">
        <v>0.17361111111111099</v>
      </c>
      <c r="T766" s="95">
        <v>0</v>
      </c>
      <c r="U766" s="95">
        <v>0.30120481927710802</v>
      </c>
      <c r="V766" s="95">
        <v>0</v>
      </c>
      <c r="W766" s="95">
        <v>0</v>
      </c>
      <c r="X766" s="95">
        <v>7.1225071225071199E-2</v>
      </c>
      <c r="Y766" s="95">
        <v>0</v>
      </c>
      <c r="Z766" s="94">
        <v>1921</v>
      </c>
      <c r="AA766" s="94">
        <v>1083</v>
      </c>
      <c r="AB766" s="94">
        <v>838</v>
      </c>
      <c r="AC766" s="94">
        <v>80</v>
      </c>
      <c r="AD766" s="94">
        <v>424</v>
      </c>
      <c r="AE766" s="94">
        <v>998</v>
      </c>
      <c r="AF766" s="94">
        <v>419</v>
      </c>
      <c r="AG766" s="94">
        <v>1770</v>
      </c>
      <c r="AH766" s="94">
        <v>143</v>
      </c>
      <c r="AI766" s="94">
        <v>8</v>
      </c>
      <c r="AJ766" s="94">
        <v>1919</v>
      </c>
      <c r="AK766" s="94">
        <v>0</v>
      </c>
      <c r="AL766" s="94">
        <v>2</v>
      </c>
      <c r="AM766" s="94">
        <v>138</v>
      </c>
      <c r="AN766" s="94">
        <v>1756</v>
      </c>
      <c r="AO766" s="94">
        <v>27</v>
      </c>
      <c r="AP766" s="95">
        <v>1.01876675603217</v>
      </c>
      <c r="AQ766" s="95">
        <v>0.47036688617121403</v>
      </c>
      <c r="AR766" s="95">
        <v>1.7456359102244401</v>
      </c>
      <c r="AS766" s="95">
        <v>0</v>
      </c>
      <c r="AT766" s="95">
        <v>2.2058823529411802</v>
      </c>
      <c r="AU766" s="95">
        <v>0.82730093071354704</v>
      </c>
      <c r="AV766" s="95">
        <v>0.48309178743961401</v>
      </c>
      <c r="AW766" s="95">
        <v>1.10593713620489</v>
      </c>
      <c r="AX766" s="95">
        <v>0</v>
      </c>
      <c r="AY766" s="95">
        <v>0</v>
      </c>
      <c r="AZ766" s="95">
        <v>1.0198604401503</v>
      </c>
      <c r="BA766" s="95">
        <v>0</v>
      </c>
      <c r="BB766" s="95">
        <v>0</v>
      </c>
      <c r="BC766" s="95">
        <v>2.98507462686567</v>
      </c>
      <c r="BD766" s="95">
        <v>0.88028169014084501</v>
      </c>
      <c r="BE766" s="95">
        <v>0</v>
      </c>
    </row>
    <row r="767" spans="2:57" ht="15" customHeight="1" x14ac:dyDescent="0.25">
      <c r="B767" s="96">
        <v>757</v>
      </c>
      <c r="C767" s="97" t="s">
        <v>504</v>
      </c>
      <c r="D767" s="104" t="s">
        <v>57</v>
      </c>
      <c r="E767" s="104" t="s">
        <v>380</v>
      </c>
      <c r="F767" s="104" t="s">
        <v>127</v>
      </c>
      <c r="G767" s="105" t="s">
        <v>127</v>
      </c>
      <c r="H767" s="106">
        <v>2596</v>
      </c>
      <c r="I767" s="106">
        <v>1453</v>
      </c>
      <c r="J767" s="106">
        <v>1143</v>
      </c>
      <c r="K767" s="106">
        <v>127</v>
      </c>
      <c r="L767" s="106">
        <v>649</v>
      </c>
      <c r="M767" s="106">
        <v>1368</v>
      </c>
      <c r="N767" s="106">
        <v>452</v>
      </c>
      <c r="O767" s="106">
        <v>2596</v>
      </c>
      <c r="P767" s="106">
        <v>0</v>
      </c>
      <c r="Q767" s="107">
        <v>0.56887444128403097</v>
      </c>
      <c r="R767" s="107">
        <v>0.44247787610619499</v>
      </c>
      <c r="S767" s="107">
        <v>0.723981900452489</v>
      </c>
      <c r="T767" s="107">
        <v>0.92592592592592604</v>
      </c>
      <c r="U767" s="107">
        <v>0.99337748344370902</v>
      </c>
      <c r="V767" s="107">
        <v>0.45627376425855498</v>
      </c>
      <c r="W767" s="107">
        <v>0.230414746543779</v>
      </c>
      <c r="X767" s="107">
        <v>0.56887444128403097</v>
      </c>
      <c r="Y767" s="107">
        <v>0</v>
      </c>
      <c r="Z767" s="106">
        <v>3019</v>
      </c>
      <c r="AA767" s="106">
        <v>1654</v>
      </c>
      <c r="AB767" s="106">
        <v>1365</v>
      </c>
      <c r="AC767" s="106">
        <v>139</v>
      </c>
      <c r="AD767" s="106">
        <v>719</v>
      </c>
      <c r="AE767" s="106">
        <v>1572</v>
      </c>
      <c r="AF767" s="106">
        <v>589</v>
      </c>
      <c r="AG767" s="106">
        <v>2587</v>
      </c>
      <c r="AH767" s="106">
        <v>418</v>
      </c>
      <c r="AI767" s="106">
        <v>14</v>
      </c>
      <c r="AJ767" s="106">
        <v>3010</v>
      </c>
      <c r="AK767" s="106">
        <v>5</v>
      </c>
      <c r="AL767" s="106">
        <v>4</v>
      </c>
      <c r="AM767" s="106">
        <v>206</v>
      </c>
      <c r="AN767" s="106">
        <v>2778</v>
      </c>
      <c r="AO767" s="106">
        <v>35</v>
      </c>
      <c r="AP767" s="107">
        <v>2.4440619621342501</v>
      </c>
      <c r="AQ767" s="107">
        <v>1.1808576755748901</v>
      </c>
      <c r="AR767" s="107">
        <v>4.0123456790123502</v>
      </c>
      <c r="AS767" s="107">
        <v>2.2556390977443601</v>
      </c>
      <c r="AT767" s="107">
        <v>3.0701754385964901</v>
      </c>
      <c r="AU767" s="107">
        <v>2.45358090185676</v>
      </c>
      <c r="AV767" s="107">
        <v>1.72413793103448</v>
      </c>
      <c r="AW767" s="107">
        <v>2.3675762439807402</v>
      </c>
      <c r="AX767" s="107">
        <v>2.75</v>
      </c>
      <c r="AY767" s="107">
        <v>7.6923076923076898</v>
      </c>
      <c r="AZ767" s="107">
        <v>2.4465885596140602</v>
      </c>
      <c r="BA767" s="107">
        <v>0</v>
      </c>
      <c r="BB767" s="107">
        <v>0</v>
      </c>
      <c r="BC767" s="107">
        <v>3.9800995024875601</v>
      </c>
      <c r="BD767" s="107">
        <v>2.3212280044927001</v>
      </c>
      <c r="BE767" s="107">
        <v>3.0303030303030298</v>
      </c>
    </row>
    <row r="768" spans="2:57" ht="15" customHeight="1" x14ac:dyDescent="0.25">
      <c r="B768" s="91">
        <v>758</v>
      </c>
      <c r="C768" s="92" t="s">
        <v>504</v>
      </c>
      <c r="D768" s="92" t="s">
        <v>57</v>
      </c>
      <c r="E768" s="92" t="s">
        <v>380</v>
      </c>
      <c r="F768" s="92" t="s">
        <v>127</v>
      </c>
      <c r="G768" s="101" t="s">
        <v>501</v>
      </c>
      <c r="H768" s="94">
        <v>1120</v>
      </c>
      <c r="I768" s="94">
        <v>572</v>
      </c>
      <c r="J768" s="94">
        <v>548</v>
      </c>
      <c r="K768" s="94">
        <v>49</v>
      </c>
      <c r="L768" s="94">
        <v>290</v>
      </c>
      <c r="M768" s="94">
        <v>614</v>
      </c>
      <c r="N768" s="94">
        <v>167</v>
      </c>
      <c r="O768" s="94">
        <v>1120</v>
      </c>
      <c r="P768" s="94">
        <v>0</v>
      </c>
      <c r="Q768" s="95">
        <v>1.2298959318826901</v>
      </c>
      <c r="R768" s="95">
        <v>1.13636363636364</v>
      </c>
      <c r="S768" s="95">
        <v>1.3232514177693799</v>
      </c>
      <c r="T768" s="95">
        <v>2.5641025641025599</v>
      </c>
      <c r="U768" s="95">
        <v>1.8382352941176501</v>
      </c>
      <c r="V768" s="95">
        <v>1.0169491525423699</v>
      </c>
      <c r="W768" s="95">
        <v>0.64102564102564097</v>
      </c>
      <c r="X768" s="95">
        <v>1.2298959318826901</v>
      </c>
      <c r="Y768" s="95">
        <v>0</v>
      </c>
      <c r="Z768" s="94">
        <v>1098</v>
      </c>
      <c r="AA768" s="94">
        <v>571</v>
      </c>
      <c r="AB768" s="94">
        <v>527</v>
      </c>
      <c r="AC768" s="94">
        <v>59</v>
      </c>
      <c r="AD768" s="94">
        <v>295</v>
      </c>
      <c r="AE768" s="94">
        <v>574</v>
      </c>
      <c r="AF768" s="94">
        <v>170</v>
      </c>
      <c r="AG768" s="94">
        <v>817</v>
      </c>
      <c r="AH768" s="94">
        <v>275</v>
      </c>
      <c r="AI768" s="94">
        <v>6</v>
      </c>
      <c r="AJ768" s="94">
        <v>1091</v>
      </c>
      <c r="AK768" s="94">
        <v>5</v>
      </c>
      <c r="AL768" s="94">
        <v>2</v>
      </c>
      <c r="AM768" s="94">
        <v>68</v>
      </c>
      <c r="AN768" s="94">
        <v>1022</v>
      </c>
      <c r="AO768" s="94">
        <v>8</v>
      </c>
      <c r="AP768" s="95">
        <v>5</v>
      </c>
      <c r="AQ768" s="95">
        <v>2.5641025641025599</v>
      </c>
      <c r="AR768" s="95">
        <v>7.6923076923076898</v>
      </c>
      <c r="AS768" s="95">
        <v>5.2631578947368398</v>
      </c>
      <c r="AT768" s="95">
        <v>4.3478260869565197</v>
      </c>
      <c r="AU768" s="95">
        <v>5.3604436229205197</v>
      </c>
      <c r="AV768" s="95">
        <v>4.8192771084337398</v>
      </c>
      <c r="AW768" s="95">
        <v>5.1679586563307502</v>
      </c>
      <c r="AX768" s="95">
        <v>4.2145593869731801</v>
      </c>
      <c r="AY768" s="95">
        <v>20</v>
      </c>
      <c r="AZ768" s="95">
        <v>5.0048123195380203</v>
      </c>
      <c r="BA768" s="95">
        <v>0</v>
      </c>
      <c r="BB768" s="95">
        <v>0</v>
      </c>
      <c r="BC768" s="95">
        <v>5.9701492537313401</v>
      </c>
      <c r="BD768" s="95">
        <v>4.8603929679420901</v>
      </c>
      <c r="BE768" s="95">
        <v>16.6666666666667</v>
      </c>
    </row>
    <row r="769" spans="2:57" ht="15" customHeight="1" x14ac:dyDescent="0.25">
      <c r="B769" s="91">
        <v>759</v>
      </c>
      <c r="C769" s="92" t="s">
        <v>504</v>
      </c>
      <c r="D769" s="92" t="s">
        <v>57</v>
      </c>
      <c r="E769" s="92" t="s">
        <v>380</v>
      </c>
      <c r="F769" s="92" t="s">
        <v>127</v>
      </c>
      <c r="G769" s="101" t="s">
        <v>502</v>
      </c>
      <c r="H769" s="94">
        <v>1476</v>
      </c>
      <c r="I769" s="94">
        <v>881</v>
      </c>
      <c r="J769" s="94">
        <v>595</v>
      </c>
      <c r="K769" s="94">
        <v>78</v>
      </c>
      <c r="L769" s="94">
        <v>359</v>
      </c>
      <c r="M769" s="94">
        <v>754</v>
      </c>
      <c r="N769" s="94">
        <v>285</v>
      </c>
      <c r="O769" s="94">
        <v>1476</v>
      </c>
      <c r="P769" s="94">
        <v>0</v>
      </c>
      <c r="Q769" s="95">
        <v>7.1225071225071199E-2</v>
      </c>
      <c r="R769" s="95">
        <v>0</v>
      </c>
      <c r="S769" s="95">
        <v>0.17361111111111099</v>
      </c>
      <c r="T769" s="95">
        <v>0</v>
      </c>
      <c r="U769" s="95">
        <v>0.30120481927710802</v>
      </c>
      <c r="V769" s="95">
        <v>0</v>
      </c>
      <c r="W769" s="95">
        <v>0</v>
      </c>
      <c r="X769" s="95">
        <v>7.1225071225071199E-2</v>
      </c>
      <c r="Y769" s="95">
        <v>0</v>
      </c>
      <c r="Z769" s="94">
        <v>1921</v>
      </c>
      <c r="AA769" s="94">
        <v>1083</v>
      </c>
      <c r="AB769" s="94">
        <v>838</v>
      </c>
      <c r="AC769" s="94">
        <v>80</v>
      </c>
      <c r="AD769" s="94">
        <v>424</v>
      </c>
      <c r="AE769" s="94">
        <v>998</v>
      </c>
      <c r="AF769" s="94">
        <v>419</v>
      </c>
      <c r="AG769" s="94">
        <v>1770</v>
      </c>
      <c r="AH769" s="94">
        <v>143</v>
      </c>
      <c r="AI769" s="94">
        <v>8</v>
      </c>
      <c r="AJ769" s="94">
        <v>1919</v>
      </c>
      <c r="AK769" s="94">
        <v>0</v>
      </c>
      <c r="AL769" s="94">
        <v>2</v>
      </c>
      <c r="AM769" s="94">
        <v>138</v>
      </c>
      <c r="AN769" s="94">
        <v>1756</v>
      </c>
      <c r="AO769" s="94">
        <v>27</v>
      </c>
      <c r="AP769" s="95">
        <v>1.01876675603217</v>
      </c>
      <c r="AQ769" s="95">
        <v>0.47036688617121403</v>
      </c>
      <c r="AR769" s="95">
        <v>1.7456359102244401</v>
      </c>
      <c r="AS769" s="95">
        <v>0</v>
      </c>
      <c r="AT769" s="95">
        <v>2.2058823529411802</v>
      </c>
      <c r="AU769" s="95">
        <v>0.82730093071354704</v>
      </c>
      <c r="AV769" s="95">
        <v>0.48309178743961401</v>
      </c>
      <c r="AW769" s="95">
        <v>1.10593713620489</v>
      </c>
      <c r="AX769" s="95">
        <v>0</v>
      </c>
      <c r="AY769" s="95">
        <v>0</v>
      </c>
      <c r="AZ769" s="95">
        <v>1.0198604401503</v>
      </c>
      <c r="BA769" s="95">
        <v>0</v>
      </c>
      <c r="BB769" s="95">
        <v>0</v>
      </c>
      <c r="BC769" s="95">
        <v>2.98507462686567</v>
      </c>
      <c r="BD769" s="95">
        <v>0.88028169014084501</v>
      </c>
      <c r="BE769" s="95">
        <v>0</v>
      </c>
    </row>
    <row r="770" spans="2:57" ht="15" customHeight="1" x14ac:dyDescent="0.25">
      <c r="B770" s="86">
        <v>760</v>
      </c>
      <c r="C770" s="87" t="s">
        <v>503</v>
      </c>
      <c r="D770" s="103" t="s">
        <v>57</v>
      </c>
      <c r="E770" s="103" t="s">
        <v>381</v>
      </c>
      <c r="F770" s="103"/>
      <c r="G770" s="88" t="s">
        <v>381</v>
      </c>
      <c r="H770" s="89">
        <v>3753</v>
      </c>
      <c r="I770" s="89">
        <v>2101</v>
      </c>
      <c r="J770" s="89">
        <v>1652</v>
      </c>
      <c r="K770" s="89">
        <v>88</v>
      </c>
      <c r="L770" s="89">
        <v>648</v>
      </c>
      <c r="M770" s="89">
        <v>2013</v>
      </c>
      <c r="N770" s="89">
        <v>1004</v>
      </c>
      <c r="O770" s="89">
        <v>3753</v>
      </c>
      <c r="P770" s="89">
        <v>0</v>
      </c>
      <c r="Q770" s="90">
        <v>0.171575636259651</v>
      </c>
      <c r="R770" s="90">
        <v>5.1413881748072002E-2</v>
      </c>
      <c r="S770" s="90">
        <v>0.32216494845360799</v>
      </c>
      <c r="T770" s="90">
        <v>2.6315789473684199</v>
      </c>
      <c r="U770" s="90">
        <v>0.170940170940171</v>
      </c>
      <c r="V770" s="90">
        <v>0.105932203389831</v>
      </c>
      <c r="W770" s="90">
        <v>0.105485232067511</v>
      </c>
      <c r="X770" s="90">
        <v>0.171575636259651</v>
      </c>
      <c r="Y770" s="90">
        <v>0</v>
      </c>
      <c r="Z770" s="89">
        <v>5498</v>
      </c>
      <c r="AA770" s="89">
        <v>3017</v>
      </c>
      <c r="AB770" s="89">
        <v>2481</v>
      </c>
      <c r="AC770" s="89">
        <v>169</v>
      </c>
      <c r="AD770" s="89">
        <v>1023</v>
      </c>
      <c r="AE770" s="89">
        <v>2881</v>
      </c>
      <c r="AF770" s="89">
        <v>1425</v>
      </c>
      <c r="AG770" s="89">
        <v>5015</v>
      </c>
      <c r="AH770" s="89">
        <v>428</v>
      </c>
      <c r="AI770" s="89">
        <v>55</v>
      </c>
      <c r="AJ770" s="89">
        <v>5461</v>
      </c>
      <c r="AK770" s="89">
        <v>15</v>
      </c>
      <c r="AL770" s="89">
        <v>22</v>
      </c>
      <c r="AM770" s="89">
        <v>442</v>
      </c>
      <c r="AN770" s="89">
        <v>4992</v>
      </c>
      <c r="AO770" s="89">
        <v>64</v>
      </c>
      <c r="AP770" s="90">
        <v>1.0418639893919299</v>
      </c>
      <c r="AQ770" s="90">
        <v>0.241212956581668</v>
      </c>
      <c r="AR770" s="90">
        <v>2.0193521245267099</v>
      </c>
      <c r="AS770" s="90">
        <v>1.2738853503184699</v>
      </c>
      <c r="AT770" s="90">
        <v>1.8887722980063</v>
      </c>
      <c r="AU770" s="90">
        <v>0.79250720461095103</v>
      </c>
      <c r="AV770" s="90">
        <v>0.93323761665470195</v>
      </c>
      <c r="AW770" s="90">
        <v>0.97288346098116296</v>
      </c>
      <c r="AX770" s="90">
        <v>2.0050125313283198</v>
      </c>
      <c r="AY770" s="90">
        <v>0</v>
      </c>
      <c r="AZ770" s="90">
        <v>1.04861773117255</v>
      </c>
      <c r="BA770" s="90">
        <v>0</v>
      </c>
      <c r="BB770" s="90">
        <v>0</v>
      </c>
      <c r="BC770" s="90">
        <v>0.69124423963133597</v>
      </c>
      <c r="BD770" s="90">
        <v>1.0865022983702499</v>
      </c>
      <c r="BE770" s="90">
        <v>0</v>
      </c>
    </row>
    <row r="771" spans="2:57" ht="15" customHeight="1" x14ac:dyDescent="0.25">
      <c r="B771" s="91">
        <v>761</v>
      </c>
      <c r="C771" s="92" t="s">
        <v>503</v>
      </c>
      <c r="D771" s="92" t="s">
        <v>57</v>
      </c>
      <c r="E771" s="92" t="s">
        <v>381</v>
      </c>
      <c r="F771" s="92"/>
      <c r="G771" s="93" t="s">
        <v>501</v>
      </c>
      <c r="H771" s="94">
        <v>0</v>
      </c>
      <c r="I771" s="94">
        <v>0</v>
      </c>
      <c r="J771" s="94">
        <v>0</v>
      </c>
      <c r="K771" s="94">
        <v>0</v>
      </c>
      <c r="L771" s="94">
        <v>0</v>
      </c>
      <c r="M771" s="94">
        <v>0</v>
      </c>
      <c r="N771" s="94">
        <v>0</v>
      </c>
      <c r="O771" s="94">
        <v>0</v>
      </c>
      <c r="P771" s="94">
        <v>0</v>
      </c>
      <c r="Q771" s="95">
        <v>0</v>
      </c>
      <c r="R771" s="95">
        <v>0</v>
      </c>
      <c r="S771" s="95">
        <v>0</v>
      </c>
      <c r="T771" s="95">
        <v>0</v>
      </c>
      <c r="U771" s="95">
        <v>0</v>
      </c>
      <c r="V771" s="95">
        <v>0</v>
      </c>
      <c r="W771" s="95">
        <v>0</v>
      </c>
      <c r="X771" s="95">
        <v>0</v>
      </c>
      <c r="Y771" s="95">
        <v>0</v>
      </c>
      <c r="Z771" s="94">
        <v>0</v>
      </c>
      <c r="AA771" s="94">
        <v>0</v>
      </c>
      <c r="AB771" s="94">
        <v>0</v>
      </c>
      <c r="AC771" s="94">
        <v>0</v>
      </c>
      <c r="AD771" s="94">
        <v>0</v>
      </c>
      <c r="AE771" s="94">
        <v>0</v>
      </c>
      <c r="AF771" s="94">
        <v>0</v>
      </c>
      <c r="AG771" s="94">
        <v>0</v>
      </c>
      <c r="AH771" s="94">
        <v>0</v>
      </c>
      <c r="AI771" s="94">
        <v>0</v>
      </c>
      <c r="AJ771" s="94">
        <v>0</v>
      </c>
      <c r="AK771" s="94">
        <v>0</v>
      </c>
      <c r="AL771" s="94">
        <v>0</v>
      </c>
      <c r="AM771" s="94">
        <v>0</v>
      </c>
      <c r="AN771" s="94">
        <v>0</v>
      </c>
      <c r="AO771" s="94">
        <v>0</v>
      </c>
      <c r="AP771" s="95">
        <v>0</v>
      </c>
      <c r="AQ771" s="95">
        <v>0</v>
      </c>
      <c r="AR771" s="95">
        <v>0</v>
      </c>
      <c r="AS771" s="95">
        <v>0</v>
      </c>
      <c r="AT771" s="95">
        <v>0</v>
      </c>
      <c r="AU771" s="95">
        <v>0</v>
      </c>
      <c r="AV771" s="95">
        <v>0</v>
      </c>
      <c r="AW771" s="95">
        <v>0</v>
      </c>
      <c r="AX771" s="95">
        <v>0</v>
      </c>
      <c r="AY771" s="95">
        <v>0</v>
      </c>
      <c r="AZ771" s="95">
        <v>0</v>
      </c>
      <c r="BA771" s="95">
        <v>0</v>
      </c>
      <c r="BB771" s="95">
        <v>0</v>
      </c>
      <c r="BC771" s="95">
        <v>0</v>
      </c>
      <c r="BD771" s="95">
        <v>0</v>
      </c>
      <c r="BE771" s="95">
        <v>0</v>
      </c>
    </row>
    <row r="772" spans="2:57" ht="15" customHeight="1" x14ac:dyDescent="0.25">
      <c r="B772" s="91">
        <v>762</v>
      </c>
      <c r="C772" s="92" t="s">
        <v>503</v>
      </c>
      <c r="D772" s="92" t="s">
        <v>57</v>
      </c>
      <c r="E772" s="92" t="s">
        <v>381</v>
      </c>
      <c r="F772" s="92"/>
      <c r="G772" s="93" t="s">
        <v>502</v>
      </c>
      <c r="H772" s="94">
        <v>3753</v>
      </c>
      <c r="I772" s="94">
        <v>2101</v>
      </c>
      <c r="J772" s="94">
        <v>1652</v>
      </c>
      <c r="K772" s="94">
        <v>88</v>
      </c>
      <c r="L772" s="94">
        <v>648</v>
      </c>
      <c r="M772" s="94">
        <v>2013</v>
      </c>
      <c r="N772" s="94">
        <v>1004</v>
      </c>
      <c r="O772" s="94">
        <v>3753</v>
      </c>
      <c r="P772" s="94">
        <v>0</v>
      </c>
      <c r="Q772" s="95">
        <v>0.171575636259651</v>
      </c>
      <c r="R772" s="95">
        <v>5.1413881748072002E-2</v>
      </c>
      <c r="S772" s="95">
        <v>0.32216494845360799</v>
      </c>
      <c r="T772" s="95">
        <v>2.6315789473684199</v>
      </c>
      <c r="U772" s="95">
        <v>0.170940170940171</v>
      </c>
      <c r="V772" s="95">
        <v>0.105932203389831</v>
      </c>
      <c r="W772" s="95">
        <v>0.105485232067511</v>
      </c>
      <c r="X772" s="95">
        <v>0.171575636259651</v>
      </c>
      <c r="Y772" s="95">
        <v>0</v>
      </c>
      <c r="Z772" s="94">
        <v>5498</v>
      </c>
      <c r="AA772" s="94">
        <v>3017</v>
      </c>
      <c r="AB772" s="94">
        <v>2481</v>
      </c>
      <c r="AC772" s="94">
        <v>169</v>
      </c>
      <c r="AD772" s="94">
        <v>1023</v>
      </c>
      <c r="AE772" s="94">
        <v>2881</v>
      </c>
      <c r="AF772" s="94">
        <v>1425</v>
      </c>
      <c r="AG772" s="94">
        <v>5015</v>
      </c>
      <c r="AH772" s="94">
        <v>428</v>
      </c>
      <c r="AI772" s="94">
        <v>55</v>
      </c>
      <c r="AJ772" s="94">
        <v>5461</v>
      </c>
      <c r="AK772" s="94">
        <v>15</v>
      </c>
      <c r="AL772" s="94">
        <v>22</v>
      </c>
      <c r="AM772" s="94">
        <v>442</v>
      </c>
      <c r="AN772" s="94">
        <v>4992</v>
      </c>
      <c r="AO772" s="94">
        <v>64</v>
      </c>
      <c r="AP772" s="95">
        <v>1.0418639893919299</v>
      </c>
      <c r="AQ772" s="95">
        <v>0.241212956581668</v>
      </c>
      <c r="AR772" s="95">
        <v>2.0193521245267099</v>
      </c>
      <c r="AS772" s="95">
        <v>1.2738853503184699</v>
      </c>
      <c r="AT772" s="95">
        <v>1.8887722980063</v>
      </c>
      <c r="AU772" s="95">
        <v>0.79250720461095103</v>
      </c>
      <c r="AV772" s="95">
        <v>0.93323761665470195</v>
      </c>
      <c r="AW772" s="95">
        <v>0.97288346098116296</v>
      </c>
      <c r="AX772" s="95">
        <v>2.0050125313283198</v>
      </c>
      <c r="AY772" s="95">
        <v>0</v>
      </c>
      <c r="AZ772" s="95">
        <v>1.04861773117255</v>
      </c>
      <c r="BA772" s="95">
        <v>0</v>
      </c>
      <c r="BB772" s="95">
        <v>0</v>
      </c>
      <c r="BC772" s="95">
        <v>0.69124423963133597</v>
      </c>
      <c r="BD772" s="95">
        <v>1.0865022983702499</v>
      </c>
      <c r="BE772" s="95">
        <v>0</v>
      </c>
    </row>
    <row r="773" spans="2:57" ht="15" customHeight="1" x14ac:dyDescent="0.25">
      <c r="B773" s="96">
        <v>763</v>
      </c>
      <c r="C773" s="97" t="s">
        <v>504</v>
      </c>
      <c r="D773" s="104" t="s">
        <v>57</v>
      </c>
      <c r="E773" s="104" t="s">
        <v>381</v>
      </c>
      <c r="F773" s="104" t="s">
        <v>473</v>
      </c>
      <c r="G773" s="105" t="s">
        <v>473</v>
      </c>
      <c r="H773" s="106">
        <v>2719</v>
      </c>
      <c r="I773" s="106">
        <v>1534</v>
      </c>
      <c r="J773" s="106">
        <v>1185</v>
      </c>
      <c r="K773" s="106">
        <v>69</v>
      </c>
      <c r="L773" s="106">
        <v>467</v>
      </c>
      <c r="M773" s="106">
        <v>1465</v>
      </c>
      <c r="N773" s="106">
        <v>718</v>
      </c>
      <c r="O773" s="106">
        <v>2719</v>
      </c>
      <c r="P773" s="106">
        <v>0</v>
      </c>
      <c r="Q773" s="107">
        <v>0.119142176330421</v>
      </c>
      <c r="R773" s="107">
        <v>7.0972320794890006E-2</v>
      </c>
      <c r="S773" s="107">
        <v>0.18034265103697</v>
      </c>
      <c r="T773" s="107">
        <v>1.6949152542372901</v>
      </c>
      <c r="U773" s="107">
        <v>0.240384615384615</v>
      </c>
      <c r="V773" s="107">
        <v>0</v>
      </c>
      <c r="W773" s="107">
        <v>0.147275405007364</v>
      </c>
      <c r="X773" s="107">
        <v>0.119142176330421</v>
      </c>
      <c r="Y773" s="107">
        <v>0</v>
      </c>
      <c r="Z773" s="106">
        <v>3713</v>
      </c>
      <c r="AA773" s="106">
        <v>2053</v>
      </c>
      <c r="AB773" s="106">
        <v>1660</v>
      </c>
      <c r="AC773" s="106">
        <v>111</v>
      </c>
      <c r="AD773" s="106">
        <v>653</v>
      </c>
      <c r="AE773" s="106">
        <v>1937</v>
      </c>
      <c r="AF773" s="106">
        <v>1012</v>
      </c>
      <c r="AG773" s="106">
        <v>3365</v>
      </c>
      <c r="AH773" s="106">
        <v>300</v>
      </c>
      <c r="AI773" s="106">
        <v>48</v>
      </c>
      <c r="AJ773" s="106">
        <v>3691</v>
      </c>
      <c r="AK773" s="106">
        <v>12</v>
      </c>
      <c r="AL773" s="106">
        <v>10</v>
      </c>
      <c r="AM773" s="106">
        <v>325</v>
      </c>
      <c r="AN773" s="106">
        <v>3347</v>
      </c>
      <c r="AO773" s="106">
        <v>41</v>
      </c>
      <c r="AP773" s="107">
        <v>1.0945832163906799</v>
      </c>
      <c r="AQ773" s="107">
        <v>0.35587188612099602</v>
      </c>
      <c r="AR773" s="107">
        <v>2.0050125313283198</v>
      </c>
      <c r="AS773" s="107">
        <v>0.96153846153846201</v>
      </c>
      <c r="AT773" s="107">
        <v>1.98019801980198</v>
      </c>
      <c r="AU773" s="107">
        <v>0.85929108485499495</v>
      </c>
      <c r="AV773" s="107">
        <v>1.0090817356205899</v>
      </c>
      <c r="AW773" s="107">
        <v>1.0497066995986399</v>
      </c>
      <c r="AX773" s="107">
        <v>1.7730496453900699</v>
      </c>
      <c r="AY773" s="107">
        <v>0</v>
      </c>
      <c r="AZ773" s="107">
        <v>1.10076206604572</v>
      </c>
      <c r="BA773" s="107">
        <v>0</v>
      </c>
      <c r="BB773" s="107">
        <v>0</v>
      </c>
      <c r="BC773" s="107">
        <v>0.625</v>
      </c>
      <c r="BD773" s="107">
        <v>1.1537262238852499</v>
      </c>
      <c r="BE773" s="107">
        <v>0</v>
      </c>
    </row>
    <row r="774" spans="2:57" ht="15" customHeight="1" x14ac:dyDescent="0.25">
      <c r="B774" s="91">
        <v>764</v>
      </c>
      <c r="C774" s="92" t="s">
        <v>504</v>
      </c>
      <c r="D774" s="92" t="s">
        <v>57</v>
      </c>
      <c r="E774" s="92" t="s">
        <v>381</v>
      </c>
      <c r="F774" s="92" t="s">
        <v>473</v>
      </c>
      <c r="G774" s="101" t="s">
        <v>501</v>
      </c>
      <c r="H774" s="94">
        <v>0</v>
      </c>
      <c r="I774" s="94">
        <v>0</v>
      </c>
      <c r="J774" s="94">
        <v>0</v>
      </c>
      <c r="K774" s="94">
        <v>0</v>
      </c>
      <c r="L774" s="94">
        <v>0</v>
      </c>
      <c r="M774" s="94">
        <v>0</v>
      </c>
      <c r="N774" s="94">
        <v>0</v>
      </c>
      <c r="O774" s="94">
        <v>0</v>
      </c>
      <c r="P774" s="94">
        <v>0</v>
      </c>
      <c r="Q774" s="95">
        <v>0</v>
      </c>
      <c r="R774" s="95">
        <v>0</v>
      </c>
      <c r="S774" s="95">
        <v>0</v>
      </c>
      <c r="T774" s="95">
        <v>0</v>
      </c>
      <c r="U774" s="95">
        <v>0</v>
      </c>
      <c r="V774" s="95">
        <v>0</v>
      </c>
      <c r="W774" s="95">
        <v>0</v>
      </c>
      <c r="X774" s="95">
        <v>0</v>
      </c>
      <c r="Y774" s="95">
        <v>0</v>
      </c>
      <c r="Z774" s="94">
        <v>0</v>
      </c>
      <c r="AA774" s="94">
        <v>0</v>
      </c>
      <c r="AB774" s="94">
        <v>0</v>
      </c>
      <c r="AC774" s="94">
        <v>0</v>
      </c>
      <c r="AD774" s="94">
        <v>0</v>
      </c>
      <c r="AE774" s="94">
        <v>0</v>
      </c>
      <c r="AF774" s="94">
        <v>0</v>
      </c>
      <c r="AG774" s="94">
        <v>0</v>
      </c>
      <c r="AH774" s="94">
        <v>0</v>
      </c>
      <c r="AI774" s="94">
        <v>0</v>
      </c>
      <c r="AJ774" s="94">
        <v>0</v>
      </c>
      <c r="AK774" s="94">
        <v>0</v>
      </c>
      <c r="AL774" s="94">
        <v>0</v>
      </c>
      <c r="AM774" s="94">
        <v>0</v>
      </c>
      <c r="AN774" s="94">
        <v>0</v>
      </c>
      <c r="AO774" s="94">
        <v>0</v>
      </c>
      <c r="AP774" s="95">
        <v>0</v>
      </c>
      <c r="AQ774" s="95">
        <v>0</v>
      </c>
      <c r="AR774" s="95">
        <v>0</v>
      </c>
      <c r="AS774" s="95">
        <v>0</v>
      </c>
      <c r="AT774" s="95">
        <v>0</v>
      </c>
      <c r="AU774" s="95">
        <v>0</v>
      </c>
      <c r="AV774" s="95">
        <v>0</v>
      </c>
      <c r="AW774" s="95">
        <v>0</v>
      </c>
      <c r="AX774" s="95">
        <v>0</v>
      </c>
      <c r="AY774" s="95">
        <v>0</v>
      </c>
      <c r="AZ774" s="95">
        <v>0</v>
      </c>
      <c r="BA774" s="95">
        <v>0</v>
      </c>
      <c r="BB774" s="95">
        <v>0</v>
      </c>
      <c r="BC774" s="95">
        <v>0</v>
      </c>
      <c r="BD774" s="95">
        <v>0</v>
      </c>
      <c r="BE774" s="95">
        <v>0</v>
      </c>
    </row>
    <row r="775" spans="2:57" ht="15" customHeight="1" x14ac:dyDescent="0.25">
      <c r="B775" s="91">
        <v>765</v>
      </c>
      <c r="C775" s="92" t="s">
        <v>504</v>
      </c>
      <c r="D775" s="92" t="s">
        <v>57</v>
      </c>
      <c r="E775" s="92" t="s">
        <v>381</v>
      </c>
      <c r="F775" s="92" t="s">
        <v>473</v>
      </c>
      <c r="G775" s="101" t="s">
        <v>502</v>
      </c>
      <c r="H775" s="94">
        <v>2719</v>
      </c>
      <c r="I775" s="94">
        <v>1534</v>
      </c>
      <c r="J775" s="94">
        <v>1185</v>
      </c>
      <c r="K775" s="94">
        <v>69</v>
      </c>
      <c r="L775" s="94">
        <v>467</v>
      </c>
      <c r="M775" s="94">
        <v>1465</v>
      </c>
      <c r="N775" s="94">
        <v>718</v>
      </c>
      <c r="O775" s="94">
        <v>2719</v>
      </c>
      <c r="P775" s="94">
        <v>0</v>
      </c>
      <c r="Q775" s="95">
        <v>0.119142176330421</v>
      </c>
      <c r="R775" s="95">
        <v>7.0972320794890006E-2</v>
      </c>
      <c r="S775" s="95">
        <v>0.18034265103697</v>
      </c>
      <c r="T775" s="95">
        <v>1.6949152542372901</v>
      </c>
      <c r="U775" s="95">
        <v>0.240384615384615</v>
      </c>
      <c r="V775" s="95">
        <v>0</v>
      </c>
      <c r="W775" s="95">
        <v>0.147275405007364</v>
      </c>
      <c r="X775" s="95">
        <v>0.119142176330421</v>
      </c>
      <c r="Y775" s="95">
        <v>0</v>
      </c>
      <c r="Z775" s="94">
        <v>3713</v>
      </c>
      <c r="AA775" s="94">
        <v>2053</v>
      </c>
      <c r="AB775" s="94">
        <v>1660</v>
      </c>
      <c r="AC775" s="94">
        <v>111</v>
      </c>
      <c r="AD775" s="94">
        <v>653</v>
      </c>
      <c r="AE775" s="94">
        <v>1937</v>
      </c>
      <c r="AF775" s="94">
        <v>1012</v>
      </c>
      <c r="AG775" s="94">
        <v>3365</v>
      </c>
      <c r="AH775" s="94">
        <v>300</v>
      </c>
      <c r="AI775" s="94">
        <v>48</v>
      </c>
      <c r="AJ775" s="94">
        <v>3691</v>
      </c>
      <c r="AK775" s="94">
        <v>12</v>
      </c>
      <c r="AL775" s="94">
        <v>10</v>
      </c>
      <c r="AM775" s="94">
        <v>325</v>
      </c>
      <c r="AN775" s="94">
        <v>3347</v>
      </c>
      <c r="AO775" s="94">
        <v>41</v>
      </c>
      <c r="AP775" s="95">
        <v>1.0945832163906799</v>
      </c>
      <c r="AQ775" s="95">
        <v>0.35587188612099602</v>
      </c>
      <c r="AR775" s="95">
        <v>2.0050125313283198</v>
      </c>
      <c r="AS775" s="95">
        <v>0.96153846153846201</v>
      </c>
      <c r="AT775" s="95">
        <v>1.98019801980198</v>
      </c>
      <c r="AU775" s="95">
        <v>0.85929108485499495</v>
      </c>
      <c r="AV775" s="95">
        <v>1.0090817356205899</v>
      </c>
      <c r="AW775" s="95">
        <v>1.0497066995986399</v>
      </c>
      <c r="AX775" s="95">
        <v>1.7730496453900699</v>
      </c>
      <c r="AY775" s="95">
        <v>0</v>
      </c>
      <c r="AZ775" s="95">
        <v>1.10076206604572</v>
      </c>
      <c r="BA775" s="95">
        <v>0</v>
      </c>
      <c r="BB775" s="95">
        <v>0</v>
      </c>
      <c r="BC775" s="95">
        <v>0.625</v>
      </c>
      <c r="BD775" s="95">
        <v>1.1537262238852499</v>
      </c>
      <c r="BE775" s="95">
        <v>0</v>
      </c>
    </row>
    <row r="776" spans="2:57" ht="15" customHeight="1" x14ac:dyDescent="0.25">
      <c r="B776" s="96">
        <v>766</v>
      </c>
      <c r="C776" s="97" t="s">
        <v>504</v>
      </c>
      <c r="D776" s="104" t="s">
        <v>57</v>
      </c>
      <c r="E776" s="104" t="s">
        <v>381</v>
      </c>
      <c r="F776" s="104" t="s">
        <v>55</v>
      </c>
      <c r="G776" s="105" t="s">
        <v>55</v>
      </c>
      <c r="H776" s="106">
        <v>1034</v>
      </c>
      <c r="I776" s="106">
        <v>567</v>
      </c>
      <c r="J776" s="106">
        <v>467</v>
      </c>
      <c r="K776" s="106">
        <v>19</v>
      </c>
      <c r="L776" s="106">
        <v>181</v>
      </c>
      <c r="M776" s="106">
        <v>548</v>
      </c>
      <c r="N776" s="106">
        <v>286</v>
      </c>
      <c r="O776" s="106">
        <v>1034</v>
      </c>
      <c r="P776" s="106">
        <v>0</v>
      </c>
      <c r="Q776" s="107">
        <v>0.306435137895812</v>
      </c>
      <c r="R776" s="107">
        <v>0</v>
      </c>
      <c r="S776" s="107">
        <v>0.67720090293453705</v>
      </c>
      <c r="T776" s="107">
        <v>5.8823529411764701</v>
      </c>
      <c r="U776" s="107">
        <v>0</v>
      </c>
      <c r="V776" s="107">
        <v>0.38167938931297701</v>
      </c>
      <c r="W776" s="107">
        <v>0</v>
      </c>
      <c r="X776" s="107">
        <v>0.306435137895812</v>
      </c>
      <c r="Y776" s="107">
        <v>0</v>
      </c>
      <c r="Z776" s="106">
        <v>1785</v>
      </c>
      <c r="AA776" s="106">
        <v>964</v>
      </c>
      <c r="AB776" s="106">
        <v>821</v>
      </c>
      <c r="AC776" s="106">
        <v>58</v>
      </c>
      <c r="AD776" s="106">
        <v>370</v>
      </c>
      <c r="AE776" s="106">
        <v>944</v>
      </c>
      <c r="AF776" s="106">
        <v>413</v>
      </c>
      <c r="AG776" s="106">
        <v>1650</v>
      </c>
      <c r="AH776" s="106">
        <v>128</v>
      </c>
      <c r="AI776" s="106">
        <v>7</v>
      </c>
      <c r="AJ776" s="106">
        <v>1770</v>
      </c>
      <c r="AK776" s="106">
        <v>3</v>
      </c>
      <c r="AL776" s="106">
        <v>12</v>
      </c>
      <c r="AM776" s="106">
        <v>117</v>
      </c>
      <c r="AN776" s="106">
        <v>1645</v>
      </c>
      <c r="AO776" s="106">
        <v>23</v>
      </c>
      <c r="AP776" s="107">
        <v>0.93240093240093203</v>
      </c>
      <c r="AQ776" s="107">
        <v>0</v>
      </c>
      <c r="AR776" s="107">
        <v>2.0486555697823299</v>
      </c>
      <c r="AS776" s="107">
        <v>1.88679245283019</v>
      </c>
      <c r="AT776" s="107">
        <v>1.7291066282420799</v>
      </c>
      <c r="AU776" s="107">
        <v>0.65645514223194701</v>
      </c>
      <c r="AV776" s="107">
        <v>0.74626865671641796</v>
      </c>
      <c r="AW776" s="107">
        <v>0.81658291457286403</v>
      </c>
      <c r="AX776" s="107">
        <v>2.5641025641025599</v>
      </c>
      <c r="AY776" s="107">
        <v>0</v>
      </c>
      <c r="AZ776" s="107">
        <v>0.94007050528789704</v>
      </c>
      <c r="BA776" s="107">
        <v>0</v>
      </c>
      <c r="BB776" s="107">
        <v>0</v>
      </c>
      <c r="BC776" s="107">
        <v>0.87719298245613997</v>
      </c>
      <c r="BD776" s="107">
        <v>0.94996833438885397</v>
      </c>
      <c r="BE776" s="107">
        <v>0</v>
      </c>
    </row>
    <row r="777" spans="2:57" ht="15" customHeight="1" x14ac:dyDescent="0.25">
      <c r="B777" s="91">
        <v>767</v>
      </c>
      <c r="C777" s="92" t="s">
        <v>504</v>
      </c>
      <c r="D777" s="92" t="s">
        <v>57</v>
      </c>
      <c r="E777" s="92" t="s">
        <v>381</v>
      </c>
      <c r="F777" s="92" t="s">
        <v>55</v>
      </c>
      <c r="G777" s="101" t="s">
        <v>501</v>
      </c>
      <c r="H777" s="94">
        <v>0</v>
      </c>
      <c r="I777" s="94">
        <v>0</v>
      </c>
      <c r="J777" s="94">
        <v>0</v>
      </c>
      <c r="K777" s="94">
        <v>0</v>
      </c>
      <c r="L777" s="94">
        <v>0</v>
      </c>
      <c r="M777" s="94">
        <v>0</v>
      </c>
      <c r="N777" s="94">
        <v>0</v>
      </c>
      <c r="O777" s="94">
        <v>0</v>
      </c>
      <c r="P777" s="94">
        <v>0</v>
      </c>
      <c r="Q777" s="95">
        <v>0</v>
      </c>
      <c r="R777" s="95">
        <v>0</v>
      </c>
      <c r="S777" s="95">
        <v>0</v>
      </c>
      <c r="T777" s="95">
        <v>0</v>
      </c>
      <c r="U777" s="95">
        <v>0</v>
      </c>
      <c r="V777" s="95">
        <v>0</v>
      </c>
      <c r="W777" s="95">
        <v>0</v>
      </c>
      <c r="X777" s="95">
        <v>0</v>
      </c>
      <c r="Y777" s="95">
        <v>0</v>
      </c>
      <c r="Z777" s="94">
        <v>0</v>
      </c>
      <c r="AA777" s="94">
        <v>0</v>
      </c>
      <c r="AB777" s="94">
        <v>0</v>
      </c>
      <c r="AC777" s="94">
        <v>0</v>
      </c>
      <c r="AD777" s="94">
        <v>0</v>
      </c>
      <c r="AE777" s="94">
        <v>0</v>
      </c>
      <c r="AF777" s="94">
        <v>0</v>
      </c>
      <c r="AG777" s="94">
        <v>0</v>
      </c>
      <c r="AH777" s="94">
        <v>0</v>
      </c>
      <c r="AI777" s="94">
        <v>0</v>
      </c>
      <c r="AJ777" s="94">
        <v>0</v>
      </c>
      <c r="AK777" s="94">
        <v>0</v>
      </c>
      <c r="AL777" s="94">
        <v>0</v>
      </c>
      <c r="AM777" s="94">
        <v>0</v>
      </c>
      <c r="AN777" s="94">
        <v>0</v>
      </c>
      <c r="AO777" s="94">
        <v>0</v>
      </c>
      <c r="AP777" s="95">
        <v>0</v>
      </c>
      <c r="AQ777" s="95">
        <v>0</v>
      </c>
      <c r="AR777" s="95">
        <v>0</v>
      </c>
      <c r="AS777" s="95">
        <v>0</v>
      </c>
      <c r="AT777" s="95">
        <v>0</v>
      </c>
      <c r="AU777" s="95">
        <v>0</v>
      </c>
      <c r="AV777" s="95">
        <v>0</v>
      </c>
      <c r="AW777" s="95">
        <v>0</v>
      </c>
      <c r="AX777" s="95">
        <v>0</v>
      </c>
      <c r="AY777" s="95">
        <v>0</v>
      </c>
      <c r="AZ777" s="95">
        <v>0</v>
      </c>
      <c r="BA777" s="95">
        <v>0</v>
      </c>
      <c r="BB777" s="95">
        <v>0</v>
      </c>
      <c r="BC777" s="95">
        <v>0</v>
      </c>
      <c r="BD777" s="95">
        <v>0</v>
      </c>
      <c r="BE777" s="95">
        <v>0</v>
      </c>
    </row>
    <row r="778" spans="2:57" ht="15" customHeight="1" x14ac:dyDescent="0.25">
      <c r="B778" s="91">
        <v>768</v>
      </c>
      <c r="C778" s="92" t="s">
        <v>504</v>
      </c>
      <c r="D778" s="92" t="s">
        <v>57</v>
      </c>
      <c r="E778" s="92" t="s">
        <v>381</v>
      </c>
      <c r="F778" s="92" t="s">
        <v>55</v>
      </c>
      <c r="G778" s="101" t="s">
        <v>502</v>
      </c>
      <c r="H778" s="94">
        <v>1034</v>
      </c>
      <c r="I778" s="94">
        <v>567</v>
      </c>
      <c r="J778" s="94">
        <v>467</v>
      </c>
      <c r="K778" s="94">
        <v>19</v>
      </c>
      <c r="L778" s="94">
        <v>181</v>
      </c>
      <c r="M778" s="94">
        <v>548</v>
      </c>
      <c r="N778" s="94">
        <v>286</v>
      </c>
      <c r="O778" s="94">
        <v>1034</v>
      </c>
      <c r="P778" s="94">
        <v>0</v>
      </c>
      <c r="Q778" s="95">
        <v>0.306435137895812</v>
      </c>
      <c r="R778" s="95">
        <v>0</v>
      </c>
      <c r="S778" s="95">
        <v>0.67720090293453705</v>
      </c>
      <c r="T778" s="95">
        <v>5.8823529411764701</v>
      </c>
      <c r="U778" s="95">
        <v>0</v>
      </c>
      <c r="V778" s="95">
        <v>0.38167938931297701</v>
      </c>
      <c r="W778" s="95">
        <v>0</v>
      </c>
      <c r="X778" s="95">
        <v>0.306435137895812</v>
      </c>
      <c r="Y778" s="95">
        <v>0</v>
      </c>
      <c r="Z778" s="94">
        <v>1785</v>
      </c>
      <c r="AA778" s="94">
        <v>964</v>
      </c>
      <c r="AB778" s="94">
        <v>821</v>
      </c>
      <c r="AC778" s="94">
        <v>58</v>
      </c>
      <c r="AD778" s="94">
        <v>370</v>
      </c>
      <c r="AE778" s="94">
        <v>944</v>
      </c>
      <c r="AF778" s="94">
        <v>413</v>
      </c>
      <c r="AG778" s="94">
        <v>1650</v>
      </c>
      <c r="AH778" s="94">
        <v>128</v>
      </c>
      <c r="AI778" s="94">
        <v>7</v>
      </c>
      <c r="AJ778" s="94">
        <v>1770</v>
      </c>
      <c r="AK778" s="94">
        <v>3</v>
      </c>
      <c r="AL778" s="94">
        <v>12</v>
      </c>
      <c r="AM778" s="94">
        <v>117</v>
      </c>
      <c r="AN778" s="94">
        <v>1645</v>
      </c>
      <c r="AO778" s="94">
        <v>23</v>
      </c>
      <c r="AP778" s="95">
        <v>0.93240093240093203</v>
      </c>
      <c r="AQ778" s="95">
        <v>0</v>
      </c>
      <c r="AR778" s="95">
        <v>2.0486555697823299</v>
      </c>
      <c r="AS778" s="95">
        <v>1.88679245283019</v>
      </c>
      <c r="AT778" s="95">
        <v>1.7291066282420799</v>
      </c>
      <c r="AU778" s="95">
        <v>0.65645514223194701</v>
      </c>
      <c r="AV778" s="95">
        <v>0.74626865671641796</v>
      </c>
      <c r="AW778" s="95">
        <v>0.81658291457286403</v>
      </c>
      <c r="AX778" s="95">
        <v>2.5641025641025599</v>
      </c>
      <c r="AY778" s="95">
        <v>0</v>
      </c>
      <c r="AZ778" s="95">
        <v>0.94007050528789704</v>
      </c>
      <c r="BA778" s="95">
        <v>0</v>
      </c>
      <c r="BB778" s="95">
        <v>0</v>
      </c>
      <c r="BC778" s="95">
        <v>0.87719298245613997</v>
      </c>
      <c r="BD778" s="95">
        <v>0.94996833438885397</v>
      </c>
      <c r="BE778" s="95">
        <v>0</v>
      </c>
    </row>
    <row r="779" spans="2:57" ht="15" customHeight="1" x14ac:dyDescent="0.25">
      <c r="B779" s="86">
        <v>769</v>
      </c>
      <c r="C779" s="87" t="s">
        <v>503</v>
      </c>
      <c r="D779" s="103" t="s">
        <v>57</v>
      </c>
      <c r="E779" s="103" t="s">
        <v>134</v>
      </c>
      <c r="F779" s="103"/>
      <c r="G779" s="88" t="s">
        <v>134</v>
      </c>
      <c r="H779" s="89">
        <v>2955</v>
      </c>
      <c r="I779" s="89">
        <v>1656</v>
      </c>
      <c r="J779" s="89">
        <v>1299</v>
      </c>
      <c r="K779" s="89">
        <v>116</v>
      </c>
      <c r="L779" s="89">
        <v>697</v>
      </c>
      <c r="M779" s="89">
        <v>1469</v>
      </c>
      <c r="N779" s="89">
        <v>673</v>
      </c>
      <c r="O779" s="89">
        <v>2952</v>
      </c>
      <c r="P779" s="89">
        <v>3</v>
      </c>
      <c r="Q779" s="90">
        <v>0.177430801987225</v>
      </c>
      <c r="R779" s="90">
        <v>0.19267822736030801</v>
      </c>
      <c r="S779" s="90">
        <v>0.15860428231562301</v>
      </c>
      <c r="T779" s="90">
        <v>0</v>
      </c>
      <c r="U779" s="90">
        <v>0</v>
      </c>
      <c r="V779" s="90">
        <v>0.35260930888575498</v>
      </c>
      <c r="W779" s="90">
        <v>0</v>
      </c>
      <c r="X779" s="90">
        <v>0.177619893428064</v>
      </c>
      <c r="Y779" s="90">
        <v>0</v>
      </c>
      <c r="Z779" s="89">
        <v>3950</v>
      </c>
      <c r="AA779" s="89">
        <v>2180</v>
      </c>
      <c r="AB779" s="89">
        <v>1770</v>
      </c>
      <c r="AC779" s="89">
        <v>176</v>
      </c>
      <c r="AD779" s="89">
        <v>807</v>
      </c>
      <c r="AE779" s="89">
        <v>2117</v>
      </c>
      <c r="AF779" s="89">
        <v>850</v>
      </c>
      <c r="AG779" s="89">
        <v>3805</v>
      </c>
      <c r="AH779" s="89">
        <v>124</v>
      </c>
      <c r="AI779" s="89">
        <v>21</v>
      </c>
      <c r="AJ779" s="89">
        <v>3925</v>
      </c>
      <c r="AK779" s="89">
        <v>10</v>
      </c>
      <c r="AL779" s="89">
        <v>15</v>
      </c>
      <c r="AM779" s="89">
        <v>230</v>
      </c>
      <c r="AN779" s="89">
        <v>3653</v>
      </c>
      <c r="AO779" s="89">
        <v>67</v>
      </c>
      <c r="AP779" s="90">
        <v>0.62777923097044197</v>
      </c>
      <c r="AQ779" s="90">
        <v>4.7370914258645203E-2</v>
      </c>
      <c r="AR779" s="90">
        <v>1.3434579439252301</v>
      </c>
      <c r="AS779" s="90">
        <v>1.1764705882352899</v>
      </c>
      <c r="AT779" s="90">
        <v>0.91145833333333304</v>
      </c>
      <c r="AU779" s="90">
        <v>0.68292682926829296</v>
      </c>
      <c r="AV779" s="90">
        <v>0.119760479041916</v>
      </c>
      <c r="AW779" s="90">
        <v>0.65075921908893697</v>
      </c>
      <c r="AX779" s="90">
        <v>0</v>
      </c>
      <c r="AY779" s="90">
        <v>0</v>
      </c>
      <c r="AZ779" s="90">
        <v>0.63174519610423796</v>
      </c>
      <c r="BA779" s="90">
        <v>0</v>
      </c>
      <c r="BB779" s="90">
        <v>0</v>
      </c>
      <c r="BC779" s="90">
        <v>0.87336244541484698</v>
      </c>
      <c r="BD779" s="90">
        <v>0.62340606404080501</v>
      </c>
      <c r="BE779" s="90">
        <v>0</v>
      </c>
    </row>
    <row r="780" spans="2:57" ht="15" customHeight="1" x14ac:dyDescent="0.25">
      <c r="B780" s="91">
        <v>770</v>
      </c>
      <c r="C780" s="92" t="s">
        <v>503</v>
      </c>
      <c r="D780" s="92" t="s">
        <v>57</v>
      </c>
      <c r="E780" s="92" t="s">
        <v>134</v>
      </c>
      <c r="F780" s="92"/>
      <c r="G780" s="93" t="s">
        <v>501</v>
      </c>
      <c r="H780" s="94">
        <v>0</v>
      </c>
      <c r="I780" s="94">
        <v>0</v>
      </c>
      <c r="J780" s="94">
        <v>0</v>
      </c>
      <c r="K780" s="94">
        <v>0</v>
      </c>
      <c r="L780" s="94">
        <v>0</v>
      </c>
      <c r="M780" s="94">
        <v>0</v>
      </c>
      <c r="N780" s="94">
        <v>0</v>
      </c>
      <c r="O780" s="94">
        <v>0</v>
      </c>
      <c r="P780" s="94">
        <v>0</v>
      </c>
      <c r="Q780" s="95">
        <v>0</v>
      </c>
      <c r="R780" s="95">
        <v>0</v>
      </c>
      <c r="S780" s="95">
        <v>0</v>
      </c>
      <c r="T780" s="95">
        <v>0</v>
      </c>
      <c r="U780" s="95">
        <v>0</v>
      </c>
      <c r="V780" s="95">
        <v>0</v>
      </c>
      <c r="W780" s="95">
        <v>0</v>
      </c>
      <c r="X780" s="95">
        <v>0</v>
      </c>
      <c r="Y780" s="95">
        <v>0</v>
      </c>
      <c r="Z780" s="94">
        <v>0</v>
      </c>
      <c r="AA780" s="94">
        <v>0</v>
      </c>
      <c r="AB780" s="94">
        <v>0</v>
      </c>
      <c r="AC780" s="94">
        <v>0</v>
      </c>
      <c r="AD780" s="94">
        <v>0</v>
      </c>
      <c r="AE780" s="94">
        <v>0</v>
      </c>
      <c r="AF780" s="94">
        <v>0</v>
      </c>
      <c r="AG780" s="94">
        <v>0</v>
      </c>
      <c r="AH780" s="94">
        <v>0</v>
      </c>
      <c r="AI780" s="94">
        <v>0</v>
      </c>
      <c r="AJ780" s="94">
        <v>0</v>
      </c>
      <c r="AK780" s="94">
        <v>0</v>
      </c>
      <c r="AL780" s="94">
        <v>0</v>
      </c>
      <c r="AM780" s="94">
        <v>0</v>
      </c>
      <c r="AN780" s="94">
        <v>0</v>
      </c>
      <c r="AO780" s="94">
        <v>0</v>
      </c>
      <c r="AP780" s="95">
        <v>0</v>
      </c>
      <c r="AQ780" s="95">
        <v>0</v>
      </c>
      <c r="AR780" s="95">
        <v>0</v>
      </c>
      <c r="AS780" s="95">
        <v>0</v>
      </c>
      <c r="AT780" s="95">
        <v>0</v>
      </c>
      <c r="AU780" s="95">
        <v>0</v>
      </c>
      <c r="AV780" s="95">
        <v>0</v>
      </c>
      <c r="AW780" s="95">
        <v>0</v>
      </c>
      <c r="AX780" s="95">
        <v>0</v>
      </c>
      <c r="AY780" s="95">
        <v>0</v>
      </c>
      <c r="AZ780" s="95">
        <v>0</v>
      </c>
      <c r="BA780" s="95">
        <v>0</v>
      </c>
      <c r="BB780" s="95">
        <v>0</v>
      </c>
      <c r="BC780" s="95">
        <v>0</v>
      </c>
      <c r="BD780" s="95">
        <v>0</v>
      </c>
      <c r="BE780" s="95">
        <v>0</v>
      </c>
    </row>
    <row r="781" spans="2:57" ht="15" customHeight="1" x14ac:dyDescent="0.25">
      <c r="B781" s="91">
        <v>771</v>
      </c>
      <c r="C781" s="92" t="s">
        <v>503</v>
      </c>
      <c r="D781" s="92" t="s">
        <v>57</v>
      </c>
      <c r="E781" s="92" t="s">
        <v>134</v>
      </c>
      <c r="F781" s="92"/>
      <c r="G781" s="93" t="s">
        <v>502</v>
      </c>
      <c r="H781" s="94">
        <v>2955</v>
      </c>
      <c r="I781" s="94">
        <v>1656</v>
      </c>
      <c r="J781" s="94">
        <v>1299</v>
      </c>
      <c r="K781" s="94">
        <v>116</v>
      </c>
      <c r="L781" s="94">
        <v>697</v>
      </c>
      <c r="M781" s="94">
        <v>1469</v>
      </c>
      <c r="N781" s="94">
        <v>673</v>
      </c>
      <c r="O781" s="94">
        <v>2952</v>
      </c>
      <c r="P781" s="94">
        <v>3</v>
      </c>
      <c r="Q781" s="95">
        <v>0.177430801987225</v>
      </c>
      <c r="R781" s="95">
        <v>0.19267822736030801</v>
      </c>
      <c r="S781" s="95">
        <v>0.15860428231562301</v>
      </c>
      <c r="T781" s="95">
        <v>0</v>
      </c>
      <c r="U781" s="95">
        <v>0</v>
      </c>
      <c r="V781" s="95">
        <v>0.35260930888575498</v>
      </c>
      <c r="W781" s="95">
        <v>0</v>
      </c>
      <c r="X781" s="95">
        <v>0.177619893428064</v>
      </c>
      <c r="Y781" s="95">
        <v>0</v>
      </c>
      <c r="Z781" s="94">
        <v>3950</v>
      </c>
      <c r="AA781" s="94">
        <v>2180</v>
      </c>
      <c r="AB781" s="94">
        <v>1770</v>
      </c>
      <c r="AC781" s="94">
        <v>176</v>
      </c>
      <c r="AD781" s="94">
        <v>807</v>
      </c>
      <c r="AE781" s="94">
        <v>2117</v>
      </c>
      <c r="AF781" s="94">
        <v>850</v>
      </c>
      <c r="AG781" s="94">
        <v>3805</v>
      </c>
      <c r="AH781" s="94">
        <v>124</v>
      </c>
      <c r="AI781" s="94">
        <v>21</v>
      </c>
      <c r="AJ781" s="94">
        <v>3925</v>
      </c>
      <c r="AK781" s="94">
        <v>10</v>
      </c>
      <c r="AL781" s="94">
        <v>15</v>
      </c>
      <c r="AM781" s="94">
        <v>230</v>
      </c>
      <c r="AN781" s="94">
        <v>3653</v>
      </c>
      <c r="AO781" s="94">
        <v>67</v>
      </c>
      <c r="AP781" s="95">
        <v>0.62777923097044197</v>
      </c>
      <c r="AQ781" s="95">
        <v>4.7370914258645203E-2</v>
      </c>
      <c r="AR781" s="95">
        <v>1.3434579439252301</v>
      </c>
      <c r="AS781" s="95">
        <v>1.1764705882352899</v>
      </c>
      <c r="AT781" s="95">
        <v>0.91145833333333304</v>
      </c>
      <c r="AU781" s="95">
        <v>0.68292682926829296</v>
      </c>
      <c r="AV781" s="95">
        <v>0.119760479041916</v>
      </c>
      <c r="AW781" s="95">
        <v>0.65075921908893697</v>
      </c>
      <c r="AX781" s="95">
        <v>0</v>
      </c>
      <c r="AY781" s="95">
        <v>0</v>
      </c>
      <c r="AZ781" s="95">
        <v>0.63174519610423796</v>
      </c>
      <c r="BA781" s="95">
        <v>0</v>
      </c>
      <c r="BB781" s="95">
        <v>0</v>
      </c>
      <c r="BC781" s="95">
        <v>0.87336244541484698</v>
      </c>
      <c r="BD781" s="95">
        <v>0.62340606404080501</v>
      </c>
      <c r="BE781" s="95">
        <v>0</v>
      </c>
    </row>
    <row r="782" spans="2:57" ht="15" customHeight="1" x14ac:dyDescent="0.25">
      <c r="B782" s="96">
        <v>772</v>
      </c>
      <c r="C782" s="97" t="s">
        <v>504</v>
      </c>
      <c r="D782" s="104" t="s">
        <v>57</v>
      </c>
      <c r="E782" s="104" t="s">
        <v>134</v>
      </c>
      <c r="F782" s="104" t="s">
        <v>180</v>
      </c>
      <c r="G782" s="105" t="s">
        <v>180</v>
      </c>
      <c r="H782" s="106">
        <v>2955</v>
      </c>
      <c r="I782" s="106">
        <v>1656</v>
      </c>
      <c r="J782" s="106">
        <v>1299</v>
      </c>
      <c r="K782" s="106">
        <v>116</v>
      </c>
      <c r="L782" s="106">
        <v>697</v>
      </c>
      <c r="M782" s="106">
        <v>1469</v>
      </c>
      <c r="N782" s="106">
        <v>673</v>
      </c>
      <c r="O782" s="106">
        <v>2952</v>
      </c>
      <c r="P782" s="106">
        <v>3</v>
      </c>
      <c r="Q782" s="107">
        <v>0.177430801987225</v>
      </c>
      <c r="R782" s="107">
        <v>0.19267822736030801</v>
      </c>
      <c r="S782" s="107">
        <v>0.15860428231562301</v>
      </c>
      <c r="T782" s="107">
        <v>0</v>
      </c>
      <c r="U782" s="107">
        <v>0</v>
      </c>
      <c r="V782" s="107">
        <v>0.35260930888575498</v>
      </c>
      <c r="W782" s="107">
        <v>0</v>
      </c>
      <c r="X782" s="107">
        <v>0.177619893428064</v>
      </c>
      <c r="Y782" s="107">
        <v>0</v>
      </c>
      <c r="Z782" s="106">
        <v>3950</v>
      </c>
      <c r="AA782" s="106">
        <v>2180</v>
      </c>
      <c r="AB782" s="106">
        <v>1770</v>
      </c>
      <c r="AC782" s="106">
        <v>176</v>
      </c>
      <c r="AD782" s="106">
        <v>807</v>
      </c>
      <c r="AE782" s="106">
        <v>2117</v>
      </c>
      <c r="AF782" s="106">
        <v>850</v>
      </c>
      <c r="AG782" s="106">
        <v>3805</v>
      </c>
      <c r="AH782" s="106">
        <v>124</v>
      </c>
      <c r="AI782" s="106">
        <v>21</v>
      </c>
      <c r="AJ782" s="106">
        <v>3925</v>
      </c>
      <c r="AK782" s="106">
        <v>10</v>
      </c>
      <c r="AL782" s="106">
        <v>15</v>
      </c>
      <c r="AM782" s="106">
        <v>230</v>
      </c>
      <c r="AN782" s="106">
        <v>3653</v>
      </c>
      <c r="AO782" s="106">
        <v>67</v>
      </c>
      <c r="AP782" s="107">
        <v>0.62777923097044197</v>
      </c>
      <c r="AQ782" s="107">
        <v>4.7370914258645203E-2</v>
      </c>
      <c r="AR782" s="107">
        <v>1.3434579439252301</v>
      </c>
      <c r="AS782" s="107">
        <v>1.1764705882352899</v>
      </c>
      <c r="AT782" s="107">
        <v>0.91145833333333304</v>
      </c>
      <c r="AU782" s="107">
        <v>0.68292682926829296</v>
      </c>
      <c r="AV782" s="107">
        <v>0.119760479041916</v>
      </c>
      <c r="AW782" s="107">
        <v>0.65075921908893697</v>
      </c>
      <c r="AX782" s="107">
        <v>0</v>
      </c>
      <c r="AY782" s="107">
        <v>0</v>
      </c>
      <c r="AZ782" s="107">
        <v>0.63174519610423796</v>
      </c>
      <c r="BA782" s="107">
        <v>0</v>
      </c>
      <c r="BB782" s="107">
        <v>0</v>
      </c>
      <c r="BC782" s="107">
        <v>0.87336244541484698</v>
      </c>
      <c r="BD782" s="107">
        <v>0.62340606404080501</v>
      </c>
      <c r="BE782" s="107">
        <v>0</v>
      </c>
    </row>
    <row r="783" spans="2:57" ht="15" customHeight="1" x14ac:dyDescent="0.25">
      <c r="B783" s="91">
        <v>773</v>
      </c>
      <c r="C783" s="92" t="s">
        <v>504</v>
      </c>
      <c r="D783" s="92" t="s">
        <v>57</v>
      </c>
      <c r="E783" s="92" t="s">
        <v>134</v>
      </c>
      <c r="F783" s="92" t="s">
        <v>180</v>
      </c>
      <c r="G783" s="101" t="s">
        <v>501</v>
      </c>
      <c r="H783" s="94">
        <v>0</v>
      </c>
      <c r="I783" s="94">
        <v>0</v>
      </c>
      <c r="J783" s="94">
        <v>0</v>
      </c>
      <c r="K783" s="94">
        <v>0</v>
      </c>
      <c r="L783" s="94">
        <v>0</v>
      </c>
      <c r="M783" s="94">
        <v>0</v>
      </c>
      <c r="N783" s="94">
        <v>0</v>
      </c>
      <c r="O783" s="94">
        <v>0</v>
      </c>
      <c r="P783" s="94">
        <v>0</v>
      </c>
      <c r="Q783" s="95">
        <v>0</v>
      </c>
      <c r="R783" s="95">
        <v>0</v>
      </c>
      <c r="S783" s="95">
        <v>0</v>
      </c>
      <c r="T783" s="95">
        <v>0</v>
      </c>
      <c r="U783" s="95">
        <v>0</v>
      </c>
      <c r="V783" s="95">
        <v>0</v>
      </c>
      <c r="W783" s="95">
        <v>0</v>
      </c>
      <c r="X783" s="95">
        <v>0</v>
      </c>
      <c r="Y783" s="95">
        <v>0</v>
      </c>
      <c r="Z783" s="94">
        <v>0</v>
      </c>
      <c r="AA783" s="94">
        <v>0</v>
      </c>
      <c r="AB783" s="94">
        <v>0</v>
      </c>
      <c r="AC783" s="94">
        <v>0</v>
      </c>
      <c r="AD783" s="94">
        <v>0</v>
      </c>
      <c r="AE783" s="94">
        <v>0</v>
      </c>
      <c r="AF783" s="94">
        <v>0</v>
      </c>
      <c r="AG783" s="94">
        <v>0</v>
      </c>
      <c r="AH783" s="94">
        <v>0</v>
      </c>
      <c r="AI783" s="94">
        <v>0</v>
      </c>
      <c r="AJ783" s="94">
        <v>0</v>
      </c>
      <c r="AK783" s="94">
        <v>0</v>
      </c>
      <c r="AL783" s="94">
        <v>0</v>
      </c>
      <c r="AM783" s="94">
        <v>0</v>
      </c>
      <c r="AN783" s="94">
        <v>0</v>
      </c>
      <c r="AO783" s="94">
        <v>0</v>
      </c>
      <c r="AP783" s="95">
        <v>0</v>
      </c>
      <c r="AQ783" s="95">
        <v>0</v>
      </c>
      <c r="AR783" s="95">
        <v>0</v>
      </c>
      <c r="AS783" s="95">
        <v>0</v>
      </c>
      <c r="AT783" s="95">
        <v>0</v>
      </c>
      <c r="AU783" s="95">
        <v>0</v>
      </c>
      <c r="AV783" s="95">
        <v>0</v>
      </c>
      <c r="AW783" s="95">
        <v>0</v>
      </c>
      <c r="AX783" s="95">
        <v>0</v>
      </c>
      <c r="AY783" s="95">
        <v>0</v>
      </c>
      <c r="AZ783" s="95">
        <v>0</v>
      </c>
      <c r="BA783" s="95">
        <v>0</v>
      </c>
      <c r="BB783" s="95">
        <v>0</v>
      </c>
      <c r="BC783" s="95">
        <v>0</v>
      </c>
      <c r="BD783" s="95">
        <v>0</v>
      </c>
      <c r="BE783" s="95">
        <v>0</v>
      </c>
    </row>
    <row r="784" spans="2:57" ht="15" customHeight="1" x14ac:dyDescent="0.25">
      <c r="B784" s="91">
        <v>774</v>
      </c>
      <c r="C784" s="92" t="s">
        <v>504</v>
      </c>
      <c r="D784" s="92" t="s">
        <v>57</v>
      </c>
      <c r="E784" s="92" t="s">
        <v>134</v>
      </c>
      <c r="F784" s="92" t="s">
        <v>180</v>
      </c>
      <c r="G784" s="101" t="s">
        <v>502</v>
      </c>
      <c r="H784" s="94">
        <v>2955</v>
      </c>
      <c r="I784" s="94">
        <v>1656</v>
      </c>
      <c r="J784" s="94">
        <v>1299</v>
      </c>
      <c r="K784" s="94">
        <v>116</v>
      </c>
      <c r="L784" s="94">
        <v>697</v>
      </c>
      <c r="M784" s="94">
        <v>1469</v>
      </c>
      <c r="N784" s="94">
        <v>673</v>
      </c>
      <c r="O784" s="94">
        <v>2952</v>
      </c>
      <c r="P784" s="94">
        <v>3</v>
      </c>
      <c r="Q784" s="95">
        <v>0.177430801987225</v>
      </c>
      <c r="R784" s="95">
        <v>0.19267822736030801</v>
      </c>
      <c r="S784" s="95">
        <v>0.15860428231562301</v>
      </c>
      <c r="T784" s="95">
        <v>0</v>
      </c>
      <c r="U784" s="95">
        <v>0</v>
      </c>
      <c r="V784" s="95">
        <v>0.35260930888575498</v>
      </c>
      <c r="W784" s="95">
        <v>0</v>
      </c>
      <c r="X784" s="95">
        <v>0.177619893428064</v>
      </c>
      <c r="Y784" s="95">
        <v>0</v>
      </c>
      <c r="Z784" s="94">
        <v>3950</v>
      </c>
      <c r="AA784" s="94">
        <v>2180</v>
      </c>
      <c r="AB784" s="94">
        <v>1770</v>
      </c>
      <c r="AC784" s="94">
        <v>176</v>
      </c>
      <c r="AD784" s="94">
        <v>807</v>
      </c>
      <c r="AE784" s="94">
        <v>2117</v>
      </c>
      <c r="AF784" s="94">
        <v>850</v>
      </c>
      <c r="AG784" s="94">
        <v>3805</v>
      </c>
      <c r="AH784" s="94">
        <v>124</v>
      </c>
      <c r="AI784" s="94">
        <v>21</v>
      </c>
      <c r="AJ784" s="94">
        <v>3925</v>
      </c>
      <c r="AK784" s="94">
        <v>10</v>
      </c>
      <c r="AL784" s="94">
        <v>15</v>
      </c>
      <c r="AM784" s="94">
        <v>230</v>
      </c>
      <c r="AN784" s="94">
        <v>3653</v>
      </c>
      <c r="AO784" s="94">
        <v>67</v>
      </c>
      <c r="AP784" s="95">
        <v>0.62777923097044197</v>
      </c>
      <c r="AQ784" s="95">
        <v>4.7370914258645203E-2</v>
      </c>
      <c r="AR784" s="95">
        <v>1.3434579439252301</v>
      </c>
      <c r="AS784" s="95">
        <v>1.1764705882352899</v>
      </c>
      <c r="AT784" s="95">
        <v>0.91145833333333304</v>
      </c>
      <c r="AU784" s="95">
        <v>0.68292682926829296</v>
      </c>
      <c r="AV784" s="95">
        <v>0.119760479041916</v>
      </c>
      <c r="AW784" s="95">
        <v>0.65075921908893697</v>
      </c>
      <c r="AX784" s="95">
        <v>0</v>
      </c>
      <c r="AY784" s="95">
        <v>0</v>
      </c>
      <c r="AZ784" s="95">
        <v>0.63174519610423796</v>
      </c>
      <c r="BA784" s="95">
        <v>0</v>
      </c>
      <c r="BB784" s="95">
        <v>0</v>
      </c>
      <c r="BC784" s="95">
        <v>0.87336244541484698</v>
      </c>
      <c r="BD784" s="95">
        <v>0.62340606404080501</v>
      </c>
      <c r="BE784" s="95">
        <v>0</v>
      </c>
    </row>
    <row r="785" spans="2:57" ht="15" customHeight="1" x14ac:dyDescent="0.25">
      <c r="B785" s="86">
        <v>775</v>
      </c>
      <c r="C785" s="87" t="s">
        <v>503</v>
      </c>
      <c r="D785" s="103" t="s">
        <v>57</v>
      </c>
      <c r="E785" s="103" t="s">
        <v>382</v>
      </c>
      <c r="F785" s="103"/>
      <c r="G785" s="88" t="s">
        <v>382</v>
      </c>
      <c r="H785" s="89">
        <v>6880</v>
      </c>
      <c r="I785" s="89">
        <v>4189</v>
      </c>
      <c r="J785" s="89">
        <v>2691</v>
      </c>
      <c r="K785" s="89">
        <v>215</v>
      </c>
      <c r="L785" s="89">
        <v>1601</v>
      </c>
      <c r="M785" s="89">
        <v>3766</v>
      </c>
      <c r="N785" s="89">
        <v>1298</v>
      </c>
      <c r="O785" s="89">
        <v>6874</v>
      </c>
      <c r="P785" s="89">
        <v>6</v>
      </c>
      <c r="Q785" s="90">
        <v>0.51530766899060299</v>
      </c>
      <c r="R785" s="90">
        <v>0.37257824143070001</v>
      </c>
      <c r="S785" s="90">
        <v>0.73872472783825804</v>
      </c>
      <c r="T785" s="90">
        <v>1.5625</v>
      </c>
      <c r="U785" s="90">
        <v>0.52980132450331097</v>
      </c>
      <c r="V785" s="90">
        <v>0.467289719626168</v>
      </c>
      <c r="W785" s="90">
        <v>0.47694753577106502</v>
      </c>
      <c r="X785" s="90">
        <v>0.51569846807219799</v>
      </c>
      <c r="Y785" s="90">
        <v>0</v>
      </c>
      <c r="Z785" s="89">
        <v>7433</v>
      </c>
      <c r="AA785" s="89">
        <v>4390</v>
      </c>
      <c r="AB785" s="89">
        <v>3043</v>
      </c>
      <c r="AC785" s="89">
        <v>229</v>
      </c>
      <c r="AD785" s="89">
        <v>1569</v>
      </c>
      <c r="AE785" s="89">
        <v>4100</v>
      </c>
      <c r="AF785" s="89">
        <v>1535</v>
      </c>
      <c r="AG785" s="89">
        <v>5688</v>
      </c>
      <c r="AH785" s="89">
        <v>1699</v>
      </c>
      <c r="AI785" s="89">
        <v>46</v>
      </c>
      <c r="AJ785" s="89">
        <v>7393</v>
      </c>
      <c r="AK785" s="89">
        <v>10</v>
      </c>
      <c r="AL785" s="89">
        <v>30</v>
      </c>
      <c r="AM785" s="89">
        <v>499</v>
      </c>
      <c r="AN785" s="89">
        <v>6843</v>
      </c>
      <c r="AO785" s="89">
        <v>91</v>
      </c>
      <c r="AP785" s="90">
        <v>1.7156518070594899</v>
      </c>
      <c r="AQ785" s="90">
        <v>0.71157495256167003</v>
      </c>
      <c r="AR785" s="90">
        <v>3.17789291882556</v>
      </c>
      <c r="AS785" s="90">
        <v>1.8779342723004699</v>
      </c>
      <c r="AT785" s="90">
        <v>2.7572293207800902</v>
      </c>
      <c r="AU785" s="90">
        <v>1.6091954022988499</v>
      </c>
      <c r="AV785" s="90">
        <v>0.935828877005348</v>
      </c>
      <c r="AW785" s="90">
        <v>1.3595443689141999</v>
      </c>
      <c r="AX785" s="90">
        <v>2.95566502463054</v>
      </c>
      <c r="AY785" s="90">
        <v>0</v>
      </c>
      <c r="AZ785" s="90">
        <v>1.72462538874753</v>
      </c>
      <c r="BA785" s="90">
        <v>0</v>
      </c>
      <c r="BB785" s="90">
        <v>0</v>
      </c>
      <c r="BC785" s="90">
        <v>1.6597510373444</v>
      </c>
      <c r="BD785" s="90">
        <v>1.74205378973105</v>
      </c>
      <c r="BE785" s="90">
        <v>0</v>
      </c>
    </row>
    <row r="786" spans="2:57" ht="15" customHeight="1" x14ac:dyDescent="0.25">
      <c r="B786" s="91">
        <v>776</v>
      </c>
      <c r="C786" s="92" t="s">
        <v>503</v>
      </c>
      <c r="D786" s="92" t="s">
        <v>57</v>
      </c>
      <c r="E786" s="92" t="s">
        <v>382</v>
      </c>
      <c r="F786" s="92"/>
      <c r="G786" s="93" t="s">
        <v>501</v>
      </c>
      <c r="H786" s="94">
        <v>2157</v>
      </c>
      <c r="I786" s="94">
        <v>1244</v>
      </c>
      <c r="J786" s="94">
        <v>913</v>
      </c>
      <c r="K786" s="94">
        <v>59</v>
      </c>
      <c r="L786" s="94">
        <v>530</v>
      </c>
      <c r="M786" s="94">
        <v>1251</v>
      </c>
      <c r="N786" s="94">
        <v>317</v>
      </c>
      <c r="O786" s="94">
        <v>2153</v>
      </c>
      <c r="P786" s="94">
        <v>4</v>
      </c>
      <c r="Q786" s="95">
        <v>0.94952523738130901</v>
      </c>
      <c r="R786" s="95">
        <v>0.60606060606060597</v>
      </c>
      <c r="S786" s="95">
        <v>1.4184397163120599</v>
      </c>
      <c r="T786" s="95">
        <v>3.9215686274509798</v>
      </c>
      <c r="U786" s="95">
        <v>0.84388185654008396</v>
      </c>
      <c r="V786" s="95">
        <v>0.93220338983050899</v>
      </c>
      <c r="W786" s="95">
        <v>0.67567567567567599</v>
      </c>
      <c r="X786" s="95">
        <v>0.95095095095095095</v>
      </c>
      <c r="Y786" s="95">
        <v>0</v>
      </c>
      <c r="Z786" s="94">
        <v>1911</v>
      </c>
      <c r="AA786" s="94">
        <v>1031</v>
      </c>
      <c r="AB786" s="94">
        <v>880</v>
      </c>
      <c r="AC786" s="94">
        <v>43</v>
      </c>
      <c r="AD786" s="94">
        <v>407</v>
      </c>
      <c r="AE786" s="94">
        <v>1122</v>
      </c>
      <c r="AF786" s="94">
        <v>339</v>
      </c>
      <c r="AG786" s="94">
        <v>1011</v>
      </c>
      <c r="AH786" s="94">
        <v>881</v>
      </c>
      <c r="AI786" s="94">
        <v>19</v>
      </c>
      <c r="AJ786" s="94">
        <v>1902</v>
      </c>
      <c r="AK786" s="94">
        <v>2</v>
      </c>
      <c r="AL786" s="94">
        <v>7</v>
      </c>
      <c r="AM786" s="94">
        <v>138</v>
      </c>
      <c r="AN786" s="94">
        <v>1758</v>
      </c>
      <c r="AO786" s="94">
        <v>15</v>
      </c>
      <c r="AP786" s="95">
        <v>3.4558420186505798</v>
      </c>
      <c r="AQ786" s="95">
        <v>1.4344262295082</v>
      </c>
      <c r="AR786" s="95">
        <v>5.7851239669421499</v>
      </c>
      <c r="AS786" s="95">
        <v>2.4390243902439002</v>
      </c>
      <c r="AT786" s="95">
        <v>5.1679586563307502</v>
      </c>
      <c r="AU786" s="95">
        <v>3.48399246704331</v>
      </c>
      <c r="AV786" s="95">
        <v>1.5015015015015001</v>
      </c>
      <c r="AW786" s="95">
        <v>2.6915113871635601</v>
      </c>
      <c r="AX786" s="95">
        <v>4.4047619047619104</v>
      </c>
      <c r="AY786" s="95">
        <v>0</v>
      </c>
      <c r="AZ786" s="95">
        <v>3.4729878721058398</v>
      </c>
      <c r="BA786" s="95">
        <v>0</v>
      </c>
      <c r="BB786" s="95">
        <v>0</v>
      </c>
      <c r="BC786" s="95">
        <v>3.7878787878787898</v>
      </c>
      <c r="BD786" s="95">
        <v>3.4564958283671001</v>
      </c>
      <c r="BE786" s="95">
        <v>0</v>
      </c>
    </row>
    <row r="787" spans="2:57" ht="15" customHeight="1" x14ac:dyDescent="0.25">
      <c r="B787" s="91">
        <v>777</v>
      </c>
      <c r="C787" s="92" t="s">
        <v>503</v>
      </c>
      <c r="D787" s="92" t="s">
        <v>57</v>
      </c>
      <c r="E787" s="92" t="s">
        <v>382</v>
      </c>
      <c r="F787" s="92"/>
      <c r="G787" s="93" t="s">
        <v>502</v>
      </c>
      <c r="H787" s="94">
        <v>4723</v>
      </c>
      <c r="I787" s="94">
        <v>2945</v>
      </c>
      <c r="J787" s="94">
        <v>1778</v>
      </c>
      <c r="K787" s="94">
        <v>156</v>
      </c>
      <c r="L787" s="94">
        <v>1071</v>
      </c>
      <c r="M787" s="94">
        <v>2515</v>
      </c>
      <c r="N787" s="94">
        <v>981</v>
      </c>
      <c r="O787" s="94">
        <v>4721</v>
      </c>
      <c r="P787" s="94">
        <v>2</v>
      </c>
      <c r="Q787" s="95">
        <v>0.32629976071350902</v>
      </c>
      <c r="R787" s="95">
        <v>0.27864855451062298</v>
      </c>
      <c r="S787" s="95">
        <v>0.40556199304750901</v>
      </c>
      <c r="T787" s="95">
        <v>0.70921985815602795</v>
      </c>
      <c r="U787" s="95">
        <v>0.38610038610038599</v>
      </c>
      <c r="V787" s="95">
        <v>0.244100895036615</v>
      </c>
      <c r="W787" s="95">
        <v>0.41580041580041599</v>
      </c>
      <c r="X787" s="95">
        <v>0.32644178454842199</v>
      </c>
      <c r="Y787" s="95">
        <v>0</v>
      </c>
      <c r="Z787" s="94">
        <v>5522</v>
      </c>
      <c r="AA787" s="94">
        <v>3359</v>
      </c>
      <c r="AB787" s="94">
        <v>2163</v>
      </c>
      <c r="AC787" s="94">
        <v>186</v>
      </c>
      <c r="AD787" s="94">
        <v>1162</v>
      </c>
      <c r="AE787" s="94">
        <v>2978</v>
      </c>
      <c r="AF787" s="94">
        <v>1196</v>
      </c>
      <c r="AG787" s="94">
        <v>4677</v>
      </c>
      <c r="AH787" s="94">
        <v>818</v>
      </c>
      <c r="AI787" s="94">
        <v>27</v>
      </c>
      <c r="AJ787" s="94">
        <v>5491</v>
      </c>
      <c r="AK787" s="94">
        <v>8</v>
      </c>
      <c r="AL787" s="94">
        <v>23</v>
      </c>
      <c r="AM787" s="94">
        <v>361</v>
      </c>
      <c r="AN787" s="94">
        <v>5085</v>
      </c>
      <c r="AO787" s="94">
        <v>76</v>
      </c>
      <c r="AP787" s="95">
        <v>1.11573373676248</v>
      </c>
      <c r="AQ787" s="95">
        <v>0.49382716049382702</v>
      </c>
      <c r="AR787" s="95">
        <v>2.099609375</v>
      </c>
      <c r="AS787" s="95">
        <v>1.7441860465116299</v>
      </c>
      <c r="AT787" s="95">
        <v>1.9090909090909101</v>
      </c>
      <c r="AU787" s="95">
        <v>0.91132141605327699</v>
      </c>
      <c r="AV787" s="95">
        <v>0.77386070507308702</v>
      </c>
      <c r="AW787" s="95">
        <v>1.0721465266919801</v>
      </c>
      <c r="AX787" s="95">
        <v>1.4030612244898</v>
      </c>
      <c r="AY787" s="95">
        <v>0</v>
      </c>
      <c r="AZ787" s="95">
        <v>1.12167300380228</v>
      </c>
      <c r="BA787" s="95">
        <v>0</v>
      </c>
      <c r="BB787" s="95">
        <v>0</v>
      </c>
      <c r="BC787" s="95">
        <v>0.85714285714285698</v>
      </c>
      <c r="BD787" s="95">
        <v>1.1508425811755001</v>
      </c>
      <c r="BE787" s="95">
        <v>0</v>
      </c>
    </row>
    <row r="788" spans="2:57" ht="15" customHeight="1" x14ac:dyDescent="0.25">
      <c r="B788" s="96">
        <v>778</v>
      </c>
      <c r="C788" s="97" t="s">
        <v>504</v>
      </c>
      <c r="D788" s="104" t="s">
        <v>57</v>
      </c>
      <c r="E788" s="104" t="s">
        <v>382</v>
      </c>
      <c r="F788" s="104" t="s">
        <v>323</v>
      </c>
      <c r="G788" s="105" t="s">
        <v>323</v>
      </c>
      <c r="H788" s="106">
        <v>6880</v>
      </c>
      <c r="I788" s="106">
        <v>4189</v>
      </c>
      <c r="J788" s="106">
        <v>2691</v>
      </c>
      <c r="K788" s="106">
        <v>215</v>
      </c>
      <c r="L788" s="106">
        <v>1601</v>
      </c>
      <c r="M788" s="106">
        <v>3766</v>
      </c>
      <c r="N788" s="106">
        <v>1298</v>
      </c>
      <c r="O788" s="106">
        <v>6874</v>
      </c>
      <c r="P788" s="106">
        <v>6</v>
      </c>
      <c r="Q788" s="107">
        <v>0.51530766899060299</v>
      </c>
      <c r="R788" s="107">
        <v>0.37257824143070001</v>
      </c>
      <c r="S788" s="107">
        <v>0.73872472783825804</v>
      </c>
      <c r="T788" s="107">
        <v>1.5625</v>
      </c>
      <c r="U788" s="107">
        <v>0.52980132450331097</v>
      </c>
      <c r="V788" s="107">
        <v>0.467289719626168</v>
      </c>
      <c r="W788" s="107">
        <v>0.47694753577106502</v>
      </c>
      <c r="X788" s="107">
        <v>0.51569846807219799</v>
      </c>
      <c r="Y788" s="107">
        <v>0</v>
      </c>
      <c r="Z788" s="106">
        <v>7433</v>
      </c>
      <c r="AA788" s="106">
        <v>4390</v>
      </c>
      <c r="AB788" s="106">
        <v>3043</v>
      </c>
      <c r="AC788" s="106">
        <v>229</v>
      </c>
      <c r="AD788" s="106">
        <v>1569</v>
      </c>
      <c r="AE788" s="106">
        <v>4100</v>
      </c>
      <c r="AF788" s="106">
        <v>1535</v>
      </c>
      <c r="AG788" s="106">
        <v>5688</v>
      </c>
      <c r="AH788" s="106">
        <v>1699</v>
      </c>
      <c r="AI788" s="106">
        <v>46</v>
      </c>
      <c r="AJ788" s="106">
        <v>7393</v>
      </c>
      <c r="AK788" s="106">
        <v>10</v>
      </c>
      <c r="AL788" s="106">
        <v>30</v>
      </c>
      <c r="AM788" s="106">
        <v>499</v>
      </c>
      <c r="AN788" s="106">
        <v>6843</v>
      </c>
      <c r="AO788" s="106">
        <v>91</v>
      </c>
      <c r="AP788" s="107">
        <v>1.7156518070594899</v>
      </c>
      <c r="AQ788" s="107">
        <v>0.71157495256167003</v>
      </c>
      <c r="AR788" s="107">
        <v>3.17789291882556</v>
      </c>
      <c r="AS788" s="107">
        <v>1.8779342723004699</v>
      </c>
      <c r="AT788" s="107">
        <v>2.7572293207800902</v>
      </c>
      <c r="AU788" s="107">
        <v>1.6091954022988499</v>
      </c>
      <c r="AV788" s="107">
        <v>0.935828877005348</v>
      </c>
      <c r="AW788" s="107">
        <v>1.3595443689141999</v>
      </c>
      <c r="AX788" s="107">
        <v>2.95566502463054</v>
      </c>
      <c r="AY788" s="107">
        <v>0</v>
      </c>
      <c r="AZ788" s="107">
        <v>1.72462538874753</v>
      </c>
      <c r="BA788" s="107">
        <v>0</v>
      </c>
      <c r="BB788" s="107">
        <v>0</v>
      </c>
      <c r="BC788" s="107">
        <v>1.6597510373444</v>
      </c>
      <c r="BD788" s="107">
        <v>1.74205378973105</v>
      </c>
      <c r="BE788" s="107">
        <v>0</v>
      </c>
    </row>
    <row r="789" spans="2:57" ht="15" customHeight="1" x14ac:dyDescent="0.25">
      <c r="B789" s="91">
        <v>779</v>
      </c>
      <c r="C789" s="92" t="s">
        <v>504</v>
      </c>
      <c r="D789" s="92" t="s">
        <v>57</v>
      </c>
      <c r="E789" s="92" t="s">
        <v>382</v>
      </c>
      <c r="F789" s="92" t="s">
        <v>323</v>
      </c>
      <c r="G789" s="101" t="s">
        <v>501</v>
      </c>
      <c r="H789" s="94">
        <v>2157</v>
      </c>
      <c r="I789" s="94">
        <v>1244</v>
      </c>
      <c r="J789" s="94">
        <v>913</v>
      </c>
      <c r="K789" s="94">
        <v>59</v>
      </c>
      <c r="L789" s="94">
        <v>530</v>
      </c>
      <c r="M789" s="94">
        <v>1251</v>
      </c>
      <c r="N789" s="94">
        <v>317</v>
      </c>
      <c r="O789" s="94">
        <v>2153</v>
      </c>
      <c r="P789" s="94">
        <v>4</v>
      </c>
      <c r="Q789" s="95">
        <v>0.94952523738130901</v>
      </c>
      <c r="R789" s="95">
        <v>0.60606060606060597</v>
      </c>
      <c r="S789" s="95">
        <v>1.4184397163120599</v>
      </c>
      <c r="T789" s="95">
        <v>3.9215686274509798</v>
      </c>
      <c r="U789" s="95">
        <v>0.84388185654008396</v>
      </c>
      <c r="V789" s="95">
        <v>0.93220338983050899</v>
      </c>
      <c r="W789" s="95">
        <v>0.67567567567567599</v>
      </c>
      <c r="X789" s="95">
        <v>0.95095095095095095</v>
      </c>
      <c r="Y789" s="95">
        <v>0</v>
      </c>
      <c r="Z789" s="94">
        <v>1911</v>
      </c>
      <c r="AA789" s="94">
        <v>1031</v>
      </c>
      <c r="AB789" s="94">
        <v>880</v>
      </c>
      <c r="AC789" s="94">
        <v>43</v>
      </c>
      <c r="AD789" s="94">
        <v>407</v>
      </c>
      <c r="AE789" s="94">
        <v>1122</v>
      </c>
      <c r="AF789" s="94">
        <v>339</v>
      </c>
      <c r="AG789" s="94">
        <v>1011</v>
      </c>
      <c r="AH789" s="94">
        <v>881</v>
      </c>
      <c r="AI789" s="94">
        <v>19</v>
      </c>
      <c r="AJ789" s="94">
        <v>1902</v>
      </c>
      <c r="AK789" s="94">
        <v>2</v>
      </c>
      <c r="AL789" s="94">
        <v>7</v>
      </c>
      <c r="AM789" s="94">
        <v>138</v>
      </c>
      <c r="AN789" s="94">
        <v>1758</v>
      </c>
      <c r="AO789" s="94">
        <v>15</v>
      </c>
      <c r="AP789" s="95">
        <v>3.4558420186505798</v>
      </c>
      <c r="AQ789" s="95">
        <v>1.4344262295082</v>
      </c>
      <c r="AR789" s="95">
        <v>5.7851239669421499</v>
      </c>
      <c r="AS789" s="95">
        <v>2.4390243902439002</v>
      </c>
      <c r="AT789" s="95">
        <v>5.1679586563307502</v>
      </c>
      <c r="AU789" s="95">
        <v>3.48399246704331</v>
      </c>
      <c r="AV789" s="95">
        <v>1.5015015015015001</v>
      </c>
      <c r="AW789" s="95">
        <v>2.6915113871635601</v>
      </c>
      <c r="AX789" s="95">
        <v>4.4047619047619104</v>
      </c>
      <c r="AY789" s="95">
        <v>0</v>
      </c>
      <c r="AZ789" s="95">
        <v>3.4729878721058398</v>
      </c>
      <c r="BA789" s="95">
        <v>0</v>
      </c>
      <c r="BB789" s="95">
        <v>0</v>
      </c>
      <c r="BC789" s="95">
        <v>3.7878787878787898</v>
      </c>
      <c r="BD789" s="95">
        <v>3.4564958283671001</v>
      </c>
      <c r="BE789" s="95">
        <v>0</v>
      </c>
    </row>
    <row r="790" spans="2:57" ht="15" customHeight="1" x14ac:dyDescent="0.25">
      <c r="B790" s="91">
        <v>780</v>
      </c>
      <c r="C790" s="92" t="s">
        <v>504</v>
      </c>
      <c r="D790" s="92" t="s">
        <v>57</v>
      </c>
      <c r="E790" s="92" t="s">
        <v>382</v>
      </c>
      <c r="F790" s="92" t="s">
        <v>323</v>
      </c>
      <c r="G790" s="101" t="s">
        <v>502</v>
      </c>
      <c r="H790" s="94">
        <v>4723</v>
      </c>
      <c r="I790" s="94">
        <v>2945</v>
      </c>
      <c r="J790" s="94">
        <v>1778</v>
      </c>
      <c r="K790" s="94">
        <v>156</v>
      </c>
      <c r="L790" s="94">
        <v>1071</v>
      </c>
      <c r="M790" s="94">
        <v>2515</v>
      </c>
      <c r="N790" s="94">
        <v>981</v>
      </c>
      <c r="O790" s="94">
        <v>4721</v>
      </c>
      <c r="P790" s="94">
        <v>2</v>
      </c>
      <c r="Q790" s="95">
        <v>0.32629976071350902</v>
      </c>
      <c r="R790" s="95">
        <v>0.27864855451062298</v>
      </c>
      <c r="S790" s="95">
        <v>0.40556199304750901</v>
      </c>
      <c r="T790" s="95">
        <v>0.70921985815602795</v>
      </c>
      <c r="U790" s="95">
        <v>0.38610038610038599</v>
      </c>
      <c r="V790" s="95">
        <v>0.244100895036615</v>
      </c>
      <c r="W790" s="95">
        <v>0.41580041580041599</v>
      </c>
      <c r="X790" s="95">
        <v>0.32644178454842199</v>
      </c>
      <c r="Y790" s="95">
        <v>0</v>
      </c>
      <c r="Z790" s="94">
        <v>5522</v>
      </c>
      <c r="AA790" s="94">
        <v>3359</v>
      </c>
      <c r="AB790" s="94">
        <v>2163</v>
      </c>
      <c r="AC790" s="94">
        <v>186</v>
      </c>
      <c r="AD790" s="94">
        <v>1162</v>
      </c>
      <c r="AE790" s="94">
        <v>2978</v>
      </c>
      <c r="AF790" s="94">
        <v>1196</v>
      </c>
      <c r="AG790" s="94">
        <v>4677</v>
      </c>
      <c r="AH790" s="94">
        <v>818</v>
      </c>
      <c r="AI790" s="94">
        <v>27</v>
      </c>
      <c r="AJ790" s="94">
        <v>5491</v>
      </c>
      <c r="AK790" s="94">
        <v>8</v>
      </c>
      <c r="AL790" s="94">
        <v>23</v>
      </c>
      <c r="AM790" s="94">
        <v>361</v>
      </c>
      <c r="AN790" s="94">
        <v>5085</v>
      </c>
      <c r="AO790" s="94">
        <v>76</v>
      </c>
      <c r="AP790" s="95">
        <v>1.11573373676248</v>
      </c>
      <c r="AQ790" s="95">
        <v>0.49382716049382702</v>
      </c>
      <c r="AR790" s="95">
        <v>2.099609375</v>
      </c>
      <c r="AS790" s="95">
        <v>1.7441860465116299</v>
      </c>
      <c r="AT790" s="95">
        <v>1.9090909090909101</v>
      </c>
      <c r="AU790" s="95">
        <v>0.91132141605327699</v>
      </c>
      <c r="AV790" s="95">
        <v>0.77386070507308702</v>
      </c>
      <c r="AW790" s="95">
        <v>1.0721465266919801</v>
      </c>
      <c r="AX790" s="95">
        <v>1.4030612244898</v>
      </c>
      <c r="AY790" s="95">
        <v>0</v>
      </c>
      <c r="AZ790" s="95">
        <v>1.12167300380228</v>
      </c>
      <c r="BA790" s="95">
        <v>0</v>
      </c>
      <c r="BB790" s="95">
        <v>0</v>
      </c>
      <c r="BC790" s="95">
        <v>0.85714285714285698</v>
      </c>
      <c r="BD790" s="95">
        <v>1.1508425811755001</v>
      </c>
      <c r="BE790" s="95">
        <v>0</v>
      </c>
    </row>
    <row r="791" spans="2:57" ht="15" customHeight="1" x14ac:dyDescent="0.25">
      <c r="B791" s="86">
        <v>781</v>
      </c>
      <c r="C791" s="87" t="s">
        <v>503</v>
      </c>
      <c r="D791" s="103" t="s">
        <v>57</v>
      </c>
      <c r="E791" s="103" t="s">
        <v>383</v>
      </c>
      <c r="F791" s="103"/>
      <c r="G791" s="88" t="s">
        <v>383</v>
      </c>
      <c r="H791" s="89">
        <v>940</v>
      </c>
      <c r="I791" s="89">
        <v>540</v>
      </c>
      <c r="J791" s="89">
        <v>400</v>
      </c>
      <c r="K791" s="89">
        <v>14</v>
      </c>
      <c r="L791" s="89">
        <v>320</v>
      </c>
      <c r="M791" s="89">
        <v>496</v>
      </c>
      <c r="N791" s="89">
        <v>110</v>
      </c>
      <c r="O791" s="89">
        <v>931</v>
      </c>
      <c r="P791" s="89">
        <v>9</v>
      </c>
      <c r="Q791" s="90">
        <v>0.112233445566779</v>
      </c>
      <c r="R791" s="90">
        <v>0</v>
      </c>
      <c r="S791" s="90">
        <v>0.266666666666667</v>
      </c>
      <c r="T791" s="90">
        <v>0</v>
      </c>
      <c r="U791" s="90">
        <v>0</v>
      </c>
      <c r="V791" s="90">
        <v>0.21008403361344499</v>
      </c>
      <c r="W791" s="90">
        <v>0</v>
      </c>
      <c r="X791" s="90">
        <v>0.11337868480725601</v>
      </c>
      <c r="Y791" s="90">
        <v>0</v>
      </c>
      <c r="Z791" s="89">
        <v>1747</v>
      </c>
      <c r="AA791" s="89">
        <v>960</v>
      </c>
      <c r="AB791" s="89">
        <v>787</v>
      </c>
      <c r="AC791" s="89">
        <v>79</v>
      </c>
      <c r="AD791" s="89">
        <v>476</v>
      </c>
      <c r="AE791" s="89">
        <v>1017</v>
      </c>
      <c r="AF791" s="89">
        <v>175</v>
      </c>
      <c r="AG791" s="89">
        <v>1133</v>
      </c>
      <c r="AH791" s="89">
        <v>601</v>
      </c>
      <c r="AI791" s="89">
        <v>13</v>
      </c>
      <c r="AJ791" s="89">
        <v>1655</v>
      </c>
      <c r="AK791" s="89">
        <v>87</v>
      </c>
      <c r="AL791" s="89">
        <v>5</v>
      </c>
      <c r="AM791" s="89">
        <v>70</v>
      </c>
      <c r="AN791" s="89">
        <v>1670</v>
      </c>
      <c r="AO791" s="89">
        <v>7</v>
      </c>
      <c r="AP791" s="90">
        <v>1.0119047619047601</v>
      </c>
      <c r="AQ791" s="90">
        <v>0.64864864864864902</v>
      </c>
      <c r="AR791" s="90">
        <v>1.4569536423841101</v>
      </c>
      <c r="AS791" s="90">
        <v>2.6315789473684199</v>
      </c>
      <c r="AT791" s="90">
        <v>1.1086474501108601</v>
      </c>
      <c r="AU791" s="90">
        <v>1.0204081632653099</v>
      </c>
      <c r="AV791" s="90">
        <v>0</v>
      </c>
      <c r="AW791" s="90">
        <v>0.82191780821917804</v>
      </c>
      <c r="AX791" s="90">
        <v>1.39616055846422</v>
      </c>
      <c r="AY791" s="90">
        <v>0</v>
      </c>
      <c r="AZ791" s="90">
        <v>1.0043942247332101</v>
      </c>
      <c r="BA791" s="90">
        <v>1.2195121951219501</v>
      </c>
      <c r="BB791" s="90">
        <v>0</v>
      </c>
      <c r="BC791" s="90">
        <v>1.51515151515152</v>
      </c>
      <c r="BD791" s="90">
        <v>0.99502487562189101</v>
      </c>
      <c r="BE791" s="90">
        <v>0</v>
      </c>
    </row>
    <row r="792" spans="2:57" ht="15" customHeight="1" x14ac:dyDescent="0.25">
      <c r="B792" s="91">
        <v>782</v>
      </c>
      <c r="C792" s="92" t="s">
        <v>503</v>
      </c>
      <c r="D792" s="92" t="s">
        <v>57</v>
      </c>
      <c r="E792" s="92" t="s">
        <v>383</v>
      </c>
      <c r="F792" s="92"/>
      <c r="G792" s="93" t="s">
        <v>501</v>
      </c>
      <c r="H792" s="94">
        <v>0</v>
      </c>
      <c r="I792" s="94">
        <v>0</v>
      </c>
      <c r="J792" s="94">
        <v>0</v>
      </c>
      <c r="K792" s="94">
        <v>0</v>
      </c>
      <c r="L792" s="94">
        <v>0</v>
      </c>
      <c r="M792" s="94">
        <v>0</v>
      </c>
      <c r="N792" s="94">
        <v>0</v>
      </c>
      <c r="O792" s="94">
        <v>0</v>
      </c>
      <c r="P792" s="94">
        <v>0</v>
      </c>
      <c r="Q792" s="95">
        <v>0</v>
      </c>
      <c r="R792" s="95">
        <v>0</v>
      </c>
      <c r="S792" s="95">
        <v>0</v>
      </c>
      <c r="T792" s="95">
        <v>0</v>
      </c>
      <c r="U792" s="95">
        <v>0</v>
      </c>
      <c r="V792" s="95">
        <v>0</v>
      </c>
      <c r="W792" s="95">
        <v>0</v>
      </c>
      <c r="X792" s="95">
        <v>0</v>
      </c>
      <c r="Y792" s="95">
        <v>0</v>
      </c>
      <c r="Z792" s="94">
        <v>0</v>
      </c>
      <c r="AA792" s="94">
        <v>0</v>
      </c>
      <c r="AB792" s="94">
        <v>0</v>
      </c>
      <c r="AC792" s="94">
        <v>0</v>
      </c>
      <c r="AD792" s="94">
        <v>0</v>
      </c>
      <c r="AE792" s="94">
        <v>0</v>
      </c>
      <c r="AF792" s="94">
        <v>0</v>
      </c>
      <c r="AG792" s="94">
        <v>0</v>
      </c>
      <c r="AH792" s="94">
        <v>0</v>
      </c>
      <c r="AI792" s="94">
        <v>0</v>
      </c>
      <c r="AJ792" s="94">
        <v>0</v>
      </c>
      <c r="AK792" s="94">
        <v>0</v>
      </c>
      <c r="AL792" s="94">
        <v>0</v>
      </c>
      <c r="AM792" s="94">
        <v>0</v>
      </c>
      <c r="AN792" s="94">
        <v>0</v>
      </c>
      <c r="AO792" s="94">
        <v>0</v>
      </c>
      <c r="AP792" s="95">
        <v>0</v>
      </c>
      <c r="AQ792" s="95">
        <v>0</v>
      </c>
      <c r="AR792" s="95">
        <v>0</v>
      </c>
      <c r="AS792" s="95">
        <v>0</v>
      </c>
      <c r="AT792" s="95">
        <v>0</v>
      </c>
      <c r="AU792" s="95">
        <v>0</v>
      </c>
      <c r="AV792" s="95">
        <v>0</v>
      </c>
      <c r="AW792" s="95">
        <v>0</v>
      </c>
      <c r="AX792" s="95">
        <v>0</v>
      </c>
      <c r="AY792" s="95">
        <v>0</v>
      </c>
      <c r="AZ792" s="95">
        <v>0</v>
      </c>
      <c r="BA792" s="95">
        <v>0</v>
      </c>
      <c r="BB792" s="95">
        <v>0</v>
      </c>
      <c r="BC792" s="95">
        <v>0</v>
      </c>
      <c r="BD792" s="95">
        <v>0</v>
      </c>
      <c r="BE792" s="95">
        <v>0</v>
      </c>
    </row>
    <row r="793" spans="2:57" ht="15" customHeight="1" x14ac:dyDescent="0.25">
      <c r="B793" s="91">
        <v>783</v>
      </c>
      <c r="C793" s="92" t="s">
        <v>503</v>
      </c>
      <c r="D793" s="92" t="s">
        <v>57</v>
      </c>
      <c r="E793" s="92" t="s">
        <v>383</v>
      </c>
      <c r="F793" s="92"/>
      <c r="G793" s="93" t="s">
        <v>502</v>
      </c>
      <c r="H793" s="94">
        <v>940</v>
      </c>
      <c r="I793" s="94">
        <v>540</v>
      </c>
      <c r="J793" s="94">
        <v>400</v>
      </c>
      <c r="K793" s="94">
        <v>14</v>
      </c>
      <c r="L793" s="94">
        <v>320</v>
      </c>
      <c r="M793" s="94">
        <v>496</v>
      </c>
      <c r="N793" s="94">
        <v>110</v>
      </c>
      <c r="O793" s="94">
        <v>931</v>
      </c>
      <c r="P793" s="94">
        <v>9</v>
      </c>
      <c r="Q793" s="95">
        <v>0.112233445566779</v>
      </c>
      <c r="R793" s="95">
        <v>0</v>
      </c>
      <c r="S793" s="95">
        <v>0.266666666666667</v>
      </c>
      <c r="T793" s="95">
        <v>0</v>
      </c>
      <c r="U793" s="95">
        <v>0</v>
      </c>
      <c r="V793" s="95">
        <v>0.21008403361344499</v>
      </c>
      <c r="W793" s="95">
        <v>0</v>
      </c>
      <c r="X793" s="95">
        <v>0.11337868480725601</v>
      </c>
      <c r="Y793" s="95">
        <v>0</v>
      </c>
      <c r="Z793" s="94">
        <v>1747</v>
      </c>
      <c r="AA793" s="94">
        <v>960</v>
      </c>
      <c r="AB793" s="94">
        <v>787</v>
      </c>
      <c r="AC793" s="94">
        <v>79</v>
      </c>
      <c r="AD793" s="94">
        <v>476</v>
      </c>
      <c r="AE793" s="94">
        <v>1017</v>
      </c>
      <c r="AF793" s="94">
        <v>175</v>
      </c>
      <c r="AG793" s="94">
        <v>1133</v>
      </c>
      <c r="AH793" s="94">
        <v>601</v>
      </c>
      <c r="AI793" s="94">
        <v>13</v>
      </c>
      <c r="AJ793" s="94">
        <v>1655</v>
      </c>
      <c r="AK793" s="94">
        <v>87</v>
      </c>
      <c r="AL793" s="94">
        <v>5</v>
      </c>
      <c r="AM793" s="94">
        <v>70</v>
      </c>
      <c r="AN793" s="94">
        <v>1670</v>
      </c>
      <c r="AO793" s="94">
        <v>7</v>
      </c>
      <c r="AP793" s="95">
        <v>1.0119047619047601</v>
      </c>
      <c r="AQ793" s="95">
        <v>0.64864864864864902</v>
      </c>
      <c r="AR793" s="95">
        <v>1.4569536423841101</v>
      </c>
      <c r="AS793" s="95">
        <v>2.6315789473684199</v>
      </c>
      <c r="AT793" s="95">
        <v>1.1086474501108601</v>
      </c>
      <c r="AU793" s="95">
        <v>1.0204081632653099</v>
      </c>
      <c r="AV793" s="95">
        <v>0</v>
      </c>
      <c r="AW793" s="95">
        <v>0.82191780821917804</v>
      </c>
      <c r="AX793" s="95">
        <v>1.39616055846422</v>
      </c>
      <c r="AY793" s="95">
        <v>0</v>
      </c>
      <c r="AZ793" s="95">
        <v>1.0043942247332101</v>
      </c>
      <c r="BA793" s="95">
        <v>1.2195121951219501</v>
      </c>
      <c r="BB793" s="95">
        <v>0</v>
      </c>
      <c r="BC793" s="95">
        <v>1.51515151515152</v>
      </c>
      <c r="BD793" s="95">
        <v>0.99502487562189101</v>
      </c>
      <c r="BE793" s="95">
        <v>0</v>
      </c>
    </row>
    <row r="794" spans="2:57" ht="15" customHeight="1" x14ac:dyDescent="0.25">
      <c r="B794" s="96">
        <v>784</v>
      </c>
      <c r="C794" s="97" t="s">
        <v>504</v>
      </c>
      <c r="D794" s="104" t="s">
        <v>57</v>
      </c>
      <c r="E794" s="104" t="s">
        <v>383</v>
      </c>
      <c r="F794" s="104" t="s">
        <v>1</v>
      </c>
      <c r="G794" s="105" t="s">
        <v>1</v>
      </c>
      <c r="H794" s="106">
        <v>258</v>
      </c>
      <c r="I794" s="106">
        <v>145</v>
      </c>
      <c r="J794" s="106">
        <v>113</v>
      </c>
      <c r="K794" s="106">
        <v>4</v>
      </c>
      <c r="L794" s="106">
        <v>78</v>
      </c>
      <c r="M794" s="106">
        <v>136</v>
      </c>
      <c r="N794" s="106">
        <v>40</v>
      </c>
      <c r="O794" s="106">
        <v>256</v>
      </c>
      <c r="P794" s="106">
        <v>2</v>
      </c>
      <c r="Q794" s="107">
        <v>0</v>
      </c>
      <c r="R794" s="107">
        <v>0</v>
      </c>
      <c r="S794" s="107">
        <v>0</v>
      </c>
      <c r="T794" s="107">
        <v>0</v>
      </c>
      <c r="U794" s="107">
        <v>0</v>
      </c>
      <c r="V794" s="107">
        <v>0</v>
      </c>
      <c r="W794" s="107">
        <v>0</v>
      </c>
      <c r="X794" s="107">
        <v>0</v>
      </c>
      <c r="Y794" s="107">
        <v>0</v>
      </c>
      <c r="Z794" s="106">
        <v>588</v>
      </c>
      <c r="AA794" s="106">
        <v>321</v>
      </c>
      <c r="AB794" s="106">
        <v>267</v>
      </c>
      <c r="AC794" s="106">
        <v>26</v>
      </c>
      <c r="AD794" s="106">
        <v>135</v>
      </c>
      <c r="AE794" s="106">
        <v>364</v>
      </c>
      <c r="AF794" s="106">
        <v>63</v>
      </c>
      <c r="AG794" s="106">
        <v>458</v>
      </c>
      <c r="AH794" s="106">
        <v>127</v>
      </c>
      <c r="AI794" s="106">
        <v>3</v>
      </c>
      <c r="AJ794" s="106">
        <v>521</v>
      </c>
      <c r="AK794" s="106">
        <v>66</v>
      </c>
      <c r="AL794" s="106">
        <v>1</v>
      </c>
      <c r="AM794" s="106">
        <v>25</v>
      </c>
      <c r="AN794" s="106">
        <v>561</v>
      </c>
      <c r="AO794" s="106">
        <v>2</v>
      </c>
      <c r="AP794" s="107">
        <v>1.40350877192982</v>
      </c>
      <c r="AQ794" s="107">
        <v>0.97402597402597402</v>
      </c>
      <c r="AR794" s="107">
        <v>1.90839694656489</v>
      </c>
      <c r="AS794" s="107">
        <v>3.8461538461538498</v>
      </c>
      <c r="AT794" s="107">
        <v>2.36220472440945</v>
      </c>
      <c r="AU794" s="107">
        <v>1.1299435028248599</v>
      </c>
      <c r="AV794" s="107">
        <v>0</v>
      </c>
      <c r="AW794" s="107">
        <v>1.34228187919463</v>
      </c>
      <c r="AX794" s="107">
        <v>1.6666666666666701</v>
      </c>
      <c r="AY794" s="107">
        <v>0</v>
      </c>
      <c r="AZ794" s="107">
        <v>1.38339920948617</v>
      </c>
      <c r="BA794" s="107">
        <v>1.5873015873015901</v>
      </c>
      <c r="BB794" s="107">
        <v>0</v>
      </c>
      <c r="BC794" s="107">
        <v>0</v>
      </c>
      <c r="BD794" s="107">
        <v>1.4732965009208101</v>
      </c>
      <c r="BE794" s="107">
        <v>0</v>
      </c>
    </row>
    <row r="795" spans="2:57" ht="15" customHeight="1" x14ac:dyDescent="0.25">
      <c r="B795" s="91">
        <v>785</v>
      </c>
      <c r="C795" s="92" t="s">
        <v>504</v>
      </c>
      <c r="D795" s="92" t="s">
        <v>57</v>
      </c>
      <c r="E795" s="92" t="s">
        <v>383</v>
      </c>
      <c r="F795" s="92" t="s">
        <v>1</v>
      </c>
      <c r="G795" s="101" t="s">
        <v>501</v>
      </c>
      <c r="H795" s="94">
        <v>0</v>
      </c>
      <c r="I795" s="94">
        <v>0</v>
      </c>
      <c r="J795" s="94">
        <v>0</v>
      </c>
      <c r="K795" s="94">
        <v>0</v>
      </c>
      <c r="L795" s="94">
        <v>0</v>
      </c>
      <c r="M795" s="94">
        <v>0</v>
      </c>
      <c r="N795" s="94">
        <v>0</v>
      </c>
      <c r="O795" s="94">
        <v>0</v>
      </c>
      <c r="P795" s="94">
        <v>0</v>
      </c>
      <c r="Q795" s="95">
        <v>0</v>
      </c>
      <c r="R795" s="95">
        <v>0</v>
      </c>
      <c r="S795" s="95">
        <v>0</v>
      </c>
      <c r="T795" s="95">
        <v>0</v>
      </c>
      <c r="U795" s="95">
        <v>0</v>
      </c>
      <c r="V795" s="95">
        <v>0</v>
      </c>
      <c r="W795" s="95">
        <v>0</v>
      </c>
      <c r="X795" s="95">
        <v>0</v>
      </c>
      <c r="Y795" s="95">
        <v>0</v>
      </c>
      <c r="Z795" s="94">
        <v>0</v>
      </c>
      <c r="AA795" s="94">
        <v>0</v>
      </c>
      <c r="AB795" s="94">
        <v>0</v>
      </c>
      <c r="AC795" s="94">
        <v>0</v>
      </c>
      <c r="AD795" s="94">
        <v>0</v>
      </c>
      <c r="AE795" s="94">
        <v>0</v>
      </c>
      <c r="AF795" s="94">
        <v>0</v>
      </c>
      <c r="AG795" s="94">
        <v>0</v>
      </c>
      <c r="AH795" s="94">
        <v>0</v>
      </c>
      <c r="AI795" s="94">
        <v>0</v>
      </c>
      <c r="AJ795" s="94">
        <v>0</v>
      </c>
      <c r="AK795" s="94">
        <v>0</v>
      </c>
      <c r="AL795" s="94">
        <v>0</v>
      </c>
      <c r="AM795" s="94">
        <v>0</v>
      </c>
      <c r="AN795" s="94">
        <v>0</v>
      </c>
      <c r="AO795" s="94">
        <v>0</v>
      </c>
      <c r="AP795" s="95">
        <v>0</v>
      </c>
      <c r="AQ795" s="95">
        <v>0</v>
      </c>
      <c r="AR795" s="95">
        <v>0</v>
      </c>
      <c r="AS795" s="95">
        <v>0</v>
      </c>
      <c r="AT795" s="95">
        <v>0</v>
      </c>
      <c r="AU795" s="95">
        <v>0</v>
      </c>
      <c r="AV795" s="95">
        <v>0</v>
      </c>
      <c r="AW795" s="95">
        <v>0</v>
      </c>
      <c r="AX795" s="95">
        <v>0</v>
      </c>
      <c r="AY795" s="95">
        <v>0</v>
      </c>
      <c r="AZ795" s="95">
        <v>0</v>
      </c>
      <c r="BA795" s="95">
        <v>0</v>
      </c>
      <c r="BB795" s="95">
        <v>0</v>
      </c>
      <c r="BC795" s="95">
        <v>0</v>
      </c>
      <c r="BD795" s="95">
        <v>0</v>
      </c>
      <c r="BE795" s="95">
        <v>0</v>
      </c>
    </row>
    <row r="796" spans="2:57" ht="15" customHeight="1" x14ac:dyDescent="0.25">
      <c r="B796" s="91">
        <v>786</v>
      </c>
      <c r="C796" s="92" t="s">
        <v>504</v>
      </c>
      <c r="D796" s="92" t="s">
        <v>57</v>
      </c>
      <c r="E796" s="92" t="s">
        <v>383</v>
      </c>
      <c r="F796" s="92" t="s">
        <v>1</v>
      </c>
      <c r="G796" s="101" t="s">
        <v>502</v>
      </c>
      <c r="H796" s="94">
        <v>258</v>
      </c>
      <c r="I796" s="94">
        <v>145</v>
      </c>
      <c r="J796" s="94">
        <v>113</v>
      </c>
      <c r="K796" s="94">
        <v>4</v>
      </c>
      <c r="L796" s="94">
        <v>78</v>
      </c>
      <c r="M796" s="94">
        <v>136</v>
      </c>
      <c r="N796" s="94">
        <v>40</v>
      </c>
      <c r="O796" s="94">
        <v>256</v>
      </c>
      <c r="P796" s="94">
        <v>2</v>
      </c>
      <c r="Q796" s="95">
        <v>0</v>
      </c>
      <c r="R796" s="95">
        <v>0</v>
      </c>
      <c r="S796" s="95">
        <v>0</v>
      </c>
      <c r="T796" s="95">
        <v>0</v>
      </c>
      <c r="U796" s="95">
        <v>0</v>
      </c>
      <c r="V796" s="95">
        <v>0</v>
      </c>
      <c r="W796" s="95">
        <v>0</v>
      </c>
      <c r="X796" s="95">
        <v>0</v>
      </c>
      <c r="Y796" s="95">
        <v>0</v>
      </c>
      <c r="Z796" s="94">
        <v>588</v>
      </c>
      <c r="AA796" s="94">
        <v>321</v>
      </c>
      <c r="AB796" s="94">
        <v>267</v>
      </c>
      <c r="AC796" s="94">
        <v>26</v>
      </c>
      <c r="AD796" s="94">
        <v>135</v>
      </c>
      <c r="AE796" s="94">
        <v>364</v>
      </c>
      <c r="AF796" s="94">
        <v>63</v>
      </c>
      <c r="AG796" s="94">
        <v>458</v>
      </c>
      <c r="AH796" s="94">
        <v>127</v>
      </c>
      <c r="AI796" s="94">
        <v>3</v>
      </c>
      <c r="AJ796" s="94">
        <v>521</v>
      </c>
      <c r="AK796" s="94">
        <v>66</v>
      </c>
      <c r="AL796" s="94">
        <v>1</v>
      </c>
      <c r="AM796" s="94">
        <v>25</v>
      </c>
      <c r="AN796" s="94">
        <v>561</v>
      </c>
      <c r="AO796" s="94">
        <v>2</v>
      </c>
      <c r="AP796" s="95">
        <v>1.40350877192982</v>
      </c>
      <c r="AQ796" s="95">
        <v>0.97402597402597402</v>
      </c>
      <c r="AR796" s="95">
        <v>1.90839694656489</v>
      </c>
      <c r="AS796" s="95">
        <v>3.8461538461538498</v>
      </c>
      <c r="AT796" s="95">
        <v>2.36220472440945</v>
      </c>
      <c r="AU796" s="95">
        <v>1.1299435028248599</v>
      </c>
      <c r="AV796" s="95">
        <v>0</v>
      </c>
      <c r="AW796" s="95">
        <v>1.34228187919463</v>
      </c>
      <c r="AX796" s="95">
        <v>1.6666666666666701</v>
      </c>
      <c r="AY796" s="95">
        <v>0</v>
      </c>
      <c r="AZ796" s="95">
        <v>1.38339920948617</v>
      </c>
      <c r="BA796" s="95">
        <v>1.5873015873015901</v>
      </c>
      <c r="BB796" s="95">
        <v>0</v>
      </c>
      <c r="BC796" s="95">
        <v>0</v>
      </c>
      <c r="BD796" s="95">
        <v>1.4732965009208101</v>
      </c>
      <c r="BE796" s="95">
        <v>0</v>
      </c>
    </row>
    <row r="797" spans="2:57" ht="15" customHeight="1" x14ac:dyDescent="0.25">
      <c r="B797" s="96">
        <v>787</v>
      </c>
      <c r="C797" s="97" t="s">
        <v>504</v>
      </c>
      <c r="D797" s="104" t="s">
        <v>57</v>
      </c>
      <c r="E797" s="104" t="s">
        <v>383</v>
      </c>
      <c r="F797" s="104" t="s">
        <v>5</v>
      </c>
      <c r="G797" s="105" t="s">
        <v>5</v>
      </c>
      <c r="H797" s="106">
        <v>337</v>
      </c>
      <c r="I797" s="106">
        <v>204</v>
      </c>
      <c r="J797" s="106">
        <v>133</v>
      </c>
      <c r="K797" s="106">
        <v>4</v>
      </c>
      <c r="L797" s="106">
        <v>125</v>
      </c>
      <c r="M797" s="106">
        <v>174</v>
      </c>
      <c r="N797" s="106">
        <v>34</v>
      </c>
      <c r="O797" s="106">
        <v>337</v>
      </c>
      <c r="P797" s="106">
        <v>0</v>
      </c>
      <c r="Q797" s="107">
        <v>0.31847133757961799</v>
      </c>
      <c r="R797" s="107">
        <v>0</v>
      </c>
      <c r="S797" s="107">
        <v>0.854700854700855</v>
      </c>
      <c r="T797" s="107">
        <v>0</v>
      </c>
      <c r="U797" s="107">
        <v>0</v>
      </c>
      <c r="V797" s="107">
        <v>0.625</v>
      </c>
      <c r="W797" s="107">
        <v>0</v>
      </c>
      <c r="X797" s="107">
        <v>0.31847133757961799</v>
      </c>
      <c r="Y797" s="107">
        <v>0</v>
      </c>
      <c r="Z797" s="106">
        <v>589</v>
      </c>
      <c r="AA797" s="106">
        <v>333</v>
      </c>
      <c r="AB797" s="106">
        <v>256</v>
      </c>
      <c r="AC797" s="106">
        <v>21</v>
      </c>
      <c r="AD797" s="106">
        <v>168</v>
      </c>
      <c r="AE797" s="106">
        <v>342</v>
      </c>
      <c r="AF797" s="106">
        <v>58</v>
      </c>
      <c r="AG797" s="106">
        <v>400</v>
      </c>
      <c r="AH797" s="106">
        <v>183</v>
      </c>
      <c r="AI797" s="106">
        <v>6</v>
      </c>
      <c r="AJ797" s="106">
        <v>577</v>
      </c>
      <c r="AK797" s="106">
        <v>8</v>
      </c>
      <c r="AL797" s="106">
        <v>4</v>
      </c>
      <c r="AM797" s="106">
        <v>22</v>
      </c>
      <c r="AN797" s="106">
        <v>564</v>
      </c>
      <c r="AO797" s="106">
        <v>3</v>
      </c>
      <c r="AP797" s="107">
        <v>0</v>
      </c>
      <c r="AQ797" s="107">
        <v>0</v>
      </c>
      <c r="AR797" s="107">
        <v>0</v>
      </c>
      <c r="AS797" s="107">
        <v>0</v>
      </c>
      <c r="AT797" s="107">
        <v>0</v>
      </c>
      <c r="AU797" s="107">
        <v>0</v>
      </c>
      <c r="AV797" s="107">
        <v>0</v>
      </c>
      <c r="AW797" s="107">
        <v>0</v>
      </c>
      <c r="AX797" s="107">
        <v>0</v>
      </c>
      <c r="AY797" s="107">
        <v>0</v>
      </c>
      <c r="AZ797" s="107">
        <v>0</v>
      </c>
      <c r="BA797" s="107">
        <v>0</v>
      </c>
      <c r="BB797" s="107">
        <v>0</v>
      </c>
      <c r="BC797" s="107">
        <v>0</v>
      </c>
      <c r="BD797" s="107">
        <v>0</v>
      </c>
      <c r="BE797" s="107">
        <v>0</v>
      </c>
    </row>
    <row r="798" spans="2:57" ht="15" customHeight="1" x14ac:dyDescent="0.25">
      <c r="B798" s="91">
        <v>788</v>
      </c>
      <c r="C798" s="92" t="s">
        <v>504</v>
      </c>
      <c r="D798" s="92" t="s">
        <v>57</v>
      </c>
      <c r="E798" s="92" t="s">
        <v>383</v>
      </c>
      <c r="F798" s="92" t="s">
        <v>5</v>
      </c>
      <c r="G798" s="101" t="s">
        <v>501</v>
      </c>
      <c r="H798" s="94">
        <v>0</v>
      </c>
      <c r="I798" s="94">
        <v>0</v>
      </c>
      <c r="J798" s="94">
        <v>0</v>
      </c>
      <c r="K798" s="94">
        <v>0</v>
      </c>
      <c r="L798" s="94">
        <v>0</v>
      </c>
      <c r="M798" s="94">
        <v>0</v>
      </c>
      <c r="N798" s="94">
        <v>0</v>
      </c>
      <c r="O798" s="94">
        <v>0</v>
      </c>
      <c r="P798" s="94">
        <v>0</v>
      </c>
      <c r="Q798" s="95">
        <v>0</v>
      </c>
      <c r="R798" s="95">
        <v>0</v>
      </c>
      <c r="S798" s="95">
        <v>0</v>
      </c>
      <c r="T798" s="95">
        <v>0</v>
      </c>
      <c r="U798" s="95">
        <v>0</v>
      </c>
      <c r="V798" s="95">
        <v>0</v>
      </c>
      <c r="W798" s="95">
        <v>0</v>
      </c>
      <c r="X798" s="95">
        <v>0</v>
      </c>
      <c r="Y798" s="95">
        <v>0</v>
      </c>
      <c r="Z798" s="94">
        <v>0</v>
      </c>
      <c r="AA798" s="94">
        <v>0</v>
      </c>
      <c r="AB798" s="94">
        <v>0</v>
      </c>
      <c r="AC798" s="94">
        <v>0</v>
      </c>
      <c r="AD798" s="94">
        <v>0</v>
      </c>
      <c r="AE798" s="94">
        <v>0</v>
      </c>
      <c r="AF798" s="94">
        <v>0</v>
      </c>
      <c r="AG798" s="94">
        <v>0</v>
      </c>
      <c r="AH798" s="94">
        <v>0</v>
      </c>
      <c r="AI798" s="94">
        <v>0</v>
      </c>
      <c r="AJ798" s="94">
        <v>0</v>
      </c>
      <c r="AK798" s="94">
        <v>0</v>
      </c>
      <c r="AL798" s="94">
        <v>0</v>
      </c>
      <c r="AM798" s="94">
        <v>0</v>
      </c>
      <c r="AN798" s="94">
        <v>0</v>
      </c>
      <c r="AO798" s="94">
        <v>0</v>
      </c>
      <c r="AP798" s="95">
        <v>0</v>
      </c>
      <c r="AQ798" s="95">
        <v>0</v>
      </c>
      <c r="AR798" s="95">
        <v>0</v>
      </c>
      <c r="AS798" s="95">
        <v>0</v>
      </c>
      <c r="AT798" s="95">
        <v>0</v>
      </c>
      <c r="AU798" s="95">
        <v>0</v>
      </c>
      <c r="AV798" s="95">
        <v>0</v>
      </c>
      <c r="AW798" s="95">
        <v>0</v>
      </c>
      <c r="AX798" s="95">
        <v>0</v>
      </c>
      <c r="AY798" s="95">
        <v>0</v>
      </c>
      <c r="AZ798" s="95">
        <v>0</v>
      </c>
      <c r="BA798" s="95">
        <v>0</v>
      </c>
      <c r="BB798" s="95">
        <v>0</v>
      </c>
      <c r="BC798" s="95">
        <v>0</v>
      </c>
      <c r="BD798" s="95">
        <v>0</v>
      </c>
      <c r="BE798" s="95">
        <v>0</v>
      </c>
    </row>
    <row r="799" spans="2:57" ht="15" customHeight="1" x14ac:dyDescent="0.25">
      <c r="B799" s="91">
        <v>789</v>
      </c>
      <c r="C799" s="92" t="s">
        <v>504</v>
      </c>
      <c r="D799" s="92" t="s">
        <v>57</v>
      </c>
      <c r="E799" s="92" t="s">
        <v>383</v>
      </c>
      <c r="F799" s="92" t="s">
        <v>5</v>
      </c>
      <c r="G799" s="101" t="s">
        <v>502</v>
      </c>
      <c r="H799" s="94">
        <v>337</v>
      </c>
      <c r="I799" s="94">
        <v>204</v>
      </c>
      <c r="J799" s="94">
        <v>133</v>
      </c>
      <c r="K799" s="94">
        <v>4</v>
      </c>
      <c r="L799" s="94">
        <v>125</v>
      </c>
      <c r="M799" s="94">
        <v>174</v>
      </c>
      <c r="N799" s="94">
        <v>34</v>
      </c>
      <c r="O799" s="94">
        <v>337</v>
      </c>
      <c r="P799" s="94">
        <v>0</v>
      </c>
      <c r="Q799" s="95">
        <v>0.31847133757961799</v>
      </c>
      <c r="R799" s="95">
        <v>0</v>
      </c>
      <c r="S799" s="95">
        <v>0.854700854700855</v>
      </c>
      <c r="T799" s="95">
        <v>0</v>
      </c>
      <c r="U799" s="95">
        <v>0</v>
      </c>
      <c r="V799" s="95">
        <v>0.625</v>
      </c>
      <c r="W799" s="95">
        <v>0</v>
      </c>
      <c r="X799" s="95">
        <v>0.31847133757961799</v>
      </c>
      <c r="Y799" s="95">
        <v>0</v>
      </c>
      <c r="Z799" s="94">
        <v>589</v>
      </c>
      <c r="AA799" s="94">
        <v>333</v>
      </c>
      <c r="AB799" s="94">
        <v>256</v>
      </c>
      <c r="AC799" s="94">
        <v>21</v>
      </c>
      <c r="AD799" s="94">
        <v>168</v>
      </c>
      <c r="AE799" s="94">
        <v>342</v>
      </c>
      <c r="AF799" s="94">
        <v>58</v>
      </c>
      <c r="AG799" s="94">
        <v>400</v>
      </c>
      <c r="AH799" s="94">
        <v>183</v>
      </c>
      <c r="AI799" s="94">
        <v>6</v>
      </c>
      <c r="AJ799" s="94">
        <v>577</v>
      </c>
      <c r="AK799" s="94">
        <v>8</v>
      </c>
      <c r="AL799" s="94">
        <v>4</v>
      </c>
      <c r="AM799" s="94">
        <v>22</v>
      </c>
      <c r="AN799" s="94">
        <v>564</v>
      </c>
      <c r="AO799" s="94">
        <v>3</v>
      </c>
      <c r="AP799" s="95">
        <v>0</v>
      </c>
      <c r="AQ799" s="95">
        <v>0</v>
      </c>
      <c r="AR799" s="95">
        <v>0</v>
      </c>
      <c r="AS799" s="95">
        <v>0</v>
      </c>
      <c r="AT799" s="95">
        <v>0</v>
      </c>
      <c r="AU799" s="95">
        <v>0</v>
      </c>
      <c r="AV799" s="95">
        <v>0</v>
      </c>
      <c r="AW799" s="95">
        <v>0</v>
      </c>
      <c r="AX799" s="95">
        <v>0</v>
      </c>
      <c r="AY799" s="95">
        <v>0</v>
      </c>
      <c r="AZ799" s="95">
        <v>0</v>
      </c>
      <c r="BA799" s="95">
        <v>0</v>
      </c>
      <c r="BB799" s="95">
        <v>0</v>
      </c>
      <c r="BC799" s="95">
        <v>0</v>
      </c>
      <c r="BD799" s="95">
        <v>0</v>
      </c>
      <c r="BE799" s="95">
        <v>0</v>
      </c>
    </row>
    <row r="800" spans="2:57" ht="15" customHeight="1" x14ac:dyDescent="0.25">
      <c r="B800" s="96">
        <v>790</v>
      </c>
      <c r="C800" s="97" t="s">
        <v>504</v>
      </c>
      <c r="D800" s="104" t="s">
        <v>57</v>
      </c>
      <c r="E800" s="104" t="s">
        <v>383</v>
      </c>
      <c r="F800" s="104" t="s">
        <v>8</v>
      </c>
      <c r="G800" s="105" t="s">
        <v>8</v>
      </c>
      <c r="H800" s="106">
        <v>345</v>
      </c>
      <c r="I800" s="106">
        <v>191</v>
      </c>
      <c r="J800" s="106">
        <v>154</v>
      </c>
      <c r="K800" s="106">
        <v>6</v>
      </c>
      <c r="L800" s="106">
        <v>117</v>
      </c>
      <c r="M800" s="106">
        <v>186</v>
      </c>
      <c r="N800" s="106">
        <v>36</v>
      </c>
      <c r="O800" s="106">
        <v>338</v>
      </c>
      <c r="P800" s="106">
        <v>7</v>
      </c>
      <c r="Q800" s="107">
        <v>0</v>
      </c>
      <c r="R800" s="107">
        <v>0</v>
      </c>
      <c r="S800" s="107">
        <v>0</v>
      </c>
      <c r="T800" s="107">
        <v>0</v>
      </c>
      <c r="U800" s="107">
        <v>0</v>
      </c>
      <c r="V800" s="107">
        <v>0</v>
      </c>
      <c r="W800" s="107">
        <v>0</v>
      </c>
      <c r="X800" s="107">
        <v>0</v>
      </c>
      <c r="Y800" s="107">
        <v>0</v>
      </c>
      <c r="Z800" s="106">
        <v>570</v>
      </c>
      <c r="AA800" s="106">
        <v>306</v>
      </c>
      <c r="AB800" s="106">
        <v>264</v>
      </c>
      <c r="AC800" s="106">
        <v>32</v>
      </c>
      <c r="AD800" s="106">
        <v>173</v>
      </c>
      <c r="AE800" s="106">
        <v>311</v>
      </c>
      <c r="AF800" s="106">
        <v>54</v>
      </c>
      <c r="AG800" s="106">
        <v>275</v>
      </c>
      <c r="AH800" s="106">
        <v>291</v>
      </c>
      <c r="AI800" s="106">
        <v>4</v>
      </c>
      <c r="AJ800" s="106">
        <v>557</v>
      </c>
      <c r="AK800" s="106">
        <v>13</v>
      </c>
      <c r="AL800" s="106">
        <v>0</v>
      </c>
      <c r="AM800" s="106">
        <v>23</v>
      </c>
      <c r="AN800" s="106">
        <v>545</v>
      </c>
      <c r="AO800" s="106">
        <v>2</v>
      </c>
      <c r="AP800" s="107">
        <v>1.6216216216216199</v>
      </c>
      <c r="AQ800" s="107">
        <v>1.0033444816053501</v>
      </c>
      <c r="AR800" s="107">
        <v>2.34375</v>
      </c>
      <c r="AS800" s="107">
        <v>3.4482758620689702</v>
      </c>
      <c r="AT800" s="107">
        <v>1.1764705882352899</v>
      </c>
      <c r="AU800" s="107">
        <v>1.98675496688742</v>
      </c>
      <c r="AV800" s="107">
        <v>0</v>
      </c>
      <c r="AW800" s="107">
        <v>1.1278195488721801</v>
      </c>
      <c r="AX800" s="107">
        <v>2.1052631578947398</v>
      </c>
      <c r="AY800" s="107">
        <v>0</v>
      </c>
      <c r="AZ800" s="107">
        <v>1.66051660516605</v>
      </c>
      <c r="BA800" s="107">
        <v>0</v>
      </c>
      <c r="BB800" s="107">
        <v>0</v>
      </c>
      <c r="BC800" s="107">
        <v>4.7619047619047601</v>
      </c>
      <c r="BD800" s="107">
        <v>1.5037593984962401</v>
      </c>
      <c r="BE800" s="107">
        <v>0</v>
      </c>
    </row>
    <row r="801" spans="2:57" ht="15" customHeight="1" x14ac:dyDescent="0.25">
      <c r="B801" s="91">
        <v>791</v>
      </c>
      <c r="C801" s="92" t="s">
        <v>504</v>
      </c>
      <c r="D801" s="92" t="s">
        <v>57</v>
      </c>
      <c r="E801" s="92" t="s">
        <v>383</v>
      </c>
      <c r="F801" s="92" t="s">
        <v>8</v>
      </c>
      <c r="G801" s="101" t="s">
        <v>501</v>
      </c>
      <c r="H801" s="94">
        <v>0</v>
      </c>
      <c r="I801" s="94">
        <v>0</v>
      </c>
      <c r="J801" s="94">
        <v>0</v>
      </c>
      <c r="K801" s="94">
        <v>0</v>
      </c>
      <c r="L801" s="94">
        <v>0</v>
      </c>
      <c r="M801" s="94">
        <v>0</v>
      </c>
      <c r="N801" s="94">
        <v>0</v>
      </c>
      <c r="O801" s="94">
        <v>0</v>
      </c>
      <c r="P801" s="94">
        <v>0</v>
      </c>
      <c r="Q801" s="95">
        <v>0</v>
      </c>
      <c r="R801" s="95">
        <v>0</v>
      </c>
      <c r="S801" s="95">
        <v>0</v>
      </c>
      <c r="T801" s="95">
        <v>0</v>
      </c>
      <c r="U801" s="95">
        <v>0</v>
      </c>
      <c r="V801" s="95">
        <v>0</v>
      </c>
      <c r="W801" s="95">
        <v>0</v>
      </c>
      <c r="X801" s="95">
        <v>0</v>
      </c>
      <c r="Y801" s="95">
        <v>0</v>
      </c>
      <c r="Z801" s="94">
        <v>0</v>
      </c>
      <c r="AA801" s="94">
        <v>0</v>
      </c>
      <c r="AB801" s="94">
        <v>0</v>
      </c>
      <c r="AC801" s="94">
        <v>0</v>
      </c>
      <c r="AD801" s="94">
        <v>0</v>
      </c>
      <c r="AE801" s="94">
        <v>0</v>
      </c>
      <c r="AF801" s="94">
        <v>0</v>
      </c>
      <c r="AG801" s="94">
        <v>0</v>
      </c>
      <c r="AH801" s="94">
        <v>0</v>
      </c>
      <c r="AI801" s="94">
        <v>0</v>
      </c>
      <c r="AJ801" s="94">
        <v>0</v>
      </c>
      <c r="AK801" s="94">
        <v>0</v>
      </c>
      <c r="AL801" s="94">
        <v>0</v>
      </c>
      <c r="AM801" s="94">
        <v>0</v>
      </c>
      <c r="AN801" s="94">
        <v>0</v>
      </c>
      <c r="AO801" s="94">
        <v>0</v>
      </c>
      <c r="AP801" s="95">
        <v>0</v>
      </c>
      <c r="AQ801" s="95">
        <v>0</v>
      </c>
      <c r="AR801" s="95">
        <v>0</v>
      </c>
      <c r="AS801" s="95">
        <v>0</v>
      </c>
      <c r="AT801" s="95">
        <v>0</v>
      </c>
      <c r="AU801" s="95">
        <v>0</v>
      </c>
      <c r="AV801" s="95">
        <v>0</v>
      </c>
      <c r="AW801" s="95">
        <v>0</v>
      </c>
      <c r="AX801" s="95">
        <v>0</v>
      </c>
      <c r="AY801" s="95">
        <v>0</v>
      </c>
      <c r="AZ801" s="95">
        <v>0</v>
      </c>
      <c r="BA801" s="95">
        <v>0</v>
      </c>
      <c r="BB801" s="95">
        <v>0</v>
      </c>
      <c r="BC801" s="95">
        <v>0</v>
      </c>
      <c r="BD801" s="95">
        <v>0</v>
      </c>
      <c r="BE801" s="95">
        <v>0</v>
      </c>
    </row>
    <row r="802" spans="2:57" ht="15" customHeight="1" x14ac:dyDescent="0.25">
      <c r="B802" s="91">
        <v>792</v>
      </c>
      <c r="C802" s="92" t="s">
        <v>504</v>
      </c>
      <c r="D802" s="92" t="s">
        <v>57</v>
      </c>
      <c r="E802" s="92" t="s">
        <v>383</v>
      </c>
      <c r="F802" s="92" t="s">
        <v>8</v>
      </c>
      <c r="G802" s="101" t="s">
        <v>502</v>
      </c>
      <c r="H802" s="94">
        <v>345</v>
      </c>
      <c r="I802" s="94">
        <v>191</v>
      </c>
      <c r="J802" s="94">
        <v>154</v>
      </c>
      <c r="K802" s="94">
        <v>6</v>
      </c>
      <c r="L802" s="94">
        <v>117</v>
      </c>
      <c r="M802" s="94">
        <v>186</v>
      </c>
      <c r="N802" s="94">
        <v>36</v>
      </c>
      <c r="O802" s="94">
        <v>338</v>
      </c>
      <c r="P802" s="94">
        <v>7</v>
      </c>
      <c r="Q802" s="95">
        <v>0</v>
      </c>
      <c r="R802" s="95">
        <v>0</v>
      </c>
      <c r="S802" s="95">
        <v>0</v>
      </c>
      <c r="T802" s="95">
        <v>0</v>
      </c>
      <c r="U802" s="95">
        <v>0</v>
      </c>
      <c r="V802" s="95">
        <v>0</v>
      </c>
      <c r="W802" s="95">
        <v>0</v>
      </c>
      <c r="X802" s="95">
        <v>0</v>
      </c>
      <c r="Y802" s="95">
        <v>0</v>
      </c>
      <c r="Z802" s="94">
        <v>570</v>
      </c>
      <c r="AA802" s="94">
        <v>306</v>
      </c>
      <c r="AB802" s="94">
        <v>264</v>
      </c>
      <c r="AC802" s="94">
        <v>32</v>
      </c>
      <c r="AD802" s="94">
        <v>173</v>
      </c>
      <c r="AE802" s="94">
        <v>311</v>
      </c>
      <c r="AF802" s="94">
        <v>54</v>
      </c>
      <c r="AG802" s="94">
        <v>275</v>
      </c>
      <c r="AH802" s="94">
        <v>291</v>
      </c>
      <c r="AI802" s="94">
        <v>4</v>
      </c>
      <c r="AJ802" s="94">
        <v>557</v>
      </c>
      <c r="AK802" s="94">
        <v>13</v>
      </c>
      <c r="AL802" s="94">
        <v>0</v>
      </c>
      <c r="AM802" s="94">
        <v>23</v>
      </c>
      <c r="AN802" s="94">
        <v>545</v>
      </c>
      <c r="AO802" s="94">
        <v>2</v>
      </c>
      <c r="AP802" s="95">
        <v>1.6216216216216199</v>
      </c>
      <c r="AQ802" s="95">
        <v>1.0033444816053501</v>
      </c>
      <c r="AR802" s="95">
        <v>2.34375</v>
      </c>
      <c r="AS802" s="95">
        <v>3.4482758620689702</v>
      </c>
      <c r="AT802" s="95">
        <v>1.1764705882352899</v>
      </c>
      <c r="AU802" s="95">
        <v>1.98675496688742</v>
      </c>
      <c r="AV802" s="95">
        <v>0</v>
      </c>
      <c r="AW802" s="95">
        <v>1.1278195488721801</v>
      </c>
      <c r="AX802" s="95">
        <v>2.1052631578947398</v>
      </c>
      <c r="AY802" s="95">
        <v>0</v>
      </c>
      <c r="AZ802" s="95">
        <v>1.66051660516605</v>
      </c>
      <c r="BA802" s="95">
        <v>0</v>
      </c>
      <c r="BB802" s="95">
        <v>0</v>
      </c>
      <c r="BC802" s="95">
        <v>4.7619047619047601</v>
      </c>
      <c r="BD802" s="95">
        <v>1.5037593984962401</v>
      </c>
      <c r="BE802" s="95">
        <v>0</v>
      </c>
    </row>
    <row r="803" spans="2:57" ht="15" customHeight="1" x14ac:dyDescent="0.25">
      <c r="B803" s="86">
        <v>793</v>
      </c>
      <c r="C803" s="87" t="s">
        <v>503</v>
      </c>
      <c r="D803" s="103" t="s">
        <v>57</v>
      </c>
      <c r="E803" s="103" t="s">
        <v>384</v>
      </c>
      <c r="F803" s="103"/>
      <c r="G803" s="88" t="s">
        <v>384</v>
      </c>
      <c r="H803" s="89">
        <v>3266</v>
      </c>
      <c r="I803" s="89">
        <v>1930</v>
      </c>
      <c r="J803" s="89">
        <v>1336</v>
      </c>
      <c r="K803" s="89">
        <v>84</v>
      </c>
      <c r="L803" s="89">
        <v>547</v>
      </c>
      <c r="M803" s="89">
        <v>1679</v>
      </c>
      <c r="N803" s="89">
        <v>956</v>
      </c>
      <c r="O803" s="89">
        <v>3265</v>
      </c>
      <c r="P803" s="89">
        <v>1</v>
      </c>
      <c r="Q803" s="90">
        <v>0.16061676839062</v>
      </c>
      <c r="R803" s="90">
        <v>0.108813928182807</v>
      </c>
      <c r="S803" s="90">
        <v>0.23529411764705899</v>
      </c>
      <c r="T803" s="90">
        <v>0</v>
      </c>
      <c r="U803" s="90">
        <v>0.38910505836575898</v>
      </c>
      <c r="V803" s="90">
        <v>0.12523481527864699</v>
      </c>
      <c r="W803" s="90">
        <v>0.107991360691145</v>
      </c>
      <c r="X803" s="90">
        <v>0.160668380462725</v>
      </c>
      <c r="Y803" s="90">
        <v>0</v>
      </c>
      <c r="Z803" s="89">
        <v>3922</v>
      </c>
      <c r="AA803" s="89">
        <v>2196</v>
      </c>
      <c r="AB803" s="89">
        <v>1726</v>
      </c>
      <c r="AC803" s="89">
        <v>121</v>
      </c>
      <c r="AD803" s="89">
        <v>585</v>
      </c>
      <c r="AE803" s="89">
        <v>2037</v>
      </c>
      <c r="AF803" s="89">
        <v>1179</v>
      </c>
      <c r="AG803" s="89">
        <v>3611</v>
      </c>
      <c r="AH803" s="89">
        <v>270</v>
      </c>
      <c r="AI803" s="89">
        <v>41</v>
      </c>
      <c r="AJ803" s="89">
        <v>3906</v>
      </c>
      <c r="AK803" s="89">
        <v>3</v>
      </c>
      <c r="AL803" s="89">
        <v>13</v>
      </c>
      <c r="AM803" s="89">
        <v>305</v>
      </c>
      <c r="AN803" s="89">
        <v>3542</v>
      </c>
      <c r="AO803" s="89">
        <v>75</v>
      </c>
      <c r="AP803" s="90">
        <v>0.84277060837503304</v>
      </c>
      <c r="AQ803" s="90">
        <v>0.18691588785046701</v>
      </c>
      <c r="AR803" s="90">
        <v>1.68980084490042</v>
      </c>
      <c r="AS803" s="90">
        <v>0.854700854700855</v>
      </c>
      <c r="AT803" s="90">
        <v>1.6071428571428601</v>
      </c>
      <c r="AU803" s="90">
        <v>0.86163203243791198</v>
      </c>
      <c r="AV803" s="90">
        <v>0.43591979075850001</v>
      </c>
      <c r="AW803" s="90">
        <v>0.68454078722190503</v>
      </c>
      <c r="AX803" s="90">
        <v>2.78884462151394</v>
      </c>
      <c r="AY803" s="90">
        <v>2.5</v>
      </c>
      <c r="AZ803" s="90">
        <v>0.84611316763617095</v>
      </c>
      <c r="BA803" s="90">
        <v>0</v>
      </c>
      <c r="BB803" s="90">
        <v>0</v>
      </c>
      <c r="BC803" s="90">
        <v>0.337837837837838</v>
      </c>
      <c r="BD803" s="90">
        <v>0.87489063867016603</v>
      </c>
      <c r="BE803" s="90">
        <v>1.3888888888888899</v>
      </c>
    </row>
    <row r="804" spans="2:57" ht="15" customHeight="1" x14ac:dyDescent="0.25">
      <c r="B804" s="91">
        <v>794</v>
      </c>
      <c r="C804" s="92" t="s">
        <v>503</v>
      </c>
      <c r="D804" s="92" t="s">
        <v>57</v>
      </c>
      <c r="E804" s="92" t="s">
        <v>384</v>
      </c>
      <c r="F804" s="92"/>
      <c r="G804" s="93" t="s">
        <v>501</v>
      </c>
      <c r="H804" s="94">
        <v>0</v>
      </c>
      <c r="I804" s="94">
        <v>0</v>
      </c>
      <c r="J804" s="94">
        <v>0</v>
      </c>
      <c r="K804" s="94">
        <v>0</v>
      </c>
      <c r="L804" s="94">
        <v>0</v>
      </c>
      <c r="M804" s="94">
        <v>0</v>
      </c>
      <c r="N804" s="94">
        <v>0</v>
      </c>
      <c r="O804" s="94">
        <v>0</v>
      </c>
      <c r="P804" s="94">
        <v>0</v>
      </c>
      <c r="Q804" s="95">
        <v>0</v>
      </c>
      <c r="R804" s="95">
        <v>0</v>
      </c>
      <c r="S804" s="95">
        <v>0</v>
      </c>
      <c r="T804" s="95">
        <v>0</v>
      </c>
      <c r="U804" s="95">
        <v>0</v>
      </c>
      <c r="V804" s="95">
        <v>0</v>
      </c>
      <c r="W804" s="95">
        <v>0</v>
      </c>
      <c r="X804" s="95">
        <v>0</v>
      </c>
      <c r="Y804" s="95">
        <v>0</v>
      </c>
      <c r="Z804" s="94">
        <v>0</v>
      </c>
      <c r="AA804" s="94">
        <v>0</v>
      </c>
      <c r="AB804" s="94">
        <v>0</v>
      </c>
      <c r="AC804" s="94">
        <v>0</v>
      </c>
      <c r="AD804" s="94">
        <v>0</v>
      </c>
      <c r="AE804" s="94">
        <v>0</v>
      </c>
      <c r="AF804" s="94">
        <v>0</v>
      </c>
      <c r="AG804" s="94">
        <v>0</v>
      </c>
      <c r="AH804" s="94">
        <v>0</v>
      </c>
      <c r="AI804" s="94">
        <v>0</v>
      </c>
      <c r="AJ804" s="94">
        <v>0</v>
      </c>
      <c r="AK804" s="94">
        <v>0</v>
      </c>
      <c r="AL804" s="94">
        <v>0</v>
      </c>
      <c r="AM804" s="94">
        <v>0</v>
      </c>
      <c r="AN804" s="94">
        <v>0</v>
      </c>
      <c r="AO804" s="94">
        <v>0</v>
      </c>
      <c r="AP804" s="95">
        <v>0</v>
      </c>
      <c r="AQ804" s="95">
        <v>0</v>
      </c>
      <c r="AR804" s="95">
        <v>0</v>
      </c>
      <c r="AS804" s="95">
        <v>0</v>
      </c>
      <c r="AT804" s="95">
        <v>0</v>
      </c>
      <c r="AU804" s="95">
        <v>0</v>
      </c>
      <c r="AV804" s="95">
        <v>0</v>
      </c>
      <c r="AW804" s="95">
        <v>0</v>
      </c>
      <c r="AX804" s="95">
        <v>0</v>
      </c>
      <c r="AY804" s="95">
        <v>0</v>
      </c>
      <c r="AZ804" s="95">
        <v>0</v>
      </c>
      <c r="BA804" s="95">
        <v>0</v>
      </c>
      <c r="BB804" s="95">
        <v>0</v>
      </c>
      <c r="BC804" s="95">
        <v>0</v>
      </c>
      <c r="BD804" s="95">
        <v>0</v>
      </c>
      <c r="BE804" s="95">
        <v>0</v>
      </c>
    </row>
    <row r="805" spans="2:57" ht="15" customHeight="1" x14ac:dyDescent="0.25">
      <c r="B805" s="91">
        <v>795</v>
      </c>
      <c r="C805" s="92" t="s">
        <v>503</v>
      </c>
      <c r="D805" s="92" t="s">
        <v>57</v>
      </c>
      <c r="E805" s="92" t="s">
        <v>384</v>
      </c>
      <c r="F805" s="92"/>
      <c r="G805" s="93" t="s">
        <v>502</v>
      </c>
      <c r="H805" s="94">
        <v>3266</v>
      </c>
      <c r="I805" s="94">
        <v>1930</v>
      </c>
      <c r="J805" s="94">
        <v>1336</v>
      </c>
      <c r="K805" s="94">
        <v>84</v>
      </c>
      <c r="L805" s="94">
        <v>547</v>
      </c>
      <c r="M805" s="94">
        <v>1679</v>
      </c>
      <c r="N805" s="94">
        <v>956</v>
      </c>
      <c r="O805" s="94">
        <v>3265</v>
      </c>
      <c r="P805" s="94">
        <v>1</v>
      </c>
      <c r="Q805" s="95">
        <v>0.16061676839062</v>
      </c>
      <c r="R805" s="95">
        <v>0.108813928182807</v>
      </c>
      <c r="S805" s="95">
        <v>0.23529411764705899</v>
      </c>
      <c r="T805" s="95">
        <v>0</v>
      </c>
      <c r="U805" s="95">
        <v>0.38910505836575898</v>
      </c>
      <c r="V805" s="95">
        <v>0.12523481527864699</v>
      </c>
      <c r="W805" s="95">
        <v>0.107991360691145</v>
      </c>
      <c r="X805" s="95">
        <v>0.160668380462725</v>
      </c>
      <c r="Y805" s="95">
        <v>0</v>
      </c>
      <c r="Z805" s="94">
        <v>3922</v>
      </c>
      <c r="AA805" s="94">
        <v>2196</v>
      </c>
      <c r="AB805" s="94">
        <v>1726</v>
      </c>
      <c r="AC805" s="94">
        <v>121</v>
      </c>
      <c r="AD805" s="94">
        <v>585</v>
      </c>
      <c r="AE805" s="94">
        <v>2037</v>
      </c>
      <c r="AF805" s="94">
        <v>1179</v>
      </c>
      <c r="AG805" s="94">
        <v>3611</v>
      </c>
      <c r="AH805" s="94">
        <v>270</v>
      </c>
      <c r="AI805" s="94">
        <v>41</v>
      </c>
      <c r="AJ805" s="94">
        <v>3906</v>
      </c>
      <c r="AK805" s="94">
        <v>3</v>
      </c>
      <c r="AL805" s="94">
        <v>13</v>
      </c>
      <c r="AM805" s="94">
        <v>305</v>
      </c>
      <c r="AN805" s="94">
        <v>3542</v>
      </c>
      <c r="AO805" s="94">
        <v>75</v>
      </c>
      <c r="AP805" s="95">
        <v>0.84277060837503304</v>
      </c>
      <c r="AQ805" s="95">
        <v>0.18691588785046701</v>
      </c>
      <c r="AR805" s="95">
        <v>1.68980084490042</v>
      </c>
      <c r="AS805" s="95">
        <v>0.854700854700855</v>
      </c>
      <c r="AT805" s="95">
        <v>1.6071428571428601</v>
      </c>
      <c r="AU805" s="95">
        <v>0.86163203243791198</v>
      </c>
      <c r="AV805" s="95">
        <v>0.43591979075850001</v>
      </c>
      <c r="AW805" s="95">
        <v>0.68454078722190503</v>
      </c>
      <c r="AX805" s="95">
        <v>2.78884462151394</v>
      </c>
      <c r="AY805" s="95">
        <v>2.5</v>
      </c>
      <c r="AZ805" s="95">
        <v>0.84611316763617095</v>
      </c>
      <c r="BA805" s="95">
        <v>0</v>
      </c>
      <c r="BB805" s="95">
        <v>0</v>
      </c>
      <c r="BC805" s="95">
        <v>0.337837837837838</v>
      </c>
      <c r="BD805" s="95">
        <v>0.87489063867016603</v>
      </c>
      <c r="BE805" s="95">
        <v>1.3888888888888899</v>
      </c>
    </row>
    <row r="806" spans="2:57" ht="15" customHeight="1" x14ac:dyDescent="0.25">
      <c r="B806" s="96">
        <v>796</v>
      </c>
      <c r="C806" s="97" t="s">
        <v>504</v>
      </c>
      <c r="D806" s="104" t="s">
        <v>57</v>
      </c>
      <c r="E806" s="104" t="s">
        <v>384</v>
      </c>
      <c r="F806" s="104" t="s">
        <v>474</v>
      </c>
      <c r="G806" s="105" t="s">
        <v>474</v>
      </c>
      <c r="H806" s="106">
        <v>3266</v>
      </c>
      <c r="I806" s="106">
        <v>1930</v>
      </c>
      <c r="J806" s="106">
        <v>1336</v>
      </c>
      <c r="K806" s="106">
        <v>84</v>
      </c>
      <c r="L806" s="106">
        <v>547</v>
      </c>
      <c r="M806" s="106">
        <v>1679</v>
      </c>
      <c r="N806" s="106">
        <v>956</v>
      </c>
      <c r="O806" s="106">
        <v>3265</v>
      </c>
      <c r="P806" s="106">
        <v>1</v>
      </c>
      <c r="Q806" s="107">
        <v>0.16061676839062</v>
      </c>
      <c r="R806" s="107">
        <v>0.108813928182807</v>
      </c>
      <c r="S806" s="107">
        <v>0.23529411764705899</v>
      </c>
      <c r="T806" s="107">
        <v>0</v>
      </c>
      <c r="U806" s="107">
        <v>0.38910505836575898</v>
      </c>
      <c r="V806" s="107">
        <v>0.12523481527864699</v>
      </c>
      <c r="W806" s="107">
        <v>0.107991360691145</v>
      </c>
      <c r="X806" s="107">
        <v>0.160668380462725</v>
      </c>
      <c r="Y806" s="107">
        <v>0</v>
      </c>
      <c r="Z806" s="106">
        <v>3922</v>
      </c>
      <c r="AA806" s="106">
        <v>2196</v>
      </c>
      <c r="AB806" s="106">
        <v>1726</v>
      </c>
      <c r="AC806" s="106">
        <v>121</v>
      </c>
      <c r="AD806" s="106">
        <v>585</v>
      </c>
      <c r="AE806" s="106">
        <v>2037</v>
      </c>
      <c r="AF806" s="106">
        <v>1179</v>
      </c>
      <c r="AG806" s="106">
        <v>3611</v>
      </c>
      <c r="AH806" s="106">
        <v>270</v>
      </c>
      <c r="AI806" s="106">
        <v>41</v>
      </c>
      <c r="AJ806" s="106">
        <v>3906</v>
      </c>
      <c r="AK806" s="106">
        <v>3</v>
      </c>
      <c r="AL806" s="106">
        <v>13</v>
      </c>
      <c r="AM806" s="106">
        <v>305</v>
      </c>
      <c r="AN806" s="106">
        <v>3542</v>
      </c>
      <c r="AO806" s="106">
        <v>75</v>
      </c>
      <c r="AP806" s="107">
        <v>0.84277060837503304</v>
      </c>
      <c r="AQ806" s="107">
        <v>0.18691588785046701</v>
      </c>
      <c r="AR806" s="107">
        <v>1.68980084490042</v>
      </c>
      <c r="AS806" s="107">
        <v>0.854700854700855</v>
      </c>
      <c r="AT806" s="107">
        <v>1.6071428571428601</v>
      </c>
      <c r="AU806" s="107">
        <v>0.86163203243791198</v>
      </c>
      <c r="AV806" s="107">
        <v>0.43591979075850001</v>
      </c>
      <c r="AW806" s="107">
        <v>0.68454078722190503</v>
      </c>
      <c r="AX806" s="107">
        <v>2.78884462151394</v>
      </c>
      <c r="AY806" s="107">
        <v>2.5</v>
      </c>
      <c r="AZ806" s="107">
        <v>0.84611316763617095</v>
      </c>
      <c r="BA806" s="107">
        <v>0</v>
      </c>
      <c r="BB806" s="107">
        <v>0</v>
      </c>
      <c r="BC806" s="107">
        <v>0.337837837837838</v>
      </c>
      <c r="BD806" s="107">
        <v>0.87489063867016603</v>
      </c>
      <c r="BE806" s="107">
        <v>1.3888888888888899</v>
      </c>
    </row>
    <row r="807" spans="2:57" ht="15" customHeight="1" x14ac:dyDescent="0.25">
      <c r="B807" s="91">
        <v>797</v>
      </c>
      <c r="C807" s="92" t="s">
        <v>504</v>
      </c>
      <c r="D807" s="92" t="s">
        <v>57</v>
      </c>
      <c r="E807" s="92" t="s">
        <v>384</v>
      </c>
      <c r="F807" s="92" t="s">
        <v>474</v>
      </c>
      <c r="G807" s="101" t="s">
        <v>501</v>
      </c>
      <c r="H807" s="94">
        <v>0</v>
      </c>
      <c r="I807" s="94">
        <v>0</v>
      </c>
      <c r="J807" s="94">
        <v>0</v>
      </c>
      <c r="K807" s="94">
        <v>0</v>
      </c>
      <c r="L807" s="94">
        <v>0</v>
      </c>
      <c r="M807" s="94">
        <v>0</v>
      </c>
      <c r="N807" s="94">
        <v>0</v>
      </c>
      <c r="O807" s="94">
        <v>0</v>
      </c>
      <c r="P807" s="94">
        <v>0</v>
      </c>
      <c r="Q807" s="95">
        <v>0</v>
      </c>
      <c r="R807" s="95">
        <v>0</v>
      </c>
      <c r="S807" s="95">
        <v>0</v>
      </c>
      <c r="T807" s="95">
        <v>0</v>
      </c>
      <c r="U807" s="95">
        <v>0</v>
      </c>
      <c r="V807" s="95">
        <v>0</v>
      </c>
      <c r="W807" s="95">
        <v>0</v>
      </c>
      <c r="X807" s="95">
        <v>0</v>
      </c>
      <c r="Y807" s="95">
        <v>0</v>
      </c>
      <c r="Z807" s="94">
        <v>0</v>
      </c>
      <c r="AA807" s="94">
        <v>0</v>
      </c>
      <c r="AB807" s="94">
        <v>0</v>
      </c>
      <c r="AC807" s="94">
        <v>0</v>
      </c>
      <c r="AD807" s="94">
        <v>0</v>
      </c>
      <c r="AE807" s="94">
        <v>0</v>
      </c>
      <c r="AF807" s="94">
        <v>0</v>
      </c>
      <c r="AG807" s="94">
        <v>0</v>
      </c>
      <c r="AH807" s="94">
        <v>0</v>
      </c>
      <c r="AI807" s="94">
        <v>0</v>
      </c>
      <c r="AJ807" s="94">
        <v>0</v>
      </c>
      <c r="AK807" s="94">
        <v>0</v>
      </c>
      <c r="AL807" s="94">
        <v>0</v>
      </c>
      <c r="AM807" s="94">
        <v>0</v>
      </c>
      <c r="AN807" s="94">
        <v>0</v>
      </c>
      <c r="AO807" s="94">
        <v>0</v>
      </c>
      <c r="AP807" s="95">
        <v>0</v>
      </c>
      <c r="AQ807" s="95">
        <v>0</v>
      </c>
      <c r="AR807" s="95">
        <v>0</v>
      </c>
      <c r="AS807" s="95">
        <v>0</v>
      </c>
      <c r="AT807" s="95">
        <v>0</v>
      </c>
      <c r="AU807" s="95">
        <v>0</v>
      </c>
      <c r="AV807" s="95">
        <v>0</v>
      </c>
      <c r="AW807" s="95">
        <v>0</v>
      </c>
      <c r="AX807" s="95">
        <v>0</v>
      </c>
      <c r="AY807" s="95">
        <v>0</v>
      </c>
      <c r="AZ807" s="95">
        <v>0</v>
      </c>
      <c r="BA807" s="95">
        <v>0</v>
      </c>
      <c r="BB807" s="95">
        <v>0</v>
      </c>
      <c r="BC807" s="95">
        <v>0</v>
      </c>
      <c r="BD807" s="95">
        <v>0</v>
      </c>
      <c r="BE807" s="95">
        <v>0</v>
      </c>
    </row>
    <row r="808" spans="2:57" ht="15" customHeight="1" x14ac:dyDescent="0.25">
      <c r="B808" s="91">
        <v>798</v>
      </c>
      <c r="C808" s="92" t="s">
        <v>504</v>
      </c>
      <c r="D808" s="92" t="s">
        <v>57</v>
      </c>
      <c r="E808" s="92" t="s">
        <v>384</v>
      </c>
      <c r="F808" s="92" t="s">
        <v>474</v>
      </c>
      <c r="G808" s="101" t="s">
        <v>502</v>
      </c>
      <c r="H808" s="94">
        <v>3266</v>
      </c>
      <c r="I808" s="94">
        <v>1930</v>
      </c>
      <c r="J808" s="94">
        <v>1336</v>
      </c>
      <c r="K808" s="94">
        <v>84</v>
      </c>
      <c r="L808" s="94">
        <v>547</v>
      </c>
      <c r="M808" s="94">
        <v>1679</v>
      </c>
      <c r="N808" s="94">
        <v>956</v>
      </c>
      <c r="O808" s="94">
        <v>3265</v>
      </c>
      <c r="P808" s="94">
        <v>1</v>
      </c>
      <c r="Q808" s="95">
        <v>0.16061676839062</v>
      </c>
      <c r="R808" s="95">
        <v>0.108813928182807</v>
      </c>
      <c r="S808" s="95">
        <v>0.23529411764705899</v>
      </c>
      <c r="T808" s="95">
        <v>0</v>
      </c>
      <c r="U808" s="95">
        <v>0.38910505836575898</v>
      </c>
      <c r="V808" s="95">
        <v>0.12523481527864699</v>
      </c>
      <c r="W808" s="95">
        <v>0.107991360691145</v>
      </c>
      <c r="X808" s="95">
        <v>0.160668380462725</v>
      </c>
      <c r="Y808" s="95">
        <v>0</v>
      </c>
      <c r="Z808" s="94">
        <v>3922</v>
      </c>
      <c r="AA808" s="94">
        <v>2196</v>
      </c>
      <c r="AB808" s="94">
        <v>1726</v>
      </c>
      <c r="AC808" s="94">
        <v>121</v>
      </c>
      <c r="AD808" s="94">
        <v>585</v>
      </c>
      <c r="AE808" s="94">
        <v>2037</v>
      </c>
      <c r="AF808" s="94">
        <v>1179</v>
      </c>
      <c r="AG808" s="94">
        <v>3611</v>
      </c>
      <c r="AH808" s="94">
        <v>270</v>
      </c>
      <c r="AI808" s="94">
        <v>41</v>
      </c>
      <c r="AJ808" s="94">
        <v>3906</v>
      </c>
      <c r="AK808" s="94">
        <v>3</v>
      </c>
      <c r="AL808" s="94">
        <v>13</v>
      </c>
      <c r="AM808" s="94">
        <v>305</v>
      </c>
      <c r="AN808" s="94">
        <v>3542</v>
      </c>
      <c r="AO808" s="94">
        <v>75</v>
      </c>
      <c r="AP808" s="95">
        <v>0.84277060837503304</v>
      </c>
      <c r="AQ808" s="95">
        <v>0.18691588785046701</v>
      </c>
      <c r="AR808" s="95">
        <v>1.68980084490042</v>
      </c>
      <c r="AS808" s="95">
        <v>0.854700854700855</v>
      </c>
      <c r="AT808" s="95">
        <v>1.6071428571428601</v>
      </c>
      <c r="AU808" s="95">
        <v>0.86163203243791198</v>
      </c>
      <c r="AV808" s="95">
        <v>0.43591979075850001</v>
      </c>
      <c r="AW808" s="95">
        <v>0.68454078722190503</v>
      </c>
      <c r="AX808" s="95">
        <v>2.78884462151394</v>
      </c>
      <c r="AY808" s="95">
        <v>2.5</v>
      </c>
      <c r="AZ808" s="95">
        <v>0.84611316763617095</v>
      </c>
      <c r="BA808" s="95">
        <v>0</v>
      </c>
      <c r="BB808" s="95">
        <v>0</v>
      </c>
      <c r="BC808" s="95">
        <v>0.337837837837838</v>
      </c>
      <c r="BD808" s="95">
        <v>0.87489063867016603</v>
      </c>
      <c r="BE808" s="95">
        <v>1.3888888888888899</v>
      </c>
    </row>
    <row r="809" spans="2:57" ht="15" customHeight="1" x14ac:dyDescent="0.25">
      <c r="B809" s="76">
        <v>799</v>
      </c>
      <c r="C809" s="77" t="s">
        <v>3</v>
      </c>
      <c r="D809" s="77" t="s">
        <v>302</v>
      </c>
      <c r="E809" s="77"/>
      <c r="F809" s="77"/>
      <c r="G809" s="78" t="s">
        <v>302</v>
      </c>
      <c r="H809" s="79">
        <v>353488</v>
      </c>
      <c r="I809" s="79">
        <v>206846</v>
      </c>
      <c r="J809" s="79">
        <v>146642</v>
      </c>
      <c r="K809" s="79">
        <v>19851</v>
      </c>
      <c r="L809" s="79">
        <v>93721</v>
      </c>
      <c r="M809" s="79">
        <v>185387</v>
      </c>
      <c r="N809" s="79">
        <v>54529</v>
      </c>
      <c r="O809" s="79">
        <v>351858</v>
      </c>
      <c r="P809" s="79">
        <v>1630</v>
      </c>
      <c r="Q809" s="80">
        <v>0.968343433487308</v>
      </c>
      <c r="R809" s="80">
        <v>0.64675524882466195</v>
      </c>
      <c r="S809" s="80">
        <v>1.43689060443116</v>
      </c>
      <c r="T809" s="80">
        <v>1.60534333255214</v>
      </c>
      <c r="U809" s="80">
        <v>1.35554862770908</v>
      </c>
      <c r="V809" s="80">
        <v>0.87574167047010498</v>
      </c>
      <c r="W809" s="80">
        <v>0.42020893722156299</v>
      </c>
      <c r="X809" s="80">
        <v>0.96083677937241596</v>
      </c>
      <c r="Y809" s="80">
        <v>2.6387009472259799</v>
      </c>
      <c r="Z809" s="79">
        <v>434599</v>
      </c>
      <c r="AA809" s="79">
        <v>243347</v>
      </c>
      <c r="AB809" s="79">
        <v>191252</v>
      </c>
      <c r="AC809" s="79">
        <v>22634</v>
      </c>
      <c r="AD809" s="79">
        <v>110393</v>
      </c>
      <c r="AE809" s="79">
        <v>229047</v>
      </c>
      <c r="AF809" s="79">
        <v>72525</v>
      </c>
      <c r="AG809" s="79">
        <v>301550</v>
      </c>
      <c r="AH809" s="79">
        <v>128651</v>
      </c>
      <c r="AI809" s="79">
        <v>4398</v>
      </c>
      <c r="AJ809" s="79">
        <v>429380</v>
      </c>
      <c r="AK809" s="79">
        <v>3646</v>
      </c>
      <c r="AL809" s="79">
        <v>1573</v>
      </c>
      <c r="AM809" s="79">
        <v>31853</v>
      </c>
      <c r="AN809" s="79">
        <v>397267</v>
      </c>
      <c r="AO809" s="79">
        <v>5479</v>
      </c>
      <c r="AP809" s="80">
        <v>3.7686001412562198</v>
      </c>
      <c r="AQ809" s="80">
        <v>1.6639013376210201</v>
      </c>
      <c r="AR809" s="80">
        <v>6.4878094596162503</v>
      </c>
      <c r="AS809" s="80">
        <v>5.2697732880219696</v>
      </c>
      <c r="AT809" s="80">
        <v>5.4465265874468001</v>
      </c>
      <c r="AU809" s="80">
        <v>3.55539127101473</v>
      </c>
      <c r="AV809" s="80">
        <v>1.4987924421082499</v>
      </c>
      <c r="AW809" s="80">
        <v>2.67100032122466</v>
      </c>
      <c r="AX809" s="80">
        <v>6.4256663669287297</v>
      </c>
      <c r="AY809" s="80">
        <v>2.7217496962332901</v>
      </c>
      <c r="AZ809" s="80">
        <v>3.7513081278342799</v>
      </c>
      <c r="BA809" s="80">
        <v>6.6043249561659803</v>
      </c>
      <c r="BB809" s="80">
        <v>2.0134228187919501</v>
      </c>
      <c r="BC809" s="80">
        <v>2.8283485045513701</v>
      </c>
      <c r="BD809" s="80">
        <v>3.8678976372965099</v>
      </c>
      <c r="BE809" s="80">
        <v>2.0957508171505501</v>
      </c>
    </row>
    <row r="810" spans="2:57" ht="15" customHeight="1" x14ac:dyDescent="0.25">
      <c r="B810" s="81">
        <v>800</v>
      </c>
      <c r="C810" s="82" t="s">
        <v>3</v>
      </c>
      <c r="D810" s="102" t="s">
        <v>302</v>
      </c>
      <c r="E810" s="102"/>
      <c r="F810" s="102"/>
      <c r="G810" s="83" t="s">
        <v>501</v>
      </c>
      <c r="H810" s="84">
        <v>127577</v>
      </c>
      <c r="I810" s="84">
        <v>72637</v>
      </c>
      <c r="J810" s="84">
        <v>54940</v>
      </c>
      <c r="K810" s="84">
        <v>6062</v>
      </c>
      <c r="L810" s="84">
        <v>38761</v>
      </c>
      <c r="M810" s="84">
        <v>72174</v>
      </c>
      <c r="N810" s="84">
        <v>10580</v>
      </c>
      <c r="O810" s="84">
        <v>126593</v>
      </c>
      <c r="P810" s="84">
        <v>984</v>
      </c>
      <c r="Q810" s="85">
        <v>2.1707584076579098</v>
      </c>
      <c r="R810" s="85">
        <v>1.5102322643200301</v>
      </c>
      <c r="S810" s="85">
        <v>3.0741410488245902</v>
      </c>
      <c r="T810" s="85">
        <v>4.4149673332013499</v>
      </c>
      <c r="U810" s="85">
        <v>2.6415945420202398</v>
      </c>
      <c r="V810" s="85">
        <v>1.82479055541601</v>
      </c>
      <c r="W810" s="85">
        <v>1.6912222452790999</v>
      </c>
      <c r="X810" s="85">
        <v>2.1576458313735198</v>
      </c>
      <c r="Y810" s="85">
        <v>3.8631346578366399</v>
      </c>
      <c r="Z810" s="84">
        <v>173586</v>
      </c>
      <c r="AA810" s="84">
        <v>93189</v>
      </c>
      <c r="AB810" s="84">
        <v>80397</v>
      </c>
      <c r="AC810" s="84">
        <v>7065</v>
      </c>
      <c r="AD810" s="84">
        <v>49985</v>
      </c>
      <c r="AE810" s="84">
        <v>99325</v>
      </c>
      <c r="AF810" s="84">
        <v>17211</v>
      </c>
      <c r="AG810" s="84">
        <v>76691</v>
      </c>
      <c r="AH810" s="84">
        <v>95515</v>
      </c>
      <c r="AI810" s="84">
        <v>1380</v>
      </c>
      <c r="AJ810" s="84">
        <v>170788</v>
      </c>
      <c r="AK810" s="84">
        <v>2349</v>
      </c>
      <c r="AL810" s="84">
        <v>449</v>
      </c>
      <c r="AM810" s="84">
        <v>10171</v>
      </c>
      <c r="AN810" s="84">
        <v>162135</v>
      </c>
      <c r="AO810" s="84">
        <v>1280</v>
      </c>
      <c r="AP810" s="85">
        <v>7.1045829151841398</v>
      </c>
      <c r="AQ810" s="85">
        <v>3.4634966866483801</v>
      </c>
      <c r="AR810" s="85">
        <v>11.3577023498695</v>
      </c>
      <c r="AS810" s="85">
        <v>12.7513779234321</v>
      </c>
      <c r="AT810" s="85">
        <v>9.1959680698525492</v>
      </c>
      <c r="AU810" s="85">
        <v>6.1203110946510799</v>
      </c>
      <c r="AV810" s="85">
        <v>4.5173041894353396</v>
      </c>
      <c r="AW810" s="85">
        <v>6.3733653662398604</v>
      </c>
      <c r="AX810" s="85">
        <v>7.7042031017066099</v>
      </c>
      <c r="AY810" s="85">
        <v>6.8450039339103101</v>
      </c>
      <c r="AZ810" s="85">
        <v>7.0837041431820396</v>
      </c>
      <c r="BA810" s="85">
        <v>9.06178489702517</v>
      </c>
      <c r="BB810" s="85">
        <v>4.9763033175355504</v>
      </c>
      <c r="BC810" s="85">
        <v>7.0829450139794998</v>
      </c>
      <c r="BD810" s="85">
        <v>7.10890289643676</v>
      </c>
      <c r="BE810" s="85">
        <v>6.7226890756302504</v>
      </c>
    </row>
    <row r="811" spans="2:57" ht="15" customHeight="1" x14ac:dyDescent="0.25">
      <c r="B811" s="81">
        <v>801</v>
      </c>
      <c r="C811" s="82" t="s">
        <v>3</v>
      </c>
      <c r="D811" s="102" t="s">
        <v>302</v>
      </c>
      <c r="E811" s="102"/>
      <c r="F811" s="102"/>
      <c r="G811" s="83" t="s">
        <v>502</v>
      </c>
      <c r="H811" s="84">
        <v>225911</v>
      </c>
      <c r="I811" s="84">
        <v>134209</v>
      </c>
      <c r="J811" s="84">
        <v>91702</v>
      </c>
      <c r="K811" s="84">
        <v>13789</v>
      </c>
      <c r="L811" s="84">
        <v>54960</v>
      </c>
      <c r="M811" s="84">
        <v>113213</v>
      </c>
      <c r="N811" s="84">
        <v>43949</v>
      </c>
      <c r="O811" s="84">
        <v>225265</v>
      </c>
      <c r="P811" s="84">
        <v>646</v>
      </c>
      <c r="Q811" s="85">
        <v>0.30162009043897298</v>
      </c>
      <c r="R811" s="85">
        <v>0.18696414043432</v>
      </c>
      <c r="S811" s="85">
        <v>0.47468914945623297</v>
      </c>
      <c r="T811" s="85">
        <v>0.42439876841141699</v>
      </c>
      <c r="U811" s="85">
        <v>0.46346996245306599</v>
      </c>
      <c r="V811" s="85">
        <v>0.27880781777121</v>
      </c>
      <c r="W811" s="85">
        <v>0.126900514785107</v>
      </c>
      <c r="X811" s="85">
        <v>0.30054683482191302</v>
      </c>
      <c r="Y811" s="85">
        <v>0.69930069930069905</v>
      </c>
      <c r="Z811" s="84">
        <v>261013</v>
      </c>
      <c r="AA811" s="84">
        <v>150158</v>
      </c>
      <c r="AB811" s="84">
        <v>110855</v>
      </c>
      <c r="AC811" s="84">
        <v>15569</v>
      </c>
      <c r="AD811" s="84">
        <v>60408</v>
      </c>
      <c r="AE811" s="84">
        <v>129722</v>
      </c>
      <c r="AF811" s="84">
        <v>55314</v>
      </c>
      <c r="AG811" s="84">
        <v>224859</v>
      </c>
      <c r="AH811" s="84">
        <v>33136</v>
      </c>
      <c r="AI811" s="84">
        <v>3018</v>
      </c>
      <c r="AJ811" s="84">
        <v>258592</v>
      </c>
      <c r="AK811" s="84">
        <v>1297</v>
      </c>
      <c r="AL811" s="84">
        <v>1124</v>
      </c>
      <c r="AM811" s="84">
        <v>21682</v>
      </c>
      <c r="AN811" s="84">
        <v>235132</v>
      </c>
      <c r="AO811" s="84">
        <v>4199</v>
      </c>
      <c r="AP811" s="85">
        <v>1.5784597937979701</v>
      </c>
      <c r="AQ811" s="85">
        <v>0.56654298636304201</v>
      </c>
      <c r="AR811" s="85">
        <v>2.97621877585174</v>
      </c>
      <c r="AS811" s="85">
        <v>1.86890574214518</v>
      </c>
      <c r="AT811" s="85">
        <v>2.3792433340919801</v>
      </c>
      <c r="AU811" s="85">
        <v>1.6104054498623901</v>
      </c>
      <c r="AV811" s="85">
        <v>0.57678041543026703</v>
      </c>
      <c r="AW811" s="85">
        <v>1.4168196468123899</v>
      </c>
      <c r="AX811" s="85">
        <v>2.7576521655868</v>
      </c>
      <c r="AY811" s="85">
        <v>0.87904360056258801</v>
      </c>
      <c r="AZ811" s="85">
        <v>1.5782113336208199</v>
      </c>
      <c r="BA811" s="85">
        <v>2.2635408245755899</v>
      </c>
      <c r="BB811" s="85">
        <v>0.84269662921348298</v>
      </c>
      <c r="BC811" s="85">
        <v>0.88139127138321605</v>
      </c>
      <c r="BD811" s="85">
        <v>1.6589739037812901</v>
      </c>
      <c r="BE811" s="85">
        <v>0.72301171777611595</v>
      </c>
    </row>
    <row r="812" spans="2:57" ht="15" customHeight="1" x14ac:dyDescent="0.25">
      <c r="B812" s="86">
        <v>802</v>
      </c>
      <c r="C812" s="87" t="s">
        <v>503</v>
      </c>
      <c r="D812" s="103" t="s">
        <v>302</v>
      </c>
      <c r="E812" s="103" t="s">
        <v>386</v>
      </c>
      <c r="F812" s="103"/>
      <c r="G812" s="88" t="s">
        <v>386</v>
      </c>
      <c r="H812" s="89">
        <v>89396</v>
      </c>
      <c r="I812" s="89">
        <v>53066</v>
      </c>
      <c r="J812" s="89">
        <v>36330</v>
      </c>
      <c r="K812" s="89">
        <v>4491</v>
      </c>
      <c r="L812" s="89">
        <v>26638</v>
      </c>
      <c r="M812" s="89">
        <v>49069</v>
      </c>
      <c r="N812" s="89">
        <v>9198</v>
      </c>
      <c r="O812" s="89">
        <v>88930</v>
      </c>
      <c r="P812" s="89">
        <v>466</v>
      </c>
      <c r="Q812" s="90">
        <v>1.6681352372445599</v>
      </c>
      <c r="R812" s="90">
        <v>1.0400624037442201</v>
      </c>
      <c r="S812" s="90">
        <v>2.6240487062404898</v>
      </c>
      <c r="T812" s="90">
        <v>3.4975746744957901</v>
      </c>
      <c r="U812" s="90">
        <v>2.01962620627876</v>
      </c>
      <c r="V812" s="90">
        <v>1.4630530056908599</v>
      </c>
      <c r="W812" s="90">
        <v>0.91678420310296205</v>
      </c>
      <c r="X812" s="90">
        <v>1.6539054252466301</v>
      </c>
      <c r="Y812" s="90">
        <v>4.3577981651376101</v>
      </c>
      <c r="Z812" s="89">
        <v>120756</v>
      </c>
      <c r="AA812" s="89">
        <v>67567</v>
      </c>
      <c r="AB812" s="89">
        <v>53189</v>
      </c>
      <c r="AC812" s="89">
        <v>5164</v>
      </c>
      <c r="AD812" s="89">
        <v>34139</v>
      </c>
      <c r="AE812" s="89">
        <v>67932</v>
      </c>
      <c r="AF812" s="89">
        <v>13521</v>
      </c>
      <c r="AG812" s="89">
        <v>59789</v>
      </c>
      <c r="AH812" s="89">
        <v>60164</v>
      </c>
      <c r="AI812" s="89">
        <v>803</v>
      </c>
      <c r="AJ812" s="89">
        <v>119258</v>
      </c>
      <c r="AK812" s="89">
        <v>1097</v>
      </c>
      <c r="AL812" s="89">
        <v>401</v>
      </c>
      <c r="AM812" s="89">
        <v>6950</v>
      </c>
      <c r="AN812" s="89">
        <v>112799</v>
      </c>
      <c r="AO812" s="89">
        <v>1007</v>
      </c>
      <c r="AP812" s="90">
        <v>5.5066194554429497</v>
      </c>
      <c r="AQ812" s="90">
        <v>2.3131865577986801</v>
      </c>
      <c r="AR812" s="90">
        <v>9.6191065264670108</v>
      </c>
      <c r="AS812" s="90">
        <v>10.6137330362568</v>
      </c>
      <c r="AT812" s="90">
        <v>7.6682902460347204</v>
      </c>
      <c r="AU812" s="90">
        <v>4.60541577099732</v>
      </c>
      <c r="AV812" s="90">
        <v>2.73131809114623</v>
      </c>
      <c r="AW812" s="90">
        <v>3.9305110708814901</v>
      </c>
      <c r="AX812" s="90">
        <v>7.0933918988328202</v>
      </c>
      <c r="AY812" s="90">
        <v>6.7729083665338603</v>
      </c>
      <c r="AZ812" s="90">
        <v>5.46088645594208</v>
      </c>
      <c r="BA812" s="90">
        <v>11.2855740922473</v>
      </c>
      <c r="BB812" s="90">
        <v>3.6553524804177502</v>
      </c>
      <c r="BC812" s="90">
        <v>5.58406278297615</v>
      </c>
      <c r="BD812" s="90">
        <v>5.5143110613064401</v>
      </c>
      <c r="BE812" s="90">
        <v>4.1009463722397497</v>
      </c>
    </row>
    <row r="813" spans="2:57" ht="15" customHeight="1" x14ac:dyDescent="0.25">
      <c r="B813" s="91">
        <v>803</v>
      </c>
      <c r="C813" s="92" t="s">
        <v>503</v>
      </c>
      <c r="D813" s="92" t="s">
        <v>302</v>
      </c>
      <c r="E813" s="92" t="s">
        <v>386</v>
      </c>
      <c r="F813" s="92"/>
      <c r="G813" s="93" t="s">
        <v>501</v>
      </c>
      <c r="H813" s="94">
        <v>64763</v>
      </c>
      <c r="I813" s="94">
        <v>37487</v>
      </c>
      <c r="J813" s="94">
        <v>27276</v>
      </c>
      <c r="K813" s="94">
        <v>3021</v>
      </c>
      <c r="L813" s="94">
        <v>20386</v>
      </c>
      <c r="M813" s="94">
        <v>36990</v>
      </c>
      <c r="N813" s="94">
        <v>4366</v>
      </c>
      <c r="O813" s="94">
        <v>64353</v>
      </c>
      <c r="P813" s="94">
        <v>410</v>
      </c>
      <c r="Q813" s="95">
        <v>2.2478299409610099</v>
      </c>
      <c r="R813" s="95">
        <v>1.45237078171721</v>
      </c>
      <c r="S813" s="95">
        <v>3.3798022369914098</v>
      </c>
      <c r="T813" s="95">
        <v>5.12624330527927</v>
      </c>
      <c r="U813" s="95">
        <v>2.5701309110339299</v>
      </c>
      <c r="V813" s="95">
        <v>1.9021108791463699</v>
      </c>
      <c r="W813" s="95">
        <v>1.8369401107196801</v>
      </c>
      <c r="X813" s="95">
        <v>2.2303393482359302</v>
      </c>
      <c r="Y813" s="95">
        <v>4.9608355091383798</v>
      </c>
      <c r="Z813" s="94">
        <v>86926</v>
      </c>
      <c r="AA813" s="94">
        <v>47055</v>
      </c>
      <c r="AB813" s="94">
        <v>39871</v>
      </c>
      <c r="AC813" s="94">
        <v>3438</v>
      </c>
      <c r="AD813" s="94">
        <v>25780</v>
      </c>
      <c r="AE813" s="94">
        <v>50541</v>
      </c>
      <c r="AF813" s="94">
        <v>7167</v>
      </c>
      <c r="AG813" s="94">
        <v>30045</v>
      </c>
      <c r="AH813" s="94">
        <v>56252</v>
      </c>
      <c r="AI813" s="94">
        <v>629</v>
      </c>
      <c r="AJ813" s="94">
        <v>85728</v>
      </c>
      <c r="AK813" s="94">
        <v>972</v>
      </c>
      <c r="AL813" s="94">
        <v>226</v>
      </c>
      <c r="AM813" s="94">
        <v>4613</v>
      </c>
      <c r="AN813" s="94">
        <v>81796</v>
      </c>
      <c r="AO813" s="94">
        <v>517</v>
      </c>
      <c r="AP813" s="95">
        <v>6.9783305114681404</v>
      </c>
      <c r="AQ813" s="95">
        <v>3.1352247770158201</v>
      </c>
      <c r="AR813" s="95">
        <v>11.5543695797198</v>
      </c>
      <c r="AS813" s="95">
        <v>14.394400486914201</v>
      </c>
      <c r="AT813" s="95">
        <v>9.4480006650594408</v>
      </c>
      <c r="AU813" s="95">
        <v>5.57584357588531</v>
      </c>
      <c r="AV813" s="95">
        <v>4.5521077283372398</v>
      </c>
      <c r="AW813" s="95">
        <v>6.3143971038707898</v>
      </c>
      <c r="AX813" s="95">
        <v>7.3286723886394203</v>
      </c>
      <c r="AY813" s="95">
        <v>7.9661016949152499</v>
      </c>
      <c r="AZ813" s="95">
        <v>6.9212911511200002</v>
      </c>
      <c r="BA813" s="95">
        <v>12.2923588039867</v>
      </c>
      <c r="BB813" s="95">
        <v>6.1320754716981103</v>
      </c>
      <c r="BC813" s="95">
        <v>8.05230557467309</v>
      </c>
      <c r="BD813" s="95">
        <v>6.9196717492039701</v>
      </c>
      <c r="BE813" s="95">
        <v>6.6666666666666696</v>
      </c>
    </row>
    <row r="814" spans="2:57" ht="15" customHeight="1" x14ac:dyDescent="0.25">
      <c r="B814" s="91">
        <v>804</v>
      </c>
      <c r="C814" s="92" t="s">
        <v>503</v>
      </c>
      <c r="D814" s="92" t="s">
        <v>302</v>
      </c>
      <c r="E814" s="92" t="s">
        <v>386</v>
      </c>
      <c r="F814" s="92"/>
      <c r="G814" s="93" t="s">
        <v>502</v>
      </c>
      <c r="H814" s="94">
        <v>24633</v>
      </c>
      <c r="I814" s="94">
        <v>15579</v>
      </c>
      <c r="J814" s="94">
        <v>9054</v>
      </c>
      <c r="K814" s="94">
        <v>1470</v>
      </c>
      <c r="L814" s="94">
        <v>6252</v>
      </c>
      <c r="M814" s="94">
        <v>12079</v>
      </c>
      <c r="N814" s="94">
        <v>4832</v>
      </c>
      <c r="O814" s="94">
        <v>24577</v>
      </c>
      <c r="P814" s="94">
        <v>56</v>
      </c>
      <c r="Q814" s="95">
        <v>0.164816099930604</v>
      </c>
      <c r="R814" s="95">
        <v>6.7195269453030504E-2</v>
      </c>
      <c r="S814" s="95">
        <v>0.34254954734524101</v>
      </c>
      <c r="T814" s="95">
        <v>0.230237912509593</v>
      </c>
      <c r="U814" s="95">
        <v>0.25667351129363403</v>
      </c>
      <c r="V814" s="95">
        <v>0.13186813186813201</v>
      </c>
      <c r="W814" s="95">
        <v>0.110277900308778</v>
      </c>
      <c r="X814" s="95">
        <v>0.16519584402034501</v>
      </c>
      <c r="Y814" s="95">
        <v>0</v>
      </c>
      <c r="Z814" s="94">
        <v>33830</v>
      </c>
      <c r="AA814" s="94">
        <v>20512</v>
      </c>
      <c r="AB814" s="94">
        <v>13318</v>
      </c>
      <c r="AC814" s="94">
        <v>1726</v>
      </c>
      <c r="AD814" s="94">
        <v>8359</v>
      </c>
      <c r="AE814" s="94">
        <v>17391</v>
      </c>
      <c r="AF814" s="94">
        <v>6354</v>
      </c>
      <c r="AG814" s="94">
        <v>29744</v>
      </c>
      <c r="AH814" s="94">
        <v>3912</v>
      </c>
      <c r="AI814" s="94">
        <v>174</v>
      </c>
      <c r="AJ814" s="94">
        <v>33530</v>
      </c>
      <c r="AK814" s="94">
        <v>125</v>
      </c>
      <c r="AL814" s="94">
        <v>175</v>
      </c>
      <c r="AM814" s="94">
        <v>2337</v>
      </c>
      <c r="AN814" s="94">
        <v>31003</v>
      </c>
      <c r="AO814" s="94">
        <v>490</v>
      </c>
      <c r="AP814" s="95">
        <v>1.79640718562874</v>
      </c>
      <c r="AQ814" s="95">
        <v>0.47186386225591098</v>
      </c>
      <c r="AR814" s="95">
        <v>3.8832647896235399</v>
      </c>
      <c r="AS814" s="95">
        <v>3.0890369473046602</v>
      </c>
      <c r="AT814" s="95">
        <v>2.2961104140527002</v>
      </c>
      <c r="AU814" s="95">
        <v>1.82773862143113</v>
      </c>
      <c r="AV814" s="95">
        <v>0.72557239600128998</v>
      </c>
      <c r="AW814" s="95">
        <v>1.54596100278552</v>
      </c>
      <c r="AX814" s="95">
        <v>3.7208039109179798</v>
      </c>
      <c r="AY814" s="95">
        <v>2.4539877300613502</v>
      </c>
      <c r="AZ814" s="95">
        <v>1.7968895222752299</v>
      </c>
      <c r="BA814" s="95">
        <v>3.4482758620689702</v>
      </c>
      <c r="BB814" s="95">
        <v>0.58479532163742698</v>
      </c>
      <c r="BC814" s="95">
        <v>0.83811204234671399</v>
      </c>
      <c r="BD814" s="95">
        <v>1.8741408790692999</v>
      </c>
      <c r="BE814" s="95">
        <v>1.48619957537155</v>
      </c>
    </row>
    <row r="815" spans="2:57" ht="15" customHeight="1" x14ac:dyDescent="0.25">
      <c r="B815" s="96">
        <v>805</v>
      </c>
      <c r="C815" s="97" t="s">
        <v>504</v>
      </c>
      <c r="D815" s="104" t="s">
        <v>302</v>
      </c>
      <c r="E815" s="104" t="s">
        <v>386</v>
      </c>
      <c r="F815" s="104" t="s">
        <v>302</v>
      </c>
      <c r="G815" s="105" t="s">
        <v>302</v>
      </c>
      <c r="H815" s="106">
        <v>71176</v>
      </c>
      <c r="I815" s="106">
        <v>41750</v>
      </c>
      <c r="J815" s="106">
        <v>29426</v>
      </c>
      <c r="K815" s="106">
        <v>3303</v>
      </c>
      <c r="L815" s="106">
        <v>21879</v>
      </c>
      <c r="M815" s="106">
        <v>40389</v>
      </c>
      <c r="N815" s="106">
        <v>5605</v>
      </c>
      <c r="O815" s="106">
        <v>70727</v>
      </c>
      <c r="P815" s="106">
        <v>449</v>
      </c>
      <c r="Q815" s="107">
        <v>2.07139373247165</v>
      </c>
      <c r="R815" s="107">
        <v>1.3227919353188</v>
      </c>
      <c r="S815" s="107">
        <v>3.1744834866536</v>
      </c>
      <c r="T815" s="107">
        <v>4.74516695957821</v>
      </c>
      <c r="U815" s="107">
        <v>2.4318532914735602</v>
      </c>
      <c r="V815" s="107">
        <v>1.75821252826174</v>
      </c>
      <c r="W815" s="107">
        <v>1.470299941188</v>
      </c>
      <c r="X815" s="107">
        <v>2.0556245877245498</v>
      </c>
      <c r="Y815" s="107">
        <v>4.5130641330166297</v>
      </c>
      <c r="Z815" s="106">
        <v>97067</v>
      </c>
      <c r="AA815" s="106">
        <v>53128</v>
      </c>
      <c r="AB815" s="106">
        <v>43939</v>
      </c>
      <c r="AC815" s="106">
        <v>3832</v>
      </c>
      <c r="AD815" s="106">
        <v>28096</v>
      </c>
      <c r="AE815" s="106">
        <v>56190</v>
      </c>
      <c r="AF815" s="106">
        <v>8949</v>
      </c>
      <c r="AG815" s="106">
        <v>38150</v>
      </c>
      <c r="AH815" s="106">
        <v>58219</v>
      </c>
      <c r="AI815" s="106">
        <v>698</v>
      </c>
      <c r="AJ815" s="106">
        <v>95776</v>
      </c>
      <c r="AK815" s="106">
        <v>1019</v>
      </c>
      <c r="AL815" s="106">
        <v>272</v>
      </c>
      <c r="AM815" s="106">
        <v>5422</v>
      </c>
      <c r="AN815" s="106">
        <v>90975</v>
      </c>
      <c r="AO815" s="106">
        <v>670</v>
      </c>
      <c r="AP815" s="107">
        <v>6.5520734616515801</v>
      </c>
      <c r="AQ815" s="107">
        <v>2.8705098723336802</v>
      </c>
      <c r="AR815" s="107">
        <v>11.0423366135545</v>
      </c>
      <c r="AS815" s="107">
        <v>13.635124079629099</v>
      </c>
      <c r="AT815" s="107">
        <v>9.0109304185550503</v>
      </c>
      <c r="AU815" s="107">
        <v>5.2822119262441101</v>
      </c>
      <c r="AV815" s="107">
        <v>3.8865546218487399</v>
      </c>
      <c r="AW815" s="107">
        <v>5.5242112182296204</v>
      </c>
      <c r="AX815" s="107">
        <v>7.22338128179788</v>
      </c>
      <c r="AY815" s="107">
        <v>7.8582434514637898</v>
      </c>
      <c r="AZ815" s="107">
        <v>6.5</v>
      </c>
      <c r="BA815" s="107">
        <v>11.9450317124736</v>
      </c>
      <c r="BB815" s="107">
        <v>5.0583657587548601</v>
      </c>
      <c r="BC815" s="107">
        <v>6.9509345794392496</v>
      </c>
      <c r="BD815" s="107">
        <v>6.5340182701471399</v>
      </c>
      <c r="BE815" s="107">
        <v>5.76</v>
      </c>
    </row>
    <row r="816" spans="2:57" ht="15" customHeight="1" x14ac:dyDescent="0.25">
      <c r="B816" s="91">
        <v>806</v>
      </c>
      <c r="C816" s="92" t="s">
        <v>504</v>
      </c>
      <c r="D816" s="92" t="s">
        <v>302</v>
      </c>
      <c r="E816" s="92" t="s">
        <v>386</v>
      </c>
      <c r="F816" s="92" t="s">
        <v>302</v>
      </c>
      <c r="G816" s="101" t="s">
        <v>501</v>
      </c>
      <c r="H816" s="94">
        <v>64763</v>
      </c>
      <c r="I816" s="94">
        <v>37487</v>
      </c>
      <c r="J816" s="94">
        <v>27276</v>
      </c>
      <c r="K816" s="94">
        <v>3021</v>
      </c>
      <c r="L816" s="94">
        <v>20386</v>
      </c>
      <c r="M816" s="94">
        <v>36990</v>
      </c>
      <c r="N816" s="94">
        <v>4366</v>
      </c>
      <c r="O816" s="94">
        <v>64353</v>
      </c>
      <c r="P816" s="94">
        <v>410</v>
      </c>
      <c r="Q816" s="95">
        <v>2.2478299409610099</v>
      </c>
      <c r="R816" s="95">
        <v>1.45237078171721</v>
      </c>
      <c r="S816" s="95">
        <v>3.3798022369914098</v>
      </c>
      <c r="T816" s="95">
        <v>5.12624330527927</v>
      </c>
      <c r="U816" s="95">
        <v>2.5701309110339299</v>
      </c>
      <c r="V816" s="95">
        <v>1.9021108791463699</v>
      </c>
      <c r="W816" s="95">
        <v>1.8369401107196801</v>
      </c>
      <c r="X816" s="95">
        <v>2.2303393482359302</v>
      </c>
      <c r="Y816" s="95">
        <v>4.9608355091383798</v>
      </c>
      <c r="Z816" s="94">
        <v>86926</v>
      </c>
      <c r="AA816" s="94">
        <v>47055</v>
      </c>
      <c r="AB816" s="94">
        <v>39871</v>
      </c>
      <c r="AC816" s="94">
        <v>3438</v>
      </c>
      <c r="AD816" s="94">
        <v>25780</v>
      </c>
      <c r="AE816" s="94">
        <v>50541</v>
      </c>
      <c r="AF816" s="94">
        <v>7167</v>
      </c>
      <c r="AG816" s="94">
        <v>30045</v>
      </c>
      <c r="AH816" s="94">
        <v>56252</v>
      </c>
      <c r="AI816" s="94">
        <v>629</v>
      </c>
      <c r="AJ816" s="94">
        <v>85728</v>
      </c>
      <c r="AK816" s="94">
        <v>972</v>
      </c>
      <c r="AL816" s="94">
        <v>226</v>
      </c>
      <c r="AM816" s="94">
        <v>4613</v>
      </c>
      <c r="AN816" s="94">
        <v>81796</v>
      </c>
      <c r="AO816" s="94">
        <v>517</v>
      </c>
      <c r="AP816" s="95">
        <v>6.9783305114681404</v>
      </c>
      <c r="AQ816" s="95">
        <v>3.1352247770158201</v>
      </c>
      <c r="AR816" s="95">
        <v>11.5543695797198</v>
      </c>
      <c r="AS816" s="95">
        <v>14.394400486914201</v>
      </c>
      <c r="AT816" s="95">
        <v>9.4480006650594408</v>
      </c>
      <c r="AU816" s="95">
        <v>5.57584357588531</v>
      </c>
      <c r="AV816" s="95">
        <v>4.5521077283372398</v>
      </c>
      <c r="AW816" s="95">
        <v>6.3143971038707898</v>
      </c>
      <c r="AX816" s="95">
        <v>7.3286723886394203</v>
      </c>
      <c r="AY816" s="95">
        <v>7.9661016949152499</v>
      </c>
      <c r="AZ816" s="95">
        <v>6.9212911511200002</v>
      </c>
      <c r="BA816" s="95">
        <v>12.2923588039867</v>
      </c>
      <c r="BB816" s="95">
        <v>6.1320754716981103</v>
      </c>
      <c r="BC816" s="95">
        <v>8.05230557467309</v>
      </c>
      <c r="BD816" s="95">
        <v>6.9196717492039701</v>
      </c>
      <c r="BE816" s="95">
        <v>6.6666666666666696</v>
      </c>
    </row>
    <row r="817" spans="2:57" ht="15" customHeight="1" x14ac:dyDescent="0.25">
      <c r="B817" s="91">
        <v>807</v>
      </c>
      <c r="C817" s="92" t="s">
        <v>504</v>
      </c>
      <c r="D817" s="92" t="s">
        <v>302</v>
      </c>
      <c r="E817" s="92" t="s">
        <v>386</v>
      </c>
      <c r="F817" s="92" t="s">
        <v>302</v>
      </c>
      <c r="G817" s="101" t="s">
        <v>502</v>
      </c>
      <c r="H817" s="94">
        <v>6413</v>
      </c>
      <c r="I817" s="94">
        <v>4263</v>
      </c>
      <c r="J817" s="94">
        <v>2150</v>
      </c>
      <c r="K817" s="94">
        <v>282</v>
      </c>
      <c r="L817" s="94">
        <v>1493</v>
      </c>
      <c r="M817" s="94">
        <v>3399</v>
      </c>
      <c r="N817" s="94">
        <v>1239</v>
      </c>
      <c r="O817" s="94">
        <v>6374</v>
      </c>
      <c r="P817" s="94">
        <v>39</v>
      </c>
      <c r="Q817" s="95">
        <v>0.257864878803507</v>
      </c>
      <c r="R817" s="95">
        <v>0.17636684303351</v>
      </c>
      <c r="S817" s="95">
        <v>0.43290043290043301</v>
      </c>
      <c r="T817" s="95">
        <v>0.43290043290043301</v>
      </c>
      <c r="U817" s="95">
        <v>0.51775147928994103</v>
      </c>
      <c r="V817" s="95">
        <v>0.16092693916961701</v>
      </c>
      <c r="W817" s="95">
        <v>0.177462289263531</v>
      </c>
      <c r="X817" s="95">
        <v>0.25956047759127898</v>
      </c>
      <c r="Y817" s="95">
        <v>0</v>
      </c>
      <c r="Z817" s="94">
        <v>10141</v>
      </c>
      <c r="AA817" s="94">
        <v>6073</v>
      </c>
      <c r="AB817" s="94">
        <v>4068</v>
      </c>
      <c r="AC817" s="94">
        <v>394</v>
      </c>
      <c r="AD817" s="94">
        <v>2316</v>
      </c>
      <c r="AE817" s="94">
        <v>5649</v>
      </c>
      <c r="AF817" s="94">
        <v>1782</v>
      </c>
      <c r="AG817" s="94">
        <v>8105</v>
      </c>
      <c r="AH817" s="94">
        <v>1967</v>
      </c>
      <c r="AI817" s="94">
        <v>69</v>
      </c>
      <c r="AJ817" s="94">
        <v>10048</v>
      </c>
      <c r="AK817" s="94">
        <v>47</v>
      </c>
      <c r="AL817" s="94">
        <v>46</v>
      </c>
      <c r="AM817" s="94">
        <v>809</v>
      </c>
      <c r="AN817" s="94">
        <v>9179</v>
      </c>
      <c r="AO817" s="94">
        <v>153</v>
      </c>
      <c r="AP817" s="95">
        <v>2.9466309499278802</v>
      </c>
      <c r="AQ817" s="95">
        <v>0.84163517691515</v>
      </c>
      <c r="AR817" s="95">
        <v>6.1019567456230703</v>
      </c>
      <c r="AS817" s="95">
        <v>7.0866141732283499</v>
      </c>
      <c r="AT817" s="95">
        <v>4.2291950886766703</v>
      </c>
      <c r="AU817" s="95">
        <v>2.67161410018553</v>
      </c>
      <c r="AV817" s="95">
        <v>1.26728110599078</v>
      </c>
      <c r="AW817" s="95">
        <v>2.6079136690647502</v>
      </c>
      <c r="AX817" s="95">
        <v>4.24047235641439</v>
      </c>
      <c r="AY817" s="95">
        <v>6.7796610169491496</v>
      </c>
      <c r="AZ817" s="95">
        <v>2.9527968392597201</v>
      </c>
      <c r="BA817" s="95">
        <v>4.6511627906976702</v>
      </c>
      <c r="BB817" s="95">
        <v>0</v>
      </c>
      <c r="BC817" s="95">
        <v>0.77220077220077199</v>
      </c>
      <c r="BD817" s="95">
        <v>3.1420765027322402</v>
      </c>
      <c r="BE817" s="95">
        <v>2.7586206896551699</v>
      </c>
    </row>
    <row r="818" spans="2:57" ht="15" customHeight="1" x14ac:dyDescent="0.25">
      <c r="B818" s="96">
        <v>808</v>
      </c>
      <c r="C818" s="97" t="s">
        <v>504</v>
      </c>
      <c r="D818" s="104" t="s">
        <v>302</v>
      </c>
      <c r="E818" s="104" t="s">
        <v>386</v>
      </c>
      <c r="F818" s="104" t="s">
        <v>34</v>
      </c>
      <c r="G818" s="105" t="s">
        <v>34</v>
      </c>
      <c r="H818" s="106">
        <v>12445</v>
      </c>
      <c r="I818" s="106">
        <v>7721</v>
      </c>
      <c r="J818" s="106">
        <v>4724</v>
      </c>
      <c r="K818" s="106">
        <v>1024</v>
      </c>
      <c r="L818" s="106">
        <v>3501</v>
      </c>
      <c r="M818" s="106">
        <v>5772</v>
      </c>
      <c r="N818" s="106">
        <v>2148</v>
      </c>
      <c r="O818" s="106">
        <v>12441</v>
      </c>
      <c r="P818" s="106">
        <v>4</v>
      </c>
      <c r="Q818" s="107">
        <v>9.3434128939097902E-2</v>
      </c>
      <c r="R818" s="107">
        <v>0</v>
      </c>
      <c r="S818" s="107">
        <v>0.25694931090866602</v>
      </c>
      <c r="T818" s="107">
        <v>0.107642626480086</v>
      </c>
      <c r="U818" s="107">
        <v>0.121138703815869</v>
      </c>
      <c r="V818" s="107">
        <v>0.108932461873638</v>
      </c>
      <c r="W818" s="107">
        <v>0</v>
      </c>
      <c r="X818" s="107">
        <v>9.3465884951992498E-2</v>
      </c>
      <c r="Y818" s="107">
        <v>0</v>
      </c>
      <c r="Z818" s="106">
        <v>14855</v>
      </c>
      <c r="AA818" s="106">
        <v>9267</v>
      </c>
      <c r="AB818" s="106">
        <v>5588</v>
      </c>
      <c r="AC818" s="106">
        <v>1068</v>
      </c>
      <c r="AD818" s="106">
        <v>4307</v>
      </c>
      <c r="AE818" s="106">
        <v>6839</v>
      </c>
      <c r="AF818" s="106">
        <v>2641</v>
      </c>
      <c r="AG818" s="106">
        <v>14068</v>
      </c>
      <c r="AH818" s="106">
        <v>727</v>
      </c>
      <c r="AI818" s="106">
        <v>60</v>
      </c>
      <c r="AJ818" s="106">
        <v>14756</v>
      </c>
      <c r="AK818" s="106">
        <v>6</v>
      </c>
      <c r="AL818" s="106">
        <v>93</v>
      </c>
      <c r="AM818" s="106">
        <v>945</v>
      </c>
      <c r="AN818" s="106">
        <v>13660</v>
      </c>
      <c r="AO818" s="106">
        <v>250</v>
      </c>
      <c r="AP818" s="107">
        <v>0.83013603069410502</v>
      </c>
      <c r="AQ818" s="107">
        <v>7.7007700770077001E-2</v>
      </c>
      <c r="AR818" s="107">
        <v>2.13536701620591</v>
      </c>
      <c r="AS818" s="107">
        <v>1.18226600985222</v>
      </c>
      <c r="AT818" s="107">
        <v>0.94660194174757295</v>
      </c>
      <c r="AU818" s="107">
        <v>0.90511389349826499</v>
      </c>
      <c r="AV818" s="107">
        <v>0.31116297160637901</v>
      </c>
      <c r="AW818" s="107">
        <v>0.80888300610339003</v>
      </c>
      <c r="AX818" s="107">
        <v>1.33136094674556</v>
      </c>
      <c r="AY818" s="107">
        <v>0</v>
      </c>
      <c r="AZ818" s="107">
        <v>0.83579154375614595</v>
      </c>
      <c r="BA818" s="107">
        <v>0</v>
      </c>
      <c r="BB818" s="107">
        <v>0</v>
      </c>
      <c r="BC818" s="107">
        <v>0.97613882863340595</v>
      </c>
      <c r="BD818" s="107">
        <v>0.82757573456836997</v>
      </c>
      <c r="BE818" s="107">
        <v>0.413223140495868</v>
      </c>
    </row>
    <row r="819" spans="2:57" ht="15" customHeight="1" x14ac:dyDescent="0.25">
      <c r="B819" s="91">
        <v>809</v>
      </c>
      <c r="C819" s="92" t="s">
        <v>504</v>
      </c>
      <c r="D819" s="92" t="s">
        <v>302</v>
      </c>
      <c r="E819" s="92" t="s">
        <v>386</v>
      </c>
      <c r="F819" s="92" t="s">
        <v>34</v>
      </c>
      <c r="G819" s="101" t="s">
        <v>501</v>
      </c>
      <c r="H819" s="94">
        <v>0</v>
      </c>
      <c r="I819" s="94">
        <v>0</v>
      </c>
      <c r="J819" s="94">
        <v>0</v>
      </c>
      <c r="K819" s="94">
        <v>0</v>
      </c>
      <c r="L819" s="94">
        <v>0</v>
      </c>
      <c r="M819" s="94">
        <v>0</v>
      </c>
      <c r="N819" s="94">
        <v>0</v>
      </c>
      <c r="O819" s="94">
        <v>0</v>
      </c>
      <c r="P819" s="94">
        <v>0</v>
      </c>
      <c r="Q819" s="95">
        <v>0</v>
      </c>
      <c r="R819" s="95">
        <v>0</v>
      </c>
      <c r="S819" s="95">
        <v>0</v>
      </c>
      <c r="T819" s="95">
        <v>0</v>
      </c>
      <c r="U819" s="95">
        <v>0</v>
      </c>
      <c r="V819" s="95">
        <v>0</v>
      </c>
      <c r="W819" s="95">
        <v>0</v>
      </c>
      <c r="X819" s="95">
        <v>0</v>
      </c>
      <c r="Y819" s="95">
        <v>0</v>
      </c>
      <c r="Z819" s="94">
        <v>0</v>
      </c>
      <c r="AA819" s="94">
        <v>0</v>
      </c>
      <c r="AB819" s="94">
        <v>0</v>
      </c>
      <c r="AC819" s="94">
        <v>0</v>
      </c>
      <c r="AD819" s="94">
        <v>0</v>
      </c>
      <c r="AE819" s="94">
        <v>0</v>
      </c>
      <c r="AF819" s="94">
        <v>0</v>
      </c>
      <c r="AG819" s="94">
        <v>0</v>
      </c>
      <c r="AH819" s="94">
        <v>0</v>
      </c>
      <c r="AI819" s="94">
        <v>0</v>
      </c>
      <c r="AJ819" s="94">
        <v>0</v>
      </c>
      <c r="AK819" s="94">
        <v>0</v>
      </c>
      <c r="AL819" s="94">
        <v>0</v>
      </c>
      <c r="AM819" s="94">
        <v>0</v>
      </c>
      <c r="AN819" s="94">
        <v>0</v>
      </c>
      <c r="AO819" s="94">
        <v>0</v>
      </c>
      <c r="AP819" s="95">
        <v>0</v>
      </c>
      <c r="AQ819" s="95">
        <v>0</v>
      </c>
      <c r="AR819" s="95">
        <v>0</v>
      </c>
      <c r="AS819" s="95">
        <v>0</v>
      </c>
      <c r="AT819" s="95">
        <v>0</v>
      </c>
      <c r="AU819" s="95">
        <v>0</v>
      </c>
      <c r="AV819" s="95">
        <v>0</v>
      </c>
      <c r="AW819" s="95">
        <v>0</v>
      </c>
      <c r="AX819" s="95">
        <v>0</v>
      </c>
      <c r="AY819" s="95">
        <v>0</v>
      </c>
      <c r="AZ819" s="95">
        <v>0</v>
      </c>
      <c r="BA819" s="95">
        <v>0</v>
      </c>
      <c r="BB819" s="95">
        <v>0</v>
      </c>
      <c r="BC819" s="95">
        <v>0</v>
      </c>
      <c r="BD819" s="95">
        <v>0</v>
      </c>
      <c r="BE819" s="95">
        <v>0</v>
      </c>
    </row>
    <row r="820" spans="2:57" ht="15" customHeight="1" x14ac:dyDescent="0.25">
      <c r="B820" s="91">
        <v>810</v>
      </c>
      <c r="C820" s="92" t="s">
        <v>504</v>
      </c>
      <c r="D820" s="92" t="s">
        <v>302</v>
      </c>
      <c r="E820" s="92" t="s">
        <v>386</v>
      </c>
      <c r="F820" s="92" t="s">
        <v>34</v>
      </c>
      <c r="G820" s="101" t="s">
        <v>502</v>
      </c>
      <c r="H820" s="94">
        <v>12445</v>
      </c>
      <c r="I820" s="94">
        <v>7721</v>
      </c>
      <c r="J820" s="94">
        <v>4724</v>
      </c>
      <c r="K820" s="94">
        <v>1024</v>
      </c>
      <c r="L820" s="94">
        <v>3501</v>
      </c>
      <c r="M820" s="94">
        <v>5772</v>
      </c>
      <c r="N820" s="94">
        <v>2148</v>
      </c>
      <c r="O820" s="94">
        <v>12441</v>
      </c>
      <c r="P820" s="94">
        <v>4</v>
      </c>
      <c r="Q820" s="95">
        <v>9.3434128939097902E-2</v>
      </c>
      <c r="R820" s="95">
        <v>0</v>
      </c>
      <c r="S820" s="95">
        <v>0.25694931090866602</v>
      </c>
      <c r="T820" s="95">
        <v>0.107642626480086</v>
      </c>
      <c r="U820" s="95">
        <v>0.121138703815869</v>
      </c>
      <c r="V820" s="95">
        <v>0.108932461873638</v>
      </c>
      <c r="W820" s="95">
        <v>0</v>
      </c>
      <c r="X820" s="95">
        <v>9.3465884951992498E-2</v>
      </c>
      <c r="Y820" s="95">
        <v>0</v>
      </c>
      <c r="Z820" s="94">
        <v>14855</v>
      </c>
      <c r="AA820" s="94">
        <v>9267</v>
      </c>
      <c r="AB820" s="94">
        <v>5588</v>
      </c>
      <c r="AC820" s="94">
        <v>1068</v>
      </c>
      <c r="AD820" s="94">
        <v>4307</v>
      </c>
      <c r="AE820" s="94">
        <v>6839</v>
      </c>
      <c r="AF820" s="94">
        <v>2641</v>
      </c>
      <c r="AG820" s="94">
        <v>14068</v>
      </c>
      <c r="AH820" s="94">
        <v>727</v>
      </c>
      <c r="AI820" s="94">
        <v>60</v>
      </c>
      <c r="AJ820" s="94">
        <v>14756</v>
      </c>
      <c r="AK820" s="94">
        <v>6</v>
      </c>
      <c r="AL820" s="94">
        <v>93</v>
      </c>
      <c r="AM820" s="94">
        <v>945</v>
      </c>
      <c r="AN820" s="94">
        <v>13660</v>
      </c>
      <c r="AO820" s="94">
        <v>250</v>
      </c>
      <c r="AP820" s="95">
        <v>0.83013603069410502</v>
      </c>
      <c r="AQ820" s="95">
        <v>7.7007700770077001E-2</v>
      </c>
      <c r="AR820" s="95">
        <v>2.13536701620591</v>
      </c>
      <c r="AS820" s="95">
        <v>1.18226600985222</v>
      </c>
      <c r="AT820" s="95">
        <v>0.94660194174757295</v>
      </c>
      <c r="AU820" s="95">
        <v>0.90511389349826499</v>
      </c>
      <c r="AV820" s="95">
        <v>0.31116297160637901</v>
      </c>
      <c r="AW820" s="95">
        <v>0.80888300610339003</v>
      </c>
      <c r="AX820" s="95">
        <v>1.33136094674556</v>
      </c>
      <c r="AY820" s="95">
        <v>0</v>
      </c>
      <c r="AZ820" s="95">
        <v>0.83579154375614595</v>
      </c>
      <c r="BA820" s="95">
        <v>0</v>
      </c>
      <c r="BB820" s="95">
        <v>0</v>
      </c>
      <c r="BC820" s="95">
        <v>0.97613882863340595</v>
      </c>
      <c r="BD820" s="95">
        <v>0.82757573456836997</v>
      </c>
      <c r="BE820" s="95">
        <v>0.413223140495868</v>
      </c>
    </row>
    <row r="821" spans="2:57" ht="15" customHeight="1" x14ac:dyDescent="0.25">
      <c r="B821" s="96">
        <v>811</v>
      </c>
      <c r="C821" s="97" t="s">
        <v>504</v>
      </c>
      <c r="D821" s="104" t="s">
        <v>302</v>
      </c>
      <c r="E821" s="104" t="s">
        <v>386</v>
      </c>
      <c r="F821" s="104" t="s">
        <v>207</v>
      </c>
      <c r="G821" s="105" t="s">
        <v>207</v>
      </c>
      <c r="H821" s="106">
        <v>4343</v>
      </c>
      <c r="I821" s="106">
        <v>2640</v>
      </c>
      <c r="J821" s="106">
        <v>1703</v>
      </c>
      <c r="K821" s="106">
        <v>122</v>
      </c>
      <c r="L821" s="106">
        <v>888</v>
      </c>
      <c r="M821" s="106">
        <v>2170</v>
      </c>
      <c r="N821" s="106">
        <v>1163</v>
      </c>
      <c r="O821" s="106">
        <v>4331</v>
      </c>
      <c r="P821" s="106">
        <v>12</v>
      </c>
      <c r="Q821" s="107">
        <v>0.26927784577723402</v>
      </c>
      <c r="R821" s="107">
        <v>0.12091898428053199</v>
      </c>
      <c r="S821" s="107">
        <v>0.49875311720698301</v>
      </c>
      <c r="T821" s="107">
        <v>0.970873786407767</v>
      </c>
      <c r="U821" s="107">
        <v>0.480769230769231</v>
      </c>
      <c r="V821" s="107">
        <v>0.146484375</v>
      </c>
      <c r="W821" s="107">
        <v>0.27223230490018102</v>
      </c>
      <c r="X821" s="107">
        <v>0.26993865030674802</v>
      </c>
      <c r="Y821" s="107">
        <v>0</v>
      </c>
      <c r="Z821" s="106">
        <v>6921</v>
      </c>
      <c r="AA821" s="106">
        <v>3933</v>
      </c>
      <c r="AB821" s="106">
        <v>2988</v>
      </c>
      <c r="AC821" s="106">
        <v>204</v>
      </c>
      <c r="AD821" s="106">
        <v>1339</v>
      </c>
      <c r="AE821" s="106">
        <v>3830</v>
      </c>
      <c r="AF821" s="106">
        <v>1548</v>
      </c>
      <c r="AG821" s="106">
        <v>5775</v>
      </c>
      <c r="AH821" s="106">
        <v>1112</v>
      </c>
      <c r="AI821" s="106">
        <v>34</v>
      </c>
      <c r="AJ821" s="106">
        <v>6825</v>
      </c>
      <c r="AK821" s="106">
        <v>70</v>
      </c>
      <c r="AL821" s="106">
        <v>26</v>
      </c>
      <c r="AM821" s="106">
        <v>459</v>
      </c>
      <c r="AN821" s="106">
        <v>6390</v>
      </c>
      <c r="AO821" s="106">
        <v>72</v>
      </c>
      <c r="AP821" s="107">
        <v>2.4635721796605101</v>
      </c>
      <c r="AQ821" s="107">
        <v>0.89567966280294997</v>
      </c>
      <c r="AR821" s="107">
        <v>4.5438657811953904</v>
      </c>
      <c r="AS821" s="107">
        <v>4.5918367346938798</v>
      </c>
      <c r="AT821" s="107">
        <v>3.62490149724192</v>
      </c>
      <c r="AU821" s="107">
        <v>2.5871459694989101</v>
      </c>
      <c r="AV821" s="107">
        <v>0.92105263157894701</v>
      </c>
      <c r="AW821" s="107">
        <v>2.05982446713237</v>
      </c>
      <c r="AX821" s="107">
        <v>4.7070124879923201</v>
      </c>
      <c r="AY821" s="107">
        <v>0</v>
      </c>
      <c r="AZ821" s="107">
        <v>2.45165220039592</v>
      </c>
      <c r="BA821" s="107">
        <v>3.0769230769230802</v>
      </c>
      <c r="BB821" s="107">
        <v>4</v>
      </c>
      <c r="BC821" s="107">
        <v>0.898876404494382</v>
      </c>
      <c r="BD821" s="107">
        <v>2.5724519700423301</v>
      </c>
      <c r="BE821" s="107">
        <v>2.8571428571428599</v>
      </c>
    </row>
    <row r="822" spans="2:57" ht="15" customHeight="1" x14ac:dyDescent="0.25">
      <c r="B822" s="91">
        <v>812</v>
      </c>
      <c r="C822" s="92" t="s">
        <v>504</v>
      </c>
      <c r="D822" s="92" t="s">
        <v>302</v>
      </c>
      <c r="E822" s="92" t="s">
        <v>386</v>
      </c>
      <c r="F822" s="92" t="s">
        <v>207</v>
      </c>
      <c r="G822" s="101" t="s">
        <v>501</v>
      </c>
      <c r="H822" s="94">
        <v>0</v>
      </c>
      <c r="I822" s="94">
        <v>0</v>
      </c>
      <c r="J822" s="94">
        <v>0</v>
      </c>
      <c r="K822" s="94">
        <v>0</v>
      </c>
      <c r="L822" s="94">
        <v>0</v>
      </c>
      <c r="M822" s="94">
        <v>0</v>
      </c>
      <c r="N822" s="94">
        <v>0</v>
      </c>
      <c r="O822" s="94">
        <v>0</v>
      </c>
      <c r="P822" s="94">
        <v>0</v>
      </c>
      <c r="Q822" s="95">
        <v>0</v>
      </c>
      <c r="R822" s="95">
        <v>0</v>
      </c>
      <c r="S822" s="95">
        <v>0</v>
      </c>
      <c r="T822" s="95">
        <v>0</v>
      </c>
      <c r="U822" s="95">
        <v>0</v>
      </c>
      <c r="V822" s="95">
        <v>0</v>
      </c>
      <c r="W822" s="95">
        <v>0</v>
      </c>
      <c r="X822" s="95">
        <v>0</v>
      </c>
      <c r="Y822" s="95">
        <v>0</v>
      </c>
      <c r="Z822" s="94">
        <v>0</v>
      </c>
      <c r="AA822" s="94">
        <v>0</v>
      </c>
      <c r="AB822" s="94">
        <v>0</v>
      </c>
      <c r="AC822" s="94">
        <v>0</v>
      </c>
      <c r="AD822" s="94">
        <v>0</v>
      </c>
      <c r="AE822" s="94">
        <v>0</v>
      </c>
      <c r="AF822" s="94">
        <v>0</v>
      </c>
      <c r="AG822" s="94">
        <v>0</v>
      </c>
      <c r="AH822" s="94">
        <v>0</v>
      </c>
      <c r="AI822" s="94">
        <v>0</v>
      </c>
      <c r="AJ822" s="94">
        <v>0</v>
      </c>
      <c r="AK822" s="94">
        <v>0</v>
      </c>
      <c r="AL822" s="94">
        <v>0</v>
      </c>
      <c r="AM822" s="94">
        <v>0</v>
      </c>
      <c r="AN822" s="94">
        <v>0</v>
      </c>
      <c r="AO822" s="94">
        <v>0</v>
      </c>
      <c r="AP822" s="95">
        <v>0</v>
      </c>
      <c r="AQ822" s="95">
        <v>0</v>
      </c>
      <c r="AR822" s="95">
        <v>0</v>
      </c>
      <c r="AS822" s="95">
        <v>0</v>
      </c>
      <c r="AT822" s="95">
        <v>0</v>
      </c>
      <c r="AU822" s="95">
        <v>0</v>
      </c>
      <c r="AV822" s="95">
        <v>0</v>
      </c>
      <c r="AW822" s="95">
        <v>0</v>
      </c>
      <c r="AX822" s="95">
        <v>0</v>
      </c>
      <c r="AY822" s="95">
        <v>0</v>
      </c>
      <c r="AZ822" s="95">
        <v>0</v>
      </c>
      <c r="BA822" s="95">
        <v>0</v>
      </c>
      <c r="BB822" s="95">
        <v>0</v>
      </c>
      <c r="BC822" s="95">
        <v>0</v>
      </c>
      <c r="BD822" s="95">
        <v>0</v>
      </c>
      <c r="BE822" s="95">
        <v>0</v>
      </c>
    </row>
    <row r="823" spans="2:57" ht="15" customHeight="1" x14ac:dyDescent="0.25">
      <c r="B823" s="91">
        <v>813</v>
      </c>
      <c r="C823" s="92" t="s">
        <v>504</v>
      </c>
      <c r="D823" s="92" t="s">
        <v>302</v>
      </c>
      <c r="E823" s="92" t="s">
        <v>386</v>
      </c>
      <c r="F823" s="92" t="s">
        <v>207</v>
      </c>
      <c r="G823" s="101" t="s">
        <v>502</v>
      </c>
      <c r="H823" s="94">
        <v>4343</v>
      </c>
      <c r="I823" s="94">
        <v>2640</v>
      </c>
      <c r="J823" s="94">
        <v>1703</v>
      </c>
      <c r="K823" s="94">
        <v>122</v>
      </c>
      <c r="L823" s="94">
        <v>888</v>
      </c>
      <c r="M823" s="94">
        <v>2170</v>
      </c>
      <c r="N823" s="94">
        <v>1163</v>
      </c>
      <c r="O823" s="94">
        <v>4331</v>
      </c>
      <c r="P823" s="94">
        <v>12</v>
      </c>
      <c r="Q823" s="95">
        <v>0.26927784577723402</v>
      </c>
      <c r="R823" s="95">
        <v>0.12091898428053199</v>
      </c>
      <c r="S823" s="95">
        <v>0.49875311720698301</v>
      </c>
      <c r="T823" s="95">
        <v>0.970873786407767</v>
      </c>
      <c r="U823" s="95">
        <v>0.480769230769231</v>
      </c>
      <c r="V823" s="95">
        <v>0.146484375</v>
      </c>
      <c r="W823" s="95">
        <v>0.27223230490018102</v>
      </c>
      <c r="X823" s="95">
        <v>0.26993865030674802</v>
      </c>
      <c r="Y823" s="95">
        <v>0</v>
      </c>
      <c r="Z823" s="94">
        <v>6921</v>
      </c>
      <c r="AA823" s="94">
        <v>3933</v>
      </c>
      <c r="AB823" s="94">
        <v>2988</v>
      </c>
      <c r="AC823" s="94">
        <v>204</v>
      </c>
      <c r="AD823" s="94">
        <v>1339</v>
      </c>
      <c r="AE823" s="94">
        <v>3830</v>
      </c>
      <c r="AF823" s="94">
        <v>1548</v>
      </c>
      <c r="AG823" s="94">
        <v>5775</v>
      </c>
      <c r="AH823" s="94">
        <v>1112</v>
      </c>
      <c r="AI823" s="94">
        <v>34</v>
      </c>
      <c r="AJ823" s="94">
        <v>6825</v>
      </c>
      <c r="AK823" s="94">
        <v>70</v>
      </c>
      <c r="AL823" s="94">
        <v>26</v>
      </c>
      <c r="AM823" s="94">
        <v>459</v>
      </c>
      <c r="AN823" s="94">
        <v>6390</v>
      </c>
      <c r="AO823" s="94">
        <v>72</v>
      </c>
      <c r="AP823" s="95">
        <v>2.4635721796605101</v>
      </c>
      <c r="AQ823" s="95">
        <v>0.89567966280294997</v>
      </c>
      <c r="AR823" s="95">
        <v>4.5438657811953904</v>
      </c>
      <c r="AS823" s="95">
        <v>4.5918367346938798</v>
      </c>
      <c r="AT823" s="95">
        <v>3.62490149724192</v>
      </c>
      <c r="AU823" s="95">
        <v>2.5871459694989101</v>
      </c>
      <c r="AV823" s="95">
        <v>0.92105263157894701</v>
      </c>
      <c r="AW823" s="95">
        <v>2.05982446713237</v>
      </c>
      <c r="AX823" s="95">
        <v>4.7070124879923201</v>
      </c>
      <c r="AY823" s="95">
        <v>0</v>
      </c>
      <c r="AZ823" s="95">
        <v>2.45165220039592</v>
      </c>
      <c r="BA823" s="95">
        <v>3.0769230769230802</v>
      </c>
      <c r="BB823" s="95">
        <v>4</v>
      </c>
      <c r="BC823" s="95">
        <v>0.898876404494382</v>
      </c>
      <c r="BD823" s="95">
        <v>2.5724519700423301</v>
      </c>
      <c r="BE823" s="95">
        <v>2.8571428571428599</v>
      </c>
    </row>
    <row r="824" spans="2:57" ht="15" customHeight="1" x14ac:dyDescent="0.25">
      <c r="B824" s="96">
        <v>814</v>
      </c>
      <c r="C824" s="97" t="s">
        <v>504</v>
      </c>
      <c r="D824" s="104" t="s">
        <v>302</v>
      </c>
      <c r="E824" s="104" t="s">
        <v>386</v>
      </c>
      <c r="F824" s="104" t="s">
        <v>475</v>
      </c>
      <c r="G824" s="105" t="s">
        <v>475</v>
      </c>
      <c r="H824" s="106">
        <v>1432</v>
      </c>
      <c r="I824" s="106">
        <v>955</v>
      </c>
      <c r="J824" s="106">
        <v>477</v>
      </c>
      <c r="K824" s="106">
        <v>42</v>
      </c>
      <c r="L824" s="106">
        <v>370</v>
      </c>
      <c r="M824" s="106">
        <v>738</v>
      </c>
      <c r="N824" s="106">
        <v>282</v>
      </c>
      <c r="O824" s="106">
        <v>1431</v>
      </c>
      <c r="P824" s="106">
        <v>1</v>
      </c>
      <c r="Q824" s="107">
        <v>7.2411296162201294E-2</v>
      </c>
      <c r="R824" s="107">
        <v>0</v>
      </c>
      <c r="S824" s="107">
        <v>0.22675736961451201</v>
      </c>
      <c r="T824" s="107">
        <v>0</v>
      </c>
      <c r="U824" s="107">
        <v>0</v>
      </c>
      <c r="V824" s="107">
        <v>0.14044943820224701</v>
      </c>
      <c r="W824" s="107">
        <v>0</v>
      </c>
      <c r="X824" s="107">
        <v>7.2463768115942004E-2</v>
      </c>
      <c r="Y824" s="107">
        <v>0</v>
      </c>
      <c r="Z824" s="106">
        <v>1913</v>
      </c>
      <c r="AA824" s="106">
        <v>1239</v>
      </c>
      <c r="AB824" s="106">
        <v>674</v>
      </c>
      <c r="AC824" s="106">
        <v>60</v>
      </c>
      <c r="AD824" s="106">
        <v>397</v>
      </c>
      <c r="AE824" s="106">
        <v>1073</v>
      </c>
      <c r="AF824" s="106">
        <v>383</v>
      </c>
      <c r="AG824" s="106">
        <v>1796</v>
      </c>
      <c r="AH824" s="106">
        <v>106</v>
      </c>
      <c r="AI824" s="106">
        <v>11</v>
      </c>
      <c r="AJ824" s="106">
        <v>1901</v>
      </c>
      <c r="AK824" s="106">
        <v>2</v>
      </c>
      <c r="AL824" s="106">
        <v>10</v>
      </c>
      <c r="AM824" s="106">
        <v>124</v>
      </c>
      <c r="AN824" s="106">
        <v>1774</v>
      </c>
      <c r="AO824" s="106">
        <v>15</v>
      </c>
      <c r="AP824" s="107">
        <v>0.85698982324584905</v>
      </c>
      <c r="AQ824" s="107">
        <v>0.32976092333058499</v>
      </c>
      <c r="AR824" s="107">
        <v>1.8348623853210999</v>
      </c>
      <c r="AS824" s="107">
        <v>5.0847457627118704</v>
      </c>
      <c r="AT824" s="107">
        <v>1.30890052356021</v>
      </c>
      <c r="AU824" s="107">
        <v>0.666032350142721</v>
      </c>
      <c r="AV824" s="107">
        <v>0.266666666666667</v>
      </c>
      <c r="AW824" s="107">
        <v>0.91220068415051303</v>
      </c>
      <c r="AX824" s="107">
        <v>0</v>
      </c>
      <c r="AY824" s="107">
        <v>0</v>
      </c>
      <c r="AZ824" s="107">
        <v>0.86253369272237201</v>
      </c>
      <c r="BA824" s="107">
        <v>0</v>
      </c>
      <c r="BB824" s="107">
        <v>0</v>
      </c>
      <c r="BC824" s="107">
        <v>0</v>
      </c>
      <c r="BD824" s="107">
        <v>0.92485549132947997</v>
      </c>
      <c r="BE824" s="107">
        <v>0</v>
      </c>
    </row>
    <row r="825" spans="2:57" ht="15" customHeight="1" x14ac:dyDescent="0.25">
      <c r="B825" s="91">
        <v>815</v>
      </c>
      <c r="C825" s="92" t="s">
        <v>504</v>
      </c>
      <c r="D825" s="92" t="s">
        <v>302</v>
      </c>
      <c r="E825" s="92" t="s">
        <v>386</v>
      </c>
      <c r="F825" s="92" t="s">
        <v>475</v>
      </c>
      <c r="G825" s="101" t="s">
        <v>501</v>
      </c>
      <c r="H825" s="94">
        <v>0</v>
      </c>
      <c r="I825" s="94">
        <v>0</v>
      </c>
      <c r="J825" s="94">
        <v>0</v>
      </c>
      <c r="K825" s="94">
        <v>0</v>
      </c>
      <c r="L825" s="94">
        <v>0</v>
      </c>
      <c r="M825" s="94">
        <v>0</v>
      </c>
      <c r="N825" s="94">
        <v>0</v>
      </c>
      <c r="O825" s="94">
        <v>0</v>
      </c>
      <c r="P825" s="94">
        <v>0</v>
      </c>
      <c r="Q825" s="95">
        <v>0</v>
      </c>
      <c r="R825" s="95">
        <v>0</v>
      </c>
      <c r="S825" s="95">
        <v>0</v>
      </c>
      <c r="T825" s="95">
        <v>0</v>
      </c>
      <c r="U825" s="95">
        <v>0</v>
      </c>
      <c r="V825" s="95">
        <v>0</v>
      </c>
      <c r="W825" s="95">
        <v>0</v>
      </c>
      <c r="X825" s="95">
        <v>0</v>
      </c>
      <c r="Y825" s="95">
        <v>0</v>
      </c>
      <c r="Z825" s="94">
        <v>0</v>
      </c>
      <c r="AA825" s="94">
        <v>0</v>
      </c>
      <c r="AB825" s="94">
        <v>0</v>
      </c>
      <c r="AC825" s="94">
        <v>0</v>
      </c>
      <c r="AD825" s="94">
        <v>0</v>
      </c>
      <c r="AE825" s="94">
        <v>0</v>
      </c>
      <c r="AF825" s="94">
        <v>0</v>
      </c>
      <c r="AG825" s="94">
        <v>0</v>
      </c>
      <c r="AH825" s="94">
        <v>0</v>
      </c>
      <c r="AI825" s="94">
        <v>0</v>
      </c>
      <c r="AJ825" s="94">
        <v>0</v>
      </c>
      <c r="AK825" s="94">
        <v>0</v>
      </c>
      <c r="AL825" s="94">
        <v>0</v>
      </c>
      <c r="AM825" s="94">
        <v>0</v>
      </c>
      <c r="AN825" s="94">
        <v>0</v>
      </c>
      <c r="AO825" s="94">
        <v>0</v>
      </c>
      <c r="AP825" s="95">
        <v>0</v>
      </c>
      <c r="AQ825" s="95">
        <v>0</v>
      </c>
      <c r="AR825" s="95">
        <v>0</v>
      </c>
      <c r="AS825" s="95">
        <v>0</v>
      </c>
      <c r="AT825" s="95">
        <v>0</v>
      </c>
      <c r="AU825" s="95">
        <v>0</v>
      </c>
      <c r="AV825" s="95">
        <v>0</v>
      </c>
      <c r="AW825" s="95">
        <v>0</v>
      </c>
      <c r="AX825" s="95">
        <v>0</v>
      </c>
      <c r="AY825" s="95">
        <v>0</v>
      </c>
      <c r="AZ825" s="95">
        <v>0</v>
      </c>
      <c r="BA825" s="95">
        <v>0</v>
      </c>
      <c r="BB825" s="95">
        <v>0</v>
      </c>
      <c r="BC825" s="95">
        <v>0</v>
      </c>
      <c r="BD825" s="95">
        <v>0</v>
      </c>
      <c r="BE825" s="95">
        <v>0</v>
      </c>
    </row>
    <row r="826" spans="2:57" ht="15" customHeight="1" x14ac:dyDescent="0.25">
      <c r="B826" s="91">
        <v>816</v>
      </c>
      <c r="C826" s="92" t="s">
        <v>504</v>
      </c>
      <c r="D826" s="92" t="s">
        <v>302</v>
      </c>
      <c r="E826" s="92" t="s">
        <v>386</v>
      </c>
      <c r="F826" s="92" t="s">
        <v>475</v>
      </c>
      <c r="G826" s="101" t="s">
        <v>502</v>
      </c>
      <c r="H826" s="94">
        <v>1432</v>
      </c>
      <c r="I826" s="94">
        <v>955</v>
      </c>
      <c r="J826" s="94">
        <v>477</v>
      </c>
      <c r="K826" s="94">
        <v>42</v>
      </c>
      <c r="L826" s="94">
        <v>370</v>
      </c>
      <c r="M826" s="94">
        <v>738</v>
      </c>
      <c r="N826" s="94">
        <v>282</v>
      </c>
      <c r="O826" s="94">
        <v>1431</v>
      </c>
      <c r="P826" s="94">
        <v>1</v>
      </c>
      <c r="Q826" s="95">
        <v>7.2411296162201294E-2</v>
      </c>
      <c r="R826" s="95">
        <v>0</v>
      </c>
      <c r="S826" s="95">
        <v>0.22675736961451201</v>
      </c>
      <c r="T826" s="95">
        <v>0</v>
      </c>
      <c r="U826" s="95">
        <v>0</v>
      </c>
      <c r="V826" s="95">
        <v>0.14044943820224701</v>
      </c>
      <c r="W826" s="95">
        <v>0</v>
      </c>
      <c r="X826" s="95">
        <v>7.2463768115942004E-2</v>
      </c>
      <c r="Y826" s="95">
        <v>0</v>
      </c>
      <c r="Z826" s="94">
        <v>1913</v>
      </c>
      <c r="AA826" s="94">
        <v>1239</v>
      </c>
      <c r="AB826" s="94">
        <v>674</v>
      </c>
      <c r="AC826" s="94">
        <v>60</v>
      </c>
      <c r="AD826" s="94">
        <v>397</v>
      </c>
      <c r="AE826" s="94">
        <v>1073</v>
      </c>
      <c r="AF826" s="94">
        <v>383</v>
      </c>
      <c r="AG826" s="94">
        <v>1796</v>
      </c>
      <c r="AH826" s="94">
        <v>106</v>
      </c>
      <c r="AI826" s="94">
        <v>11</v>
      </c>
      <c r="AJ826" s="94">
        <v>1901</v>
      </c>
      <c r="AK826" s="94">
        <v>2</v>
      </c>
      <c r="AL826" s="94">
        <v>10</v>
      </c>
      <c r="AM826" s="94">
        <v>124</v>
      </c>
      <c r="AN826" s="94">
        <v>1774</v>
      </c>
      <c r="AO826" s="94">
        <v>15</v>
      </c>
      <c r="AP826" s="95">
        <v>0.85698982324584905</v>
      </c>
      <c r="AQ826" s="95">
        <v>0.32976092333058499</v>
      </c>
      <c r="AR826" s="95">
        <v>1.8348623853210999</v>
      </c>
      <c r="AS826" s="95">
        <v>5.0847457627118704</v>
      </c>
      <c r="AT826" s="95">
        <v>1.30890052356021</v>
      </c>
      <c r="AU826" s="95">
        <v>0.666032350142721</v>
      </c>
      <c r="AV826" s="95">
        <v>0.266666666666667</v>
      </c>
      <c r="AW826" s="95">
        <v>0.91220068415051303</v>
      </c>
      <c r="AX826" s="95">
        <v>0</v>
      </c>
      <c r="AY826" s="95">
        <v>0</v>
      </c>
      <c r="AZ826" s="95">
        <v>0.86253369272237201</v>
      </c>
      <c r="BA826" s="95">
        <v>0</v>
      </c>
      <c r="BB826" s="95">
        <v>0</v>
      </c>
      <c r="BC826" s="95">
        <v>0</v>
      </c>
      <c r="BD826" s="95">
        <v>0.92485549132947997</v>
      </c>
      <c r="BE826" s="95">
        <v>0</v>
      </c>
    </row>
    <row r="827" spans="2:57" ht="15" customHeight="1" x14ac:dyDescent="0.25">
      <c r="B827" s="86">
        <v>817</v>
      </c>
      <c r="C827" s="87" t="s">
        <v>503</v>
      </c>
      <c r="D827" s="103" t="s">
        <v>302</v>
      </c>
      <c r="E827" s="103" t="s">
        <v>388</v>
      </c>
      <c r="F827" s="103"/>
      <c r="G827" s="88" t="s">
        <v>388</v>
      </c>
      <c r="H827" s="89">
        <v>35172</v>
      </c>
      <c r="I827" s="89">
        <v>20315</v>
      </c>
      <c r="J827" s="89">
        <v>14857</v>
      </c>
      <c r="K827" s="89">
        <v>1969</v>
      </c>
      <c r="L827" s="89">
        <v>9888</v>
      </c>
      <c r="M827" s="89">
        <v>18481</v>
      </c>
      <c r="N827" s="89">
        <v>4834</v>
      </c>
      <c r="O827" s="89">
        <v>35128</v>
      </c>
      <c r="P827" s="89">
        <v>44</v>
      </c>
      <c r="Q827" s="90">
        <v>0.77975666737461702</v>
      </c>
      <c r="R827" s="90">
        <v>0.44169611307420498</v>
      </c>
      <c r="S827" s="90">
        <v>1.2541013488880799</v>
      </c>
      <c r="T827" s="90">
        <v>1.5882352941176501</v>
      </c>
      <c r="U827" s="90">
        <v>0.96459497972158303</v>
      </c>
      <c r="V827" s="90">
        <v>0.677908169078273</v>
      </c>
      <c r="W827" s="90">
        <v>0.50196420776953299</v>
      </c>
      <c r="X827" s="90">
        <v>0.77771364340614302</v>
      </c>
      <c r="Y827" s="90">
        <v>2.38095238095238</v>
      </c>
      <c r="Z827" s="89">
        <v>43350</v>
      </c>
      <c r="AA827" s="89">
        <v>23978</v>
      </c>
      <c r="AB827" s="89">
        <v>19372</v>
      </c>
      <c r="AC827" s="89">
        <v>2407</v>
      </c>
      <c r="AD827" s="89">
        <v>12216</v>
      </c>
      <c r="AE827" s="89">
        <v>22275</v>
      </c>
      <c r="AF827" s="89">
        <v>6452</v>
      </c>
      <c r="AG827" s="89">
        <v>32894</v>
      </c>
      <c r="AH827" s="89">
        <v>9987</v>
      </c>
      <c r="AI827" s="89">
        <v>469</v>
      </c>
      <c r="AJ827" s="89">
        <v>43077</v>
      </c>
      <c r="AK827" s="89">
        <v>89</v>
      </c>
      <c r="AL827" s="89">
        <v>184</v>
      </c>
      <c r="AM827" s="89">
        <v>2961</v>
      </c>
      <c r="AN827" s="89">
        <v>39918</v>
      </c>
      <c r="AO827" s="89">
        <v>471</v>
      </c>
      <c r="AP827" s="90">
        <v>4.0951346130628998</v>
      </c>
      <c r="AQ827" s="90">
        <v>1.51158738456177</v>
      </c>
      <c r="AR827" s="90">
        <v>7.3080881954602104</v>
      </c>
      <c r="AS827" s="90">
        <v>5.2608695652173898</v>
      </c>
      <c r="AT827" s="90">
        <v>6.0411422619564297</v>
      </c>
      <c r="AU827" s="90">
        <v>3.5054831755553502</v>
      </c>
      <c r="AV827" s="90">
        <v>2.0939897698209702</v>
      </c>
      <c r="AW827" s="90">
        <v>3.2232555197064601</v>
      </c>
      <c r="AX827" s="90">
        <v>7.0787956438180704</v>
      </c>
      <c r="AY827" s="90">
        <v>3.2183908045976999</v>
      </c>
      <c r="AZ827" s="90">
        <v>4.1056288414352702</v>
      </c>
      <c r="BA827" s="90">
        <v>4</v>
      </c>
      <c r="BB827" s="90">
        <v>1.6949152542372901</v>
      </c>
      <c r="BC827" s="90">
        <v>3.7854889589905398</v>
      </c>
      <c r="BD827" s="90">
        <v>4.1366104451381096</v>
      </c>
      <c r="BE827" s="90">
        <v>2.5056947608200502</v>
      </c>
    </row>
    <row r="828" spans="2:57" ht="15" customHeight="1" x14ac:dyDescent="0.25">
      <c r="B828" s="91">
        <v>818</v>
      </c>
      <c r="C828" s="92" t="s">
        <v>503</v>
      </c>
      <c r="D828" s="92" t="s">
        <v>302</v>
      </c>
      <c r="E828" s="92" t="s">
        <v>388</v>
      </c>
      <c r="F828" s="92"/>
      <c r="G828" s="93" t="s">
        <v>501</v>
      </c>
      <c r="H828" s="94">
        <v>16652</v>
      </c>
      <c r="I828" s="94">
        <v>9267</v>
      </c>
      <c r="J828" s="94">
        <v>7385</v>
      </c>
      <c r="K828" s="94">
        <v>797</v>
      </c>
      <c r="L828" s="94">
        <v>5142</v>
      </c>
      <c r="M828" s="94">
        <v>9108</v>
      </c>
      <c r="N828" s="94">
        <v>1605</v>
      </c>
      <c r="O828" s="94">
        <v>16613</v>
      </c>
      <c r="P828" s="94">
        <v>39</v>
      </c>
      <c r="Q828" s="95">
        <v>1.4828303850156099</v>
      </c>
      <c r="R828" s="95">
        <v>0.91055786076532996</v>
      </c>
      <c r="S828" s="95">
        <v>2.2238805970149298</v>
      </c>
      <c r="T828" s="95">
        <v>3.0837004405286299</v>
      </c>
      <c r="U828" s="95">
        <v>1.6766981943250201</v>
      </c>
      <c r="V828" s="95">
        <v>1.26079850572029</v>
      </c>
      <c r="W828" s="95">
        <v>1.4218009478672999</v>
      </c>
      <c r="X828" s="95">
        <v>1.47988786752722</v>
      </c>
      <c r="Y828" s="95">
        <v>2.7027027027027</v>
      </c>
      <c r="Z828" s="94">
        <v>22653</v>
      </c>
      <c r="AA828" s="94">
        <v>11586</v>
      </c>
      <c r="AB828" s="94">
        <v>11067</v>
      </c>
      <c r="AC828" s="94">
        <v>1126</v>
      </c>
      <c r="AD828" s="94">
        <v>6841</v>
      </c>
      <c r="AE828" s="94">
        <v>12216</v>
      </c>
      <c r="AF828" s="94">
        <v>2470</v>
      </c>
      <c r="AG828" s="94">
        <v>13943</v>
      </c>
      <c r="AH828" s="94">
        <v>8546</v>
      </c>
      <c r="AI828" s="94">
        <v>164</v>
      </c>
      <c r="AJ828" s="94">
        <v>22502</v>
      </c>
      <c r="AK828" s="94">
        <v>76</v>
      </c>
      <c r="AL828" s="94">
        <v>75</v>
      </c>
      <c r="AM828" s="94">
        <v>1430</v>
      </c>
      <c r="AN828" s="94">
        <v>21064</v>
      </c>
      <c r="AO828" s="94">
        <v>159</v>
      </c>
      <c r="AP828" s="95">
        <v>6.7824955867323196</v>
      </c>
      <c r="AQ828" s="95">
        <v>2.86259541984733</v>
      </c>
      <c r="AR828" s="95">
        <v>10.8819616042577</v>
      </c>
      <c r="AS828" s="95">
        <v>9.4843462246777204</v>
      </c>
      <c r="AT828" s="95">
        <v>9.4977311844781696</v>
      </c>
      <c r="AU828" s="95">
        <v>5.4512728207765502</v>
      </c>
      <c r="AV828" s="95">
        <v>4.7858942065491199</v>
      </c>
      <c r="AW828" s="95">
        <v>6.0413235514298496</v>
      </c>
      <c r="AX828" s="95">
        <v>8.0019942664838606</v>
      </c>
      <c r="AY828" s="95">
        <v>7.5862068965517198</v>
      </c>
      <c r="AZ828" s="95">
        <v>6.79693343305909</v>
      </c>
      <c r="BA828" s="95">
        <v>4.7619047619047601</v>
      </c>
      <c r="BB828" s="95">
        <v>4.2253521126760596</v>
      </c>
      <c r="BC828" s="95">
        <v>7.0484581497797398</v>
      </c>
      <c r="BD828" s="95">
        <v>6.7575666766556797</v>
      </c>
      <c r="BE828" s="95">
        <v>7.7464788732394396</v>
      </c>
    </row>
    <row r="829" spans="2:57" ht="15" customHeight="1" x14ac:dyDescent="0.25">
      <c r="B829" s="91">
        <v>819</v>
      </c>
      <c r="C829" s="92" t="s">
        <v>503</v>
      </c>
      <c r="D829" s="92" t="s">
        <v>302</v>
      </c>
      <c r="E829" s="92" t="s">
        <v>388</v>
      </c>
      <c r="F829" s="92"/>
      <c r="G829" s="93" t="s">
        <v>502</v>
      </c>
      <c r="H829" s="94">
        <v>18520</v>
      </c>
      <c r="I829" s="94">
        <v>11048</v>
      </c>
      <c r="J829" s="94">
        <v>7472</v>
      </c>
      <c r="K829" s="94">
        <v>1172</v>
      </c>
      <c r="L829" s="94">
        <v>4746</v>
      </c>
      <c r="M829" s="94">
        <v>9373</v>
      </c>
      <c r="N829" s="94">
        <v>3229</v>
      </c>
      <c r="O829" s="94">
        <v>18515</v>
      </c>
      <c r="P829" s="94">
        <v>5</v>
      </c>
      <c r="Q829" s="95">
        <v>0.164932036626287</v>
      </c>
      <c r="R829" s="95">
        <v>5.6775170325511E-2</v>
      </c>
      <c r="S829" s="95">
        <v>0.32786885245901598</v>
      </c>
      <c r="T829" s="95">
        <v>0.58881256133464199</v>
      </c>
      <c r="U829" s="95">
        <v>0.223663609930664</v>
      </c>
      <c r="V829" s="95">
        <v>0.122385402759235</v>
      </c>
      <c r="W829" s="95">
        <v>6.4412238325281798E-2</v>
      </c>
      <c r="X829" s="95">
        <v>0.16497895096142901</v>
      </c>
      <c r="Y829" s="95">
        <v>0</v>
      </c>
      <c r="Z829" s="94">
        <v>20697</v>
      </c>
      <c r="AA829" s="94">
        <v>12392</v>
      </c>
      <c r="AB829" s="94">
        <v>8305</v>
      </c>
      <c r="AC829" s="94">
        <v>1281</v>
      </c>
      <c r="AD829" s="94">
        <v>5375</v>
      </c>
      <c r="AE829" s="94">
        <v>10059</v>
      </c>
      <c r="AF829" s="94">
        <v>3982</v>
      </c>
      <c r="AG829" s="94">
        <v>18951</v>
      </c>
      <c r="AH829" s="94">
        <v>1441</v>
      </c>
      <c r="AI829" s="94">
        <v>305</v>
      </c>
      <c r="AJ829" s="94">
        <v>20575</v>
      </c>
      <c r="AK829" s="94">
        <v>13</v>
      </c>
      <c r="AL829" s="94">
        <v>109</v>
      </c>
      <c r="AM829" s="94">
        <v>1531</v>
      </c>
      <c r="AN829" s="94">
        <v>18854</v>
      </c>
      <c r="AO829" s="94">
        <v>312</v>
      </c>
      <c r="AP829" s="95">
        <v>1.1865855498014</v>
      </c>
      <c r="AQ829" s="95">
        <v>0.267737617135207</v>
      </c>
      <c r="AR829" s="95">
        <v>2.5702406450800099</v>
      </c>
      <c r="AS829" s="95">
        <v>1.4827018121911</v>
      </c>
      <c r="AT829" s="95">
        <v>1.73489278752437</v>
      </c>
      <c r="AU829" s="95">
        <v>1.1581015406886599</v>
      </c>
      <c r="AV829" s="95">
        <v>0.43882292204439899</v>
      </c>
      <c r="AW829" s="95">
        <v>1.1612620508325999</v>
      </c>
      <c r="AX829" s="95">
        <v>1.5636634400595699</v>
      </c>
      <c r="AY829" s="95">
        <v>1.0344827586206899</v>
      </c>
      <c r="AZ829" s="95">
        <v>1.19366749279247</v>
      </c>
      <c r="BA829" s="95">
        <v>0</v>
      </c>
      <c r="BB829" s="95">
        <v>0</v>
      </c>
      <c r="BC829" s="95">
        <v>0.80482897384305796</v>
      </c>
      <c r="BD829" s="95">
        <v>1.23750069056958</v>
      </c>
      <c r="BE829" s="95">
        <v>0</v>
      </c>
    </row>
    <row r="830" spans="2:57" ht="15" customHeight="1" x14ac:dyDescent="0.25">
      <c r="B830" s="96">
        <v>820</v>
      </c>
      <c r="C830" s="97" t="s">
        <v>504</v>
      </c>
      <c r="D830" s="104" t="s">
        <v>302</v>
      </c>
      <c r="E830" s="104" t="s">
        <v>388</v>
      </c>
      <c r="F830" s="104" t="s">
        <v>264</v>
      </c>
      <c r="G830" s="105" t="s">
        <v>264</v>
      </c>
      <c r="H830" s="106">
        <v>9399</v>
      </c>
      <c r="I830" s="106">
        <v>5405</v>
      </c>
      <c r="J830" s="106">
        <v>3994</v>
      </c>
      <c r="K830" s="106">
        <v>538</v>
      </c>
      <c r="L830" s="106">
        <v>2674</v>
      </c>
      <c r="M830" s="106">
        <v>4809</v>
      </c>
      <c r="N830" s="106">
        <v>1378</v>
      </c>
      <c r="O830" s="106">
        <v>9389</v>
      </c>
      <c r="P830" s="106">
        <v>10</v>
      </c>
      <c r="Q830" s="107">
        <v>0.40802448146888798</v>
      </c>
      <c r="R830" s="107">
        <v>0.215137883825543</v>
      </c>
      <c r="S830" s="107">
        <v>0.67385444743935297</v>
      </c>
      <c r="T830" s="107">
        <v>1.28755364806867</v>
      </c>
      <c r="U830" s="107">
        <v>0.40387722132471698</v>
      </c>
      <c r="V830" s="107">
        <v>0.39395929087327602</v>
      </c>
      <c r="W830" s="107">
        <v>0.15243902439024401</v>
      </c>
      <c r="X830" s="107">
        <v>0.408487461704301</v>
      </c>
      <c r="Y830" s="107">
        <v>0</v>
      </c>
      <c r="Z830" s="106">
        <v>11459</v>
      </c>
      <c r="AA830" s="106">
        <v>6283</v>
      </c>
      <c r="AB830" s="106">
        <v>5176</v>
      </c>
      <c r="AC830" s="106">
        <v>654</v>
      </c>
      <c r="AD830" s="106">
        <v>3053</v>
      </c>
      <c r="AE830" s="106">
        <v>5876</v>
      </c>
      <c r="AF830" s="106">
        <v>1876</v>
      </c>
      <c r="AG830" s="106">
        <v>9339</v>
      </c>
      <c r="AH830" s="106">
        <v>2004</v>
      </c>
      <c r="AI830" s="106">
        <v>116</v>
      </c>
      <c r="AJ830" s="106">
        <v>11377</v>
      </c>
      <c r="AK830" s="106">
        <v>15</v>
      </c>
      <c r="AL830" s="106">
        <v>67</v>
      </c>
      <c r="AM830" s="106">
        <v>806</v>
      </c>
      <c r="AN830" s="106">
        <v>10521</v>
      </c>
      <c r="AO830" s="106">
        <v>132</v>
      </c>
      <c r="AP830" s="107">
        <v>3.0777636131852102</v>
      </c>
      <c r="AQ830" s="107">
        <v>1.2058143376280099</v>
      </c>
      <c r="AR830" s="107">
        <v>5.3774350649350602</v>
      </c>
      <c r="AS830" s="107">
        <v>3.54838709677419</v>
      </c>
      <c r="AT830" s="107">
        <v>4.29405702507729</v>
      </c>
      <c r="AU830" s="107">
        <v>2.95478818084728</v>
      </c>
      <c r="AV830" s="107">
        <v>1.36388434260775</v>
      </c>
      <c r="AW830" s="107">
        <v>2.3550322150633201</v>
      </c>
      <c r="AX830" s="107">
        <v>6.66311300639659</v>
      </c>
      <c r="AY830" s="107">
        <v>0.96153846153846201</v>
      </c>
      <c r="AZ830" s="107">
        <v>3.0817206273502702</v>
      </c>
      <c r="BA830" s="107">
        <v>7.6923076923076898</v>
      </c>
      <c r="BB830" s="107">
        <v>1.51515151515152</v>
      </c>
      <c r="BC830" s="107">
        <v>2.6448362720402998</v>
      </c>
      <c r="BD830" s="107">
        <v>3.12965722801788</v>
      </c>
      <c r="BE830" s="107">
        <v>1.6260162601626</v>
      </c>
    </row>
    <row r="831" spans="2:57" ht="15" customHeight="1" x14ac:dyDescent="0.25">
      <c r="B831" s="91">
        <v>821</v>
      </c>
      <c r="C831" s="92" t="s">
        <v>504</v>
      </c>
      <c r="D831" s="92" t="s">
        <v>302</v>
      </c>
      <c r="E831" s="92" t="s">
        <v>388</v>
      </c>
      <c r="F831" s="92" t="s">
        <v>264</v>
      </c>
      <c r="G831" s="101" t="s">
        <v>501</v>
      </c>
      <c r="H831" s="94">
        <v>3235</v>
      </c>
      <c r="I831" s="94">
        <v>1819</v>
      </c>
      <c r="J831" s="94">
        <v>1416</v>
      </c>
      <c r="K831" s="94">
        <v>132</v>
      </c>
      <c r="L831" s="94">
        <v>1028</v>
      </c>
      <c r="M831" s="94">
        <v>1784</v>
      </c>
      <c r="N831" s="94">
        <v>291</v>
      </c>
      <c r="O831" s="94">
        <v>3228</v>
      </c>
      <c r="P831" s="94">
        <v>7</v>
      </c>
      <c r="Q831" s="95">
        <v>0.88405304318259104</v>
      </c>
      <c r="R831" s="95">
        <v>0.59523809523809501</v>
      </c>
      <c r="S831" s="95">
        <v>1.2688342585249801</v>
      </c>
      <c r="T831" s="95">
        <v>3.7037037037037002</v>
      </c>
      <c r="U831" s="95">
        <v>0.86767895878524903</v>
      </c>
      <c r="V831" s="95">
        <v>0.78835657974530005</v>
      </c>
      <c r="W831" s="95">
        <v>0.38167938931297701</v>
      </c>
      <c r="X831" s="95">
        <v>0.88616223585548703</v>
      </c>
      <c r="Y831" s="95">
        <v>0</v>
      </c>
      <c r="Z831" s="94">
        <v>4146</v>
      </c>
      <c r="AA831" s="94">
        <v>1988</v>
      </c>
      <c r="AB831" s="94">
        <v>2158</v>
      </c>
      <c r="AC831" s="94">
        <v>211</v>
      </c>
      <c r="AD831" s="94">
        <v>1109</v>
      </c>
      <c r="AE831" s="94">
        <v>2319</v>
      </c>
      <c r="AF831" s="94">
        <v>507</v>
      </c>
      <c r="AG831" s="94">
        <v>2521</v>
      </c>
      <c r="AH831" s="94">
        <v>1592</v>
      </c>
      <c r="AI831" s="94">
        <v>33</v>
      </c>
      <c r="AJ831" s="94">
        <v>4125</v>
      </c>
      <c r="AK831" s="94">
        <v>10</v>
      </c>
      <c r="AL831" s="94">
        <v>11</v>
      </c>
      <c r="AM831" s="94">
        <v>293</v>
      </c>
      <c r="AN831" s="94">
        <v>3828</v>
      </c>
      <c r="AO831" s="94">
        <v>25</v>
      </c>
      <c r="AP831" s="95">
        <v>6.1394643759474503</v>
      </c>
      <c r="AQ831" s="95">
        <v>3.0971128608923899</v>
      </c>
      <c r="AR831" s="95">
        <v>8.9624939113492506</v>
      </c>
      <c r="AS831" s="95">
        <v>6.9306930693069297</v>
      </c>
      <c r="AT831" s="95">
        <v>8.5086042065009604</v>
      </c>
      <c r="AU831" s="95">
        <v>5.3676138926477197</v>
      </c>
      <c r="AV831" s="95">
        <v>4.2596348884381303</v>
      </c>
      <c r="AW831" s="95">
        <v>5.2001650846058602</v>
      </c>
      <c r="AX831" s="95">
        <v>7.6872100728959598</v>
      </c>
      <c r="AY831" s="95">
        <v>3.8461538461538498</v>
      </c>
      <c r="AZ831" s="95">
        <v>6.1183041381061196</v>
      </c>
      <c r="BA831" s="95">
        <v>11.1111111111111</v>
      </c>
      <c r="BB831" s="95">
        <v>10</v>
      </c>
      <c r="BC831" s="95">
        <v>4.8780487804878003</v>
      </c>
      <c r="BD831" s="95">
        <v>6.2242939402248396</v>
      </c>
      <c r="BE831" s="95">
        <v>8.3333333333333304</v>
      </c>
    </row>
    <row r="832" spans="2:57" ht="15" customHeight="1" x14ac:dyDescent="0.25">
      <c r="B832" s="91">
        <v>822</v>
      </c>
      <c r="C832" s="92" t="s">
        <v>504</v>
      </c>
      <c r="D832" s="92" t="s">
        <v>302</v>
      </c>
      <c r="E832" s="92" t="s">
        <v>388</v>
      </c>
      <c r="F832" s="92" t="s">
        <v>264</v>
      </c>
      <c r="G832" s="101" t="s">
        <v>502</v>
      </c>
      <c r="H832" s="94">
        <v>6164</v>
      </c>
      <c r="I832" s="94">
        <v>3586</v>
      </c>
      <c r="J832" s="94">
        <v>2578</v>
      </c>
      <c r="K832" s="94">
        <v>406</v>
      </c>
      <c r="L832" s="94">
        <v>1646</v>
      </c>
      <c r="M832" s="94">
        <v>3025</v>
      </c>
      <c r="N832" s="94">
        <v>1087</v>
      </c>
      <c r="O832" s="94">
        <v>6161</v>
      </c>
      <c r="P832" s="94">
        <v>3</v>
      </c>
      <c r="Q832" s="95">
        <v>0.170010200612037</v>
      </c>
      <c r="R832" s="95">
        <v>2.9129041654529599E-2</v>
      </c>
      <c r="S832" s="95">
        <v>0.36749693752552098</v>
      </c>
      <c r="T832" s="95">
        <v>0.55865921787709505</v>
      </c>
      <c r="U832" s="95">
        <v>0.12870012870012901</v>
      </c>
      <c r="V832" s="95">
        <v>0.17123287671232901</v>
      </c>
      <c r="W832" s="95">
        <v>9.5238095238095205E-2</v>
      </c>
      <c r="X832" s="95">
        <v>0.170096955264501</v>
      </c>
      <c r="Y832" s="95">
        <v>0</v>
      </c>
      <c r="Z832" s="94">
        <v>7313</v>
      </c>
      <c r="AA832" s="94">
        <v>4295</v>
      </c>
      <c r="AB832" s="94">
        <v>3018</v>
      </c>
      <c r="AC832" s="94">
        <v>443</v>
      </c>
      <c r="AD832" s="94">
        <v>1944</v>
      </c>
      <c r="AE832" s="94">
        <v>3557</v>
      </c>
      <c r="AF832" s="94">
        <v>1369</v>
      </c>
      <c r="AG832" s="94">
        <v>6818</v>
      </c>
      <c r="AH832" s="94">
        <v>412</v>
      </c>
      <c r="AI832" s="94">
        <v>83</v>
      </c>
      <c r="AJ832" s="94">
        <v>7252</v>
      </c>
      <c r="AK832" s="94">
        <v>5</v>
      </c>
      <c r="AL832" s="94">
        <v>56</v>
      </c>
      <c r="AM832" s="94">
        <v>513</v>
      </c>
      <c r="AN832" s="94">
        <v>6693</v>
      </c>
      <c r="AO832" s="94">
        <v>107</v>
      </c>
      <c r="AP832" s="95">
        <v>1.3525056947608201</v>
      </c>
      <c r="AQ832" s="95">
        <v>0.33743070619426402</v>
      </c>
      <c r="AR832" s="95">
        <v>2.8173913043478298</v>
      </c>
      <c r="AS832" s="95">
        <v>1.91387559808612</v>
      </c>
      <c r="AT832" s="95">
        <v>1.93029490616622</v>
      </c>
      <c r="AU832" s="95">
        <v>1.3819464863275499</v>
      </c>
      <c r="AV832" s="95">
        <v>0.29850746268656703</v>
      </c>
      <c r="AW832" s="95">
        <v>1.3071895424836599</v>
      </c>
      <c r="AX832" s="95">
        <v>2.4523160762942799</v>
      </c>
      <c r="AY832" s="95">
        <v>0</v>
      </c>
      <c r="AZ832" s="95">
        <v>1.3641585295806999</v>
      </c>
      <c r="BA832" s="95">
        <v>0</v>
      </c>
      <c r="BB832" s="95">
        <v>0</v>
      </c>
      <c r="BC832" s="95">
        <v>1.3806706114398399</v>
      </c>
      <c r="BD832" s="95">
        <v>1.3711436584605801</v>
      </c>
      <c r="BE832" s="95">
        <v>0</v>
      </c>
    </row>
    <row r="833" spans="2:57" ht="15" customHeight="1" x14ac:dyDescent="0.25">
      <c r="B833" s="96">
        <v>823</v>
      </c>
      <c r="C833" s="97" t="s">
        <v>504</v>
      </c>
      <c r="D833" s="104" t="s">
        <v>302</v>
      </c>
      <c r="E833" s="104" t="s">
        <v>388</v>
      </c>
      <c r="F833" s="104" t="s">
        <v>228</v>
      </c>
      <c r="G833" s="105" t="s">
        <v>228</v>
      </c>
      <c r="H833" s="106">
        <v>7345</v>
      </c>
      <c r="I833" s="106">
        <v>4163</v>
      </c>
      <c r="J833" s="106">
        <v>3182</v>
      </c>
      <c r="K833" s="106">
        <v>450</v>
      </c>
      <c r="L833" s="106">
        <v>1666</v>
      </c>
      <c r="M833" s="106">
        <v>3819</v>
      </c>
      <c r="N833" s="106">
        <v>1410</v>
      </c>
      <c r="O833" s="106">
        <v>7344</v>
      </c>
      <c r="P833" s="106">
        <v>1</v>
      </c>
      <c r="Q833" s="107">
        <v>0.17035775127768299</v>
      </c>
      <c r="R833" s="107">
        <v>4.9862877088007997E-2</v>
      </c>
      <c r="S833" s="107">
        <v>0.32970656116056701</v>
      </c>
      <c r="T833" s="107">
        <v>1.0050251256281399</v>
      </c>
      <c r="U833" s="107">
        <v>0.189513581806696</v>
      </c>
      <c r="V833" s="107">
        <v>5.4097917230186601E-2</v>
      </c>
      <c r="W833" s="107">
        <v>0.21961932650073199</v>
      </c>
      <c r="X833" s="107">
        <v>0.170381939514411</v>
      </c>
      <c r="Y833" s="107">
        <v>0</v>
      </c>
      <c r="Z833" s="106">
        <v>8649</v>
      </c>
      <c r="AA833" s="106">
        <v>4971</v>
      </c>
      <c r="AB833" s="106">
        <v>3678</v>
      </c>
      <c r="AC833" s="106">
        <v>548</v>
      </c>
      <c r="AD833" s="106">
        <v>2236</v>
      </c>
      <c r="AE833" s="106">
        <v>4133</v>
      </c>
      <c r="AF833" s="106">
        <v>1732</v>
      </c>
      <c r="AG833" s="106">
        <v>7550</v>
      </c>
      <c r="AH833" s="106">
        <v>939</v>
      </c>
      <c r="AI833" s="106">
        <v>160</v>
      </c>
      <c r="AJ833" s="106">
        <v>8616</v>
      </c>
      <c r="AK833" s="106">
        <v>9</v>
      </c>
      <c r="AL833" s="106">
        <v>24</v>
      </c>
      <c r="AM833" s="106">
        <v>676</v>
      </c>
      <c r="AN833" s="106">
        <v>7850</v>
      </c>
      <c r="AO833" s="106">
        <v>123</v>
      </c>
      <c r="AP833" s="107">
        <v>1.2611097766034101</v>
      </c>
      <c r="AQ833" s="107">
        <v>0.37539103232533899</v>
      </c>
      <c r="AR833" s="107">
        <v>2.4638912489379798</v>
      </c>
      <c r="AS833" s="107">
        <v>1.1472275334608</v>
      </c>
      <c r="AT833" s="107">
        <v>1.6877637130801699</v>
      </c>
      <c r="AU833" s="107">
        <v>1.25628140703518</v>
      </c>
      <c r="AV833" s="107">
        <v>0.76923076923076905</v>
      </c>
      <c r="AW833" s="107">
        <v>1.18018388911761</v>
      </c>
      <c r="AX833" s="107">
        <v>1.80995475113122</v>
      </c>
      <c r="AY833" s="107">
        <v>1.93548387096774</v>
      </c>
      <c r="AZ833" s="107">
        <v>1.26551765698445</v>
      </c>
      <c r="BA833" s="107">
        <v>0</v>
      </c>
      <c r="BB833" s="107">
        <v>0</v>
      </c>
      <c r="BC833" s="107">
        <v>0.61162079510703404</v>
      </c>
      <c r="BD833" s="107">
        <v>1.3241525423728799</v>
      </c>
      <c r="BE833" s="107">
        <v>0.83333333333333304</v>
      </c>
    </row>
    <row r="834" spans="2:57" ht="15" customHeight="1" x14ac:dyDescent="0.25">
      <c r="B834" s="91">
        <v>824</v>
      </c>
      <c r="C834" s="92" t="s">
        <v>504</v>
      </c>
      <c r="D834" s="92" t="s">
        <v>302</v>
      </c>
      <c r="E834" s="92" t="s">
        <v>388</v>
      </c>
      <c r="F834" s="92" t="s">
        <v>228</v>
      </c>
      <c r="G834" s="101" t="s">
        <v>501</v>
      </c>
      <c r="H834" s="94">
        <v>953</v>
      </c>
      <c r="I834" s="94">
        <v>486</v>
      </c>
      <c r="J834" s="94">
        <v>467</v>
      </c>
      <c r="K834" s="94">
        <v>53</v>
      </c>
      <c r="L834" s="94">
        <v>229</v>
      </c>
      <c r="M834" s="94">
        <v>493</v>
      </c>
      <c r="N834" s="94">
        <v>178</v>
      </c>
      <c r="O834" s="94">
        <v>953</v>
      </c>
      <c r="P834" s="94">
        <v>0</v>
      </c>
      <c r="Q834" s="95">
        <v>0.33076074972436598</v>
      </c>
      <c r="R834" s="95">
        <v>0</v>
      </c>
      <c r="S834" s="95">
        <v>0.68181818181818199</v>
      </c>
      <c r="T834" s="95">
        <v>0</v>
      </c>
      <c r="U834" s="95">
        <v>0</v>
      </c>
      <c r="V834" s="95">
        <v>0.21321961620469099</v>
      </c>
      <c r="W834" s="95">
        <v>1.16959064327485</v>
      </c>
      <c r="X834" s="95">
        <v>0.33076074972436598</v>
      </c>
      <c r="Y834" s="95">
        <v>0</v>
      </c>
      <c r="Z834" s="94">
        <v>1423</v>
      </c>
      <c r="AA834" s="94">
        <v>686</v>
      </c>
      <c r="AB834" s="94">
        <v>737</v>
      </c>
      <c r="AC834" s="94">
        <v>72</v>
      </c>
      <c r="AD834" s="94">
        <v>389</v>
      </c>
      <c r="AE834" s="94">
        <v>684</v>
      </c>
      <c r="AF834" s="94">
        <v>278</v>
      </c>
      <c r="AG834" s="94">
        <v>1120</v>
      </c>
      <c r="AH834" s="94">
        <v>293</v>
      </c>
      <c r="AI834" s="94">
        <v>10</v>
      </c>
      <c r="AJ834" s="94">
        <v>1418</v>
      </c>
      <c r="AK834" s="94">
        <v>3</v>
      </c>
      <c r="AL834" s="94">
        <v>2</v>
      </c>
      <c r="AM834" s="94">
        <v>132</v>
      </c>
      <c r="AN834" s="94">
        <v>1277</v>
      </c>
      <c r="AO834" s="94">
        <v>14</v>
      </c>
      <c r="AP834" s="95">
        <v>2.8550512445095202</v>
      </c>
      <c r="AQ834" s="95">
        <v>1.2121212121212099</v>
      </c>
      <c r="AR834" s="95">
        <v>4.3909348441926301</v>
      </c>
      <c r="AS834" s="95">
        <v>4.4776119402985097</v>
      </c>
      <c r="AT834" s="95">
        <v>3.5616438356164402</v>
      </c>
      <c r="AU834" s="95">
        <v>2.5679758308157101</v>
      </c>
      <c r="AV834" s="95">
        <v>2.2058823529411802</v>
      </c>
      <c r="AW834" s="95">
        <v>2.85451197053407</v>
      </c>
      <c r="AX834" s="95">
        <v>2.5925925925925899</v>
      </c>
      <c r="AY834" s="95">
        <v>10</v>
      </c>
      <c r="AZ834" s="95">
        <v>2.8634361233480199</v>
      </c>
      <c r="BA834" s="95">
        <v>0</v>
      </c>
      <c r="BB834" s="95">
        <v>0</v>
      </c>
      <c r="BC834" s="95">
        <v>2.4</v>
      </c>
      <c r="BD834" s="95">
        <v>2.85248573757131</v>
      </c>
      <c r="BE834" s="95">
        <v>7.1428571428571397</v>
      </c>
    </row>
    <row r="835" spans="2:57" ht="15" customHeight="1" x14ac:dyDescent="0.25">
      <c r="B835" s="91">
        <v>825</v>
      </c>
      <c r="C835" s="92" t="s">
        <v>504</v>
      </c>
      <c r="D835" s="92" t="s">
        <v>302</v>
      </c>
      <c r="E835" s="92" t="s">
        <v>388</v>
      </c>
      <c r="F835" s="92" t="s">
        <v>228</v>
      </c>
      <c r="G835" s="101" t="s">
        <v>502</v>
      </c>
      <c r="H835" s="94">
        <v>6392</v>
      </c>
      <c r="I835" s="94">
        <v>3677</v>
      </c>
      <c r="J835" s="94">
        <v>2715</v>
      </c>
      <c r="K835" s="94">
        <v>397</v>
      </c>
      <c r="L835" s="94">
        <v>1437</v>
      </c>
      <c r="M835" s="94">
        <v>3326</v>
      </c>
      <c r="N835" s="94">
        <v>1232</v>
      </c>
      <c r="O835" s="94">
        <v>6391</v>
      </c>
      <c r="P835" s="94">
        <v>1</v>
      </c>
      <c r="Q835" s="95">
        <v>0.14665145836728</v>
      </c>
      <c r="R835" s="95">
        <v>5.6433408577878097E-2</v>
      </c>
      <c r="S835" s="95">
        <v>0.26995757809487098</v>
      </c>
      <c r="T835" s="95">
        <v>1.1461318051575899</v>
      </c>
      <c r="U835" s="95">
        <v>0.21978021978022</v>
      </c>
      <c r="V835" s="95">
        <v>3.0978934324659198E-2</v>
      </c>
      <c r="W835" s="95">
        <v>8.3682008368200805E-2</v>
      </c>
      <c r="X835" s="95">
        <v>0.14667535853976499</v>
      </c>
      <c r="Y835" s="95">
        <v>0</v>
      </c>
      <c r="Z835" s="94">
        <v>7226</v>
      </c>
      <c r="AA835" s="94">
        <v>4285</v>
      </c>
      <c r="AB835" s="94">
        <v>2941</v>
      </c>
      <c r="AC835" s="94">
        <v>476</v>
      </c>
      <c r="AD835" s="94">
        <v>1847</v>
      </c>
      <c r="AE835" s="94">
        <v>3449</v>
      </c>
      <c r="AF835" s="94">
        <v>1454</v>
      </c>
      <c r="AG835" s="94">
        <v>6430</v>
      </c>
      <c r="AH835" s="94">
        <v>646</v>
      </c>
      <c r="AI835" s="94">
        <v>150</v>
      </c>
      <c r="AJ835" s="94">
        <v>7198</v>
      </c>
      <c r="AK835" s="94">
        <v>6</v>
      </c>
      <c r="AL835" s="94">
        <v>22</v>
      </c>
      <c r="AM835" s="94">
        <v>544</v>
      </c>
      <c r="AN835" s="94">
        <v>6573</v>
      </c>
      <c r="AO835" s="94">
        <v>109</v>
      </c>
      <c r="AP835" s="95">
        <v>0.94827586206896597</v>
      </c>
      <c r="AQ835" s="95">
        <v>0.24183796856106399</v>
      </c>
      <c r="AR835" s="95">
        <v>1.98230088495575</v>
      </c>
      <c r="AS835" s="95">
        <v>0.65789473684210498</v>
      </c>
      <c r="AT835" s="95">
        <v>1.3009049773755701</v>
      </c>
      <c r="AU835" s="95">
        <v>0.99457504520795703</v>
      </c>
      <c r="AV835" s="95">
        <v>0.49365303244005598</v>
      </c>
      <c r="AW835" s="95">
        <v>0.88695371714239601</v>
      </c>
      <c r="AX835" s="95">
        <v>1.4657980456026101</v>
      </c>
      <c r="AY835" s="95">
        <v>1.3793103448275901</v>
      </c>
      <c r="AZ835" s="95">
        <v>0.95169430425378498</v>
      </c>
      <c r="BA835" s="95">
        <v>0</v>
      </c>
      <c r="BB835" s="95">
        <v>0</v>
      </c>
      <c r="BC835" s="95">
        <v>0.18903591682419699</v>
      </c>
      <c r="BD835" s="95">
        <v>1.0276679841897201</v>
      </c>
      <c r="BE835" s="95">
        <v>0</v>
      </c>
    </row>
    <row r="836" spans="2:57" ht="15" customHeight="1" x14ac:dyDescent="0.25">
      <c r="B836" s="96">
        <v>826</v>
      </c>
      <c r="C836" s="97" t="s">
        <v>504</v>
      </c>
      <c r="D836" s="104" t="s">
        <v>302</v>
      </c>
      <c r="E836" s="104" t="s">
        <v>388</v>
      </c>
      <c r="F836" s="104" t="s">
        <v>295</v>
      </c>
      <c r="G836" s="105" t="s">
        <v>295</v>
      </c>
      <c r="H836" s="106">
        <v>15431</v>
      </c>
      <c r="I836" s="106">
        <v>8637</v>
      </c>
      <c r="J836" s="106">
        <v>6794</v>
      </c>
      <c r="K836" s="106">
        <v>828</v>
      </c>
      <c r="L836" s="106">
        <v>4660</v>
      </c>
      <c r="M836" s="106">
        <v>8309</v>
      </c>
      <c r="N836" s="106">
        <v>1634</v>
      </c>
      <c r="O836" s="106">
        <v>15398</v>
      </c>
      <c r="P836" s="106">
        <v>33</v>
      </c>
      <c r="Q836" s="107">
        <v>1.4349713005739899</v>
      </c>
      <c r="R836" s="107">
        <v>0.87871287128712905</v>
      </c>
      <c r="S836" s="107">
        <v>2.15920077344505</v>
      </c>
      <c r="T836" s="107">
        <v>2.3909985935302398</v>
      </c>
      <c r="U836" s="107">
        <v>1.70253014897139</v>
      </c>
      <c r="V836" s="107">
        <v>1.2511170688114399</v>
      </c>
      <c r="W836" s="107">
        <v>1.18968935888962</v>
      </c>
      <c r="X836" s="107">
        <v>1.4310768151525799</v>
      </c>
      <c r="Y836" s="107">
        <v>3.2258064516128999</v>
      </c>
      <c r="Z836" s="106">
        <v>19310</v>
      </c>
      <c r="AA836" s="106">
        <v>10170</v>
      </c>
      <c r="AB836" s="106">
        <v>9140</v>
      </c>
      <c r="AC836" s="106">
        <v>964</v>
      </c>
      <c r="AD836" s="106">
        <v>5824</v>
      </c>
      <c r="AE836" s="106">
        <v>10256</v>
      </c>
      <c r="AF836" s="106">
        <v>2266</v>
      </c>
      <c r="AG836" s="106">
        <v>12476</v>
      </c>
      <c r="AH836" s="106">
        <v>6679</v>
      </c>
      <c r="AI836" s="106">
        <v>155</v>
      </c>
      <c r="AJ836" s="106">
        <v>19171</v>
      </c>
      <c r="AK836" s="106">
        <v>64</v>
      </c>
      <c r="AL836" s="106">
        <v>75</v>
      </c>
      <c r="AM836" s="106">
        <v>1210</v>
      </c>
      <c r="AN836" s="106">
        <v>17950</v>
      </c>
      <c r="AO836" s="106">
        <v>150</v>
      </c>
      <c r="AP836" s="107">
        <v>6.5185427217774903</v>
      </c>
      <c r="AQ836" s="107">
        <v>2.6206753677232202</v>
      </c>
      <c r="AR836" s="107">
        <v>10.8393615799747</v>
      </c>
      <c r="AS836" s="107">
        <v>9.5391211146838195</v>
      </c>
      <c r="AT836" s="107">
        <v>9.4949494949494895</v>
      </c>
      <c r="AU836" s="107">
        <v>5.1112017955519304</v>
      </c>
      <c r="AV836" s="107">
        <v>4.1227668346312401</v>
      </c>
      <c r="AW836" s="107">
        <v>5.6029436360595399</v>
      </c>
      <c r="AX836" s="107">
        <v>8.2721175343340807</v>
      </c>
      <c r="AY836" s="107">
        <v>6.2937062937062898</v>
      </c>
      <c r="AZ836" s="107">
        <v>6.5412874218664303</v>
      </c>
      <c r="BA836" s="107">
        <v>3.7735849056603801</v>
      </c>
      <c r="BB836" s="107">
        <v>2.7777777777777799</v>
      </c>
      <c r="BC836" s="107">
        <v>7.0434782608695699</v>
      </c>
      <c r="BD836" s="107">
        <v>6.4878791427567597</v>
      </c>
      <c r="BE836" s="107">
        <v>5.92592592592593</v>
      </c>
    </row>
    <row r="837" spans="2:57" ht="15" customHeight="1" x14ac:dyDescent="0.25">
      <c r="B837" s="91">
        <v>827</v>
      </c>
      <c r="C837" s="92" t="s">
        <v>504</v>
      </c>
      <c r="D837" s="92" t="s">
        <v>302</v>
      </c>
      <c r="E837" s="92" t="s">
        <v>388</v>
      </c>
      <c r="F837" s="92" t="s">
        <v>295</v>
      </c>
      <c r="G837" s="101" t="s">
        <v>501</v>
      </c>
      <c r="H837" s="94">
        <v>12464</v>
      </c>
      <c r="I837" s="94">
        <v>6962</v>
      </c>
      <c r="J837" s="94">
        <v>5502</v>
      </c>
      <c r="K837" s="94">
        <v>612</v>
      </c>
      <c r="L837" s="94">
        <v>3885</v>
      </c>
      <c r="M837" s="94">
        <v>6831</v>
      </c>
      <c r="N837" s="94">
        <v>1136</v>
      </c>
      <c r="O837" s="94">
        <v>12432</v>
      </c>
      <c r="P837" s="94">
        <v>32</v>
      </c>
      <c r="Q837" s="95">
        <v>1.72623178348369</v>
      </c>
      <c r="R837" s="95">
        <v>1.05682340327768</v>
      </c>
      <c r="S837" s="95">
        <v>2.6005201040207999</v>
      </c>
      <c r="T837" s="95">
        <v>3.2442748091603102</v>
      </c>
      <c r="U837" s="95">
        <v>1.9931662870159499</v>
      </c>
      <c r="V837" s="95">
        <v>1.45781637717122</v>
      </c>
      <c r="W837" s="95">
        <v>1.72413793103448</v>
      </c>
      <c r="X837" s="95">
        <v>1.72203861541138</v>
      </c>
      <c r="Y837" s="95">
        <v>3.3333333333333299</v>
      </c>
      <c r="Z837" s="94">
        <v>16221</v>
      </c>
      <c r="AA837" s="94">
        <v>8348</v>
      </c>
      <c r="AB837" s="94">
        <v>7873</v>
      </c>
      <c r="AC837" s="94">
        <v>798</v>
      </c>
      <c r="AD837" s="94">
        <v>5102</v>
      </c>
      <c r="AE837" s="94">
        <v>8697</v>
      </c>
      <c r="AF837" s="94">
        <v>1624</v>
      </c>
      <c r="AG837" s="94">
        <v>9614</v>
      </c>
      <c r="AH837" s="94">
        <v>6492</v>
      </c>
      <c r="AI837" s="94">
        <v>115</v>
      </c>
      <c r="AJ837" s="94">
        <v>16098</v>
      </c>
      <c r="AK837" s="94">
        <v>63</v>
      </c>
      <c r="AL837" s="94">
        <v>60</v>
      </c>
      <c r="AM837" s="94">
        <v>959</v>
      </c>
      <c r="AN837" s="94">
        <v>15149</v>
      </c>
      <c r="AO837" s="94">
        <v>113</v>
      </c>
      <c r="AP837" s="95">
        <v>7.5486431964599499</v>
      </c>
      <c r="AQ837" s="95">
        <v>3.1440162271805301</v>
      </c>
      <c r="AR837" s="95">
        <v>12.1941436020858</v>
      </c>
      <c r="AS837" s="95">
        <v>10.9961190168176</v>
      </c>
      <c r="AT837" s="95">
        <v>10.572872788542499</v>
      </c>
      <c r="AU837" s="95">
        <v>5.8752563638557103</v>
      </c>
      <c r="AV837" s="95">
        <v>5.5234425176621702</v>
      </c>
      <c r="AW837" s="95">
        <v>6.9149515408907796</v>
      </c>
      <c r="AX837" s="95">
        <v>8.4854464726196301</v>
      </c>
      <c r="AY837" s="95">
        <v>8.7378640776699008</v>
      </c>
      <c r="AZ837" s="95">
        <v>7.57635338838642</v>
      </c>
      <c r="BA837" s="95">
        <v>3.8461538461538498</v>
      </c>
      <c r="BB837" s="95">
        <v>3.5087719298245599</v>
      </c>
      <c r="BC837" s="95">
        <v>8.4988962472406193</v>
      </c>
      <c r="BD837" s="95">
        <v>7.4845088073522303</v>
      </c>
      <c r="BE837" s="95">
        <v>8.1632653061224492</v>
      </c>
    </row>
    <row r="838" spans="2:57" ht="15" customHeight="1" x14ac:dyDescent="0.25">
      <c r="B838" s="91">
        <v>828</v>
      </c>
      <c r="C838" s="92" t="s">
        <v>504</v>
      </c>
      <c r="D838" s="92" t="s">
        <v>302</v>
      </c>
      <c r="E838" s="92" t="s">
        <v>388</v>
      </c>
      <c r="F838" s="92" t="s">
        <v>295</v>
      </c>
      <c r="G838" s="101" t="s">
        <v>502</v>
      </c>
      <c r="H838" s="94">
        <v>2967</v>
      </c>
      <c r="I838" s="94">
        <v>1675</v>
      </c>
      <c r="J838" s="94">
        <v>1292</v>
      </c>
      <c r="K838" s="94">
        <v>216</v>
      </c>
      <c r="L838" s="94">
        <v>775</v>
      </c>
      <c r="M838" s="94">
        <v>1478</v>
      </c>
      <c r="N838" s="94">
        <v>498</v>
      </c>
      <c r="O838" s="94">
        <v>2966</v>
      </c>
      <c r="P838" s="94">
        <v>1</v>
      </c>
      <c r="Q838" s="95">
        <v>0.217548948513416</v>
      </c>
      <c r="R838" s="95">
        <v>0.12894906511927801</v>
      </c>
      <c r="S838" s="95">
        <v>0.33140016570008302</v>
      </c>
      <c r="T838" s="95">
        <v>0</v>
      </c>
      <c r="U838" s="95">
        <v>0.27894002789400302</v>
      </c>
      <c r="V838" s="95">
        <v>0.28880866425992802</v>
      </c>
      <c r="W838" s="95">
        <v>0</v>
      </c>
      <c r="X838" s="95">
        <v>0.21762785636561499</v>
      </c>
      <c r="Y838" s="95">
        <v>0</v>
      </c>
      <c r="Z838" s="94">
        <v>3089</v>
      </c>
      <c r="AA838" s="94">
        <v>1822</v>
      </c>
      <c r="AB838" s="94">
        <v>1267</v>
      </c>
      <c r="AC838" s="94">
        <v>166</v>
      </c>
      <c r="AD838" s="94">
        <v>722</v>
      </c>
      <c r="AE838" s="94">
        <v>1559</v>
      </c>
      <c r="AF838" s="94">
        <v>642</v>
      </c>
      <c r="AG838" s="94">
        <v>2862</v>
      </c>
      <c r="AH838" s="94">
        <v>187</v>
      </c>
      <c r="AI838" s="94">
        <v>40</v>
      </c>
      <c r="AJ838" s="94">
        <v>3073</v>
      </c>
      <c r="AK838" s="94">
        <v>1</v>
      </c>
      <c r="AL838" s="94">
        <v>15</v>
      </c>
      <c r="AM838" s="94">
        <v>251</v>
      </c>
      <c r="AN838" s="94">
        <v>2801</v>
      </c>
      <c r="AO838" s="94">
        <v>37</v>
      </c>
      <c r="AP838" s="95">
        <v>1.23497997329773</v>
      </c>
      <c r="AQ838" s="95">
        <v>0.28312570781426999</v>
      </c>
      <c r="AR838" s="95">
        <v>2.6016260162601599</v>
      </c>
      <c r="AS838" s="95">
        <v>2.5</v>
      </c>
      <c r="AT838" s="95">
        <v>2.1520803443328602</v>
      </c>
      <c r="AU838" s="95">
        <v>0.92531394580304005</v>
      </c>
      <c r="AV838" s="95">
        <v>0.63897763578274802</v>
      </c>
      <c r="AW838" s="95">
        <v>1.2612612612612599</v>
      </c>
      <c r="AX838" s="95">
        <v>1.10497237569061</v>
      </c>
      <c r="AY838" s="95">
        <v>0</v>
      </c>
      <c r="AZ838" s="95">
        <v>1.2416107382550301</v>
      </c>
      <c r="BA838" s="95">
        <v>0</v>
      </c>
      <c r="BB838" s="95">
        <v>0</v>
      </c>
      <c r="BC838" s="95">
        <v>1.63934426229508</v>
      </c>
      <c r="BD838" s="95">
        <v>1.2154696132596701</v>
      </c>
      <c r="BE838" s="95">
        <v>0</v>
      </c>
    </row>
    <row r="839" spans="2:57" ht="15" customHeight="1" x14ac:dyDescent="0.25">
      <c r="B839" s="96">
        <v>829</v>
      </c>
      <c r="C839" s="97" t="s">
        <v>504</v>
      </c>
      <c r="D839" s="104" t="s">
        <v>302</v>
      </c>
      <c r="E839" s="104" t="s">
        <v>388</v>
      </c>
      <c r="F839" s="104" t="s">
        <v>476</v>
      </c>
      <c r="G839" s="105" t="s">
        <v>476</v>
      </c>
      <c r="H839" s="106">
        <v>2997</v>
      </c>
      <c r="I839" s="106">
        <v>2110</v>
      </c>
      <c r="J839" s="106">
        <v>887</v>
      </c>
      <c r="K839" s="106">
        <v>153</v>
      </c>
      <c r="L839" s="106">
        <v>888</v>
      </c>
      <c r="M839" s="106">
        <v>1544</v>
      </c>
      <c r="N839" s="106">
        <v>412</v>
      </c>
      <c r="O839" s="106">
        <v>2997</v>
      </c>
      <c r="P839" s="106">
        <v>0</v>
      </c>
      <c r="Q839" s="107">
        <v>0.14255167498218099</v>
      </c>
      <c r="R839" s="107">
        <v>4.9019607843137303E-2</v>
      </c>
      <c r="S839" s="107">
        <v>0.391644908616188</v>
      </c>
      <c r="T839" s="107">
        <v>0</v>
      </c>
      <c r="U839" s="107">
        <v>0.359281437125749</v>
      </c>
      <c r="V839" s="107">
        <v>6.8728522336769807E-2</v>
      </c>
      <c r="W839" s="107">
        <v>0</v>
      </c>
      <c r="X839" s="107">
        <v>0.14255167498218099</v>
      </c>
      <c r="Y839" s="107">
        <v>0</v>
      </c>
      <c r="Z839" s="106">
        <v>3932</v>
      </c>
      <c r="AA839" s="106">
        <v>2554</v>
      </c>
      <c r="AB839" s="106">
        <v>1378</v>
      </c>
      <c r="AC839" s="106">
        <v>241</v>
      </c>
      <c r="AD839" s="106">
        <v>1103</v>
      </c>
      <c r="AE839" s="106">
        <v>2010</v>
      </c>
      <c r="AF839" s="106">
        <v>578</v>
      </c>
      <c r="AG839" s="106">
        <v>3529</v>
      </c>
      <c r="AH839" s="106">
        <v>365</v>
      </c>
      <c r="AI839" s="106">
        <v>38</v>
      </c>
      <c r="AJ839" s="106">
        <v>3913</v>
      </c>
      <c r="AK839" s="106">
        <v>1</v>
      </c>
      <c r="AL839" s="106">
        <v>18</v>
      </c>
      <c r="AM839" s="106">
        <v>269</v>
      </c>
      <c r="AN839" s="106">
        <v>3597</v>
      </c>
      <c r="AO839" s="106">
        <v>66</v>
      </c>
      <c r="AP839" s="107">
        <v>1.4957264957265</v>
      </c>
      <c r="AQ839" s="107">
        <v>0.122299225438239</v>
      </c>
      <c r="AR839" s="107">
        <v>4.1053446940356304</v>
      </c>
      <c r="AS839" s="107">
        <v>1.78571428571429</v>
      </c>
      <c r="AT839" s="107">
        <v>1.7441860465116299</v>
      </c>
      <c r="AU839" s="107">
        <v>1.5995872033023699</v>
      </c>
      <c r="AV839" s="107">
        <v>0.54545454545454597</v>
      </c>
      <c r="AW839" s="107">
        <v>1.5147015147015099</v>
      </c>
      <c r="AX839" s="107">
        <v>1.16279069767442</v>
      </c>
      <c r="AY839" s="107">
        <v>3.0303030303030298</v>
      </c>
      <c r="AZ839" s="107">
        <v>1.50335570469799</v>
      </c>
      <c r="BA839" s="107">
        <v>0</v>
      </c>
      <c r="BB839" s="107">
        <v>0</v>
      </c>
      <c r="BC839" s="107">
        <v>0.78431372549019596</v>
      </c>
      <c r="BD839" s="107">
        <v>1.57526254375729</v>
      </c>
      <c r="BE839" s="107">
        <v>0</v>
      </c>
    </row>
    <row r="840" spans="2:57" ht="15" customHeight="1" x14ac:dyDescent="0.25">
      <c r="B840" s="91">
        <v>830</v>
      </c>
      <c r="C840" s="92" t="s">
        <v>504</v>
      </c>
      <c r="D840" s="92" t="s">
        <v>302</v>
      </c>
      <c r="E840" s="92" t="s">
        <v>388</v>
      </c>
      <c r="F840" s="92" t="s">
        <v>476</v>
      </c>
      <c r="G840" s="101" t="s">
        <v>501</v>
      </c>
      <c r="H840" s="94">
        <v>0</v>
      </c>
      <c r="I840" s="94">
        <v>0</v>
      </c>
      <c r="J840" s="94">
        <v>0</v>
      </c>
      <c r="K840" s="94">
        <v>0</v>
      </c>
      <c r="L840" s="94">
        <v>0</v>
      </c>
      <c r="M840" s="94">
        <v>0</v>
      </c>
      <c r="N840" s="94">
        <v>0</v>
      </c>
      <c r="O840" s="94">
        <v>0</v>
      </c>
      <c r="P840" s="94">
        <v>0</v>
      </c>
      <c r="Q840" s="95">
        <v>0</v>
      </c>
      <c r="R840" s="95">
        <v>0</v>
      </c>
      <c r="S840" s="95">
        <v>0</v>
      </c>
      <c r="T840" s="95">
        <v>0</v>
      </c>
      <c r="U840" s="95">
        <v>0</v>
      </c>
      <c r="V840" s="95">
        <v>0</v>
      </c>
      <c r="W840" s="95">
        <v>0</v>
      </c>
      <c r="X840" s="95">
        <v>0</v>
      </c>
      <c r="Y840" s="95">
        <v>0</v>
      </c>
      <c r="Z840" s="94">
        <v>863</v>
      </c>
      <c r="AA840" s="94">
        <v>564</v>
      </c>
      <c r="AB840" s="94">
        <v>299</v>
      </c>
      <c r="AC840" s="94">
        <v>45</v>
      </c>
      <c r="AD840" s="94">
        <v>241</v>
      </c>
      <c r="AE840" s="94">
        <v>516</v>
      </c>
      <c r="AF840" s="94">
        <v>61</v>
      </c>
      <c r="AG840" s="94">
        <v>688</v>
      </c>
      <c r="AH840" s="94">
        <v>169</v>
      </c>
      <c r="AI840" s="94">
        <v>6</v>
      </c>
      <c r="AJ840" s="94">
        <v>861</v>
      </c>
      <c r="AK840" s="94">
        <v>0</v>
      </c>
      <c r="AL840" s="94">
        <v>2</v>
      </c>
      <c r="AM840" s="94">
        <v>46</v>
      </c>
      <c r="AN840" s="94">
        <v>810</v>
      </c>
      <c r="AO840" s="94">
        <v>7</v>
      </c>
      <c r="AP840" s="95">
        <v>2.1556886227544898</v>
      </c>
      <c r="AQ840" s="95">
        <v>0</v>
      </c>
      <c r="AR840" s="95">
        <v>6.3380281690140796</v>
      </c>
      <c r="AS840" s="95">
        <v>2.2727272727272698</v>
      </c>
      <c r="AT840" s="95">
        <v>1.2931034482758601</v>
      </c>
      <c r="AU840" s="95">
        <v>2.6052104208416802</v>
      </c>
      <c r="AV840" s="95">
        <v>1.6666666666666701</v>
      </c>
      <c r="AW840" s="95">
        <v>2.2522522522522501</v>
      </c>
      <c r="AX840" s="95">
        <v>1.8404907975460101</v>
      </c>
      <c r="AY840" s="95">
        <v>0</v>
      </c>
      <c r="AZ840" s="95">
        <v>2.1608643457382999</v>
      </c>
      <c r="BA840" s="95">
        <v>0</v>
      </c>
      <c r="BB840" s="95">
        <v>0</v>
      </c>
      <c r="BC840" s="95">
        <v>4.5454545454545503</v>
      </c>
      <c r="BD840" s="95">
        <v>2.0382165605095501</v>
      </c>
      <c r="BE840" s="95">
        <v>0</v>
      </c>
    </row>
    <row r="841" spans="2:57" ht="15" customHeight="1" x14ac:dyDescent="0.25">
      <c r="B841" s="91">
        <v>831</v>
      </c>
      <c r="C841" s="92" t="s">
        <v>504</v>
      </c>
      <c r="D841" s="92" t="s">
        <v>302</v>
      </c>
      <c r="E841" s="92" t="s">
        <v>388</v>
      </c>
      <c r="F841" s="92" t="s">
        <v>476</v>
      </c>
      <c r="G841" s="101" t="s">
        <v>502</v>
      </c>
      <c r="H841" s="94">
        <v>2997</v>
      </c>
      <c r="I841" s="94">
        <v>2110</v>
      </c>
      <c r="J841" s="94">
        <v>887</v>
      </c>
      <c r="K841" s="94">
        <v>153</v>
      </c>
      <c r="L841" s="94">
        <v>888</v>
      </c>
      <c r="M841" s="94">
        <v>1544</v>
      </c>
      <c r="N841" s="94">
        <v>412</v>
      </c>
      <c r="O841" s="94">
        <v>2997</v>
      </c>
      <c r="P841" s="94">
        <v>0</v>
      </c>
      <c r="Q841" s="95">
        <v>0.14255167498218099</v>
      </c>
      <c r="R841" s="95">
        <v>4.9019607843137303E-2</v>
      </c>
      <c r="S841" s="95">
        <v>0.391644908616188</v>
      </c>
      <c r="T841" s="95">
        <v>0</v>
      </c>
      <c r="U841" s="95">
        <v>0.359281437125749</v>
      </c>
      <c r="V841" s="95">
        <v>6.8728522336769807E-2</v>
      </c>
      <c r="W841" s="95">
        <v>0</v>
      </c>
      <c r="X841" s="95">
        <v>0.14255167498218099</v>
      </c>
      <c r="Y841" s="95">
        <v>0</v>
      </c>
      <c r="Z841" s="94">
        <v>3069</v>
      </c>
      <c r="AA841" s="94">
        <v>1990</v>
      </c>
      <c r="AB841" s="94">
        <v>1079</v>
      </c>
      <c r="AC841" s="94">
        <v>196</v>
      </c>
      <c r="AD841" s="94">
        <v>862</v>
      </c>
      <c r="AE841" s="94">
        <v>1494</v>
      </c>
      <c r="AF841" s="94">
        <v>517</v>
      </c>
      <c r="AG841" s="94">
        <v>2841</v>
      </c>
      <c r="AH841" s="94">
        <v>196</v>
      </c>
      <c r="AI841" s="94">
        <v>32</v>
      </c>
      <c r="AJ841" s="94">
        <v>3052</v>
      </c>
      <c r="AK841" s="94">
        <v>1</v>
      </c>
      <c r="AL841" s="94">
        <v>16</v>
      </c>
      <c r="AM841" s="94">
        <v>223</v>
      </c>
      <c r="AN841" s="94">
        <v>2787</v>
      </c>
      <c r="AO841" s="94">
        <v>59</v>
      </c>
      <c r="AP841" s="95">
        <v>1.3062908215881699</v>
      </c>
      <c r="AQ841" s="95">
        <v>0.157728706624606</v>
      </c>
      <c r="AR841" s="95">
        <v>3.4756703078450801</v>
      </c>
      <c r="AS841" s="95">
        <v>1.6666666666666701</v>
      </c>
      <c r="AT841" s="95">
        <v>1.875</v>
      </c>
      <c r="AU841" s="95">
        <v>1.25086865879083</v>
      </c>
      <c r="AV841" s="95">
        <v>0.40816326530612201</v>
      </c>
      <c r="AW841" s="95">
        <v>1.3328396890040699</v>
      </c>
      <c r="AX841" s="95">
        <v>0.55248618784530401</v>
      </c>
      <c r="AY841" s="95">
        <v>3.7037037037037002</v>
      </c>
      <c r="AZ841" s="95">
        <v>1.31396957123098</v>
      </c>
      <c r="BA841" s="95">
        <v>0</v>
      </c>
      <c r="BB841" s="95">
        <v>0</v>
      </c>
      <c r="BC841" s="95">
        <v>0</v>
      </c>
      <c r="BD841" s="95">
        <v>1.4377601210745401</v>
      </c>
      <c r="BE841" s="95">
        <v>0</v>
      </c>
    </row>
    <row r="842" spans="2:57" ht="15" customHeight="1" x14ac:dyDescent="0.25">
      <c r="B842" s="86">
        <v>832</v>
      </c>
      <c r="C842" s="87" t="s">
        <v>503</v>
      </c>
      <c r="D842" s="103" t="s">
        <v>302</v>
      </c>
      <c r="E842" s="103" t="s">
        <v>390</v>
      </c>
      <c r="F842" s="103"/>
      <c r="G842" s="88" t="s">
        <v>390</v>
      </c>
      <c r="H842" s="89">
        <v>25480</v>
      </c>
      <c r="I842" s="89">
        <v>14793</v>
      </c>
      <c r="J842" s="89">
        <v>10687</v>
      </c>
      <c r="K842" s="89">
        <v>1664</v>
      </c>
      <c r="L842" s="89">
        <v>5668</v>
      </c>
      <c r="M842" s="89">
        <v>12703</v>
      </c>
      <c r="N842" s="89">
        <v>5445</v>
      </c>
      <c r="O842" s="89">
        <v>25426</v>
      </c>
      <c r="P842" s="89">
        <v>54</v>
      </c>
      <c r="Q842" s="90">
        <v>0.19147519147519099</v>
      </c>
      <c r="R842" s="90">
        <v>7.1027771858796801E-2</v>
      </c>
      <c r="S842" s="90">
        <v>0.361990950226244</v>
      </c>
      <c r="T842" s="90">
        <v>0.61224489795918402</v>
      </c>
      <c r="U842" s="90">
        <v>0.22878932316491901</v>
      </c>
      <c r="V842" s="90">
        <v>0.17365418010419301</v>
      </c>
      <c r="W842" s="90">
        <v>7.6687116564417193E-2</v>
      </c>
      <c r="X842" s="90">
        <v>0.19187453074163699</v>
      </c>
      <c r="Y842" s="90">
        <v>0</v>
      </c>
      <c r="Z842" s="89">
        <v>30682</v>
      </c>
      <c r="AA842" s="89">
        <v>17063</v>
      </c>
      <c r="AB842" s="89">
        <v>13619</v>
      </c>
      <c r="AC842" s="89">
        <v>1992</v>
      </c>
      <c r="AD842" s="89">
        <v>7190</v>
      </c>
      <c r="AE842" s="89">
        <v>14593</v>
      </c>
      <c r="AF842" s="89">
        <v>6907</v>
      </c>
      <c r="AG842" s="89">
        <v>25862</v>
      </c>
      <c r="AH842" s="89">
        <v>4451</v>
      </c>
      <c r="AI842" s="89">
        <v>369</v>
      </c>
      <c r="AJ842" s="89">
        <v>30329</v>
      </c>
      <c r="AK842" s="89">
        <v>208</v>
      </c>
      <c r="AL842" s="89">
        <v>145</v>
      </c>
      <c r="AM842" s="89">
        <v>2680</v>
      </c>
      <c r="AN842" s="89">
        <v>27595</v>
      </c>
      <c r="AO842" s="89">
        <v>407</v>
      </c>
      <c r="AP842" s="90">
        <v>1.6024548244118599</v>
      </c>
      <c r="AQ842" s="90">
        <v>0.24854510184287101</v>
      </c>
      <c r="AR842" s="90">
        <v>3.3426834969611998</v>
      </c>
      <c r="AS842" s="90">
        <v>3.0142781597038599</v>
      </c>
      <c r="AT842" s="90">
        <v>2.2727272727272698</v>
      </c>
      <c r="AU842" s="90">
        <v>1.6509433962264199</v>
      </c>
      <c r="AV842" s="90">
        <v>0.43186895011169002</v>
      </c>
      <c r="AW842" s="90">
        <v>1.36284827224709</v>
      </c>
      <c r="AX842" s="90">
        <v>3.0794939126283101</v>
      </c>
      <c r="AY842" s="90">
        <v>0.88235294117647101</v>
      </c>
      <c r="AZ842" s="90">
        <v>1.5896003586083201</v>
      </c>
      <c r="BA842" s="90">
        <v>4.6153846153846203</v>
      </c>
      <c r="BB842" s="90">
        <v>0</v>
      </c>
      <c r="BC842" s="90">
        <v>0.959692898272553</v>
      </c>
      <c r="BD842" s="90">
        <v>1.67065345331663</v>
      </c>
      <c r="BE842" s="90">
        <v>1.28865979381443</v>
      </c>
    </row>
    <row r="843" spans="2:57" ht="15" customHeight="1" x14ac:dyDescent="0.25">
      <c r="B843" s="91">
        <v>833</v>
      </c>
      <c r="C843" s="92" t="s">
        <v>503</v>
      </c>
      <c r="D843" s="92" t="s">
        <v>302</v>
      </c>
      <c r="E843" s="92" t="s">
        <v>390</v>
      </c>
      <c r="F843" s="92"/>
      <c r="G843" s="93" t="s">
        <v>501</v>
      </c>
      <c r="H843" s="94">
        <v>1756</v>
      </c>
      <c r="I843" s="94">
        <v>932</v>
      </c>
      <c r="J843" s="94">
        <v>824</v>
      </c>
      <c r="K843" s="94">
        <v>98</v>
      </c>
      <c r="L843" s="94">
        <v>434</v>
      </c>
      <c r="M843" s="94">
        <v>934</v>
      </c>
      <c r="N843" s="94">
        <v>290</v>
      </c>
      <c r="O843" s="94">
        <v>1746</v>
      </c>
      <c r="P843" s="94">
        <v>10</v>
      </c>
      <c r="Q843" s="95">
        <v>1.3571869216532999</v>
      </c>
      <c r="R843" s="95">
        <v>0.115207373271889</v>
      </c>
      <c r="S843" s="95">
        <v>2.78884462151394</v>
      </c>
      <c r="T843" s="95">
        <v>8.5365853658536608</v>
      </c>
      <c r="U843" s="95">
        <v>1.26582278481013</v>
      </c>
      <c r="V843" s="95">
        <v>0.91743119266055095</v>
      </c>
      <c r="W843" s="95">
        <v>0.73529411764705899</v>
      </c>
      <c r="X843" s="95">
        <v>1.36561142147734</v>
      </c>
      <c r="Y843" s="95">
        <v>0</v>
      </c>
      <c r="Z843" s="94">
        <v>3120</v>
      </c>
      <c r="AA843" s="94">
        <v>1528</v>
      </c>
      <c r="AB843" s="94">
        <v>1592</v>
      </c>
      <c r="AC843" s="94">
        <v>233</v>
      </c>
      <c r="AD843" s="94">
        <v>870</v>
      </c>
      <c r="AE843" s="94">
        <v>1564</v>
      </c>
      <c r="AF843" s="94">
        <v>453</v>
      </c>
      <c r="AG843" s="94">
        <v>1833</v>
      </c>
      <c r="AH843" s="94">
        <v>1260</v>
      </c>
      <c r="AI843" s="94">
        <v>27</v>
      </c>
      <c r="AJ843" s="94">
        <v>3049</v>
      </c>
      <c r="AK843" s="94">
        <v>60</v>
      </c>
      <c r="AL843" s="94">
        <v>11</v>
      </c>
      <c r="AM843" s="94">
        <v>276</v>
      </c>
      <c r="AN843" s="94">
        <v>2812</v>
      </c>
      <c r="AO843" s="94">
        <v>32</v>
      </c>
      <c r="AP843" s="95">
        <v>6.5048870913380501</v>
      </c>
      <c r="AQ843" s="95">
        <v>1.3717421124828499</v>
      </c>
      <c r="AR843" s="95">
        <v>11.4645460569914</v>
      </c>
      <c r="AS843" s="95">
        <v>11.764705882352899</v>
      </c>
      <c r="AT843" s="95">
        <v>7.59651307596513</v>
      </c>
      <c r="AU843" s="95">
        <v>6.5464261857047399</v>
      </c>
      <c r="AV843" s="95">
        <v>1.79372197309417</v>
      </c>
      <c r="AW843" s="95">
        <v>6.3211845102505704</v>
      </c>
      <c r="AX843" s="95">
        <v>6.8965517241379297</v>
      </c>
      <c r="AY843" s="95">
        <v>0</v>
      </c>
      <c r="AZ843" s="95">
        <v>6.5060240963855396</v>
      </c>
      <c r="BA843" s="95">
        <v>7.6923076923076898</v>
      </c>
      <c r="BB843" s="95">
        <v>0</v>
      </c>
      <c r="BC843" s="95">
        <v>4.85074626865672</v>
      </c>
      <c r="BD843" s="95">
        <v>6.7066316972648901</v>
      </c>
      <c r="BE843" s="95">
        <v>3.3333333333333299</v>
      </c>
    </row>
    <row r="844" spans="2:57" ht="15" customHeight="1" x14ac:dyDescent="0.25">
      <c r="B844" s="91">
        <v>834</v>
      </c>
      <c r="C844" s="92" t="s">
        <v>503</v>
      </c>
      <c r="D844" s="92" t="s">
        <v>302</v>
      </c>
      <c r="E844" s="92" t="s">
        <v>390</v>
      </c>
      <c r="F844" s="92"/>
      <c r="G844" s="93" t="s">
        <v>502</v>
      </c>
      <c r="H844" s="94">
        <v>23724</v>
      </c>
      <c r="I844" s="94">
        <v>13861</v>
      </c>
      <c r="J844" s="94">
        <v>9863</v>
      </c>
      <c r="K844" s="94">
        <v>1566</v>
      </c>
      <c r="L844" s="94">
        <v>5234</v>
      </c>
      <c r="M844" s="94">
        <v>11769</v>
      </c>
      <c r="N844" s="94">
        <v>5155</v>
      </c>
      <c r="O844" s="94">
        <v>23680</v>
      </c>
      <c r="P844" s="94">
        <v>44</v>
      </c>
      <c r="Q844" s="95">
        <v>0.10712850957461099</v>
      </c>
      <c r="R844" s="95">
        <v>6.8125047309060605E-2</v>
      </c>
      <c r="S844" s="95">
        <v>0.16318537859007801</v>
      </c>
      <c r="T844" s="95">
        <v>0.144092219020173</v>
      </c>
      <c r="U844" s="95">
        <v>0.14432989690721601</v>
      </c>
      <c r="V844" s="95">
        <v>0.11585420194278601</v>
      </c>
      <c r="W844" s="95">
        <v>4.0453074433656998E-2</v>
      </c>
      <c r="X844" s="95">
        <v>0.107320126995484</v>
      </c>
      <c r="Y844" s="95">
        <v>0</v>
      </c>
      <c r="Z844" s="94">
        <v>27562</v>
      </c>
      <c r="AA844" s="94">
        <v>15535</v>
      </c>
      <c r="AB844" s="94">
        <v>12027</v>
      </c>
      <c r="AC844" s="94">
        <v>1759</v>
      </c>
      <c r="AD844" s="94">
        <v>6320</v>
      </c>
      <c r="AE844" s="94">
        <v>13029</v>
      </c>
      <c r="AF844" s="94">
        <v>6454</v>
      </c>
      <c r="AG844" s="94">
        <v>24029</v>
      </c>
      <c r="AH844" s="94">
        <v>3191</v>
      </c>
      <c r="AI844" s="94">
        <v>342</v>
      </c>
      <c r="AJ844" s="94">
        <v>27280</v>
      </c>
      <c r="AK844" s="94">
        <v>148</v>
      </c>
      <c r="AL844" s="94">
        <v>134</v>
      </c>
      <c r="AM844" s="94">
        <v>2404</v>
      </c>
      <c r="AN844" s="94">
        <v>24783</v>
      </c>
      <c r="AO844" s="94">
        <v>375</v>
      </c>
      <c r="AP844" s="95">
        <v>1.05071501725904</v>
      </c>
      <c r="AQ844" s="95">
        <v>0.139646229551802</v>
      </c>
      <c r="AR844" s="95">
        <v>2.2604856512141298</v>
      </c>
      <c r="AS844" s="95">
        <v>1.8562874251496999</v>
      </c>
      <c r="AT844" s="95">
        <v>1.55169505818856</v>
      </c>
      <c r="AU844" s="95">
        <v>1.0644257703081199</v>
      </c>
      <c r="AV844" s="95">
        <v>0.33498165576646999</v>
      </c>
      <c r="AW844" s="95">
        <v>0.98502929051855104</v>
      </c>
      <c r="AX844" s="95">
        <v>1.56666666666667</v>
      </c>
      <c r="AY844" s="95">
        <v>0.94339622641509402</v>
      </c>
      <c r="AZ844" s="95">
        <v>1.0423053341508299</v>
      </c>
      <c r="BA844" s="95">
        <v>3.4965034965034998</v>
      </c>
      <c r="BB844" s="95">
        <v>0</v>
      </c>
      <c r="BC844" s="95">
        <v>0.51347881899871595</v>
      </c>
      <c r="BD844" s="95">
        <v>1.1027547743789099</v>
      </c>
      <c r="BE844" s="95">
        <v>1.1173184357541901</v>
      </c>
    </row>
    <row r="845" spans="2:57" ht="15" customHeight="1" x14ac:dyDescent="0.25">
      <c r="B845" s="96">
        <v>835</v>
      </c>
      <c r="C845" s="97" t="s">
        <v>504</v>
      </c>
      <c r="D845" s="104" t="s">
        <v>302</v>
      </c>
      <c r="E845" s="104" t="s">
        <v>390</v>
      </c>
      <c r="F845" s="104" t="s">
        <v>266</v>
      </c>
      <c r="G845" s="105" t="s">
        <v>266</v>
      </c>
      <c r="H845" s="106">
        <v>15511</v>
      </c>
      <c r="I845" s="106">
        <v>8808</v>
      </c>
      <c r="J845" s="106">
        <v>6703</v>
      </c>
      <c r="K845" s="106">
        <v>1043</v>
      </c>
      <c r="L845" s="106">
        <v>3455</v>
      </c>
      <c r="M845" s="106">
        <v>7783</v>
      </c>
      <c r="N845" s="106">
        <v>3230</v>
      </c>
      <c r="O845" s="106">
        <v>15489</v>
      </c>
      <c r="P845" s="106">
        <v>22</v>
      </c>
      <c r="Q845" s="107">
        <v>0.2186688533552</v>
      </c>
      <c r="R845" s="107">
        <v>3.5915240033520902E-2</v>
      </c>
      <c r="S845" s="107">
        <v>0.46170991880273798</v>
      </c>
      <c r="T845" s="107">
        <v>0.970873786407767</v>
      </c>
      <c r="U845" s="107">
        <v>0.21868166198063099</v>
      </c>
      <c r="V845" s="107">
        <v>0.18898488120950299</v>
      </c>
      <c r="W845" s="107">
        <v>6.4557779212395097E-2</v>
      </c>
      <c r="X845" s="107">
        <v>0.218968112768578</v>
      </c>
      <c r="Y845" s="107">
        <v>0</v>
      </c>
      <c r="Z845" s="106">
        <v>17975</v>
      </c>
      <c r="AA845" s="106">
        <v>9691</v>
      </c>
      <c r="AB845" s="106">
        <v>8284</v>
      </c>
      <c r="AC845" s="106">
        <v>1245</v>
      </c>
      <c r="AD845" s="106">
        <v>4253</v>
      </c>
      <c r="AE845" s="106">
        <v>8297</v>
      </c>
      <c r="AF845" s="106">
        <v>4180</v>
      </c>
      <c r="AG845" s="106">
        <v>14585</v>
      </c>
      <c r="AH845" s="106">
        <v>3182</v>
      </c>
      <c r="AI845" s="106">
        <v>208</v>
      </c>
      <c r="AJ845" s="106">
        <v>17749</v>
      </c>
      <c r="AK845" s="106">
        <v>146</v>
      </c>
      <c r="AL845" s="106">
        <v>80</v>
      </c>
      <c r="AM845" s="106">
        <v>1640</v>
      </c>
      <c r="AN845" s="106">
        <v>16098</v>
      </c>
      <c r="AO845" s="106">
        <v>237</v>
      </c>
      <c r="AP845" s="107">
        <v>1.7341040462427699</v>
      </c>
      <c r="AQ845" s="107">
        <v>0.28877005347593598</v>
      </c>
      <c r="AR845" s="107">
        <v>3.47177574900347</v>
      </c>
      <c r="AS845" s="107">
        <v>3.3219761499148199</v>
      </c>
      <c r="AT845" s="107">
        <v>2.6302478502782001</v>
      </c>
      <c r="AU845" s="107">
        <v>1.80259674776251</v>
      </c>
      <c r="AV845" s="107">
        <v>0.27053615346778198</v>
      </c>
      <c r="AW845" s="107">
        <v>1.39317773788151</v>
      </c>
      <c r="AX845" s="107">
        <v>3.3898305084745801</v>
      </c>
      <c r="AY845" s="107">
        <v>0.51813471502590702</v>
      </c>
      <c r="AZ845" s="107">
        <v>1.72587032330516</v>
      </c>
      <c r="BA845" s="107">
        <v>3.6764705882352899</v>
      </c>
      <c r="BB845" s="107">
        <v>0</v>
      </c>
      <c r="BC845" s="107">
        <v>0.94043887147335403</v>
      </c>
      <c r="BD845" s="107">
        <v>1.81628119691624</v>
      </c>
      <c r="BE845" s="107">
        <v>1.76991150442478</v>
      </c>
    </row>
    <row r="846" spans="2:57" ht="15" customHeight="1" x14ac:dyDescent="0.25">
      <c r="B846" s="91">
        <v>836</v>
      </c>
      <c r="C846" s="92" t="s">
        <v>504</v>
      </c>
      <c r="D846" s="92" t="s">
        <v>302</v>
      </c>
      <c r="E846" s="92" t="s">
        <v>390</v>
      </c>
      <c r="F846" s="92" t="s">
        <v>266</v>
      </c>
      <c r="G846" s="101" t="s">
        <v>501</v>
      </c>
      <c r="H846" s="94">
        <v>1756</v>
      </c>
      <c r="I846" s="94">
        <v>932</v>
      </c>
      <c r="J846" s="94">
        <v>824</v>
      </c>
      <c r="K846" s="94">
        <v>98</v>
      </c>
      <c r="L846" s="94">
        <v>434</v>
      </c>
      <c r="M846" s="94">
        <v>934</v>
      </c>
      <c r="N846" s="94">
        <v>290</v>
      </c>
      <c r="O846" s="94">
        <v>1746</v>
      </c>
      <c r="P846" s="94">
        <v>10</v>
      </c>
      <c r="Q846" s="95">
        <v>1.3571869216532999</v>
      </c>
      <c r="R846" s="95">
        <v>0.115207373271889</v>
      </c>
      <c r="S846" s="95">
        <v>2.78884462151394</v>
      </c>
      <c r="T846" s="95">
        <v>8.5365853658536608</v>
      </c>
      <c r="U846" s="95">
        <v>1.26582278481013</v>
      </c>
      <c r="V846" s="95">
        <v>0.91743119266055095</v>
      </c>
      <c r="W846" s="95">
        <v>0.73529411764705899</v>
      </c>
      <c r="X846" s="95">
        <v>1.36561142147734</v>
      </c>
      <c r="Y846" s="95">
        <v>0</v>
      </c>
      <c r="Z846" s="94">
        <v>3120</v>
      </c>
      <c r="AA846" s="94">
        <v>1528</v>
      </c>
      <c r="AB846" s="94">
        <v>1592</v>
      </c>
      <c r="AC846" s="94">
        <v>233</v>
      </c>
      <c r="AD846" s="94">
        <v>870</v>
      </c>
      <c r="AE846" s="94">
        <v>1564</v>
      </c>
      <c r="AF846" s="94">
        <v>453</v>
      </c>
      <c r="AG846" s="94">
        <v>1833</v>
      </c>
      <c r="AH846" s="94">
        <v>1260</v>
      </c>
      <c r="AI846" s="94">
        <v>27</v>
      </c>
      <c r="AJ846" s="94">
        <v>3049</v>
      </c>
      <c r="AK846" s="94">
        <v>60</v>
      </c>
      <c r="AL846" s="94">
        <v>11</v>
      </c>
      <c r="AM846" s="94">
        <v>276</v>
      </c>
      <c r="AN846" s="94">
        <v>2812</v>
      </c>
      <c r="AO846" s="94">
        <v>32</v>
      </c>
      <c r="AP846" s="95">
        <v>6.5048870913380501</v>
      </c>
      <c r="AQ846" s="95">
        <v>1.3717421124828499</v>
      </c>
      <c r="AR846" s="95">
        <v>11.4645460569914</v>
      </c>
      <c r="AS846" s="95">
        <v>11.764705882352899</v>
      </c>
      <c r="AT846" s="95">
        <v>7.59651307596513</v>
      </c>
      <c r="AU846" s="95">
        <v>6.5464261857047399</v>
      </c>
      <c r="AV846" s="95">
        <v>1.79372197309417</v>
      </c>
      <c r="AW846" s="95">
        <v>6.3211845102505704</v>
      </c>
      <c r="AX846" s="95">
        <v>6.8965517241379297</v>
      </c>
      <c r="AY846" s="95">
        <v>0</v>
      </c>
      <c r="AZ846" s="95">
        <v>6.5060240963855396</v>
      </c>
      <c r="BA846" s="95">
        <v>7.6923076923076898</v>
      </c>
      <c r="BB846" s="95">
        <v>0</v>
      </c>
      <c r="BC846" s="95">
        <v>4.85074626865672</v>
      </c>
      <c r="BD846" s="95">
        <v>6.7066316972648901</v>
      </c>
      <c r="BE846" s="95">
        <v>3.3333333333333299</v>
      </c>
    </row>
    <row r="847" spans="2:57" ht="15" customHeight="1" x14ac:dyDescent="0.25">
      <c r="B847" s="91">
        <v>837</v>
      </c>
      <c r="C847" s="92" t="s">
        <v>504</v>
      </c>
      <c r="D847" s="92" t="s">
        <v>302</v>
      </c>
      <c r="E847" s="92" t="s">
        <v>390</v>
      </c>
      <c r="F847" s="92" t="s">
        <v>266</v>
      </c>
      <c r="G847" s="101" t="s">
        <v>502</v>
      </c>
      <c r="H847" s="94">
        <v>13755</v>
      </c>
      <c r="I847" s="94">
        <v>7876</v>
      </c>
      <c r="J847" s="94">
        <v>5879</v>
      </c>
      <c r="K847" s="94">
        <v>945</v>
      </c>
      <c r="L847" s="94">
        <v>3021</v>
      </c>
      <c r="M847" s="94">
        <v>6849</v>
      </c>
      <c r="N847" s="94">
        <v>2940</v>
      </c>
      <c r="O847" s="94">
        <v>13743</v>
      </c>
      <c r="P847" s="94">
        <v>12</v>
      </c>
      <c r="Q847" s="95">
        <v>7.6846230692384498E-2</v>
      </c>
      <c r="R847" s="95">
        <v>2.6720106880427499E-2</v>
      </c>
      <c r="S847" s="95">
        <v>0.14471780028943601</v>
      </c>
      <c r="T847" s="95">
        <v>0.23668639053254401</v>
      </c>
      <c r="U847" s="95">
        <v>7.1275837491090496E-2</v>
      </c>
      <c r="V847" s="95">
        <v>9.1799265605875202E-2</v>
      </c>
      <c r="W847" s="95">
        <v>0</v>
      </c>
      <c r="X847" s="95">
        <v>7.6905329539337097E-2</v>
      </c>
      <c r="Y847" s="95">
        <v>0</v>
      </c>
      <c r="Z847" s="94">
        <v>14855</v>
      </c>
      <c r="AA847" s="94">
        <v>8163</v>
      </c>
      <c r="AB847" s="94">
        <v>6692</v>
      </c>
      <c r="AC847" s="94">
        <v>1012</v>
      </c>
      <c r="AD847" s="94">
        <v>3383</v>
      </c>
      <c r="AE847" s="94">
        <v>6733</v>
      </c>
      <c r="AF847" s="94">
        <v>3727</v>
      </c>
      <c r="AG847" s="94">
        <v>12752</v>
      </c>
      <c r="AH847" s="94">
        <v>1922</v>
      </c>
      <c r="AI847" s="94">
        <v>181</v>
      </c>
      <c r="AJ847" s="94">
        <v>14700</v>
      </c>
      <c r="AK847" s="94">
        <v>86</v>
      </c>
      <c r="AL847" s="94">
        <v>69</v>
      </c>
      <c r="AM847" s="94">
        <v>1364</v>
      </c>
      <c r="AN847" s="94">
        <v>13286</v>
      </c>
      <c r="AO847" s="94">
        <v>205</v>
      </c>
      <c r="AP847" s="95">
        <v>0.73446327683615797</v>
      </c>
      <c r="AQ847" s="95">
        <v>8.8697415103902694E-2</v>
      </c>
      <c r="AR847" s="95">
        <v>1.54754307594129</v>
      </c>
      <c r="AS847" s="95">
        <v>1.36411332633788</v>
      </c>
      <c r="AT847" s="95">
        <v>1.3646461440812401</v>
      </c>
      <c r="AU847" s="95">
        <v>0.699192044748291</v>
      </c>
      <c r="AV847" s="95">
        <v>8.2872928176795604E-2</v>
      </c>
      <c r="AW847" s="95">
        <v>0.68206097460760995</v>
      </c>
      <c r="AX847" s="95">
        <v>1.0989010989011001</v>
      </c>
      <c r="AY847" s="95">
        <v>0.58479532163742698</v>
      </c>
      <c r="AZ847" s="95">
        <v>0.73497930640787801</v>
      </c>
      <c r="BA847" s="95">
        <v>1.19047619047619</v>
      </c>
      <c r="BB847" s="95">
        <v>0</v>
      </c>
      <c r="BC847" s="95">
        <v>0.150715900527506</v>
      </c>
      <c r="BD847" s="95">
        <v>0.78341378491730596</v>
      </c>
      <c r="BE847" s="95">
        <v>1.53061224489796</v>
      </c>
    </row>
    <row r="848" spans="2:57" ht="15" customHeight="1" x14ac:dyDescent="0.25">
      <c r="B848" s="96">
        <v>838</v>
      </c>
      <c r="C848" s="97" t="s">
        <v>504</v>
      </c>
      <c r="D848" s="104" t="s">
        <v>302</v>
      </c>
      <c r="E848" s="104" t="s">
        <v>390</v>
      </c>
      <c r="F848" s="104" t="s">
        <v>219</v>
      </c>
      <c r="G848" s="105" t="s">
        <v>219</v>
      </c>
      <c r="H848" s="106">
        <v>4373</v>
      </c>
      <c r="I848" s="106">
        <v>2521</v>
      </c>
      <c r="J848" s="106">
        <v>1852</v>
      </c>
      <c r="K848" s="106">
        <v>203</v>
      </c>
      <c r="L848" s="106">
        <v>804</v>
      </c>
      <c r="M848" s="106">
        <v>2167</v>
      </c>
      <c r="N848" s="106">
        <v>1199</v>
      </c>
      <c r="O848" s="106">
        <v>4361</v>
      </c>
      <c r="P848" s="106">
        <v>12</v>
      </c>
      <c r="Q848" s="107">
        <v>0.19564685742235299</v>
      </c>
      <c r="R848" s="107">
        <v>0.168350168350168</v>
      </c>
      <c r="S848" s="107">
        <v>0.233508464681845</v>
      </c>
      <c r="T848" s="107">
        <v>0</v>
      </c>
      <c r="U848" s="107">
        <v>0.13793103448275901</v>
      </c>
      <c r="V848" s="107">
        <v>0.29339853300733498</v>
      </c>
      <c r="W848" s="107">
        <v>8.7873462214411197E-2</v>
      </c>
      <c r="X848" s="107">
        <v>0.19617459538989701</v>
      </c>
      <c r="Y848" s="107">
        <v>0</v>
      </c>
      <c r="Z848" s="106">
        <v>5041</v>
      </c>
      <c r="AA848" s="106">
        <v>2744</v>
      </c>
      <c r="AB848" s="106">
        <v>2297</v>
      </c>
      <c r="AC848" s="106">
        <v>218</v>
      </c>
      <c r="AD848" s="106">
        <v>1049</v>
      </c>
      <c r="AE848" s="106">
        <v>2378</v>
      </c>
      <c r="AF848" s="106">
        <v>1396</v>
      </c>
      <c r="AG848" s="106">
        <v>4265</v>
      </c>
      <c r="AH848" s="106">
        <v>684</v>
      </c>
      <c r="AI848" s="106">
        <v>92</v>
      </c>
      <c r="AJ848" s="106">
        <v>4982</v>
      </c>
      <c r="AK848" s="106">
        <v>36</v>
      </c>
      <c r="AL848" s="106">
        <v>23</v>
      </c>
      <c r="AM848" s="106">
        <v>491</v>
      </c>
      <c r="AN848" s="106">
        <v>4494</v>
      </c>
      <c r="AO848" s="106">
        <v>56</v>
      </c>
      <c r="AP848" s="107">
        <v>2.29071220324865</v>
      </c>
      <c r="AQ848" s="107">
        <v>0.45679482299200602</v>
      </c>
      <c r="AR848" s="107">
        <v>4.5057471264367797</v>
      </c>
      <c r="AS848" s="107">
        <v>4.7393364928909998</v>
      </c>
      <c r="AT848" s="107">
        <v>3.0674846625766898</v>
      </c>
      <c r="AU848" s="107">
        <v>2.4314765694076002</v>
      </c>
      <c r="AV848" s="107">
        <v>1.1102886750555101</v>
      </c>
      <c r="AW848" s="107">
        <v>2.2488389146907899</v>
      </c>
      <c r="AX848" s="107">
        <v>2.7070063694267499</v>
      </c>
      <c r="AY848" s="107">
        <v>1.2048192771084301</v>
      </c>
      <c r="AZ848" s="107">
        <v>2.2550052687039002</v>
      </c>
      <c r="BA848" s="107">
        <v>8.5714285714285694</v>
      </c>
      <c r="BB848" s="107">
        <v>0</v>
      </c>
      <c r="BC848" s="107">
        <v>1.8907563025210099</v>
      </c>
      <c r="BD848" s="107">
        <v>2.36312587739822</v>
      </c>
      <c r="BE848" s="107">
        <v>0</v>
      </c>
    </row>
    <row r="849" spans="2:57" ht="15" customHeight="1" x14ac:dyDescent="0.25">
      <c r="B849" s="91">
        <v>839</v>
      </c>
      <c r="C849" s="92" t="s">
        <v>504</v>
      </c>
      <c r="D849" s="92" t="s">
        <v>302</v>
      </c>
      <c r="E849" s="92" t="s">
        <v>390</v>
      </c>
      <c r="F849" s="92" t="s">
        <v>219</v>
      </c>
      <c r="G849" s="101" t="s">
        <v>501</v>
      </c>
      <c r="H849" s="94">
        <v>0</v>
      </c>
      <c r="I849" s="94">
        <v>0</v>
      </c>
      <c r="J849" s="94">
        <v>0</v>
      </c>
      <c r="K849" s="94">
        <v>0</v>
      </c>
      <c r="L849" s="94">
        <v>0</v>
      </c>
      <c r="M849" s="94">
        <v>0</v>
      </c>
      <c r="N849" s="94">
        <v>0</v>
      </c>
      <c r="O849" s="94">
        <v>0</v>
      </c>
      <c r="P849" s="94">
        <v>0</v>
      </c>
      <c r="Q849" s="95">
        <v>0</v>
      </c>
      <c r="R849" s="95">
        <v>0</v>
      </c>
      <c r="S849" s="95">
        <v>0</v>
      </c>
      <c r="T849" s="95">
        <v>0</v>
      </c>
      <c r="U849" s="95">
        <v>0</v>
      </c>
      <c r="V849" s="95">
        <v>0</v>
      </c>
      <c r="W849" s="95">
        <v>0</v>
      </c>
      <c r="X849" s="95">
        <v>0</v>
      </c>
      <c r="Y849" s="95">
        <v>0</v>
      </c>
      <c r="Z849" s="94">
        <v>0</v>
      </c>
      <c r="AA849" s="94">
        <v>0</v>
      </c>
      <c r="AB849" s="94">
        <v>0</v>
      </c>
      <c r="AC849" s="94">
        <v>0</v>
      </c>
      <c r="AD849" s="94">
        <v>0</v>
      </c>
      <c r="AE849" s="94">
        <v>0</v>
      </c>
      <c r="AF849" s="94">
        <v>0</v>
      </c>
      <c r="AG849" s="94">
        <v>0</v>
      </c>
      <c r="AH849" s="94">
        <v>0</v>
      </c>
      <c r="AI849" s="94">
        <v>0</v>
      </c>
      <c r="AJ849" s="94">
        <v>0</v>
      </c>
      <c r="AK849" s="94">
        <v>0</v>
      </c>
      <c r="AL849" s="94">
        <v>0</v>
      </c>
      <c r="AM849" s="94">
        <v>0</v>
      </c>
      <c r="AN849" s="94">
        <v>0</v>
      </c>
      <c r="AO849" s="94">
        <v>0</v>
      </c>
      <c r="AP849" s="95">
        <v>0</v>
      </c>
      <c r="AQ849" s="95">
        <v>0</v>
      </c>
      <c r="AR849" s="95">
        <v>0</v>
      </c>
      <c r="AS849" s="95">
        <v>0</v>
      </c>
      <c r="AT849" s="95">
        <v>0</v>
      </c>
      <c r="AU849" s="95">
        <v>0</v>
      </c>
      <c r="AV849" s="95">
        <v>0</v>
      </c>
      <c r="AW849" s="95">
        <v>0</v>
      </c>
      <c r="AX849" s="95">
        <v>0</v>
      </c>
      <c r="AY849" s="95">
        <v>0</v>
      </c>
      <c r="AZ849" s="95">
        <v>0</v>
      </c>
      <c r="BA849" s="95">
        <v>0</v>
      </c>
      <c r="BB849" s="95">
        <v>0</v>
      </c>
      <c r="BC849" s="95">
        <v>0</v>
      </c>
      <c r="BD849" s="95">
        <v>0</v>
      </c>
      <c r="BE849" s="95">
        <v>0</v>
      </c>
    </row>
    <row r="850" spans="2:57" ht="15" customHeight="1" x14ac:dyDescent="0.25">
      <c r="B850" s="91">
        <v>840</v>
      </c>
      <c r="C850" s="92" t="s">
        <v>504</v>
      </c>
      <c r="D850" s="92" t="s">
        <v>302</v>
      </c>
      <c r="E850" s="92" t="s">
        <v>390</v>
      </c>
      <c r="F850" s="92" t="s">
        <v>219</v>
      </c>
      <c r="G850" s="101" t="s">
        <v>502</v>
      </c>
      <c r="H850" s="94">
        <v>4373</v>
      </c>
      <c r="I850" s="94">
        <v>2521</v>
      </c>
      <c r="J850" s="94">
        <v>1852</v>
      </c>
      <c r="K850" s="94">
        <v>203</v>
      </c>
      <c r="L850" s="94">
        <v>804</v>
      </c>
      <c r="M850" s="94">
        <v>2167</v>
      </c>
      <c r="N850" s="94">
        <v>1199</v>
      </c>
      <c r="O850" s="94">
        <v>4361</v>
      </c>
      <c r="P850" s="94">
        <v>12</v>
      </c>
      <c r="Q850" s="95">
        <v>0.19564685742235299</v>
      </c>
      <c r="R850" s="95">
        <v>0.168350168350168</v>
      </c>
      <c r="S850" s="95">
        <v>0.233508464681845</v>
      </c>
      <c r="T850" s="95">
        <v>0</v>
      </c>
      <c r="U850" s="95">
        <v>0.13793103448275901</v>
      </c>
      <c r="V850" s="95">
        <v>0.29339853300733498</v>
      </c>
      <c r="W850" s="95">
        <v>8.7873462214411197E-2</v>
      </c>
      <c r="X850" s="95">
        <v>0.19617459538989701</v>
      </c>
      <c r="Y850" s="95">
        <v>0</v>
      </c>
      <c r="Z850" s="94">
        <v>5041</v>
      </c>
      <c r="AA850" s="94">
        <v>2744</v>
      </c>
      <c r="AB850" s="94">
        <v>2297</v>
      </c>
      <c r="AC850" s="94">
        <v>218</v>
      </c>
      <c r="AD850" s="94">
        <v>1049</v>
      </c>
      <c r="AE850" s="94">
        <v>2378</v>
      </c>
      <c r="AF850" s="94">
        <v>1396</v>
      </c>
      <c r="AG850" s="94">
        <v>4265</v>
      </c>
      <c r="AH850" s="94">
        <v>684</v>
      </c>
      <c r="AI850" s="94">
        <v>92</v>
      </c>
      <c r="AJ850" s="94">
        <v>4982</v>
      </c>
      <c r="AK850" s="94">
        <v>36</v>
      </c>
      <c r="AL850" s="94">
        <v>23</v>
      </c>
      <c r="AM850" s="94">
        <v>491</v>
      </c>
      <c r="AN850" s="94">
        <v>4494</v>
      </c>
      <c r="AO850" s="94">
        <v>56</v>
      </c>
      <c r="AP850" s="95">
        <v>2.29071220324865</v>
      </c>
      <c r="AQ850" s="95">
        <v>0.45679482299200602</v>
      </c>
      <c r="AR850" s="95">
        <v>4.5057471264367797</v>
      </c>
      <c r="AS850" s="95">
        <v>4.7393364928909998</v>
      </c>
      <c r="AT850" s="95">
        <v>3.0674846625766898</v>
      </c>
      <c r="AU850" s="95">
        <v>2.4314765694076002</v>
      </c>
      <c r="AV850" s="95">
        <v>1.1102886750555101</v>
      </c>
      <c r="AW850" s="95">
        <v>2.2488389146907899</v>
      </c>
      <c r="AX850" s="95">
        <v>2.7070063694267499</v>
      </c>
      <c r="AY850" s="95">
        <v>1.2048192771084301</v>
      </c>
      <c r="AZ850" s="95">
        <v>2.2550052687039002</v>
      </c>
      <c r="BA850" s="95">
        <v>8.5714285714285694</v>
      </c>
      <c r="BB850" s="95">
        <v>0</v>
      </c>
      <c r="BC850" s="95">
        <v>1.8907563025210099</v>
      </c>
      <c r="BD850" s="95">
        <v>2.36312587739822</v>
      </c>
      <c r="BE850" s="95">
        <v>0</v>
      </c>
    </row>
    <row r="851" spans="2:57" ht="15" customHeight="1" x14ac:dyDescent="0.25">
      <c r="B851" s="96">
        <v>841</v>
      </c>
      <c r="C851" s="97" t="s">
        <v>504</v>
      </c>
      <c r="D851" s="104" t="s">
        <v>302</v>
      </c>
      <c r="E851" s="104" t="s">
        <v>390</v>
      </c>
      <c r="F851" s="104" t="s">
        <v>15</v>
      </c>
      <c r="G851" s="105" t="s">
        <v>15</v>
      </c>
      <c r="H851" s="106">
        <v>5596</v>
      </c>
      <c r="I851" s="106">
        <v>3464</v>
      </c>
      <c r="J851" s="106">
        <v>2132</v>
      </c>
      <c r="K851" s="106">
        <v>418</v>
      </c>
      <c r="L851" s="106">
        <v>1409</v>
      </c>
      <c r="M851" s="106">
        <v>2753</v>
      </c>
      <c r="N851" s="106">
        <v>1016</v>
      </c>
      <c r="O851" s="106">
        <v>5576</v>
      </c>
      <c r="P851" s="106">
        <v>20</v>
      </c>
      <c r="Q851" s="107">
        <v>0.11318619128466299</v>
      </c>
      <c r="R851" s="107">
        <v>8.9552238805970102E-2</v>
      </c>
      <c r="S851" s="107">
        <v>0.153767298821117</v>
      </c>
      <c r="T851" s="107">
        <v>0</v>
      </c>
      <c r="U851" s="107">
        <v>0.30326004548900698</v>
      </c>
      <c r="V851" s="107">
        <v>3.7878787878787901E-2</v>
      </c>
      <c r="W851" s="107">
        <v>0.102040816326531</v>
      </c>
      <c r="X851" s="107">
        <v>0.11359333585763</v>
      </c>
      <c r="Y851" s="107">
        <v>0</v>
      </c>
      <c r="Z851" s="106">
        <v>7666</v>
      </c>
      <c r="AA851" s="106">
        <v>4628</v>
      </c>
      <c r="AB851" s="106">
        <v>3038</v>
      </c>
      <c r="AC851" s="106">
        <v>529</v>
      </c>
      <c r="AD851" s="106">
        <v>1888</v>
      </c>
      <c r="AE851" s="106">
        <v>3918</v>
      </c>
      <c r="AF851" s="106">
        <v>1331</v>
      </c>
      <c r="AG851" s="106">
        <v>7012</v>
      </c>
      <c r="AH851" s="106">
        <v>585</v>
      </c>
      <c r="AI851" s="106">
        <v>69</v>
      </c>
      <c r="AJ851" s="106">
        <v>7598</v>
      </c>
      <c r="AK851" s="106">
        <v>26</v>
      </c>
      <c r="AL851" s="106">
        <v>42</v>
      </c>
      <c r="AM851" s="106">
        <v>549</v>
      </c>
      <c r="AN851" s="106">
        <v>7003</v>
      </c>
      <c r="AO851" s="106">
        <v>114</v>
      </c>
      <c r="AP851" s="107">
        <v>0.85123631941629496</v>
      </c>
      <c r="AQ851" s="107">
        <v>4.4257579110422697E-2</v>
      </c>
      <c r="AR851" s="107">
        <v>2.11658570437196</v>
      </c>
      <c r="AS851" s="107">
        <v>1.5810276679841899</v>
      </c>
      <c r="AT851" s="107">
        <v>1.05555555555556</v>
      </c>
      <c r="AU851" s="107">
        <v>0.86910718988675295</v>
      </c>
      <c r="AV851" s="107">
        <v>0.231124807395994</v>
      </c>
      <c r="AW851" s="107">
        <v>0.76639646278555595</v>
      </c>
      <c r="AX851" s="107">
        <v>1.8115942028985501</v>
      </c>
      <c r="AY851" s="107">
        <v>1.5625</v>
      </c>
      <c r="AZ851" s="107">
        <v>0.84503202943982503</v>
      </c>
      <c r="BA851" s="107">
        <v>4.1666666666666696</v>
      </c>
      <c r="BB851" s="107">
        <v>0</v>
      </c>
      <c r="BC851" s="107">
        <v>0.18726591760299599</v>
      </c>
      <c r="BD851" s="107">
        <v>0.90276750036998699</v>
      </c>
      <c r="BE851" s="107">
        <v>0.90909090909090895</v>
      </c>
    </row>
    <row r="852" spans="2:57" ht="15" customHeight="1" x14ac:dyDescent="0.25">
      <c r="B852" s="91">
        <v>842</v>
      </c>
      <c r="C852" s="92" t="s">
        <v>504</v>
      </c>
      <c r="D852" s="92" t="s">
        <v>302</v>
      </c>
      <c r="E852" s="92" t="s">
        <v>390</v>
      </c>
      <c r="F852" s="92" t="s">
        <v>15</v>
      </c>
      <c r="G852" s="101" t="s">
        <v>501</v>
      </c>
      <c r="H852" s="94">
        <v>0</v>
      </c>
      <c r="I852" s="94">
        <v>0</v>
      </c>
      <c r="J852" s="94">
        <v>0</v>
      </c>
      <c r="K852" s="94">
        <v>0</v>
      </c>
      <c r="L852" s="94">
        <v>0</v>
      </c>
      <c r="M852" s="94">
        <v>0</v>
      </c>
      <c r="N852" s="94">
        <v>0</v>
      </c>
      <c r="O852" s="94">
        <v>0</v>
      </c>
      <c r="P852" s="94">
        <v>0</v>
      </c>
      <c r="Q852" s="95">
        <v>0</v>
      </c>
      <c r="R852" s="95">
        <v>0</v>
      </c>
      <c r="S852" s="95">
        <v>0</v>
      </c>
      <c r="T852" s="95">
        <v>0</v>
      </c>
      <c r="U852" s="95">
        <v>0</v>
      </c>
      <c r="V852" s="95">
        <v>0</v>
      </c>
      <c r="W852" s="95">
        <v>0</v>
      </c>
      <c r="X852" s="95">
        <v>0</v>
      </c>
      <c r="Y852" s="95">
        <v>0</v>
      </c>
      <c r="Z852" s="94">
        <v>0</v>
      </c>
      <c r="AA852" s="94">
        <v>0</v>
      </c>
      <c r="AB852" s="94">
        <v>0</v>
      </c>
      <c r="AC852" s="94">
        <v>0</v>
      </c>
      <c r="AD852" s="94">
        <v>0</v>
      </c>
      <c r="AE852" s="94">
        <v>0</v>
      </c>
      <c r="AF852" s="94">
        <v>0</v>
      </c>
      <c r="AG852" s="94">
        <v>0</v>
      </c>
      <c r="AH852" s="94">
        <v>0</v>
      </c>
      <c r="AI852" s="94">
        <v>0</v>
      </c>
      <c r="AJ852" s="94">
        <v>0</v>
      </c>
      <c r="AK852" s="94">
        <v>0</v>
      </c>
      <c r="AL852" s="94">
        <v>0</v>
      </c>
      <c r="AM852" s="94">
        <v>0</v>
      </c>
      <c r="AN852" s="94">
        <v>0</v>
      </c>
      <c r="AO852" s="94">
        <v>0</v>
      </c>
      <c r="AP852" s="95">
        <v>0</v>
      </c>
      <c r="AQ852" s="95">
        <v>0</v>
      </c>
      <c r="AR852" s="95">
        <v>0</v>
      </c>
      <c r="AS852" s="95">
        <v>0</v>
      </c>
      <c r="AT852" s="95">
        <v>0</v>
      </c>
      <c r="AU852" s="95">
        <v>0</v>
      </c>
      <c r="AV852" s="95">
        <v>0</v>
      </c>
      <c r="AW852" s="95">
        <v>0</v>
      </c>
      <c r="AX852" s="95">
        <v>0</v>
      </c>
      <c r="AY852" s="95">
        <v>0</v>
      </c>
      <c r="AZ852" s="95">
        <v>0</v>
      </c>
      <c r="BA852" s="95">
        <v>0</v>
      </c>
      <c r="BB852" s="95">
        <v>0</v>
      </c>
      <c r="BC852" s="95">
        <v>0</v>
      </c>
      <c r="BD852" s="95">
        <v>0</v>
      </c>
      <c r="BE852" s="95">
        <v>0</v>
      </c>
    </row>
    <row r="853" spans="2:57" ht="15" customHeight="1" x14ac:dyDescent="0.25">
      <c r="B853" s="91">
        <v>843</v>
      </c>
      <c r="C853" s="92" t="s">
        <v>504</v>
      </c>
      <c r="D853" s="92" t="s">
        <v>302</v>
      </c>
      <c r="E853" s="92" t="s">
        <v>390</v>
      </c>
      <c r="F853" s="92" t="s">
        <v>15</v>
      </c>
      <c r="G853" s="101" t="s">
        <v>502</v>
      </c>
      <c r="H853" s="94">
        <v>5596</v>
      </c>
      <c r="I853" s="94">
        <v>3464</v>
      </c>
      <c r="J853" s="94">
        <v>2132</v>
      </c>
      <c r="K853" s="94">
        <v>418</v>
      </c>
      <c r="L853" s="94">
        <v>1409</v>
      </c>
      <c r="M853" s="94">
        <v>2753</v>
      </c>
      <c r="N853" s="94">
        <v>1016</v>
      </c>
      <c r="O853" s="94">
        <v>5576</v>
      </c>
      <c r="P853" s="94">
        <v>20</v>
      </c>
      <c r="Q853" s="95">
        <v>0.11318619128466299</v>
      </c>
      <c r="R853" s="95">
        <v>8.9552238805970102E-2</v>
      </c>
      <c r="S853" s="95">
        <v>0.153767298821117</v>
      </c>
      <c r="T853" s="95">
        <v>0</v>
      </c>
      <c r="U853" s="95">
        <v>0.30326004548900698</v>
      </c>
      <c r="V853" s="95">
        <v>3.7878787878787901E-2</v>
      </c>
      <c r="W853" s="95">
        <v>0.102040816326531</v>
      </c>
      <c r="X853" s="95">
        <v>0.11359333585763</v>
      </c>
      <c r="Y853" s="95">
        <v>0</v>
      </c>
      <c r="Z853" s="94">
        <v>7666</v>
      </c>
      <c r="AA853" s="94">
        <v>4628</v>
      </c>
      <c r="AB853" s="94">
        <v>3038</v>
      </c>
      <c r="AC853" s="94">
        <v>529</v>
      </c>
      <c r="AD853" s="94">
        <v>1888</v>
      </c>
      <c r="AE853" s="94">
        <v>3918</v>
      </c>
      <c r="AF853" s="94">
        <v>1331</v>
      </c>
      <c r="AG853" s="94">
        <v>7012</v>
      </c>
      <c r="AH853" s="94">
        <v>585</v>
      </c>
      <c r="AI853" s="94">
        <v>69</v>
      </c>
      <c r="AJ853" s="94">
        <v>7598</v>
      </c>
      <c r="AK853" s="94">
        <v>26</v>
      </c>
      <c r="AL853" s="94">
        <v>42</v>
      </c>
      <c r="AM853" s="94">
        <v>549</v>
      </c>
      <c r="AN853" s="94">
        <v>7003</v>
      </c>
      <c r="AO853" s="94">
        <v>114</v>
      </c>
      <c r="AP853" s="95">
        <v>0.85123631941629496</v>
      </c>
      <c r="AQ853" s="95">
        <v>4.4257579110422697E-2</v>
      </c>
      <c r="AR853" s="95">
        <v>2.11658570437196</v>
      </c>
      <c r="AS853" s="95">
        <v>1.5810276679841899</v>
      </c>
      <c r="AT853" s="95">
        <v>1.05555555555556</v>
      </c>
      <c r="AU853" s="95">
        <v>0.86910718988675295</v>
      </c>
      <c r="AV853" s="95">
        <v>0.231124807395994</v>
      </c>
      <c r="AW853" s="95">
        <v>0.76639646278555595</v>
      </c>
      <c r="AX853" s="95">
        <v>1.8115942028985501</v>
      </c>
      <c r="AY853" s="95">
        <v>1.5625</v>
      </c>
      <c r="AZ853" s="95">
        <v>0.84503202943982503</v>
      </c>
      <c r="BA853" s="95">
        <v>4.1666666666666696</v>
      </c>
      <c r="BB853" s="95">
        <v>0</v>
      </c>
      <c r="BC853" s="95">
        <v>0.18726591760299599</v>
      </c>
      <c r="BD853" s="95">
        <v>0.90276750036998699</v>
      </c>
      <c r="BE853" s="95">
        <v>0.90909090909090895</v>
      </c>
    </row>
    <row r="854" spans="2:57" ht="15" customHeight="1" x14ac:dyDescent="0.25">
      <c r="B854" s="86">
        <v>844</v>
      </c>
      <c r="C854" s="87" t="s">
        <v>503</v>
      </c>
      <c r="D854" s="103" t="s">
        <v>302</v>
      </c>
      <c r="E854" s="103" t="s">
        <v>228</v>
      </c>
      <c r="F854" s="103"/>
      <c r="G854" s="88" t="s">
        <v>228</v>
      </c>
      <c r="H854" s="89">
        <v>45629</v>
      </c>
      <c r="I854" s="89">
        <v>27549</v>
      </c>
      <c r="J854" s="89">
        <v>18080</v>
      </c>
      <c r="K854" s="89">
        <v>3295</v>
      </c>
      <c r="L854" s="89">
        <v>10944</v>
      </c>
      <c r="M854" s="89">
        <v>22398</v>
      </c>
      <c r="N854" s="89">
        <v>8992</v>
      </c>
      <c r="O854" s="89">
        <v>45604</v>
      </c>
      <c r="P854" s="89">
        <v>25</v>
      </c>
      <c r="Q854" s="90">
        <v>0.14908337021593801</v>
      </c>
      <c r="R854" s="90">
        <v>8.7273279198603601E-2</v>
      </c>
      <c r="S854" s="90">
        <v>0.24736048265460001</v>
      </c>
      <c r="T854" s="90">
        <v>0.20675396278428701</v>
      </c>
      <c r="U854" s="90">
        <v>0.22577795229213701</v>
      </c>
      <c r="V854" s="90">
        <v>0.145396557384738</v>
      </c>
      <c r="W854" s="90">
        <v>4.6953867824862099E-2</v>
      </c>
      <c r="X854" s="90">
        <v>0.149149382428338</v>
      </c>
      <c r="Y854" s="90">
        <v>0</v>
      </c>
      <c r="Z854" s="89">
        <v>54491</v>
      </c>
      <c r="AA854" s="89">
        <v>32646</v>
      </c>
      <c r="AB854" s="89">
        <v>21845</v>
      </c>
      <c r="AC854" s="89">
        <v>3804</v>
      </c>
      <c r="AD854" s="89">
        <v>13554</v>
      </c>
      <c r="AE854" s="89">
        <v>25908</v>
      </c>
      <c r="AF854" s="89">
        <v>11225</v>
      </c>
      <c r="AG854" s="89">
        <v>48296</v>
      </c>
      <c r="AH854" s="89">
        <v>5283</v>
      </c>
      <c r="AI854" s="89">
        <v>912</v>
      </c>
      <c r="AJ854" s="89">
        <v>54113</v>
      </c>
      <c r="AK854" s="89">
        <v>70</v>
      </c>
      <c r="AL854" s="89">
        <v>308</v>
      </c>
      <c r="AM854" s="89">
        <v>3893</v>
      </c>
      <c r="AN854" s="89">
        <v>49393</v>
      </c>
      <c r="AO854" s="89">
        <v>1205</v>
      </c>
      <c r="AP854" s="90">
        <v>1.2348278898801499</v>
      </c>
      <c r="AQ854" s="90">
        <v>0.214470447233962</v>
      </c>
      <c r="AR854" s="90">
        <v>2.8107950116913498</v>
      </c>
      <c r="AS854" s="90">
        <v>1.77926049485683</v>
      </c>
      <c r="AT854" s="90">
        <v>1.8505504802061401</v>
      </c>
      <c r="AU854" s="90">
        <v>1.20535176182249</v>
      </c>
      <c r="AV854" s="90">
        <v>0.402157024038022</v>
      </c>
      <c r="AW854" s="90">
        <v>1.1346477414901399</v>
      </c>
      <c r="AX854" s="90">
        <v>2.2954091816367299</v>
      </c>
      <c r="AY854" s="90">
        <v>0.46189376443418001</v>
      </c>
      <c r="AZ854" s="90">
        <v>1.241637264542</v>
      </c>
      <c r="BA854" s="90">
        <v>0</v>
      </c>
      <c r="BB854" s="90">
        <v>0.33557046979865801</v>
      </c>
      <c r="BC854" s="90">
        <v>0.63593004769475403</v>
      </c>
      <c r="BD854" s="90">
        <v>1.3040537684406299</v>
      </c>
      <c r="BE854" s="90">
        <v>0.34904013961605601</v>
      </c>
    </row>
    <row r="855" spans="2:57" ht="15" customHeight="1" x14ac:dyDescent="0.25">
      <c r="B855" s="91">
        <v>845</v>
      </c>
      <c r="C855" s="92" t="s">
        <v>503</v>
      </c>
      <c r="D855" s="92" t="s">
        <v>302</v>
      </c>
      <c r="E855" s="92" t="s">
        <v>228</v>
      </c>
      <c r="F855" s="92"/>
      <c r="G855" s="93" t="s">
        <v>501</v>
      </c>
      <c r="H855" s="94">
        <v>1698</v>
      </c>
      <c r="I855" s="94">
        <v>1154</v>
      </c>
      <c r="J855" s="94">
        <v>544</v>
      </c>
      <c r="K855" s="94">
        <v>128</v>
      </c>
      <c r="L855" s="94">
        <v>547</v>
      </c>
      <c r="M855" s="94">
        <v>888</v>
      </c>
      <c r="N855" s="94">
        <v>135</v>
      </c>
      <c r="O855" s="94">
        <v>1696</v>
      </c>
      <c r="P855" s="94">
        <v>2</v>
      </c>
      <c r="Q855" s="95">
        <v>0.66622251832111901</v>
      </c>
      <c r="R855" s="95">
        <v>0.36663611365719501</v>
      </c>
      <c r="S855" s="95">
        <v>1.4634146341463401</v>
      </c>
      <c r="T855" s="95">
        <v>0</v>
      </c>
      <c r="U855" s="95">
        <v>1.0373443983402499</v>
      </c>
      <c r="V855" s="95">
        <v>0.61881188118811903</v>
      </c>
      <c r="W855" s="95">
        <v>0</v>
      </c>
      <c r="X855" s="95">
        <v>0.66711140760507004</v>
      </c>
      <c r="Y855" s="95">
        <v>0</v>
      </c>
      <c r="Z855" s="94">
        <v>3939</v>
      </c>
      <c r="AA855" s="94">
        <v>2605</v>
      </c>
      <c r="AB855" s="94">
        <v>1334</v>
      </c>
      <c r="AC855" s="94">
        <v>235</v>
      </c>
      <c r="AD855" s="94">
        <v>1411</v>
      </c>
      <c r="AE855" s="94">
        <v>1931</v>
      </c>
      <c r="AF855" s="94">
        <v>362</v>
      </c>
      <c r="AG855" s="94">
        <v>2767</v>
      </c>
      <c r="AH855" s="94">
        <v>1119</v>
      </c>
      <c r="AI855" s="94">
        <v>53</v>
      </c>
      <c r="AJ855" s="94">
        <v>3904</v>
      </c>
      <c r="AK855" s="94">
        <v>12</v>
      </c>
      <c r="AL855" s="94">
        <v>23</v>
      </c>
      <c r="AM855" s="94">
        <v>208</v>
      </c>
      <c r="AN855" s="94">
        <v>3684</v>
      </c>
      <c r="AO855" s="94">
        <v>47</v>
      </c>
      <c r="AP855" s="95">
        <v>3.6166842661034799</v>
      </c>
      <c r="AQ855" s="95">
        <v>0.43409629044988202</v>
      </c>
      <c r="AR855" s="95">
        <v>10.047846889952201</v>
      </c>
      <c r="AS855" s="95">
        <v>5.4794520547945202</v>
      </c>
      <c r="AT855" s="95">
        <v>3.5268185157972098</v>
      </c>
      <c r="AU855" s="95">
        <v>3.59634997316157</v>
      </c>
      <c r="AV855" s="95">
        <v>2.8985507246376798</v>
      </c>
      <c r="AW855" s="95">
        <v>3.30578512396694</v>
      </c>
      <c r="AX855" s="95">
        <v>4.3558850787766499</v>
      </c>
      <c r="AY855" s="95">
        <v>4.2553191489361701</v>
      </c>
      <c r="AZ855" s="95">
        <v>3.65041300293099</v>
      </c>
      <c r="BA855" s="95">
        <v>0</v>
      </c>
      <c r="BB855" s="95">
        <v>0</v>
      </c>
      <c r="BC855" s="95">
        <v>1.51515151515152</v>
      </c>
      <c r="BD855" s="95">
        <v>3.7538808918995201</v>
      </c>
      <c r="BE855" s="95">
        <v>2.12765957446809</v>
      </c>
    </row>
    <row r="856" spans="2:57" ht="15" customHeight="1" x14ac:dyDescent="0.25">
      <c r="B856" s="91">
        <v>846</v>
      </c>
      <c r="C856" s="92" t="s">
        <v>503</v>
      </c>
      <c r="D856" s="92" t="s">
        <v>302</v>
      </c>
      <c r="E856" s="92" t="s">
        <v>228</v>
      </c>
      <c r="F856" s="92"/>
      <c r="G856" s="93" t="s">
        <v>502</v>
      </c>
      <c r="H856" s="94">
        <v>43931</v>
      </c>
      <c r="I856" s="94">
        <v>26395</v>
      </c>
      <c r="J856" s="94">
        <v>17536</v>
      </c>
      <c r="K856" s="94">
        <v>3167</v>
      </c>
      <c r="L856" s="94">
        <v>10397</v>
      </c>
      <c r="M856" s="94">
        <v>21510</v>
      </c>
      <c r="N856" s="94">
        <v>8857</v>
      </c>
      <c r="O856" s="94">
        <v>43908</v>
      </c>
      <c r="P856" s="94">
        <v>23</v>
      </c>
      <c r="Q856" s="95">
        <v>0.130346625470696</v>
      </c>
      <c r="R856" s="95">
        <v>7.5208803388354506E-2</v>
      </c>
      <c r="S856" s="95">
        <v>0.216517166718218</v>
      </c>
      <c r="T856" s="95">
        <v>0.21390374331550799</v>
      </c>
      <c r="U856" s="95">
        <v>0.18547140649149901</v>
      </c>
      <c r="V856" s="95">
        <v>0.12674889094720401</v>
      </c>
      <c r="W856" s="95">
        <v>4.7590719809637097E-2</v>
      </c>
      <c r="X856" s="95">
        <v>0.13040013522977001</v>
      </c>
      <c r="Y856" s="95">
        <v>0</v>
      </c>
      <c r="Z856" s="94">
        <v>50552</v>
      </c>
      <c r="AA856" s="94">
        <v>30041</v>
      </c>
      <c r="AB856" s="94">
        <v>20511</v>
      </c>
      <c r="AC856" s="94">
        <v>3569</v>
      </c>
      <c r="AD856" s="94">
        <v>12143</v>
      </c>
      <c r="AE856" s="94">
        <v>23977</v>
      </c>
      <c r="AF856" s="94">
        <v>10863</v>
      </c>
      <c r="AG856" s="94">
        <v>45529</v>
      </c>
      <c r="AH856" s="94">
        <v>4164</v>
      </c>
      <c r="AI856" s="94">
        <v>859</v>
      </c>
      <c r="AJ856" s="94">
        <v>50209</v>
      </c>
      <c r="AK856" s="94">
        <v>58</v>
      </c>
      <c r="AL856" s="94">
        <v>285</v>
      </c>
      <c r="AM856" s="94">
        <v>3685</v>
      </c>
      <c r="AN856" s="94">
        <v>45709</v>
      </c>
      <c r="AO856" s="94">
        <v>1158</v>
      </c>
      <c r="AP856" s="95">
        <v>1.04859018288404</v>
      </c>
      <c r="AQ856" s="95">
        <v>0.19539284245166599</v>
      </c>
      <c r="AR856" s="95">
        <v>2.33993981529522</v>
      </c>
      <c r="AS856" s="95">
        <v>1.53937240970989</v>
      </c>
      <c r="AT856" s="95">
        <v>1.65123187139612</v>
      </c>
      <c r="AU856" s="95">
        <v>1.01189959176583</v>
      </c>
      <c r="AV856" s="95">
        <v>0.32087580218950501</v>
      </c>
      <c r="AW856" s="95">
        <v>1.0023800805565699</v>
      </c>
      <c r="AX856" s="95">
        <v>1.72983973543628</v>
      </c>
      <c r="AY856" s="95">
        <v>0.244200244200244</v>
      </c>
      <c r="AZ856" s="95">
        <v>1.0537473500436501</v>
      </c>
      <c r="BA856" s="95">
        <v>0</v>
      </c>
      <c r="BB856" s="95">
        <v>0.36363636363636398</v>
      </c>
      <c r="BC856" s="95">
        <v>0.58724832214765099</v>
      </c>
      <c r="BD856" s="95">
        <v>1.1057549519087999</v>
      </c>
      <c r="BE856" s="95">
        <v>0.27297543221110099</v>
      </c>
    </row>
    <row r="857" spans="2:57" ht="15" customHeight="1" x14ac:dyDescent="0.25">
      <c r="B857" s="96">
        <v>847</v>
      </c>
      <c r="C857" s="97" t="s">
        <v>504</v>
      </c>
      <c r="D857" s="104" t="s">
        <v>302</v>
      </c>
      <c r="E857" s="104" t="s">
        <v>228</v>
      </c>
      <c r="F857" s="104" t="s">
        <v>119</v>
      </c>
      <c r="G857" s="105" t="s">
        <v>119</v>
      </c>
      <c r="H857" s="106">
        <v>6919</v>
      </c>
      <c r="I857" s="106">
        <v>4348</v>
      </c>
      <c r="J857" s="106">
        <v>2571</v>
      </c>
      <c r="K857" s="106">
        <v>604</v>
      </c>
      <c r="L857" s="106">
        <v>1901</v>
      </c>
      <c r="M857" s="106">
        <v>3278</v>
      </c>
      <c r="N857" s="106">
        <v>1136</v>
      </c>
      <c r="O857" s="106">
        <v>6914</v>
      </c>
      <c r="P857" s="106">
        <v>5</v>
      </c>
      <c r="Q857" s="107">
        <v>0.309453814018258</v>
      </c>
      <c r="R857" s="107">
        <v>0.16871535309713201</v>
      </c>
      <c r="S857" s="107">
        <v>0.56179775280898903</v>
      </c>
      <c r="T857" s="107">
        <v>0.56285178236397704</v>
      </c>
      <c r="U857" s="107">
        <v>0.51049347702779402</v>
      </c>
      <c r="V857" s="107">
        <v>0.25831449790119498</v>
      </c>
      <c r="W857" s="107">
        <v>0</v>
      </c>
      <c r="X857" s="107">
        <v>0.30964545595293402</v>
      </c>
      <c r="Y857" s="107">
        <v>0</v>
      </c>
      <c r="Z857" s="106">
        <v>8199</v>
      </c>
      <c r="AA857" s="106">
        <v>5410</v>
      </c>
      <c r="AB857" s="106">
        <v>2789</v>
      </c>
      <c r="AC857" s="106">
        <v>619</v>
      </c>
      <c r="AD857" s="106">
        <v>2362</v>
      </c>
      <c r="AE857" s="106">
        <v>3877</v>
      </c>
      <c r="AF857" s="106">
        <v>1341</v>
      </c>
      <c r="AG857" s="106">
        <v>6883</v>
      </c>
      <c r="AH857" s="106">
        <v>1098</v>
      </c>
      <c r="AI857" s="106">
        <v>218</v>
      </c>
      <c r="AJ857" s="106">
        <v>8135</v>
      </c>
      <c r="AK857" s="106">
        <v>12</v>
      </c>
      <c r="AL857" s="106">
        <v>52</v>
      </c>
      <c r="AM857" s="106">
        <v>489</v>
      </c>
      <c r="AN857" s="106">
        <v>7526</v>
      </c>
      <c r="AO857" s="106">
        <v>184</v>
      </c>
      <c r="AP857" s="107">
        <v>1.7065715741212399</v>
      </c>
      <c r="AQ857" s="107">
        <v>0.19087612139721299</v>
      </c>
      <c r="AR857" s="107">
        <v>4.74550325296594</v>
      </c>
      <c r="AS857" s="107">
        <v>1.90311418685121</v>
      </c>
      <c r="AT857" s="107">
        <v>2.08981769675411</v>
      </c>
      <c r="AU857" s="107">
        <v>1.8761726078799299</v>
      </c>
      <c r="AV857" s="107">
        <v>0.46367851622874801</v>
      </c>
      <c r="AW857" s="107">
        <v>1.37795275590551</v>
      </c>
      <c r="AX857" s="107">
        <v>3.9347408829174699</v>
      </c>
      <c r="AY857" s="107">
        <v>0.970873786407767</v>
      </c>
      <c r="AZ857" s="107">
        <v>1.7205957883923999</v>
      </c>
      <c r="BA857" s="107">
        <v>0</v>
      </c>
      <c r="BB857" s="107">
        <v>0</v>
      </c>
      <c r="BC857" s="107">
        <v>0.84925690021231404</v>
      </c>
      <c r="BD857" s="107">
        <v>1.7765440666204</v>
      </c>
      <c r="BE857" s="107">
        <v>1.13636363636364</v>
      </c>
    </row>
    <row r="858" spans="2:57" ht="15" customHeight="1" x14ac:dyDescent="0.25">
      <c r="B858" s="91">
        <v>848</v>
      </c>
      <c r="C858" s="92" t="s">
        <v>504</v>
      </c>
      <c r="D858" s="92" t="s">
        <v>302</v>
      </c>
      <c r="E858" s="92" t="s">
        <v>228</v>
      </c>
      <c r="F858" s="92" t="s">
        <v>119</v>
      </c>
      <c r="G858" s="101" t="s">
        <v>501</v>
      </c>
      <c r="H858" s="94">
        <v>1698</v>
      </c>
      <c r="I858" s="94">
        <v>1154</v>
      </c>
      <c r="J858" s="94">
        <v>544</v>
      </c>
      <c r="K858" s="94">
        <v>128</v>
      </c>
      <c r="L858" s="94">
        <v>547</v>
      </c>
      <c r="M858" s="94">
        <v>888</v>
      </c>
      <c r="N858" s="94">
        <v>135</v>
      </c>
      <c r="O858" s="94">
        <v>1696</v>
      </c>
      <c r="P858" s="94">
        <v>2</v>
      </c>
      <c r="Q858" s="95">
        <v>0.66622251832111901</v>
      </c>
      <c r="R858" s="95">
        <v>0.36663611365719501</v>
      </c>
      <c r="S858" s="95">
        <v>1.4634146341463401</v>
      </c>
      <c r="T858" s="95">
        <v>0</v>
      </c>
      <c r="U858" s="95">
        <v>1.0373443983402499</v>
      </c>
      <c r="V858" s="95">
        <v>0.61881188118811903</v>
      </c>
      <c r="W858" s="95">
        <v>0</v>
      </c>
      <c r="X858" s="95">
        <v>0.66711140760507004</v>
      </c>
      <c r="Y858" s="95">
        <v>0</v>
      </c>
      <c r="Z858" s="94">
        <v>2792</v>
      </c>
      <c r="AA858" s="94">
        <v>2118</v>
      </c>
      <c r="AB858" s="94">
        <v>674</v>
      </c>
      <c r="AC858" s="94">
        <v>160</v>
      </c>
      <c r="AD858" s="94">
        <v>1100</v>
      </c>
      <c r="AE858" s="94">
        <v>1373</v>
      </c>
      <c r="AF858" s="94">
        <v>159</v>
      </c>
      <c r="AG858" s="94">
        <v>1949</v>
      </c>
      <c r="AH858" s="94">
        <v>805</v>
      </c>
      <c r="AI858" s="94">
        <v>38</v>
      </c>
      <c r="AJ858" s="94">
        <v>2762</v>
      </c>
      <c r="AK858" s="94">
        <v>11</v>
      </c>
      <c r="AL858" s="94">
        <v>19</v>
      </c>
      <c r="AM858" s="94">
        <v>118</v>
      </c>
      <c r="AN858" s="94">
        <v>2641</v>
      </c>
      <c r="AO858" s="94">
        <v>33</v>
      </c>
      <c r="AP858" s="95">
        <v>3.4789045151739502</v>
      </c>
      <c r="AQ858" s="95">
        <v>0.29041626331074499</v>
      </c>
      <c r="AR858" s="95">
        <v>13.8364779874214</v>
      </c>
      <c r="AS858" s="95">
        <v>5.4421768707483</v>
      </c>
      <c r="AT858" s="95">
        <v>2.7027027027027</v>
      </c>
      <c r="AU858" s="95">
        <v>3.90097524381095</v>
      </c>
      <c r="AV858" s="95">
        <v>3.3557046979865799</v>
      </c>
      <c r="AW858" s="95">
        <v>2.9692470837751901</v>
      </c>
      <c r="AX858" s="95">
        <v>4.7375160051216403</v>
      </c>
      <c r="AY858" s="95">
        <v>2.8571428571428599</v>
      </c>
      <c r="AZ858" s="95">
        <v>3.5179640718562899</v>
      </c>
      <c r="BA858" s="95">
        <v>0</v>
      </c>
      <c r="BB858" s="95">
        <v>0</v>
      </c>
      <c r="BC858" s="95">
        <v>2.65486725663717</v>
      </c>
      <c r="BD858" s="95">
        <v>3.52112676056338</v>
      </c>
      <c r="BE858" s="95">
        <v>3.0303030303030298</v>
      </c>
    </row>
    <row r="859" spans="2:57" ht="15" customHeight="1" x14ac:dyDescent="0.25">
      <c r="B859" s="91">
        <v>849</v>
      </c>
      <c r="C859" s="92" t="s">
        <v>504</v>
      </c>
      <c r="D859" s="92" t="s">
        <v>302</v>
      </c>
      <c r="E859" s="92" t="s">
        <v>228</v>
      </c>
      <c r="F859" s="92" t="s">
        <v>119</v>
      </c>
      <c r="G859" s="101" t="s">
        <v>502</v>
      </c>
      <c r="H859" s="94">
        <v>5221</v>
      </c>
      <c r="I859" s="94">
        <v>3194</v>
      </c>
      <c r="J859" s="94">
        <v>2027</v>
      </c>
      <c r="K859" s="94">
        <v>476</v>
      </c>
      <c r="L859" s="94">
        <v>1354</v>
      </c>
      <c r="M859" s="94">
        <v>2390</v>
      </c>
      <c r="N859" s="94">
        <v>1001</v>
      </c>
      <c r="O859" s="94">
        <v>5218</v>
      </c>
      <c r="P859" s="94">
        <v>3</v>
      </c>
      <c r="Q859" s="95">
        <v>0.20153164046755301</v>
      </c>
      <c r="R859" s="95">
        <v>9.8103335513407497E-2</v>
      </c>
      <c r="S859" s="95">
        <v>0.36764705882352899</v>
      </c>
      <c r="T859" s="95">
        <v>0.68807339449541305</v>
      </c>
      <c r="U859" s="95">
        <v>0.31225604996096801</v>
      </c>
      <c r="V859" s="95">
        <v>0.13106159895150701</v>
      </c>
      <c r="W859" s="95">
        <v>0</v>
      </c>
      <c r="X859" s="95">
        <v>0.20161290322580599</v>
      </c>
      <c r="Y859" s="95">
        <v>0</v>
      </c>
      <c r="Z859" s="94">
        <v>5407</v>
      </c>
      <c r="AA859" s="94">
        <v>3292</v>
      </c>
      <c r="AB859" s="94">
        <v>2115</v>
      </c>
      <c r="AC859" s="94">
        <v>459</v>
      </c>
      <c r="AD859" s="94">
        <v>1262</v>
      </c>
      <c r="AE859" s="94">
        <v>2504</v>
      </c>
      <c r="AF859" s="94">
        <v>1182</v>
      </c>
      <c r="AG859" s="94">
        <v>4934</v>
      </c>
      <c r="AH859" s="94">
        <v>293</v>
      </c>
      <c r="AI859" s="94">
        <v>180</v>
      </c>
      <c r="AJ859" s="94">
        <v>5373</v>
      </c>
      <c r="AK859" s="94">
        <v>1</v>
      </c>
      <c r="AL859" s="94">
        <v>33</v>
      </c>
      <c r="AM859" s="94">
        <v>371</v>
      </c>
      <c r="AN859" s="94">
        <v>4885</v>
      </c>
      <c r="AO859" s="94">
        <v>151</v>
      </c>
      <c r="AP859" s="95">
        <v>0.77669902912621402</v>
      </c>
      <c r="AQ859" s="95">
        <v>0.126063662149385</v>
      </c>
      <c r="AR859" s="95">
        <v>1.82094081942337</v>
      </c>
      <c r="AS859" s="95">
        <v>0.69605568445475596</v>
      </c>
      <c r="AT859" s="95">
        <v>1.53061224489796</v>
      </c>
      <c r="AU859" s="95">
        <v>0.75062552126772297</v>
      </c>
      <c r="AV859" s="95">
        <v>8.7336244541484698E-2</v>
      </c>
      <c r="AW859" s="95">
        <v>0.74183976261127604</v>
      </c>
      <c r="AX859" s="95">
        <v>1.5325670498084301</v>
      </c>
      <c r="AY859" s="95">
        <v>0.58479532163742698</v>
      </c>
      <c r="AZ859" s="95">
        <v>0.78186082877247798</v>
      </c>
      <c r="BA859" s="95">
        <v>0</v>
      </c>
      <c r="BB859" s="95">
        <v>0</v>
      </c>
      <c r="BC859" s="95">
        <v>0.27932960893854702</v>
      </c>
      <c r="BD859" s="95">
        <v>0.81738008173800802</v>
      </c>
      <c r="BE859" s="95">
        <v>0.69930069930069905</v>
      </c>
    </row>
    <row r="860" spans="2:57" ht="15" customHeight="1" x14ac:dyDescent="0.25">
      <c r="B860" s="96">
        <v>850</v>
      </c>
      <c r="C860" s="97" t="s">
        <v>504</v>
      </c>
      <c r="D860" s="104" t="s">
        <v>302</v>
      </c>
      <c r="E860" s="104" t="s">
        <v>228</v>
      </c>
      <c r="F860" s="104" t="s">
        <v>46</v>
      </c>
      <c r="G860" s="105" t="s">
        <v>46</v>
      </c>
      <c r="H860" s="106">
        <v>9708</v>
      </c>
      <c r="I860" s="106">
        <v>5718</v>
      </c>
      <c r="J860" s="106">
        <v>3990</v>
      </c>
      <c r="K860" s="106">
        <v>631</v>
      </c>
      <c r="L860" s="106">
        <v>1933</v>
      </c>
      <c r="M860" s="106">
        <v>5055</v>
      </c>
      <c r="N860" s="106">
        <v>2089</v>
      </c>
      <c r="O860" s="106">
        <v>9706</v>
      </c>
      <c r="P860" s="106">
        <v>2</v>
      </c>
      <c r="Q860" s="107">
        <v>0.176153253330397</v>
      </c>
      <c r="R860" s="107">
        <v>7.33810310034856E-2</v>
      </c>
      <c r="S860" s="107">
        <v>0.33039647577092501</v>
      </c>
      <c r="T860" s="107">
        <v>0.37174721189591098</v>
      </c>
      <c r="U860" s="107">
        <v>0.22396416573348299</v>
      </c>
      <c r="V860" s="107">
        <v>0.167224080267559</v>
      </c>
      <c r="W860" s="107">
        <v>0.10126582278481</v>
      </c>
      <c r="X860" s="107">
        <v>0.176192049333774</v>
      </c>
      <c r="Y860" s="107">
        <v>0</v>
      </c>
      <c r="Z860" s="106">
        <v>9936</v>
      </c>
      <c r="AA860" s="106">
        <v>5638</v>
      </c>
      <c r="AB860" s="106">
        <v>4298</v>
      </c>
      <c r="AC860" s="106">
        <v>622</v>
      </c>
      <c r="AD860" s="106">
        <v>1844</v>
      </c>
      <c r="AE860" s="106">
        <v>4729</v>
      </c>
      <c r="AF860" s="106">
        <v>2741</v>
      </c>
      <c r="AG860" s="106">
        <v>8789</v>
      </c>
      <c r="AH860" s="106">
        <v>955</v>
      </c>
      <c r="AI860" s="106">
        <v>192</v>
      </c>
      <c r="AJ860" s="106">
        <v>9872</v>
      </c>
      <c r="AK860" s="106">
        <v>6</v>
      </c>
      <c r="AL860" s="106">
        <v>58</v>
      </c>
      <c r="AM860" s="106">
        <v>1021</v>
      </c>
      <c r="AN860" s="106">
        <v>8628</v>
      </c>
      <c r="AO860" s="106">
        <v>287</v>
      </c>
      <c r="AP860" s="107">
        <v>1.03006971178858</v>
      </c>
      <c r="AQ860" s="107">
        <v>0.18155410312273099</v>
      </c>
      <c r="AR860" s="107">
        <v>2.16914452839386</v>
      </c>
      <c r="AS860" s="107">
        <v>1.5358361774744</v>
      </c>
      <c r="AT860" s="107">
        <v>1.9897669130187601</v>
      </c>
      <c r="AU860" s="107">
        <v>0.96090849530465205</v>
      </c>
      <c r="AV860" s="107">
        <v>0.40937848902121299</v>
      </c>
      <c r="AW860" s="107">
        <v>1.0675739089629299</v>
      </c>
      <c r="AX860" s="107">
        <v>0.88593576965669996</v>
      </c>
      <c r="AY860" s="107">
        <v>0</v>
      </c>
      <c r="AZ860" s="107">
        <v>1.0364321608040199</v>
      </c>
      <c r="BA860" s="107">
        <v>0</v>
      </c>
      <c r="BB860" s="107">
        <v>0</v>
      </c>
      <c r="BC860" s="107">
        <v>0.40160642570281102</v>
      </c>
      <c r="BD860" s="107">
        <v>1.11497422371418</v>
      </c>
      <c r="BE860" s="107">
        <v>0.72992700729926996</v>
      </c>
    </row>
    <row r="861" spans="2:57" ht="15" customHeight="1" x14ac:dyDescent="0.25">
      <c r="B861" s="91">
        <v>851</v>
      </c>
      <c r="C861" s="92" t="s">
        <v>504</v>
      </c>
      <c r="D861" s="92" t="s">
        <v>302</v>
      </c>
      <c r="E861" s="92" t="s">
        <v>228</v>
      </c>
      <c r="F861" s="92" t="s">
        <v>46</v>
      </c>
      <c r="G861" s="101" t="s">
        <v>501</v>
      </c>
      <c r="H861" s="94">
        <v>0</v>
      </c>
      <c r="I861" s="94">
        <v>0</v>
      </c>
      <c r="J861" s="94">
        <v>0</v>
      </c>
      <c r="K861" s="94">
        <v>0</v>
      </c>
      <c r="L861" s="94">
        <v>0</v>
      </c>
      <c r="M861" s="94">
        <v>0</v>
      </c>
      <c r="N861" s="94">
        <v>0</v>
      </c>
      <c r="O861" s="94">
        <v>0</v>
      </c>
      <c r="P861" s="94">
        <v>0</v>
      </c>
      <c r="Q861" s="95">
        <v>0</v>
      </c>
      <c r="R861" s="95">
        <v>0</v>
      </c>
      <c r="S861" s="95">
        <v>0</v>
      </c>
      <c r="T861" s="95">
        <v>0</v>
      </c>
      <c r="U861" s="95">
        <v>0</v>
      </c>
      <c r="V861" s="95">
        <v>0</v>
      </c>
      <c r="W861" s="95">
        <v>0</v>
      </c>
      <c r="X861" s="95">
        <v>0</v>
      </c>
      <c r="Y861" s="95">
        <v>0</v>
      </c>
      <c r="Z861" s="94">
        <v>0</v>
      </c>
      <c r="AA861" s="94">
        <v>0</v>
      </c>
      <c r="AB861" s="94">
        <v>0</v>
      </c>
      <c r="AC861" s="94">
        <v>0</v>
      </c>
      <c r="AD861" s="94">
        <v>0</v>
      </c>
      <c r="AE861" s="94">
        <v>0</v>
      </c>
      <c r="AF861" s="94">
        <v>0</v>
      </c>
      <c r="AG861" s="94">
        <v>0</v>
      </c>
      <c r="AH861" s="94">
        <v>0</v>
      </c>
      <c r="AI861" s="94">
        <v>0</v>
      </c>
      <c r="AJ861" s="94">
        <v>0</v>
      </c>
      <c r="AK861" s="94">
        <v>0</v>
      </c>
      <c r="AL861" s="94">
        <v>0</v>
      </c>
      <c r="AM861" s="94">
        <v>0</v>
      </c>
      <c r="AN861" s="94">
        <v>0</v>
      </c>
      <c r="AO861" s="94">
        <v>0</v>
      </c>
      <c r="AP861" s="95">
        <v>0</v>
      </c>
      <c r="AQ861" s="95">
        <v>0</v>
      </c>
      <c r="AR861" s="95">
        <v>0</v>
      </c>
      <c r="AS861" s="95">
        <v>0</v>
      </c>
      <c r="AT861" s="95">
        <v>0</v>
      </c>
      <c r="AU861" s="95">
        <v>0</v>
      </c>
      <c r="AV861" s="95">
        <v>0</v>
      </c>
      <c r="AW861" s="95">
        <v>0</v>
      </c>
      <c r="AX861" s="95">
        <v>0</v>
      </c>
      <c r="AY861" s="95">
        <v>0</v>
      </c>
      <c r="AZ861" s="95">
        <v>0</v>
      </c>
      <c r="BA861" s="95">
        <v>0</v>
      </c>
      <c r="BB861" s="95">
        <v>0</v>
      </c>
      <c r="BC861" s="95">
        <v>0</v>
      </c>
      <c r="BD861" s="95">
        <v>0</v>
      </c>
      <c r="BE861" s="95">
        <v>0</v>
      </c>
    </row>
    <row r="862" spans="2:57" ht="15" customHeight="1" x14ac:dyDescent="0.25">
      <c r="B862" s="91">
        <v>852</v>
      </c>
      <c r="C862" s="92" t="s">
        <v>504</v>
      </c>
      <c r="D862" s="92" t="s">
        <v>302</v>
      </c>
      <c r="E862" s="92" t="s">
        <v>228</v>
      </c>
      <c r="F862" s="92" t="s">
        <v>46</v>
      </c>
      <c r="G862" s="101" t="s">
        <v>502</v>
      </c>
      <c r="H862" s="94">
        <v>9708</v>
      </c>
      <c r="I862" s="94">
        <v>5718</v>
      </c>
      <c r="J862" s="94">
        <v>3990</v>
      </c>
      <c r="K862" s="94">
        <v>631</v>
      </c>
      <c r="L862" s="94">
        <v>1933</v>
      </c>
      <c r="M862" s="94">
        <v>5055</v>
      </c>
      <c r="N862" s="94">
        <v>2089</v>
      </c>
      <c r="O862" s="94">
        <v>9706</v>
      </c>
      <c r="P862" s="94">
        <v>2</v>
      </c>
      <c r="Q862" s="95">
        <v>0.176153253330397</v>
      </c>
      <c r="R862" s="95">
        <v>7.33810310034856E-2</v>
      </c>
      <c r="S862" s="95">
        <v>0.33039647577092501</v>
      </c>
      <c r="T862" s="95">
        <v>0.37174721189591098</v>
      </c>
      <c r="U862" s="95">
        <v>0.22396416573348299</v>
      </c>
      <c r="V862" s="95">
        <v>0.167224080267559</v>
      </c>
      <c r="W862" s="95">
        <v>0.10126582278481</v>
      </c>
      <c r="X862" s="95">
        <v>0.176192049333774</v>
      </c>
      <c r="Y862" s="95">
        <v>0</v>
      </c>
      <c r="Z862" s="94">
        <v>9936</v>
      </c>
      <c r="AA862" s="94">
        <v>5638</v>
      </c>
      <c r="AB862" s="94">
        <v>4298</v>
      </c>
      <c r="AC862" s="94">
        <v>622</v>
      </c>
      <c r="AD862" s="94">
        <v>1844</v>
      </c>
      <c r="AE862" s="94">
        <v>4729</v>
      </c>
      <c r="AF862" s="94">
        <v>2741</v>
      </c>
      <c r="AG862" s="94">
        <v>8789</v>
      </c>
      <c r="AH862" s="94">
        <v>955</v>
      </c>
      <c r="AI862" s="94">
        <v>192</v>
      </c>
      <c r="AJ862" s="94">
        <v>9872</v>
      </c>
      <c r="AK862" s="94">
        <v>6</v>
      </c>
      <c r="AL862" s="94">
        <v>58</v>
      </c>
      <c r="AM862" s="94">
        <v>1021</v>
      </c>
      <c r="AN862" s="94">
        <v>8628</v>
      </c>
      <c r="AO862" s="94">
        <v>287</v>
      </c>
      <c r="AP862" s="95">
        <v>1.03006971178858</v>
      </c>
      <c r="AQ862" s="95">
        <v>0.18155410312273099</v>
      </c>
      <c r="AR862" s="95">
        <v>2.16914452839386</v>
      </c>
      <c r="AS862" s="95">
        <v>1.5358361774744</v>
      </c>
      <c r="AT862" s="95">
        <v>1.9897669130187601</v>
      </c>
      <c r="AU862" s="95">
        <v>0.96090849530465205</v>
      </c>
      <c r="AV862" s="95">
        <v>0.40937848902121299</v>
      </c>
      <c r="AW862" s="95">
        <v>1.0675739089629299</v>
      </c>
      <c r="AX862" s="95">
        <v>0.88593576965669996</v>
      </c>
      <c r="AY862" s="95">
        <v>0</v>
      </c>
      <c r="AZ862" s="95">
        <v>1.0364321608040199</v>
      </c>
      <c r="BA862" s="95">
        <v>0</v>
      </c>
      <c r="BB862" s="95">
        <v>0</v>
      </c>
      <c r="BC862" s="95">
        <v>0.40160642570281102</v>
      </c>
      <c r="BD862" s="95">
        <v>1.11497422371418</v>
      </c>
      <c r="BE862" s="95">
        <v>0.72992700729926996</v>
      </c>
    </row>
    <row r="863" spans="2:57" ht="15" customHeight="1" x14ac:dyDescent="0.25">
      <c r="B863" s="96">
        <v>853</v>
      </c>
      <c r="C863" s="97" t="s">
        <v>504</v>
      </c>
      <c r="D863" s="104" t="s">
        <v>302</v>
      </c>
      <c r="E863" s="104" t="s">
        <v>228</v>
      </c>
      <c r="F863" s="104" t="s">
        <v>52</v>
      </c>
      <c r="G863" s="105" t="s">
        <v>52</v>
      </c>
      <c r="H863" s="106">
        <v>12257</v>
      </c>
      <c r="I863" s="106">
        <v>7332</v>
      </c>
      <c r="J863" s="106">
        <v>4925</v>
      </c>
      <c r="K863" s="106">
        <v>767</v>
      </c>
      <c r="L863" s="106">
        <v>2801</v>
      </c>
      <c r="M863" s="106">
        <v>5947</v>
      </c>
      <c r="N863" s="106">
        <v>2742</v>
      </c>
      <c r="O863" s="106">
        <v>12253</v>
      </c>
      <c r="P863" s="106">
        <v>4</v>
      </c>
      <c r="Q863" s="107">
        <v>0.12112822287593</v>
      </c>
      <c r="R863" s="107">
        <v>7.1377587437544604E-2</v>
      </c>
      <c r="S863" s="107">
        <v>0.19767186470459</v>
      </c>
      <c r="T863" s="107">
        <v>0.148148148148148</v>
      </c>
      <c r="U863" s="107">
        <v>0.154023873700424</v>
      </c>
      <c r="V863" s="107">
        <v>0.123391503613608</v>
      </c>
      <c r="W863" s="107">
        <v>7.65403750478377E-2</v>
      </c>
      <c r="X863" s="107">
        <v>0.12114918656974701</v>
      </c>
      <c r="Y863" s="107">
        <v>0</v>
      </c>
      <c r="Z863" s="106">
        <v>17264</v>
      </c>
      <c r="AA863" s="106">
        <v>9750</v>
      </c>
      <c r="AB863" s="106">
        <v>7514</v>
      </c>
      <c r="AC863" s="106">
        <v>1187</v>
      </c>
      <c r="AD863" s="106">
        <v>4446</v>
      </c>
      <c r="AE863" s="106">
        <v>8129</v>
      </c>
      <c r="AF863" s="106">
        <v>3502</v>
      </c>
      <c r="AG863" s="106">
        <v>15637</v>
      </c>
      <c r="AH863" s="106">
        <v>1420</v>
      </c>
      <c r="AI863" s="106">
        <v>207</v>
      </c>
      <c r="AJ863" s="106">
        <v>17186</v>
      </c>
      <c r="AK863" s="106">
        <v>15</v>
      </c>
      <c r="AL863" s="106">
        <v>63</v>
      </c>
      <c r="AM863" s="106">
        <v>997</v>
      </c>
      <c r="AN863" s="106">
        <v>15952</v>
      </c>
      <c r="AO863" s="106">
        <v>315</v>
      </c>
      <c r="AP863" s="107">
        <v>1.2355399430682601</v>
      </c>
      <c r="AQ863" s="107">
        <v>0.29626494550841198</v>
      </c>
      <c r="AR863" s="107">
        <v>2.4929178470254998</v>
      </c>
      <c r="AS863" s="107">
        <v>1.5044247787610601</v>
      </c>
      <c r="AT863" s="107">
        <v>2.03446625179512</v>
      </c>
      <c r="AU863" s="107">
        <v>1.07816711590297</v>
      </c>
      <c r="AV863" s="107">
        <v>0.52754982415005902</v>
      </c>
      <c r="AW863" s="107">
        <v>1.13530118872713</v>
      </c>
      <c r="AX863" s="107">
        <v>2.3862788963460102</v>
      </c>
      <c r="AY863" s="107">
        <v>1.0204081632653099</v>
      </c>
      <c r="AZ863" s="107">
        <v>1.2413289521723301</v>
      </c>
      <c r="BA863" s="107">
        <v>0</v>
      </c>
      <c r="BB863" s="107">
        <v>0</v>
      </c>
      <c r="BC863" s="107">
        <v>0.51921079958463101</v>
      </c>
      <c r="BD863" s="107">
        <v>1.30474691843693</v>
      </c>
      <c r="BE863" s="107">
        <v>0</v>
      </c>
    </row>
    <row r="864" spans="2:57" ht="15" customHeight="1" x14ac:dyDescent="0.25">
      <c r="B864" s="91">
        <v>854</v>
      </c>
      <c r="C864" s="92" t="s">
        <v>504</v>
      </c>
      <c r="D864" s="92" t="s">
        <v>302</v>
      </c>
      <c r="E864" s="92" t="s">
        <v>228</v>
      </c>
      <c r="F864" s="92" t="s">
        <v>52</v>
      </c>
      <c r="G864" s="101" t="s">
        <v>501</v>
      </c>
      <c r="H864" s="94">
        <v>0</v>
      </c>
      <c r="I864" s="94">
        <v>0</v>
      </c>
      <c r="J864" s="94">
        <v>0</v>
      </c>
      <c r="K864" s="94">
        <v>0</v>
      </c>
      <c r="L864" s="94">
        <v>0</v>
      </c>
      <c r="M864" s="94">
        <v>0</v>
      </c>
      <c r="N864" s="94">
        <v>0</v>
      </c>
      <c r="O864" s="94">
        <v>0</v>
      </c>
      <c r="P864" s="94">
        <v>0</v>
      </c>
      <c r="Q864" s="95">
        <v>0</v>
      </c>
      <c r="R864" s="95">
        <v>0</v>
      </c>
      <c r="S864" s="95">
        <v>0</v>
      </c>
      <c r="T864" s="95">
        <v>0</v>
      </c>
      <c r="U864" s="95">
        <v>0</v>
      </c>
      <c r="V864" s="95">
        <v>0</v>
      </c>
      <c r="W864" s="95">
        <v>0</v>
      </c>
      <c r="X864" s="95">
        <v>0</v>
      </c>
      <c r="Y864" s="95">
        <v>0</v>
      </c>
      <c r="Z864" s="94">
        <v>1147</v>
      </c>
      <c r="AA864" s="94">
        <v>487</v>
      </c>
      <c r="AB864" s="94">
        <v>660</v>
      </c>
      <c r="AC864" s="94">
        <v>75</v>
      </c>
      <c r="AD864" s="94">
        <v>311</v>
      </c>
      <c r="AE864" s="94">
        <v>558</v>
      </c>
      <c r="AF864" s="94">
        <v>203</v>
      </c>
      <c r="AG864" s="94">
        <v>818</v>
      </c>
      <c r="AH864" s="94">
        <v>314</v>
      </c>
      <c r="AI864" s="94">
        <v>15</v>
      </c>
      <c r="AJ864" s="94">
        <v>1142</v>
      </c>
      <c r="AK864" s="94">
        <v>1</v>
      </c>
      <c r="AL864" s="94">
        <v>4</v>
      </c>
      <c r="AM864" s="94">
        <v>90</v>
      </c>
      <c r="AN864" s="94">
        <v>1043</v>
      </c>
      <c r="AO864" s="94">
        <v>14</v>
      </c>
      <c r="AP864" s="95">
        <v>3.9594843462246798</v>
      </c>
      <c r="AQ864" s="95">
        <v>1.0683760683760699</v>
      </c>
      <c r="AR864" s="95">
        <v>6.1488673139158596</v>
      </c>
      <c r="AS864" s="95">
        <v>5.5555555555555598</v>
      </c>
      <c r="AT864" s="95">
        <v>6.5972222222222197</v>
      </c>
      <c r="AU864" s="95">
        <v>2.8301886792452802</v>
      </c>
      <c r="AV864" s="95">
        <v>2.5510204081632701</v>
      </c>
      <c r="AW864" s="95">
        <v>4.1237113402061896</v>
      </c>
      <c r="AX864" s="95">
        <v>3.3557046979865799</v>
      </c>
      <c r="AY864" s="95">
        <v>8.3333333333333304</v>
      </c>
      <c r="AZ864" s="95">
        <v>3.97779833487512</v>
      </c>
      <c r="BA864" s="95">
        <v>0</v>
      </c>
      <c r="BB864" s="95">
        <v>0</v>
      </c>
      <c r="BC864" s="95">
        <v>0</v>
      </c>
      <c r="BD864" s="95">
        <v>4.3566362715298901</v>
      </c>
      <c r="BE864" s="95">
        <v>0</v>
      </c>
    </row>
    <row r="865" spans="2:57" ht="15" customHeight="1" x14ac:dyDescent="0.25">
      <c r="B865" s="91">
        <v>855</v>
      </c>
      <c r="C865" s="92" t="s">
        <v>504</v>
      </c>
      <c r="D865" s="92" t="s">
        <v>302</v>
      </c>
      <c r="E865" s="92" t="s">
        <v>228</v>
      </c>
      <c r="F865" s="92" t="s">
        <v>52</v>
      </c>
      <c r="G865" s="101" t="s">
        <v>502</v>
      </c>
      <c r="H865" s="94">
        <v>12257</v>
      </c>
      <c r="I865" s="94">
        <v>7332</v>
      </c>
      <c r="J865" s="94">
        <v>4925</v>
      </c>
      <c r="K865" s="94">
        <v>767</v>
      </c>
      <c r="L865" s="94">
        <v>2801</v>
      </c>
      <c r="M865" s="94">
        <v>5947</v>
      </c>
      <c r="N865" s="94">
        <v>2742</v>
      </c>
      <c r="O865" s="94">
        <v>12253</v>
      </c>
      <c r="P865" s="94">
        <v>4</v>
      </c>
      <c r="Q865" s="95">
        <v>0.12112822287593</v>
      </c>
      <c r="R865" s="95">
        <v>7.1377587437544604E-2</v>
      </c>
      <c r="S865" s="95">
        <v>0.19767186470459</v>
      </c>
      <c r="T865" s="95">
        <v>0.148148148148148</v>
      </c>
      <c r="U865" s="95">
        <v>0.154023873700424</v>
      </c>
      <c r="V865" s="95">
        <v>0.123391503613608</v>
      </c>
      <c r="W865" s="95">
        <v>7.65403750478377E-2</v>
      </c>
      <c r="X865" s="95">
        <v>0.12114918656974701</v>
      </c>
      <c r="Y865" s="95">
        <v>0</v>
      </c>
      <c r="Z865" s="94">
        <v>16117</v>
      </c>
      <c r="AA865" s="94">
        <v>9263</v>
      </c>
      <c r="AB865" s="94">
        <v>6854</v>
      </c>
      <c r="AC865" s="94">
        <v>1112</v>
      </c>
      <c r="AD865" s="94">
        <v>4135</v>
      </c>
      <c r="AE865" s="94">
        <v>7571</v>
      </c>
      <c r="AF865" s="94">
        <v>3299</v>
      </c>
      <c r="AG865" s="94">
        <v>14819</v>
      </c>
      <c r="AH865" s="94">
        <v>1106</v>
      </c>
      <c r="AI865" s="94">
        <v>192</v>
      </c>
      <c r="AJ865" s="94">
        <v>16044</v>
      </c>
      <c r="AK865" s="94">
        <v>14</v>
      </c>
      <c r="AL865" s="94">
        <v>59</v>
      </c>
      <c r="AM865" s="94">
        <v>907</v>
      </c>
      <c r="AN865" s="94">
        <v>14909</v>
      </c>
      <c r="AO865" s="94">
        <v>301</v>
      </c>
      <c r="AP865" s="95">
        <v>1.0437601296596399</v>
      </c>
      <c r="AQ865" s="95">
        <v>0.25603918512746299</v>
      </c>
      <c r="AR865" s="95">
        <v>2.14219186588016</v>
      </c>
      <c r="AS865" s="95">
        <v>1.2287334593572801</v>
      </c>
      <c r="AT865" s="95">
        <v>1.6966580976863801</v>
      </c>
      <c r="AU865" s="95">
        <v>0.95028233025754005</v>
      </c>
      <c r="AV865" s="95">
        <v>0.404228855721393</v>
      </c>
      <c r="AW865" s="95">
        <v>0.97196788280039403</v>
      </c>
      <c r="AX865" s="95">
        <v>2.1093000958772801</v>
      </c>
      <c r="AY865" s="95">
        <v>0.54347826086956497</v>
      </c>
      <c r="AZ865" s="95">
        <v>1.04865498599622</v>
      </c>
      <c r="BA865" s="95">
        <v>0</v>
      </c>
      <c r="BB865" s="95">
        <v>0</v>
      </c>
      <c r="BC865" s="95">
        <v>0.56947608200455602</v>
      </c>
      <c r="BD865" s="95">
        <v>1.0935856992639299</v>
      </c>
      <c r="BE865" s="95">
        <v>0</v>
      </c>
    </row>
    <row r="866" spans="2:57" ht="15" customHeight="1" x14ac:dyDescent="0.25">
      <c r="B866" s="96">
        <v>856</v>
      </c>
      <c r="C866" s="97" t="s">
        <v>504</v>
      </c>
      <c r="D866" s="104" t="s">
        <v>302</v>
      </c>
      <c r="E866" s="104" t="s">
        <v>228</v>
      </c>
      <c r="F866" s="104" t="s">
        <v>42</v>
      </c>
      <c r="G866" s="105" t="s">
        <v>42</v>
      </c>
      <c r="H866" s="106">
        <v>7587</v>
      </c>
      <c r="I866" s="106">
        <v>4586</v>
      </c>
      <c r="J866" s="106">
        <v>3001</v>
      </c>
      <c r="K866" s="106">
        <v>640</v>
      </c>
      <c r="L866" s="106">
        <v>1952</v>
      </c>
      <c r="M866" s="106">
        <v>3715</v>
      </c>
      <c r="N866" s="106">
        <v>1280</v>
      </c>
      <c r="O866" s="106">
        <v>7586</v>
      </c>
      <c r="P866" s="106">
        <v>1</v>
      </c>
      <c r="Q866" s="107">
        <v>0.111188325225851</v>
      </c>
      <c r="R866" s="107">
        <v>0.113507377979569</v>
      </c>
      <c r="S866" s="107">
        <v>0.10752688172043</v>
      </c>
      <c r="T866" s="107">
        <v>0</v>
      </c>
      <c r="U866" s="107">
        <v>0.16420361247947499</v>
      </c>
      <c r="V866" s="107">
        <v>0.140016802016242</v>
      </c>
      <c r="W866" s="107">
        <v>0</v>
      </c>
      <c r="X866" s="107">
        <v>0.111203780928552</v>
      </c>
      <c r="Y866" s="107">
        <v>0</v>
      </c>
      <c r="Z866" s="106">
        <v>7933</v>
      </c>
      <c r="AA866" s="106">
        <v>5041</v>
      </c>
      <c r="AB866" s="106">
        <v>2892</v>
      </c>
      <c r="AC866" s="106">
        <v>609</v>
      </c>
      <c r="AD866" s="106">
        <v>1856</v>
      </c>
      <c r="AE866" s="106">
        <v>3881</v>
      </c>
      <c r="AF866" s="106">
        <v>1587</v>
      </c>
      <c r="AG866" s="106">
        <v>6907</v>
      </c>
      <c r="AH866" s="106">
        <v>870</v>
      </c>
      <c r="AI866" s="106">
        <v>156</v>
      </c>
      <c r="AJ866" s="106">
        <v>7861</v>
      </c>
      <c r="AK866" s="106">
        <v>3</v>
      </c>
      <c r="AL866" s="106">
        <v>69</v>
      </c>
      <c r="AM866" s="106">
        <v>645</v>
      </c>
      <c r="AN866" s="106">
        <v>7094</v>
      </c>
      <c r="AO866" s="106">
        <v>194</v>
      </c>
      <c r="AP866" s="107">
        <v>1.1474544974940599</v>
      </c>
      <c r="AQ866" s="107">
        <v>0.16393442622950799</v>
      </c>
      <c r="AR866" s="107">
        <v>2.9237601776461899</v>
      </c>
      <c r="AS866" s="107">
        <v>2.2184300341296899</v>
      </c>
      <c r="AT866" s="107">
        <v>1.66570936243538</v>
      </c>
      <c r="AU866" s="107">
        <v>1.1317704122877901</v>
      </c>
      <c r="AV866" s="107">
        <v>0.19430051813471499</v>
      </c>
      <c r="AW866" s="107">
        <v>1.03124052168638</v>
      </c>
      <c r="AX866" s="107">
        <v>2.2727272727272698</v>
      </c>
      <c r="AY866" s="107">
        <v>0</v>
      </c>
      <c r="AZ866" s="107">
        <v>1.1446825502462401</v>
      </c>
      <c r="BA866" s="107">
        <v>0</v>
      </c>
      <c r="BB866" s="107">
        <v>1.51515151515152</v>
      </c>
      <c r="BC866" s="107">
        <v>0.96153846153846201</v>
      </c>
      <c r="BD866" s="107">
        <v>1.1961015948021301</v>
      </c>
      <c r="BE866" s="107">
        <v>0</v>
      </c>
    </row>
    <row r="867" spans="2:57" ht="15" customHeight="1" x14ac:dyDescent="0.25">
      <c r="B867" s="91">
        <v>857</v>
      </c>
      <c r="C867" s="92" t="s">
        <v>504</v>
      </c>
      <c r="D867" s="92" t="s">
        <v>302</v>
      </c>
      <c r="E867" s="92" t="s">
        <v>228</v>
      </c>
      <c r="F867" s="92" t="s">
        <v>42</v>
      </c>
      <c r="G867" s="101" t="s">
        <v>501</v>
      </c>
      <c r="H867" s="94">
        <v>0</v>
      </c>
      <c r="I867" s="94">
        <v>0</v>
      </c>
      <c r="J867" s="94">
        <v>0</v>
      </c>
      <c r="K867" s="94">
        <v>0</v>
      </c>
      <c r="L867" s="94">
        <v>0</v>
      </c>
      <c r="M867" s="94">
        <v>0</v>
      </c>
      <c r="N867" s="94">
        <v>0</v>
      </c>
      <c r="O867" s="94">
        <v>0</v>
      </c>
      <c r="P867" s="94">
        <v>0</v>
      </c>
      <c r="Q867" s="95">
        <v>0</v>
      </c>
      <c r="R867" s="95">
        <v>0</v>
      </c>
      <c r="S867" s="95">
        <v>0</v>
      </c>
      <c r="T867" s="95">
        <v>0</v>
      </c>
      <c r="U867" s="95">
        <v>0</v>
      </c>
      <c r="V867" s="95">
        <v>0</v>
      </c>
      <c r="W867" s="95">
        <v>0</v>
      </c>
      <c r="X867" s="95">
        <v>0</v>
      </c>
      <c r="Y867" s="95">
        <v>0</v>
      </c>
      <c r="Z867" s="94">
        <v>0</v>
      </c>
      <c r="AA867" s="94">
        <v>0</v>
      </c>
      <c r="AB867" s="94">
        <v>0</v>
      </c>
      <c r="AC867" s="94">
        <v>0</v>
      </c>
      <c r="AD867" s="94">
        <v>0</v>
      </c>
      <c r="AE867" s="94">
        <v>0</v>
      </c>
      <c r="AF867" s="94">
        <v>0</v>
      </c>
      <c r="AG867" s="94">
        <v>0</v>
      </c>
      <c r="AH867" s="94">
        <v>0</v>
      </c>
      <c r="AI867" s="94">
        <v>0</v>
      </c>
      <c r="AJ867" s="94">
        <v>0</v>
      </c>
      <c r="AK867" s="94">
        <v>0</v>
      </c>
      <c r="AL867" s="94">
        <v>0</v>
      </c>
      <c r="AM867" s="94">
        <v>0</v>
      </c>
      <c r="AN867" s="94">
        <v>0</v>
      </c>
      <c r="AO867" s="94">
        <v>0</v>
      </c>
      <c r="AP867" s="95">
        <v>0</v>
      </c>
      <c r="AQ867" s="95">
        <v>0</v>
      </c>
      <c r="AR867" s="95">
        <v>0</v>
      </c>
      <c r="AS867" s="95">
        <v>0</v>
      </c>
      <c r="AT867" s="95">
        <v>0</v>
      </c>
      <c r="AU867" s="95">
        <v>0</v>
      </c>
      <c r="AV867" s="95">
        <v>0</v>
      </c>
      <c r="AW867" s="95">
        <v>0</v>
      </c>
      <c r="AX867" s="95">
        <v>0</v>
      </c>
      <c r="AY867" s="95">
        <v>0</v>
      </c>
      <c r="AZ867" s="95">
        <v>0</v>
      </c>
      <c r="BA867" s="95">
        <v>0</v>
      </c>
      <c r="BB867" s="95">
        <v>0</v>
      </c>
      <c r="BC867" s="95">
        <v>0</v>
      </c>
      <c r="BD867" s="95">
        <v>0</v>
      </c>
      <c r="BE867" s="95">
        <v>0</v>
      </c>
    </row>
    <row r="868" spans="2:57" ht="15" customHeight="1" x14ac:dyDescent="0.25">
      <c r="B868" s="91">
        <v>858</v>
      </c>
      <c r="C868" s="92" t="s">
        <v>504</v>
      </c>
      <c r="D868" s="92" t="s">
        <v>302</v>
      </c>
      <c r="E868" s="92" t="s">
        <v>228</v>
      </c>
      <c r="F868" s="92" t="s">
        <v>42</v>
      </c>
      <c r="G868" s="101" t="s">
        <v>502</v>
      </c>
      <c r="H868" s="94">
        <v>7587</v>
      </c>
      <c r="I868" s="94">
        <v>4586</v>
      </c>
      <c r="J868" s="94">
        <v>3001</v>
      </c>
      <c r="K868" s="94">
        <v>640</v>
      </c>
      <c r="L868" s="94">
        <v>1952</v>
      </c>
      <c r="M868" s="94">
        <v>3715</v>
      </c>
      <c r="N868" s="94">
        <v>1280</v>
      </c>
      <c r="O868" s="94">
        <v>7586</v>
      </c>
      <c r="P868" s="94">
        <v>1</v>
      </c>
      <c r="Q868" s="95">
        <v>0.111188325225851</v>
      </c>
      <c r="R868" s="95">
        <v>0.113507377979569</v>
      </c>
      <c r="S868" s="95">
        <v>0.10752688172043</v>
      </c>
      <c r="T868" s="95">
        <v>0</v>
      </c>
      <c r="U868" s="95">
        <v>0.16420361247947499</v>
      </c>
      <c r="V868" s="95">
        <v>0.140016802016242</v>
      </c>
      <c r="W868" s="95">
        <v>0</v>
      </c>
      <c r="X868" s="95">
        <v>0.111203780928552</v>
      </c>
      <c r="Y868" s="95">
        <v>0</v>
      </c>
      <c r="Z868" s="94">
        <v>7933</v>
      </c>
      <c r="AA868" s="94">
        <v>5041</v>
      </c>
      <c r="AB868" s="94">
        <v>2892</v>
      </c>
      <c r="AC868" s="94">
        <v>609</v>
      </c>
      <c r="AD868" s="94">
        <v>1856</v>
      </c>
      <c r="AE868" s="94">
        <v>3881</v>
      </c>
      <c r="AF868" s="94">
        <v>1587</v>
      </c>
      <c r="AG868" s="94">
        <v>6907</v>
      </c>
      <c r="AH868" s="94">
        <v>870</v>
      </c>
      <c r="AI868" s="94">
        <v>156</v>
      </c>
      <c r="AJ868" s="94">
        <v>7861</v>
      </c>
      <c r="AK868" s="94">
        <v>3</v>
      </c>
      <c r="AL868" s="94">
        <v>69</v>
      </c>
      <c r="AM868" s="94">
        <v>645</v>
      </c>
      <c r="AN868" s="94">
        <v>7094</v>
      </c>
      <c r="AO868" s="94">
        <v>194</v>
      </c>
      <c r="AP868" s="95">
        <v>1.1474544974940599</v>
      </c>
      <c r="AQ868" s="95">
        <v>0.16393442622950799</v>
      </c>
      <c r="AR868" s="95">
        <v>2.9237601776461899</v>
      </c>
      <c r="AS868" s="95">
        <v>2.2184300341296899</v>
      </c>
      <c r="AT868" s="95">
        <v>1.66570936243538</v>
      </c>
      <c r="AU868" s="95">
        <v>1.1317704122877901</v>
      </c>
      <c r="AV868" s="95">
        <v>0.19430051813471499</v>
      </c>
      <c r="AW868" s="95">
        <v>1.03124052168638</v>
      </c>
      <c r="AX868" s="95">
        <v>2.2727272727272698</v>
      </c>
      <c r="AY868" s="95">
        <v>0</v>
      </c>
      <c r="AZ868" s="95">
        <v>1.1446825502462401</v>
      </c>
      <c r="BA868" s="95">
        <v>0</v>
      </c>
      <c r="BB868" s="95">
        <v>1.51515151515152</v>
      </c>
      <c r="BC868" s="95">
        <v>0.96153846153846201</v>
      </c>
      <c r="BD868" s="95">
        <v>1.1961015948021301</v>
      </c>
      <c r="BE868" s="95">
        <v>0</v>
      </c>
    </row>
    <row r="869" spans="2:57" ht="15" customHeight="1" x14ac:dyDescent="0.25">
      <c r="B869" s="96">
        <v>859</v>
      </c>
      <c r="C869" s="97" t="s">
        <v>504</v>
      </c>
      <c r="D869" s="104" t="s">
        <v>302</v>
      </c>
      <c r="E869" s="104" t="s">
        <v>228</v>
      </c>
      <c r="F869" s="104" t="s">
        <v>324</v>
      </c>
      <c r="G869" s="105" t="s">
        <v>324</v>
      </c>
      <c r="H869" s="106">
        <v>9158</v>
      </c>
      <c r="I869" s="106">
        <v>5565</v>
      </c>
      <c r="J869" s="106">
        <v>3593</v>
      </c>
      <c r="K869" s="106">
        <v>653</v>
      </c>
      <c r="L869" s="106">
        <v>2357</v>
      </c>
      <c r="M869" s="106">
        <v>4403</v>
      </c>
      <c r="N869" s="106">
        <v>1745</v>
      </c>
      <c r="O869" s="106">
        <v>9145</v>
      </c>
      <c r="P869" s="106">
        <v>13</v>
      </c>
      <c r="Q869" s="107">
        <v>6.9524913093858595E-2</v>
      </c>
      <c r="R869" s="107">
        <v>3.7425149700598799E-2</v>
      </c>
      <c r="S869" s="107">
        <v>0.121728545343883</v>
      </c>
      <c r="T869" s="107">
        <v>0</v>
      </c>
      <c r="U869" s="107">
        <v>0.13550135501355001</v>
      </c>
      <c r="V869" s="107">
        <v>7.1496663489037202E-2</v>
      </c>
      <c r="W869" s="107">
        <v>0</v>
      </c>
      <c r="X869" s="107">
        <v>6.9605568445475594E-2</v>
      </c>
      <c r="Y869" s="107">
        <v>0</v>
      </c>
      <c r="Z869" s="106">
        <v>11159</v>
      </c>
      <c r="AA869" s="106">
        <v>6807</v>
      </c>
      <c r="AB869" s="106">
        <v>4352</v>
      </c>
      <c r="AC869" s="106">
        <v>767</v>
      </c>
      <c r="AD869" s="106">
        <v>3046</v>
      </c>
      <c r="AE869" s="106">
        <v>5292</v>
      </c>
      <c r="AF869" s="106">
        <v>2054</v>
      </c>
      <c r="AG869" s="106">
        <v>10080</v>
      </c>
      <c r="AH869" s="106">
        <v>940</v>
      </c>
      <c r="AI869" s="106">
        <v>139</v>
      </c>
      <c r="AJ869" s="106">
        <v>11059</v>
      </c>
      <c r="AK869" s="106">
        <v>34</v>
      </c>
      <c r="AL869" s="106">
        <v>66</v>
      </c>
      <c r="AM869" s="106">
        <v>741</v>
      </c>
      <c r="AN869" s="106">
        <v>10193</v>
      </c>
      <c r="AO869" s="106">
        <v>225</v>
      </c>
      <c r="AP869" s="107">
        <v>1.13317100580633</v>
      </c>
      <c r="AQ869" s="107">
        <v>0.181050090525045</v>
      </c>
      <c r="AR869" s="107">
        <v>2.6913580246913602</v>
      </c>
      <c r="AS869" s="107">
        <v>1.95258019525802</v>
      </c>
      <c r="AT869" s="107">
        <v>1.4236111111111101</v>
      </c>
      <c r="AU869" s="107">
        <v>1.1818002757534001</v>
      </c>
      <c r="AV869" s="107">
        <v>0.29940119760479</v>
      </c>
      <c r="AW869" s="107">
        <v>1.0970813496170599</v>
      </c>
      <c r="AX869" s="107">
        <v>1.6891891891891899</v>
      </c>
      <c r="AY869" s="107">
        <v>0</v>
      </c>
      <c r="AZ869" s="107">
        <v>1.1436672967863899</v>
      </c>
      <c r="BA869" s="107">
        <v>0</v>
      </c>
      <c r="BB869" s="107">
        <v>0</v>
      </c>
      <c r="BC869" s="107">
        <v>0.69444444444444398</v>
      </c>
      <c r="BD869" s="107">
        <v>1.19047619047619</v>
      </c>
      <c r="BE869" s="107">
        <v>0</v>
      </c>
    </row>
    <row r="870" spans="2:57" ht="15" customHeight="1" x14ac:dyDescent="0.25">
      <c r="B870" s="91">
        <v>860</v>
      </c>
      <c r="C870" s="92" t="s">
        <v>504</v>
      </c>
      <c r="D870" s="92" t="s">
        <v>302</v>
      </c>
      <c r="E870" s="92" t="s">
        <v>228</v>
      </c>
      <c r="F870" s="92" t="s">
        <v>324</v>
      </c>
      <c r="G870" s="101" t="s">
        <v>501</v>
      </c>
      <c r="H870" s="94">
        <v>0</v>
      </c>
      <c r="I870" s="94">
        <v>0</v>
      </c>
      <c r="J870" s="94">
        <v>0</v>
      </c>
      <c r="K870" s="94">
        <v>0</v>
      </c>
      <c r="L870" s="94">
        <v>0</v>
      </c>
      <c r="M870" s="94">
        <v>0</v>
      </c>
      <c r="N870" s="94">
        <v>0</v>
      </c>
      <c r="O870" s="94">
        <v>0</v>
      </c>
      <c r="P870" s="94">
        <v>0</v>
      </c>
      <c r="Q870" s="95">
        <v>0</v>
      </c>
      <c r="R870" s="95">
        <v>0</v>
      </c>
      <c r="S870" s="95">
        <v>0</v>
      </c>
      <c r="T870" s="95">
        <v>0</v>
      </c>
      <c r="U870" s="95">
        <v>0</v>
      </c>
      <c r="V870" s="95">
        <v>0</v>
      </c>
      <c r="W870" s="95">
        <v>0</v>
      </c>
      <c r="X870" s="95">
        <v>0</v>
      </c>
      <c r="Y870" s="95">
        <v>0</v>
      </c>
      <c r="Z870" s="94">
        <v>0</v>
      </c>
      <c r="AA870" s="94">
        <v>0</v>
      </c>
      <c r="AB870" s="94">
        <v>0</v>
      </c>
      <c r="AC870" s="94">
        <v>0</v>
      </c>
      <c r="AD870" s="94">
        <v>0</v>
      </c>
      <c r="AE870" s="94">
        <v>0</v>
      </c>
      <c r="AF870" s="94">
        <v>0</v>
      </c>
      <c r="AG870" s="94">
        <v>0</v>
      </c>
      <c r="AH870" s="94">
        <v>0</v>
      </c>
      <c r="AI870" s="94">
        <v>0</v>
      </c>
      <c r="AJ870" s="94">
        <v>0</v>
      </c>
      <c r="AK870" s="94">
        <v>0</v>
      </c>
      <c r="AL870" s="94">
        <v>0</v>
      </c>
      <c r="AM870" s="94">
        <v>0</v>
      </c>
      <c r="AN870" s="94">
        <v>0</v>
      </c>
      <c r="AO870" s="94">
        <v>0</v>
      </c>
      <c r="AP870" s="95">
        <v>0</v>
      </c>
      <c r="AQ870" s="95">
        <v>0</v>
      </c>
      <c r="AR870" s="95">
        <v>0</v>
      </c>
      <c r="AS870" s="95">
        <v>0</v>
      </c>
      <c r="AT870" s="95">
        <v>0</v>
      </c>
      <c r="AU870" s="95">
        <v>0</v>
      </c>
      <c r="AV870" s="95">
        <v>0</v>
      </c>
      <c r="AW870" s="95">
        <v>0</v>
      </c>
      <c r="AX870" s="95">
        <v>0</v>
      </c>
      <c r="AY870" s="95">
        <v>0</v>
      </c>
      <c r="AZ870" s="95">
        <v>0</v>
      </c>
      <c r="BA870" s="95">
        <v>0</v>
      </c>
      <c r="BB870" s="95">
        <v>0</v>
      </c>
      <c r="BC870" s="95">
        <v>0</v>
      </c>
      <c r="BD870" s="95">
        <v>0</v>
      </c>
      <c r="BE870" s="95">
        <v>0</v>
      </c>
    </row>
    <row r="871" spans="2:57" ht="15" customHeight="1" x14ac:dyDescent="0.25">
      <c r="B871" s="91">
        <v>861</v>
      </c>
      <c r="C871" s="92" t="s">
        <v>504</v>
      </c>
      <c r="D871" s="92" t="s">
        <v>302</v>
      </c>
      <c r="E871" s="92" t="s">
        <v>228</v>
      </c>
      <c r="F871" s="92" t="s">
        <v>324</v>
      </c>
      <c r="G871" s="101" t="s">
        <v>502</v>
      </c>
      <c r="H871" s="94">
        <v>9158</v>
      </c>
      <c r="I871" s="94">
        <v>5565</v>
      </c>
      <c r="J871" s="94">
        <v>3593</v>
      </c>
      <c r="K871" s="94">
        <v>653</v>
      </c>
      <c r="L871" s="94">
        <v>2357</v>
      </c>
      <c r="M871" s="94">
        <v>4403</v>
      </c>
      <c r="N871" s="94">
        <v>1745</v>
      </c>
      <c r="O871" s="94">
        <v>9145</v>
      </c>
      <c r="P871" s="94">
        <v>13</v>
      </c>
      <c r="Q871" s="95">
        <v>6.9524913093858595E-2</v>
      </c>
      <c r="R871" s="95">
        <v>3.7425149700598799E-2</v>
      </c>
      <c r="S871" s="95">
        <v>0.121728545343883</v>
      </c>
      <c r="T871" s="95">
        <v>0</v>
      </c>
      <c r="U871" s="95">
        <v>0.13550135501355001</v>
      </c>
      <c r="V871" s="95">
        <v>7.1496663489037202E-2</v>
      </c>
      <c r="W871" s="95">
        <v>0</v>
      </c>
      <c r="X871" s="95">
        <v>6.9605568445475594E-2</v>
      </c>
      <c r="Y871" s="95">
        <v>0</v>
      </c>
      <c r="Z871" s="94">
        <v>11159</v>
      </c>
      <c r="AA871" s="94">
        <v>6807</v>
      </c>
      <c r="AB871" s="94">
        <v>4352</v>
      </c>
      <c r="AC871" s="94">
        <v>767</v>
      </c>
      <c r="AD871" s="94">
        <v>3046</v>
      </c>
      <c r="AE871" s="94">
        <v>5292</v>
      </c>
      <c r="AF871" s="94">
        <v>2054</v>
      </c>
      <c r="AG871" s="94">
        <v>10080</v>
      </c>
      <c r="AH871" s="94">
        <v>940</v>
      </c>
      <c r="AI871" s="94">
        <v>139</v>
      </c>
      <c r="AJ871" s="94">
        <v>11059</v>
      </c>
      <c r="AK871" s="94">
        <v>34</v>
      </c>
      <c r="AL871" s="94">
        <v>66</v>
      </c>
      <c r="AM871" s="94">
        <v>741</v>
      </c>
      <c r="AN871" s="94">
        <v>10193</v>
      </c>
      <c r="AO871" s="94">
        <v>225</v>
      </c>
      <c r="AP871" s="95">
        <v>1.13317100580633</v>
      </c>
      <c r="AQ871" s="95">
        <v>0.181050090525045</v>
      </c>
      <c r="AR871" s="95">
        <v>2.6913580246913602</v>
      </c>
      <c r="AS871" s="95">
        <v>1.95258019525802</v>
      </c>
      <c r="AT871" s="95">
        <v>1.4236111111111101</v>
      </c>
      <c r="AU871" s="95">
        <v>1.1818002757534001</v>
      </c>
      <c r="AV871" s="95">
        <v>0.29940119760479</v>
      </c>
      <c r="AW871" s="95">
        <v>1.0970813496170599</v>
      </c>
      <c r="AX871" s="95">
        <v>1.6891891891891899</v>
      </c>
      <c r="AY871" s="95">
        <v>0</v>
      </c>
      <c r="AZ871" s="95">
        <v>1.1436672967863899</v>
      </c>
      <c r="BA871" s="95">
        <v>0</v>
      </c>
      <c r="BB871" s="95">
        <v>0</v>
      </c>
      <c r="BC871" s="95">
        <v>0.69444444444444398</v>
      </c>
      <c r="BD871" s="95">
        <v>1.19047619047619</v>
      </c>
      <c r="BE871" s="95">
        <v>0</v>
      </c>
    </row>
    <row r="872" spans="2:57" ht="15" customHeight="1" x14ac:dyDescent="0.25">
      <c r="B872" s="86">
        <v>862</v>
      </c>
      <c r="C872" s="87" t="s">
        <v>503</v>
      </c>
      <c r="D872" s="103" t="s">
        <v>302</v>
      </c>
      <c r="E872" s="103" t="s">
        <v>507</v>
      </c>
      <c r="F872" s="103"/>
      <c r="G872" s="88" t="s">
        <v>507</v>
      </c>
      <c r="H872" s="89">
        <v>18129</v>
      </c>
      <c r="I872" s="89">
        <v>10620</v>
      </c>
      <c r="J872" s="89">
        <v>7509</v>
      </c>
      <c r="K872" s="89">
        <v>1298</v>
      </c>
      <c r="L872" s="89">
        <v>4313</v>
      </c>
      <c r="M872" s="89">
        <v>9029</v>
      </c>
      <c r="N872" s="89">
        <v>3489</v>
      </c>
      <c r="O872" s="89">
        <v>18109</v>
      </c>
      <c r="P872" s="89">
        <v>20</v>
      </c>
      <c r="Q872" s="90">
        <v>0.30277843742579003</v>
      </c>
      <c r="R872" s="90">
        <v>0.228969636635142</v>
      </c>
      <c r="S872" s="90">
        <v>0.41182526842182698</v>
      </c>
      <c r="T872" s="90">
        <v>0.36563071297989003</v>
      </c>
      <c r="U872" s="90">
        <v>0.47979797979798</v>
      </c>
      <c r="V872" s="90">
        <v>0.24624765478423999</v>
      </c>
      <c r="W872" s="90">
        <v>0.21459227467811201</v>
      </c>
      <c r="X872" s="90">
        <v>0.29714149878172003</v>
      </c>
      <c r="Y872" s="90">
        <v>5.8823529411764701</v>
      </c>
      <c r="Z872" s="89">
        <v>21376</v>
      </c>
      <c r="AA872" s="89">
        <v>12010</v>
      </c>
      <c r="AB872" s="89">
        <v>9366</v>
      </c>
      <c r="AC872" s="89">
        <v>1800</v>
      </c>
      <c r="AD872" s="89">
        <v>4794</v>
      </c>
      <c r="AE872" s="89">
        <v>10108</v>
      </c>
      <c r="AF872" s="89">
        <v>4674</v>
      </c>
      <c r="AG872" s="89">
        <v>19393</v>
      </c>
      <c r="AH872" s="89">
        <v>1756</v>
      </c>
      <c r="AI872" s="89">
        <v>227</v>
      </c>
      <c r="AJ872" s="89">
        <v>21256</v>
      </c>
      <c r="AK872" s="89">
        <v>17</v>
      </c>
      <c r="AL872" s="89">
        <v>103</v>
      </c>
      <c r="AM872" s="89">
        <v>2084</v>
      </c>
      <c r="AN872" s="89">
        <v>18926</v>
      </c>
      <c r="AO872" s="89">
        <v>366</v>
      </c>
      <c r="AP872" s="90">
        <v>1.38841855739925</v>
      </c>
      <c r="AQ872" s="90">
        <v>0.63193851409052104</v>
      </c>
      <c r="AR872" s="90">
        <v>2.3769668563776398</v>
      </c>
      <c r="AS872" s="90">
        <v>1.16279069767442</v>
      </c>
      <c r="AT872" s="90">
        <v>2.3830345430695199</v>
      </c>
      <c r="AU872" s="90">
        <v>1.3965341488277301</v>
      </c>
      <c r="AV872" s="90">
        <v>0.45982045106196601</v>
      </c>
      <c r="AW872" s="90">
        <v>1.2360807714849</v>
      </c>
      <c r="AX872" s="90">
        <v>3.0915576694411402</v>
      </c>
      <c r="AY872" s="90">
        <v>1.36363636363636</v>
      </c>
      <c r="AZ872" s="90">
        <v>1.37166204581935</v>
      </c>
      <c r="BA872" s="90">
        <v>18.75</v>
      </c>
      <c r="BB872" s="90">
        <v>2.0833333333333299</v>
      </c>
      <c r="BC872" s="90">
        <v>0.53921568627451</v>
      </c>
      <c r="BD872" s="90">
        <v>1.50462329704</v>
      </c>
      <c r="BE872" s="90">
        <v>0.28248587570621497</v>
      </c>
    </row>
    <row r="873" spans="2:57" ht="15" customHeight="1" x14ac:dyDescent="0.25">
      <c r="B873" s="91">
        <v>863</v>
      </c>
      <c r="C873" s="92" t="s">
        <v>503</v>
      </c>
      <c r="D873" s="92" t="s">
        <v>302</v>
      </c>
      <c r="E873" s="92" t="s">
        <v>507</v>
      </c>
      <c r="F873" s="92"/>
      <c r="G873" s="93" t="s">
        <v>501</v>
      </c>
      <c r="H873" s="94">
        <v>0</v>
      </c>
      <c r="I873" s="94">
        <v>0</v>
      </c>
      <c r="J873" s="94">
        <v>0</v>
      </c>
      <c r="K873" s="94">
        <v>0</v>
      </c>
      <c r="L873" s="94">
        <v>0</v>
      </c>
      <c r="M873" s="94">
        <v>0</v>
      </c>
      <c r="N873" s="94">
        <v>0</v>
      </c>
      <c r="O873" s="94">
        <v>0</v>
      </c>
      <c r="P873" s="94">
        <v>0</v>
      </c>
      <c r="Q873" s="95">
        <v>0</v>
      </c>
      <c r="R873" s="95">
        <v>0</v>
      </c>
      <c r="S873" s="95">
        <v>0</v>
      </c>
      <c r="T873" s="95">
        <v>0</v>
      </c>
      <c r="U873" s="95">
        <v>0</v>
      </c>
      <c r="V873" s="95">
        <v>0</v>
      </c>
      <c r="W873" s="95">
        <v>0</v>
      </c>
      <c r="X873" s="95">
        <v>0</v>
      </c>
      <c r="Y873" s="95">
        <v>0</v>
      </c>
      <c r="Z873" s="94">
        <v>0</v>
      </c>
      <c r="AA873" s="94">
        <v>0</v>
      </c>
      <c r="AB873" s="94">
        <v>0</v>
      </c>
      <c r="AC873" s="94">
        <v>0</v>
      </c>
      <c r="AD873" s="94">
        <v>0</v>
      </c>
      <c r="AE873" s="94">
        <v>0</v>
      </c>
      <c r="AF873" s="94">
        <v>0</v>
      </c>
      <c r="AG873" s="94">
        <v>0</v>
      </c>
      <c r="AH873" s="94">
        <v>0</v>
      </c>
      <c r="AI873" s="94">
        <v>0</v>
      </c>
      <c r="AJ873" s="94">
        <v>0</v>
      </c>
      <c r="AK873" s="94">
        <v>0</v>
      </c>
      <c r="AL873" s="94">
        <v>0</v>
      </c>
      <c r="AM873" s="94">
        <v>0</v>
      </c>
      <c r="AN873" s="94">
        <v>0</v>
      </c>
      <c r="AO873" s="94">
        <v>0</v>
      </c>
      <c r="AP873" s="95">
        <v>0</v>
      </c>
      <c r="AQ873" s="95">
        <v>0</v>
      </c>
      <c r="AR873" s="95">
        <v>0</v>
      </c>
      <c r="AS873" s="95">
        <v>0</v>
      </c>
      <c r="AT873" s="95">
        <v>0</v>
      </c>
      <c r="AU873" s="95">
        <v>0</v>
      </c>
      <c r="AV873" s="95">
        <v>0</v>
      </c>
      <c r="AW873" s="95">
        <v>0</v>
      </c>
      <c r="AX873" s="95">
        <v>0</v>
      </c>
      <c r="AY873" s="95">
        <v>0</v>
      </c>
      <c r="AZ873" s="95">
        <v>0</v>
      </c>
      <c r="BA873" s="95">
        <v>0</v>
      </c>
      <c r="BB873" s="95">
        <v>0</v>
      </c>
      <c r="BC873" s="95">
        <v>0</v>
      </c>
      <c r="BD873" s="95">
        <v>0</v>
      </c>
      <c r="BE873" s="95">
        <v>0</v>
      </c>
    </row>
    <row r="874" spans="2:57" ht="15" customHeight="1" x14ac:dyDescent="0.25">
      <c r="B874" s="91">
        <v>864</v>
      </c>
      <c r="C874" s="92" t="s">
        <v>503</v>
      </c>
      <c r="D874" s="92" t="s">
        <v>302</v>
      </c>
      <c r="E874" s="92" t="s">
        <v>507</v>
      </c>
      <c r="F874" s="92"/>
      <c r="G874" s="93" t="s">
        <v>502</v>
      </c>
      <c r="H874" s="94">
        <v>18129</v>
      </c>
      <c r="I874" s="94">
        <v>10620</v>
      </c>
      <c r="J874" s="94">
        <v>7509</v>
      </c>
      <c r="K874" s="94">
        <v>1298</v>
      </c>
      <c r="L874" s="94">
        <v>4313</v>
      </c>
      <c r="M874" s="94">
        <v>9029</v>
      </c>
      <c r="N874" s="94">
        <v>3489</v>
      </c>
      <c r="O874" s="94">
        <v>18109</v>
      </c>
      <c r="P874" s="94">
        <v>20</v>
      </c>
      <c r="Q874" s="95">
        <v>0.30277843742579003</v>
      </c>
      <c r="R874" s="95">
        <v>0.228969636635142</v>
      </c>
      <c r="S874" s="95">
        <v>0.41182526842182698</v>
      </c>
      <c r="T874" s="95">
        <v>0.36563071297989003</v>
      </c>
      <c r="U874" s="95">
        <v>0.47979797979798</v>
      </c>
      <c r="V874" s="95">
        <v>0.24624765478423999</v>
      </c>
      <c r="W874" s="95">
        <v>0.21459227467811201</v>
      </c>
      <c r="X874" s="95">
        <v>0.29714149878172003</v>
      </c>
      <c r="Y874" s="95">
        <v>5.8823529411764701</v>
      </c>
      <c r="Z874" s="94">
        <v>21376</v>
      </c>
      <c r="AA874" s="94">
        <v>12010</v>
      </c>
      <c r="AB874" s="94">
        <v>9366</v>
      </c>
      <c r="AC874" s="94">
        <v>1800</v>
      </c>
      <c r="AD874" s="94">
        <v>4794</v>
      </c>
      <c r="AE874" s="94">
        <v>10108</v>
      </c>
      <c r="AF874" s="94">
        <v>4674</v>
      </c>
      <c r="AG874" s="94">
        <v>19393</v>
      </c>
      <c r="AH874" s="94">
        <v>1756</v>
      </c>
      <c r="AI874" s="94">
        <v>227</v>
      </c>
      <c r="AJ874" s="94">
        <v>21256</v>
      </c>
      <c r="AK874" s="94">
        <v>17</v>
      </c>
      <c r="AL874" s="94">
        <v>103</v>
      </c>
      <c r="AM874" s="94">
        <v>2084</v>
      </c>
      <c r="AN874" s="94">
        <v>18926</v>
      </c>
      <c r="AO874" s="94">
        <v>366</v>
      </c>
      <c r="AP874" s="95">
        <v>1.38841855739925</v>
      </c>
      <c r="AQ874" s="95">
        <v>0.63193851409052104</v>
      </c>
      <c r="AR874" s="95">
        <v>2.3769668563776398</v>
      </c>
      <c r="AS874" s="95">
        <v>1.16279069767442</v>
      </c>
      <c r="AT874" s="95">
        <v>2.3830345430695199</v>
      </c>
      <c r="AU874" s="95">
        <v>1.3965341488277301</v>
      </c>
      <c r="AV874" s="95">
        <v>0.45982045106196601</v>
      </c>
      <c r="AW874" s="95">
        <v>1.2360807714849</v>
      </c>
      <c r="AX874" s="95">
        <v>3.0915576694411402</v>
      </c>
      <c r="AY874" s="95">
        <v>1.36363636363636</v>
      </c>
      <c r="AZ874" s="95">
        <v>1.37166204581935</v>
      </c>
      <c r="BA874" s="95">
        <v>18.75</v>
      </c>
      <c r="BB874" s="95">
        <v>2.0833333333333299</v>
      </c>
      <c r="BC874" s="95">
        <v>0.53921568627451</v>
      </c>
      <c r="BD874" s="95">
        <v>1.50462329704</v>
      </c>
      <c r="BE874" s="95">
        <v>0.28248587570621497</v>
      </c>
    </row>
    <row r="875" spans="2:57" ht="15" customHeight="1" x14ac:dyDescent="0.25">
      <c r="B875" s="96">
        <v>865</v>
      </c>
      <c r="C875" s="97" t="s">
        <v>504</v>
      </c>
      <c r="D875" s="104" t="s">
        <v>302</v>
      </c>
      <c r="E875" s="104" t="s">
        <v>507</v>
      </c>
      <c r="F875" s="104" t="s">
        <v>9</v>
      </c>
      <c r="G875" s="105" t="s">
        <v>9</v>
      </c>
      <c r="H875" s="106">
        <v>13568</v>
      </c>
      <c r="I875" s="106">
        <v>7878</v>
      </c>
      <c r="J875" s="106">
        <v>5690</v>
      </c>
      <c r="K875" s="106">
        <v>1006</v>
      </c>
      <c r="L875" s="106">
        <v>3372</v>
      </c>
      <c r="M875" s="106">
        <v>6664</v>
      </c>
      <c r="N875" s="106">
        <v>2526</v>
      </c>
      <c r="O875" s="106">
        <v>13552</v>
      </c>
      <c r="P875" s="106">
        <v>16</v>
      </c>
      <c r="Q875" s="107">
        <v>0.15962965919067801</v>
      </c>
      <c r="R875" s="107">
        <v>5.3959260758127597E-2</v>
      </c>
      <c r="S875" s="107">
        <v>0.312744331508991</v>
      </c>
      <c r="T875" s="107">
        <v>0.23980815347721801</v>
      </c>
      <c r="U875" s="107">
        <v>0.162548764629389</v>
      </c>
      <c r="V875" s="107">
        <v>0.111910471622702</v>
      </c>
      <c r="W875" s="107">
        <v>0.25380710659898498</v>
      </c>
      <c r="X875" s="107">
        <v>0.15979546180888499</v>
      </c>
      <c r="Y875" s="107">
        <v>0</v>
      </c>
      <c r="Z875" s="106">
        <v>15348</v>
      </c>
      <c r="AA875" s="106">
        <v>8731</v>
      </c>
      <c r="AB875" s="106">
        <v>6617</v>
      </c>
      <c r="AC875" s="106">
        <v>1329</v>
      </c>
      <c r="AD875" s="106">
        <v>3496</v>
      </c>
      <c r="AE875" s="106">
        <v>7237</v>
      </c>
      <c r="AF875" s="106">
        <v>3286</v>
      </c>
      <c r="AG875" s="106">
        <v>14286</v>
      </c>
      <c r="AH875" s="106">
        <v>933</v>
      </c>
      <c r="AI875" s="106">
        <v>129</v>
      </c>
      <c r="AJ875" s="106">
        <v>15256</v>
      </c>
      <c r="AK875" s="106">
        <v>6</v>
      </c>
      <c r="AL875" s="106">
        <v>86</v>
      </c>
      <c r="AM875" s="106">
        <v>1354</v>
      </c>
      <c r="AN875" s="106">
        <v>13732</v>
      </c>
      <c r="AO875" s="106">
        <v>262</v>
      </c>
      <c r="AP875" s="107">
        <v>0.78734858681022901</v>
      </c>
      <c r="AQ875" s="107">
        <v>0.16429996479286499</v>
      </c>
      <c r="AR875" s="107">
        <v>1.6248619656097201</v>
      </c>
      <c r="AS875" s="107">
        <v>1.0188087774294701</v>
      </c>
      <c r="AT875" s="107">
        <v>1.28128724672229</v>
      </c>
      <c r="AU875" s="107">
        <v>0.79806184979335903</v>
      </c>
      <c r="AV875" s="107">
        <v>0.15571473061351601</v>
      </c>
      <c r="AW875" s="107">
        <v>0.73683450119193805</v>
      </c>
      <c r="AX875" s="107">
        <v>1.5695067264574001</v>
      </c>
      <c r="AY875" s="107">
        <v>0.8</v>
      </c>
      <c r="AZ875" s="107">
        <v>0.79193177203194798</v>
      </c>
      <c r="BA875" s="107">
        <v>0</v>
      </c>
      <c r="BB875" s="107">
        <v>0</v>
      </c>
      <c r="BC875" s="107">
        <v>0.45078888054094701</v>
      </c>
      <c r="BD875" s="107">
        <v>0.82843801777376103</v>
      </c>
      <c r="BE875" s="107">
        <v>0.39840637450199201</v>
      </c>
    </row>
    <row r="876" spans="2:57" ht="15" customHeight="1" x14ac:dyDescent="0.25">
      <c r="B876" s="91">
        <v>866</v>
      </c>
      <c r="C876" s="92" t="s">
        <v>504</v>
      </c>
      <c r="D876" s="92" t="s">
        <v>302</v>
      </c>
      <c r="E876" s="92" t="s">
        <v>507</v>
      </c>
      <c r="F876" s="92" t="s">
        <v>9</v>
      </c>
      <c r="G876" s="101" t="s">
        <v>501</v>
      </c>
      <c r="H876" s="94">
        <v>0</v>
      </c>
      <c r="I876" s="94">
        <v>0</v>
      </c>
      <c r="J876" s="94">
        <v>0</v>
      </c>
      <c r="K876" s="94">
        <v>0</v>
      </c>
      <c r="L876" s="94">
        <v>0</v>
      </c>
      <c r="M876" s="94">
        <v>0</v>
      </c>
      <c r="N876" s="94">
        <v>0</v>
      </c>
      <c r="O876" s="94">
        <v>0</v>
      </c>
      <c r="P876" s="94">
        <v>0</v>
      </c>
      <c r="Q876" s="95">
        <v>0</v>
      </c>
      <c r="R876" s="95">
        <v>0</v>
      </c>
      <c r="S876" s="95">
        <v>0</v>
      </c>
      <c r="T876" s="95">
        <v>0</v>
      </c>
      <c r="U876" s="95">
        <v>0</v>
      </c>
      <c r="V876" s="95">
        <v>0</v>
      </c>
      <c r="W876" s="95">
        <v>0</v>
      </c>
      <c r="X876" s="95">
        <v>0</v>
      </c>
      <c r="Y876" s="95">
        <v>0</v>
      </c>
      <c r="Z876" s="94">
        <v>0</v>
      </c>
      <c r="AA876" s="94">
        <v>0</v>
      </c>
      <c r="AB876" s="94">
        <v>0</v>
      </c>
      <c r="AC876" s="94">
        <v>0</v>
      </c>
      <c r="AD876" s="94">
        <v>0</v>
      </c>
      <c r="AE876" s="94">
        <v>0</v>
      </c>
      <c r="AF876" s="94">
        <v>0</v>
      </c>
      <c r="AG876" s="94">
        <v>0</v>
      </c>
      <c r="AH876" s="94">
        <v>0</v>
      </c>
      <c r="AI876" s="94">
        <v>0</v>
      </c>
      <c r="AJ876" s="94">
        <v>0</v>
      </c>
      <c r="AK876" s="94">
        <v>0</v>
      </c>
      <c r="AL876" s="94">
        <v>0</v>
      </c>
      <c r="AM876" s="94">
        <v>0</v>
      </c>
      <c r="AN876" s="94">
        <v>0</v>
      </c>
      <c r="AO876" s="94">
        <v>0</v>
      </c>
      <c r="AP876" s="95">
        <v>0</v>
      </c>
      <c r="AQ876" s="95">
        <v>0</v>
      </c>
      <c r="AR876" s="95">
        <v>0</v>
      </c>
      <c r="AS876" s="95">
        <v>0</v>
      </c>
      <c r="AT876" s="95">
        <v>0</v>
      </c>
      <c r="AU876" s="95">
        <v>0</v>
      </c>
      <c r="AV876" s="95">
        <v>0</v>
      </c>
      <c r="AW876" s="95">
        <v>0</v>
      </c>
      <c r="AX876" s="95">
        <v>0</v>
      </c>
      <c r="AY876" s="95">
        <v>0</v>
      </c>
      <c r="AZ876" s="95">
        <v>0</v>
      </c>
      <c r="BA876" s="95">
        <v>0</v>
      </c>
      <c r="BB876" s="95">
        <v>0</v>
      </c>
      <c r="BC876" s="95">
        <v>0</v>
      </c>
      <c r="BD876" s="95">
        <v>0</v>
      </c>
      <c r="BE876" s="95">
        <v>0</v>
      </c>
    </row>
    <row r="877" spans="2:57" ht="15" customHeight="1" x14ac:dyDescent="0.25">
      <c r="B877" s="91">
        <v>867</v>
      </c>
      <c r="C877" s="92" t="s">
        <v>504</v>
      </c>
      <c r="D877" s="92" t="s">
        <v>302</v>
      </c>
      <c r="E877" s="92" t="s">
        <v>507</v>
      </c>
      <c r="F877" s="92" t="s">
        <v>9</v>
      </c>
      <c r="G877" s="101" t="s">
        <v>502</v>
      </c>
      <c r="H877" s="94">
        <v>13568</v>
      </c>
      <c r="I877" s="94">
        <v>7878</v>
      </c>
      <c r="J877" s="94">
        <v>5690</v>
      </c>
      <c r="K877" s="94">
        <v>1006</v>
      </c>
      <c r="L877" s="94">
        <v>3372</v>
      </c>
      <c r="M877" s="94">
        <v>6664</v>
      </c>
      <c r="N877" s="94">
        <v>2526</v>
      </c>
      <c r="O877" s="94">
        <v>13552</v>
      </c>
      <c r="P877" s="94">
        <v>16</v>
      </c>
      <c r="Q877" s="95">
        <v>0.15962965919067801</v>
      </c>
      <c r="R877" s="95">
        <v>5.3959260758127597E-2</v>
      </c>
      <c r="S877" s="95">
        <v>0.312744331508991</v>
      </c>
      <c r="T877" s="95">
        <v>0.23980815347721801</v>
      </c>
      <c r="U877" s="95">
        <v>0.162548764629389</v>
      </c>
      <c r="V877" s="95">
        <v>0.111910471622702</v>
      </c>
      <c r="W877" s="95">
        <v>0.25380710659898498</v>
      </c>
      <c r="X877" s="95">
        <v>0.15979546180888499</v>
      </c>
      <c r="Y877" s="95">
        <v>0</v>
      </c>
      <c r="Z877" s="94">
        <v>15348</v>
      </c>
      <c r="AA877" s="94">
        <v>8731</v>
      </c>
      <c r="AB877" s="94">
        <v>6617</v>
      </c>
      <c r="AC877" s="94">
        <v>1329</v>
      </c>
      <c r="AD877" s="94">
        <v>3496</v>
      </c>
      <c r="AE877" s="94">
        <v>7237</v>
      </c>
      <c r="AF877" s="94">
        <v>3286</v>
      </c>
      <c r="AG877" s="94">
        <v>14286</v>
      </c>
      <c r="AH877" s="94">
        <v>933</v>
      </c>
      <c r="AI877" s="94">
        <v>129</v>
      </c>
      <c r="AJ877" s="94">
        <v>15256</v>
      </c>
      <c r="AK877" s="94">
        <v>6</v>
      </c>
      <c r="AL877" s="94">
        <v>86</v>
      </c>
      <c r="AM877" s="94">
        <v>1354</v>
      </c>
      <c r="AN877" s="94">
        <v>13732</v>
      </c>
      <c r="AO877" s="94">
        <v>262</v>
      </c>
      <c r="AP877" s="95">
        <v>0.78734858681022901</v>
      </c>
      <c r="AQ877" s="95">
        <v>0.16429996479286499</v>
      </c>
      <c r="AR877" s="95">
        <v>1.6248619656097201</v>
      </c>
      <c r="AS877" s="95">
        <v>1.0188087774294701</v>
      </c>
      <c r="AT877" s="95">
        <v>1.28128724672229</v>
      </c>
      <c r="AU877" s="95">
        <v>0.79806184979335903</v>
      </c>
      <c r="AV877" s="95">
        <v>0.15571473061351601</v>
      </c>
      <c r="AW877" s="95">
        <v>0.73683450119193805</v>
      </c>
      <c r="AX877" s="95">
        <v>1.5695067264574001</v>
      </c>
      <c r="AY877" s="95">
        <v>0.8</v>
      </c>
      <c r="AZ877" s="95">
        <v>0.79193177203194798</v>
      </c>
      <c r="BA877" s="95">
        <v>0</v>
      </c>
      <c r="BB877" s="95">
        <v>0</v>
      </c>
      <c r="BC877" s="95">
        <v>0.45078888054094701</v>
      </c>
      <c r="BD877" s="95">
        <v>0.82843801777376103</v>
      </c>
      <c r="BE877" s="95">
        <v>0.39840637450199201</v>
      </c>
    </row>
    <row r="878" spans="2:57" ht="15" customHeight="1" x14ac:dyDescent="0.25">
      <c r="B878" s="96">
        <v>868</v>
      </c>
      <c r="C878" s="97" t="s">
        <v>504</v>
      </c>
      <c r="D878" s="104" t="s">
        <v>302</v>
      </c>
      <c r="E878" s="104" t="s">
        <v>507</v>
      </c>
      <c r="F878" s="104" t="s">
        <v>61</v>
      </c>
      <c r="G878" s="105" t="s">
        <v>61</v>
      </c>
      <c r="H878" s="106">
        <v>4561</v>
      </c>
      <c r="I878" s="106">
        <v>2742</v>
      </c>
      <c r="J878" s="106">
        <v>1819</v>
      </c>
      <c r="K878" s="106">
        <v>292</v>
      </c>
      <c r="L878" s="106">
        <v>941</v>
      </c>
      <c r="M878" s="106">
        <v>2365</v>
      </c>
      <c r="N878" s="106">
        <v>963</v>
      </c>
      <c r="O878" s="106">
        <v>4557</v>
      </c>
      <c r="P878" s="106">
        <v>4</v>
      </c>
      <c r="Q878" s="107">
        <v>0.71842410196987205</v>
      </c>
      <c r="R878" s="107">
        <v>0.72188449848024305</v>
      </c>
      <c r="S878" s="107">
        <v>0.71301247771835996</v>
      </c>
      <c r="T878" s="107">
        <v>0.76923076923076905</v>
      </c>
      <c r="U878" s="107">
        <v>1.58371040723982</v>
      </c>
      <c r="V878" s="107">
        <v>0.61592608886933597</v>
      </c>
      <c r="W878" s="107">
        <v>0.111358574610245</v>
      </c>
      <c r="X878" s="107">
        <v>0.69589422407793999</v>
      </c>
      <c r="Y878" s="107">
        <v>25</v>
      </c>
      <c r="Z878" s="106">
        <v>6028</v>
      </c>
      <c r="AA878" s="106">
        <v>3279</v>
      </c>
      <c r="AB878" s="106">
        <v>2749</v>
      </c>
      <c r="AC878" s="106">
        <v>471</v>
      </c>
      <c r="AD878" s="106">
        <v>1298</v>
      </c>
      <c r="AE878" s="106">
        <v>2871</v>
      </c>
      <c r="AF878" s="106">
        <v>1388</v>
      </c>
      <c r="AG878" s="106">
        <v>5107</v>
      </c>
      <c r="AH878" s="106">
        <v>823</v>
      </c>
      <c r="AI878" s="106">
        <v>98</v>
      </c>
      <c r="AJ878" s="106">
        <v>6000</v>
      </c>
      <c r="AK878" s="106">
        <v>11</v>
      </c>
      <c r="AL878" s="106">
        <v>17</v>
      </c>
      <c r="AM878" s="106">
        <v>730</v>
      </c>
      <c r="AN878" s="106">
        <v>5194</v>
      </c>
      <c r="AO878" s="106">
        <v>104</v>
      </c>
      <c r="AP878" s="107">
        <v>2.9254861469626601</v>
      </c>
      <c r="AQ878" s="107">
        <v>1.8814675446848499</v>
      </c>
      <c r="AR878" s="107">
        <v>4.1952707856598002</v>
      </c>
      <c r="AS878" s="107">
        <v>1.57657657657658</v>
      </c>
      <c r="AT878" s="107">
        <v>5.4187192118226601</v>
      </c>
      <c r="AU878" s="107">
        <v>2.9001074113856098</v>
      </c>
      <c r="AV878" s="107">
        <v>1.17994100294985</v>
      </c>
      <c r="AW878" s="107">
        <v>2.6390580592772999</v>
      </c>
      <c r="AX878" s="107">
        <v>4.81012658227848</v>
      </c>
      <c r="AY878" s="107">
        <v>2.1052631578947398</v>
      </c>
      <c r="AZ878" s="107">
        <v>2.8522039757994802</v>
      </c>
      <c r="BA878" s="107">
        <v>27.272727272727298</v>
      </c>
      <c r="BB878" s="107">
        <v>13.3333333333333</v>
      </c>
      <c r="BC878" s="107">
        <v>0.70521861777150896</v>
      </c>
      <c r="BD878" s="107">
        <v>3.30066013202641</v>
      </c>
      <c r="BE878" s="107">
        <v>0</v>
      </c>
    </row>
    <row r="879" spans="2:57" ht="15" customHeight="1" x14ac:dyDescent="0.25">
      <c r="B879" s="91">
        <v>869</v>
      </c>
      <c r="C879" s="92" t="s">
        <v>504</v>
      </c>
      <c r="D879" s="92" t="s">
        <v>302</v>
      </c>
      <c r="E879" s="92" t="s">
        <v>507</v>
      </c>
      <c r="F879" s="92" t="s">
        <v>61</v>
      </c>
      <c r="G879" s="101" t="s">
        <v>501</v>
      </c>
      <c r="H879" s="94">
        <v>0</v>
      </c>
      <c r="I879" s="94">
        <v>0</v>
      </c>
      <c r="J879" s="94">
        <v>0</v>
      </c>
      <c r="K879" s="94">
        <v>0</v>
      </c>
      <c r="L879" s="94">
        <v>0</v>
      </c>
      <c r="M879" s="94">
        <v>0</v>
      </c>
      <c r="N879" s="94">
        <v>0</v>
      </c>
      <c r="O879" s="94">
        <v>0</v>
      </c>
      <c r="P879" s="94">
        <v>0</v>
      </c>
      <c r="Q879" s="95">
        <v>0</v>
      </c>
      <c r="R879" s="95">
        <v>0</v>
      </c>
      <c r="S879" s="95">
        <v>0</v>
      </c>
      <c r="T879" s="95">
        <v>0</v>
      </c>
      <c r="U879" s="95">
        <v>0</v>
      </c>
      <c r="V879" s="95">
        <v>0</v>
      </c>
      <c r="W879" s="95">
        <v>0</v>
      </c>
      <c r="X879" s="95">
        <v>0</v>
      </c>
      <c r="Y879" s="95">
        <v>0</v>
      </c>
      <c r="Z879" s="94">
        <v>0</v>
      </c>
      <c r="AA879" s="94">
        <v>0</v>
      </c>
      <c r="AB879" s="94">
        <v>0</v>
      </c>
      <c r="AC879" s="94">
        <v>0</v>
      </c>
      <c r="AD879" s="94">
        <v>0</v>
      </c>
      <c r="AE879" s="94">
        <v>0</v>
      </c>
      <c r="AF879" s="94">
        <v>0</v>
      </c>
      <c r="AG879" s="94">
        <v>0</v>
      </c>
      <c r="AH879" s="94">
        <v>0</v>
      </c>
      <c r="AI879" s="94">
        <v>0</v>
      </c>
      <c r="AJ879" s="94">
        <v>0</v>
      </c>
      <c r="AK879" s="94">
        <v>0</v>
      </c>
      <c r="AL879" s="94">
        <v>0</v>
      </c>
      <c r="AM879" s="94">
        <v>0</v>
      </c>
      <c r="AN879" s="94">
        <v>0</v>
      </c>
      <c r="AO879" s="94">
        <v>0</v>
      </c>
      <c r="AP879" s="95">
        <v>0</v>
      </c>
      <c r="AQ879" s="95">
        <v>0</v>
      </c>
      <c r="AR879" s="95">
        <v>0</v>
      </c>
      <c r="AS879" s="95">
        <v>0</v>
      </c>
      <c r="AT879" s="95">
        <v>0</v>
      </c>
      <c r="AU879" s="95">
        <v>0</v>
      </c>
      <c r="AV879" s="95">
        <v>0</v>
      </c>
      <c r="AW879" s="95">
        <v>0</v>
      </c>
      <c r="AX879" s="95">
        <v>0</v>
      </c>
      <c r="AY879" s="95">
        <v>0</v>
      </c>
      <c r="AZ879" s="95">
        <v>0</v>
      </c>
      <c r="BA879" s="95">
        <v>0</v>
      </c>
      <c r="BB879" s="95">
        <v>0</v>
      </c>
      <c r="BC879" s="95">
        <v>0</v>
      </c>
      <c r="BD879" s="95">
        <v>0</v>
      </c>
      <c r="BE879" s="95">
        <v>0</v>
      </c>
    </row>
    <row r="880" spans="2:57" ht="15" customHeight="1" x14ac:dyDescent="0.25">
      <c r="B880" s="91">
        <v>870</v>
      </c>
      <c r="C880" s="92" t="s">
        <v>504</v>
      </c>
      <c r="D880" s="92" t="s">
        <v>302</v>
      </c>
      <c r="E880" s="92" t="s">
        <v>507</v>
      </c>
      <c r="F880" s="92" t="s">
        <v>61</v>
      </c>
      <c r="G880" s="101" t="s">
        <v>502</v>
      </c>
      <c r="H880" s="94">
        <v>4561</v>
      </c>
      <c r="I880" s="94">
        <v>2742</v>
      </c>
      <c r="J880" s="94">
        <v>1819</v>
      </c>
      <c r="K880" s="94">
        <v>292</v>
      </c>
      <c r="L880" s="94">
        <v>941</v>
      </c>
      <c r="M880" s="94">
        <v>2365</v>
      </c>
      <c r="N880" s="94">
        <v>963</v>
      </c>
      <c r="O880" s="94">
        <v>4557</v>
      </c>
      <c r="P880" s="94">
        <v>4</v>
      </c>
      <c r="Q880" s="95">
        <v>0.71842410196987205</v>
      </c>
      <c r="R880" s="95">
        <v>0.72188449848024305</v>
      </c>
      <c r="S880" s="95">
        <v>0.71301247771835996</v>
      </c>
      <c r="T880" s="95">
        <v>0.76923076923076905</v>
      </c>
      <c r="U880" s="95">
        <v>1.58371040723982</v>
      </c>
      <c r="V880" s="95">
        <v>0.61592608886933597</v>
      </c>
      <c r="W880" s="95">
        <v>0.111358574610245</v>
      </c>
      <c r="X880" s="95">
        <v>0.69589422407793999</v>
      </c>
      <c r="Y880" s="95">
        <v>25</v>
      </c>
      <c r="Z880" s="94">
        <v>6028</v>
      </c>
      <c r="AA880" s="94">
        <v>3279</v>
      </c>
      <c r="AB880" s="94">
        <v>2749</v>
      </c>
      <c r="AC880" s="94">
        <v>471</v>
      </c>
      <c r="AD880" s="94">
        <v>1298</v>
      </c>
      <c r="AE880" s="94">
        <v>2871</v>
      </c>
      <c r="AF880" s="94">
        <v>1388</v>
      </c>
      <c r="AG880" s="94">
        <v>5107</v>
      </c>
      <c r="AH880" s="94">
        <v>823</v>
      </c>
      <c r="AI880" s="94">
        <v>98</v>
      </c>
      <c r="AJ880" s="94">
        <v>6000</v>
      </c>
      <c r="AK880" s="94">
        <v>11</v>
      </c>
      <c r="AL880" s="94">
        <v>17</v>
      </c>
      <c r="AM880" s="94">
        <v>730</v>
      </c>
      <c r="AN880" s="94">
        <v>5194</v>
      </c>
      <c r="AO880" s="94">
        <v>104</v>
      </c>
      <c r="AP880" s="95">
        <v>2.9254861469626601</v>
      </c>
      <c r="AQ880" s="95">
        <v>1.8814675446848499</v>
      </c>
      <c r="AR880" s="95">
        <v>4.1952707856598002</v>
      </c>
      <c r="AS880" s="95">
        <v>1.57657657657658</v>
      </c>
      <c r="AT880" s="95">
        <v>5.4187192118226601</v>
      </c>
      <c r="AU880" s="95">
        <v>2.9001074113856098</v>
      </c>
      <c r="AV880" s="95">
        <v>1.17994100294985</v>
      </c>
      <c r="AW880" s="95">
        <v>2.6390580592772999</v>
      </c>
      <c r="AX880" s="95">
        <v>4.81012658227848</v>
      </c>
      <c r="AY880" s="95">
        <v>2.1052631578947398</v>
      </c>
      <c r="AZ880" s="95">
        <v>2.8522039757994802</v>
      </c>
      <c r="BA880" s="95">
        <v>27.272727272727298</v>
      </c>
      <c r="BB880" s="95">
        <v>13.3333333333333</v>
      </c>
      <c r="BC880" s="95">
        <v>0.70521861777150896</v>
      </c>
      <c r="BD880" s="95">
        <v>3.30066013202641</v>
      </c>
      <c r="BE880" s="95">
        <v>0</v>
      </c>
    </row>
    <row r="881" spans="2:57" ht="15" customHeight="1" x14ac:dyDescent="0.25">
      <c r="B881" s="86">
        <v>871</v>
      </c>
      <c r="C881" s="87" t="s">
        <v>503</v>
      </c>
      <c r="D881" s="103" t="s">
        <v>302</v>
      </c>
      <c r="E881" s="103" t="s">
        <v>393</v>
      </c>
      <c r="F881" s="103"/>
      <c r="G881" s="88" t="s">
        <v>393</v>
      </c>
      <c r="H881" s="89">
        <v>19119</v>
      </c>
      <c r="I881" s="89">
        <v>11216</v>
      </c>
      <c r="J881" s="89">
        <v>7903</v>
      </c>
      <c r="K881" s="89">
        <v>896</v>
      </c>
      <c r="L881" s="89">
        <v>5062</v>
      </c>
      <c r="M881" s="89">
        <v>9675</v>
      </c>
      <c r="N881" s="89">
        <v>3486</v>
      </c>
      <c r="O881" s="89">
        <v>19035</v>
      </c>
      <c r="P881" s="89">
        <v>84</v>
      </c>
      <c r="Q881" s="90">
        <v>0.397855998231751</v>
      </c>
      <c r="R881" s="90">
        <v>0.149351255483991</v>
      </c>
      <c r="S881" s="90">
        <v>0.75839653304442001</v>
      </c>
      <c r="T881" s="90">
        <v>0.80428954423592502</v>
      </c>
      <c r="U881" s="90">
        <v>0.632911392405063</v>
      </c>
      <c r="V881" s="90">
        <v>0.25864856126737801</v>
      </c>
      <c r="W881" s="90">
        <v>0.36014405762304902</v>
      </c>
      <c r="X881" s="90">
        <v>0.39387551314767599</v>
      </c>
      <c r="Y881" s="90">
        <v>1.40845070422535</v>
      </c>
      <c r="Z881" s="89">
        <v>21917</v>
      </c>
      <c r="AA881" s="89">
        <v>11713</v>
      </c>
      <c r="AB881" s="89">
        <v>10204</v>
      </c>
      <c r="AC881" s="89">
        <v>946</v>
      </c>
      <c r="AD881" s="89">
        <v>4922</v>
      </c>
      <c r="AE881" s="89">
        <v>11377</v>
      </c>
      <c r="AF881" s="89">
        <v>4672</v>
      </c>
      <c r="AG881" s="89">
        <v>18580</v>
      </c>
      <c r="AH881" s="89">
        <v>3178</v>
      </c>
      <c r="AI881" s="89">
        <v>159</v>
      </c>
      <c r="AJ881" s="89">
        <v>21578</v>
      </c>
      <c r="AK881" s="89">
        <v>274</v>
      </c>
      <c r="AL881" s="89">
        <v>65</v>
      </c>
      <c r="AM881" s="89">
        <v>1654</v>
      </c>
      <c r="AN881" s="89">
        <v>20021</v>
      </c>
      <c r="AO881" s="89">
        <v>242</v>
      </c>
      <c r="AP881" s="90">
        <v>1.5895610913404501</v>
      </c>
      <c r="AQ881" s="90">
        <v>0.44006336912515398</v>
      </c>
      <c r="AR881" s="90">
        <v>2.9342118809842499</v>
      </c>
      <c r="AS881" s="90">
        <v>2.2650056625141599</v>
      </c>
      <c r="AT881" s="90">
        <v>2.1697099892588598</v>
      </c>
      <c r="AU881" s="90">
        <v>1.65040576274277</v>
      </c>
      <c r="AV881" s="90">
        <v>0.72210065645514199</v>
      </c>
      <c r="AW881" s="90">
        <v>1.33564323236839</v>
      </c>
      <c r="AX881" s="90">
        <v>3.17040951122853</v>
      </c>
      <c r="AY881" s="90">
        <v>0</v>
      </c>
      <c r="AZ881" s="90">
        <v>1.57085722546138</v>
      </c>
      <c r="BA881" s="90">
        <v>2.31660231660232</v>
      </c>
      <c r="BB881" s="90">
        <v>4.7619047619047601</v>
      </c>
      <c r="BC881" s="90">
        <v>1.23609394313968</v>
      </c>
      <c r="BD881" s="90">
        <v>1.6226336592469299</v>
      </c>
      <c r="BE881" s="90">
        <v>1.31004366812227</v>
      </c>
    </row>
    <row r="882" spans="2:57" ht="15" customHeight="1" x14ac:dyDescent="0.25">
      <c r="B882" s="91">
        <v>872</v>
      </c>
      <c r="C882" s="92" t="s">
        <v>503</v>
      </c>
      <c r="D882" s="92" t="s">
        <v>302</v>
      </c>
      <c r="E882" s="92" t="s">
        <v>393</v>
      </c>
      <c r="F882" s="92"/>
      <c r="G882" s="93" t="s">
        <v>501</v>
      </c>
      <c r="H882" s="94">
        <v>2593</v>
      </c>
      <c r="I882" s="94">
        <v>1572</v>
      </c>
      <c r="J882" s="94">
        <v>1021</v>
      </c>
      <c r="K882" s="94">
        <v>114</v>
      </c>
      <c r="L882" s="94">
        <v>786</v>
      </c>
      <c r="M882" s="94">
        <v>1481</v>
      </c>
      <c r="N882" s="94">
        <v>212</v>
      </c>
      <c r="O882" s="94">
        <v>2585</v>
      </c>
      <c r="P882" s="94">
        <v>8</v>
      </c>
      <c r="Q882" s="95">
        <v>1.2274959083469701</v>
      </c>
      <c r="R882" s="95">
        <v>0.53763440860215095</v>
      </c>
      <c r="S882" s="95">
        <v>2.3012552301255198</v>
      </c>
      <c r="T882" s="95">
        <v>2.1739130434782599</v>
      </c>
      <c r="U882" s="95">
        <v>2.1798365122615802</v>
      </c>
      <c r="V882" s="95">
        <v>0.63424947145877397</v>
      </c>
      <c r="W882" s="95">
        <v>1.50753768844221</v>
      </c>
      <c r="X882" s="95">
        <v>1.1899876897825199</v>
      </c>
      <c r="Y882" s="95">
        <v>14.285714285714301</v>
      </c>
      <c r="Z882" s="94">
        <v>1561</v>
      </c>
      <c r="AA882" s="94">
        <v>739</v>
      </c>
      <c r="AB882" s="94">
        <v>822</v>
      </c>
      <c r="AC882" s="94">
        <v>94</v>
      </c>
      <c r="AD882" s="94">
        <v>346</v>
      </c>
      <c r="AE882" s="94">
        <v>882</v>
      </c>
      <c r="AF882" s="94">
        <v>239</v>
      </c>
      <c r="AG882" s="94">
        <v>1026</v>
      </c>
      <c r="AH882" s="94">
        <v>523</v>
      </c>
      <c r="AI882" s="94">
        <v>12</v>
      </c>
      <c r="AJ882" s="94">
        <v>1531</v>
      </c>
      <c r="AK882" s="94">
        <v>23</v>
      </c>
      <c r="AL882" s="94">
        <v>7</v>
      </c>
      <c r="AM882" s="94">
        <v>111</v>
      </c>
      <c r="AN882" s="94">
        <v>1434</v>
      </c>
      <c r="AO882" s="94">
        <v>16</v>
      </c>
      <c r="AP882" s="95">
        <v>5.2667116812964201</v>
      </c>
      <c r="AQ882" s="95">
        <v>1.99430199430199</v>
      </c>
      <c r="AR882" s="95">
        <v>8.2156611039794605</v>
      </c>
      <c r="AS882" s="95">
        <v>9.8901098901098905</v>
      </c>
      <c r="AT882" s="95">
        <v>4.4025157232704402</v>
      </c>
      <c r="AU882" s="95">
        <v>5.6085918854415304</v>
      </c>
      <c r="AV882" s="95">
        <v>3.41880341880342</v>
      </c>
      <c r="AW882" s="95">
        <v>4.70829068577277</v>
      </c>
      <c r="AX882" s="95">
        <v>6.4908722109533503</v>
      </c>
      <c r="AY882" s="95">
        <v>0</v>
      </c>
      <c r="AZ882" s="95">
        <v>5.2993805918788697</v>
      </c>
      <c r="BA882" s="95">
        <v>4.7619047619047601</v>
      </c>
      <c r="BB882" s="95">
        <v>0</v>
      </c>
      <c r="BC882" s="95">
        <v>2.8037383177570101</v>
      </c>
      <c r="BD882" s="95">
        <v>5.3755522827687798</v>
      </c>
      <c r="BE882" s="95">
        <v>12.5</v>
      </c>
    </row>
    <row r="883" spans="2:57" ht="15" customHeight="1" x14ac:dyDescent="0.25">
      <c r="B883" s="91">
        <v>873</v>
      </c>
      <c r="C883" s="92" t="s">
        <v>503</v>
      </c>
      <c r="D883" s="92" t="s">
        <v>302</v>
      </c>
      <c r="E883" s="92" t="s">
        <v>393</v>
      </c>
      <c r="F883" s="92"/>
      <c r="G883" s="93" t="s">
        <v>502</v>
      </c>
      <c r="H883" s="94">
        <v>16526</v>
      </c>
      <c r="I883" s="94">
        <v>9644</v>
      </c>
      <c r="J883" s="94">
        <v>6882</v>
      </c>
      <c r="K883" s="94">
        <v>782</v>
      </c>
      <c r="L883" s="94">
        <v>4276</v>
      </c>
      <c r="M883" s="94">
        <v>8194</v>
      </c>
      <c r="N883" s="94">
        <v>3274</v>
      </c>
      <c r="O883" s="94">
        <v>16450</v>
      </c>
      <c r="P883" s="94">
        <v>76</v>
      </c>
      <c r="Q883" s="95">
        <v>0.26831917204369798</v>
      </c>
      <c r="R883" s="95">
        <v>8.6720867208672101E-2</v>
      </c>
      <c r="S883" s="95">
        <v>0.52893590541381497</v>
      </c>
      <c r="T883" s="95">
        <v>0.61162079510703404</v>
      </c>
      <c r="U883" s="95">
        <v>0.34947578632051901</v>
      </c>
      <c r="V883" s="95">
        <v>0.19083969465648901</v>
      </c>
      <c r="W883" s="95">
        <v>0.28726460261730002</v>
      </c>
      <c r="X883" s="95">
        <v>0.26942074539739602</v>
      </c>
      <c r="Y883" s="95">
        <v>0</v>
      </c>
      <c r="Z883" s="94">
        <v>20356</v>
      </c>
      <c r="AA883" s="94">
        <v>10974</v>
      </c>
      <c r="AB883" s="94">
        <v>9382</v>
      </c>
      <c r="AC883" s="94">
        <v>852</v>
      </c>
      <c r="AD883" s="94">
        <v>4576</v>
      </c>
      <c r="AE883" s="94">
        <v>10495</v>
      </c>
      <c r="AF883" s="94">
        <v>4433</v>
      </c>
      <c r="AG883" s="94">
        <v>17554</v>
      </c>
      <c r="AH883" s="94">
        <v>2655</v>
      </c>
      <c r="AI883" s="94">
        <v>147</v>
      </c>
      <c r="AJ883" s="94">
        <v>20047</v>
      </c>
      <c r="AK883" s="94">
        <v>251</v>
      </c>
      <c r="AL883" s="94">
        <v>58</v>
      </c>
      <c r="AM883" s="94">
        <v>1543</v>
      </c>
      <c r="AN883" s="94">
        <v>18587</v>
      </c>
      <c r="AO883" s="94">
        <v>226</v>
      </c>
      <c r="AP883" s="95">
        <v>1.31162600796162</v>
      </c>
      <c r="AQ883" s="95">
        <v>0.33771106941838602</v>
      </c>
      <c r="AR883" s="95">
        <v>2.47369599283636</v>
      </c>
      <c r="AS883" s="95">
        <v>1.3888888888888899</v>
      </c>
      <c r="AT883" s="95">
        <v>2.0059949273691502</v>
      </c>
      <c r="AU883" s="95">
        <v>1.3229341494718101</v>
      </c>
      <c r="AV883" s="95">
        <v>0.57656826568265696</v>
      </c>
      <c r="AW883" s="95">
        <v>1.14086421942425</v>
      </c>
      <c r="AX883" s="95">
        <v>2.5246548323471401</v>
      </c>
      <c r="AY883" s="95">
        <v>0</v>
      </c>
      <c r="AZ883" s="95">
        <v>1.2901554404145099</v>
      </c>
      <c r="BA883" s="95">
        <v>2.1008403361344499</v>
      </c>
      <c r="BB883" s="95">
        <v>5.3571428571428603</v>
      </c>
      <c r="BC883" s="95">
        <v>1.1250827266710799</v>
      </c>
      <c r="BD883" s="95">
        <v>1.3374370453273601</v>
      </c>
      <c r="BE883" s="95">
        <v>0.46948356807511699</v>
      </c>
    </row>
    <row r="884" spans="2:57" ht="15" customHeight="1" x14ac:dyDescent="0.25">
      <c r="B884" s="96">
        <v>874</v>
      </c>
      <c r="C884" s="97" t="s">
        <v>504</v>
      </c>
      <c r="D884" s="104" t="s">
        <v>302</v>
      </c>
      <c r="E884" s="104" t="s">
        <v>393</v>
      </c>
      <c r="F884" s="104" t="s">
        <v>114</v>
      </c>
      <c r="G884" s="105" t="s">
        <v>114</v>
      </c>
      <c r="H884" s="106">
        <v>14671</v>
      </c>
      <c r="I884" s="106">
        <v>8686</v>
      </c>
      <c r="J884" s="106">
        <v>5985</v>
      </c>
      <c r="K884" s="106">
        <v>713</v>
      </c>
      <c r="L884" s="106">
        <v>4082</v>
      </c>
      <c r="M884" s="106">
        <v>7455</v>
      </c>
      <c r="N884" s="106">
        <v>2421</v>
      </c>
      <c r="O884" s="106">
        <v>14607</v>
      </c>
      <c r="P884" s="106">
        <v>64</v>
      </c>
      <c r="Q884" s="107">
        <v>0.32362459546925598</v>
      </c>
      <c r="R884" s="107">
        <v>0.168249008532628</v>
      </c>
      <c r="S884" s="107">
        <v>0.555157593123209</v>
      </c>
      <c r="T884" s="107">
        <v>0.83892617449664397</v>
      </c>
      <c r="U884" s="107">
        <v>0.62728698379508596</v>
      </c>
      <c r="V884" s="107">
        <v>0.16729401923881199</v>
      </c>
      <c r="W884" s="107">
        <v>0.17316017316017299</v>
      </c>
      <c r="X884" s="107">
        <v>0.31771247021445598</v>
      </c>
      <c r="Y884" s="107">
        <v>1.78571428571429</v>
      </c>
      <c r="Z884" s="106">
        <v>16115</v>
      </c>
      <c r="AA884" s="106">
        <v>8718</v>
      </c>
      <c r="AB884" s="106">
        <v>7397</v>
      </c>
      <c r="AC884" s="106">
        <v>688</v>
      </c>
      <c r="AD884" s="106">
        <v>3722</v>
      </c>
      <c r="AE884" s="106">
        <v>8536</v>
      </c>
      <c r="AF884" s="106">
        <v>3169</v>
      </c>
      <c r="AG884" s="106">
        <v>13429</v>
      </c>
      <c r="AH884" s="106">
        <v>2559</v>
      </c>
      <c r="AI884" s="106">
        <v>127</v>
      </c>
      <c r="AJ884" s="106">
        <v>15862</v>
      </c>
      <c r="AK884" s="106">
        <v>210</v>
      </c>
      <c r="AL884" s="106">
        <v>43</v>
      </c>
      <c r="AM884" s="106">
        <v>1206</v>
      </c>
      <c r="AN884" s="106">
        <v>14742</v>
      </c>
      <c r="AO884" s="106">
        <v>167</v>
      </c>
      <c r="AP884" s="107">
        <v>1.6778523489932899</v>
      </c>
      <c r="AQ884" s="107">
        <v>0.43730055548989499</v>
      </c>
      <c r="AR884" s="107">
        <v>3.1698649609097398</v>
      </c>
      <c r="AS884" s="107">
        <v>2.60336906584992</v>
      </c>
      <c r="AT884" s="107">
        <v>2.10048254328697</v>
      </c>
      <c r="AU884" s="107">
        <v>1.77421314862073</v>
      </c>
      <c r="AV884" s="107">
        <v>0.744095761889356</v>
      </c>
      <c r="AW884" s="107">
        <v>1.38405629011057</v>
      </c>
      <c r="AX884" s="107">
        <v>3.3183121671446099</v>
      </c>
      <c r="AY884" s="107">
        <v>0</v>
      </c>
      <c r="AZ884" s="107">
        <v>1.65847263192396</v>
      </c>
      <c r="BA884" s="107">
        <v>3.0150753768844201</v>
      </c>
      <c r="BB884" s="107">
        <v>2.38095238095238</v>
      </c>
      <c r="BC884" s="107">
        <v>1.27551020408163</v>
      </c>
      <c r="BD884" s="107">
        <v>1.70855690482914</v>
      </c>
      <c r="BE884" s="107">
        <v>1.92307692307692</v>
      </c>
    </row>
    <row r="885" spans="2:57" ht="15" customHeight="1" x14ac:dyDescent="0.25">
      <c r="B885" s="91">
        <v>875</v>
      </c>
      <c r="C885" s="92" t="s">
        <v>504</v>
      </c>
      <c r="D885" s="92" t="s">
        <v>302</v>
      </c>
      <c r="E885" s="92" t="s">
        <v>393</v>
      </c>
      <c r="F885" s="92" t="s">
        <v>114</v>
      </c>
      <c r="G885" s="101" t="s">
        <v>501</v>
      </c>
      <c r="H885" s="94">
        <v>2593</v>
      </c>
      <c r="I885" s="94">
        <v>1572</v>
      </c>
      <c r="J885" s="94">
        <v>1021</v>
      </c>
      <c r="K885" s="94">
        <v>114</v>
      </c>
      <c r="L885" s="94">
        <v>786</v>
      </c>
      <c r="M885" s="94">
        <v>1481</v>
      </c>
      <c r="N885" s="94">
        <v>212</v>
      </c>
      <c r="O885" s="94">
        <v>2585</v>
      </c>
      <c r="P885" s="94">
        <v>8</v>
      </c>
      <c r="Q885" s="95">
        <v>1.2274959083469701</v>
      </c>
      <c r="R885" s="95">
        <v>0.53763440860215095</v>
      </c>
      <c r="S885" s="95">
        <v>2.3012552301255198</v>
      </c>
      <c r="T885" s="95">
        <v>2.1739130434782599</v>
      </c>
      <c r="U885" s="95">
        <v>2.1798365122615802</v>
      </c>
      <c r="V885" s="95">
        <v>0.63424947145877397</v>
      </c>
      <c r="W885" s="95">
        <v>1.50753768844221</v>
      </c>
      <c r="X885" s="95">
        <v>1.1899876897825199</v>
      </c>
      <c r="Y885" s="95">
        <v>14.285714285714301</v>
      </c>
      <c r="Z885" s="94">
        <v>1561</v>
      </c>
      <c r="AA885" s="94">
        <v>739</v>
      </c>
      <c r="AB885" s="94">
        <v>822</v>
      </c>
      <c r="AC885" s="94">
        <v>94</v>
      </c>
      <c r="AD885" s="94">
        <v>346</v>
      </c>
      <c r="AE885" s="94">
        <v>882</v>
      </c>
      <c r="AF885" s="94">
        <v>239</v>
      </c>
      <c r="AG885" s="94">
        <v>1026</v>
      </c>
      <c r="AH885" s="94">
        <v>523</v>
      </c>
      <c r="AI885" s="94">
        <v>12</v>
      </c>
      <c r="AJ885" s="94">
        <v>1531</v>
      </c>
      <c r="AK885" s="94">
        <v>23</v>
      </c>
      <c r="AL885" s="94">
        <v>7</v>
      </c>
      <c r="AM885" s="94">
        <v>111</v>
      </c>
      <c r="AN885" s="94">
        <v>1434</v>
      </c>
      <c r="AO885" s="94">
        <v>16</v>
      </c>
      <c r="AP885" s="95">
        <v>5.2667116812964201</v>
      </c>
      <c r="AQ885" s="95">
        <v>1.99430199430199</v>
      </c>
      <c r="AR885" s="95">
        <v>8.2156611039794605</v>
      </c>
      <c r="AS885" s="95">
        <v>9.8901098901098905</v>
      </c>
      <c r="AT885" s="95">
        <v>4.4025157232704402</v>
      </c>
      <c r="AU885" s="95">
        <v>5.6085918854415304</v>
      </c>
      <c r="AV885" s="95">
        <v>3.41880341880342</v>
      </c>
      <c r="AW885" s="95">
        <v>4.70829068577277</v>
      </c>
      <c r="AX885" s="95">
        <v>6.4908722109533503</v>
      </c>
      <c r="AY885" s="95">
        <v>0</v>
      </c>
      <c r="AZ885" s="95">
        <v>5.2993805918788697</v>
      </c>
      <c r="BA885" s="95">
        <v>4.7619047619047601</v>
      </c>
      <c r="BB885" s="95">
        <v>0</v>
      </c>
      <c r="BC885" s="95">
        <v>2.8037383177570101</v>
      </c>
      <c r="BD885" s="95">
        <v>5.3755522827687798</v>
      </c>
      <c r="BE885" s="95">
        <v>12.5</v>
      </c>
    </row>
    <row r="886" spans="2:57" ht="15" customHeight="1" x14ac:dyDescent="0.25">
      <c r="B886" s="91">
        <v>876</v>
      </c>
      <c r="C886" s="92" t="s">
        <v>504</v>
      </c>
      <c r="D886" s="92" t="s">
        <v>302</v>
      </c>
      <c r="E886" s="92" t="s">
        <v>393</v>
      </c>
      <c r="F886" s="92" t="s">
        <v>114</v>
      </c>
      <c r="G886" s="101" t="s">
        <v>502</v>
      </c>
      <c r="H886" s="94">
        <v>12078</v>
      </c>
      <c r="I886" s="94">
        <v>7114</v>
      </c>
      <c r="J886" s="94">
        <v>4964</v>
      </c>
      <c r="K886" s="94">
        <v>599</v>
      </c>
      <c r="L886" s="94">
        <v>3296</v>
      </c>
      <c r="M886" s="94">
        <v>5974</v>
      </c>
      <c r="N886" s="94">
        <v>2209</v>
      </c>
      <c r="O886" s="94">
        <v>12022</v>
      </c>
      <c r="P886" s="94">
        <v>56</v>
      </c>
      <c r="Q886" s="95">
        <v>0.130878631882035</v>
      </c>
      <c r="R886" s="95">
        <v>8.78091614225084E-2</v>
      </c>
      <c r="S886" s="95">
        <v>0.194468452895419</v>
      </c>
      <c r="T886" s="95">
        <v>0.59523809523809501</v>
      </c>
      <c r="U886" s="95">
        <v>0.25873221216041398</v>
      </c>
      <c r="V886" s="95">
        <v>5.2137643378519297E-2</v>
      </c>
      <c r="W886" s="95">
        <v>4.7370914258645203E-2</v>
      </c>
      <c r="X886" s="95">
        <v>0.131440588853838</v>
      </c>
      <c r="Y886" s="95">
        <v>0</v>
      </c>
      <c r="Z886" s="94">
        <v>14554</v>
      </c>
      <c r="AA886" s="94">
        <v>7979</v>
      </c>
      <c r="AB886" s="94">
        <v>6575</v>
      </c>
      <c r="AC886" s="94">
        <v>594</v>
      </c>
      <c r="AD886" s="94">
        <v>3376</v>
      </c>
      <c r="AE886" s="94">
        <v>7654</v>
      </c>
      <c r="AF886" s="94">
        <v>2930</v>
      </c>
      <c r="AG886" s="94">
        <v>12403</v>
      </c>
      <c r="AH886" s="94">
        <v>2036</v>
      </c>
      <c r="AI886" s="94">
        <v>115</v>
      </c>
      <c r="AJ886" s="94">
        <v>14331</v>
      </c>
      <c r="AK886" s="94">
        <v>187</v>
      </c>
      <c r="AL886" s="94">
        <v>36</v>
      </c>
      <c r="AM886" s="94">
        <v>1095</v>
      </c>
      <c r="AN886" s="94">
        <v>13308</v>
      </c>
      <c r="AO886" s="94">
        <v>151</v>
      </c>
      <c r="AP886" s="95">
        <v>1.2986086336068501</v>
      </c>
      <c r="AQ886" s="95">
        <v>0.29642995231344199</v>
      </c>
      <c r="AR886" s="95">
        <v>2.5415601023017902</v>
      </c>
      <c r="AS886" s="95">
        <v>1.4234875444839901</v>
      </c>
      <c r="AT886" s="95">
        <v>1.87207488299532</v>
      </c>
      <c r="AU886" s="95">
        <v>1.33946691922609</v>
      </c>
      <c r="AV886" s="95">
        <v>0.52502625131256597</v>
      </c>
      <c r="AW886" s="95">
        <v>1.1124121779859499</v>
      </c>
      <c r="AX886" s="95">
        <v>2.51540041067762</v>
      </c>
      <c r="AY886" s="95">
        <v>0</v>
      </c>
      <c r="AZ886" s="95">
        <v>1.2751775105057199</v>
      </c>
      <c r="BA886" s="95">
        <v>2.80898876404494</v>
      </c>
      <c r="BB886" s="95">
        <v>2.8571428571428599</v>
      </c>
      <c r="BC886" s="95">
        <v>1.12254443405051</v>
      </c>
      <c r="BD886" s="95">
        <v>1.31969389348743</v>
      </c>
      <c r="BE886" s="95">
        <v>0.71428571428571397</v>
      </c>
    </row>
    <row r="887" spans="2:57" ht="15" customHeight="1" x14ac:dyDescent="0.25">
      <c r="B887" s="96">
        <v>877</v>
      </c>
      <c r="C887" s="97" t="s">
        <v>504</v>
      </c>
      <c r="D887" s="104" t="s">
        <v>302</v>
      </c>
      <c r="E887" s="104" t="s">
        <v>393</v>
      </c>
      <c r="F887" s="104" t="s">
        <v>234</v>
      </c>
      <c r="G887" s="105" t="s">
        <v>234</v>
      </c>
      <c r="H887" s="106">
        <v>4448</v>
      </c>
      <c r="I887" s="106">
        <v>2530</v>
      </c>
      <c r="J887" s="106">
        <v>1918</v>
      </c>
      <c r="K887" s="106">
        <v>183</v>
      </c>
      <c r="L887" s="106">
        <v>980</v>
      </c>
      <c r="M887" s="106">
        <v>2220</v>
      </c>
      <c r="N887" s="106">
        <v>1065</v>
      </c>
      <c r="O887" s="106">
        <v>4428</v>
      </c>
      <c r="P887" s="106">
        <v>20</v>
      </c>
      <c r="Q887" s="107">
        <v>0.64408396946564905</v>
      </c>
      <c r="R887" s="107">
        <v>8.3612040133779306E-2</v>
      </c>
      <c r="S887" s="107">
        <v>1.3888888888888899</v>
      </c>
      <c r="T887" s="107">
        <v>0.66666666666666696</v>
      </c>
      <c r="U887" s="107">
        <v>0.65645514223194701</v>
      </c>
      <c r="V887" s="107">
        <v>0.56980056980057003</v>
      </c>
      <c r="W887" s="107">
        <v>0.78277886497064597</v>
      </c>
      <c r="X887" s="107">
        <v>0.64639693559971301</v>
      </c>
      <c r="Y887" s="107">
        <v>0</v>
      </c>
      <c r="Z887" s="106">
        <v>5802</v>
      </c>
      <c r="AA887" s="106">
        <v>2995</v>
      </c>
      <c r="AB887" s="106">
        <v>2807</v>
      </c>
      <c r="AC887" s="106">
        <v>258</v>
      </c>
      <c r="AD887" s="106">
        <v>1200</v>
      </c>
      <c r="AE887" s="106">
        <v>2841</v>
      </c>
      <c r="AF887" s="106">
        <v>1503</v>
      </c>
      <c r="AG887" s="106">
        <v>5151</v>
      </c>
      <c r="AH887" s="106">
        <v>619</v>
      </c>
      <c r="AI887" s="106">
        <v>32</v>
      </c>
      <c r="AJ887" s="106">
        <v>5716</v>
      </c>
      <c r="AK887" s="106">
        <v>64</v>
      </c>
      <c r="AL887" s="106">
        <v>22</v>
      </c>
      <c r="AM887" s="106">
        <v>448</v>
      </c>
      <c r="AN887" s="106">
        <v>5279</v>
      </c>
      <c r="AO887" s="106">
        <v>75</v>
      </c>
      <c r="AP887" s="107">
        <v>1.34432694031188</v>
      </c>
      <c r="AQ887" s="107">
        <v>0.44812133746983801</v>
      </c>
      <c r="AR887" s="107">
        <v>2.3151605675877498</v>
      </c>
      <c r="AS887" s="107">
        <v>1.3043478260869601</v>
      </c>
      <c r="AT887" s="107">
        <v>2.3851590106007099</v>
      </c>
      <c r="AU887" s="107">
        <v>1.27830533235939</v>
      </c>
      <c r="AV887" s="107">
        <v>0.67613252197430695</v>
      </c>
      <c r="AW887" s="107">
        <v>1.20943358193913</v>
      </c>
      <c r="AX887" s="107">
        <v>2.5553662691652499</v>
      </c>
      <c r="AY887" s="107">
        <v>0</v>
      </c>
      <c r="AZ887" s="107">
        <v>1.3277555474718099</v>
      </c>
      <c r="BA887" s="107">
        <v>0</v>
      </c>
      <c r="BB887" s="107">
        <v>9.5238095238095202</v>
      </c>
      <c r="BC887" s="107">
        <v>1.13122171945701</v>
      </c>
      <c r="BD887" s="107">
        <v>1.3823064770932101</v>
      </c>
      <c r="BE887" s="107">
        <v>0</v>
      </c>
    </row>
    <row r="888" spans="2:57" ht="15" customHeight="1" x14ac:dyDescent="0.25">
      <c r="B888" s="91">
        <v>878</v>
      </c>
      <c r="C888" s="92" t="s">
        <v>504</v>
      </c>
      <c r="D888" s="92" t="s">
        <v>302</v>
      </c>
      <c r="E888" s="92" t="s">
        <v>393</v>
      </c>
      <c r="F888" s="92" t="s">
        <v>234</v>
      </c>
      <c r="G888" s="101" t="s">
        <v>501</v>
      </c>
      <c r="H888" s="94">
        <v>0</v>
      </c>
      <c r="I888" s="94">
        <v>0</v>
      </c>
      <c r="J888" s="94">
        <v>0</v>
      </c>
      <c r="K888" s="94">
        <v>0</v>
      </c>
      <c r="L888" s="94">
        <v>0</v>
      </c>
      <c r="M888" s="94">
        <v>0</v>
      </c>
      <c r="N888" s="94">
        <v>0</v>
      </c>
      <c r="O888" s="94">
        <v>0</v>
      </c>
      <c r="P888" s="94">
        <v>0</v>
      </c>
      <c r="Q888" s="95">
        <v>0</v>
      </c>
      <c r="R888" s="95">
        <v>0</v>
      </c>
      <c r="S888" s="95">
        <v>0</v>
      </c>
      <c r="T888" s="95">
        <v>0</v>
      </c>
      <c r="U888" s="95">
        <v>0</v>
      </c>
      <c r="V888" s="95">
        <v>0</v>
      </c>
      <c r="W888" s="95">
        <v>0</v>
      </c>
      <c r="X888" s="95">
        <v>0</v>
      </c>
      <c r="Y888" s="95">
        <v>0</v>
      </c>
      <c r="Z888" s="94">
        <v>0</v>
      </c>
      <c r="AA888" s="94">
        <v>0</v>
      </c>
      <c r="AB888" s="94">
        <v>0</v>
      </c>
      <c r="AC888" s="94">
        <v>0</v>
      </c>
      <c r="AD888" s="94">
        <v>0</v>
      </c>
      <c r="AE888" s="94">
        <v>0</v>
      </c>
      <c r="AF888" s="94">
        <v>0</v>
      </c>
      <c r="AG888" s="94">
        <v>0</v>
      </c>
      <c r="AH888" s="94">
        <v>0</v>
      </c>
      <c r="AI888" s="94">
        <v>0</v>
      </c>
      <c r="AJ888" s="94">
        <v>0</v>
      </c>
      <c r="AK888" s="94">
        <v>0</v>
      </c>
      <c r="AL888" s="94">
        <v>0</v>
      </c>
      <c r="AM888" s="94">
        <v>0</v>
      </c>
      <c r="AN888" s="94">
        <v>0</v>
      </c>
      <c r="AO888" s="94">
        <v>0</v>
      </c>
      <c r="AP888" s="95">
        <v>0</v>
      </c>
      <c r="AQ888" s="95">
        <v>0</v>
      </c>
      <c r="AR888" s="95">
        <v>0</v>
      </c>
      <c r="AS888" s="95">
        <v>0</v>
      </c>
      <c r="AT888" s="95">
        <v>0</v>
      </c>
      <c r="AU888" s="95">
        <v>0</v>
      </c>
      <c r="AV888" s="95">
        <v>0</v>
      </c>
      <c r="AW888" s="95">
        <v>0</v>
      </c>
      <c r="AX888" s="95">
        <v>0</v>
      </c>
      <c r="AY888" s="95">
        <v>0</v>
      </c>
      <c r="AZ888" s="95">
        <v>0</v>
      </c>
      <c r="BA888" s="95">
        <v>0</v>
      </c>
      <c r="BB888" s="95">
        <v>0</v>
      </c>
      <c r="BC888" s="95">
        <v>0</v>
      </c>
      <c r="BD888" s="95">
        <v>0</v>
      </c>
      <c r="BE888" s="95">
        <v>0</v>
      </c>
    </row>
    <row r="889" spans="2:57" ht="15" customHeight="1" x14ac:dyDescent="0.25">
      <c r="B889" s="91">
        <v>879</v>
      </c>
      <c r="C889" s="92" t="s">
        <v>504</v>
      </c>
      <c r="D889" s="92" t="s">
        <v>302</v>
      </c>
      <c r="E889" s="92" t="s">
        <v>393</v>
      </c>
      <c r="F889" s="92" t="s">
        <v>234</v>
      </c>
      <c r="G889" s="101" t="s">
        <v>502</v>
      </c>
      <c r="H889" s="94">
        <v>4448</v>
      </c>
      <c r="I889" s="94">
        <v>2530</v>
      </c>
      <c r="J889" s="94">
        <v>1918</v>
      </c>
      <c r="K889" s="94">
        <v>183</v>
      </c>
      <c r="L889" s="94">
        <v>980</v>
      </c>
      <c r="M889" s="94">
        <v>2220</v>
      </c>
      <c r="N889" s="94">
        <v>1065</v>
      </c>
      <c r="O889" s="94">
        <v>4428</v>
      </c>
      <c r="P889" s="94">
        <v>20</v>
      </c>
      <c r="Q889" s="95">
        <v>0.64408396946564905</v>
      </c>
      <c r="R889" s="95">
        <v>8.3612040133779306E-2</v>
      </c>
      <c r="S889" s="95">
        <v>1.3888888888888899</v>
      </c>
      <c r="T889" s="95">
        <v>0.66666666666666696</v>
      </c>
      <c r="U889" s="95">
        <v>0.65645514223194701</v>
      </c>
      <c r="V889" s="95">
        <v>0.56980056980057003</v>
      </c>
      <c r="W889" s="95">
        <v>0.78277886497064597</v>
      </c>
      <c r="X889" s="95">
        <v>0.64639693559971301</v>
      </c>
      <c r="Y889" s="95">
        <v>0</v>
      </c>
      <c r="Z889" s="94">
        <v>5802</v>
      </c>
      <c r="AA889" s="94">
        <v>2995</v>
      </c>
      <c r="AB889" s="94">
        <v>2807</v>
      </c>
      <c r="AC889" s="94">
        <v>258</v>
      </c>
      <c r="AD889" s="94">
        <v>1200</v>
      </c>
      <c r="AE889" s="94">
        <v>2841</v>
      </c>
      <c r="AF889" s="94">
        <v>1503</v>
      </c>
      <c r="AG889" s="94">
        <v>5151</v>
      </c>
      <c r="AH889" s="94">
        <v>619</v>
      </c>
      <c r="AI889" s="94">
        <v>32</v>
      </c>
      <c r="AJ889" s="94">
        <v>5716</v>
      </c>
      <c r="AK889" s="94">
        <v>64</v>
      </c>
      <c r="AL889" s="94">
        <v>22</v>
      </c>
      <c r="AM889" s="94">
        <v>448</v>
      </c>
      <c r="AN889" s="94">
        <v>5279</v>
      </c>
      <c r="AO889" s="94">
        <v>75</v>
      </c>
      <c r="AP889" s="95">
        <v>1.34432694031188</v>
      </c>
      <c r="AQ889" s="95">
        <v>0.44812133746983801</v>
      </c>
      <c r="AR889" s="95">
        <v>2.3151605675877498</v>
      </c>
      <c r="AS889" s="95">
        <v>1.3043478260869601</v>
      </c>
      <c r="AT889" s="95">
        <v>2.3851590106007099</v>
      </c>
      <c r="AU889" s="95">
        <v>1.27830533235939</v>
      </c>
      <c r="AV889" s="95">
        <v>0.67613252197430695</v>
      </c>
      <c r="AW889" s="95">
        <v>1.20943358193913</v>
      </c>
      <c r="AX889" s="95">
        <v>2.5553662691652499</v>
      </c>
      <c r="AY889" s="95">
        <v>0</v>
      </c>
      <c r="AZ889" s="95">
        <v>1.3277555474718099</v>
      </c>
      <c r="BA889" s="95">
        <v>0</v>
      </c>
      <c r="BB889" s="95">
        <v>9.5238095238095202</v>
      </c>
      <c r="BC889" s="95">
        <v>1.13122171945701</v>
      </c>
      <c r="BD889" s="95">
        <v>1.3823064770932101</v>
      </c>
      <c r="BE889" s="95">
        <v>0</v>
      </c>
    </row>
    <row r="890" spans="2:57" ht="15" customHeight="1" x14ac:dyDescent="0.25">
      <c r="B890" s="86">
        <v>880</v>
      </c>
      <c r="C890" s="87" t="s">
        <v>503</v>
      </c>
      <c r="D890" s="103" t="s">
        <v>302</v>
      </c>
      <c r="E890" s="103" t="s">
        <v>394</v>
      </c>
      <c r="F890" s="103"/>
      <c r="G890" s="88" t="s">
        <v>394</v>
      </c>
      <c r="H890" s="89">
        <v>14595</v>
      </c>
      <c r="I890" s="89">
        <v>7958</v>
      </c>
      <c r="J890" s="89">
        <v>6637</v>
      </c>
      <c r="K890" s="89">
        <v>1103</v>
      </c>
      <c r="L890" s="89">
        <v>3573</v>
      </c>
      <c r="M890" s="89">
        <v>7419</v>
      </c>
      <c r="N890" s="89">
        <v>2500</v>
      </c>
      <c r="O890" s="89">
        <v>14583</v>
      </c>
      <c r="P890" s="89">
        <v>12</v>
      </c>
      <c r="Q890" s="90">
        <v>0.121056754254789</v>
      </c>
      <c r="R890" s="90">
        <v>5.2124055251498602E-2</v>
      </c>
      <c r="S890" s="90">
        <v>0.204113675616266</v>
      </c>
      <c r="T890" s="90">
        <v>9.9800399201596807E-2</v>
      </c>
      <c r="U890" s="90">
        <v>0.205700852189245</v>
      </c>
      <c r="V890" s="90">
        <v>9.7060454797559606E-2</v>
      </c>
      <c r="W890" s="90">
        <v>8.2440230832646302E-2</v>
      </c>
      <c r="X890" s="90">
        <v>0.121125757035981</v>
      </c>
      <c r="Y890" s="90">
        <v>0</v>
      </c>
      <c r="Z890" s="89">
        <v>14296</v>
      </c>
      <c r="AA890" s="89">
        <v>8185</v>
      </c>
      <c r="AB890" s="89">
        <v>6111</v>
      </c>
      <c r="AC890" s="89">
        <v>1057</v>
      </c>
      <c r="AD890" s="89">
        <v>3281</v>
      </c>
      <c r="AE890" s="89">
        <v>7127</v>
      </c>
      <c r="AF890" s="89">
        <v>2831</v>
      </c>
      <c r="AG890" s="89">
        <v>12468</v>
      </c>
      <c r="AH890" s="89">
        <v>1583</v>
      </c>
      <c r="AI890" s="89">
        <v>245</v>
      </c>
      <c r="AJ890" s="89">
        <v>14231</v>
      </c>
      <c r="AK890" s="89">
        <v>8</v>
      </c>
      <c r="AL890" s="89">
        <v>57</v>
      </c>
      <c r="AM890" s="89">
        <v>1153</v>
      </c>
      <c r="AN890" s="89">
        <v>12734</v>
      </c>
      <c r="AO890" s="89">
        <v>409</v>
      </c>
      <c r="AP890" s="90">
        <v>1.00549768518519</v>
      </c>
      <c r="AQ890" s="90">
        <v>0.35255603122639101</v>
      </c>
      <c r="AR890" s="90">
        <v>1.8871132267936099</v>
      </c>
      <c r="AS890" s="90">
        <v>1.38476755687438</v>
      </c>
      <c r="AT890" s="90">
        <v>1.92061459667093</v>
      </c>
      <c r="AU890" s="90">
        <v>0.79583273042975</v>
      </c>
      <c r="AV890" s="90">
        <v>0.35997120230381602</v>
      </c>
      <c r="AW890" s="90">
        <v>0.95167163190996396</v>
      </c>
      <c r="AX890" s="90">
        <v>1.5873015873015901</v>
      </c>
      <c r="AY890" s="90">
        <v>0</v>
      </c>
      <c r="AZ890" s="90">
        <v>1.00988084859053</v>
      </c>
      <c r="BA890" s="90">
        <v>0</v>
      </c>
      <c r="BB890" s="90">
        <v>0</v>
      </c>
      <c r="BC890" s="90">
        <v>0.44130626654898503</v>
      </c>
      <c r="BD890" s="90">
        <v>1.0892537798731901</v>
      </c>
      <c r="BE890" s="90">
        <v>0</v>
      </c>
    </row>
    <row r="891" spans="2:57" ht="15" customHeight="1" x14ac:dyDescent="0.25">
      <c r="B891" s="91">
        <v>881</v>
      </c>
      <c r="C891" s="92" t="s">
        <v>503</v>
      </c>
      <c r="D891" s="92" t="s">
        <v>302</v>
      </c>
      <c r="E891" s="92" t="s">
        <v>394</v>
      </c>
      <c r="F891" s="92"/>
      <c r="G891" s="93" t="s">
        <v>501</v>
      </c>
      <c r="H891" s="94">
        <v>1155</v>
      </c>
      <c r="I891" s="94">
        <v>617</v>
      </c>
      <c r="J891" s="94">
        <v>538</v>
      </c>
      <c r="K891" s="94">
        <v>78</v>
      </c>
      <c r="L891" s="94">
        <v>275</v>
      </c>
      <c r="M891" s="94">
        <v>642</v>
      </c>
      <c r="N891" s="94">
        <v>160</v>
      </c>
      <c r="O891" s="94">
        <v>1147</v>
      </c>
      <c r="P891" s="94">
        <v>8</v>
      </c>
      <c r="Q891" s="95">
        <v>0.460829493087558</v>
      </c>
      <c r="R891" s="95">
        <v>0.17182130584192401</v>
      </c>
      <c r="S891" s="95">
        <v>0.79522862823061602</v>
      </c>
      <c r="T891" s="95">
        <v>1.4492753623188399</v>
      </c>
      <c r="U891" s="95">
        <v>0.39840637450199201</v>
      </c>
      <c r="V891" s="95">
        <v>0.32733224222585899</v>
      </c>
      <c r="W891" s="95">
        <v>0.64935064935064901</v>
      </c>
      <c r="X891" s="95">
        <v>0.46339202965708998</v>
      </c>
      <c r="Y891" s="95">
        <v>0</v>
      </c>
      <c r="Z891" s="94">
        <v>1163</v>
      </c>
      <c r="AA891" s="94">
        <v>542</v>
      </c>
      <c r="AB891" s="94">
        <v>621</v>
      </c>
      <c r="AC891" s="94">
        <v>72</v>
      </c>
      <c r="AD891" s="94">
        <v>223</v>
      </c>
      <c r="AE891" s="94">
        <v>643</v>
      </c>
      <c r="AF891" s="94">
        <v>225</v>
      </c>
      <c r="AG891" s="94">
        <v>868</v>
      </c>
      <c r="AH891" s="94">
        <v>290</v>
      </c>
      <c r="AI891" s="94">
        <v>5</v>
      </c>
      <c r="AJ891" s="94">
        <v>1158</v>
      </c>
      <c r="AK891" s="94">
        <v>3</v>
      </c>
      <c r="AL891" s="94">
        <v>2</v>
      </c>
      <c r="AM891" s="94">
        <v>98</v>
      </c>
      <c r="AN891" s="94">
        <v>1046</v>
      </c>
      <c r="AO891" s="94">
        <v>19</v>
      </c>
      <c r="AP891" s="95">
        <v>4.46672743846855</v>
      </c>
      <c r="AQ891" s="95">
        <v>1.37254901960784</v>
      </c>
      <c r="AR891" s="95">
        <v>7.1550255536626901</v>
      </c>
      <c r="AS891" s="95">
        <v>7.4626865671641802</v>
      </c>
      <c r="AT891" s="95">
        <v>7.7294685990338197</v>
      </c>
      <c r="AU891" s="95">
        <v>3.9735099337748299</v>
      </c>
      <c r="AV891" s="95">
        <v>1.8264840182648401</v>
      </c>
      <c r="AW891" s="95">
        <v>4.0914560770156401</v>
      </c>
      <c r="AX891" s="95">
        <v>5.7471264367816097</v>
      </c>
      <c r="AY891" s="95">
        <v>0</v>
      </c>
      <c r="AZ891" s="95">
        <v>4.4871794871794899</v>
      </c>
      <c r="BA891" s="95">
        <v>0</v>
      </c>
      <c r="BB891" s="95">
        <v>0</v>
      </c>
      <c r="BC891" s="95">
        <v>1.0752688172042999</v>
      </c>
      <c r="BD891" s="95">
        <v>4.86322188449848</v>
      </c>
      <c r="BE891" s="95">
        <v>0</v>
      </c>
    </row>
    <row r="892" spans="2:57" ht="15" customHeight="1" x14ac:dyDescent="0.25">
      <c r="B892" s="91">
        <v>882</v>
      </c>
      <c r="C892" s="92" t="s">
        <v>503</v>
      </c>
      <c r="D892" s="92" t="s">
        <v>302</v>
      </c>
      <c r="E892" s="92" t="s">
        <v>394</v>
      </c>
      <c r="F892" s="92"/>
      <c r="G892" s="93" t="s">
        <v>502</v>
      </c>
      <c r="H892" s="94">
        <v>13440</v>
      </c>
      <c r="I892" s="94">
        <v>7341</v>
      </c>
      <c r="J892" s="94">
        <v>6099</v>
      </c>
      <c r="K892" s="94">
        <v>1025</v>
      </c>
      <c r="L892" s="94">
        <v>3298</v>
      </c>
      <c r="M892" s="94">
        <v>6777</v>
      </c>
      <c r="N892" s="94">
        <v>2340</v>
      </c>
      <c r="O892" s="94">
        <v>13436</v>
      </c>
      <c r="P892" s="94">
        <v>4</v>
      </c>
      <c r="Q892" s="95">
        <v>9.2606883778360904E-2</v>
      </c>
      <c r="R892" s="95">
        <v>4.23011844331641E-2</v>
      </c>
      <c r="S892" s="95">
        <v>0.15342652574156199</v>
      </c>
      <c r="T892" s="95">
        <v>0</v>
      </c>
      <c r="U892" s="95">
        <v>0.19035532994923901</v>
      </c>
      <c r="V892" s="95">
        <v>7.5746099075897605E-2</v>
      </c>
      <c r="W892" s="95">
        <v>4.4014084507042299E-2</v>
      </c>
      <c r="X892" s="95">
        <v>9.2621179376350699E-2</v>
      </c>
      <c r="Y892" s="95">
        <v>0</v>
      </c>
      <c r="Z892" s="94">
        <v>13133</v>
      </c>
      <c r="AA892" s="94">
        <v>7643</v>
      </c>
      <c r="AB892" s="94">
        <v>5490</v>
      </c>
      <c r="AC892" s="94">
        <v>985</v>
      </c>
      <c r="AD892" s="94">
        <v>3058</v>
      </c>
      <c r="AE892" s="94">
        <v>6484</v>
      </c>
      <c r="AF892" s="94">
        <v>2606</v>
      </c>
      <c r="AG892" s="94">
        <v>11600</v>
      </c>
      <c r="AH892" s="94">
        <v>1293</v>
      </c>
      <c r="AI892" s="94">
        <v>240</v>
      </c>
      <c r="AJ892" s="94">
        <v>13073</v>
      </c>
      <c r="AK892" s="94">
        <v>5</v>
      </c>
      <c r="AL892" s="94">
        <v>55</v>
      </c>
      <c r="AM892" s="94">
        <v>1055</v>
      </c>
      <c r="AN892" s="94">
        <v>11688</v>
      </c>
      <c r="AO892" s="94">
        <v>390</v>
      </c>
      <c r="AP892" s="95">
        <v>0.70715801052879701</v>
      </c>
      <c r="AQ892" s="95">
        <v>0.28256189451022601</v>
      </c>
      <c r="AR892" s="95">
        <v>1.30311614730878</v>
      </c>
      <c r="AS892" s="95">
        <v>0.95338983050847503</v>
      </c>
      <c r="AT892" s="95">
        <v>1.5083990401097001</v>
      </c>
      <c r="AU892" s="95">
        <v>0.491517361661646</v>
      </c>
      <c r="AV892" s="95">
        <v>0.234466588511137</v>
      </c>
      <c r="AW892" s="95">
        <v>0.71980805118635005</v>
      </c>
      <c r="AX892" s="95">
        <v>0.71942446043165498</v>
      </c>
      <c r="AY892" s="95">
        <v>0</v>
      </c>
      <c r="AZ892" s="95">
        <v>0.71022727272727304</v>
      </c>
      <c r="BA892" s="95">
        <v>0</v>
      </c>
      <c r="BB892" s="95">
        <v>0</v>
      </c>
      <c r="BC892" s="95">
        <v>0.38461538461538503</v>
      </c>
      <c r="BD892" s="95">
        <v>0.76005302695536903</v>
      </c>
      <c r="BE892" s="95">
        <v>0</v>
      </c>
    </row>
    <row r="893" spans="2:57" ht="15" customHeight="1" x14ac:dyDescent="0.25">
      <c r="B893" s="96">
        <v>883</v>
      </c>
      <c r="C893" s="97" t="s">
        <v>504</v>
      </c>
      <c r="D893" s="104" t="s">
        <v>302</v>
      </c>
      <c r="E893" s="104" t="s">
        <v>394</v>
      </c>
      <c r="F893" s="104" t="s">
        <v>477</v>
      </c>
      <c r="G893" s="105" t="s">
        <v>477</v>
      </c>
      <c r="H893" s="106">
        <v>9961</v>
      </c>
      <c r="I893" s="106">
        <v>5382</v>
      </c>
      <c r="J893" s="106">
        <v>4579</v>
      </c>
      <c r="K893" s="106">
        <v>817</v>
      </c>
      <c r="L893" s="106">
        <v>2547</v>
      </c>
      <c r="M893" s="106">
        <v>4938</v>
      </c>
      <c r="N893" s="106">
        <v>1659</v>
      </c>
      <c r="O893" s="106">
        <v>9950</v>
      </c>
      <c r="P893" s="106">
        <v>11</v>
      </c>
      <c r="Q893" s="107">
        <v>0.104843782763682</v>
      </c>
      <c r="R893" s="107">
        <v>7.7459333849728904E-2</v>
      </c>
      <c r="S893" s="107">
        <v>0.13717421124828499</v>
      </c>
      <c r="T893" s="107">
        <v>0.133155792276964</v>
      </c>
      <c r="U893" s="107">
        <v>0.165837479270315</v>
      </c>
      <c r="V893" s="107">
        <v>6.2840385421030598E-2</v>
      </c>
      <c r="W893" s="107">
        <v>0.124921923797626</v>
      </c>
      <c r="X893" s="107">
        <v>0.10492078480747</v>
      </c>
      <c r="Y893" s="107">
        <v>0</v>
      </c>
      <c r="Z893" s="106">
        <v>9333</v>
      </c>
      <c r="AA893" s="106">
        <v>5262</v>
      </c>
      <c r="AB893" s="106">
        <v>4071</v>
      </c>
      <c r="AC893" s="106">
        <v>744</v>
      </c>
      <c r="AD893" s="106">
        <v>2111</v>
      </c>
      <c r="AE893" s="106">
        <v>4671</v>
      </c>
      <c r="AF893" s="106">
        <v>1807</v>
      </c>
      <c r="AG893" s="106">
        <v>7923</v>
      </c>
      <c r="AH893" s="106">
        <v>1192</v>
      </c>
      <c r="AI893" s="106">
        <v>218</v>
      </c>
      <c r="AJ893" s="106">
        <v>9288</v>
      </c>
      <c r="AK893" s="106">
        <v>7</v>
      </c>
      <c r="AL893" s="106">
        <v>38</v>
      </c>
      <c r="AM893" s="106">
        <v>771</v>
      </c>
      <c r="AN893" s="106">
        <v>8224</v>
      </c>
      <c r="AO893" s="106">
        <v>338</v>
      </c>
      <c r="AP893" s="107">
        <v>1.04062880549098</v>
      </c>
      <c r="AQ893" s="107">
        <v>0.43061264435310198</v>
      </c>
      <c r="AR893" s="107">
        <v>1.8348623853210999</v>
      </c>
      <c r="AS893" s="107">
        <v>1.5449438202247201</v>
      </c>
      <c r="AT893" s="107">
        <v>1.8971542685970999</v>
      </c>
      <c r="AU893" s="107">
        <v>0.81497797356828205</v>
      </c>
      <c r="AV893" s="107">
        <v>0.44994375703037098</v>
      </c>
      <c r="AW893" s="107">
        <v>0.935794125292436</v>
      </c>
      <c r="AX893" s="107">
        <v>1.9366197183098599</v>
      </c>
      <c r="AY893" s="107">
        <v>0</v>
      </c>
      <c r="AZ893" s="107">
        <v>1.04548993437882</v>
      </c>
      <c r="BA893" s="107">
        <v>0</v>
      </c>
      <c r="BB893" s="107">
        <v>0</v>
      </c>
      <c r="BC893" s="107">
        <v>0.52700922266139705</v>
      </c>
      <c r="BD893" s="107">
        <v>1.131648434553</v>
      </c>
      <c r="BE893" s="107">
        <v>0</v>
      </c>
    </row>
    <row r="894" spans="2:57" ht="15" customHeight="1" x14ac:dyDescent="0.25">
      <c r="B894" s="91">
        <v>884</v>
      </c>
      <c r="C894" s="92" t="s">
        <v>504</v>
      </c>
      <c r="D894" s="92" t="s">
        <v>302</v>
      </c>
      <c r="E894" s="92" t="s">
        <v>394</v>
      </c>
      <c r="F894" s="92" t="s">
        <v>477</v>
      </c>
      <c r="G894" s="101" t="s">
        <v>501</v>
      </c>
      <c r="H894" s="94">
        <v>1155</v>
      </c>
      <c r="I894" s="94">
        <v>617</v>
      </c>
      <c r="J894" s="94">
        <v>538</v>
      </c>
      <c r="K894" s="94">
        <v>78</v>
      </c>
      <c r="L894" s="94">
        <v>275</v>
      </c>
      <c r="M894" s="94">
        <v>642</v>
      </c>
      <c r="N894" s="94">
        <v>160</v>
      </c>
      <c r="O894" s="94">
        <v>1147</v>
      </c>
      <c r="P894" s="94">
        <v>8</v>
      </c>
      <c r="Q894" s="95">
        <v>0.460829493087558</v>
      </c>
      <c r="R894" s="95">
        <v>0.17182130584192401</v>
      </c>
      <c r="S894" s="95">
        <v>0.79522862823061602</v>
      </c>
      <c r="T894" s="95">
        <v>1.4492753623188399</v>
      </c>
      <c r="U894" s="95">
        <v>0.39840637450199201</v>
      </c>
      <c r="V894" s="95">
        <v>0.32733224222585899</v>
      </c>
      <c r="W894" s="95">
        <v>0.64935064935064901</v>
      </c>
      <c r="X894" s="95">
        <v>0.46339202965708998</v>
      </c>
      <c r="Y894" s="95">
        <v>0</v>
      </c>
      <c r="Z894" s="94">
        <v>1163</v>
      </c>
      <c r="AA894" s="94">
        <v>542</v>
      </c>
      <c r="AB894" s="94">
        <v>621</v>
      </c>
      <c r="AC894" s="94">
        <v>72</v>
      </c>
      <c r="AD894" s="94">
        <v>223</v>
      </c>
      <c r="AE894" s="94">
        <v>643</v>
      </c>
      <c r="AF894" s="94">
        <v>225</v>
      </c>
      <c r="AG894" s="94">
        <v>868</v>
      </c>
      <c r="AH894" s="94">
        <v>290</v>
      </c>
      <c r="AI894" s="94">
        <v>5</v>
      </c>
      <c r="AJ894" s="94">
        <v>1158</v>
      </c>
      <c r="AK894" s="94">
        <v>3</v>
      </c>
      <c r="AL894" s="94">
        <v>2</v>
      </c>
      <c r="AM894" s="94">
        <v>98</v>
      </c>
      <c r="AN894" s="94">
        <v>1046</v>
      </c>
      <c r="AO894" s="94">
        <v>19</v>
      </c>
      <c r="AP894" s="95">
        <v>4.46672743846855</v>
      </c>
      <c r="AQ894" s="95">
        <v>1.37254901960784</v>
      </c>
      <c r="AR894" s="95">
        <v>7.1550255536626901</v>
      </c>
      <c r="AS894" s="95">
        <v>7.4626865671641802</v>
      </c>
      <c r="AT894" s="95">
        <v>7.7294685990338197</v>
      </c>
      <c r="AU894" s="95">
        <v>3.9735099337748299</v>
      </c>
      <c r="AV894" s="95">
        <v>1.8264840182648401</v>
      </c>
      <c r="AW894" s="95">
        <v>4.0914560770156401</v>
      </c>
      <c r="AX894" s="95">
        <v>5.7471264367816097</v>
      </c>
      <c r="AY894" s="95">
        <v>0</v>
      </c>
      <c r="AZ894" s="95">
        <v>4.4871794871794899</v>
      </c>
      <c r="BA894" s="95">
        <v>0</v>
      </c>
      <c r="BB894" s="95">
        <v>0</v>
      </c>
      <c r="BC894" s="95">
        <v>1.0752688172042999</v>
      </c>
      <c r="BD894" s="95">
        <v>4.86322188449848</v>
      </c>
      <c r="BE894" s="95">
        <v>0</v>
      </c>
    </row>
    <row r="895" spans="2:57" ht="15" customHeight="1" x14ac:dyDescent="0.25">
      <c r="B895" s="91">
        <v>885</v>
      </c>
      <c r="C895" s="92" t="s">
        <v>504</v>
      </c>
      <c r="D895" s="92" t="s">
        <v>302</v>
      </c>
      <c r="E895" s="92" t="s">
        <v>394</v>
      </c>
      <c r="F895" s="92" t="s">
        <v>477</v>
      </c>
      <c r="G895" s="101" t="s">
        <v>502</v>
      </c>
      <c r="H895" s="94">
        <v>8806</v>
      </c>
      <c r="I895" s="94">
        <v>4765</v>
      </c>
      <c r="J895" s="94">
        <v>4041</v>
      </c>
      <c r="K895" s="94">
        <v>739</v>
      </c>
      <c r="L895" s="94">
        <v>2272</v>
      </c>
      <c r="M895" s="94">
        <v>4296</v>
      </c>
      <c r="N895" s="94">
        <v>1499</v>
      </c>
      <c r="O895" s="94">
        <v>8803</v>
      </c>
      <c r="P895" s="94">
        <v>3</v>
      </c>
      <c r="Q895" s="95">
        <v>5.9150597421033999E-2</v>
      </c>
      <c r="R895" s="95">
        <v>6.54735923177652E-2</v>
      </c>
      <c r="S895" s="95">
        <v>5.1666236114698998E-2</v>
      </c>
      <c r="T895" s="95">
        <v>0</v>
      </c>
      <c r="U895" s="95">
        <v>0.1388246182323</v>
      </c>
      <c r="V895" s="95">
        <v>2.4021138601969701E-2</v>
      </c>
      <c r="W895" s="95">
        <v>6.9108500345542501E-2</v>
      </c>
      <c r="X895" s="95">
        <v>5.91575958353052E-2</v>
      </c>
      <c r="Y895" s="95">
        <v>0</v>
      </c>
      <c r="Z895" s="94">
        <v>8170</v>
      </c>
      <c r="AA895" s="94">
        <v>4720</v>
      </c>
      <c r="AB895" s="94">
        <v>3450</v>
      </c>
      <c r="AC895" s="94">
        <v>672</v>
      </c>
      <c r="AD895" s="94">
        <v>1888</v>
      </c>
      <c r="AE895" s="94">
        <v>4028</v>
      </c>
      <c r="AF895" s="94">
        <v>1582</v>
      </c>
      <c r="AG895" s="94">
        <v>7055</v>
      </c>
      <c r="AH895" s="94">
        <v>902</v>
      </c>
      <c r="AI895" s="94">
        <v>213</v>
      </c>
      <c r="AJ895" s="94">
        <v>8130</v>
      </c>
      <c r="AK895" s="94">
        <v>4</v>
      </c>
      <c r="AL895" s="94">
        <v>36</v>
      </c>
      <c r="AM895" s="94">
        <v>673</v>
      </c>
      <c r="AN895" s="94">
        <v>7178</v>
      </c>
      <c r="AO895" s="94">
        <v>319</v>
      </c>
      <c r="AP895" s="95">
        <v>0.56703629032258096</v>
      </c>
      <c r="AQ895" s="95">
        <v>0.32615786040443601</v>
      </c>
      <c r="AR895" s="95">
        <v>0.89901108780341599</v>
      </c>
      <c r="AS895" s="95">
        <v>0.93023255813953498</v>
      </c>
      <c r="AT895" s="95">
        <v>1.22494432071269</v>
      </c>
      <c r="AU895" s="95">
        <v>0.33028455284552799</v>
      </c>
      <c r="AV895" s="95">
        <v>0.256574727389352</v>
      </c>
      <c r="AW895" s="95">
        <v>0.55369371994754502</v>
      </c>
      <c r="AX895" s="95">
        <v>0.8</v>
      </c>
      <c r="AY895" s="95">
        <v>0</v>
      </c>
      <c r="AZ895" s="95">
        <v>0.56969236612229401</v>
      </c>
      <c r="BA895" s="95">
        <v>0</v>
      </c>
      <c r="BB895" s="95">
        <v>0</v>
      </c>
      <c r="BC895" s="95">
        <v>0.45045045045045001</v>
      </c>
      <c r="BD895" s="95">
        <v>0.60292850990525404</v>
      </c>
      <c r="BE895" s="95">
        <v>0</v>
      </c>
    </row>
    <row r="896" spans="2:57" ht="15" customHeight="1" x14ac:dyDescent="0.25">
      <c r="B896" s="96">
        <v>886</v>
      </c>
      <c r="C896" s="97" t="s">
        <v>504</v>
      </c>
      <c r="D896" s="104" t="s">
        <v>302</v>
      </c>
      <c r="E896" s="104" t="s">
        <v>394</v>
      </c>
      <c r="F896" s="104" t="s">
        <v>78</v>
      </c>
      <c r="G896" s="105" t="s">
        <v>78</v>
      </c>
      <c r="H896" s="106">
        <v>4634</v>
      </c>
      <c r="I896" s="106">
        <v>2576</v>
      </c>
      <c r="J896" s="106">
        <v>2058</v>
      </c>
      <c r="K896" s="106">
        <v>286</v>
      </c>
      <c r="L896" s="106">
        <v>1026</v>
      </c>
      <c r="M896" s="106">
        <v>2481</v>
      </c>
      <c r="N896" s="106">
        <v>841</v>
      </c>
      <c r="O896" s="106">
        <v>4633</v>
      </c>
      <c r="P896" s="106">
        <v>1</v>
      </c>
      <c r="Q896" s="107">
        <v>0.15538290788013301</v>
      </c>
      <c r="R896" s="107">
        <v>0</v>
      </c>
      <c r="S896" s="107">
        <v>0.35087719298245601</v>
      </c>
      <c r="T896" s="107">
        <v>0</v>
      </c>
      <c r="U896" s="107">
        <v>0.302724520686176</v>
      </c>
      <c r="V896" s="107">
        <v>0.16406890894175599</v>
      </c>
      <c r="W896" s="107">
        <v>0</v>
      </c>
      <c r="X896" s="107">
        <v>0.15541740674955601</v>
      </c>
      <c r="Y896" s="107">
        <v>0</v>
      </c>
      <c r="Z896" s="106">
        <v>4963</v>
      </c>
      <c r="AA896" s="106">
        <v>2923</v>
      </c>
      <c r="AB896" s="106">
        <v>2040</v>
      </c>
      <c r="AC896" s="106">
        <v>313</v>
      </c>
      <c r="AD896" s="106">
        <v>1170</v>
      </c>
      <c r="AE896" s="106">
        <v>2456</v>
      </c>
      <c r="AF896" s="106">
        <v>1024</v>
      </c>
      <c r="AG896" s="106">
        <v>4545</v>
      </c>
      <c r="AH896" s="106">
        <v>391</v>
      </c>
      <c r="AI896" s="106">
        <v>27</v>
      </c>
      <c r="AJ896" s="106">
        <v>4943</v>
      </c>
      <c r="AK896" s="106">
        <v>1</v>
      </c>
      <c r="AL896" s="106">
        <v>19</v>
      </c>
      <c r="AM896" s="106">
        <v>382</v>
      </c>
      <c r="AN896" s="106">
        <v>4510</v>
      </c>
      <c r="AO896" s="106">
        <v>71</v>
      </c>
      <c r="AP896" s="107">
        <v>0.93926111458985595</v>
      </c>
      <c r="AQ896" s="107">
        <v>0.21178962230850701</v>
      </c>
      <c r="AR896" s="107">
        <v>1.9918283963227801</v>
      </c>
      <c r="AS896" s="107">
        <v>1.0033444816053501</v>
      </c>
      <c r="AT896" s="107">
        <v>1.96253345227475</v>
      </c>
      <c r="AU896" s="107">
        <v>0.75917334458034602</v>
      </c>
      <c r="AV896" s="107">
        <v>0.2</v>
      </c>
      <c r="AW896" s="107">
        <v>0.97949886104783601</v>
      </c>
      <c r="AX896" s="107">
        <v>0.53191489361702105</v>
      </c>
      <c r="AY896" s="107">
        <v>0</v>
      </c>
      <c r="AZ896" s="107">
        <v>0.94280326838466399</v>
      </c>
      <c r="BA896" s="107">
        <v>0</v>
      </c>
      <c r="BB896" s="107">
        <v>0</v>
      </c>
      <c r="BC896" s="107">
        <v>0.26737967914438499</v>
      </c>
      <c r="BD896" s="107">
        <v>1.0117268337548899</v>
      </c>
      <c r="BE896" s="107">
        <v>0</v>
      </c>
    </row>
    <row r="897" spans="2:57" ht="15" customHeight="1" x14ac:dyDescent="0.25">
      <c r="B897" s="91">
        <v>887</v>
      </c>
      <c r="C897" s="92" t="s">
        <v>504</v>
      </c>
      <c r="D897" s="92" t="s">
        <v>302</v>
      </c>
      <c r="E897" s="92" t="s">
        <v>394</v>
      </c>
      <c r="F897" s="92" t="s">
        <v>78</v>
      </c>
      <c r="G897" s="101" t="s">
        <v>501</v>
      </c>
      <c r="H897" s="94">
        <v>0</v>
      </c>
      <c r="I897" s="94">
        <v>0</v>
      </c>
      <c r="J897" s="94">
        <v>0</v>
      </c>
      <c r="K897" s="94">
        <v>0</v>
      </c>
      <c r="L897" s="94">
        <v>0</v>
      </c>
      <c r="M897" s="94">
        <v>0</v>
      </c>
      <c r="N897" s="94">
        <v>0</v>
      </c>
      <c r="O897" s="94">
        <v>0</v>
      </c>
      <c r="P897" s="94">
        <v>0</v>
      </c>
      <c r="Q897" s="95">
        <v>0</v>
      </c>
      <c r="R897" s="95">
        <v>0</v>
      </c>
      <c r="S897" s="95">
        <v>0</v>
      </c>
      <c r="T897" s="95">
        <v>0</v>
      </c>
      <c r="U897" s="95">
        <v>0</v>
      </c>
      <c r="V897" s="95">
        <v>0</v>
      </c>
      <c r="W897" s="95">
        <v>0</v>
      </c>
      <c r="X897" s="95">
        <v>0</v>
      </c>
      <c r="Y897" s="95">
        <v>0</v>
      </c>
      <c r="Z897" s="94">
        <v>0</v>
      </c>
      <c r="AA897" s="94">
        <v>0</v>
      </c>
      <c r="AB897" s="94">
        <v>0</v>
      </c>
      <c r="AC897" s="94">
        <v>0</v>
      </c>
      <c r="AD897" s="94">
        <v>0</v>
      </c>
      <c r="AE897" s="94">
        <v>0</v>
      </c>
      <c r="AF897" s="94">
        <v>0</v>
      </c>
      <c r="AG897" s="94">
        <v>0</v>
      </c>
      <c r="AH897" s="94">
        <v>0</v>
      </c>
      <c r="AI897" s="94">
        <v>0</v>
      </c>
      <c r="AJ897" s="94">
        <v>0</v>
      </c>
      <c r="AK897" s="94">
        <v>0</v>
      </c>
      <c r="AL897" s="94">
        <v>0</v>
      </c>
      <c r="AM897" s="94">
        <v>0</v>
      </c>
      <c r="AN897" s="94">
        <v>0</v>
      </c>
      <c r="AO897" s="94">
        <v>0</v>
      </c>
      <c r="AP897" s="95">
        <v>0</v>
      </c>
      <c r="AQ897" s="95">
        <v>0</v>
      </c>
      <c r="AR897" s="95">
        <v>0</v>
      </c>
      <c r="AS897" s="95">
        <v>0</v>
      </c>
      <c r="AT897" s="95">
        <v>0</v>
      </c>
      <c r="AU897" s="95">
        <v>0</v>
      </c>
      <c r="AV897" s="95">
        <v>0</v>
      </c>
      <c r="AW897" s="95">
        <v>0</v>
      </c>
      <c r="AX897" s="95">
        <v>0</v>
      </c>
      <c r="AY897" s="95">
        <v>0</v>
      </c>
      <c r="AZ897" s="95">
        <v>0</v>
      </c>
      <c r="BA897" s="95">
        <v>0</v>
      </c>
      <c r="BB897" s="95">
        <v>0</v>
      </c>
      <c r="BC897" s="95">
        <v>0</v>
      </c>
      <c r="BD897" s="95">
        <v>0</v>
      </c>
      <c r="BE897" s="95">
        <v>0</v>
      </c>
    </row>
    <row r="898" spans="2:57" ht="15" customHeight="1" x14ac:dyDescent="0.25">
      <c r="B898" s="91">
        <v>888</v>
      </c>
      <c r="C898" s="92" t="s">
        <v>504</v>
      </c>
      <c r="D898" s="92" t="s">
        <v>302</v>
      </c>
      <c r="E898" s="92" t="s">
        <v>394</v>
      </c>
      <c r="F898" s="92" t="s">
        <v>78</v>
      </c>
      <c r="G898" s="101" t="s">
        <v>502</v>
      </c>
      <c r="H898" s="94">
        <v>4634</v>
      </c>
      <c r="I898" s="94">
        <v>2576</v>
      </c>
      <c r="J898" s="94">
        <v>2058</v>
      </c>
      <c r="K898" s="94">
        <v>286</v>
      </c>
      <c r="L898" s="94">
        <v>1026</v>
      </c>
      <c r="M898" s="94">
        <v>2481</v>
      </c>
      <c r="N898" s="94">
        <v>841</v>
      </c>
      <c r="O898" s="94">
        <v>4633</v>
      </c>
      <c r="P898" s="94">
        <v>1</v>
      </c>
      <c r="Q898" s="95">
        <v>0.15538290788013301</v>
      </c>
      <c r="R898" s="95">
        <v>0</v>
      </c>
      <c r="S898" s="95">
        <v>0.35087719298245601</v>
      </c>
      <c r="T898" s="95">
        <v>0</v>
      </c>
      <c r="U898" s="95">
        <v>0.302724520686176</v>
      </c>
      <c r="V898" s="95">
        <v>0.16406890894175599</v>
      </c>
      <c r="W898" s="95">
        <v>0</v>
      </c>
      <c r="X898" s="95">
        <v>0.15541740674955601</v>
      </c>
      <c r="Y898" s="95">
        <v>0</v>
      </c>
      <c r="Z898" s="94">
        <v>4963</v>
      </c>
      <c r="AA898" s="94">
        <v>2923</v>
      </c>
      <c r="AB898" s="94">
        <v>2040</v>
      </c>
      <c r="AC898" s="94">
        <v>313</v>
      </c>
      <c r="AD898" s="94">
        <v>1170</v>
      </c>
      <c r="AE898" s="94">
        <v>2456</v>
      </c>
      <c r="AF898" s="94">
        <v>1024</v>
      </c>
      <c r="AG898" s="94">
        <v>4545</v>
      </c>
      <c r="AH898" s="94">
        <v>391</v>
      </c>
      <c r="AI898" s="94">
        <v>27</v>
      </c>
      <c r="AJ898" s="94">
        <v>4943</v>
      </c>
      <c r="AK898" s="94">
        <v>1</v>
      </c>
      <c r="AL898" s="94">
        <v>19</v>
      </c>
      <c r="AM898" s="94">
        <v>382</v>
      </c>
      <c r="AN898" s="94">
        <v>4510</v>
      </c>
      <c r="AO898" s="94">
        <v>71</v>
      </c>
      <c r="AP898" s="95">
        <v>0.93926111458985595</v>
      </c>
      <c r="AQ898" s="95">
        <v>0.21178962230850701</v>
      </c>
      <c r="AR898" s="95">
        <v>1.9918283963227801</v>
      </c>
      <c r="AS898" s="95">
        <v>1.0033444816053501</v>
      </c>
      <c r="AT898" s="95">
        <v>1.96253345227475</v>
      </c>
      <c r="AU898" s="95">
        <v>0.75917334458034602</v>
      </c>
      <c r="AV898" s="95">
        <v>0.2</v>
      </c>
      <c r="AW898" s="95">
        <v>0.97949886104783601</v>
      </c>
      <c r="AX898" s="95">
        <v>0.53191489361702105</v>
      </c>
      <c r="AY898" s="95">
        <v>0</v>
      </c>
      <c r="AZ898" s="95">
        <v>0.94280326838466399</v>
      </c>
      <c r="BA898" s="95">
        <v>0</v>
      </c>
      <c r="BB898" s="95">
        <v>0</v>
      </c>
      <c r="BC898" s="95">
        <v>0.26737967914438499</v>
      </c>
      <c r="BD898" s="95">
        <v>1.0117268337548899</v>
      </c>
      <c r="BE898" s="95">
        <v>0</v>
      </c>
    </row>
    <row r="899" spans="2:57" ht="15" customHeight="1" x14ac:dyDescent="0.25">
      <c r="B899" s="86">
        <v>889</v>
      </c>
      <c r="C899" s="87" t="s">
        <v>503</v>
      </c>
      <c r="D899" s="103" t="s">
        <v>302</v>
      </c>
      <c r="E899" s="103" t="s">
        <v>396</v>
      </c>
      <c r="F899" s="103"/>
      <c r="G899" s="88" t="s">
        <v>396</v>
      </c>
      <c r="H899" s="89">
        <v>23774</v>
      </c>
      <c r="I899" s="89">
        <v>13706</v>
      </c>
      <c r="J899" s="89">
        <v>10068</v>
      </c>
      <c r="K899" s="89">
        <v>1212</v>
      </c>
      <c r="L899" s="89">
        <v>6340</v>
      </c>
      <c r="M899" s="89">
        <v>12975</v>
      </c>
      <c r="N899" s="89">
        <v>3247</v>
      </c>
      <c r="O899" s="89">
        <v>23592</v>
      </c>
      <c r="P899" s="89">
        <v>182</v>
      </c>
      <c r="Q899" s="90">
        <v>1.5433499773036801</v>
      </c>
      <c r="R899" s="90">
        <v>1.0194552529182901</v>
      </c>
      <c r="S899" s="90">
        <v>2.2766884531590401</v>
      </c>
      <c r="T899" s="90">
        <v>2.9263370332997001</v>
      </c>
      <c r="U899" s="90">
        <v>2.4137931034482798</v>
      </c>
      <c r="V899" s="90">
        <v>1.2388947754503199</v>
      </c>
      <c r="W899" s="90">
        <v>0.63973063973064004</v>
      </c>
      <c r="X899" s="90">
        <v>1.54120552455868</v>
      </c>
      <c r="Y899" s="90">
        <v>1.82926829268293</v>
      </c>
      <c r="Z899" s="89">
        <v>27456</v>
      </c>
      <c r="AA899" s="89">
        <v>15069</v>
      </c>
      <c r="AB899" s="89">
        <v>12387</v>
      </c>
      <c r="AC899" s="89">
        <v>984</v>
      </c>
      <c r="AD899" s="89">
        <v>6333</v>
      </c>
      <c r="AE899" s="89">
        <v>15792</v>
      </c>
      <c r="AF899" s="89">
        <v>4347</v>
      </c>
      <c r="AG899" s="89">
        <v>16740</v>
      </c>
      <c r="AH899" s="89">
        <v>10516</v>
      </c>
      <c r="AI899" s="89">
        <v>200</v>
      </c>
      <c r="AJ899" s="89">
        <v>27045</v>
      </c>
      <c r="AK899" s="89">
        <v>352</v>
      </c>
      <c r="AL899" s="89">
        <v>59</v>
      </c>
      <c r="AM899" s="89">
        <v>2233</v>
      </c>
      <c r="AN899" s="89">
        <v>25004</v>
      </c>
      <c r="AO899" s="89">
        <v>219</v>
      </c>
      <c r="AP899" s="90">
        <v>5.0754825148098597</v>
      </c>
      <c r="AQ899" s="90">
        <v>1.98143272828045</v>
      </c>
      <c r="AR899" s="90">
        <v>8.8824482141334897</v>
      </c>
      <c r="AS899" s="90">
        <v>8.1632653061224492</v>
      </c>
      <c r="AT899" s="90">
        <v>6.6263033972418404</v>
      </c>
      <c r="AU899" s="90">
        <v>4.8268555916043203</v>
      </c>
      <c r="AV899" s="90">
        <v>3.0824372759856602</v>
      </c>
      <c r="AW899" s="90">
        <v>4.3274341817272202</v>
      </c>
      <c r="AX899" s="90">
        <v>6.2888043260564803</v>
      </c>
      <c r="AY899" s="90">
        <v>4.2553191489361701</v>
      </c>
      <c r="AZ899" s="90">
        <v>5.0948740832719004</v>
      </c>
      <c r="BA899" s="90">
        <v>4.14201183431953</v>
      </c>
      <c r="BB899" s="90">
        <v>1.78571428571429</v>
      </c>
      <c r="BC899" s="90">
        <v>4.6576618537494197</v>
      </c>
      <c r="BD899" s="90">
        <v>5.1327284946236604</v>
      </c>
      <c r="BE899" s="90">
        <v>2.8571428571428599</v>
      </c>
    </row>
    <row r="900" spans="2:57" ht="15" customHeight="1" x14ac:dyDescent="0.25">
      <c r="B900" s="91">
        <v>890</v>
      </c>
      <c r="C900" s="92" t="s">
        <v>503</v>
      </c>
      <c r="D900" s="92" t="s">
        <v>302</v>
      </c>
      <c r="E900" s="92" t="s">
        <v>396</v>
      </c>
      <c r="F900" s="92"/>
      <c r="G900" s="93" t="s">
        <v>501</v>
      </c>
      <c r="H900" s="94">
        <v>13013</v>
      </c>
      <c r="I900" s="94">
        <v>7125</v>
      </c>
      <c r="J900" s="94">
        <v>5888</v>
      </c>
      <c r="K900" s="94">
        <v>649</v>
      </c>
      <c r="L900" s="94">
        <v>3594</v>
      </c>
      <c r="M900" s="94">
        <v>7434</v>
      </c>
      <c r="N900" s="94">
        <v>1336</v>
      </c>
      <c r="O900" s="94">
        <v>12936</v>
      </c>
      <c r="P900" s="94">
        <v>77</v>
      </c>
      <c r="Q900" s="95">
        <v>2.5692695214105798</v>
      </c>
      <c r="R900" s="95">
        <v>1.85438516491868</v>
      </c>
      <c r="S900" s="95">
        <v>3.4515100356405899</v>
      </c>
      <c r="T900" s="95">
        <v>5.3465346534653504</v>
      </c>
      <c r="U900" s="95">
        <v>4.0111076828139502</v>
      </c>
      <c r="V900" s="95">
        <v>1.8571428571428601</v>
      </c>
      <c r="W900" s="95">
        <v>1.63230240549828</v>
      </c>
      <c r="X900" s="95">
        <v>2.5586894105725402</v>
      </c>
      <c r="Y900" s="95">
        <v>4.4117647058823497</v>
      </c>
      <c r="Z900" s="94">
        <v>13621</v>
      </c>
      <c r="AA900" s="94">
        <v>7036</v>
      </c>
      <c r="AB900" s="94">
        <v>6585</v>
      </c>
      <c r="AC900" s="94">
        <v>459</v>
      </c>
      <c r="AD900" s="94">
        <v>3231</v>
      </c>
      <c r="AE900" s="94">
        <v>8079</v>
      </c>
      <c r="AF900" s="94">
        <v>1852</v>
      </c>
      <c r="AG900" s="94">
        <v>7119</v>
      </c>
      <c r="AH900" s="94">
        <v>6431</v>
      </c>
      <c r="AI900" s="94">
        <v>71</v>
      </c>
      <c r="AJ900" s="94">
        <v>13438</v>
      </c>
      <c r="AK900" s="94">
        <v>166</v>
      </c>
      <c r="AL900" s="94">
        <v>17</v>
      </c>
      <c r="AM900" s="94">
        <v>977</v>
      </c>
      <c r="AN900" s="94">
        <v>12562</v>
      </c>
      <c r="AO900" s="94">
        <v>82</v>
      </c>
      <c r="AP900" s="95">
        <v>7.3925457211204604</v>
      </c>
      <c r="AQ900" s="95">
        <v>3.3378036060199698</v>
      </c>
      <c r="AR900" s="95">
        <v>11.7477592829706</v>
      </c>
      <c r="AS900" s="95">
        <v>12.9032258064516</v>
      </c>
      <c r="AT900" s="95">
        <v>9.2109607131066404</v>
      </c>
      <c r="AU900" s="95">
        <v>6.8617296737441702</v>
      </c>
      <c r="AV900" s="95">
        <v>5.2483069977426604</v>
      </c>
      <c r="AW900" s="95">
        <v>7.12179298142141</v>
      </c>
      <c r="AX900" s="95">
        <v>7.6583210603829199</v>
      </c>
      <c r="AY900" s="95">
        <v>10.6060606060606</v>
      </c>
      <c r="AZ900" s="95">
        <v>7.3830752385421601</v>
      </c>
      <c r="BA900" s="95">
        <v>8.3333333333333304</v>
      </c>
      <c r="BB900" s="95">
        <v>5.8823529411764701</v>
      </c>
      <c r="BC900" s="95">
        <v>7.3039742212674597</v>
      </c>
      <c r="BD900" s="95">
        <v>7.4142259414226004</v>
      </c>
      <c r="BE900" s="95">
        <v>5.1282051282051304</v>
      </c>
    </row>
    <row r="901" spans="2:57" ht="15" customHeight="1" x14ac:dyDescent="0.25">
      <c r="B901" s="91">
        <v>891</v>
      </c>
      <c r="C901" s="92" t="s">
        <v>503</v>
      </c>
      <c r="D901" s="92" t="s">
        <v>302</v>
      </c>
      <c r="E901" s="92" t="s">
        <v>396</v>
      </c>
      <c r="F901" s="92"/>
      <c r="G901" s="93" t="s">
        <v>502</v>
      </c>
      <c r="H901" s="94">
        <v>10761</v>
      </c>
      <c r="I901" s="94">
        <v>6581</v>
      </c>
      <c r="J901" s="94">
        <v>4180</v>
      </c>
      <c r="K901" s="94">
        <v>563</v>
      </c>
      <c r="L901" s="94">
        <v>2746</v>
      </c>
      <c r="M901" s="94">
        <v>5541</v>
      </c>
      <c r="N901" s="94">
        <v>1911</v>
      </c>
      <c r="O901" s="94">
        <v>10656</v>
      </c>
      <c r="P901" s="94">
        <v>105</v>
      </c>
      <c r="Q901" s="95">
        <v>0.33596837944663999</v>
      </c>
      <c r="R901" s="95">
        <v>0.14351778025833201</v>
      </c>
      <c r="S901" s="95">
        <v>0.64951935567679897</v>
      </c>
      <c r="T901" s="95">
        <v>0.41152263374485598</v>
      </c>
      <c r="U901" s="95">
        <v>0.39077764751856198</v>
      </c>
      <c r="V901" s="95">
        <v>0.41753653444676397</v>
      </c>
      <c r="W901" s="95">
        <v>0</v>
      </c>
      <c r="X901" s="95">
        <v>0.339185953711093</v>
      </c>
      <c r="Y901" s="95">
        <v>0</v>
      </c>
      <c r="Z901" s="94">
        <v>13835</v>
      </c>
      <c r="AA901" s="94">
        <v>8033</v>
      </c>
      <c r="AB901" s="94">
        <v>5802</v>
      </c>
      <c r="AC901" s="94">
        <v>525</v>
      </c>
      <c r="AD901" s="94">
        <v>3102</v>
      </c>
      <c r="AE901" s="94">
        <v>7713</v>
      </c>
      <c r="AF901" s="94">
        <v>2495</v>
      </c>
      <c r="AG901" s="94">
        <v>9621</v>
      </c>
      <c r="AH901" s="94">
        <v>4085</v>
      </c>
      <c r="AI901" s="94">
        <v>129</v>
      </c>
      <c r="AJ901" s="94">
        <v>13607</v>
      </c>
      <c r="AK901" s="94">
        <v>186</v>
      </c>
      <c r="AL901" s="94">
        <v>42</v>
      </c>
      <c r="AM901" s="94">
        <v>1256</v>
      </c>
      <c r="AN901" s="94">
        <v>12442</v>
      </c>
      <c r="AO901" s="94">
        <v>137</v>
      </c>
      <c r="AP901" s="95">
        <v>2.8017567772224701</v>
      </c>
      <c r="AQ901" s="95">
        <v>0.802796840605982</v>
      </c>
      <c r="AR901" s="95">
        <v>5.6173627576144396</v>
      </c>
      <c r="AS901" s="95">
        <v>4.0241448692152897</v>
      </c>
      <c r="AT901" s="95">
        <v>3.9424065821048999</v>
      </c>
      <c r="AU901" s="95">
        <v>2.6968423905678298</v>
      </c>
      <c r="AV901" s="95">
        <v>1.49191877331123</v>
      </c>
      <c r="AW901" s="95">
        <v>2.2695189488543801</v>
      </c>
      <c r="AX901" s="95">
        <v>4.1290322580645196</v>
      </c>
      <c r="AY901" s="95">
        <v>0.81967213114754101</v>
      </c>
      <c r="AZ901" s="95">
        <v>2.8417404697728101</v>
      </c>
      <c r="BA901" s="95">
        <v>0.54945054945054905</v>
      </c>
      <c r="BB901" s="95">
        <v>0</v>
      </c>
      <c r="BC901" s="95">
        <v>2.6315789473684199</v>
      </c>
      <c r="BD901" s="95">
        <v>2.8335301062573799</v>
      </c>
      <c r="BE901" s="95">
        <v>1.51515151515152</v>
      </c>
    </row>
    <row r="902" spans="2:57" ht="15" customHeight="1" x14ac:dyDescent="0.25">
      <c r="B902" s="96">
        <v>892</v>
      </c>
      <c r="C902" s="97" t="s">
        <v>504</v>
      </c>
      <c r="D902" s="104" t="s">
        <v>302</v>
      </c>
      <c r="E902" s="104" t="s">
        <v>396</v>
      </c>
      <c r="F902" s="104" t="s">
        <v>290</v>
      </c>
      <c r="G902" s="105" t="s">
        <v>290</v>
      </c>
      <c r="H902" s="106">
        <v>19169</v>
      </c>
      <c r="I902" s="106">
        <v>10700</v>
      </c>
      <c r="J902" s="106">
        <v>8469</v>
      </c>
      <c r="K902" s="106">
        <v>1052</v>
      </c>
      <c r="L902" s="106">
        <v>5083</v>
      </c>
      <c r="M902" s="106">
        <v>10178</v>
      </c>
      <c r="N902" s="106">
        <v>2856</v>
      </c>
      <c r="O902" s="106">
        <v>19000</v>
      </c>
      <c r="P902" s="106">
        <v>169</v>
      </c>
      <c r="Q902" s="107">
        <v>1.64156371636487</v>
      </c>
      <c r="R902" s="107">
        <v>1.1795281887245099</v>
      </c>
      <c r="S902" s="107">
        <v>2.2400621520134698</v>
      </c>
      <c r="T902" s="107">
        <v>2.53748558246828</v>
      </c>
      <c r="U902" s="107">
        <v>2.69106566200215</v>
      </c>
      <c r="V902" s="107">
        <v>1.3635890496512999</v>
      </c>
      <c r="W902" s="107">
        <v>0.498466257668712</v>
      </c>
      <c r="X902" s="107">
        <v>1.63869132290185</v>
      </c>
      <c r="Y902" s="107">
        <v>1.9736842105263199</v>
      </c>
      <c r="Z902" s="106">
        <v>22840</v>
      </c>
      <c r="AA902" s="106">
        <v>12148</v>
      </c>
      <c r="AB902" s="106">
        <v>10692</v>
      </c>
      <c r="AC902" s="106">
        <v>873</v>
      </c>
      <c r="AD902" s="106">
        <v>5308</v>
      </c>
      <c r="AE902" s="106">
        <v>12786</v>
      </c>
      <c r="AF902" s="106">
        <v>3873</v>
      </c>
      <c r="AG902" s="106">
        <v>14016</v>
      </c>
      <c r="AH902" s="106">
        <v>8668</v>
      </c>
      <c r="AI902" s="106">
        <v>156</v>
      </c>
      <c r="AJ902" s="106">
        <v>22452</v>
      </c>
      <c r="AK902" s="106">
        <v>339</v>
      </c>
      <c r="AL902" s="106">
        <v>49</v>
      </c>
      <c r="AM902" s="106">
        <v>1866</v>
      </c>
      <c r="AN902" s="106">
        <v>20810</v>
      </c>
      <c r="AO902" s="106">
        <v>164</v>
      </c>
      <c r="AP902" s="107">
        <v>5.0278301669810004</v>
      </c>
      <c r="AQ902" s="107">
        <v>2.13351686166552</v>
      </c>
      <c r="AR902" s="107">
        <v>8.3539298072170105</v>
      </c>
      <c r="AS902" s="107">
        <v>7.4429771908763502</v>
      </c>
      <c r="AT902" s="107">
        <v>6.6129032258064502</v>
      </c>
      <c r="AU902" s="107">
        <v>4.8984272608125803</v>
      </c>
      <c r="AV902" s="107">
        <v>2.80898876404494</v>
      </c>
      <c r="AW902" s="107">
        <v>4.3338323353293404</v>
      </c>
      <c r="AX902" s="107">
        <v>6.1459978136766704</v>
      </c>
      <c r="AY902" s="107">
        <v>5.4794520547945202</v>
      </c>
      <c r="AZ902" s="107">
        <v>5.0449269936353396</v>
      </c>
      <c r="BA902" s="107">
        <v>4.3076923076923102</v>
      </c>
      <c r="BB902" s="107">
        <v>2.1739130434782599</v>
      </c>
      <c r="BC902" s="107">
        <v>4.4011142061281303</v>
      </c>
      <c r="BD902" s="107">
        <v>5.0993076262192396</v>
      </c>
      <c r="BE902" s="107">
        <v>3.1847133757961799</v>
      </c>
    </row>
    <row r="903" spans="2:57" ht="15" customHeight="1" x14ac:dyDescent="0.25">
      <c r="B903" s="91">
        <v>893</v>
      </c>
      <c r="C903" s="92" t="s">
        <v>504</v>
      </c>
      <c r="D903" s="92" t="s">
        <v>302</v>
      </c>
      <c r="E903" s="92" t="s">
        <v>396</v>
      </c>
      <c r="F903" s="92" t="s">
        <v>290</v>
      </c>
      <c r="G903" s="101" t="s">
        <v>501</v>
      </c>
      <c r="H903" s="94">
        <v>11052</v>
      </c>
      <c r="I903" s="94">
        <v>5911</v>
      </c>
      <c r="J903" s="94">
        <v>5141</v>
      </c>
      <c r="K903" s="94">
        <v>577</v>
      </c>
      <c r="L903" s="94">
        <v>3128</v>
      </c>
      <c r="M903" s="94">
        <v>6183</v>
      </c>
      <c r="N903" s="94">
        <v>1164</v>
      </c>
      <c r="O903" s="94">
        <v>10983</v>
      </c>
      <c r="P903" s="94">
        <v>69</v>
      </c>
      <c r="Q903" s="95">
        <v>2.68689272258576</v>
      </c>
      <c r="R903" s="95">
        <v>2.02503681885125</v>
      </c>
      <c r="S903" s="95">
        <v>3.45938977223893</v>
      </c>
      <c r="T903" s="95">
        <v>4.4843049327354301</v>
      </c>
      <c r="U903" s="95">
        <v>4.1858815182688902</v>
      </c>
      <c r="V903" s="95">
        <v>2.0636285468615601</v>
      </c>
      <c r="W903" s="95">
        <v>1.29224652087475</v>
      </c>
      <c r="X903" s="95">
        <v>2.67305006981847</v>
      </c>
      <c r="Y903" s="95">
        <v>5</v>
      </c>
      <c r="Z903" s="94">
        <v>13621</v>
      </c>
      <c r="AA903" s="94">
        <v>7036</v>
      </c>
      <c r="AB903" s="94">
        <v>6585</v>
      </c>
      <c r="AC903" s="94">
        <v>459</v>
      </c>
      <c r="AD903" s="94">
        <v>3231</v>
      </c>
      <c r="AE903" s="94">
        <v>8079</v>
      </c>
      <c r="AF903" s="94">
        <v>1852</v>
      </c>
      <c r="AG903" s="94">
        <v>7119</v>
      </c>
      <c r="AH903" s="94">
        <v>6431</v>
      </c>
      <c r="AI903" s="94">
        <v>71</v>
      </c>
      <c r="AJ903" s="94">
        <v>13438</v>
      </c>
      <c r="AK903" s="94">
        <v>166</v>
      </c>
      <c r="AL903" s="94">
        <v>17</v>
      </c>
      <c r="AM903" s="94">
        <v>977</v>
      </c>
      <c r="AN903" s="94">
        <v>12562</v>
      </c>
      <c r="AO903" s="94">
        <v>82</v>
      </c>
      <c r="AP903" s="95">
        <v>7.3925457211204604</v>
      </c>
      <c r="AQ903" s="95">
        <v>3.3378036060199698</v>
      </c>
      <c r="AR903" s="95">
        <v>11.7477592829706</v>
      </c>
      <c r="AS903" s="95">
        <v>12.9032258064516</v>
      </c>
      <c r="AT903" s="95">
        <v>9.2109607131066404</v>
      </c>
      <c r="AU903" s="95">
        <v>6.8617296737441702</v>
      </c>
      <c r="AV903" s="95">
        <v>5.2483069977426604</v>
      </c>
      <c r="AW903" s="95">
        <v>7.12179298142141</v>
      </c>
      <c r="AX903" s="95">
        <v>7.6583210603829199</v>
      </c>
      <c r="AY903" s="95">
        <v>10.6060606060606</v>
      </c>
      <c r="AZ903" s="95">
        <v>7.3830752385421601</v>
      </c>
      <c r="BA903" s="95">
        <v>8.3333333333333304</v>
      </c>
      <c r="BB903" s="95">
        <v>5.8823529411764701</v>
      </c>
      <c r="BC903" s="95">
        <v>7.3039742212674597</v>
      </c>
      <c r="BD903" s="95">
        <v>7.4142259414226004</v>
      </c>
      <c r="BE903" s="95">
        <v>5.1282051282051304</v>
      </c>
    </row>
    <row r="904" spans="2:57" ht="15" customHeight="1" x14ac:dyDescent="0.25">
      <c r="B904" s="91">
        <v>894</v>
      </c>
      <c r="C904" s="92" t="s">
        <v>504</v>
      </c>
      <c r="D904" s="92" t="s">
        <v>302</v>
      </c>
      <c r="E904" s="92" t="s">
        <v>396</v>
      </c>
      <c r="F904" s="92" t="s">
        <v>290</v>
      </c>
      <c r="G904" s="101" t="s">
        <v>502</v>
      </c>
      <c r="H904" s="94">
        <v>8117</v>
      </c>
      <c r="I904" s="94">
        <v>4789</v>
      </c>
      <c r="J904" s="94">
        <v>3328</v>
      </c>
      <c r="K904" s="94">
        <v>475</v>
      </c>
      <c r="L904" s="94">
        <v>1955</v>
      </c>
      <c r="M904" s="94">
        <v>3995</v>
      </c>
      <c r="N904" s="94">
        <v>1692</v>
      </c>
      <c r="O904" s="94">
        <v>8017</v>
      </c>
      <c r="P904" s="94">
        <v>100</v>
      </c>
      <c r="Q904" s="95">
        <v>0.26174584478471402</v>
      </c>
      <c r="R904" s="95">
        <v>0.17497812773403301</v>
      </c>
      <c r="S904" s="95">
        <v>0.391006842619746</v>
      </c>
      <c r="T904" s="95">
        <v>0.47505938242280299</v>
      </c>
      <c r="U904" s="95">
        <v>0.38335158817086501</v>
      </c>
      <c r="V904" s="95">
        <v>0.29008438818565402</v>
      </c>
      <c r="W904" s="95">
        <v>0</v>
      </c>
      <c r="X904" s="95">
        <v>0.26493575307987799</v>
      </c>
      <c r="Y904" s="95">
        <v>0</v>
      </c>
      <c r="Z904" s="94">
        <v>9219</v>
      </c>
      <c r="AA904" s="94">
        <v>5112</v>
      </c>
      <c r="AB904" s="94">
        <v>4107</v>
      </c>
      <c r="AC904" s="94">
        <v>414</v>
      </c>
      <c r="AD904" s="94">
        <v>2077</v>
      </c>
      <c r="AE904" s="94">
        <v>4707</v>
      </c>
      <c r="AF904" s="94">
        <v>2021</v>
      </c>
      <c r="AG904" s="94">
        <v>6897</v>
      </c>
      <c r="AH904" s="94">
        <v>2237</v>
      </c>
      <c r="AI904" s="94">
        <v>85</v>
      </c>
      <c r="AJ904" s="94">
        <v>9014</v>
      </c>
      <c r="AK904" s="94">
        <v>173</v>
      </c>
      <c r="AL904" s="94">
        <v>32</v>
      </c>
      <c r="AM904" s="94">
        <v>889</v>
      </c>
      <c r="AN904" s="94">
        <v>8248</v>
      </c>
      <c r="AO904" s="94">
        <v>82</v>
      </c>
      <c r="AP904" s="95">
        <v>1.5375854214122999</v>
      </c>
      <c r="AQ904" s="95">
        <v>0.48849989822918799</v>
      </c>
      <c r="AR904" s="95">
        <v>2.8704422032583401</v>
      </c>
      <c r="AS904" s="95">
        <v>1.5037593984962401</v>
      </c>
      <c r="AT904" s="95">
        <v>2.5375453133091699</v>
      </c>
      <c r="AU904" s="95">
        <v>1.51650312221231</v>
      </c>
      <c r="AV904" s="95">
        <v>0.61037639877924699</v>
      </c>
      <c r="AW904" s="95">
        <v>1.45941015506233</v>
      </c>
      <c r="AX904" s="95">
        <v>1.7907634307257301</v>
      </c>
      <c r="AY904" s="95">
        <v>1.25</v>
      </c>
      <c r="AZ904" s="95">
        <v>1.5614075972966699</v>
      </c>
      <c r="BA904" s="95">
        <v>0.59171597633136097</v>
      </c>
      <c r="BB904" s="95">
        <v>0</v>
      </c>
      <c r="BC904" s="95">
        <v>1.2731481481481499</v>
      </c>
      <c r="BD904" s="95">
        <v>1.5694781166262599</v>
      </c>
      <c r="BE904" s="95">
        <v>1.26582278481013</v>
      </c>
    </row>
    <row r="905" spans="2:57" ht="15" customHeight="1" x14ac:dyDescent="0.25">
      <c r="B905" s="96">
        <v>895</v>
      </c>
      <c r="C905" s="97" t="s">
        <v>504</v>
      </c>
      <c r="D905" s="104" t="s">
        <v>302</v>
      </c>
      <c r="E905" s="104" t="s">
        <v>396</v>
      </c>
      <c r="F905" s="104" t="s">
        <v>120</v>
      </c>
      <c r="G905" s="105" t="s">
        <v>120</v>
      </c>
      <c r="H905" s="106">
        <v>4605</v>
      </c>
      <c r="I905" s="106">
        <v>3006</v>
      </c>
      <c r="J905" s="106">
        <v>1599</v>
      </c>
      <c r="K905" s="106">
        <v>160</v>
      </c>
      <c r="L905" s="106">
        <v>1257</v>
      </c>
      <c r="M905" s="106">
        <v>2797</v>
      </c>
      <c r="N905" s="106">
        <v>391</v>
      </c>
      <c r="O905" s="106">
        <v>4592</v>
      </c>
      <c r="P905" s="106">
        <v>13</v>
      </c>
      <c r="Q905" s="107">
        <v>1.13874041366489</v>
      </c>
      <c r="R905" s="107">
        <v>0.45678144764581902</v>
      </c>
      <c r="S905" s="107">
        <v>2.4708304735758402</v>
      </c>
      <c r="T905" s="107">
        <v>5.6451612903225801</v>
      </c>
      <c r="U905" s="107">
        <v>1.2987012987013</v>
      </c>
      <c r="V905" s="107">
        <v>0.78888054094665705</v>
      </c>
      <c r="W905" s="107">
        <v>1.65745856353591</v>
      </c>
      <c r="X905" s="107">
        <v>1.14192495921697</v>
      </c>
      <c r="Y905" s="107">
        <v>0</v>
      </c>
      <c r="Z905" s="106">
        <v>4616</v>
      </c>
      <c r="AA905" s="106">
        <v>2921</v>
      </c>
      <c r="AB905" s="106">
        <v>1695</v>
      </c>
      <c r="AC905" s="106">
        <v>111</v>
      </c>
      <c r="AD905" s="106">
        <v>1025</v>
      </c>
      <c r="AE905" s="106">
        <v>3006</v>
      </c>
      <c r="AF905" s="106">
        <v>474</v>
      </c>
      <c r="AG905" s="106">
        <v>2724</v>
      </c>
      <c r="AH905" s="106">
        <v>1848</v>
      </c>
      <c r="AI905" s="106">
        <v>44</v>
      </c>
      <c r="AJ905" s="106">
        <v>4593</v>
      </c>
      <c r="AK905" s="106">
        <v>13</v>
      </c>
      <c r="AL905" s="106">
        <v>10</v>
      </c>
      <c r="AM905" s="106">
        <v>367</v>
      </c>
      <c r="AN905" s="106">
        <v>4194</v>
      </c>
      <c r="AO905" s="106">
        <v>55</v>
      </c>
      <c r="AP905" s="107">
        <v>5.3095345684591004</v>
      </c>
      <c r="AQ905" s="107">
        <v>1.3523131672597899</v>
      </c>
      <c r="AR905" s="107">
        <v>12.1905940594059</v>
      </c>
      <c r="AS905" s="107">
        <v>14.285714285714301</v>
      </c>
      <c r="AT905" s="107">
        <v>6.6937119675456396</v>
      </c>
      <c r="AU905" s="107">
        <v>4.5250431778929201</v>
      </c>
      <c r="AV905" s="107">
        <v>5.3691275167785202</v>
      </c>
      <c r="AW905" s="107">
        <v>4.2949448878753298</v>
      </c>
      <c r="AX905" s="107">
        <v>6.9594980034227003</v>
      </c>
      <c r="AY905" s="107">
        <v>0</v>
      </c>
      <c r="AZ905" s="107">
        <v>5.3372700431524001</v>
      </c>
      <c r="BA905" s="107">
        <v>0</v>
      </c>
      <c r="BB905" s="107">
        <v>0</v>
      </c>
      <c r="BC905" s="107">
        <v>5.9659090909090899</v>
      </c>
      <c r="BD905" s="107">
        <v>5.2971897537925896</v>
      </c>
      <c r="BE905" s="107">
        <v>1.88679245283019</v>
      </c>
    </row>
    <row r="906" spans="2:57" ht="15" customHeight="1" x14ac:dyDescent="0.25">
      <c r="B906" s="91">
        <v>896</v>
      </c>
      <c r="C906" s="92" t="s">
        <v>504</v>
      </c>
      <c r="D906" s="92" t="s">
        <v>302</v>
      </c>
      <c r="E906" s="92" t="s">
        <v>396</v>
      </c>
      <c r="F906" s="92" t="s">
        <v>120</v>
      </c>
      <c r="G906" s="101" t="s">
        <v>501</v>
      </c>
      <c r="H906" s="94">
        <v>1961</v>
      </c>
      <c r="I906" s="94">
        <v>1214</v>
      </c>
      <c r="J906" s="94">
        <v>747</v>
      </c>
      <c r="K906" s="94">
        <v>72</v>
      </c>
      <c r="L906" s="94">
        <v>466</v>
      </c>
      <c r="M906" s="94">
        <v>1251</v>
      </c>
      <c r="N906" s="94">
        <v>172</v>
      </c>
      <c r="O906" s="94">
        <v>1953</v>
      </c>
      <c r="P906" s="94">
        <v>8</v>
      </c>
      <c r="Q906" s="95">
        <v>1.91885964912281</v>
      </c>
      <c r="R906" s="95">
        <v>1.0462074978203999</v>
      </c>
      <c r="S906" s="95">
        <v>3.3973412112260002</v>
      </c>
      <c r="T906" s="95">
        <v>11.864406779661</v>
      </c>
      <c r="U906" s="95">
        <v>2.8436018957345999</v>
      </c>
      <c r="V906" s="95">
        <v>0.84388185654008396</v>
      </c>
      <c r="W906" s="95">
        <v>3.79746835443038</v>
      </c>
      <c r="X906" s="95">
        <v>1.9273127753304</v>
      </c>
      <c r="Y906" s="95">
        <v>0</v>
      </c>
      <c r="Z906" s="94">
        <v>0</v>
      </c>
      <c r="AA906" s="94">
        <v>0</v>
      </c>
      <c r="AB906" s="94">
        <v>0</v>
      </c>
      <c r="AC906" s="94">
        <v>0</v>
      </c>
      <c r="AD906" s="94">
        <v>0</v>
      </c>
      <c r="AE906" s="94">
        <v>0</v>
      </c>
      <c r="AF906" s="94">
        <v>0</v>
      </c>
      <c r="AG906" s="94">
        <v>0</v>
      </c>
      <c r="AH906" s="94">
        <v>0</v>
      </c>
      <c r="AI906" s="94">
        <v>0</v>
      </c>
      <c r="AJ906" s="94">
        <v>0</v>
      </c>
      <c r="AK906" s="94">
        <v>0</v>
      </c>
      <c r="AL906" s="94">
        <v>0</v>
      </c>
      <c r="AM906" s="94">
        <v>0</v>
      </c>
      <c r="AN906" s="94">
        <v>0</v>
      </c>
      <c r="AO906" s="94">
        <v>0</v>
      </c>
      <c r="AP906" s="95">
        <v>0</v>
      </c>
      <c r="AQ906" s="95">
        <v>0</v>
      </c>
      <c r="AR906" s="95">
        <v>0</v>
      </c>
      <c r="AS906" s="95">
        <v>0</v>
      </c>
      <c r="AT906" s="95">
        <v>0</v>
      </c>
      <c r="AU906" s="95">
        <v>0</v>
      </c>
      <c r="AV906" s="95">
        <v>0</v>
      </c>
      <c r="AW906" s="95">
        <v>0</v>
      </c>
      <c r="AX906" s="95">
        <v>0</v>
      </c>
      <c r="AY906" s="95">
        <v>0</v>
      </c>
      <c r="AZ906" s="95">
        <v>0</v>
      </c>
      <c r="BA906" s="95">
        <v>0</v>
      </c>
      <c r="BB906" s="95">
        <v>0</v>
      </c>
      <c r="BC906" s="95">
        <v>0</v>
      </c>
      <c r="BD906" s="95">
        <v>0</v>
      </c>
      <c r="BE906" s="95">
        <v>0</v>
      </c>
    </row>
    <row r="907" spans="2:57" ht="15" customHeight="1" x14ac:dyDescent="0.25">
      <c r="B907" s="91">
        <v>897</v>
      </c>
      <c r="C907" s="92" t="s">
        <v>504</v>
      </c>
      <c r="D907" s="92" t="s">
        <v>302</v>
      </c>
      <c r="E907" s="92" t="s">
        <v>396</v>
      </c>
      <c r="F907" s="92" t="s">
        <v>120</v>
      </c>
      <c r="G907" s="101" t="s">
        <v>502</v>
      </c>
      <c r="H907" s="94">
        <v>2644</v>
      </c>
      <c r="I907" s="94">
        <v>1792</v>
      </c>
      <c r="J907" s="94">
        <v>852</v>
      </c>
      <c r="K907" s="94">
        <v>88</v>
      </c>
      <c r="L907" s="94">
        <v>791</v>
      </c>
      <c r="M907" s="94">
        <v>1546</v>
      </c>
      <c r="N907" s="94">
        <v>219</v>
      </c>
      <c r="O907" s="94">
        <v>2639</v>
      </c>
      <c r="P907" s="94">
        <v>5</v>
      </c>
      <c r="Q907" s="95">
        <v>0.56474384832593805</v>
      </c>
      <c r="R907" s="95">
        <v>5.8858151854031801E-2</v>
      </c>
      <c r="S907" s="95">
        <v>1.6666666666666701</v>
      </c>
      <c r="T907" s="95">
        <v>0</v>
      </c>
      <c r="U907" s="95">
        <v>0.40927694406548398</v>
      </c>
      <c r="V907" s="95">
        <v>0.74475287745429897</v>
      </c>
      <c r="W907" s="95">
        <v>0</v>
      </c>
      <c r="X907" s="95">
        <v>0.56565656565656597</v>
      </c>
      <c r="Y907" s="95">
        <v>0</v>
      </c>
      <c r="Z907" s="94">
        <v>4616</v>
      </c>
      <c r="AA907" s="94">
        <v>2921</v>
      </c>
      <c r="AB907" s="94">
        <v>1695</v>
      </c>
      <c r="AC907" s="94">
        <v>111</v>
      </c>
      <c r="AD907" s="94">
        <v>1025</v>
      </c>
      <c r="AE907" s="94">
        <v>3006</v>
      </c>
      <c r="AF907" s="94">
        <v>474</v>
      </c>
      <c r="AG907" s="94">
        <v>2724</v>
      </c>
      <c r="AH907" s="94">
        <v>1848</v>
      </c>
      <c r="AI907" s="94">
        <v>44</v>
      </c>
      <c r="AJ907" s="94">
        <v>4593</v>
      </c>
      <c r="AK907" s="94">
        <v>13</v>
      </c>
      <c r="AL907" s="94">
        <v>10</v>
      </c>
      <c r="AM907" s="94">
        <v>367</v>
      </c>
      <c r="AN907" s="94">
        <v>4194</v>
      </c>
      <c r="AO907" s="94">
        <v>55</v>
      </c>
      <c r="AP907" s="95">
        <v>5.3095345684591004</v>
      </c>
      <c r="AQ907" s="95">
        <v>1.3523131672597899</v>
      </c>
      <c r="AR907" s="95">
        <v>12.1905940594059</v>
      </c>
      <c r="AS907" s="95">
        <v>14.285714285714301</v>
      </c>
      <c r="AT907" s="95">
        <v>6.6937119675456396</v>
      </c>
      <c r="AU907" s="95">
        <v>4.5250431778929201</v>
      </c>
      <c r="AV907" s="95">
        <v>5.3691275167785202</v>
      </c>
      <c r="AW907" s="95">
        <v>4.2949448878753298</v>
      </c>
      <c r="AX907" s="95">
        <v>6.9594980034227003</v>
      </c>
      <c r="AY907" s="95">
        <v>0</v>
      </c>
      <c r="AZ907" s="95">
        <v>5.3372700431524001</v>
      </c>
      <c r="BA907" s="95">
        <v>0</v>
      </c>
      <c r="BB907" s="95">
        <v>0</v>
      </c>
      <c r="BC907" s="95">
        <v>5.9659090909090899</v>
      </c>
      <c r="BD907" s="95">
        <v>5.2971897537925896</v>
      </c>
      <c r="BE907" s="95">
        <v>1.88679245283019</v>
      </c>
    </row>
    <row r="908" spans="2:57" ht="15" customHeight="1" x14ac:dyDescent="0.25">
      <c r="B908" s="86">
        <v>898</v>
      </c>
      <c r="C908" s="87" t="s">
        <v>503</v>
      </c>
      <c r="D908" s="103" t="s">
        <v>302</v>
      </c>
      <c r="E908" s="103" t="s">
        <v>508</v>
      </c>
      <c r="F908" s="103"/>
      <c r="G908" s="88" t="s">
        <v>508</v>
      </c>
      <c r="H908" s="89">
        <v>6795</v>
      </c>
      <c r="I908" s="89">
        <v>4451</v>
      </c>
      <c r="J908" s="89">
        <v>2344</v>
      </c>
      <c r="K908" s="89">
        <v>201</v>
      </c>
      <c r="L908" s="89">
        <v>1914</v>
      </c>
      <c r="M908" s="89">
        <v>3706</v>
      </c>
      <c r="N908" s="89">
        <v>974</v>
      </c>
      <c r="O908" s="89">
        <v>6751</v>
      </c>
      <c r="P908" s="89">
        <v>44</v>
      </c>
      <c r="Q908" s="90">
        <v>1.7186505410566499</v>
      </c>
      <c r="R908" s="90">
        <v>1.0932944606413999</v>
      </c>
      <c r="S908" s="90">
        <v>2.9059040590405898</v>
      </c>
      <c r="T908" s="90">
        <v>2.4242424242424199</v>
      </c>
      <c r="U908" s="90">
        <v>2.5817555938037899</v>
      </c>
      <c r="V908" s="90">
        <v>1.5932792584009301</v>
      </c>
      <c r="W908" s="90">
        <v>0.43290043290043301</v>
      </c>
      <c r="X908" s="90">
        <v>1.71391958994073</v>
      </c>
      <c r="Y908" s="90">
        <v>2.4390243902439002</v>
      </c>
      <c r="Z908" s="89">
        <v>7677</v>
      </c>
      <c r="AA908" s="89">
        <v>4692</v>
      </c>
      <c r="AB908" s="89">
        <v>2985</v>
      </c>
      <c r="AC908" s="89">
        <v>235</v>
      </c>
      <c r="AD908" s="89">
        <v>1602</v>
      </c>
      <c r="AE908" s="89">
        <v>4685</v>
      </c>
      <c r="AF908" s="89">
        <v>1155</v>
      </c>
      <c r="AG908" s="89">
        <v>5556</v>
      </c>
      <c r="AH908" s="89">
        <v>2084</v>
      </c>
      <c r="AI908" s="89">
        <v>37</v>
      </c>
      <c r="AJ908" s="89">
        <v>7606</v>
      </c>
      <c r="AK908" s="89">
        <v>51</v>
      </c>
      <c r="AL908" s="89">
        <v>20</v>
      </c>
      <c r="AM908" s="89">
        <v>560</v>
      </c>
      <c r="AN908" s="89">
        <v>7059</v>
      </c>
      <c r="AO908" s="89">
        <v>58</v>
      </c>
      <c r="AP908" s="90">
        <v>4.8167684619655704</v>
      </c>
      <c r="AQ908" s="90">
        <v>2.9391660970608302</v>
      </c>
      <c r="AR908" s="90">
        <v>7.7442273534635904</v>
      </c>
      <c r="AS908" s="90">
        <v>4.5662100456620998</v>
      </c>
      <c r="AT908" s="90">
        <v>7.2825354012137602</v>
      </c>
      <c r="AU908" s="90">
        <v>4.88138686131387</v>
      </c>
      <c r="AV908" s="90">
        <v>1.3416815742397099</v>
      </c>
      <c r="AW908" s="90">
        <v>4.8229665071770302</v>
      </c>
      <c r="AX908" s="90">
        <v>4.7814910025706903</v>
      </c>
      <c r="AY908" s="90">
        <v>5.8823529411764701</v>
      </c>
      <c r="AZ908" s="90">
        <v>4.8045944810197501</v>
      </c>
      <c r="BA908" s="90">
        <v>6.3829787234042596</v>
      </c>
      <c r="BB908" s="90">
        <v>5.5555555555555598</v>
      </c>
      <c r="BC908" s="90">
        <v>1.65745856353591</v>
      </c>
      <c r="BD908" s="90">
        <v>5.0847457627118704</v>
      </c>
      <c r="BE908" s="90">
        <v>3.7735849056603801</v>
      </c>
    </row>
    <row r="909" spans="2:57" ht="15" customHeight="1" x14ac:dyDescent="0.25">
      <c r="B909" s="91">
        <v>899</v>
      </c>
      <c r="C909" s="92" t="s">
        <v>503</v>
      </c>
      <c r="D909" s="92" t="s">
        <v>302</v>
      </c>
      <c r="E909" s="92" t="s">
        <v>508</v>
      </c>
      <c r="F909" s="92"/>
      <c r="G909" s="93" t="s">
        <v>501</v>
      </c>
      <c r="H909" s="94">
        <v>0</v>
      </c>
      <c r="I909" s="94">
        <v>0</v>
      </c>
      <c r="J909" s="94">
        <v>0</v>
      </c>
      <c r="K909" s="94">
        <v>0</v>
      </c>
      <c r="L909" s="94">
        <v>0</v>
      </c>
      <c r="M909" s="94">
        <v>0</v>
      </c>
      <c r="N909" s="94">
        <v>0</v>
      </c>
      <c r="O909" s="94">
        <v>0</v>
      </c>
      <c r="P909" s="94">
        <v>0</v>
      </c>
      <c r="Q909" s="95">
        <v>0</v>
      </c>
      <c r="R909" s="95">
        <v>0</v>
      </c>
      <c r="S909" s="95">
        <v>0</v>
      </c>
      <c r="T909" s="95">
        <v>0</v>
      </c>
      <c r="U909" s="95">
        <v>0</v>
      </c>
      <c r="V909" s="95">
        <v>0</v>
      </c>
      <c r="W909" s="95">
        <v>0</v>
      </c>
      <c r="X909" s="95">
        <v>0</v>
      </c>
      <c r="Y909" s="95">
        <v>0</v>
      </c>
      <c r="Z909" s="94">
        <v>920</v>
      </c>
      <c r="AA909" s="94">
        <v>500</v>
      </c>
      <c r="AB909" s="94">
        <v>420</v>
      </c>
      <c r="AC909" s="94">
        <v>33</v>
      </c>
      <c r="AD909" s="94">
        <v>239</v>
      </c>
      <c r="AE909" s="94">
        <v>561</v>
      </c>
      <c r="AF909" s="94">
        <v>87</v>
      </c>
      <c r="AG909" s="94">
        <v>611</v>
      </c>
      <c r="AH909" s="94">
        <v>304</v>
      </c>
      <c r="AI909" s="94">
        <v>5</v>
      </c>
      <c r="AJ909" s="94">
        <v>911</v>
      </c>
      <c r="AK909" s="94">
        <v>9</v>
      </c>
      <c r="AL909" s="94">
        <v>0</v>
      </c>
      <c r="AM909" s="94">
        <v>46</v>
      </c>
      <c r="AN909" s="94">
        <v>869</v>
      </c>
      <c r="AO909" s="94">
        <v>5</v>
      </c>
      <c r="AP909" s="95">
        <v>6.1371841155234703</v>
      </c>
      <c r="AQ909" s="95">
        <v>2.7272727272727302</v>
      </c>
      <c r="AR909" s="95">
        <v>9.9744245524296709</v>
      </c>
      <c r="AS909" s="95">
        <v>9.67741935483871</v>
      </c>
      <c r="AT909" s="95">
        <v>8.2568807339449606</v>
      </c>
      <c r="AU909" s="95">
        <v>5.8116232464929896</v>
      </c>
      <c r="AV909" s="95">
        <v>1.2048192771084301</v>
      </c>
      <c r="AW909" s="95">
        <v>5.5248618784530397</v>
      </c>
      <c r="AX909" s="95">
        <v>7.3684210526315796</v>
      </c>
      <c r="AY909" s="95">
        <v>0</v>
      </c>
      <c r="AZ909" s="95">
        <v>6.1893203883495103</v>
      </c>
      <c r="BA909" s="95">
        <v>0</v>
      </c>
      <c r="BB909" s="95">
        <v>0</v>
      </c>
      <c r="BC909" s="95">
        <v>4.7619047619047601</v>
      </c>
      <c r="BD909" s="95">
        <v>6.2420382165605099</v>
      </c>
      <c r="BE909" s="95">
        <v>0</v>
      </c>
    </row>
    <row r="910" spans="2:57" ht="15" customHeight="1" x14ac:dyDescent="0.25">
      <c r="B910" s="91">
        <v>900</v>
      </c>
      <c r="C910" s="92" t="s">
        <v>503</v>
      </c>
      <c r="D910" s="92" t="s">
        <v>302</v>
      </c>
      <c r="E910" s="92" t="s">
        <v>508</v>
      </c>
      <c r="F910" s="92"/>
      <c r="G910" s="93" t="s">
        <v>502</v>
      </c>
      <c r="H910" s="94">
        <v>6795</v>
      </c>
      <c r="I910" s="94">
        <v>4451</v>
      </c>
      <c r="J910" s="94">
        <v>2344</v>
      </c>
      <c r="K910" s="94">
        <v>201</v>
      </c>
      <c r="L910" s="94">
        <v>1914</v>
      </c>
      <c r="M910" s="94">
        <v>3706</v>
      </c>
      <c r="N910" s="94">
        <v>974</v>
      </c>
      <c r="O910" s="94">
        <v>6751</v>
      </c>
      <c r="P910" s="94">
        <v>44</v>
      </c>
      <c r="Q910" s="95">
        <v>1.7186505410566499</v>
      </c>
      <c r="R910" s="95">
        <v>1.0932944606413999</v>
      </c>
      <c r="S910" s="95">
        <v>2.9059040590405898</v>
      </c>
      <c r="T910" s="95">
        <v>2.4242424242424199</v>
      </c>
      <c r="U910" s="95">
        <v>2.5817555938037899</v>
      </c>
      <c r="V910" s="95">
        <v>1.5932792584009301</v>
      </c>
      <c r="W910" s="95">
        <v>0.43290043290043301</v>
      </c>
      <c r="X910" s="95">
        <v>1.71391958994073</v>
      </c>
      <c r="Y910" s="95">
        <v>2.4390243902439002</v>
      </c>
      <c r="Z910" s="94">
        <v>6757</v>
      </c>
      <c r="AA910" s="94">
        <v>4192</v>
      </c>
      <c r="AB910" s="94">
        <v>2565</v>
      </c>
      <c r="AC910" s="94">
        <v>202</v>
      </c>
      <c r="AD910" s="94">
        <v>1363</v>
      </c>
      <c r="AE910" s="94">
        <v>4124</v>
      </c>
      <c r="AF910" s="94">
        <v>1068</v>
      </c>
      <c r="AG910" s="94">
        <v>4945</v>
      </c>
      <c r="AH910" s="94">
        <v>1780</v>
      </c>
      <c r="AI910" s="94">
        <v>32</v>
      </c>
      <c r="AJ910" s="94">
        <v>6695</v>
      </c>
      <c r="AK910" s="94">
        <v>42</v>
      </c>
      <c r="AL910" s="94">
        <v>20</v>
      </c>
      <c r="AM910" s="94">
        <v>514</v>
      </c>
      <c r="AN910" s="94">
        <v>6190</v>
      </c>
      <c r="AO910" s="94">
        <v>53</v>
      </c>
      <c r="AP910" s="95">
        <v>4.6445943825513902</v>
      </c>
      <c r="AQ910" s="95">
        <v>2.9627753861737101</v>
      </c>
      <c r="AR910" s="95">
        <v>7.3844884488448796</v>
      </c>
      <c r="AS910" s="95">
        <v>3.7234042553191502</v>
      </c>
      <c r="AT910" s="95">
        <v>7.11462450592885</v>
      </c>
      <c r="AU910" s="95">
        <v>4.7619047619047601</v>
      </c>
      <c r="AV910" s="95">
        <v>1.3526570048309201</v>
      </c>
      <c r="AW910" s="95">
        <v>4.7415634344297297</v>
      </c>
      <c r="AX910" s="95">
        <v>4.3373493975903603</v>
      </c>
      <c r="AY910" s="95">
        <v>6.4516129032258096</v>
      </c>
      <c r="AZ910" s="95">
        <v>4.6239113222486203</v>
      </c>
      <c r="BA910" s="95">
        <v>7.5</v>
      </c>
      <c r="BB910" s="95">
        <v>5.5555555555555598</v>
      </c>
      <c r="BC910" s="95">
        <v>1.39720558882236</v>
      </c>
      <c r="BD910" s="95">
        <v>4.9287308947278001</v>
      </c>
      <c r="BE910" s="95">
        <v>4.0816326530612201</v>
      </c>
    </row>
    <row r="911" spans="2:57" ht="15" customHeight="1" x14ac:dyDescent="0.25">
      <c r="B911" s="96">
        <v>901</v>
      </c>
      <c r="C911" s="97" t="s">
        <v>504</v>
      </c>
      <c r="D911" s="104" t="s">
        <v>302</v>
      </c>
      <c r="E911" s="104" t="s">
        <v>508</v>
      </c>
      <c r="F911" s="104" t="s">
        <v>478</v>
      </c>
      <c r="G911" s="105" t="s">
        <v>478</v>
      </c>
      <c r="H911" s="106">
        <v>6213</v>
      </c>
      <c r="I911" s="106">
        <v>4103</v>
      </c>
      <c r="J911" s="106">
        <v>2110</v>
      </c>
      <c r="K911" s="106">
        <v>186</v>
      </c>
      <c r="L911" s="106">
        <v>1769</v>
      </c>
      <c r="M911" s="106">
        <v>3385</v>
      </c>
      <c r="N911" s="106">
        <v>873</v>
      </c>
      <c r="O911" s="106">
        <v>6184</v>
      </c>
      <c r="P911" s="106">
        <v>29</v>
      </c>
      <c r="Q911" s="107">
        <v>1.65909884736291</v>
      </c>
      <c r="R911" s="107">
        <v>1.0309278350515501</v>
      </c>
      <c r="S911" s="107">
        <v>2.8821410190427201</v>
      </c>
      <c r="T911" s="107">
        <v>1.98675496688742</v>
      </c>
      <c r="U911" s="107">
        <v>2.4906600249066</v>
      </c>
      <c r="V911" s="107">
        <v>1.5286624203821699</v>
      </c>
      <c r="W911" s="107">
        <v>0.48250904704463199</v>
      </c>
      <c r="X911" s="107">
        <v>1.6491228070175401</v>
      </c>
      <c r="Y911" s="107">
        <v>3.8461538461538498</v>
      </c>
      <c r="Z911" s="106">
        <v>6738</v>
      </c>
      <c r="AA911" s="106">
        <v>4130</v>
      </c>
      <c r="AB911" s="106">
        <v>2608</v>
      </c>
      <c r="AC911" s="106">
        <v>198</v>
      </c>
      <c r="AD911" s="106">
        <v>1396</v>
      </c>
      <c r="AE911" s="106">
        <v>4131</v>
      </c>
      <c r="AF911" s="106">
        <v>1013</v>
      </c>
      <c r="AG911" s="106">
        <v>4870</v>
      </c>
      <c r="AH911" s="106">
        <v>1833</v>
      </c>
      <c r="AI911" s="106">
        <v>35</v>
      </c>
      <c r="AJ911" s="106">
        <v>6679</v>
      </c>
      <c r="AK911" s="106">
        <v>42</v>
      </c>
      <c r="AL911" s="106">
        <v>17</v>
      </c>
      <c r="AM911" s="106">
        <v>505</v>
      </c>
      <c r="AN911" s="106">
        <v>6185</v>
      </c>
      <c r="AO911" s="106">
        <v>48</v>
      </c>
      <c r="AP911" s="107">
        <v>4.4462025316455698</v>
      </c>
      <c r="AQ911" s="107">
        <v>2.5674273858921199</v>
      </c>
      <c r="AR911" s="107">
        <v>7.3863636363636402</v>
      </c>
      <c r="AS911" s="107">
        <v>4.2780748663101598</v>
      </c>
      <c r="AT911" s="107">
        <v>6.6666666666666696</v>
      </c>
      <c r="AU911" s="107">
        <v>4.5325045325045297</v>
      </c>
      <c r="AV911" s="107">
        <v>1.22199592668024</v>
      </c>
      <c r="AW911" s="107">
        <v>4.60598122680637</v>
      </c>
      <c r="AX911" s="107">
        <v>3.9835969537199798</v>
      </c>
      <c r="AY911" s="107">
        <v>6.25</v>
      </c>
      <c r="AZ911" s="107">
        <v>4.4366421959783002</v>
      </c>
      <c r="BA911" s="107">
        <v>7.6923076923076898</v>
      </c>
      <c r="BB911" s="107">
        <v>0</v>
      </c>
      <c r="BC911" s="107">
        <v>0.81799591002045002</v>
      </c>
      <c r="BD911" s="107">
        <v>4.7865906341800599</v>
      </c>
      <c r="BE911" s="107">
        <v>0</v>
      </c>
    </row>
    <row r="912" spans="2:57" ht="15" customHeight="1" x14ac:dyDescent="0.25">
      <c r="B912" s="91">
        <v>902</v>
      </c>
      <c r="C912" s="92" t="s">
        <v>504</v>
      </c>
      <c r="D912" s="92" t="s">
        <v>302</v>
      </c>
      <c r="E912" s="92" t="s">
        <v>508</v>
      </c>
      <c r="F912" s="92" t="s">
        <v>478</v>
      </c>
      <c r="G912" s="101" t="s">
        <v>501</v>
      </c>
      <c r="H912" s="94">
        <v>0</v>
      </c>
      <c r="I912" s="94">
        <v>0</v>
      </c>
      <c r="J912" s="94">
        <v>0</v>
      </c>
      <c r="K912" s="94">
        <v>0</v>
      </c>
      <c r="L912" s="94">
        <v>0</v>
      </c>
      <c r="M912" s="94">
        <v>0</v>
      </c>
      <c r="N912" s="94">
        <v>0</v>
      </c>
      <c r="O912" s="94">
        <v>0</v>
      </c>
      <c r="P912" s="94">
        <v>0</v>
      </c>
      <c r="Q912" s="95">
        <v>0</v>
      </c>
      <c r="R912" s="95">
        <v>0</v>
      </c>
      <c r="S912" s="95">
        <v>0</v>
      </c>
      <c r="T912" s="95">
        <v>0</v>
      </c>
      <c r="U912" s="95">
        <v>0</v>
      </c>
      <c r="V912" s="95">
        <v>0</v>
      </c>
      <c r="W912" s="95">
        <v>0</v>
      </c>
      <c r="X912" s="95">
        <v>0</v>
      </c>
      <c r="Y912" s="95">
        <v>0</v>
      </c>
      <c r="Z912" s="94">
        <v>920</v>
      </c>
      <c r="AA912" s="94">
        <v>500</v>
      </c>
      <c r="AB912" s="94">
        <v>420</v>
      </c>
      <c r="AC912" s="94">
        <v>33</v>
      </c>
      <c r="AD912" s="94">
        <v>239</v>
      </c>
      <c r="AE912" s="94">
        <v>561</v>
      </c>
      <c r="AF912" s="94">
        <v>87</v>
      </c>
      <c r="AG912" s="94">
        <v>611</v>
      </c>
      <c r="AH912" s="94">
        <v>304</v>
      </c>
      <c r="AI912" s="94">
        <v>5</v>
      </c>
      <c r="AJ912" s="94">
        <v>911</v>
      </c>
      <c r="AK912" s="94">
        <v>9</v>
      </c>
      <c r="AL912" s="94">
        <v>0</v>
      </c>
      <c r="AM912" s="94">
        <v>46</v>
      </c>
      <c r="AN912" s="94">
        <v>869</v>
      </c>
      <c r="AO912" s="94">
        <v>5</v>
      </c>
      <c r="AP912" s="95">
        <v>6.1371841155234703</v>
      </c>
      <c r="AQ912" s="95">
        <v>2.7272727272727302</v>
      </c>
      <c r="AR912" s="95">
        <v>9.9744245524296709</v>
      </c>
      <c r="AS912" s="95">
        <v>9.67741935483871</v>
      </c>
      <c r="AT912" s="95">
        <v>8.2568807339449606</v>
      </c>
      <c r="AU912" s="95">
        <v>5.8116232464929896</v>
      </c>
      <c r="AV912" s="95">
        <v>1.2048192771084301</v>
      </c>
      <c r="AW912" s="95">
        <v>5.5248618784530397</v>
      </c>
      <c r="AX912" s="95">
        <v>7.3684210526315796</v>
      </c>
      <c r="AY912" s="95">
        <v>0</v>
      </c>
      <c r="AZ912" s="95">
        <v>6.1893203883495103</v>
      </c>
      <c r="BA912" s="95">
        <v>0</v>
      </c>
      <c r="BB912" s="95">
        <v>0</v>
      </c>
      <c r="BC912" s="95">
        <v>4.7619047619047601</v>
      </c>
      <c r="BD912" s="95">
        <v>6.2420382165605099</v>
      </c>
      <c r="BE912" s="95">
        <v>0</v>
      </c>
    </row>
    <row r="913" spans="2:57" ht="15" customHeight="1" x14ac:dyDescent="0.25">
      <c r="B913" s="91">
        <v>903</v>
      </c>
      <c r="C913" s="92" t="s">
        <v>504</v>
      </c>
      <c r="D913" s="92" t="s">
        <v>302</v>
      </c>
      <c r="E913" s="92" t="s">
        <v>508</v>
      </c>
      <c r="F913" s="92" t="s">
        <v>478</v>
      </c>
      <c r="G913" s="101" t="s">
        <v>502</v>
      </c>
      <c r="H913" s="94">
        <v>6213</v>
      </c>
      <c r="I913" s="94">
        <v>4103</v>
      </c>
      <c r="J913" s="94">
        <v>2110</v>
      </c>
      <c r="K913" s="94">
        <v>186</v>
      </c>
      <c r="L913" s="94">
        <v>1769</v>
      </c>
      <c r="M913" s="94">
        <v>3385</v>
      </c>
      <c r="N913" s="94">
        <v>873</v>
      </c>
      <c r="O913" s="94">
        <v>6184</v>
      </c>
      <c r="P913" s="94">
        <v>29</v>
      </c>
      <c r="Q913" s="95">
        <v>1.65909884736291</v>
      </c>
      <c r="R913" s="95">
        <v>1.0309278350515501</v>
      </c>
      <c r="S913" s="95">
        <v>2.8821410190427201</v>
      </c>
      <c r="T913" s="95">
        <v>1.98675496688742</v>
      </c>
      <c r="U913" s="95">
        <v>2.4906600249066</v>
      </c>
      <c r="V913" s="95">
        <v>1.5286624203821699</v>
      </c>
      <c r="W913" s="95">
        <v>0.48250904704463199</v>
      </c>
      <c r="X913" s="95">
        <v>1.6491228070175401</v>
      </c>
      <c r="Y913" s="95">
        <v>3.8461538461538498</v>
      </c>
      <c r="Z913" s="94">
        <v>5818</v>
      </c>
      <c r="AA913" s="94">
        <v>3630</v>
      </c>
      <c r="AB913" s="94">
        <v>2188</v>
      </c>
      <c r="AC913" s="94">
        <v>165</v>
      </c>
      <c r="AD913" s="94">
        <v>1157</v>
      </c>
      <c r="AE913" s="94">
        <v>3570</v>
      </c>
      <c r="AF913" s="94">
        <v>926</v>
      </c>
      <c r="AG913" s="94">
        <v>4259</v>
      </c>
      <c r="AH913" s="94">
        <v>1529</v>
      </c>
      <c r="AI913" s="94">
        <v>30</v>
      </c>
      <c r="AJ913" s="94">
        <v>5768</v>
      </c>
      <c r="AK913" s="94">
        <v>33</v>
      </c>
      <c r="AL913" s="94">
        <v>17</v>
      </c>
      <c r="AM913" s="94">
        <v>459</v>
      </c>
      <c r="AN913" s="94">
        <v>5316</v>
      </c>
      <c r="AO913" s="94">
        <v>43</v>
      </c>
      <c r="AP913" s="95">
        <v>4.1901985789761298</v>
      </c>
      <c r="AQ913" s="95">
        <v>2.5468384074941501</v>
      </c>
      <c r="AR913" s="95">
        <v>6.8982151471297604</v>
      </c>
      <c r="AS913" s="95">
        <v>3.2051282051282</v>
      </c>
      <c r="AT913" s="95">
        <v>6.3432835820895503</v>
      </c>
      <c r="AU913" s="95">
        <v>4.3426531826293902</v>
      </c>
      <c r="AV913" s="95">
        <v>1.2235817575083401</v>
      </c>
      <c r="AW913" s="95">
        <v>4.4824170381376902</v>
      </c>
      <c r="AX913" s="95">
        <v>3.30520393811533</v>
      </c>
      <c r="AY913" s="95">
        <v>6.8965517241379297</v>
      </c>
      <c r="AZ913" s="95">
        <v>4.1712605659683897</v>
      </c>
      <c r="BA913" s="95">
        <v>9.375</v>
      </c>
      <c r="BB913" s="95">
        <v>0</v>
      </c>
      <c r="BC913" s="95">
        <v>0.447427293064877</v>
      </c>
      <c r="BD913" s="95">
        <v>4.55817672930828</v>
      </c>
      <c r="BE913" s="95">
        <v>0</v>
      </c>
    </row>
    <row r="914" spans="2:57" ht="15" customHeight="1" x14ac:dyDescent="0.25">
      <c r="B914" s="96">
        <v>904</v>
      </c>
      <c r="C914" s="97" t="s">
        <v>504</v>
      </c>
      <c r="D914" s="104" t="s">
        <v>302</v>
      </c>
      <c r="E914" s="104" t="s">
        <v>508</v>
      </c>
      <c r="F914" s="104" t="s">
        <v>13</v>
      </c>
      <c r="G914" s="105" t="s">
        <v>13</v>
      </c>
      <c r="H914" s="106">
        <v>582</v>
      </c>
      <c r="I914" s="106">
        <v>348</v>
      </c>
      <c r="J914" s="106">
        <v>234</v>
      </c>
      <c r="K914" s="106">
        <v>15</v>
      </c>
      <c r="L914" s="106">
        <v>145</v>
      </c>
      <c r="M914" s="106">
        <v>321</v>
      </c>
      <c r="N914" s="106">
        <v>101</v>
      </c>
      <c r="O914" s="106">
        <v>567</v>
      </c>
      <c r="P914" s="106">
        <v>15</v>
      </c>
      <c r="Q914" s="107">
        <v>2.3297491039426501</v>
      </c>
      <c r="R914" s="107">
        <v>1.8018018018018001</v>
      </c>
      <c r="S914" s="107">
        <v>3.1111111111111098</v>
      </c>
      <c r="T914" s="107">
        <v>7.1428571428571397</v>
      </c>
      <c r="U914" s="107">
        <v>3.6496350364963499</v>
      </c>
      <c r="V914" s="107">
        <v>2.2435897435897401</v>
      </c>
      <c r="W914" s="107">
        <v>0</v>
      </c>
      <c r="X914" s="107">
        <v>2.39410681399632</v>
      </c>
      <c r="Y914" s="107">
        <v>0</v>
      </c>
      <c r="Z914" s="106">
        <v>939</v>
      </c>
      <c r="AA914" s="106">
        <v>562</v>
      </c>
      <c r="AB914" s="106">
        <v>377</v>
      </c>
      <c r="AC914" s="106">
        <v>37</v>
      </c>
      <c r="AD914" s="106">
        <v>206</v>
      </c>
      <c r="AE914" s="106">
        <v>554</v>
      </c>
      <c r="AF914" s="106">
        <v>142</v>
      </c>
      <c r="AG914" s="106">
        <v>686</v>
      </c>
      <c r="AH914" s="106">
        <v>251</v>
      </c>
      <c r="AI914" s="106">
        <v>2</v>
      </c>
      <c r="AJ914" s="106">
        <v>927</v>
      </c>
      <c r="AK914" s="106">
        <v>9</v>
      </c>
      <c r="AL914" s="106">
        <v>3</v>
      </c>
      <c r="AM914" s="106">
        <v>55</v>
      </c>
      <c r="AN914" s="106">
        <v>874</v>
      </c>
      <c r="AO914" s="106">
        <v>10</v>
      </c>
      <c r="AP914" s="107">
        <v>7.4660633484162897</v>
      </c>
      <c r="AQ914" s="107">
        <v>5.6285178236397702</v>
      </c>
      <c r="AR914" s="107">
        <v>10.2564102564103</v>
      </c>
      <c r="AS914" s="107">
        <v>6.25</v>
      </c>
      <c r="AT914" s="107">
        <v>11.3989637305699</v>
      </c>
      <c r="AU914" s="107">
        <v>7.4569789674952203</v>
      </c>
      <c r="AV914" s="107">
        <v>2.2058823529411802</v>
      </c>
      <c r="AW914" s="107">
        <v>6.3664596273291902</v>
      </c>
      <c r="AX914" s="107">
        <v>10.504201680672301</v>
      </c>
      <c r="AY914" s="107">
        <v>0</v>
      </c>
      <c r="AZ914" s="107">
        <v>7.4455899198167197</v>
      </c>
      <c r="BA914" s="107">
        <v>0</v>
      </c>
      <c r="BB914" s="107">
        <v>33.3333333333333</v>
      </c>
      <c r="BC914" s="107">
        <v>9.2592592592592595</v>
      </c>
      <c r="BD914" s="107">
        <v>7.1863580998782002</v>
      </c>
      <c r="BE914" s="107">
        <v>22.2222222222222</v>
      </c>
    </row>
    <row r="915" spans="2:57" ht="15" customHeight="1" x14ac:dyDescent="0.25">
      <c r="B915" s="91">
        <v>905</v>
      </c>
      <c r="C915" s="92" t="s">
        <v>504</v>
      </c>
      <c r="D915" s="92" t="s">
        <v>302</v>
      </c>
      <c r="E915" s="92" t="s">
        <v>508</v>
      </c>
      <c r="F915" s="92" t="s">
        <v>13</v>
      </c>
      <c r="G915" s="101" t="s">
        <v>501</v>
      </c>
      <c r="H915" s="94">
        <v>0</v>
      </c>
      <c r="I915" s="94">
        <v>0</v>
      </c>
      <c r="J915" s="94">
        <v>0</v>
      </c>
      <c r="K915" s="94">
        <v>0</v>
      </c>
      <c r="L915" s="94">
        <v>0</v>
      </c>
      <c r="M915" s="94">
        <v>0</v>
      </c>
      <c r="N915" s="94">
        <v>0</v>
      </c>
      <c r="O915" s="94">
        <v>0</v>
      </c>
      <c r="P915" s="94">
        <v>0</v>
      </c>
      <c r="Q915" s="95">
        <v>0</v>
      </c>
      <c r="R915" s="95">
        <v>0</v>
      </c>
      <c r="S915" s="95">
        <v>0</v>
      </c>
      <c r="T915" s="95">
        <v>0</v>
      </c>
      <c r="U915" s="95">
        <v>0</v>
      </c>
      <c r="V915" s="95">
        <v>0</v>
      </c>
      <c r="W915" s="95">
        <v>0</v>
      </c>
      <c r="X915" s="95">
        <v>0</v>
      </c>
      <c r="Y915" s="95">
        <v>0</v>
      </c>
      <c r="Z915" s="94">
        <v>0</v>
      </c>
      <c r="AA915" s="94">
        <v>0</v>
      </c>
      <c r="AB915" s="94">
        <v>0</v>
      </c>
      <c r="AC915" s="94">
        <v>0</v>
      </c>
      <c r="AD915" s="94">
        <v>0</v>
      </c>
      <c r="AE915" s="94">
        <v>0</v>
      </c>
      <c r="AF915" s="94">
        <v>0</v>
      </c>
      <c r="AG915" s="94">
        <v>0</v>
      </c>
      <c r="AH915" s="94">
        <v>0</v>
      </c>
      <c r="AI915" s="94">
        <v>0</v>
      </c>
      <c r="AJ915" s="94">
        <v>0</v>
      </c>
      <c r="AK915" s="94">
        <v>0</v>
      </c>
      <c r="AL915" s="94">
        <v>0</v>
      </c>
      <c r="AM915" s="94">
        <v>0</v>
      </c>
      <c r="AN915" s="94">
        <v>0</v>
      </c>
      <c r="AO915" s="94">
        <v>0</v>
      </c>
      <c r="AP915" s="95">
        <v>0</v>
      </c>
      <c r="AQ915" s="95">
        <v>0</v>
      </c>
      <c r="AR915" s="95">
        <v>0</v>
      </c>
      <c r="AS915" s="95">
        <v>0</v>
      </c>
      <c r="AT915" s="95">
        <v>0</v>
      </c>
      <c r="AU915" s="95">
        <v>0</v>
      </c>
      <c r="AV915" s="95">
        <v>0</v>
      </c>
      <c r="AW915" s="95">
        <v>0</v>
      </c>
      <c r="AX915" s="95">
        <v>0</v>
      </c>
      <c r="AY915" s="95">
        <v>0</v>
      </c>
      <c r="AZ915" s="95">
        <v>0</v>
      </c>
      <c r="BA915" s="95">
        <v>0</v>
      </c>
      <c r="BB915" s="95">
        <v>0</v>
      </c>
      <c r="BC915" s="95">
        <v>0</v>
      </c>
      <c r="BD915" s="95">
        <v>0</v>
      </c>
      <c r="BE915" s="95">
        <v>0</v>
      </c>
    </row>
    <row r="916" spans="2:57" ht="15" customHeight="1" x14ac:dyDescent="0.25">
      <c r="B916" s="91">
        <v>906</v>
      </c>
      <c r="C916" s="92" t="s">
        <v>504</v>
      </c>
      <c r="D916" s="92" t="s">
        <v>302</v>
      </c>
      <c r="E916" s="92" t="s">
        <v>508</v>
      </c>
      <c r="F916" s="92" t="s">
        <v>13</v>
      </c>
      <c r="G916" s="101" t="s">
        <v>502</v>
      </c>
      <c r="H916" s="94">
        <v>582</v>
      </c>
      <c r="I916" s="94">
        <v>348</v>
      </c>
      <c r="J916" s="94">
        <v>234</v>
      </c>
      <c r="K916" s="94">
        <v>15</v>
      </c>
      <c r="L916" s="94">
        <v>145</v>
      </c>
      <c r="M916" s="94">
        <v>321</v>
      </c>
      <c r="N916" s="94">
        <v>101</v>
      </c>
      <c r="O916" s="94">
        <v>567</v>
      </c>
      <c r="P916" s="94">
        <v>15</v>
      </c>
      <c r="Q916" s="95">
        <v>2.3297491039426501</v>
      </c>
      <c r="R916" s="95">
        <v>1.8018018018018001</v>
      </c>
      <c r="S916" s="95">
        <v>3.1111111111111098</v>
      </c>
      <c r="T916" s="95">
        <v>7.1428571428571397</v>
      </c>
      <c r="U916" s="95">
        <v>3.6496350364963499</v>
      </c>
      <c r="V916" s="95">
        <v>2.2435897435897401</v>
      </c>
      <c r="W916" s="95">
        <v>0</v>
      </c>
      <c r="X916" s="95">
        <v>2.39410681399632</v>
      </c>
      <c r="Y916" s="95">
        <v>0</v>
      </c>
      <c r="Z916" s="94">
        <v>939</v>
      </c>
      <c r="AA916" s="94">
        <v>562</v>
      </c>
      <c r="AB916" s="94">
        <v>377</v>
      </c>
      <c r="AC916" s="94">
        <v>37</v>
      </c>
      <c r="AD916" s="94">
        <v>206</v>
      </c>
      <c r="AE916" s="94">
        <v>554</v>
      </c>
      <c r="AF916" s="94">
        <v>142</v>
      </c>
      <c r="AG916" s="94">
        <v>686</v>
      </c>
      <c r="AH916" s="94">
        <v>251</v>
      </c>
      <c r="AI916" s="94">
        <v>2</v>
      </c>
      <c r="AJ916" s="94">
        <v>927</v>
      </c>
      <c r="AK916" s="94">
        <v>9</v>
      </c>
      <c r="AL916" s="94">
        <v>3</v>
      </c>
      <c r="AM916" s="94">
        <v>55</v>
      </c>
      <c r="AN916" s="94">
        <v>874</v>
      </c>
      <c r="AO916" s="94">
        <v>10</v>
      </c>
      <c r="AP916" s="95">
        <v>7.4660633484162897</v>
      </c>
      <c r="AQ916" s="95">
        <v>5.6285178236397702</v>
      </c>
      <c r="AR916" s="95">
        <v>10.2564102564103</v>
      </c>
      <c r="AS916" s="95">
        <v>6.25</v>
      </c>
      <c r="AT916" s="95">
        <v>11.3989637305699</v>
      </c>
      <c r="AU916" s="95">
        <v>7.4569789674952203</v>
      </c>
      <c r="AV916" s="95">
        <v>2.2058823529411802</v>
      </c>
      <c r="AW916" s="95">
        <v>6.3664596273291902</v>
      </c>
      <c r="AX916" s="95">
        <v>10.504201680672301</v>
      </c>
      <c r="AY916" s="95">
        <v>0</v>
      </c>
      <c r="AZ916" s="95">
        <v>7.4455899198167197</v>
      </c>
      <c r="BA916" s="95">
        <v>0</v>
      </c>
      <c r="BB916" s="95">
        <v>33.3333333333333</v>
      </c>
      <c r="BC916" s="95">
        <v>9.2592592592592595</v>
      </c>
      <c r="BD916" s="95">
        <v>7.1863580998782002</v>
      </c>
      <c r="BE916" s="95">
        <v>22.2222222222222</v>
      </c>
    </row>
    <row r="917" spans="2:57" ht="15" customHeight="1" x14ac:dyDescent="0.25">
      <c r="B917" s="86">
        <v>907</v>
      </c>
      <c r="C917" s="87" t="s">
        <v>503</v>
      </c>
      <c r="D917" s="103" t="s">
        <v>302</v>
      </c>
      <c r="E917" s="103" t="s">
        <v>509</v>
      </c>
      <c r="F917" s="103"/>
      <c r="G917" s="88" t="s">
        <v>509</v>
      </c>
      <c r="H917" s="89">
        <v>2920</v>
      </c>
      <c r="I917" s="89">
        <v>1801</v>
      </c>
      <c r="J917" s="89">
        <v>1119</v>
      </c>
      <c r="K917" s="89">
        <v>127</v>
      </c>
      <c r="L917" s="89">
        <v>896</v>
      </c>
      <c r="M917" s="89">
        <v>1483</v>
      </c>
      <c r="N917" s="89">
        <v>414</v>
      </c>
      <c r="O917" s="89">
        <v>2868</v>
      </c>
      <c r="P917" s="89">
        <v>52</v>
      </c>
      <c r="Q917" s="90">
        <v>2.96486090775988</v>
      </c>
      <c r="R917" s="90">
        <v>2.6050917702782699</v>
      </c>
      <c r="S917" s="90">
        <v>3.5474592521572399</v>
      </c>
      <c r="T917" s="90">
        <v>3.3333333333333299</v>
      </c>
      <c r="U917" s="90">
        <v>4.4740024183796896</v>
      </c>
      <c r="V917" s="90">
        <v>2.2906227630637099</v>
      </c>
      <c r="W917" s="90">
        <v>2.0618556701030899</v>
      </c>
      <c r="X917" s="90">
        <v>2.97397769516729</v>
      </c>
      <c r="Y917" s="90">
        <v>2.38095238095238</v>
      </c>
      <c r="Z917" s="89">
        <v>3083</v>
      </c>
      <c r="AA917" s="89">
        <v>1760</v>
      </c>
      <c r="AB917" s="89">
        <v>1323</v>
      </c>
      <c r="AC917" s="89">
        <v>151</v>
      </c>
      <c r="AD917" s="89">
        <v>797</v>
      </c>
      <c r="AE917" s="89">
        <v>1654</v>
      </c>
      <c r="AF917" s="89">
        <v>481</v>
      </c>
      <c r="AG917" s="89">
        <v>2685</v>
      </c>
      <c r="AH917" s="89">
        <v>371</v>
      </c>
      <c r="AI917" s="89">
        <v>27</v>
      </c>
      <c r="AJ917" s="89">
        <v>2982</v>
      </c>
      <c r="AK917" s="89">
        <v>90</v>
      </c>
      <c r="AL917" s="89">
        <v>11</v>
      </c>
      <c r="AM917" s="89">
        <v>280</v>
      </c>
      <c r="AN917" s="89">
        <v>2778</v>
      </c>
      <c r="AO917" s="89">
        <v>25</v>
      </c>
      <c r="AP917" s="90">
        <v>7.4759945130315497</v>
      </c>
      <c r="AQ917" s="90">
        <v>7.4474474474474501</v>
      </c>
      <c r="AR917" s="90">
        <v>7.5139888089528402</v>
      </c>
      <c r="AS917" s="90">
        <v>2.1582733812949599</v>
      </c>
      <c r="AT917" s="90">
        <v>10.6612685560054</v>
      </c>
      <c r="AU917" s="90">
        <v>7.9668578712555798</v>
      </c>
      <c r="AV917" s="90">
        <v>2.35546038543897</v>
      </c>
      <c r="AW917" s="90">
        <v>7.3870333988212202</v>
      </c>
      <c r="AX917" s="90">
        <v>8.1159420289855095</v>
      </c>
      <c r="AY917" s="90">
        <v>7.6923076923076898</v>
      </c>
      <c r="AZ917" s="90">
        <v>7.7250177179305499</v>
      </c>
      <c r="BA917" s="90">
        <v>0</v>
      </c>
      <c r="BB917" s="90">
        <v>0</v>
      </c>
      <c r="BC917" s="90">
        <v>2.1897810218978102</v>
      </c>
      <c r="BD917" s="90">
        <v>8.0213903743315509</v>
      </c>
      <c r="BE917" s="90">
        <v>8.3333333333333304</v>
      </c>
    </row>
    <row r="918" spans="2:57" ht="15" customHeight="1" x14ac:dyDescent="0.25">
      <c r="B918" s="91">
        <v>908</v>
      </c>
      <c r="C918" s="92" t="s">
        <v>503</v>
      </c>
      <c r="D918" s="92" t="s">
        <v>302</v>
      </c>
      <c r="E918" s="92" t="s">
        <v>509</v>
      </c>
      <c r="F918" s="92"/>
      <c r="G918" s="93" t="s">
        <v>501</v>
      </c>
      <c r="H918" s="94">
        <v>0</v>
      </c>
      <c r="I918" s="94">
        <v>0</v>
      </c>
      <c r="J918" s="94">
        <v>0</v>
      </c>
      <c r="K918" s="94">
        <v>0</v>
      </c>
      <c r="L918" s="94">
        <v>0</v>
      </c>
      <c r="M918" s="94">
        <v>0</v>
      </c>
      <c r="N918" s="94">
        <v>0</v>
      </c>
      <c r="O918" s="94">
        <v>0</v>
      </c>
      <c r="P918" s="94">
        <v>0</v>
      </c>
      <c r="Q918" s="95">
        <v>0</v>
      </c>
      <c r="R918" s="95">
        <v>0</v>
      </c>
      <c r="S918" s="95">
        <v>0</v>
      </c>
      <c r="T918" s="95">
        <v>0</v>
      </c>
      <c r="U918" s="95">
        <v>0</v>
      </c>
      <c r="V918" s="95">
        <v>0</v>
      </c>
      <c r="W918" s="95">
        <v>0</v>
      </c>
      <c r="X918" s="95">
        <v>0</v>
      </c>
      <c r="Y918" s="95">
        <v>0</v>
      </c>
      <c r="Z918" s="94">
        <v>0</v>
      </c>
      <c r="AA918" s="94">
        <v>0</v>
      </c>
      <c r="AB918" s="94">
        <v>0</v>
      </c>
      <c r="AC918" s="94">
        <v>0</v>
      </c>
      <c r="AD918" s="94">
        <v>0</v>
      </c>
      <c r="AE918" s="94">
        <v>0</v>
      </c>
      <c r="AF918" s="94">
        <v>0</v>
      </c>
      <c r="AG918" s="94">
        <v>0</v>
      </c>
      <c r="AH918" s="94">
        <v>0</v>
      </c>
      <c r="AI918" s="94">
        <v>0</v>
      </c>
      <c r="AJ918" s="94">
        <v>0</v>
      </c>
      <c r="AK918" s="94">
        <v>0</v>
      </c>
      <c r="AL918" s="94">
        <v>0</v>
      </c>
      <c r="AM918" s="94">
        <v>0</v>
      </c>
      <c r="AN918" s="94">
        <v>0</v>
      </c>
      <c r="AO918" s="94">
        <v>0</v>
      </c>
      <c r="AP918" s="95">
        <v>0</v>
      </c>
      <c r="AQ918" s="95">
        <v>0</v>
      </c>
      <c r="AR918" s="95">
        <v>0</v>
      </c>
      <c r="AS918" s="95">
        <v>0</v>
      </c>
      <c r="AT918" s="95">
        <v>0</v>
      </c>
      <c r="AU918" s="95">
        <v>0</v>
      </c>
      <c r="AV918" s="95">
        <v>0</v>
      </c>
      <c r="AW918" s="95">
        <v>0</v>
      </c>
      <c r="AX918" s="95">
        <v>0</v>
      </c>
      <c r="AY918" s="95">
        <v>0</v>
      </c>
      <c r="AZ918" s="95">
        <v>0</v>
      </c>
      <c r="BA918" s="95">
        <v>0</v>
      </c>
      <c r="BB918" s="95">
        <v>0</v>
      </c>
      <c r="BC918" s="95">
        <v>0</v>
      </c>
      <c r="BD918" s="95">
        <v>0</v>
      </c>
      <c r="BE918" s="95">
        <v>0</v>
      </c>
    </row>
    <row r="919" spans="2:57" ht="15" customHeight="1" x14ac:dyDescent="0.25">
      <c r="B919" s="91">
        <v>909</v>
      </c>
      <c r="C919" s="92" t="s">
        <v>503</v>
      </c>
      <c r="D919" s="92" t="s">
        <v>302</v>
      </c>
      <c r="E919" s="92" t="s">
        <v>509</v>
      </c>
      <c r="F919" s="92"/>
      <c r="G919" s="93" t="s">
        <v>502</v>
      </c>
      <c r="H919" s="94">
        <v>2920</v>
      </c>
      <c r="I919" s="94">
        <v>1801</v>
      </c>
      <c r="J919" s="94">
        <v>1119</v>
      </c>
      <c r="K919" s="94">
        <v>127</v>
      </c>
      <c r="L919" s="94">
        <v>896</v>
      </c>
      <c r="M919" s="94">
        <v>1483</v>
      </c>
      <c r="N919" s="94">
        <v>414</v>
      </c>
      <c r="O919" s="94">
        <v>2868</v>
      </c>
      <c r="P919" s="94">
        <v>52</v>
      </c>
      <c r="Q919" s="95">
        <v>2.96486090775988</v>
      </c>
      <c r="R919" s="95">
        <v>2.6050917702782699</v>
      </c>
      <c r="S919" s="95">
        <v>3.5474592521572399</v>
      </c>
      <c r="T919" s="95">
        <v>3.3333333333333299</v>
      </c>
      <c r="U919" s="95">
        <v>4.4740024183796896</v>
      </c>
      <c r="V919" s="95">
        <v>2.2906227630637099</v>
      </c>
      <c r="W919" s="95">
        <v>2.0618556701030899</v>
      </c>
      <c r="X919" s="95">
        <v>2.97397769516729</v>
      </c>
      <c r="Y919" s="95">
        <v>2.38095238095238</v>
      </c>
      <c r="Z919" s="94">
        <v>3083</v>
      </c>
      <c r="AA919" s="94">
        <v>1760</v>
      </c>
      <c r="AB919" s="94">
        <v>1323</v>
      </c>
      <c r="AC919" s="94">
        <v>151</v>
      </c>
      <c r="AD919" s="94">
        <v>797</v>
      </c>
      <c r="AE919" s="94">
        <v>1654</v>
      </c>
      <c r="AF919" s="94">
        <v>481</v>
      </c>
      <c r="AG919" s="94">
        <v>2685</v>
      </c>
      <c r="AH919" s="94">
        <v>371</v>
      </c>
      <c r="AI919" s="94">
        <v>27</v>
      </c>
      <c r="AJ919" s="94">
        <v>2982</v>
      </c>
      <c r="AK919" s="94">
        <v>90</v>
      </c>
      <c r="AL919" s="94">
        <v>11</v>
      </c>
      <c r="AM919" s="94">
        <v>280</v>
      </c>
      <c r="AN919" s="94">
        <v>2778</v>
      </c>
      <c r="AO919" s="94">
        <v>25</v>
      </c>
      <c r="AP919" s="95">
        <v>7.4759945130315497</v>
      </c>
      <c r="AQ919" s="95">
        <v>7.4474474474474501</v>
      </c>
      <c r="AR919" s="95">
        <v>7.5139888089528402</v>
      </c>
      <c r="AS919" s="95">
        <v>2.1582733812949599</v>
      </c>
      <c r="AT919" s="95">
        <v>10.6612685560054</v>
      </c>
      <c r="AU919" s="95">
        <v>7.9668578712555798</v>
      </c>
      <c r="AV919" s="95">
        <v>2.35546038543897</v>
      </c>
      <c r="AW919" s="95">
        <v>7.3870333988212202</v>
      </c>
      <c r="AX919" s="95">
        <v>8.1159420289855095</v>
      </c>
      <c r="AY919" s="95">
        <v>7.6923076923076898</v>
      </c>
      <c r="AZ919" s="95">
        <v>7.7250177179305499</v>
      </c>
      <c r="BA919" s="95">
        <v>0</v>
      </c>
      <c r="BB919" s="95">
        <v>0</v>
      </c>
      <c r="BC919" s="95">
        <v>2.1897810218978102</v>
      </c>
      <c r="BD919" s="95">
        <v>8.0213903743315509</v>
      </c>
      <c r="BE919" s="95">
        <v>8.3333333333333304</v>
      </c>
    </row>
    <row r="920" spans="2:57" ht="15" customHeight="1" x14ac:dyDescent="0.25">
      <c r="B920" s="96">
        <v>910</v>
      </c>
      <c r="C920" s="97" t="s">
        <v>504</v>
      </c>
      <c r="D920" s="104" t="s">
        <v>302</v>
      </c>
      <c r="E920" s="104" t="s">
        <v>509</v>
      </c>
      <c r="F920" s="104" t="s">
        <v>479</v>
      </c>
      <c r="G920" s="105" t="s">
        <v>479</v>
      </c>
      <c r="H920" s="106">
        <v>1514</v>
      </c>
      <c r="I920" s="106">
        <v>936</v>
      </c>
      <c r="J920" s="106">
        <v>578</v>
      </c>
      <c r="K920" s="106">
        <v>67</v>
      </c>
      <c r="L920" s="106">
        <v>476</v>
      </c>
      <c r="M920" s="106">
        <v>752</v>
      </c>
      <c r="N920" s="106">
        <v>219</v>
      </c>
      <c r="O920" s="106">
        <v>1483</v>
      </c>
      <c r="P920" s="106">
        <v>31</v>
      </c>
      <c r="Q920" s="107">
        <v>5.4112554112554099</v>
      </c>
      <c r="R920" s="107">
        <v>4.9237983587338796</v>
      </c>
      <c r="S920" s="107">
        <v>6.1913696060037502</v>
      </c>
      <c r="T920" s="107">
        <v>6.25</v>
      </c>
      <c r="U920" s="107">
        <v>7.4418604651162799</v>
      </c>
      <c r="V920" s="107">
        <v>4.4927536231884098</v>
      </c>
      <c r="W920" s="107">
        <v>3.9603960396039599</v>
      </c>
      <c r="X920" s="107">
        <v>5.4252199413489697</v>
      </c>
      <c r="Y920" s="107">
        <v>4.5454545454545503</v>
      </c>
      <c r="Z920" s="106">
        <v>1613</v>
      </c>
      <c r="AA920" s="106">
        <v>928</v>
      </c>
      <c r="AB920" s="106">
        <v>685</v>
      </c>
      <c r="AC920" s="106">
        <v>74</v>
      </c>
      <c r="AD920" s="106">
        <v>436</v>
      </c>
      <c r="AE920" s="106">
        <v>845</v>
      </c>
      <c r="AF920" s="106">
        <v>258</v>
      </c>
      <c r="AG920" s="106">
        <v>1386</v>
      </c>
      <c r="AH920" s="106">
        <v>205</v>
      </c>
      <c r="AI920" s="106">
        <v>22</v>
      </c>
      <c r="AJ920" s="106">
        <v>1599</v>
      </c>
      <c r="AK920" s="106">
        <v>8</v>
      </c>
      <c r="AL920" s="106">
        <v>6</v>
      </c>
      <c r="AM920" s="106">
        <v>148</v>
      </c>
      <c r="AN920" s="106">
        <v>1450</v>
      </c>
      <c r="AO920" s="106">
        <v>15</v>
      </c>
      <c r="AP920" s="107">
        <v>12.664041994750701</v>
      </c>
      <c r="AQ920" s="107">
        <v>13.242009132420099</v>
      </c>
      <c r="AR920" s="107">
        <v>11.882716049382701</v>
      </c>
      <c r="AS920" s="107">
        <v>4.6153846153846203</v>
      </c>
      <c r="AT920" s="107">
        <v>16.381418092909499</v>
      </c>
      <c r="AU920" s="107">
        <v>14.178168130489301</v>
      </c>
      <c r="AV920" s="107">
        <v>3.9525691699604701</v>
      </c>
      <c r="AW920" s="107">
        <v>12.5570776255708</v>
      </c>
      <c r="AX920" s="107">
        <v>13.756613756613801</v>
      </c>
      <c r="AY920" s="107">
        <v>9.5238095238095202</v>
      </c>
      <c r="AZ920" s="107">
        <v>12.772998014559899</v>
      </c>
      <c r="BA920" s="107">
        <v>0</v>
      </c>
      <c r="BB920" s="107">
        <v>0</v>
      </c>
      <c r="BC920" s="107">
        <v>3.4722222222222201</v>
      </c>
      <c r="BD920" s="107">
        <v>13.626373626373599</v>
      </c>
      <c r="BE920" s="107">
        <v>13.3333333333333</v>
      </c>
    </row>
    <row r="921" spans="2:57" ht="15" customHeight="1" x14ac:dyDescent="0.25">
      <c r="B921" s="91">
        <v>911</v>
      </c>
      <c r="C921" s="92" t="s">
        <v>504</v>
      </c>
      <c r="D921" s="92" t="s">
        <v>302</v>
      </c>
      <c r="E921" s="92" t="s">
        <v>509</v>
      </c>
      <c r="F921" s="92" t="s">
        <v>479</v>
      </c>
      <c r="G921" s="101" t="s">
        <v>501</v>
      </c>
      <c r="H921" s="94">
        <v>0</v>
      </c>
      <c r="I921" s="94">
        <v>0</v>
      </c>
      <c r="J921" s="94">
        <v>0</v>
      </c>
      <c r="K921" s="94">
        <v>0</v>
      </c>
      <c r="L921" s="94">
        <v>0</v>
      </c>
      <c r="M921" s="94">
        <v>0</v>
      </c>
      <c r="N921" s="94">
        <v>0</v>
      </c>
      <c r="O921" s="94">
        <v>0</v>
      </c>
      <c r="P921" s="94">
        <v>0</v>
      </c>
      <c r="Q921" s="95">
        <v>0</v>
      </c>
      <c r="R921" s="95">
        <v>0</v>
      </c>
      <c r="S921" s="95">
        <v>0</v>
      </c>
      <c r="T921" s="95">
        <v>0</v>
      </c>
      <c r="U921" s="95">
        <v>0</v>
      </c>
      <c r="V921" s="95">
        <v>0</v>
      </c>
      <c r="W921" s="95">
        <v>0</v>
      </c>
      <c r="X921" s="95">
        <v>0</v>
      </c>
      <c r="Y921" s="95">
        <v>0</v>
      </c>
      <c r="Z921" s="94">
        <v>0</v>
      </c>
      <c r="AA921" s="94">
        <v>0</v>
      </c>
      <c r="AB921" s="94">
        <v>0</v>
      </c>
      <c r="AC921" s="94">
        <v>0</v>
      </c>
      <c r="AD921" s="94">
        <v>0</v>
      </c>
      <c r="AE921" s="94">
        <v>0</v>
      </c>
      <c r="AF921" s="94">
        <v>0</v>
      </c>
      <c r="AG921" s="94">
        <v>0</v>
      </c>
      <c r="AH921" s="94">
        <v>0</v>
      </c>
      <c r="AI921" s="94">
        <v>0</v>
      </c>
      <c r="AJ921" s="94">
        <v>0</v>
      </c>
      <c r="AK921" s="94">
        <v>0</v>
      </c>
      <c r="AL921" s="94">
        <v>0</v>
      </c>
      <c r="AM921" s="94">
        <v>0</v>
      </c>
      <c r="AN921" s="94">
        <v>0</v>
      </c>
      <c r="AO921" s="94">
        <v>0</v>
      </c>
      <c r="AP921" s="95">
        <v>0</v>
      </c>
      <c r="AQ921" s="95">
        <v>0</v>
      </c>
      <c r="AR921" s="95">
        <v>0</v>
      </c>
      <c r="AS921" s="95">
        <v>0</v>
      </c>
      <c r="AT921" s="95">
        <v>0</v>
      </c>
      <c r="AU921" s="95">
        <v>0</v>
      </c>
      <c r="AV921" s="95">
        <v>0</v>
      </c>
      <c r="AW921" s="95">
        <v>0</v>
      </c>
      <c r="AX921" s="95">
        <v>0</v>
      </c>
      <c r="AY921" s="95">
        <v>0</v>
      </c>
      <c r="AZ921" s="95">
        <v>0</v>
      </c>
      <c r="BA921" s="95">
        <v>0</v>
      </c>
      <c r="BB921" s="95">
        <v>0</v>
      </c>
      <c r="BC921" s="95">
        <v>0</v>
      </c>
      <c r="BD921" s="95">
        <v>0</v>
      </c>
      <c r="BE921" s="95">
        <v>0</v>
      </c>
    </row>
    <row r="922" spans="2:57" ht="15" customHeight="1" x14ac:dyDescent="0.25">
      <c r="B922" s="91">
        <v>912</v>
      </c>
      <c r="C922" s="92" t="s">
        <v>504</v>
      </c>
      <c r="D922" s="92" t="s">
        <v>302</v>
      </c>
      <c r="E922" s="92" t="s">
        <v>509</v>
      </c>
      <c r="F922" s="92" t="s">
        <v>479</v>
      </c>
      <c r="G922" s="101" t="s">
        <v>502</v>
      </c>
      <c r="H922" s="94">
        <v>1514</v>
      </c>
      <c r="I922" s="94">
        <v>936</v>
      </c>
      <c r="J922" s="94">
        <v>578</v>
      </c>
      <c r="K922" s="94">
        <v>67</v>
      </c>
      <c r="L922" s="94">
        <v>476</v>
      </c>
      <c r="M922" s="94">
        <v>752</v>
      </c>
      <c r="N922" s="94">
        <v>219</v>
      </c>
      <c r="O922" s="94">
        <v>1483</v>
      </c>
      <c r="P922" s="94">
        <v>31</v>
      </c>
      <c r="Q922" s="95">
        <v>5.4112554112554099</v>
      </c>
      <c r="R922" s="95">
        <v>4.9237983587338796</v>
      </c>
      <c r="S922" s="95">
        <v>6.1913696060037502</v>
      </c>
      <c r="T922" s="95">
        <v>6.25</v>
      </c>
      <c r="U922" s="95">
        <v>7.4418604651162799</v>
      </c>
      <c r="V922" s="95">
        <v>4.4927536231884098</v>
      </c>
      <c r="W922" s="95">
        <v>3.9603960396039599</v>
      </c>
      <c r="X922" s="95">
        <v>5.4252199413489697</v>
      </c>
      <c r="Y922" s="95">
        <v>4.5454545454545503</v>
      </c>
      <c r="Z922" s="94">
        <v>1613</v>
      </c>
      <c r="AA922" s="94">
        <v>928</v>
      </c>
      <c r="AB922" s="94">
        <v>685</v>
      </c>
      <c r="AC922" s="94">
        <v>74</v>
      </c>
      <c r="AD922" s="94">
        <v>436</v>
      </c>
      <c r="AE922" s="94">
        <v>845</v>
      </c>
      <c r="AF922" s="94">
        <v>258</v>
      </c>
      <c r="AG922" s="94">
        <v>1386</v>
      </c>
      <c r="AH922" s="94">
        <v>205</v>
      </c>
      <c r="AI922" s="94">
        <v>22</v>
      </c>
      <c r="AJ922" s="94">
        <v>1599</v>
      </c>
      <c r="AK922" s="94">
        <v>8</v>
      </c>
      <c r="AL922" s="94">
        <v>6</v>
      </c>
      <c r="AM922" s="94">
        <v>148</v>
      </c>
      <c r="AN922" s="94">
        <v>1450</v>
      </c>
      <c r="AO922" s="94">
        <v>15</v>
      </c>
      <c r="AP922" s="95">
        <v>12.664041994750701</v>
      </c>
      <c r="AQ922" s="95">
        <v>13.242009132420099</v>
      </c>
      <c r="AR922" s="95">
        <v>11.882716049382701</v>
      </c>
      <c r="AS922" s="95">
        <v>4.6153846153846203</v>
      </c>
      <c r="AT922" s="95">
        <v>16.381418092909499</v>
      </c>
      <c r="AU922" s="95">
        <v>14.178168130489301</v>
      </c>
      <c r="AV922" s="95">
        <v>3.9525691699604701</v>
      </c>
      <c r="AW922" s="95">
        <v>12.5570776255708</v>
      </c>
      <c r="AX922" s="95">
        <v>13.756613756613801</v>
      </c>
      <c r="AY922" s="95">
        <v>9.5238095238095202</v>
      </c>
      <c r="AZ922" s="95">
        <v>12.772998014559899</v>
      </c>
      <c r="BA922" s="95">
        <v>0</v>
      </c>
      <c r="BB922" s="95">
        <v>0</v>
      </c>
      <c r="BC922" s="95">
        <v>3.4722222222222201</v>
      </c>
      <c r="BD922" s="95">
        <v>13.626373626373599</v>
      </c>
      <c r="BE922" s="95">
        <v>13.3333333333333</v>
      </c>
    </row>
    <row r="923" spans="2:57" ht="15" customHeight="1" x14ac:dyDescent="0.25">
      <c r="B923" s="96">
        <v>913</v>
      </c>
      <c r="C923" s="97" t="s">
        <v>504</v>
      </c>
      <c r="D923" s="104" t="s">
        <v>302</v>
      </c>
      <c r="E923" s="104" t="s">
        <v>509</v>
      </c>
      <c r="F923" s="104" t="s">
        <v>16</v>
      </c>
      <c r="G923" s="105" t="s">
        <v>16</v>
      </c>
      <c r="H923" s="106">
        <v>386</v>
      </c>
      <c r="I923" s="106">
        <v>278</v>
      </c>
      <c r="J923" s="106">
        <v>108</v>
      </c>
      <c r="K923" s="106">
        <v>11</v>
      </c>
      <c r="L923" s="106">
        <v>122</v>
      </c>
      <c r="M923" s="106">
        <v>205</v>
      </c>
      <c r="N923" s="106">
        <v>48</v>
      </c>
      <c r="O923" s="106">
        <v>371</v>
      </c>
      <c r="P923" s="106">
        <v>15</v>
      </c>
      <c r="Q923" s="107">
        <v>0</v>
      </c>
      <c r="R923" s="107">
        <v>0</v>
      </c>
      <c r="S923" s="107">
        <v>0</v>
      </c>
      <c r="T923" s="107">
        <v>0</v>
      </c>
      <c r="U923" s="107">
        <v>0</v>
      </c>
      <c r="V923" s="107">
        <v>0</v>
      </c>
      <c r="W923" s="107">
        <v>0</v>
      </c>
      <c r="X923" s="107">
        <v>0</v>
      </c>
      <c r="Y923" s="107">
        <v>0</v>
      </c>
      <c r="Z923" s="106">
        <v>559</v>
      </c>
      <c r="AA923" s="106">
        <v>306</v>
      </c>
      <c r="AB923" s="106">
        <v>253</v>
      </c>
      <c r="AC923" s="106">
        <v>24</v>
      </c>
      <c r="AD923" s="106">
        <v>133</v>
      </c>
      <c r="AE923" s="106">
        <v>314</v>
      </c>
      <c r="AF923" s="106">
        <v>88</v>
      </c>
      <c r="AG923" s="106">
        <v>491</v>
      </c>
      <c r="AH923" s="106">
        <v>65</v>
      </c>
      <c r="AI923" s="106">
        <v>3</v>
      </c>
      <c r="AJ923" s="106">
        <v>508</v>
      </c>
      <c r="AK923" s="106">
        <v>50</v>
      </c>
      <c r="AL923" s="106">
        <v>1</v>
      </c>
      <c r="AM923" s="106">
        <v>48</v>
      </c>
      <c r="AN923" s="106">
        <v>507</v>
      </c>
      <c r="AO923" s="106">
        <v>4</v>
      </c>
      <c r="AP923" s="107">
        <v>0.55865921787709505</v>
      </c>
      <c r="AQ923" s="107">
        <v>0</v>
      </c>
      <c r="AR923" s="107">
        <v>1.2448132780083001</v>
      </c>
      <c r="AS923" s="107">
        <v>0</v>
      </c>
      <c r="AT923" s="107">
        <v>0.80645161290322598</v>
      </c>
      <c r="AU923" s="107">
        <v>0.65789473684210498</v>
      </c>
      <c r="AV923" s="107">
        <v>0</v>
      </c>
      <c r="AW923" s="107">
        <v>0.63424947145877397</v>
      </c>
      <c r="AX923" s="107">
        <v>0</v>
      </c>
      <c r="AY923" s="107">
        <v>0</v>
      </c>
      <c r="AZ923" s="107">
        <v>0.61475409836065598</v>
      </c>
      <c r="BA923" s="107">
        <v>0</v>
      </c>
      <c r="BB923" s="107">
        <v>0</v>
      </c>
      <c r="BC923" s="107">
        <v>0</v>
      </c>
      <c r="BD923" s="107">
        <v>0.61601642710472304</v>
      </c>
      <c r="BE923" s="107">
        <v>0</v>
      </c>
    </row>
    <row r="924" spans="2:57" ht="15" customHeight="1" x14ac:dyDescent="0.25">
      <c r="B924" s="91">
        <v>914</v>
      </c>
      <c r="C924" s="92" t="s">
        <v>504</v>
      </c>
      <c r="D924" s="92" t="s">
        <v>302</v>
      </c>
      <c r="E924" s="92" t="s">
        <v>509</v>
      </c>
      <c r="F924" s="92" t="s">
        <v>16</v>
      </c>
      <c r="G924" s="101" t="s">
        <v>501</v>
      </c>
      <c r="H924" s="94">
        <v>0</v>
      </c>
      <c r="I924" s="94">
        <v>0</v>
      </c>
      <c r="J924" s="94">
        <v>0</v>
      </c>
      <c r="K924" s="94">
        <v>0</v>
      </c>
      <c r="L924" s="94">
        <v>0</v>
      </c>
      <c r="M924" s="94">
        <v>0</v>
      </c>
      <c r="N924" s="94">
        <v>0</v>
      </c>
      <c r="O924" s="94">
        <v>0</v>
      </c>
      <c r="P924" s="94">
        <v>0</v>
      </c>
      <c r="Q924" s="95">
        <v>0</v>
      </c>
      <c r="R924" s="95">
        <v>0</v>
      </c>
      <c r="S924" s="95">
        <v>0</v>
      </c>
      <c r="T924" s="95">
        <v>0</v>
      </c>
      <c r="U924" s="95">
        <v>0</v>
      </c>
      <c r="V924" s="95">
        <v>0</v>
      </c>
      <c r="W924" s="95">
        <v>0</v>
      </c>
      <c r="X924" s="95">
        <v>0</v>
      </c>
      <c r="Y924" s="95">
        <v>0</v>
      </c>
      <c r="Z924" s="94">
        <v>0</v>
      </c>
      <c r="AA924" s="94">
        <v>0</v>
      </c>
      <c r="AB924" s="94">
        <v>0</v>
      </c>
      <c r="AC924" s="94">
        <v>0</v>
      </c>
      <c r="AD924" s="94">
        <v>0</v>
      </c>
      <c r="AE924" s="94">
        <v>0</v>
      </c>
      <c r="AF924" s="94">
        <v>0</v>
      </c>
      <c r="AG924" s="94">
        <v>0</v>
      </c>
      <c r="AH924" s="94">
        <v>0</v>
      </c>
      <c r="AI924" s="94">
        <v>0</v>
      </c>
      <c r="AJ924" s="94">
        <v>0</v>
      </c>
      <c r="AK924" s="94">
        <v>0</v>
      </c>
      <c r="AL924" s="94">
        <v>0</v>
      </c>
      <c r="AM924" s="94">
        <v>0</v>
      </c>
      <c r="AN924" s="94">
        <v>0</v>
      </c>
      <c r="AO924" s="94">
        <v>0</v>
      </c>
      <c r="AP924" s="95">
        <v>0</v>
      </c>
      <c r="AQ924" s="95">
        <v>0</v>
      </c>
      <c r="AR924" s="95">
        <v>0</v>
      </c>
      <c r="AS924" s="95">
        <v>0</v>
      </c>
      <c r="AT924" s="95">
        <v>0</v>
      </c>
      <c r="AU924" s="95">
        <v>0</v>
      </c>
      <c r="AV924" s="95">
        <v>0</v>
      </c>
      <c r="AW924" s="95">
        <v>0</v>
      </c>
      <c r="AX924" s="95">
        <v>0</v>
      </c>
      <c r="AY924" s="95">
        <v>0</v>
      </c>
      <c r="AZ924" s="95">
        <v>0</v>
      </c>
      <c r="BA924" s="95">
        <v>0</v>
      </c>
      <c r="BB924" s="95">
        <v>0</v>
      </c>
      <c r="BC924" s="95">
        <v>0</v>
      </c>
      <c r="BD924" s="95">
        <v>0</v>
      </c>
      <c r="BE924" s="95">
        <v>0</v>
      </c>
    </row>
    <row r="925" spans="2:57" ht="15" customHeight="1" x14ac:dyDescent="0.25">
      <c r="B925" s="91">
        <v>915</v>
      </c>
      <c r="C925" s="92" t="s">
        <v>504</v>
      </c>
      <c r="D925" s="92" t="s">
        <v>302</v>
      </c>
      <c r="E925" s="92" t="s">
        <v>509</v>
      </c>
      <c r="F925" s="92" t="s">
        <v>16</v>
      </c>
      <c r="G925" s="101" t="s">
        <v>502</v>
      </c>
      <c r="H925" s="94">
        <v>386</v>
      </c>
      <c r="I925" s="94">
        <v>278</v>
      </c>
      <c r="J925" s="94">
        <v>108</v>
      </c>
      <c r="K925" s="94">
        <v>11</v>
      </c>
      <c r="L925" s="94">
        <v>122</v>
      </c>
      <c r="M925" s="94">
        <v>205</v>
      </c>
      <c r="N925" s="94">
        <v>48</v>
      </c>
      <c r="O925" s="94">
        <v>371</v>
      </c>
      <c r="P925" s="94">
        <v>15</v>
      </c>
      <c r="Q925" s="95">
        <v>0</v>
      </c>
      <c r="R925" s="95">
        <v>0</v>
      </c>
      <c r="S925" s="95">
        <v>0</v>
      </c>
      <c r="T925" s="95">
        <v>0</v>
      </c>
      <c r="U925" s="95">
        <v>0</v>
      </c>
      <c r="V925" s="95">
        <v>0</v>
      </c>
      <c r="W925" s="95">
        <v>0</v>
      </c>
      <c r="X925" s="95">
        <v>0</v>
      </c>
      <c r="Y925" s="95">
        <v>0</v>
      </c>
      <c r="Z925" s="94">
        <v>559</v>
      </c>
      <c r="AA925" s="94">
        <v>306</v>
      </c>
      <c r="AB925" s="94">
        <v>253</v>
      </c>
      <c r="AC925" s="94">
        <v>24</v>
      </c>
      <c r="AD925" s="94">
        <v>133</v>
      </c>
      <c r="AE925" s="94">
        <v>314</v>
      </c>
      <c r="AF925" s="94">
        <v>88</v>
      </c>
      <c r="AG925" s="94">
        <v>491</v>
      </c>
      <c r="AH925" s="94">
        <v>65</v>
      </c>
      <c r="AI925" s="94">
        <v>3</v>
      </c>
      <c r="AJ925" s="94">
        <v>508</v>
      </c>
      <c r="AK925" s="94">
        <v>50</v>
      </c>
      <c r="AL925" s="94">
        <v>1</v>
      </c>
      <c r="AM925" s="94">
        <v>48</v>
      </c>
      <c r="AN925" s="94">
        <v>507</v>
      </c>
      <c r="AO925" s="94">
        <v>4</v>
      </c>
      <c r="AP925" s="95">
        <v>0.55865921787709505</v>
      </c>
      <c r="AQ925" s="95">
        <v>0</v>
      </c>
      <c r="AR925" s="95">
        <v>1.2448132780083001</v>
      </c>
      <c r="AS925" s="95">
        <v>0</v>
      </c>
      <c r="AT925" s="95">
        <v>0.80645161290322598</v>
      </c>
      <c r="AU925" s="95">
        <v>0.65789473684210498</v>
      </c>
      <c r="AV925" s="95">
        <v>0</v>
      </c>
      <c r="AW925" s="95">
        <v>0.63424947145877397</v>
      </c>
      <c r="AX925" s="95">
        <v>0</v>
      </c>
      <c r="AY925" s="95">
        <v>0</v>
      </c>
      <c r="AZ925" s="95">
        <v>0.61475409836065598</v>
      </c>
      <c r="BA925" s="95">
        <v>0</v>
      </c>
      <c r="BB925" s="95">
        <v>0</v>
      </c>
      <c r="BC925" s="95">
        <v>0</v>
      </c>
      <c r="BD925" s="95">
        <v>0.61601642710472304</v>
      </c>
      <c r="BE925" s="95">
        <v>0</v>
      </c>
    </row>
    <row r="926" spans="2:57" ht="15" customHeight="1" x14ac:dyDescent="0.25">
      <c r="B926" s="96">
        <v>916</v>
      </c>
      <c r="C926" s="97" t="s">
        <v>504</v>
      </c>
      <c r="D926" s="104" t="s">
        <v>302</v>
      </c>
      <c r="E926" s="104" t="s">
        <v>509</v>
      </c>
      <c r="F926" s="104" t="s">
        <v>60</v>
      </c>
      <c r="G926" s="105" t="s">
        <v>60</v>
      </c>
      <c r="H926" s="106">
        <v>1020</v>
      </c>
      <c r="I926" s="106">
        <v>587</v>
      </c>
      <c r="J926" s="106">
        <v>433</v>
      </c>
      <c r="K926" s="106">
        <v>49</v>
      </c>
      <c r="L926" s="106">
        <v>298</v>
      </c>
      <c r="M926" s="106">
        <v>526</v>
      </c>
      <c r="N926" s="106">
        <v>147</v>
      </c>
      <c r="O926" s="106">
        <v>1014</v>
      </c>
      <c r="P926" s="106">
        <v>6</v>
      </c>
      <c r="Q926" s="107">
        <v>0.61601642710472304</v>
      </c>
      <c r="R926" s="107">
        <v>0.35460992907801397</v>
      </c>
      <c r="S926" s="107">
        <v>0.97560975609756095</v>
      </c>
      <c r="T926" s="107">
        <v>0</v>
      </c>
      <c r="U926" s="107">
        <v>1.77935943060498</v>
      </c>
      <c r="V926" s="107">
        <v>0.19723865877711999</v>
      </c>
      <c r="W926" s="107">
        <v>0</v>
      </c>
      <c r="X926" s="107">
        <v>0.61919504643962897</v>
      </c>
      <c r="Y926" s="107">
        <v>0</v>
      </c>
      <c r="Z926" s="106">
        <v>911</v>
      </c>
      <c r="AA926" s="106">
        <v>526</v>
      </c>
      <c r="AB926" s="106">
        <v>385</v>
      </c>
      <c r="AC926" s="106">
        <v>53</v>
      </c>
      <c r="AD926" s="106">
        <v>228</v>
      </c>
      <c r="AE926" s="106">
        <v>495</v>
      </c>
      <c r="AF926" s="106">
        <v>135</v>
      </c>
      <c r="AG926" s="106">
        <v>808</v>
      </c>
      <c r="AH926" s="106">
        <v>101</v>
      </c>
      <c r="AI926" s="106">
        <v>2</v>
      </c>
      <c r="AJ926" s="106">
        <v>875</v>
      </c>
      <c r="AK926" s="106">
        <v>32</v>
      </c>
      <c r="AL926" s="106">
        <v>4</v>
      </c>
      <c r="AM926" s="106">
        <v>84</v>
      </c>
      <c r="AN926" s="106">
        <v>821</v>
      </c>
      <c r="AO926" s="106">
        <v>6</v>
      </c>
      <c r="AP926" s="107">
        <v>2.57309941520468</v>
      </c>
      <c r="AQ926" s="107">
        <v>1.62271805273834</v>
      </c>
      <c r="AR926" s="107">
        <v>3.8674033149171301</v>
      </c>
      <c r="AS926" s="107">
        <v>0</v>
      </c>
      <c r="AT926" s="107">
        <v>5.2884615384615401</v>
      </c>
      <c r="AU926" s="107">
        <v>2.1367521367521398</v>
      </c>
      <c r="AV926" s="107">
        <v>0.775193798449612</v>
      </c>
      <c r="AW926" s="107">
        <v>2.63852242744063</v>
      </c>
      <c r="AX926" s="107">
        <v>2.1052631578947398</v>
      </c>
      <c r="AY926" s="107">
        <v>0</v>
      </c>
      <c r="AZ926" s="107">
        <v>2.6731470230862699</v>
      </c>
      <c r="BA926" s="107">
        <v>0</v>
      </c>
      <c r="BB926" s="107">
        <v>0</v>
      </c>
      <c r="BC926" s="107">
        <v>1.2048192771084301</v>
      </c>
      <c r="BD926" s="107">
        <v>2.7415143603133201</v>
      </c>
      <c r="BE926" s="107">
        <v>0</v>
      </c>
    </row>
    <row r="927" spans="2:57" ht="15" customHeight="1" x14ac:dyDescent="0.25">
      <c r="B927" s="91">
        <v>917</v>
      </c>
      <c r="C927" s="92" t="s">
        <v>504</v>
      </c>
      <c r="D927" s="92" t="s">
        <v>302</v>
      </c>
      <c r="E927" s="92" t="s">
        <v>509</v>
      </c>
      <c r="F927" s="92" t="s">
        <v>60</v>
      </c>
      <c r="G927" s="101" t="s">
        <v>501</v>
      </c>
      <c r="H927" s="94">
        <v>0</v>
      </c>
      <c r="I927" s="94">
        <v>0</v>
      </c>
      <c r="J927" s="94">
        <v>0</v>
      </c>
      <c r="K927" s="94">
        <v>0</v>
      </c>
      <c r="L927" s="94">
        <v>0</v>
      </c>
      <c r="M927" s="94">
        <v>0</v>
      </c>
      <c r="N927" s="94">
        <v>0</v>
      </c>
      <c r="O927" s="94">
        <v>0</v>
      </c>
      <c r="P927" s="94">
        <v>0</v>
      </c>
      <c r="Q927" s="95">
        <v>0</v>
      </c>
      <c r="R927" s="95">
        <v>0</v>
      </c>
      <c r="S927" s="95">
        <v>0</v>
      </c>
      <c r="T927" s="95">
        <v>0</v>
      </c>
      <c r="U927" s="95">
        <v>0</v>
      </c>
      <c r="V927" s="95">
        <v>0</v>
      </c>
      <c r="W927" s="95">
        <v>0</v>
      </c>
      <c r="X927" s="95">
        <v>0</v>
      </c>
      <c r="Y927" s="95">
        <v>0</v>
      </c>
      <c r="Z927" s="94">
        <v>0</v>
      </c>
      <c r="AA927" s="94">
        <v>0</v>
      </c>
      <c r="AB927" s="94">
        <v>0</v>
      </c>
      <c r="AC927" s="94">
        <v>0</v>
      </c>
      <c r="AD927" s="94">
        <v>0</v>
      </c>
      <c r="AE927" s="94">
        <v>0</v>
      </c>
      <c r="AF927" s="94">
        <v>0</v>
      </c>
      <c r="AG927" s="94">
        <v>0</v>
      </c>
      <c r="AH927" s="94">
        <v>0</v>
      </c>
      <c r="AI927" s="94">
        <v>0</v>
      </c>
      <c r="AJ927" s="94">
        <v>0</v>
      </c>
      <c r="AK927" s="94">
        <v>0</v>
      </c>
      <c r="AL927" s="94">
        <v>0</v>
      </c>
      <c r="AM927" s="94">
        <v>0</v>
      </c>
      <c r="AN927" s="94">
        <v>0</v>
      </c>
      <c r="AO927" s="94">
        <v>0</v>
      </c>
      <c r="AP927" s="95">
        <v>0</v>
      </c>
      <c r="AQ927" s="95">
        <v>0</v>
      </c>
      <c r="AR927" s="95">
        <v>0</v>
      </c>
      <c r="AS927" s="95">
        <v>0</v>
      </c>
      <c r="AT927" s="95">
        <v>0</v>
      </c>
      <c r="AU927" s="95">
        <v>0</v>
      </c>
      <c r="AV927" s="95">
        <v>0</v>
      </c>
      <c r="AW927" s="95">
        <v>0</v>
      </c>
      <c r="AX927" s="95">
        <v>0</v>
      </c>
      <c r="AY927" s="95">
        <v>0</v>
      </c>
      <c r="AZ927" s="95">
        <v>0</v>
      </c>
      <c r="BA927" s="95">
        <v>0</v>
      </c>
      <c r="BB927" s="95">
        <v>0</v>
      </c>
      <c r="BC927" s="95">
        <v>0</v>
      </c>
      <c r="BD927" s="95">
        <v>0</v>
      </c>
      <c r="BE927" s="95">
        <v>0</v>
      </c>
    </row>
    <row r="928" spans="2:57" ht="15" customHeight="1" x14ac:dyDescent="0.25">
      <c r="B928" s="91">
        <v>918</v>
      </c>
      <c r="C928" s="92" t="s">
        <v>504</v>
      </c>
      <c r="D928" s="92" t="s">
        <v>302</v>
      </c>
      <c r="E928" s="92" t="s">
        <v>509</v>
      </c>
      <c r="F928" s="92" t="s">
        <v>60</v>
      </c>
      <c r="G928" s="101" t="s">
        <v>502</v>
      </c>
      <c r="H928" s="94">
        <v>1020</v>
      </c>
      <c r="I928" s="94">
        <v>587</v>
      </c>
      <c r="J928" s="94">
        <v>433</v>
      </c>
      <c r="K928" s="94">
        <v>49</v>
      </c>
      <c r="L928" s="94">
        <v>298</v>
      </c>
      <c r="M928" s="94">
        <v>526</v>
      </c>
      <c r="N928" s="94">
        <v>147</v>
      </c>
      <c r="O928" s="94">
        <v>1014</v>
      </c>
      <c r="P928" s="94">
        <v>6</v>
      </c>
      <c r="Q928" s="95">
        <v>0.61601642710472304</v>
      </c>
      <c r="R928" s="95">
        <v>0.35460992907801397</v>
      </c>
      <c r="S928" s="95">
        <v>0.97560975609756095</v>
      </c>
      <c r="T928" s="95">
        <v>0</v>
      </c>
      <c r="U928" s="95">
        <v>1.77935943060498</v>
      </c>
      <c r="V928" s="95">
        <v>0.19723865877711999</v>
      </c>
      <c r="W928" s="95">
        <v>0</v>
      </c>
      <c r="X928" s="95">
        <v>0.61919504643962897</v>
      </c>
      <c r="Y928" s="95">
        <v>0</v>
      </c>
      <c r="Z928" s="94">
        <v>911</v>
      </c>
      <c r="AA928" s="94">
        <v>526</v>
      </c>
      <c r="AB928" s="94">
        <v>385</v>
      </c>
      <c r="AC928" s="94">
        <v>53</v>
      </c>
      <c r="AD928" s="94">
        <v>228</v>
      </c>
      <c r="AE928" s="94">
        <v>495</v>
      </c>
      <c r="AF928" s="94">
        <v>135</v>
      </c>
      <c r="AG928" s="94">
        <v>808</v>
      </c>
      <c r="AH928" s="94">
        <v>101</v>
      </c>
      <c r="AI928" s="94">
        <v>2</v>
      </c>
      <c r="AJ928" s="94">
        <v>875</v>
      </c>
      <c r="AK928" s="94">
        <v>32</v>
      </c>
      <c r="AL928" s="94">
        <v>4</v>
      </c>
      <c r="AM928" s="94">
        <v>84</v>
      </c>
      <c r="AN928" s="94">
        <v>821</v>
      </c>
      <c r="AO928" s="94">
        <v>6</v>
      </c>
      <c r="AP928" s="95">
        <v>2.57309941520468</v>
      </c>
      <c r="AQ928" s="95">
        <v>1.62271805273834</v>
      </c>
      <c r="AR928" s="95">
        <v>3.8674033149171301</v>
      </c>
      <c r="AS928" s="95">
        <v>0</v>
      </c>
      <c r="AT928" s="95">
        <v>5.2884615384615401</v>
      </c>
      <c r="AU928" s="95">
        <v>2.1367521367521398</v>
      </c>
      <c r="AV928" s="95">
        <v>0.775193798449612</v>
      </c>
      <c r="AW928" s="95">
        <v>2.63852242744063</v>
      </c>
      <c r="AX928" s="95">
        <v>2.1052631578947398</v>
      </c>
      <c r="AY928" s="95">
        <v>0</v>
      </c>
      <c r="AZ928" s="95">
        <v>2.6731470230862699</v>
      </c>
      <c r="BA928" s="95">
        <v>0</v>
      </c>
      <c r="BB928" s="95">
        <v>0</v>
      </c>
      <c r="BC928" s="95">
        <v>1.2048192771084301</v>
      </c>
      <c r="BD928" s="95">
        <v>2.7415143603133201</v>
      </c>
      <c r="BE928" s="95">
        <v>0</v>
      </c>
    </row>
    <row r="929" spans="2:57" ht="15" customHeight="1" x14ac:dyDescent="0.25">
      <c r="B929" s="86">
        <v>919</v>
      </c>
      <c r="C929" s="87" t="s">
        <v>503</v>
      </c>
      <c r="D929" s="103" t="s">
        <v>302</v>
      </c>
      <c r="E929" s="103" t="s">
        <v>400</v>
      </c>
      <c r="F929" s="103"/>
      <c r="G929" s="88" t="s">
        <v>400</v>
      </c>
      <c r="H929" s="89">
        <v>21569</v>
      </c>
      <c r="I929" s="89">
        <v>12313</v>
      </c>
      <c r="J929" s="89">
        <v>9256</v>
      </c>
      <c r="K929" s="89">
        <v>1265</v>
      </c>
      <c r="L929" s="89">
        <v>4929</v>
      </c>
      <c r="M929" s="89">
        <v>10947</v>
      </c>
      <c r="N929" s="89">
        <v>4428</v>
      </c>
      <c r="O929" s="89">
        <v>21486</v>
      </c>
      <c r="P929" s="89">
        <v>83</v>
      </c>
      <c r="Q929" s="90">
        <v>0.269885666617597</v>
      </c>
      <c r="R929" s="90">
        <v>0.111092121004956</v>
      </c>
      <c r="S929" s="90">
        <v>0.48403826207214501</v>
      </c>
      <c r="T929" s="90">
        <v>0.74906367041198496</v>
      </c>
      <c r="U929" s="90">
        <v>0.28310104529616698</v>
      </c>
      <c r="V929" s="90">
        <v>0.29659395331037097</v>
      </c>
      <c r="W929" s="90">
        <v>7.0307007265057397E-2</v>
      </c>
      <c r="X929" s="90">
        <v>0.26594434868259098</v>
      </c>
      <c r="Y929" s="90">
        <v>1.35135135135135</v>
      </c>
      <c r="Z929" s="89">
        <v>23862</v>
      </c>
      <c r="AA929" s="89">
        <v>12911</v>
      </c>
      <c r="AB929" s="89">
        <v>10951</v>
      </c>
      <c r="AC929" s="89">
        <v>1462</v>
      </c>
      <c r="AD929" s="89">
        <v>5451</v>
      </c>
      <c r="AE929" s="89">
        <v>11290</v>
      </c>
      <c r="AF929" s="89">
        <v>5659</v>
      </c>
      <c r="AG929" s="89">
        <v>20653</v>
      </c>
      <c r="AH929" s="89">
        <v>3064</v>
      </c>
      <c r="AI929" s="89">
        <v>145</v>
      </c>
      <c r="AJ929" s="89">
        <v>23624</v>
      </c>
      <c r="AK929" s="89">
        <v>179</v>
      </c>
      <c r="AL929" s="89">
        <v>59</v>
      </c>
      <c r="AM929" s="89">
        <v>2198</v>
      </c>
      <c r="AN929" s="89">
        <v>21344</v>
      </c>
      <c r="AO929" s="89">
        <v>320</v>
      </c>
      <c r="AP929" s="90">
        <v>1.3947368421052599</v>
      </c>
      <c r="AQ929" s="90">
        <v>0.38591413410516201</v>
      </c>
      <c r="AR929" s="90">
        <v>2.6056745801968701</v>
      </c>
      <c r="AS929" s="90">
        <v>1.9751280175566901</v>
      </c>
      <c r="AT929" s="90">
        <v>2.0560015664773799</v>
      </c>
      <c r="AU929" s="90">
        <v>1.3873473917868999</v>
      </c>
      <c r="AV929" s="90">
        <v>0.65288356909684397</v>
      </c>
      <c r="AW929" s="90">
        <v>1.2741429871574499</v>
      </c>
      <c r="AX929" s="90">
        <v>2.25381414701803</v>
      </c>
      <c r="AY929" s="90">
        <v>0.72463768115941996</v>
      </c>
      <c r="AZ929" s="90">
        <v>1.3861824623560699</v>
      </c>
      <c r="BA929" s="90">
        <v>3.0303030303030298</v>
      </c>
      <c r="BB929" s="90">
        <v>0</v>
      </c>
      <c r="BC929" s="90">
        <v>1.0767790262172301</v>
      </c>
      <c r="BD929" s="90">
        <v>1.4299754299754299</v>
      </c>
      <c r="BE929" s="90">
        <v>1.2738853503184699</v>
      </c>
    </row>
    <row r="930" spans="2:57" ht="15" customHeight="1" x14ac:dyDescent="0.25">
      <c r="B930" s="91">
        <v>920</v>
      </c>
      <c r="C930" s="92" t="s">
        <v>503</v>
      </c>
      <c r="D930" s="92" t="s">
        <v>302</v>
      </c>
      <c r="E930" s="92" t="s">
        <v>400</v>
      </c>
      <c r="F930" s="92"/>
      <c r="G930" s="93" t="s">
        <v>501</v>
      </c>
      <c r="H930" s="94">
        <v>819</v>
      </c>
      <c r="I930" s="94">
        <v>499</v>
      </c>
      <c r="J930" s="94">
        <v>320</v>
      </c>
      <c r="K930" s="94">
        <v>41</v>
      </c>
      <c r="L930" s="94">
        <v>252</v>
      </c>
      <c r="M930" s="94">
        <v>446</v>
      </c>
      <c r="N930" s="94">
        <v>80</v>
      </c>
      <c r="O930" s="94">
        <v>816</v>
      </c>
      <c r="P930" s="94">
        <v>3</v>
      </c>
      <c r="Q930" s="95">
        <v>0.391644908616188</v>
      </c>
      <c r="R930" s="95">
        <v>0</v>
      </c>
      <c r="S930" s="95">
        <v>1.0067114093959699</v>
      </c>
      <c r="T930" s="95">
        <v>0</v>
      </c>
      <c r="U930" s="95">
        <v>0</v>
      </c>
      <c r="V930" s="95">
        <v>0.46838407494145201</v>
      </c>
      <c r="W930" s="95">
        <v>1.2987012987013</v>
      </c>
      <c r="X930" s="95">
        <v>0.39318479685452201</v>
      </c>
      <c r="Y930" s="95">
        <v>0</v>
      </c>
      <c r="Z930" s="94">
        <v>1690</v>
      </c>
      <c r="AA930" s="94">
        <v>912</v>
      </c>
      <c r="AB930" s="94">
        <v>778</v>
      </c>
      <c r="AC930" s="94">
        <v>122</v>
      </c>
      <c r="AD930" s="94">
        <v>570</v>
      </c>
      <c r="AE930" s="94">
        <v>797</v>
      </c>
      <c r="AF930" s="94">
        <v>201</v>
      </c>
      <c r="AG930" s="94">
        <v>1344</v>
      </c>
      <c r="AH930" s="94">
        <v>345</v>
      </c>
      <c r="AI930" s="94">
        <v>1</v>
      </c>
      <c r="AJ930" s="94">
        <v>1654</v>
      </c>
      <c r="AK930" s="94">
        <v>34</v>
      </c>
      <c r="AL930" s="94">
        <v>2</v>
      </c>
      <c r="AM930" s="94">
        <v>88</v>
      </c>
      <c r="AN930" s="94">
        <v>1596</v>
      </c>
      <c r="AO930" s="94">
        <v>6</v>
      </c>
      <c r="AP930" s="95">
        <v>5.3291536050156703</v>
      </c>
      <c r="AQ930" s="95">
        <v>1.5063731170336001</v>
      </c>
      <c r="AR930" s="95">
        <v>9.8360655737704903</v>
      </c>
      <c r="AS930" s="95">
        <v>7.0796460176991198</v>
      </c>
      <c r="AT930" s="95">
        <v>6.5789473684210504</v>
      </c>
      <c r="AU930" s="95">
        <v>4.3650793650793602</v>
      </c>
      <c r="AV930" s="95">
        <v>4.63917525773196</v>
      </c>
      <c r="AW930" s="95">
        <v>4.8069345941686397</v>
      </c>
      <c r="AX930" s="95">
        <v>7.3846153846153904</v>
      </c>
      <c r="AY930" s="95">
        <v>0</v>
      </c>
      <c r="AZ930" s="95">
        <v>5.3069053708439897</v>
      </c>
      <c r="BA930" s="95">
        <v>6.8965517241379297</v>
      </c>
      <c r="BB930" s="95">
        <v>0</v>
      </c>
      <c r="BC930" s="95">
        <v>3.4883720930232598</v>
      </c>
      <c r="BD930" s="95">
        <v>5.3892215568862296</v>
      </c>
      <c r="BE930" s="95">
        <v>16.6666666666667</v>
      </c>
    </row>
    <row r="931" spans="2:57" ht="15" customHeight="1" x14ac:dyDescent="0.25">
      <c r="B931" s="91">
        <v>921</v>
      </c>
      <c r="C931" s="92" t="s">
        <v>503</v>
      </c>
      <c r="D931" s="92" t="s">
        <v>302</v>
      </c>
      <c r="E931" s="92" t="s">
        <v>400</v>
      </c>
      <c r="F931" s="92"/>
      <c r="G931" s="93" t="s">
        <v>502</v>
      </c>
      <c r="H931" s="94">
        <v>20750</v>
      </c>
      <c r="I931" s="94">
        <v>11814</v>
      </c>
      <c r="J931" s="94">
        <v>8936</v>
      </c>
      <c r="K931" s="94">
        <v>1224</v>
      </c>
      <c r="L931" s="94">
        <v>4677</v>
      </c>
      <c r="M931" s="94">
        <v>10501</v>
      </c>
      <c r="N931" s="94">
        <v>4348</v>
      </c>
      <c r="O931" s="94">
        <v>20670</v>
      </c>
      <c r="P931" s="94">
        <v>80</v>
      </c>
      <c r="Q931" s="95">
        <v>0.26513027073879603</v>
      </c>
      <c r="R931" s="95">
        <v>0.115720135303543</v>
      </c>
      <c r="S931" s="95">
        <v>0.46544933762978902</v>
      </c>
      <c r="T931" s="95">
        <v>0.767754318618042</v>
      </c>
      <c r="U931" s="95">
        <v>0.298438934802571</v>
      </c>
      <c r="V931" s="95">
        <v>0.28927680798005001</v>
      </c>
      <c r="W931" s="95">
        <v>4.77326968973747E-2</v>
      </c>
      <c r="X931" s="95">
        <v>0.26097635861222002</v>
      </c>
      <c r="Y931" s="95">
        <v>1.40845070422535</v>
      </c>
      <c r="Z931" s="94">
        <v>22172</v>
      </c>
      <c r="AA931" s="94">
        <v>11999</v>
      </c>
      <c r="AB931" s="94">
        <v>10173</v>
      </c>
      <c r="AC931" s="94">
        <v>1340</v>
      </c>
      <c r="AD931" s="94">
        <v>4881</v>
      </c>
      <c r="AE931" s="94">
        <v>10493</v>
      </c>
      <c r="AF931" s="94">
        <v>5458</v>
      </c>
      <c r="AG931" s="94">
        <v>19309</v>
      </c>
      <c r="AH931" s="94">
        <v>2719</v>
      </c>
      <c r="AI931" s="94">
        <v>144</v>
      </c>
      <c r="AJ931" s="94">
        <v>21970</v>
      </c>
      <c r="AK931" s="94">
        <v>145</v>
      </c>
      <c r="AL931" s="94">
        <v>57</v>
      </c>
      <c r="AM931" s="94">
        <v>2110</v>
      </c>
      <c r="AN931" s="94">
        <v>19748</v>
      </c>
      <c r="AO931" s="94">
        <v>314</v>
      </c>
      <c r="AP931" s="95">
        <v>1.09879745343079</v>
      </c>
      <c r="AQ931" s="95">
        <v>0.30237580993520502</v>
      </c>
      <c r="AR931" s="95">
        <v>2.05607476635514</v>
      </c>
      <c r="AS931" s="95">
        <v>1.51515151515152</v>
      </c>
      <c r="AT931" s="95">
        <v>1.53005464480874</v>
      </c>
      <c r="AU931" s="95">
        <v>1.1634844868735099</v>
      </c>
      <c r="AV931" s="95">
        <v>0.50751879699248104</v>
      </c>
      <c r="AW931" s="95">
        <v>1.03193041223189</v>
      </c>
      <c r="AX931" s="95">
        <v>1.6021883548261</v>
      </c>
      <c r="AY931" s="95">
        <v>0.72992700729926996</v>
      </c>
      <c r="AZ931" s="95">
        <v>1.09440426341835</v>
      </c>
      <c r="BA931" s="95">
        <v>2.2058823529411802</v>
      </c>
      <c r="BB931" s="95">
        <v>0</v>
      </c>
      <c r="BC931" s="95">
        <v>0.97560975609756095</v>
      </c>
      <c r="BD931" s="95">
        <v>1.1142356873773001</v>
      </c>
      <c r="BE931" s="95">
        <v>0.97402597402597402</v>
      </c>
    </row>
    <row r="932" spans="2:57" ht="15" customHeight="1" x14ac:dyDescent="0.25">
      <c r="B932" s="96">
        <v>922</v>
      </c>
      <c r="C932" s="97" t="s">
        <v>504</v>
      </c>
      <c r="D932" s="104" t="s">
        <v>302</v>
      </c>
      <c r="E932" s="104" t="s">
        <v>400</v>
      </c>
      <c r="F932" s="104" t="s">
        <v>265</v>
      </c>
      <c r="G932" s="105" t="s">
        <v>265</v>
      </c>
      <c r="H932" s="106">
        <v>9797</v>
      </c>
      <c r="I932" s="106">
        <v>5433</v>
      </c>
      <c r="J932" s="106">
        <v>4364</v>
      </c>
      <c r="K932" s="106">
        <v>467</v>
      </c>
      <c r="L932" s="106">
        <v>2122</v>
      </c>
      <c r="M932" s="106">
        <v>4834</v>
      </c>
      <c r="N932" s="106">
        <v>2374</v>
      </c>
      <c r="O932" s="106">
        <v>9763</v>
      </c>
      <c r="P932" s="106">
        <v>34</v>
      </c>
      <c r="Q932" s="107">
        <v>0.225903614457831</v>
      </c>
      <c r="R932" s="107">
        <v>0.17334360554699499</v>
      </c>
      <c r="S932" s="107">
        <v>0.29239766081871299</v>
      </c>
      <c r="T932" s="107">
        <v>0.51150895140664998</v>
      </c>
      <c r="U932" s="107">
        <v>0.30287733467945499</v>
      </c>
      <c r="V932" s="107">
        <v>0.259909031838856</v>
      </c>
      <c r="W932" s="107">
        <v>4.33463372345037E-2</v>
      </c>
      <c r="X932" s="107">
        <v>0.226683937823834</v>
      </c>
      <c r="Y932" s="107">
        <v>0</v>
      </c>
      <c r="Z932" s="106">
        <v>9451</v>
      </c>
      <c r="AA932" s="106">
        <v>4875</v>
      </c>
      <c r="AB932" s="106">
        <v>4576</v>
      </c>
      <c r="AC932" s="106">
        <v>512</v>
      </c>
      <c r="AD932" s="106">
        <v>1837</v>
      </c>
      <c r="AE932" s="106">
        <v>4352</v>
      </c>
      <c r="AF932" s="106">
        <v>2750</v>
      </c>
      <c r="AG932" s="106">
        <v>8002</v>
      </c>
      <c r="AH932" s="106">
        <v>1366</v>
      </c>
      <c r="AI932" s="106">
        <v>83</v>
      </c>
      <c r="AJ932" s="106">
        <v>9344</v>
      </c>
      <c r="AK932" s="106">
        <v>78</v>
      </c>
      <c r="AL932" s="106">
        <v>29</v>
      </c>
      <c r="AM932" s="106">
        <v>911</v>
      </c>
      <c r="AN932" s="106">
        <v>8385</v>
      </c>
      <c r="AO932" s="106">
        <v>155</v>
      </c>
      <c r="AP932" s="107">
        <v>1.1161454304342999</v>
      </c>
      <c r="AQ932" s="107">
        <v>0.31989763275751798</v>
      </c>
      <c r="AR932" s="107">
        <v>1.9724770642201801</v>
      </c>
      <c r="AS932" s="107">
        <v>2.7368421052631602</v>
      </c>
      <c r="AT932" s="107">
        <v>1.86371578334304</v>
      </c>
      <c r="AU932" s="107">
        <v>0.98250658998322504</v>
      </c>
      <c r="AV932" s="107">
        <v>0.55886736214605104</v>
      </c>
      <c r="AW932" s="107">
        <v>1.05496222974733</v>
      </c>
      <c r="AX932" s="107">
        <v>1.47058823529412</v>
      </c>
      <c r="AY932" s="107">
        <v>1.26582278481013</v>
      </c>
      <c r="AZ932" s="107">
        <v>1.11744328975305</v>
      </c>
      <c r="BA932" s="107">
        <v>1.3698630136986301</v>
      </c>
      <c r="BB932" s="107">
        <v>0</v>
      </c>
      <c r="BC932" s="107">
        <v>0.67643742953776798</v>
      </c>
      <c r="BD932" s="107">
        <v>1.16133866133866</v>
      </c>
      <c r="BE932" s="107">
        <v>1.2987012987013</v>
      </c>
    </row>
    <row r="933" spans="2:57" ht="15" customHeight="1" x14ac:dyDescent="0.25">
      <c r="B933" s="91">
        <v>923</v>
      </c>
      <c r="C933" s="92" t="s">
        <v>504</v>
      </c>
      <c r="D933" s="92" t="s">
        <v>302</v>
      </c>
      <c r="E933" s="92" t="s">
        <v>400</v>
      </c>
      <c r="F933" s="92" t="s">
        <v>265</v>
      </c>
      <c r="G933" s="101" t="s">
        <v>501</v>
      </c>
      <c r="H933" s="94">
        <v>0</v>
      </c>
      <c r="I933" s="94">
        <v>0</v>
      </c>
      <c r="J933" s="94">
        <v>0</v>
      </c>
      <c r="K933" s="94">
        <v>0</v>
      </c>
      <c r="L933" s="94">
        <v>0</v>
      </c>
      <c r="M933" s="94">
        <v>0</v>
      </c>
      <c r="N933" s="94">
        <v>0</v>
      </c>
      <c r="O933" s="94">
        <v>0</v>
      </c>
      <c r="P933" s="94">
        <v>0</v>
      </c>
      <c r="Q933" s="95">
        <v>0</v>
      </c>
      <c r="R933" s="95">
        <v>0</v>
      </c>
      <c r="S933" s="95">
        <v>0</v>
      </c>
      <c r="T933" s="95">
        <v>0</v>
      </c>
      <c r="U933" s="95">
        <v>0</v>
      </c>
      <c r="V933" s="95">
        <v>0</v>
      </c>
      <c r="W933" s="95">
        <v>0</v>
      </c>
      <c r="X933" s="95">
        <v>0</v>
      </c>
      <c r="Y933" s="95">
        <v>0</v>
      </c>
      <c r="Z933" s="94">
        <v>0</v>
      </c>
      <c r="AA933" s="94">
        <v>0</v>
      </c>
      <c r="AB933" s="94">
        <v>0</v>
      </c>
      <c r="AC933" s="94">
        <v>0</v>
      </c>
      <c r="AD933" s="94">
        <v>0</v>
      </c>
      <c r="AE933" s="94">
        <v>0</v>
      </c>
      <c r="AF933" s="94">
        <v>0</v>
      </c>
      <c r="AG933" s="94">
        <v>0</v>
      </c>
      <c r="AH933" s="94">
        <v>0</v>
      </c>
      <c r="AI933" s="94">
        <v>0</v>
      </c>
      <c r="AJ933" s="94">
        <v>0</v>
      </c>
      <c r="AK933" s="94">
        <v>0</v>
      </c>
      <c r="AL933" s="94">
        <v>0</v>
      </c>
      <c r="AM933" s="94">
        <v>0</v>
      </c>
      <c r="AN933" s="94">
        <v>0</v>
      </c>
      <c r="AO933" s="94">
        <v>0</v>
      </c>
      <c r="AP933" s="95">
        <v>0</v>
      </c>
      <c r="AQ933" s="95">
        <v>0</v>
      </c>
      <c r="AR933" s="95">
        <v>0</v>
      </c>
      <c r="AS933" s="95">
        <v>0</v>
      </c>
      <c r="AT933" s="95">
        <v>0</v>
      </c>
      <c r="AU933" s="95">
        <v>0</v>
      </c>
      <c r="AV933" s="95">
        <v>0</v>
      </c>
      <c r="AW933" s="95">
        <v>0</v>
      </c>
      <c r="AX933" s="95">
        <v>0</v>
      </c>
      <c r="AY933" s="95">
        <v>0</v>
      </c>
      <c r="AZ933" s="95">
        <v>0</v>
      </c>
      <c r="BA933" s="95">
        <v>0</v>
      </c>
      <c r="BB933" s="95">
        <v>0</v>
      </c>
      <c r="BC933" s="95">
        <v>0</v>
      </c>
      <c r="BD933" s="95">
        <v>0</v>
      </c>
      <c r="BE933" s="95">
        <v>0</v>
      </c>
    </row>
    <row r="934" spans="2:57" ht="15" customHeight="1" x14ac:dyDescent="0.25">
      <c r="B934" s="91">
        <v>924</v>
      </c>
      <c r="C934" s="92" t="s">
        <v>504</v>
      </c>
      <c r="D934" s="92" t="s">
        <v>302</v>
      </c>
      <c r="E934" s="92" t="s">
        <v>400</v>
      </c>
      <c r="F934" s="92" t="s">
        <v>265</v>
      </c>
      <c r="G934" s="101" t="s">
        <v>502</v>
      </c>
      <c r="H934" s="94">
        <v>9797</v>
      </c>
      <c r="I934" s="94">
        <v>5433</v>
      </c>
      <c r="J934" s="94">
        <v>4364</v>
      </c>
      <c r="K934" s="94">
        <v>467</v>
      </c>
      <c r="L934" s="94">
        <v>2122</v>
      </c>
      <c r="M934" s="94">
        <v>4834</v>
      </c>
      <c r="N934" s="94">
        <v>2374</v>
      </c>
      <c r="O934" s="94">
        <v>9763</v>
      </c>
      <c r="P934" s="94">
        <v>34</v>
      </c>
      <c r="Q934" s="95">
        <v>0.225903614457831</v>
      </c>
      <c r="R934" s="95">
        <v>0.17334360554699499</v>
      </c>
      <c r="S934" s="95">
        <v>0.29239766081871299</v>
      </c>
      <c r="T934" s="95">
        <v>0.51150895140664998</v>
      </c>
      <c r="U934" s="95">
        <v>0.30287733467945499</v>
      </c>
      <c r="V934" s="95">
        <v>0.259909031838856</v>
      </c>
      <c r="W934" s="95">
        <v>4.33463372345037E-2</v>
      </c>
      <c r="X934" s="95">
        <v>0.226683937823834</v>
      </c>
      <c r="Y934" s="95">
        <v>0</v>
      </c>
      <c r="Z934" s="94">
        <v>9451</v>
      </c>
      <c r="AA934" s="94">
        <v>4875</v>
      </c>
      <c r="AB934" s="94">
        <v>4576</v>
      </c>
      <c r="AC934" s="94">
        <v>512</v>
      </c>
      <c r="AD934" s="94">
        <v>1837</v>
      </c>
      <c r="AE934" s="94">
        <v>4352</v>
      </c>
      <c r="AF934" s="94">
        <v>2750</v>
      </c>
      <c r="AG934" s="94">
        <v>8002</v>
      </c>
      <c r="AH934" s="94">
        <v>1366</v>
      </c>
      <c r="AI934" s="94">
        <v>83</v>
      </c>
      <c r="AJ934" s="94">
        <v>9344</v>
      </c>
      <c r="AK934" s="94">
        <v>78</v>
      </c>
      <c r="AL934" s="94">
        <v>29</v>
      </c>
      <c r="AM934" s="94">
        <v>911</v>
      </c>
      <c r="AN934" s="94">
        <v>8385</v>
      </c>
      <c r="AO934" s="94">
        <v>155</v>
      </c>
      <c r="AP934" s="95">
        <v>1.1161454304342999</v>
      </c>
      <c r="AQ934" s="95">
        <v>0.31989763275751798</v>
      </c>
      <c r="AR934" s="95">
        <v>1.9724770642201801</v>
      </c>
      <c r="AS934" s="95">
        <v>2.7368421052631602</v>
      </c>
      <c r="AT934" s="95">
        <v>1.86371578334304</v>
      </c>
      <c r="AU934" s="95">
        <v>0.98250658998322504</v>
      </c>
      <c r="AV934" s="95">
        <v>0.55886736214605104</v>
      </c>
      <c r="AW934" s="95">
        <v>1.05496222974733</v>
      </c>
      <c r="AX934" s="95">
        <v>1.47058823529412</v>
      </c>
      <c r="AY934" s="95">
        <v>1.26582278481013</v>
      </c>
      <c r="AZ934" s="95">
        <v>1.11744328975305</v>
      </c>
      <c r="BA934" s="95">
        <v>1.3698630136986301</v>
      </c>
      <c r="BB934" s="95">
        <v>0</v>
      </c>
      <c r="BC934" s="95">
        <v>0.67643742953776798</v>
      </c>
      <c r="BD934" s="95">
        <v>1.16133866133866</v>
      </c>
      <c r="BE934" s="95">
        <v>1.2987012987013</v>
      </c>
    </row>
    <row r="935" spans="2:57" ht="15" customHeight="1" x14ac:dyDescent="0.25">
      <c r="B935" s="96">
        <v>925</v>
      </c>
      <c r="C935" s="97" t="s">
        <v>504</v>
      </c>
      <c r="D935" s="104" t="s">
        <v>302</v>
      </c>
      <c r="E935" s="104" t="s">
        <v>400</v>
      </c>
      <c r="F935" s="104" t="s">
        <v>325</v>
      </c>
      <c r="G935" s="105" t="s">
        <v>325</v>
      </c>
      <c r="H935" s="106">
        <v>5272</v>
      </c>
      <c r="I935" s="106">
        <v>3045</v>
      </c>
      <c r="J935" s="106">
        <v>2227</v>
      </c>
      <c r="K935" s="106">
        <v>211</v>
      </c>
      <c r="L935" s="106">
        <v>1231</v>
      </c>
      <c r="M935" s="106">
        <v>2819</v>
      </c>
      <c r="N935" s="106">
        <v>1011</v>
      </c>
      <c r="O935" s="106">
        <v>5229</v>
      </c>
      <c r="P935" s="106">
        <v>43</v>
      </c>
      <c r="Q935" s="107">
        <v>0.54945054945054905</v>
      </c>
      <c r="R935" s="107">
        <v>0.106007067137809</v>
      </c>
      <c r="S935" s="107">
        <v>1.15163147792706</v>
      </c>
      <c r="T935" s="107">
        <v>2.4096385542168699</v>
      </c>
      <c r="U935" s="107">
        <v>0.44365572315882901</v>
      </c>
      <c r="V935" s="107">
        <v>0.60060060060060105</v>
      </c>
      <c r="W935" s="107">
        <v>0.20898641588296801</v>
      </c>
      <c r="X935" s="107">
        <v>0.53344275748871595</v>
      </c>
      <c r="Y935" s="107">
        <v>2.5</v>
      </c>
      <c r="Z935" s="106">
        <v>6619</v>
      </c>
      <c r="AA935" s="106">
        <v>3667</v>
      </c>
      <c r="AB935" s="106">
        <v>2952</v>
      </c>
      <c r="AC935" s="106">
        <v>303</v>
      </c>
      <c r="AD935" s="106">
        <v>1600</v>
      </c>
      <c r="AE935" s="106">
        <v>3374</v>
      </c>
      <c r="AF935" s="106">
        <v>1342</v>
      </c>
      <c r="AG935" s="106">
        <v>5618</v>
      </c>
      <c r="AH935" s="106">
        <v>984</v>
      </c>
      <c r="AI935" s="106">
        <v>17</v>
      </c>
      <c r="AJ935" s="106">
        <v>6529</v>
      </c>
      <c r="AK935" s="106">
        <v>79</v>
      </c>
      <c r="AL935" s="106">
        <v>11</v>
      </c>
      <c r="AM935" s="106">
        <v>532</v>
      </c>
      <c r="AN935" s="106">
        <v>6044</v>
      </c>
      <c r="AO935" s="106">
        <v>43</v>
      </c>
      <c r="AP935" s="107">
        <v>2.6833915528739301</v>
      </c>
      <c r="AQ935" s="107">
        <v>0.85299971566676103</v>
      </c>
      <c r="AR935" s="107">
        <v>4.9982020855807301</v>
      </c>
      <c r="AS935" s="107">
        <v>4.5296167247386796</v>
      </c>
      <c r="AT935" s="107">
        <v>3.59281437125748</v>
      </c>
      <c r="AU935" s="107">
        <v>2.7136618839675601</v>
      </c>
      <c r="AV935" s="107">
        <v>1.1520737327188899</v>
      </c>
      <c r="AW935" s="107">
        <v>2.38272524199553</v>
      </c>
      <c r="AX935" s="107">
        <v>4.5054945054945099</v>
      </c>
      <c r="AY935" s="107">
        <v>0</v>
      </c>
      <c r="AZ935" s="107">
        <v>2.6705276705276701</v>
      </c>
      <c r="BA935" s="107">
        <v>4.2253521126760596</v>
      </c>
      <c r="BB935" s="107">
        <v>0</v>
      </c>
      <c r="BC935" s="107">
        <v>2.1153846153846199</v>
      </c>
      <c r="BD935" s="107">
        <v>2.73662192783685</v>
      </c>
      <c r="BE935" s="107">
        <v>2.4390243902439002</v>
      </c>
    </row>
    <row r="936" spans="2:57" ht="15" customHeight="1" x14ac:dyDescent="0.25">
      <c r="B936" s="91">
        <v>926</v>
      </c>
      <c r="C936" s="92" t="s">
        <v>504</v>
      </c>
      <c r="D936" s="92" t="s">
        <v>302</v>
      </c>
      <c r="E936" s="92" t="s">
        <v>400</v>
      </c>
      <c r="F936" s="92" t="s">
        <v>325</v>
      </c>
      <c r="G936" s="101" t="s">
        <v>501</v>
      </c>
      <c r="H936" s="94">
        <v>819</v>
      </c>
      <c r="I936" s="94">
        <v>499</v>
      </c>
      <c r="J936" s="94">
        <v>320</v>
      </c>
      <c r="K936" s="94">
        <v>41</v>
      </c>
      <c r="L936" s="94">
        <v>252</v>
      </c>
      <c r="M936" s="94">
        <v>446</v>
      </c>
      <c r="N936" s="94">
        <v>80</v>
      </c>
      <c r="O936" s="94">
        <v>816</v>
      </c>
      <c r="P936" s="94">
        <v>3</v>
      </c>
      <c r="Q936" s="95">
        <v>0.391644908616188</v>
      </c>
      <c r="R936" s="95">
        <v>0</v>
      </c>
      <c r="S936" s="95">
        <v>1.0067114093959699</v>
      </c>
      <c r="T936" s="95">
        <v>0</v>
      </c>
      <c r="U936" s="95">
        <v>0</v>
      </c>
      <c r="V936" s="95">
        <v>0.46838407494145201</v>
      </c>
      <c r="W936" s="95">
        <v>1.2987012987013</v>
      </c>
      <c r="X936" s="95">
        <v>0.39318479685452201</v>
      </c>
      <c r="Y936" s="95">
        <v>0</v>
      </c>
      <c r="Z936" s="94">
        <v>1690</v>
      </c>
      <c r="AA936" s="94">
        <v>912</v>
      </c>
      <c r="AB936" s="94">
        <v>778</v>
      </c>
      <c r="AC936" s="94">
        <v>122</v>
      </c>
      <c r="AD936" s="94">
        <v>570</v>
      </c>
      <c r="AE936" s="94">
        <v>797</v>
      </c>
      <c r="AF936" s="94">
        <v>201</v>
      </c>
      <c r="AG936" s="94">
        <v>1344</v>
      </c>
      <c r="AH936" s="94">
        <v>345</v>
      </c>
      <c r="AI936" s="94">
        <v>1</v>
      </c>
      <c r="AJ936" s="94">
        <v>1654</v>
      </c>
      <c r="AK936" s="94">
        <v>34</v>
      </c>
      <c r="AL936" s="94">
        <v>2</v>
      </c>
      <c r="AM936" s="94">
        <v>88</v>
      </c>
      <c r="AN936" s="94">
        <v>1596</v>
      </c>
      <c r="AO936" s="94">
        <v>6</v>
      </c>
      <c r="AP936" s="95">
        <v>5.3291536050156703</v>
      </c>
      <c r="AQ936" s="95">
        <v>1.5063731170336001</v>
      </c>
      <c r="AR936" s="95">
        <v>9.8360655737704903</v>
      </c>
      <c r="AS936" s="95">
        <v>7.0796460176991198</v>
      </c>
      <c r="AT936" s="95">
        <v>6.5789473684210504</v>
      </c>
      <c r="AU936" s="95">
        <v>4.3650793650793602</v>
      </c>
      <c r="AV936" s="95">
        <v>4.63917525773196</v>
      </c>
      <c r="AW936" s="95">
        <v>4.8069345941686397</v>
      </c>
      <c r="AX936" s="95">
        <v>7.3846153846153904</v>
      </c>
      <c r="AY936" s="95">
        <v>0</v>
      </c>
      <c r="AZ936" s="95">
        <v>5.3069053708439897</v>
      </c>
      <c r="BA936" s="95">
        <v>6.8965517241379297</v>
      </c>
      <c r="BB936" s="95">
        <v>0</v>
      </c>
      <c r="BC936" s="95">
        <v>3.4883720930232598</v>
      </c>
      <c r="BD936" s="95">
        <v>5.3892215568862296</v>
      </c>
      <c r="BE936" s="95">
        <v>16.6666666666667</v>
      </c>
    </row>
    <row r="937" spans="2:57" ht="15" customHeight="1" x14ac:dyDescent="0.25">
      <c r="B937" s="91">
        <v>927</v>
      </c>
      <c r="C937" s="92" t="s">
        <v>504</v>
      </c>
      <c r="D937" s="92" t="s">
        <v>302</v>
      </c>
      <c r="E937" s="92" t="s">
        <v>400</v>
      </c>
      <c r="F937" s="92" t="s">
        <v>325</v>
      </c>
      <c r="G937" s="101" t="s">
        <v>502</v>
      </c>
      <c r="H937" s="94">
        <v>4453</v>
      </c>
      <c r="I937" s="94">
        <v>2546</v>
      </c>
      <c r="J937" s="94">
        <v>1907</v>
      </c>
      <c r="K937" s="94">
        <v>170</v>
      </c>
      <c r="L937" s="94">
        <v>979</v>
      </c>
      <c r="M937" s="94">
        <v>2373</v>
      </c>
      <c r="N937" s="94">
        <v>931</v>
      </c>
      <c r="O937" s="94">
        <v>4413</v>
      </c>
      <c r="P937" s="94">
        <v>40</v>
      </c>
      <c r="Q937" s="95">
        <v>0.57859209257473498</v>
      </c>
      <c r="R937" s="95">
        <v>0.12701100762066</v>
      </c>
      <c r="S937" s="95">
        <v>1.17581187010078</v>
      </c>
      <c r="T937" s="95">
        <v>2.8571428571428599</v>
      </c>
      <c r="U937" s="95">
        <v>0.56116722783389394</v>
      </c>
      <c r="V937" s="95">
        <v>0.62583817612874404</v>
      </c>
      <c r="W937" s="95">
        <v>0.11363636363636399</v>
      </c>
      <c r="X937" s="95">
        <v>0.55947458039406495</v>
      </c>
      <c r="Y937" s="95">
        <v>2.7027027027027</v>
      </c>
      <c r="Z937" s="94">
        <v>4929</v>
      </c>
      <c r="AA937" s="94">
        <v>2755</v>
      </c>
      <c r="AB937" s="94">
        <v>2174</v>
      </c>
      <c r="AC937" s="94">
        <v>181</v>
      </c>
      <c r="AD937" s="94">
        <v>1030</v>
      </c>
      <c r="AE937" s="94">
        <v>2577</v>
      </c>
      <c r="AF937" s="94">
        <v>1141</v>
      </c>
      <c r="AG937" s="94">
        <v>4274</v>
      </c>
      <c r="AH937" s="94">
        <v>639</v>
      </c>
      <c r="AI937" s="94">
        <v>16</v>
      </c>
      <c r="AJ937" s="94">
        <v>4875</v>
      </c>
      <c r="AK937" s="94">
        <v>45</v>
      </c>
      <c r="AL937" s="94">
        <v>9</v>
      </c>
      <c r="AM937" s="94">
        <v>444</v>
      </c>
      <c r="AN937" s="94">
        <v>4448</v>
      </c>
      <c r="AO937" s="94">
        <v>37</v>
      </c>
      <c r="AP937" s="95">
        <v>1.7860939825643201</v>
      </c>
      <c r="AQ937" s="95">
        <v>0.640542577241899</v>
      </c>
      <c r="AR937" s="95">
        <v>3.2698877501220101</v>
      </c>
      <c r="AS937" s="95">
        <v>2.8735632183908</v>
      </c>
      <c r="AT937" s="95">
        <v>1.9567456230689999</v>
      </c>
      <c r="AU937" s="95">
        <v>2.2040816326530601</v>
      </c>
      <c r="AV937" s="95">
        <v>0.54151624548736499</v>
      </c>
      <c r="AW937" s="95">
        <v>1.6329514989032401</v>
      </c>
      <c r="AX937" s="95">
        <v>2.9059829059829099</v>
      </c>
      <c r="AY937" s="95">
        <v>0</v>
      </c>
      <c r="AZ937" s="95">
        <v>1.7841788478073899</v>
      </c>
      <c r="BA937" s="95">
        <v>2.38095238095238</v>
      </c>
      <c r="BB937" s="95">
        <v>0</v>
      </c>
      <c r="BC937" s="95">
        <v>1.84331797235023</v>
      </c>
      <c r="BD937" s="95">
        <v>1.7949929145016501</v>
      </c>
      <c r="BE937" s="95">
        <v>0</v>
      </c>
    </row>
    <row r="938" spans="2:57" ht="15" customHeight="1" x14ac:dyDescent="0.25">
      <c r="B938" s="96">
        <v>928</v>
      </c>
      <c r="C938" s="97" t="s">
        <v>504</v>
      </c>
      <c r="D938" s="104" t="s">
        <v>302</v>
      </c>
      <c r="E938" s="104" t="s">
        <v>400</v>
      </c>
      <c r="F938" s="104" t="s">
        <v>175</v>
      </c>
      <c r="G938" s="105" t="s">
        <v>175</v>
      </c>
      <c r="H938" s="106">
        <v>6500</v>
      </c>
      <c r="I938" s="106">
        <v>3835</v>
      </c>
      <c r="J938" s="106">
        <v>2665</v>
      </c>
      <c r="K938" s="106">
        <v>587</v>
      </c>
      <c r="L938" s="106">
        <v>1576</v>
      </c>
      <c r="M938" s="106">
        <v>3294</v>
      </c>
      <c r="N938" s="106">
        <v>1043</v>
      </c>
      <c r="O938" s="106">
        <v>6494</v>
      </c>
      <c r="P938" s="106">
        <v>6</v>
      </c>
      <c r="Q938" s="107">
        <v>0.113470578699951</v>
      </c>
      <c r="R938" s="107">
        <v>2.7173913043478298E-2</v>
      </c>
      <c r="S938" s="107">
        <v>0.241060666934512</v>
      </c>
      <c r="T938" s="107">
        <v>0.39138943248532299</v>
      </c>
      <c r="U938" s="107">
        <v>0.134770889487871</v>
      </c>
      <c r="V938" s="107">
        <v>9.46073793755913E-2</v>
      </c>
      <c r="W938" s="107">
        <v>0</v>
      </c>
      <c r="X938" s="107">
        <v>0.113507377979569</v>
      </c>
      <c r="Y938" s="107">
        <v>0</v>
      </c>
      <c r="Z938" s="106">
        <v>7792</v>
      </c>
      <c r="AA938" s="106">
        <v>4369</v>
      </c>
      <c r="AB938" s="106">
        <v>3423</v>
      </c>
      <c r="AC938" s="106">
        <v>647</v>
      </c>
      <c r="AD938" s="106">
        <v>2014</v>
      </c>
      <c r="AE938" s="106">
        <v>3564</v>
      </c>
      <c r="AF938" s="106">
        <v>1567</v>
      </c>
      <c r="AG938" s="106">
        <v>7033</v>
      </c>
      <c r="AH938" s="106">
        <v>714</v>
      </c>
      <c r="AI938" s="106">
        <v>45</v>
      </c>
      <c r="AJ938" s="106">
        <v>7751</v>
      </c>
      <c r="AK938" s="106">
        <v>22</v>
      </c>
      <c r="AL938" s="106">
        <v>19</v>
      </c>
      <c r="AM938" s="106">
        <v>755</v>
      </c>
      <c r="AN938" s="106">
        <v>6915</v>
      </c>
      <c r="AO938" s="106">
        <v>122</v>
      </c>
      <c r="AP938" s="107">
        <v>0.64403595867435903</v>
      </c>
      <c r="AQ938" s="107">
        <v>7.0888468809073693E-2</v>
      </c>
      <c r="AR938" s="107">
        <v>1.3970816516609701</v>
      </c>
      <c r="AS938" s="107">
        <v>0.165289256198347</v>
      </c>
      <c r="AT938" s="107">
        <v>1.00688924218336</v>
      </c>
      <c r="AU938" s="107">
        <v>0.64083891639964996</v>
      </c>
      <c r="AV938" s="107">
        <v>0.39267015706806302</v>
      </c>
      <c r="AW938" s="107">
        <v>0.63912009512485102</v>
      </c>
      <c r="AX938" s="107">
        <v>0.73313782991202303</v>
      </c>
      <c r="AY938" s="107">
        <v>0</v>
      </c>
      <c r="AZ938" s="107">
        <v>0.63385030343897497</v>
      </c>
      <c r="BA938" s="107">
        <v>4.7619047619047601</v>
      </c>
      <c r="BB938" s="107">
        <v>0</v>
      </c>
      <c r="BC938" s="107">
        <v>0.82304526748971196</v>
      </c>
      <c r="BD938" s="107">
        <v>0.62074186222558703</v>
      </c>
      <c r="BE938" s="107">
        <v>0.84033613445378197</v>
      </c>
    </row>
    <row r="939" spans="2:57" ht="15" customHeight="1" x14ac:dyDescent="0.25">
      <c r="B939" s="91">
        <v>929</v>
      </c>
      <c r="C939" s="92" t="s">
        <v>504</v>
      </c>
      <c r="D939" s="92" t="s">
        <v>302</v>
      </c>
      <c r="E939" s="92" t="s">
        <v>400</v>
      </c>
      <c r="F939" s="92" t="s">
        <v>175</v>
      </c>
      <c r="G939" s="101" t="s">
        <v>501</v>
      </c>
      <c r="H939" s="94">
        <v>0</v>
      </c>
      <c r="I939" s="94">
        <v>0</v>
      </c>
      <c r="J939" s="94">
        <v>0</v>
      </c>
      <c r="K939" s="94">
        <v>0</v>
      </c>
      <c r="L939" s="94">
        <v>0</v>
      </c>
      <c r="M939" s="94">
        <v>0</v>
      </c>
      <c r="N939" s="94">
        <v>0</v>
      </c>
      <c r="O939" s="94">
        <v>0</v>
      </c>
      <c r="P939" s="94">
        <v>0</v>
      </c>
      <c r="Q939" s="95">
        <v>0</v>
      </c>
      <c r="R939" s="95">
        <v>0</v>
      </c>
      <c r="S939" s="95">
        <v>0</v>
      </c>
      <c r="T939" s="95">
        <v>0</v>
      </c>
      <c r="U939" s="95">
        <v>0</v>
      </c>
      <c r="V939" s="95">
        <v>0</v>
      </c>
      <c r="W939" s="95">
        <v>0</v>
      </c>
      <c r="X939" s="95">
        <v>0</v>
      </c>
      <c r="Y939" s="95">
        <v>0</v>
      </c>
      <c r="Z939" s="94">
        <v>0</v>
      </c>
      <c r="AA939" s="94">
        <v>0</v>
      </c>
      <c r="AB939" s="94">
        <v>0</v>
      </c>
      <c r="AC939" s="94">
        <v>0</v>
      </c>
      <c r="AD939" s="94">
        <v>0</v>
      </c>
      <c r="AE939" s="94">
        <v>0</v>
      </c>
      <c r="AF939" s="94">
        <v>0</v>
      </c>
      <c r="AG939" s="94">
        <v>0</v>
      </c>
      <c r="AH939" s="94">
        <v>0</v>
      </c>
      <c r="AI939" s="94">
        <v>0</v>
      </c>
      <c r="AJ939" s="94">
        <v>0</v>
      </c>
      <c r="AK939" s="94">
        <v>0</v>
      </c>
      <c r="AL939" s="94">
        <v>0</v>
      </c>
      <c r="AM939" s="94">
        <v>0</v>
      </c>
      <c r="AN939" s="94">
        <v>0</v>
      </c>
      <c r="AO939" s="94">
        <v>0</v>
      </c>
      <c r="AP939" s="95">
        <v>0</v>
      </c>
      <c r="AQ939" s="95">
        <v>0</v>
      </c>
      <c r="AR939" s="95">
        <v>0</v>
      </c>
      <c r="AS939" s="95">
        <v>0</v>
      </c>
      <c r="AT939" s="95">
        <v>0</v>
      </c>
      <c r="AU939" s="95">
        <v>0</v>
      </c>
      <c r="AV939" s="95">
        <v>0</v>
      </c>
      <c r="AW939" s="95">
        <v>0</v>
      </c>
      <c r="AX939" s="95">
        <v>0</v>
      </c>
      <c r="AY939" s="95">
        <v>0</v>
      </c>
      <c r="AZ939" s="95">
        <v>0</v>
      </c>
      <c r="BA939" s="95">
        <v>0</v>
      </c>
      <c r="BB939" s="95">
        <v>0</v>
      </c>
      <c r="BC939" s="95">
        <v>0</v>
      </c>
      <c r="BD939" s="95">
        <v>0</v>
      </c>
      <c r="BE939" s="95">
        <v>0</v>
      </c>
    </row>
    <row r="940" spans="2:57" ht="15" customHeight="1" x14ac:dyDescent="0.25">
      <c r="B940" s="91">
        <v>930</v>
      </c>
      <c r="C940" s="92" t="s">
        <v>504</v>
      </c>
      <c r="D940" s="92" t="s">
        <v>302</v>
      </c>
      <c r="E940" s="92" t="s">
        <v>400</v>
      </c>
      <c r="F940" s="92" t="s">
        <v>175</v>
      </c>
      <c r="G940" s="101" t="s">
        <v>502</v>
      </c>
      <c r="H940" s="94">
        <v>6500</v>
      </c>
      <c r="I940" s="94">
        <v>3835</v>
      </c>
      <c r="J940" s="94">
        <v>2665</v>
      </c>
      <c r="K940" s="94">
        <v>587</v>
      </c>
      <c r="L940" s="94">
        <v>1576</v>
      </c>
      <c r="M940" s="94">
        <v>3294</v>
      </c>
      <c r="N940" s="94">
        <v>1043</v>
      </c>
      <c r="O940" s="94">
        <v>6494</v>
      </c>
      <c r="P940" s="94">
        <v>6</v>
      </c>
      <c r="Q940" s="95">
        <v>0.113470578699951</v>
      </c>
      <c r="R940" s="95">
        <v>2.7173913043478298E-2</v>
      </c>
      <c r="S940" s="95">
        <v>0.241060666934512</v>
      </c>
      <c r="T940" s="95">
        <v>0.39138943248532299</v>
      </c>
      <c r="U940" s="95">
        <v>0.134770889487871</v>
      </c>
      <c r="V940" s="95">
        <v>9.46073793755913E-2</v>
      </c>
      <c r="W940" s="95">
        <v>0</v>
      </c>
      <c r="X940" s="95">
        <v>0.113507377979569</v>
      </c>
      <c r="Y940" s="95">
        <v>0</v>
      </c>
      <c r="Z940" s="94">
        <v>7792</v>
      </c>
      <c r="AA940" s="94">
        <v>4369</v>
      </c>
      <c r="AB940" s="94">
        <v>3423</v>
      </c>
      <c r="AC940" s="94">
        <v>647</v>
      </c>
      <c r="AD940" s="94">
        <v>2014</v>
      </c>
      <c r="AE940" s="94">
        <v>3564</v>
      </c>
      <c r="AF940" s="94">
        <v>1567</v>
      </c>
      <c r="AG940" s="94">
        <v>7033</v>
      </c>
      <c r="AH940" s="94">
        <v>714</v>
      </c>
      <c r="AI940" s="94">
        <v>45</v>
      </c>
      <c r="AJ940" s="94">
        <v>7751</v>
      </c>
      <c r="AK940" s="94">
        <v>22</v>
      </c>
      <c r="AL940" s="94">
        <v>19</v>
      </c>
      <c r="AM940" s="94">
        <v>755</v>
      </c>
      <c r="AN940" s="94">
        <v>6915</v>
      </c>
      <c r="AO940" s="94">
        <v>122</v>
      </c>
      <c r="AP940" s="95">
        <v>0.64403595867435903</v>
      </c>
      <c r="AQ940" s="95">
        <v>7.0888468809073693E-2</v>
      </c>
      <c r="AR940" s="95">
        <v>1.3970816516609701</v>
      </c>
      <c r="AS940" s="95">
        <v>0.165289256198347</v>
      </c>
      <c r="AT940" s="95">
        <v>1.00688924218336</v>
      </c>
      <c r="AU940" s="95">
        <v>0.64083891639964996</v>
      </c>
      <c r="AV940" s="95">
        <v>0.39267015706806302</v>
      </c>
      <c r="AW940" s="95">
        <v>0.63912009512485102</v>
      </c>
      <c r="AX940" s="95">
        <v>0.73313782991202303</v>
      </c>
      <c r="AY940" s="95">
        <v>0</v>
      </c>
      <c r="AZ940" s="95">
        <v>0.63385030343897497</v>
      </c>
      <c r="BA940" s="95">
        <v>4.7619047619047601</v>
      </c>
      <c r="BB940" s="95">
        <v>0</v>
      </c>
      <c r="BC940" s="95">
        <v>0.82304526748971196</v>
      </c>
      <c r="BD940" s="95">
        <v>0.62074186222558703</v>
      </c>
      <c r="BE940" s="95">
        <v>0.84033613445378197</v>
      </c>
    </row>
    <row r="941" spans="2:57" ht="15" customHeight="1" x14ac:dyDescent="0.25">
      <c r="B941" s="86">
        <v>931</v>
      </c>
      <c r="C941" s="87" t="s">
        <v>503</v>
      </c>
      <c r="D941" s="103" t="s">
        <v>302</v>
      </c>
      <c r="E941" s="103" t="s">
        <v>401</v>
      </c>
      <c r="F941" s="103"/>
      <c r="G941" s="88" t="s">
        <v>401</v>
      </c>
      <c r="H941" s="89">
        <v>22867</v>
      </c>
      <c r="I941" s="89">
        <v>13587</v>
      </c>
      <c r="J941" s="89">
        <v>9280</v>
      </c>
      <c r="K941" s="89">
        <v>907</v>
      </c>
      <c r="L941" s="89">
        <v>6313</v>
      </c>
      <c r="M941" s="89">
        <v>12362</v>
      </c>
      <c r="N941" s="89">
        <v>3285</v>
      </c>
      <c r="O941" s="89">
        <v>22794</v>
      </c>
      <c r="P941" s="89">
        <v>73</v>
      </c>
      <c r="Q941" s="90">
        <v>2.21452315183295</v>
      </c>
      <c r="R941" s="90">
        <v>1.8157730673316701</v>
      </c>
      <c r="S941" s="90">
        <v>2.8145889527383599</v>
      </c>
      <c r="T941" s="90">
        <v>2.6845637583892601</v>
      </c>
      <c r="U941" s="90">
        <v>3.06349478007873</v>
      </c>
      <c r="V941" s="90">
        <v>2.1475017111567398</v>
      </c>
      <c r="W941" s="90">
        <v>0.746026597469997</v>
      </c>
      <c r="X941" s="90">
        <v>2.1795293343980502</v>
      </c>
      <c r="Y941" s="90">
        <v>12.8571428571429</v>
      </c>
      <c r="Z941" s="89">
        <v>31946</v>
      </c>
      <c r="AA941" s="89">
        <v>18008</v>
      </c>
      <c r="AB941" s="89">
        <v>13938</v>
      </c>
      <c r="AC941" s="89">
        <v>1219</v>
      </c>
      <c r="AD941" s="89">
        <v>8101</v>
      </c>
      <c r="AE941" s="89">
        <v>17844</v>
      </c>
      <c r="AF941" s="89">
        <v>4782</v>
      </c>
      <c r="AG941" s="89">
        <v>21392</v>
      </c>
      <c r="AH941" s="89">
        <v>10312</v>
      </c>
      <c r="AI941" s="89">
        <v>242</v>
      </c>
      <c r="AJ941" s="89">
        <v>31744</v>
      </c>
      <c r="AK941" s="89">
        <v>123</v>
      </c>
      <c r="AL941" s="89">
        <v>79</v>
      </c>
      <c r="AM941" s="89">
        <v>2259</v>
      </c>
      <c r="AN941" s="89">
        <v>29397</v>
      </c>
      <c r="AO941" s="89">
        <v>290</v>
      </c>
      <c r="AP941" s="90">
        <v>7.4652892018161499</v>
      </c>
      <c r="AQ941" s="90">
        <v>5.19306815538497</v>
      </c>
      <c r="AR941" s="90">
        <v>10.4258220942567</v>
      </c>
      <c r="AS941" s="90">
        <v>9.2241379310344804</v>
      </c>
      <c r="AT941" s="90">
        <v>10.1935993678388</v>
      </c>
      <c r="AU941" s="90">
        <v>7.5936709605317301</v>
      </c>
      <c r="AV941" s="90">
        <v>2.0905172413793101</v>
      </c>
      <c r="AW941" s="90">
        <v>5.5905781166006898</v>
      </c>
      <c r="AX941" s="90">
        <v>11.468315301391</v>
      </c>
      <c r="AY941" s="90">
        <v>5.3097345132743401</v>
      </c>
      <c r="AZ941" s="90">
        <v>7.44346213701533</v>
      </c>
      <c r="BA941" s="90">
        <v>14.4067796610169</v>
      </c>
      <c r="BB941" s="90">
        <v>5.3333333333333304</v>
      </c>
      <c r="BC941" s="90">
        <v>3.7735849056603801</v>
      </c>
      <c r="BD941" s="90">
        <v>7.7520211776489996</v>
      </c>
      <c r="BE941" s="90">
        <v>7.4906367041198498</v>
      </c>
    </row>
    <row r="942" spans="2:57" ht="15" customHeight="1" x14ac:dyDescent="0.25">
      <c r="B942" s="91">
        <v>932</v>
      </c>
      <c r="C942" s="92" t="s">
        <v>503</v>
      </c>
      <c r="D942" s="92" t="s">
        <v>302</v>
      </c>
      <c r="E942" s="92" t="s">
        <v>401</v>
      </c>
      <c r="F942" s="92"/>
      <c r="G942" s="93" t="s">
        <v>501</v>
      </c>
      <c r="H942" s="94">
        <v>9979</v>
      </c>
      <c r="I942" s="94">
        <v>5919</v>
      </c>
      <c r="J942" s="94">
        <v>4060</v>
      </c>
      <c r="K942" s="94">
        <v>416</v>
      </c>
      <c r="L942" s="94">
        <v>3174</v>
      </c>
      <c r="M942" s="94">
        <v>5648</v>
      </c>
      <c r="N942" s="94">
        <v>741</v>
      </c>
      <c r="O942" s="94">
        <v>9922</v>
      </c>
      <c r="P942" s="94">
        <v>57</v>
      </c>
      <c r="Q942" s="95">
        <v>4.3440860215053796</v>
      </c>
      <c r="R942" s="95">
        <v>3.6918138041733601</v>
      </c>
      <c r="S942" s="95">
        <v>5.3344164635797497</v>
      </c>
      <c r="T942" s="95">
        <v>4.9230769230769198</v>
      </c>
      <c r="U942" s="95">
        <v>5.2434456928838999</v>
      </c>
      <c r="V942" s="95">
        <v>4.0404040404040398</v>
      </c>
      <c r="W942" s="95">
        <v>2.6011560693641602</v>
      </c>
      <c r="X942" s="95">
        <v>4.2725797728501904</v>
      </c>
      <c r="Y942" s="95">
        <v>16.363636363636399</v>
      </c>
      <c r="Z942" s="94">
        <v>17692</v>
      </c>
      <c r="AA942" s="94">
        <v>10187</v>
      </c>
      <c r="AB942" s="94">
        <v>7505</v>
      </c>
      <c r="AC942" s="94">
        <v>582</v>
      </c>
      <c r="AD942" s="94">
        <v>5246</v>
      </c>
      <c r="AE942" s="94">
        <v>10430</v>
      </c>
      <c r="AF942" s="94">
        <v>1434</v>
      </c>
      <c r="AG942" s="94">
        <v>9658</v>
      </c>
      <c r="AH942" s="94">
        <v>7897</v>
      </c>
      <c r="AI942" s="94">
        <v>137</v>
      </c>
      <c r="AJ942" s="94">
        <v>17567</v>
      </c>
      <c r="AK942" s="94">
        <v>82</v>
      </c>
      <c r="AL942" s="94">
        <v>43</v>
      </c>
      <c r="AM942" s="94">
        <v>864</v>
      </c>
      <c r="AN942" s="94">
        <v>16660</v>
      </c>
      <c r="AO942" s="94">
        <v>168</v>
      </c>
      <c r="AP942" s="95">
        <v>11.451930536492201</v>
      </c>
      <c r="AQ942" s="95">
        <v>8.1253866776654995</v>
      </c>
      <c r="AR942" s="95">
        <v>16.022099447513799</v>
      </c>
      <c r="AS942" s="95">
        <v>17.216117216117201</v>
      </c>
      <c r="AT942" s="95">
        <v>13.2233088834556</v>
      </c>
      <c r="AU942" s="95">
        <v>11.179311732743001</v>
      </c>
      <c r="AV942" s="95">
        <v>4.7619047619047601</v>
      </c>
      <c r="AW942" s="95">
        <v>9.6595235505275792</v>
      </c>
      <c r="AX942" s="95">
        <v>13.718897108271699</v>
      </c>
      <c r="AY942" s="95">
        <v>8.5271317829457391</v>
      </c>
      <c r="AZ942" s="95">
        <v>11.4196417838683</v>
      </c>
      <c r="BA942" s="95">
        <v>18.75</v>
      </c>
      <c r="BB942" s="95">
        <v>10.2564102564103</v>
      </c>
      <c r="BC942" s="95">
        <v>7.8527607361963199</v>
      </c>
      <c r="BD942" s="95">
        <v>11.6410158971436</v>
      </c>
      <c r="BE942" s="95">
        <v>11.1111111111111</v>
      </c>
    </row>
    <row r="943" spans="2:57" ht="15" customHeight="1" x14ac:dyDescent="0.25">
      <c r="B943" s="91">
        <v>933</v>
      </c>
      <c r="C943" s="92" t="s">
        <v>503</v>
      </c>
      <c r="D943" s="92" t="s">
        <v>302</v>
      </c>
      <c r="E943" s="92" t="s">
        <v>401</v>
      </c>
      <c r="F943" s="92"/>
      <c r="G943" s="93" t="s">
        <v>502</v>
      </c>
      <c r="H943" s="94">
        <v>12888</v>
      </c>
      <c r="I943" s="94">
        <v>7668</v>
      </c>
      <c r="J943" s="94">
        <v>5220</v>
      </c>
      <c r="K943" s="94">
        <v>491</v>
      </c>
      <c r="L943" s="94">
        <v>3139</v>
      </c>
      <c r="M943" s="94">
        <v>6714</v>
      </c>
      <c r="N943" s="94">
        <v>2544</v>
      </c>
      <c r="O943" s="94">
        <v>12872</v>
      </c>
      <c r="P943" s="94">
        <v>16</v>
      </c>
      <c r="Q943" s="95">
        <v>0.572186748486608</v>
      </c>
      <c r="R943" s="95">
        <v>0.35986159169550203</v>
      </c>
      <c r="S943" s="95">
        <v>0.88953247827885795</v>
      </c>
      <c r="T943" s="95">
        <v>0.952380952380952</v>
      </c>
      <c r="U943" s="95">
        <v>0.86028905712319304</v>
      </c>
      <c r="V943" s="95">
        <v>0.55187637969094905</v>
      </c>
      <c r="W943" s="95">
        <v>0.209117524048515</v>
      </c>
      <c r="X943" s="95">
        <v>0.57289936898040505</v>
      </c>
      <c r="Y943" s="95">
        <v>0</v>
      </c>
      <c r="Z943" s="94">
        <v>14254</v>
      </c>
      <c r="AA943" s="94">
        <v>7821</v>
      </c>
      <c r="AB943" s="94">
        <v>6433</v>
      </c>
      <c r="AC943" s="94">
        <v>637</v>
      </c>
      <c r="AD943" s="94">
        <v>2855</v>
      </c>
      <c r="AE943" s="94">
        <v>7414</v>
      </c>
      <c r="AF943" s="94">
        <v>3348</v>
      </c>
      <c r="AG943" s="94">
        <v>11734</v>
      </c>
      <c r="AH943" s="94">
        <v>2415</v>
      </c>
      <c r="AI943" s="94">
        <v>105</v>
      </c>
      <c r="AJ943" s="94">
        <v>14177</v>
      </c>
      <c r="AK943" s="94">
        <v>41</v>
      </c>
      <c r="AL943" s="94">
        <v>36</v>
      </c>
      <c r="AM943" s="94">
        <v>1395</v>
      </c>
      <c r="AN943" s="94">
        <v>12737</v>
      </c>
      <c r="AO943" s="94">
        <v>122</v>
      </c>
      <c r="AP943" s="95">
        <v>2.5665468944782601</v>
      </c>
      <c r="AQ943" s="95">
        <v>1.40037343291544</v>
      </c>
      <c r="AR943" s="95">
        <v>3.9908779931584899</v>
      </c>
      <c r="AS943" s="95">
        <v>2.1172638436482099</v>
      </c>
      <c r="AT943" s="95">
        <v>4.6554934823091196</v>
      </c>
      <c r="AU943" s="95">
        <v>2.5484921421492301</v>
      </c>
      <c r="AV943" s="95">
        <v>0.977099236641221</v>
      </c>
      <c r="AW943" s="95">
        <v>2.2715173025732001</v>
      </c>
      <c r="AX943" s="95">
        <v>4.0969162995594699</v>
      </c>
      <c r="AY943" s="95">
        <v>1.0309278350515501</v>
      </c>
      <c r="AZ943" s="95">
        <v>2.5658040256580401</v>
      </c>
      <c r="BA943" s="95">
        <v>5.2631578947368398</v>
      </c>
      <c r="BB943" s="95">
        <v>0</v>
      </c>
      <c r="BC943" s="95">
        <v>1.3254786450662699</v>
      </c>
      <c r="BD943" s="95">
        <v>2.7044800657624299</v>
      </c>
      <c r="BE943" s="95">
        <v>2.6315789473684199</v>
      </c>
    </row>
    <row r="944" spans="2:57" ht="15" customHeight="1" x14ac:dyDescent="0.25">
      <c r="B944" s="96">
        <v>934</v>
      </c>
      <c r="C944" s="97" t="s">
        <v>504</v>
      </c>
      <c r="D944" s="104" t="s">
        <v>302</v>
      </c>
      <c r="E944" s="104" t="s">
        <v>401</v>
      </c>
      <c r="F944" s="104" t="s">
        <v>289</v>
      </c>
      <c r="G944" s="105" t="s">
        <v>289</v>
      </c>
      <c r="H944" s="106">
        <v>12761</v>
      </c>
      <c r="I944" s="106">
        <v>7038</v>
      </c>
      <c r="J944" s="106">
        <v>5723</v>
      </c>
      <c r="K944" s="106">
        <v>528</v>
      </c>
      <c r="L944" s="106">
        <v>3627</v>
      </c>
      <c r="M944" s="106">
        <v>6982</v>
      </c>
      <c r="N944" s="106">
        <v>1624</v>
      </c>
      <c r="O944" s="106">
        <v>12705</v>
      </c>
      <c r="P944" s="106">
        <v>56</v>
      </c>
      <c r="Q944" s="107">
        <v>3.5612773783648199</v>
      </c>
      <c r="R944" s="107">
        <v>3.30715795832075</v>
      </c>
      <c r="S944" s="107">
        <v>3.8764044943820202</v>
      </c>
      <c r="T944" s="107">
        <v>3.9812646370023401</v>
      </c>
      <c r="U944" s="107">
        <v>4.8156956004756202</v>
      </c>
      <c r="V944" s="107">
        <v>3.44099003923936</v>
      </c>
      <c r="W944" s="107">
        <v>1.22977346278317</v>
      </c>
      <c r="X944" s="107">
        <v>3.50155344697288</v>
      </c>
      <c r="Y944" s="107">
        <v>16.981132075471699</v>
      </c>
      <c r="Z944" s="106">
        <v>17560</v>
      </c>
      <c r="AA944" s="106">
        <v>9255</v>
      </c>
      <c r="AB944" s="106">
        <v>8305</v>
      </c>
      <c r="AC944" s="106">
        <v>657</v>
      </c>
      <c r="AD944" s="106">
        <v>4404</v>
      </c>
      <c r="AE944" s="106">
        <v>10171</v>
      </c>
      <c r="AF944" s="106">
        <v>2328</v>
      </c>
      <c r="AG944" s="106">
        <v>10237</v>
      </c>
      <c r="AH944" s="106">
        <v>7191</v>
      </c>
      <c r="AI944" s="106">
        <v>132</v>
      </c>
      <c r="AJ944" s="106">
        <v>17435</v>
      </c>
      <c r="AK944" s="106">
        <v>83</v>
      </c>
      <c r="AL944" s="106">
        <v>42</v>
      </c>
      <c r="AM944" s="106">
        <v>1117</v>
      </c>
      <c r="AN944" s="106">
        <v>16267</v>
      </c>
      <c r="AO944" s="106">
        <v>176</v>
      </c>
      <c r="AP944" s="107">
        <v>11.223142479894401</v>
      </c>
      <c r="AQ944" s="107">
        <v>9.4172441213222804</v>
      </c>
      <c r="AR944" s="107">
        <v>13.245960045807401</v>
      </c>
      <c r="AS944" s="107">
        <v>13.1621187800963</v>
      </c>
      <c r="AT944" s="107">
        <v>15.326694194802</v>
      </c>
      <c r="AU944" s="107">
        <v>11.167355371900801</v>
      </c>
      <c r="AV944" s="107">
        <v>3.3898305084745801</v>
      </c>
      <c r="AW944" s="107">
        <v>8.7583035258048003</v>
      </c>
      <c r="AX944" s="107">
        <v>14.8312611012433</v>
      </c>
      <c r="AY944" s="107">
        <v>9.0909090909090899</v>
      </c>
      <c r="AZ944" s="107">
        <v>11.195067400108799</v>
      </c>
      <c r="BA944" s="107">
        <v>18.518518518518501</v>
      </c>
      <c r="BB944" s="107">
        <v>7.8947368421052602</v>
      </c>
      <c r="BC944" s="107">
        <v>5.7674418604651203</v>
      </c>
      <c r="BD944" s="107">
        <v>11.6087632875292</v>
      </c>
      <c r="BE944" s="107">
        <v>10.6918238993711</v>
      </c>
    </row>
    <row r="945" spans="2:57" ht="15" customHeight="1" x14ac:dyDescent="0.25">
      <c r="B945" s="91">
        <v>935</v>
      </c>
      <c r="C945" s="92" t="s">
        <v>504</v>
      </c>
      <c r="D945" s="92" t="s">
        <v>302</v>
      </c>
      <c r="E945" s="92" t="s">
        <v>401</v>
      </c>
      <c r="F945" s="92" t="s">
        <v>289</v>
      </c>
      <c r="G945" s="101" t="s">
        <v>501</v>
      </c>
      <c r="H945" s="94">
        <v>7425</v>
      </c>
      <c r="I945" s="94">
        <v>3872</v>
      </c>
      <c r="J945" s="94">
        <v>3553</v>
      </c>
      <c r="K945" s="94">
        <v>308</v>
      </c>
      <c r="L945" s="94">
        <v>2183</v>
      </c>
      <c r="M945" s="94">
        <v>4250</v>
      </c>
      <c r="N945" s="94">
        <v>684</v>
      </c>
      <c r="O945" s="94">
        <v>7374</v>
      </c>
      <c r="P945" s="94">
        <v>51</v>
      </c>
      <c r="Q945" s="95">
        <v>5.7309090909090896</v>
      </c>
      <c r="R945" s="95">
        <v>5.6802438348572997</v>
      </c>
      <c r="S945" s="95">
        <v>5.7868952847519903</v>
      </c>
      <c r="T945" s="95">
        <v>6.8965517241379297</v>
      </c>
      <c r="U945" s="95">
        <v>7.5917546505781797</v>
      </c>
      <c r="V945" s="95">
        <v>5.2054794520547896</v>
      </c>
      <c r="W945" s="95">
        <v>2.8169014084507</v>
      </c>
      <c r="X945" s="95">
        <v>5.6401992382068604</v>
      </c>
      <c r="Y945" s="95">
        <v>18.367346938775501</v>
      </c>
      <c r="Z945" s="94">
        <v>12103</v>
      </c>
      <c r="AA945" s="94">
        <v>6184</v>
      </c>
      <c r="AB945" s="94">
        <v>5919</v>
      </c>
      <c r="AC945" s="94">
        <v>392</v>
      </c>
      <c r="AD945" s="94">
        <v>3241</v>
      </c>
      <c r="AE945" s="94">
        <v>7264</v>
      </c>
      <c r="AF945" s="94">
        <v>1206</v>
      </c>
      <c r="AG945" s="94">
        <v>5864</v>
      </c>
      <c r="AH945" s="94">
        <v>6140</v>
      </c>
      <c r="AI945" s="94">
        <v>99</v>
      </c>
      <c r="AJ945" s="94">
        <v>12006</v>
      </c>
      <c r="AK945" s="94">
        <v>70</v>
      </c>
      <c r="AL945" s="94">
        <v>27</v>
      </c>
      <c r="AM945" s="94">
        <v>611</v>
      </c>
      <c r="AN945" s="94">
        <v>11366</v>
      </c>
      <c r="AO945" s="94">
        <v>126</v>
      </c>
      <c r="AP945" s="95">
        <v>14.989948431081199</v>
      </c>
      <c r="AQ945" s="95">
        <v>13.072453861927499</v>
      </c>
      <c r="AR945" s="95">
        <v>16.997674002504901</v>
      </c>
      <c r="AS945" s="95">
        <v>19.729729729729701</v>
      </c>
      <c r="AT945" s="95">
        <v>18.978102189781001</v>
      </c>
      <c r="AU945" s="95">
        <v>14.6415640839971</v>
      </c>
      <c r="AV945" s="95">
        <v>5.1215277777777803</v>
      </c>
      <c r="AW945" s="95">
        <v>13.604588635956301</v>
      </c>
      <c r="AX945" s="95">
        <v>16.395147313691499</v>
      </c>
      <c r="AY945" s="95">
        <v>10.869565217391299</v>
      </c>
      <c r="AZ945" s="95">
        <v>14.9616706317737</v>
      </c>
      <c r="BA945" s="95">
        <v>20.289855072463801</v>
      </c>
      <c r="BB945" s="95">
        <v>13.0434782608696</v>
      </c>
      <c r="BC945" s="95">
        <v>9.4827586206896495</v>
      </c>
      <c r="BD945" s="95">
        <v>15.285142803981801</v>
      </c>
      <c r="BE945" s="95">
        <v>15.1785714285714</v>
      </c>
    </row>
    <row r="946" spans="2:57" ht="15" customHeight="1" x14ac:dyDescent="0.25">
      <c r="B946" s="91">
        <v>936</v>
      </c>
      <c r="C946" s="92" t="s">
        <v>504</v>
      </c>
      <c r="D946" s="92" t="s">
        <v>302</v>
      </c>
      <c r="E946" s="92" t="s">
        <v>401</v>
      </c>
      <c r="F946" s="92" t="s">
        <v>289</v>
      </c>
      <c r="G946" s="101" t="s">
        <v>502</v>
      </c>
      <c r="H946" s="94">
        <v>5336</v>
      </c>
      <c r="I946" s="94">
        <v>3166</v>
      </c>
      <c r="J946" s="94">
        <v>2170</v>
      </c>
      <c r="K946" s="94">
        <v>220</v>
      </c>
      <c r="L946" s="94">
        <v>1444</v>
      </c>
      <c r="M946" s="94">
        <v>2732</v>
      </c>
      <c r="N946" s="94">
        <v>940</v>
      </c>
      <c r="O946" s="94">
        <v>5331</v>
      </c>
      <c r="P946" s="94">
        <v>5</v>
      </c>
      <c r="Q946" s="95">
        <v>0.62905445252604697</v>
      </c>
      <c r="R946" s="95">
        <v>0.46465316959840702</v>
      </c>
      <c r="S946" s="95">
        <v>0.86788813886210203</v>
      </c>
      <c r="T946" s="95">
        <v>0.512820512820513</v>
      </c>
      <c r="U946" s="95">
        <v>0.8</v>
      </c>
      <c r="V946" s="95">
        <v>0.72769054002297995</v>
      </c>
      <c r="W946" s="95">
        <v>0.11037527593819001</v>
      </c>
      <c r="X946" s="95">
        <v>0.62954947865433797</v>
      </c>
      <c r="Y946" s="95">
        <v>0</v>
      </c>
      <c r="Z946" s="94">
        <v>5457</v>
      </c>
      <c r="AA946" s="94">
        <v>3071</v>
      </c>
      <c r="AB946" s="94">
        <v>2386</v>
      </c>
      <c r="AC946" s="94">
        <v>265</v>
      </c>
      <c r="AD946" s="94">
        <v>1163</v>
      </c>
      <c r="AE946" s="94">
        <v>2907</v>
      </c>
      <c r="AF946" s="94">
        <v>1122</v>
      </c>
      <c r="AG946" s="94">
        <v>4373</v>
      </c>
      <c r="AH946" s="94">
        <v>1051</v>
      </c>
      <c r="AI946" s="94">
        <v>33</v>
      </c>
      <c r="AJ946" s="94">
        <v>5429</v>
      </c>
      <c r="AK946" s="94">
        <v>13</v>
      </c>
      <c r="AL946" s="94">
        <v>15</v>
      </c>
      <c r="AM946" s="94">
        <v>506</v>
      </c>
      <c r="AN946" s="94">
        <v>4901</v>
      </c>
      <c r="AO946" s="94">
        <v>50</v>
      </c>
      <c r="AP946" s="95">
        <v>2.9687799272170099</v>
      </c>
      <c r="AQ946" s="95">
        <v>2.1687563537783801</v>
      </c>
      <c r="AR946" s="95">
        <v>4.0088105726872296</v>
      </c>
      <c r="AS946" s="95">
        <v>3.5573122529644299</v>
      </c>
      <c r="AT946" s="95">
        <v>5.3490480507706302</v>
      </c>
      <c r="AU946" s="95">
        <v>2.5225225225225198</v>
      </c>
      <c r="AV946" s="95">
        <v>1.55963302752294</v>
      </c>
      <c r="AW946" s="95">
        <v>2.3300047551117502</v>
      </c>
      <c r="AX946" s="95">
        <v>5.67951318458418</v>
      </c>
      <c r="AY946" s="95">
        <v>3.4482758620689702</v>
      </c>
      <c r="AZ946" s="95">
        <v>2.9649595687331498</v>
      </c>
      <c r="BA946" s="95">
        <v>8.3333333333333304</v>
      </c>
      <c r="BB946" s="95">
        <v>0</v>
      </c>
      <c r="BC946" s="95">
        <v>1.4141414141414099</v>
      </c>
      <c r="BD946" s="95">
        <v>3.1630690318444099</v>
      </c>
      <c r="BE946" s="95">
        <v>0</v>
      </c>
    </row>
    <row r="947" spans="2:57" ht="15" customHeight="1" x14ac:dyDescent="0.25">
      <c r="B947" s="96">
        <v>937</v>
      </c>
      <c r="C947" s="97" t="s">
        <v>504</v>
      </c>
      <c r="D947" s="104" t="s">
        <v>302</v>
      </c>
      <c r="E947" s="104" t="s">
        <v>401</v>
      </c>
      <c r="F947" s="104" t="s">
        <v>130</v>
      </c>
      <c r="G947" s="105" t="s">
        <v>130</v>
      </c>
      <c r="H947" s="106">
        <v>3998</v>
      </c>
      <c r="I947" s="106">
        <v>2361</v>
      </c>
      <c r="J947" s="106">
        <v>1637</v>
      </c>
      <c r="K947" s="106">
        <v>124</v>
      </c>
      <c r="L947" s="106">
        <v>871</v>
      </c>
      <c r="M947" s="106">
        <v>2050</v>
      </c>
      <c r="N947" s="106">
        <v>953</v>
      </c>
      <c r="O947" s="106">
        <v>3997</v>
      </c>
      <c r="P947" s="106">
        <v>1</v>
      </c>
      <c r="Q947" s="107">
        <v>0.71656050955413997</v>
      </c>
      <c r="R947" s="107">
        <v>0.48932384341636997</v>
      </c>
      <c r="S947" s="107">
        <v>1.0526315789473699</v>
      </c>
      <c r="T947" s="107">
        <v>1.9607843137254899</v>
      </c>
      <c r="U947" s="107">
        <v>1.1278195488721801</v>
      </c>
      <c r="V947" s="107">
        <v>0.61224489795918402</v>
      </c>
      <c r="W947" s="107">
        <v>0.44052863436123402</v>
      </c>
      <c r="X947" s="107">
        <v>0.716750730023892</v>
      </c>
      <c r="Y947" s="107">
        <v>0</v>
      </c>
      <c r="Z947" s="106">
        <v>4252</v>
      </c>
      <c r="AA947" s="106">
        <v>2305</v>
      </c>
      <c r="AB947" s="106">
        <v>1947</v>
      </c>
      <c r="AC947" s="106">
        <v>151</v>
      </c>
      <c r="AD947" s="106">
        <v>767</v>
      </c>
      <c r="AE947" s="106">
        <v>2139</v>
      </c>
      <c r="AF947" s="106">
        <v>1195</v>
      </c>
      <c r="AG947" s="106">
        <v>3472</v>
      </c>
      <c r="AH947" s="106">
        <v>758</v>
      </c>
      <c r="AI947" s="106">
        <v>22</v>
      </c>
      <c r="AJ947" s="106">
        <v>4232</v>
      </c>
      <c r="AK947" s="106">
        <v>8</v>
      </c>
      <c r="AL947" s="106">
        <v>12</v>
      </c>
      <c r="AM947" s="106">
        <v>434</v>
      </c>
      <c r="AN947" s="106">
        <v>3777</v>
      </c>
      <c r="AO947" s="106">
        <v>41</v>
      </c>
      <c r="AP947" s="107">
        <v>2.58493353028065</v>
      </c>
      <c r="AQ947" s="107">
        <v>1.49118843199277</v>
      </c>
      <c r="AR947" s="107">
        <v>3.8939967550026999</v>
      </c>
      <c r="AS947" s="107">
        <v>2.0547945205479401</v>
      </c>
      <c r="AT947" s="107">
        <v>5.1246537396121896</v>
      </c>
      <c r="AU947" s="107">
        <v>2.8162055335968401</v>
      </c>
      <c r="AV947" s="107">
        <v>0.683760683760684</v>
      </c>
      <c r="AW947" s="107">
        <v>2.4902490249024898</v>
      </c>
      <c r="AX947" s="107">
        <v>3.0985915492957701</v>
      </c>
      <c r="AY947" s="107">
        <v>0</v>
      </c>
      <c r="AZ947" s="107">
        <v>2.57298367144978</v>
      </c>
      <c r="BA947" s="107">
        <v>12.5</v>
      </c>
      <c r="BB947" s="107">
        <v>0</v>
      </c>
      <c r="BC947" s="107">
        <v>1.6548463356973999</v>
      </c>
      <c r="BD947" s="107">
        <v>2.6936961955012499</v>
      </c>
      <c r="BE947" s="107">
        <v>2.6315789473684199</v>
      </c>
    </row>
    <row r="948" spans="2:57" ht="15" customHeight="1" x14ac:dyDescent="0.25">
      <c r="B948" s="91">
        <v>938</v>
      </c>
      <c r="C948" s="92" t="s">
        <v>504</v>
      </c>
      <c r="D948" s="92" t="s">
        <v>302</v>
      </c>
      <c r="E948" s="92" t="s">
        <v>401</v>
      </c>
      <c r="F948" s="92" t="s">
        <v>130</v>
      </c>
      <c r="G948" s="101" t="s">
        <v>501</v>
      </c>
      <c r="H948" s="94">
        <v>0</v>
      </c>
      <c r="I948" s="94">
        <v>0</v>
      </c>
      <c r="J948" s="94">
        <v>0</v>
      </c>
      <c r="K948" s="94">
        <v>0</v>
      </c>
      <c r="L948" s="94">
        <v>0</v>
      </c>
      <c r="M948" s="94">
        <v>0</v>
      </c>
      <c r="N948" s="94">
        <v>0</v>
      </c>
      <c r="O948" s="94">
        <v>0</v>
      </c>
      <c r="P948" s="94">
        <v>0</v>
      </c>
      <c r="Q948" s="95">
        <v>0</v>
      </c>
      <c r="R948" s="95">
        <v>0</v>
      </c>
      <c r="S948" s="95">
        <v>0</v>
      </c>
      <c r="T948" s="95">
        <v>0</v>
      </c>
      <c r="U948" s="95">
        <v>0</v>
      </c>
      <c r="V948" s="95">
        <v>0</v>
      </c>
      <c r="W948" s="95">
        <v>0</v>
      </c>
      <c r="X948" s="95">
        <v>0</v>
      </c>
      <c r="Y948" s="95">
        <v>0</v>
      </c>
      <c r="Z948" s="94">
        <v>0</v>
      </c>
      <c r="AA948" s="94">
        <v>0</v>
      </c>
      <c r="AB948" s="94">
        <v>0</v>
      </c>
      <c r="AC948" s="94">
        <v>0</v>
      </c>
      <c r="AD948" s="94">
        <v>0</v>
      </c>
      <c r="AE948" s="94">
        <v>0</v>
      </c>
      <c r="AF948" s="94">
        <v>0</v>
      </c>
      <c r="AG948" s="94">
        <v>0</v>
      </c>
      <c r="AH948" s="94">
        <v>0</v>
      </c>
      <c r="AI948" s="94">
        <v>0</v>
      </c>
      <c r="AJ948" s="94">
        <v>0</v>
      </c>
      <c r="AK948" s="94">
        <v>0</v>
      </c>
      <c r="AL948" s="94">
        <v>0</v>
      </c>
      <c r="AM948" s="94">
        <v>0</v>
      </c>
      <c r="AN948" s="94">
        <v>0</v>
      </c>
      <c r="AO948" s="94">
        <v>0</v>
      </c>
      <c r="AP948" s="95">
        <v>0</v>
      </c>
      <c r="AQ948" s="95">
        <v>0</v>
      </c>
      <c r="AR948" s="95">
        <v>0</v>
      </c>
      <c r="AS948" s="95">
        <v>0</v>
      </c>
      <c r="AT948" s="95">
        <v>0</v>
      </c>
      <c r="AU948" s="95">
        <v>0</v>
      </c>
      <c r="AV948" s="95">
        <v>0</v>
      </c>
      <c r="AW948" s="95">
        <v>0</v>
      </c>
      <c r="AX948" s="95">
        <v>0</v>
      </c>
      <c r="AY948" s="95">
        <v>0</v>
      </c>
      <c r="AZ948" s="95">
        <v>0</v>
      </c>
      <c r="BA948" s="95">
        <v>0</v>
      </c>
      <c r="BB948" s="95">
        <v>0</v>
      </c>
      <c r="BC948" s="95">
        <v>0</v>
      </c>
      <c r="BD948" s="95">
        <v>0</v>
      </c>
      <c r="BE948" s="95">
        <v>0</v>
      </c>
    </row>
    <row r="949" spans="2:57" ht="15" customHeight="1" x14ac:dyDescent="0.25">
      <c r="B949" s="91">
        <v>939</v>
      </c>
      <c r="C949" s="92" t="s">
        <v>504</v>
      </c>
      <c r="D949" s="92" t="s">
        <v>302</v>
      </c>
      <c r="E949" s="92" t="s">
        <v>401</v>
      </c>
      <c r="F949" s="92" t="s">
        <v>130</v>
      </c>
      <c r="G949" s="101" t="s">
        <v>502</v>
      </c>
      <c r="H949" s="94">
        <v>3998</v>
      </c>
      <c r="I949" s="94">
        <v>2361</v>
      </c>
      <c r="J949" s="94">
        <v>1637</v>
      </c>
      <c r="K949" s="94">
        <v>124</v>
      </c>
      <c r="L949" s="94">
        <v>871</v>
      </c>
      <c r="M949" s="94">
        <v>2050</v>
      </c>
      <c r="N949" s="94">
        <v>953</v>
      </c>
      <c r="O949" s="94">
        <v>3997</v>
      </c>
      <c r="P949" s="94">
        <v>1</v>
      </c>
      <c r="Q949" s="95">
        <v>0.71656050955413997</v>
      </c>
      <c r="R949" s="95">
        <v>0.48932384341636997</v>
      </c>
      <c r="S949" s="95">
        <v>1.0526315789473699</v>
      </c>
      <c r="T949" s="95">
        <v>1.9607843137254899</v>
      </c>
      <c r="U949" s="95">
        <v>1.1278195488721801</v>
      </c>
      <c r="V949" s="95">
        <v>0.61224489795918402</v>
      </c>
      <c r="W949" s="95">
        <v>0.44052863436123402</v>
      </c>
      <c r="X949" s="95">
        <v>0.716750730023892</v>
      </c>
      <c r="Y949" s="95">
        <v>0</v>
      </c>
      <c r="Z949" s="94">
        <v>4252</v>
      </c>
      <c r="AA949" s="94">
        <v>2305</v>
      </c>
      <c r="AB949" s="94">
        <v>1947</v>
      </c>
      <c r="AC949" s="94">
        <v>151</v>
      </c>
      <c r="AD949" s="94">
        <v>767</v>
      </c>
      <c r="AE949" s="94">
        <v>2139</v>
      </c>
      <c r="AF949" s="94">
        <v>1195</v>
      </c>
      <c r="AG949" s="94">
        <v>3472</v>
      </c>
      <c r="AH949" s="94">
        <v>758</v>
      </c>
      <c r="AI949" s="94">
        <v>22</v>
      </c>
      <c r="AJ949" s="94">
        <v>4232</v>
      </c>
      <c r="AK949" s="94">
        <v>8</v>
      </c>
      <c r="AL949" s="94">
        <v>12</v>
      </c>
      <c r="AM949" s="94">
        <v>434</v>
      </c>
      <c r="AN949" s="94">
        <v>3777</v>
      </c>
      <c r="AO949" s="94">
        <v>41</v>
      </c>
      <c r="AP949" s="95">
        <v>2.58493353028065</v>
      </c>
      <c r="AQ949" s="95">
        <v>1.49118843199277</v>
      </c>
      <c r="AR949" s="95">
        <v>3.8939967550026999</v>
      </c>
      <c r="AS949" s="95">
        <v>2.0547945205479401</v>
      </c>
      <c r="AT949" s="95">
        <v>5.1246537396121896</v>
      </c>
      <c r="AU949" s="95">
        <v>2.8162055335968401</v>
      </c>
      <c r="AV949" s="95">
        <v>0.683760683760684</v>
      </c>
      <c r="AW949" s="95">
        <v>2.4902490249024898</v>
      </c>
      <c r="AX949" s="95">
        <v>3.0985915492957701</v>
      </c>
      <c r="AY949" s="95">
        <v>0</v>
      </c>
      <c r="AZ949" s="95">
        <v>2.57298367144978</v>
      </c>
      <c r="BA949" s="95">
        <v>12.5</v>
      </c>
      <c r="BB949" s="95">
        <v>0</v>
      </c>
      <c r="BC949" s="95">
        <v>1.6548463356973999</v>
      </c>
      <c r="BD949" s="95">
        <v>2.6936961955012499</v>
      </c>
      <c r="BE949" s="95">
        <v>2.6315789473684199</v>
      </c>
    </row>
    <row r="950" spans="2:57" ht="15" customHeight="1" x14ac:dyDescent="0.25">
      <c r="B950" s="96">
        <v>940</v>
      </c>
      <c r="C950" s="97" t="s">
        <v>504</v>
      </c>
      <c r="D950" s="104" t="s">
        <v>302</v>
      </c>
      <c r="E950" s="104" t="s">
        <v>401</v>
      </c>
      <c r="F950" s="104" t="s">
        <v>166</v>
      </c>
      <c r="G950" s="105" t="s">
        <v>166</v>
      </c>
      <c r="H950" s="106">
        <v>3718</v>
      </c>
      <c r="I950" s="106">
        <v>2814</v>
      </c>
      <c r="J950" s="106">
        <v>904</v>
      </c>
      <c r="K950" s="106">
        <v>160</v>
      </c>
      <c r="L950" s="106">
        <v>1279</v>
      </c>
      <c r="M950" s="106">
        <v>2007</v>
      </c>
      <c r="N950" s="106">
        <v>272</v>
      </c>
      <c r="O950" s="106">
        <v>3705</v>
      </c>
      <c r="P950" s="106">
        <v>13</v>
      </c>
      <c r="Q950" s="107">
        <v>0.44247787610619499</v>
      </c>
      <c r="R950" s="107">
        <v>7.4404761904761904E-2</v>
      </c>
      <c r="S950" s="107">
        <v>1.8518518518518501</v>
      </c>
      <c r="T950" s="107">
        <v>0</v>
      </c>
      <c r="U950" s="107">
        <v>0.59071729957805896</v>
      </c>
      <c r="V950" s="107">
        <v>0.43266630611141199</v>
      </c>
      <c r="W950" s="107">
        <v>0</v>
      </c>
      <c r="X950" s="107">
        <v>0.444181225940184</v>
      </c>
      <c r="Y950" s="107">
        <v>0</v>
      </c>
      <c r="Z950" s="106">
        <v>7070</v>
      </c>
      <c r="AA950" s="106">
        <v>4830</v>
      </c>
      <c r="AB950" s="106">
        <v>2240</v>
      </c>
      <c r="AC950" s="106">
        <v>245</v>
      </c>
      <c r="AD950" s="106">
        <v>2295</v>
      </c>
      <c r="AE950" s="106">
        <v>4015</v>
      </c>
      <c r="AF950" s="106">
        <v>515</v>
      </c>
      <c r="AG950" s="106">
        <v>4892</v>
      </c>
      <c r="AH950" s="106">
        <v>2106</v>
      </c>
      <c r="AI950" s="106">
        <v>72</v>
      </c>
      <c r="AJ950" s="106">
        <v>7032</v>
      </c>
      <c r="AK950" s="106">
        <v>18</v>
      </c>
      <c r="AL950" s="106">
        <v>20</v>
      </c>
      <c r="AM950" s="106">
        <v>409</v>
      </c>
      <c r="AN950" s="106">
        <v>6611</v>
      </c>
      <c r="AO950" s="106">
        <v>50</v>
      </c>
      <c r="AP950" s="107">
        <v>3.4646840148698899</v>
      </c>
      <c r="AQ950" s="107">
        <v>0.53937432578209299</v>
      </c>
      <c r="AR950" s="107">
        <v>9.9521531100478509</v>
      </c>
      <c r="AS950" s="107">
        <v>9.1703056768559001</v>
      </c>
      <c r="AT950" s="107">
        <v>3.89069013432144</v>
      </c>
      <c r="AU950" s="107">
        <v>3.0697190426638898</v>
      </c>
      <c r="AV950" s="107">
        <v>2.0283975659229201</v>
      </c>
      <c r="AW950" s="107">
        <v>3.2618025751072999</v>
      </c>
      <c r="AX950" s="107">
        <v>4.0100250626566396</v>
      </c>
      <c r="AY950" s="107">
        <v>1.4285714285714299</v>
      </c>
      <c r="AZ950" s="107">
        <v>3.45343100612947</v>
      </c>
      <c r="BA950" s="107">
        <v>6.25</v>
      </c>
      <c r="BB950" s="107">
        <v>5</v>
      </c>
      <c r="BC950" s="107">
        <v>2.6246719160105001</v>
      </c>
      <c r="BD950" s="107">
        <v>3.5101651842439598</v>
      </c>
      <c r="BE950" s="107">
        <v>4.1666666666666696</v>
      </c>
    </row>
    <row r="951" spans="2:57" ht="15" customHeight="1" x14ac:dyDescent="0.25">
      <c r="B951" s="91">
        <v>941</v>
      </c>
      <c r="C951" s="92" t="s">
        <v>504</v>
      </c>
      <c r="D951" s="92" t="s">
        <v>302</v>
      </c>
      <c r="E951" s="92" t="s">
        <v>401</v>
      </c>
      <c r="F951" s="92" t="s">
        <v>166</v>
      </c>
      <c r="G951" s="101" t="s">
        <v>501</v>
      </c>
      <c r="H951" s="94">
        <v>2554</v>
      </c>
      <c r="I951" s="94">
        <v>2047</v>
      </c>
      <c r="J951" s="94">
        <v>507</v>
      </c>
      <c r="K951" s="94">
        <v>108</v>
      </c>
      <c r="L951" s="94">
        <v>991</v>
      </c>
      <c r="M951" s="94">
        <v>1398</v>
      </c>
      <c r="N951" s="94">
        <v>57</v>
      </c>
      <c r="O951" s="94">
        <v>2548</v>
      </c>
      <c r="P951" s="94">
        <v>6</v>
      </c>
      <c r="Q951" s="95">
        <v>0.41237113402061898</v>
      </c>
      <c r="R951" s="95">
        <v>0.1001001001001</v>
      </c>
      <c r="S951" s="95">
        <v>1.87353629976581</v>
      </c>
      <c r="T951" s="95">
        <v>0</v>
      </c>
      <c r="U951" s="95">
        <v>0.316455696202532</v>
      </c>
      <c r="V951" s="95">
        <v>0.52592036063110403</v>
      </c>
      <c r="W951" s="95">
        <v>0</v>
      </c>
      <c r="X951" s="95">
        <v>0.41339396444811899</v>
      </c>
      <c r="Y951" s="95">
        <v>0</v>
      </c>
      <c r="Z951" s="94">
        <v>5589</v>
      </c>
      <c r="AA951" s="94">
        <v>4003</v>
      </c>
      <c r="AB951" s="94">
        <v>1586</v>
      </c>
      <c r="AC951" s="94">
        <v>190</v>
      </c>
      <c r="AD951" s="94">
        <v>2005</v>
      </c>
      <c r="AE951" s="94">
        <v>3166</v>
      </c>
      <c r="AF951" s="94">
        <v>228</v>
      </c>
      <c r="AG951" s="94">
        <v>3794</v>
      </c>
      <c r="AH951" s="94">
        <v>1757</v>
      </c>
      <c r="AI951" s="94">
        <v>38</v>
      </c>
      <c r="AJ951" s="94">
        <v>5561</v>
      </c>
      <c r="AK951" s="94">
        <v>12</v>
      </c>
      <c r="AL951" s="94">
        <v>16</v>
      </c>
      <c r="AM951" s="94">
        <v>253</v>
      </c>
      <c r="AN951" s="94">
        <v>5294</v>
      </c>
      <c r="AO951" s="94">
        <v>42</v>
      </c>
      <c r="AP951" s="95">
        <v>3.8374717832957099</v>
      </c>
      <c r="AQ951" s="95">
        <v>0.59802392095683798</v>
      </c>
      <c r="AR951" s="95">
        <v>12.312925170068</v>
      </c>
      <c r="AS951" s="95">
        <v>11.931818181818199</v>
      </c>
      <c r="AT951" s="95">
        <v>4.0654699049630398</v>
      </c>
      <c r="AU951" s="95">
        <v>3.29706561160567</v>
      </c>
      <c r="AV951" s="95">
        <v>2.8169014084507</v>
      </c>
      <c r="AW951" s="95">
        <v>3.5694521306032101</v>
      </c>
      <c r="AX951" s="95">
        <v>4.4444444444444402</v>
      </c>
      <c r="AY951" s="95">
        <v>2.7027027027027</v>
      </c>
      <c r="AZ951" s="95">
        <v>3.8192474948005302</v>
      </c>
      <c r="BA951" s="95">
        <v>9.0909090909090899</v>
      </c>
      <c r="BB951" s="95">
        <v>6.25</v>
      </c>
      <c r="BC951" s="95">
        <v>3.8297872340425498</v>
      </c>
      <c r="BD951" s="95">
        <v>3.86904761904762</v>
      </c>
      <c r="BE951" s="95">
        <v>0</v>
      </c>
    </row>
    <row r="952" spans="2:57" ht="15" customHeight="1" x14ac:dyDescent="0.25">
      <c r="B952" s="91">
        <v>942</v>
      </c>
      <c r="C952" s="92" t="s">
        <v>504</v>
      </c>
      <c r="D952" s="92" t="s">
        <v>302</v>
      </c>
      <c r="E952" s="92" t="s">
        <v>401</v>
      </c>
      <c r="F952" s="92" t="s">
        <v>166</v>
      </c>
      <c r="G952" s="101" t="s">
        <v>502</v>
      </c>
      <c r="H952" s="94">
        <v>1164</v>
      </c>
      <c r="I952" s="94">
        <v>767</v>
      </c>
      <c r="J952" s="94">
        <v>397</v>
      </c>
      <c r="K952" s="94">
        <v>52</v>
      </c>
      <c r="L952" s="94">
        <v>288</v>
      </c>
      <c r="M952" s="94">
        <v>609</v>
      </c>
      <c r="N952" s="94">
        <v>215</v>
      </c>
      <c r="O952" s="94">
        <v>1157</v>
      </c>
      <c r="P952" s="94">
        <v>7</v>
      </c>
      <c r="Q952" s="95">
        <v>0.51813471502590702</v>
      </c>
      <c r="R952" s="95">
        <v>0</v>
      </c>
      <c r="S952" s="95">
        <v>1.8181818181818199</v>
      </c>
      <c r="T952" s="95">
        <v>0</v>
      </c>
      <c r="U952" s="95">
        <v>1.6877637130801699</v>
      </c>
      <c r="V952" s="95">
        <v>0.193050193050193</v>
      </c>
      <c r="W952" s="95">
        <v>0</v>
      </c>
      <c r="X952" s="95">
        <v>0.52192066805845505</v>
      </c>
      <c r="Y952" s="95">
        <v>0</v>
      </c>
      <c r="Z952" s="94">
        <v>1481</v>
      </c>
      <c r="AA952" s="94">
        <v>827</v>
      </c>
      <c r="AB952" s="94">
        <v>654</v>
      </c>
      <c r="AC952" s="94">
        <v>55</v>
      </c>
      <c r="AD952" s="94">
        <v>290</v>
      </c>
      <c r="AE952" s="94">
        <v>849</v>
      </c>
      <c r="AF952" s="94">
        <v>287</v>
      </c>
      <c r="AG952" s="94">
        <v>1098</v>
      </c>
      <c r="AH952" s="94">
        <v>349</v>
      </c>
      <c r="AI952" s="94">
        <v>34</v>
      </c>
      <c r="AJ952" s="94">
        <v>1471</v>
      </c>
      <c r="AK952" s="94">
        <v>6</v>
      </c>
      <c r="AL952" s="94">
        <v>4</v>
      </c>
      <c r="AM952" s="94">
        <v>156</v>
      </c>
      <c r="AN952" s="94">
        <v>1317</v>
      </c>
      <c r="AO952" s="94">
        <v>8</v>
      </c>
      <c r="AP952" s="95">
        <v>2.0581973030518101</v>
      </c>
      <c r="AQ952" s="95">
        <v>0.25348542458808598</v>
      </c>
      <c r="AR952" s="95">
        <v>4.3548387096774199</v>
      </c>
      <c r="AS952" s="95">
        <v>0</v>
      </c>
      <c r="AT952" s="95">
        <v>2.64150943396226</v>
      </c>
      <c r="AU952" s="95">
        <v>2.2194821208384701</v>
      </c>
      <c r="AV952" s="95">
        <v>1.4285714285714299</v>
      </c>
      <c r="AW952" s="95">
        <v>2.1988527724665401</v>
      </c>
      <c r="AX952" s="95">
        <v>1.8181818181818199</v>
      </c>
      <c r="AY952" s="95">
        <v>0</v>
      </c>
      <c r="AZ952" s="95">
        <v>2.0714285714285698</v>
      </c>
      <c r="BA952" s="95">
        <v>0</v>
      </c>
      <c r="BB952" s="95">
        <v>0</v>
      </c>
      <c r="BC952" s="95">
        <v>0.68493150684931503</v>
      </c>
      <c r="BD952" s="95">
        <v>2.0700636942675201</v>
      </c>
      <c r="BE952" s="95">
        <v>28.571428571428601</v>
      </c>
    </row>
    <row r="953" spans="2:57" ht="15" customHeight="1" x14ac:dyDescent="0.25">
      <c r="B953" s="96">
        <v>943</v>
      </c>
      <c r="C953" s="97" t="s">
        <v>504</v>
      </c>
      <c r="D953" s="104" t="s">
        <v>302</v>
      </c>
      <c r="E953" s="104" t="s">
        <v>401</v>
      </c>
      <c r="F953" s="104" t="s">
        <v>402</v>
      </c>
      <c r="G953" s="105" t="s">
        <v>402</v>
      </c>
      <c r="H953" s="106">
        <v>2390</v>
      </c>
      <c r="I953" s="106">
        <v>1374</v>
      </c>
      <c r="J953" s="106">
        <v>1016</v>
      </c>
      <c r="K953" s="106">
        <v>95</v>
      </c>
      <c r="L953" s="106">
        <v>536</v>
      </c>
      <c r="M953" s="106">
        <v>1323</v>
      </c>
      <c r="N953" s="106">
        <v>436</v>
      </c>
      <c r="O953" s="106">
        <v>2387</v>
      </c>
      <c r="P953" s="106">
        <v>3</v>
      </c>
      <c r="Q953" s="107">
        <v>0.223313979455114</v>
      </c>
      <c r="R953" s="107">
        <v>7.8492935635792793E-2</v>
      </c>
      <c r="S953" s="107">
        <v>0.41450777202072497</v>
      </c>
      <c r="T953" s="107">
        <v>1.2345679012345701</v>
      </c>
      <c r="U953" s="107">
        <v>0.20161290322580599</v>
      </c>
      <c r="V953" s="107">
        <v>0.23942537909018399</v>
      </c>
      <c r="W953" s="107">
        <v>0</v>
      </c>
      <c r="X953" s="107">
        <v>0.22361359570661901</v>
      </c>
      <c r="Y953" s="107">
        <v>0</v>
      </c>
      <c r="Z953" s="106">
        <v>3064</v>
      </c>
      <c r="AA953" s="106">
        <v>1618</v>
      </c>
      <c r="AB953" s="106">
        <v>1446</v>
      </c>
      <c r="AC953" s="106">
        <v>166</v>
      </c>
      <c r="AD953" s="106">
        <v>635</v>
      </c>
      <c r="AE953" s="106">
        <v>1519</v>
      </c>
      <c r="AF953" s="106">
        <v>744</v>
      </c>
      <c r="AG953" s="106">
        <v>2791</v>
      </c>
      <c r="AH953" s="106">
        <v>257</v>
      </c>
      <c r="AI953" s="106">
        <v>16</v>
      </c>
      <c r="AJ953" s="106">
        <v>3045</v>
      </c>
      <c r="AK953" s="106">
        <v>14</v>
      </c>
      <c r="AL953" s="106">
        <v>5</v>
      </c>
      <c r="AM953" s="106">
        <v>299</v>
      </c>
      <c r="AN953" s="106">
        <v>2742</v>
      </c>
      <c r="AO953" s="106">
        <v>23</v>
      </c>
      <c r="AP953" s="107">
        <v>2.0713073005093401</v>
      </c>
      <c r="AQ953" s="107">
        <v>0.38834951456310701</v>
      </c>
      <c r="AR953" s="107">
        <v>3.9285714285714302</v>
      </c>
      <c r="AS953" s="107">
        <v>0.61728395061728403</v>
      </c>
      <c r="AT953" s="107">
        <v>3.6974789915966402</v>
      </c>
      <c r="AU953" s="107">
        <v>2.4088093599449398</v>
      </c>
      <c r="AV953" s="107">
        <v>0.40816326530612201</v>
      </c>
      <c r="AW953" s="107">
        <v>1.9366852886406001</v>
      </c>
      <c r="AX953" s="107">
        <v>3.6885245901639299</v>
      </c>
      <c r="AY953" s="107">
        <v>0</v>
      </c>
      <c r="AZ953" s="107">
        <v>2.0840450973693199</v>
      </c>
      <c r="BA953" s="107">
        <v>0</v>
      </c>
      <c r="BB953" s="107">
        <v>0</v>
      </c>
      <c r="BC953" s="107">
        <v>1.0204081632653099</v>
      </c>
      <c r="BD953" s="107">
        <v>2.2061620387980199</v>
      </c>
      <c r="BE953" s="107">
        <v>0</v>
      </c>
    </row>
    <row r="954" spans="2:57" ht="15" customHeight="1" x14ac:dyDescent="0.25">
      <c r="B954" s="91">
        <v>944</v>
      </c>
      <c r="C954" s="92" t="s">
        <v>504</v>
      </c>
      <c r="D954" s="92" t="s">
        <v>302</v>
      </c>
      <c r="E954" s="92" t="s">
        <v>401</v>
      </c>
      <c r="F954" s="92" t="s">
        <v>402</v>
      </c>
      <c r="G954" s="101" t="s">
        <v>501</v>
      </c>
      <c r="H954" s="94">
        <v>0</v>
      </c>
      <c r="I954" s="94">
        <v>0</v>
      </c>
      <c r="J954" s="94">
        <v>0</v>
      </c>
      <c r="K954" s="94">
        <v>0</v>
      </c>
      <c r="L954" s="94">
        <v>0</v>
      </c>
      <c r="M954" s="94">
        <v>0</v>
      </c>
      <c r="N954" s="94">
        <v>0</v>
      </c>
      <c r="O954" s="94">
        <v>0</v>
      </c>
      <c r="P954" s="94">
        <v>0</v>
      </c>
      <c r="Q954" s="95">
        <v>0</v>
      </c>
      <c r="R954" s="95">
        <v>0</v>
      </c>
      <c r="S954" s="95">
        <v>0</v>
      </c>
      <c r="T954" s="95">
        <v>0</v>
      </c>
      <c r="U954" s="95">
        <v>0</v>
      </c>
      <c r="V954" s="95">
        <v>0</v>
      </c>
      <c r="W954" s="95">
        <v>0</v>
      </c>
      <c r="X954" s="95">
        <v>0</v>
      </c>
      <c r="Y954" s="95">
        <v>0</v>
      </c>
      <c r="Z954" s="94">
        <v>0</v>
      </c>
      <c r="AA954" s="94">
        <v>0</v>
      </c>
      <c r="AB954" s="94">
        <v>0</v>
      </c>
      <c r="AC954" s="94">
        <v>0</v>
      </c>
      <c r="AD954" s="94">
        <v>0</v>
      </c>
      <c r="AE954" s="94">
        <v>0</v>
      </c>
      <c r="AF954" s="94">
        <v>0</v>
      </c>
      <c r="AG954" s="94">
        <v>0</v>
      </c>
      <c r="AH954" s="94">
        <v>0</v>
      </c>
      <c r="AI954" s="94">
        <v>0</v>
      </c>
      <c r="AJ954" s="94">
        <v>0</v>
      </c>
      <c r="AK954" s="94">
        <v>0</v>
      </c>
      <c r="AL954" s="94">
        <v>0</v>
      </c>
      <c r="AM954" s="94">
        <v>0</v>
      </c>
      <c r="AN954" s="94">
        <v>0</v>
      </c>
      <c r="AO954" s="94">
        <v>0</v>
      </c>
      <c r="AP954" s="95">
        <v>0</v>
      </c>
      <c r="AQ954" s="95">
        <v>0</v>
      </c>
      <c r="AR954" s="95">
        <v>0</v>
      </c>
      <c r="AS954" s="95">
        <v>0</v>
      </c>
      <c r="AT954" s="95">
        <v>0</v>
      </c>
      <c r="AU954" s="95">
        <v>0</v>
      </c>
      <c r="AV954" s="95">
        <v>0</v>
      </c>
      <c r="AW954" s="95">
        <v>0</v>
      </c>
      <c r="AX954" s="95">
        <v>0</v>
      </c>
      <c r="AY954" s="95">
        <v>0</v>
      </c>
      <c r="AZ954" s="95">
        <v>0</v>
      </c>
      <c r="BA954" s="95">
        <v>0</v>
      </c>
      <c r="BB954" s="95">
        <v>0</v>
      </c>
      <c r="BC954" s="95">
        <v>0</v>
      </c>
      <c r="BD954" s="95">
        <v>0</v>
      </c>
      <c r="BE954" s="95">
        <v>0</v>
      </c>
    </row>
    <row r="955" spans="2:57" ht="15" customHeight="1" x14ac:dyDescent="0.25">
      <c r="B955" s="91">
        <v>945</v>
      </c>
      <c r="C955" s="92" t="s">
        <v>504</v>
      </c>
      <c r="D955" s="92" t="s">
        <v>302</v>
      </c>
      <c r="E955" s="92" t="s">
        <v>401</v>
      </c>
      <c r="F955" s="92" t="s">
        <v>402</v>
      </c>
      <c r="G955" s="101" t="s">
        <v>502</v>
      </c>
      <c r="H955" s="94">
        <v>2390</v>
      </c>
      <c r="I955" s="94">
        <v>1374</v>
      </c>
      <c r="J955" s="94">
        <v>1016</v>
      </c>
      <c r="K955" s="94">
        <v>95</v>
      </c>
      <c r="L955" s="94">
        <v>536</v>
      </c>
      <c r="M955" s="94">
        <v>1323</v>
      </c>
      <c r="N955" s="94">
        <v>436</v>
      </c>
      <c r="O955" s="94">
        <v>2387</v>
      </c>
      <c r="P955" s="94">
        <v>3</v>
      </c>
      <c r="Q955" s="95">
        <v>0.223313979455114</v>
      </c>
      <c r="R955" s="95">
        <v>7.8492935635792793E-2</v>
      </c>
      <c r="S955" s="95">
        <v>0.41450777202072497</v>
      </c>
      <c r="T955" s="95">
        <v>1.2345679012345701</v>
      </c>
      <c r="U955" s="95">
        <v>0.20161290322580599</v>
      </c>
      <c r="V955" s="95">
        <v>0.23942537909018399</v>
      </c>
      <c r="W955" s="95">
        <v>0</v>
      </c>
      <c r="X955" s="95">
        <v>0.22361359570661901</v>
      </c>
      <c r="Y955" s="95">
        <v>0</v>
      </c>
      <c r="Z955" s="94">
        <v>3064</v>
      </c>
      <c r="AA955" s="94">
        <v>1618</v>
      </c>
      <c r="AB955" s="94">
        <v>1446</v>
      </c>
      <c r="AC955" s="94">
        <v>166</v>
      </c>
      <c r="AD955" s="94">
        <v>635</v>
      </c>
      <c r="AE955" s="94">
        <v>1519</v>
      </c>
      <c r="AF955" s="94">
        <v>744</v>
      </c>
      <c r="AG955" s="94">
        <v>2791</v>
      </c>
      <c r="AH955" s="94">
        <v>257</v>
      </c>
      <c r="AI955" s="94">
        <v>16</v>
      </c>
      <c r="AJ955" s="94">
        <v>3045</v>
      </c>
      <c r="AK955" s="94">
        <v>14</v>
      </c>
      <c r="AL955" s="94">
        <v>5</v>
      </c>
      <c r="AM955" s="94">
        <v>299</v>
      </c>
      <c r="AN955" s="94">
        <v>2742</v>
      </c>
      <c r="AO955" s="94">
        <v>23</v>
      </c>
      <c r="AP955" s="95">
        <v>2.0713073005093401</v>
      </c>
      <c r="AQ955" s="95">
        <v>0.38834951456310701</v>
      </c>
      <c r="AR955" s="95">
        <v>3.9285714285714302</v>
      </c>
      <c r="AS955" s="95">
        <v>0.61728395061728403</v>
      </c>
      <c r="AT955" s="95">
        <v>3.6974789915966402</v>
      </c>
      <c r="AU955" s="95">
        <v>2.4088093599449398</v>
      </c>
      <c r="AV955" s="95">
        <v>0.40816326530612201</v>
      </c>
      <c r="AW955" s="95">
        <v>1.9366852886406001</v>
      </c>
      <c r="AX955" s="95">
        <v>3.6885245901639299</v>
      </c>
      <c r="AY955" s="95">
        <v>0</v>
      </c>
      <c r="AZ955" s="95">
        <v>2.0840450973693199</v>
      </c>
      <c r="BA955" s="95">
        <v>0</v>
      </c>
      <c r="BB955" s="95">
        <v>0</v>
      </c>
      <c r="BC955" s="95">
        <v>1.0204081632653099</v>
      </c>
      <c r="BD955" s="95">
        <v>2.2061620387980199</v>
      </c>
      <c r="BE955" s="95">
        <v>0</v>
      </c>
    </row>
    <row r="956" spans="2:57" ht="15" customHeight="1" x14ac:dyDescent="0.25">
      <c r="B956" s="86">
        <v>946</v>
      </c>
      <c r="C956" s="87" t="s">
        <v>503</v>
      </c>
      <c r="D956" s="103" t="s">
        <v>302</v>
      </c>
      <c r="E956" s="103" t="s">
        <v>510</v>
      </c>
      <c r="F956" s="103"/>
      <c r="G956" s="88" t="s">
        <v>510</v>
      </c>
      <c r="H956" s="89">
        <v>4380</v>
      </c>
      <c r="I956" s="89">
        <v>2648</v>
      </c>
      <c r="J956" s="89">
        <v>1732</v>
      </c>
      <c r="K956" s="89">
        <v>306</v>
      </c>
      <c r="L956" s="89">
        <v>951</v>
      </c>
      <c r="M956" s="89">
        <v>2175</v>
      </c>
      <c r="N956" s="89">
        <v>948</v>
      </c>
      <c r="O956" s="89">
        <v>4376</v>
      </c>
      <c r="P956" s="89">
        <v>4</v>
      </c>
      <c r="Q956" s="90">
        <v>0.37037037037037002</v>
      </c>
      <c r="R956" s="90">
        <v>0.197941409342834</v>
      </c>
      <c r="S956" s="90">
        <v>0.65616797900262502</v>
      </c>
      <c r="T956" s="90">
        <v>1.1450381679389301</v>
      </c>
      <c r="U956" s="90">
        <v>0.69124423963133597</v>
      </c>
      <c r="V956" s="90">
        <v>0.24473813020068499</v>
      </c>
      <c r="W956" s="90">
        <v>0.114025085518814</v>
      </c>
      <c r="X956" s="90">
        <v>0.37073652990608003</v>
      </c>
      <c r="Y956" s="90">
        <v>0</v>
      </c>
      <c r="Z956" s="89">
        <v>4864</v>
      </c>
      <c r="AA956" s="89">
        <v>2646</v>
      </c>
      <c r="AB956" s="89">
        <v>2218</v>
      </c>
      <c r="AC956" s="89">
        <v>415</v>
      </c>
      <c r="AD956" s="89">
        <v>941</v>
      </c>
      <c r="AE956" s="89">
        <v>2249</v>
      </c>
      <c r="AF956" s="89">
        <v>1259</v>
      </c>
      <c r="AG956" s="89">
        <v>4238</v>
      </c>
      <c r="AH956" s="89">
        <v>558</v>
      </c>
      <c r="AI956" s="89">
        <v>68</v>
      </c>
      <c r="AJ956" s="89">
        <v>4839</v>
      </c>
      <c r="AK956" s="89">
        <v>6</v>
      </c>
      <c r="AL956" s="89">
        <v>19</v>
      </c>
      <c r="AM956" s="89">
        <v>714</v>
      </c>
      <c r="AN956" s="89">
        <v>4032</v>
      </c>
      <c r="AO956" s="89">
        <v>118</v>
      </c>
      <c r="AP956" s="90">
        <v>1.3444302176696501</v>
      </c>
      <c r="AQ956" s="90">
        <v>0.11732499022291699</v>
      </c>
      <c r="AR956" s="90">
        <v>2.8182245185533099</v>
      </c>
      <c r="AS956" s="90">
        <v>2.8061224489795902</v>
      </c>
      <c r="AT956" s="90">
        <v>2.12053571428571</v>
      </c>
      <c r="AU956" s="90">
        <v>1.28913443830571</v>
      </c>
      <c r="AV956" s="90">
        <v>0.40783034257748801</v>
      </c>
      <c r="AW956" s="90">
        <v>1.2955267660718699</v>
      </c>
      <c r="AX956" s="90">
        <v>1.8761726078799299</v>
      </c>
      <c r="AY956" s="90">
        <v>0</v>
      </c>
      <c r="AZ956" s="90">
        <v>1.34990357831583</v>
      </c>
      <c r="BA956" s="90">
        <v>0</v>
      </c>
      <c r="BB956" s="90">
        <v>0</v>
      </c>
      <c r="BC956" s="90">
        <v>0.43227665706051899</v>
      </c>
      <c r="BD956" s="90">
        <v>1.54679040989946</v>
      </c>
      <c r="BE956" s="90">
        <v>0</v>
      </c>
    </row>
    <row r="957" spans="2:57" ht="15" customHeight="1" x14ac:dyDescent="0.25">
      <c r="B957" s="91">
        <v>947</v>
      </c>
      <c r="C957" s="92" t="s">
        <v>503</v>
      </c>
      <c r="D957" s="92" t="s">
        <v>302</v>
      </c>
      <c r="E957" s="92" t="s">
        <v>510</v>
      </c>
      <c r="F957" s="92"/>
      <c r="G957" s="93" t="s">
        <v>501</v>
      </c>
      <c r="H957" s="94">
        <v>0</v>
      </c>
      <c r="I957" s="94">
        <v>0</v>
      </c>
      <c r="J957" s="94">
        <v>0</v>
      </c>
      <c r="K957" s="94">
        <v>0</v>
      </c>
      <c r="L957" s="94">
        <v>0</v>
      </c>
      <c r="M957" s="94">
        <v>0</v>
      </c>
      <c r="N957" s="94">
        <v>0</v>
      </c>
      <c r="O957" s="94">
        <v>0</v>
      </c>
      <c r="P957" s="94">
        <v>0</v>
      </c>
      <c r="Q957" s="95">
        <v>0</v>
      </c>
      <c r="R957" s="95">
        <v>0</v>
      </c>
      <c r="S957" s="95">
        <v>0</v>
      </c>
      <c r="T957" s="95">
        <v>0</v>
      </c>
      <c r="U957" s="95">
        <v>0</v>
      </c>
      <c r="V957" s="95">
        <v>0</v>
      </c>
      <c r="W957" s="95">
        <v>0</v>
      </c>
      <c r="X957" s="95">
        <v>0</v>
      </c>
      <c r="Y957" s="95">
        <v>0</v>
      </c>
      <c r="Z957" s="94">
        <v>0</v>
      </c>
      <c r="AA957" s="94">
        <v>0</v>
      </c>
      <c r="AB957" s="94">
        <v>0</v>
      </c>
      <c r="AC957" s="94">
        <v>0</v>
      </c>
      <c r="AD957" s="94">
        <v>0</v>
      </c>
      <c r="AE957" s="94">
        <v>0</v>
      </c>
      <c r="AF957" s="94">
        <v>0</v>
      </c>
      <c r="AG957" s="94">
        <v>0</v>
      </c>
      <c r="AH957" s="94">
        <v>0</v>
      </c>
      <c r="AI957" s="94">
        <v>0</v>
      </c>
      <c r="AJ957" s="94">
        <v>0</v>
      </c>
      <c r="AK957" s="94">
        <v>0</v>
      </c>
      <c r="AL957" s="94">
        <v>0</v>
      </c>
      <c r="AM957" s="94">
        <v>0</v>
      </c>
      <c r="AN957" s="94">
        <v>0</v>
      </c>
      <c r="AO957" s="94">
        <v>0</v>
      </c>
      <c r="AP957" s="95">
        <v>0</v>
      </c>
      <c r="AQ957" s="95">
        <v>0</v>
      </c>
      <c r="AR957" s="95">
        <v>0</v>
      </c>
      <c r="AS957" s="95">
        <v>0</v>
      </c>
      <c r="AT957" s="95">
        <v>0</v>
      </c>
      <c r="AU957" s="95">
        <v>0</v>
      </c>
      <c r="AV957" s="95">
        <v>0</v>
      </c>
      <c r="AW957" s="95">
        <v>0</v>
      </c>
      <c r="AX957" s="95">
        <v>0</v>
      </c>
      <c r="AY957" s="95">
        <v>0</v>
      </c>
      <c r="AZ957" s="95">
        <v>0</v>
      </c>
      <c r="BA957" s="95">
        <v>0</v>
      </c>
      <c r="BB957" s="95">
        <v>0</v>
      </c>
      <c r="BC957" s="95">
        <v>0</v>
      </c>
      <c r="BD957" s="95">
        <v>0</v>
      </c>
      <c r="BE957" s="95">
        <v>0</v>
      </c>
    </row>
    <row r="958" spans="2:57" ht="15" customHeight="1" x14ac:dyDescent="0.25">
      <c r="B958" s="91">
        <v>948</v>
      </c>
      <c r="C958" s="92" t="s">
        <v>503</v>
      </c>
      <c r="D958" s="92" t="s">
        <v>302</v>
      </c>
      <c r="E958" s="92" t="s">
        <v>510</v>
      </c>
      <c r="F958" s="92"/>
      <c r="G958" s="93" t="s">
        <v>502</v>
      </c>
      <c r="H958" s="94">
        <v>4380</v>
      </c>
      <c r="I958" s="94">
        <v>2648</v>
      </c>
      <c r="J958" s="94">
        <v>1732</v>
      </c>
      <c r="K958" s="94">
        <v>306</v>
      </c>
      <c r="L958" s="94">
        <v>951</v>
      </c>
      <c r="M958" s="94">
        <v>2175</v>
      </c>
      <c r="N958" s="94">
        <v>948</v>
      </c>
      <c r="O958" s="94">
        <v>4376</v>
      </c>
      <c r="P958" s="94">
        <v>4</v>
      </c>
      <c r="Q958" s="95">
        <v>0.37037037037037002</v>
      </c>
      <c r="R958" s="95">
        <v>0.197941409342834</v>
      </c>
      <c r="S958" s="95">
        <v>0.65616797900262502</v>
      </c>
      <c r="T958" s="95">
        <v>1.1450381679389301</v>
      </c>
      <c r="U958" s="95">
        <v>0.69124423963133597</v>
      </c>
      <c r="V958" s="95">
        <v>0.24473813020068499</v>
      </c>
      <c r="W958" s="95">
        <v>0.114025085518814</v>
      </c>
      <c r="X958" s="95">
        <v>0.37073652990608003</v>
      </c>
      <c r="Y958" s="95">
        <v>0</v>
      </c>
      <c r="Z958" s="94">
        <v>4864</v>
      </c>
      <c r="AA958" s="94">
        <v>2646</v>
      </c>
      <c r="AB958" s="94">
        <v>2218</v>
      </c>
      <c r="AC958" s="94">
        <v>415</v>
      </c>
      <c r="AD958" s="94">
        <v>941</v>
      </c>
      <c r="AE958" s="94">
        <v>2249</v>
      </c>
      <c r="AF958" s="94">
        <v>1259</v>
      </c>
      <c r="AG958" s="94">
        <v>4238</v>
      </c>
      <c r="AH958" s="94">
        <v>558</v>
      </c>
      <c r="AI958" s="94">
        <v>68</v>
      </c>
      <c r="AJ958" s="94">
        <v>4839</v>
      </c>
      <c r="AK958" s="94">
        <v>6</v>
      </c>
      <c r="AL958" s="94">
        <v>19</v>
      </c>
      <c r="AM958" s="94">
        <v>714</v>
      </c>
      <c r="AN958" s="94">
        <v>4032</v>
      </c>
      <c r="AO958" s="94">
        <v>118</v>
      </c>
      <c r="AP958" s="95">
        <v>1.3444302176696501</v>
      </c>
      <c r="AQ958" s="95">
        <v>0.11732499022291699</v>
      </c>
      <c r="AR958" s="95">
        <v>2.8182245185533099</v>
      </c>
      <c r="AS958" s="95">
        <v>2.8061224489795902</v>
      </c>
      <c r="AT958" s="95">
        <v>2.12053571428571</v>
      </c>
      <c r="AU958" s="95">
        <v>1.28913443830571</v>
      </c>
      <c r="AV958" s="95">
        <v>0.40783034257748801</v>
      </c>
      <c r="AW958" s="95">
        <v>1.2955267660718699</v>
      </c>
      <c r="AX958" s="95">
        <v>1.8761726078799299</v>
      </c>
      <c r="AY958" s="95">
        <v>0</v>
      </c>
      <c r="AZ958" s="95">
        <v>1.34990357831583</v>
      </c>
      <c r="BA958" s="95">
        <v>0</v>
      </c>
      <c r="BB958" s="95">
        <v>0</v>
      </c>
      <c r="BC958" s="95">
        <v>0.43227665706051899</v>
      </c>
      <c r="BD958" s="95">
        <v>1.54679040989946</v>
      </c>
      <c r="BE958" s="95">
        <v>0</v>
      </c>
    </row>
    <row r="959" spans="2:57" ht="15" customHeight="1" x14ac:dyDescent="0.25">
      <c r="B959" s="96">
        <v>949</v>
      </c>
      <c r="C959" s="97" t="s">
        <v>504</v>
      </c>
      <c r="D959" s="104" t="s">
        <v>302</v>
      </c>
      <c r="E959" s="104" t="s">
        <v>510</v>
      </c>
      <c r="F959" s="104" t="s">
        <v>104</v>
      </c>
      <c r="G959" s="105" t="s">
        <v>104</v>
      </c>
      <c r="H959" s="106">
        <v>1861</v>
      </c>
      <c r="I959" s="106">
        <v>1144</v>
      </c>
      <c r="J959" s="106">
        <v>717</v>
      </c>
      <c r="K959" s="106">
        <v>124</v>
      </c>
      <c r="L959" s="106">
        <v>404</v>
      </c>
      <c r="M959" s="106">
        <v>923</v>
      </c>
      <c r="N959" s="106">
        <v>410</v>
      </c>
      <c r="O959" s="106">
        <v>1858</v>
      </c>
      <c r="P959" s="106">
        <v>3</v>
      </c>
      <c r="Q959" s="107">
        <v>0.170454545454545</v>
      </c>
      <c r="R959" s="107">
        <v>0</v>
      </c>
      <c r="S959" s="107">
        <v>0.45248868778280499</v>
      </c>
      <c r="T959" s="107">
        <v>0.934579439252336</v>
      </c>
      <c r="U959" s="107">
        <v>0.53191489361702105</v>
      </c>
      <c r="V959" s="107">
        <v>0</v>
      </c>
      <c r="W959" s="107">
        <v>0</v>
      </c>
      <c r="X959" s="107">
        <v>0.17074558907228199</v>
      </c>
      <c r="Y959" s="107">
        <v>0</v>
      </c>
      <c r="Z959" s="106">
        <v>2162</v>
      </c>
      <c r="AA959" s="106">
        <v>1216</v>
      </c>
      <c r="AB959" s="106">
        <v>946</v>
      </c>
      <c r="AC959" s="106">
        <v>191</v>
      </c>
      <c r="AD959" s="106">
        <v>472</v>
      </c>
      <c r="AE959" s="106">
        <v>965</v>
      </c>
      <c r="AF959" s="106">
        <v>534</v>
      </c>
      <c r="AG959" s="106">
        <v>1904</v>
      </c>
      <c r="AH959" s="106">
        <v>205</v>
      </c>
      <c r="AI959" s="106">
        <v>53</v>
      </c>
      <c r="AJ959" s="106">
        <v>2149</v>
      </c>
      <c r="AK959" s="106">
        <v>4</v>
      </c>
      <c r="AL959" s="106">
        <v>9</v>
      </c>
      <c r="AM959" s="106">
        <v>257</v>
      </c>
      <c r="AN959" s="106">
        <v>1847</v>
      </c>
      <c r="AO959" s="106">
        <v>58</v>
      </c>
      <c r="AP959" s="107">
        <v>0.57498802108289404</v>
      </c>
      <c r="AQ959" s="107">
        <v>8.54700854700855E-2</v>
      </c>
      <c r="AR959" s="107">
        <v>1.19956379498364</v>
      </c>
      <c r="AS959" s="107">
        <v>2.7173913043478302</v>
      </c>
      <c r="AT959" s="107">
        <v>1.1111111111111101</v>
      </c>
      <c r="AU959" s="107">
        <v>0.10752688172043</v>
      </c>
      <c r="AV959" s="107">
        <v>0.191204588910134</v>
      </c>
      <c r="AW959" s="107">
        <v>0.59815116911364896</v>
      </c>
      <c r="AX959" s="107">
        <v>0.50251256281406997</v>
      </c>
      <c r="AY959" s="107">
        <v>0</v>
      </c>
      <c r="AZ959" s="107">
        <v>0.577756379393356</v>
      </c>
      <c r="BA959" s="107">
        <v>0</v>
      </c>
      <c r="BB959" s="107">
        <v>0</v>
      </c>
      <c r="BC959" s="107">
        <v>0</v>
      </c>
      <c r="BD959" s="107">
        <v>0.67415730337078605</v>
      </c>
      <c r="BE959" s="107">
        <v>0</v>
      </c>
    </row>
    <row r="960" spans="2:57" ht="15" customHeight="1" x14ac:dyDescent="0.25">
      <c r="B960" s="91">
        <v>950</v>
      </c>
      <c r="C960" s="92" t="s">
        <v>504</v>
      </c>
      <c r="D960" s="92" t="s">
        <v>302</v>
      </c>
      <c r="E960" s="92" t="s">
        <v>510</v>
      </c>
      <c r="F960" s="92" t="s">
        <v>104</v>
      </c>
      <c r="G960" s="101" t="s">
        <v>501</v>
      </c>
      <c r="H960" s="94">
        <v>0</v>
      </c>
      <c r="I960" s="94">
        <v>0</v>
      </c>
      <c r="J960" s="94">
        <v>0</v>
      </c>
      <c r="K960" s="94">
        <v>0</v>
      </c>
      <c r="L960" s="94">
        <v>0</v>
      </c>
      <c r="M960" s="94">
        <v>0</v>
      </c>
      <c r="N960" s="94">
        <v>0</v>
      </c>
      <c r="O960" s="94">
        <v>0</v>
      </c>
      <c r="P960" s="94">
        <v>0</v>
      </c>
      <c r="Q960" s="95">
        <v>0</v>
      </c>
      <c r="R960" s="95">
        <v>0</v>
      </c>
      <c r="S960" s="95">
        <v>0</v>
      </c>
      <c r="T960" s="95">
        <v>0</v>
      </c>
      <c r="U960" s="95">
        <v>0</v>
      </c>
      <c r="V960" s="95">
        <v>0</v>
      </c>
      <c r="W960" s="95">
        <v>0</v>
      </c>
      <c r="X960" s="95">
        <v>0</v>
      </c>
      <c r="Y960" s="95">
        <v>0</v>
      </c>
      <c r="Z960" s="94">
        <v>0</v>
      </c>
      <c r="AA960" s="94">
        <v>0</v>
      </c>
      <c r="AB960" s="94">
        <v>0</v>
      </c>
      <c r="AC960" s="94">
        <v>0</v>
      </c>
      <c r="AD960" s="94">
        <v>0</v>
      </c>
      <c r="AE960" s="94">
        <v>0</v>
      </c>
      <c r="AF960" s="94">
        <v>0</v>
      </c>
      <c r="AG960" s="94">
        <v>0</v>
      </c>
      <c r="AH960" s="94">
        <v>0</v>
      </c>
      <c r="AI960" s="94">
        <v>0</v>
      </c>
      <c r="AJ960" s="94">
        <v>0</v>
      </c>
      <c r="AK960" s="94">
        <v>0</v>
      </c>
      <c r="AL960" s="94">
        <v>0</v>
      </c>
      <c r="AM960" s="94">
        <v>0</v>
      </c>
      <c r="AN960" s="94">
        <v>0</v>
      </c>
      <c r="AO960" s="94">
        <v>0</v>
      </c>
      <c r="AP960" s="95">
        <v>0</v>
      </c>
      <c r="AQ960" s="95">
        <v>0</v>
      </c>
      <c r="AR960" s="95">
        <v>0</v>
      </c>
      <c r="AS960" s="95">
        <v>0</v>
      </c>
      <c r="AT960" s="95">
        <v>0</v>
      </c>
      <c r="AU960" s="95">
        <v>0</v>
      </c>
      <c r="AV960" s="95">
        <v>0</v>
      </c>
      <c r="AW960" s="95">
        <v>0</v>
      </c>
      <c r="AX960" s="95">
        <v>0</v>
      </c>
      <c r="AY960" s="95">
        <v>0</v>
      </c>
      <c r="AZ960" s="95">
        <v>0</v>
      </c>
      <c r="BA960" s="95">
        <v>0</v>
      </c>
      <c r="BB960" s="95">
        <v>0</v>
      </c>
      <c r="BC960" s="95">
        <v>0</v>
      </c>
      <c r="BD960" s="95">
        <v>0</v>
      </c>
      <c r="BE960" s="95">
        <v>0</v>
      </c>
    </row>
    <row r="961" spans="2:57" ht="15" customHeight="1" x14ac:dyDescent="0.25">
      <c r="B961" s="91">
        <v>951</v>
      </c>
      <c r="C961" s="92" t="s">
        <v>504</v>
      </c>
      <c r="D961" s="92" t="s">
        <v>302</v>
      </c>
      <c r="E961" s="92" t="s">
        <v>510</v>
      </c>
      <c r="F961" s="92" t="s">
        <v>104</v>
      </c>
      <c r="G961" s="101" t="s">
        <v>502</v>
      </c>
      <c r="H961" s="94">
        <v>1861</v>
      </c>
      <c r="I961" s="94">
        <v>1144</v>
      </c>
      <c r="J961" s="94">
        <v>717</v>
      </c>
      <c r="K961" s="94">
        <v>124</v>
      </c>
      <c r="L961" s="94">
        <v>404</v>
      </c>
      <c r="M961" s="94">
        <v>923</v>
      </c>
      <c r="N961" s="94">
        <v>410</v>
      </c>
      <c r="O961" s="94">
        <v>1858</v>
      </c>
      <c r="P961" s="94">
        <v>3</v>
      </c>
      <c r="Q961" s="95">
        <v>0.170454545454545</v>
      </c>
      <c r="R961" s="95">
        <v>0</v>
      </c>
      <c r="S961" s="95">
        <v>0.45248868778280499</v>
      </c>
      <c r="T961" s="95">
        <v>0.934579439252336</v>
      </c>
      <c r="U961" s="95">
        <v>0.53191489361702105</v>
      </c>
      <c r="V961" s="95">
        <v>0</v>
      </c>
      <c r="W961" s="95">
        <v>0</v>
      </c>
      <c r="X961" s="95">
        <v>0.17074558907228199</v>
      </c>
      <c r="Y961" s="95">
        <v>0</v>
      </c>
      <c r="Z961" s="94">
        <v>2162</v>
      </c>
      <c r="AA961" s="94">
        <v>1216</v>
      </c>
      <c r="AB961" s="94">
        <v>946</v>
      </c>
      <c r="AC961" s="94">
        <v>191</v>
      </c>
      <c r="AD961" s="94">
        <v>472</v>
      </c>
      <c r="AE961" s="94">
        <v>965</v>
      </c>
      <c r="AF961" s="94">
        <v>534</v>
      </c>
      <c r="AG961" s="94">
        <v>1904</v>
      </c>
      <c r="AH961" s="94">
        <v>205</v>
      </c>
      <c r="AI961" s="94">
        <v>53</v>
      </c>
      <c r="AJ961" s="94">
        <v>2149</v>
      </c>
      <c r="AK961" s="94">
        <v>4</v>
      </c>
      <c r="AL961" s="94">
        <v>9</v>
      </c>
      <c r="AM961" s="94">
        <v>257</v>
      </c>
      <c r="AN961" s="94">
        <v>1847</v>
      </c>
      <c r="AO961" s="94">
        <v>58</v>
      </c>
      <c r="AP961" s="95">
        <v>0.57498802108289404</v>
      </c>
      <c r="AQ961" s="95">
        <v>8.54700854700855E-2</v>
      </c>
      <c r="AR961" s="95">
        <v>1.19956379498364</v>
      </c>
      <c r="AS961" s="95">
        <v>2.7173913043478302</v>
      </c>
      <c r="AT961" s="95">
        <v>1.1111111111111101</v>
      </c>
      <c r="AU961" s="95">
        <v>0.10752688172043</v>
      </c>
      <c r="AV961" s="95">
        <v>0.191204588910134</v>
      </c>
      <c r="AW961" s="95">
        <v>0.59815116911364896</v>
      </c>
      <c r="AX961" s="95">
        <v>0.50251256281406997</v>
      </c>
      <c r="AY961" s="95">
        <v>0</v>
      </c>
      <c r="AZ961" s="95">
        <v>0.577756379393356</v>
      </c>
      <c r="BA961" s="95">
        <v>0</v>
      </c>
      <c r="BB961" s="95">
        <v>0</v>
      </c>
      <c r="BC961" s="95">
        <v>0</v>
      </c>
      <c r="BD961" s="95">
        <v>0.67415730337078605</v>
      </c>
      <c r="BE961" s="95">
        <v>0</v>
      </c>
    </row>
    <row r="962" spans="2:57" ht="15" customHeight="1" x14ac:dyDescent="0.25">
      <c r="B962" s="96">
        <v>952</v>
      </c>
      <c r="C962" s="97" t="s">
        <v>504</v>
      </c>
      <c r="D962" s="104" t="s">
        <v>302</v>
      </c>
      <c r="E962" s="104" t="s">
        <v>510</v>
      </c>
      <c r="F962" s="104" t="s">
        <v>169</v>
      </c>
      <c r="G962" s="105" t="s">
        <v>169</v>
      </c>
      <c r="H962" s="106">
        <v>2519</v>
      </c>
      <c r="I962" s="106">
        <v>1504</v>
      </c>
      <c r="J962" s="106">
        <v>1015</v>
      </c>
      <c r="K962" s="106">
        <v>182</v>
      </c>
      <c r="L962" s="106">
        <v>547</v>
      </c>
      <c r="M962" s="106">
        <v>1252</v>
      </c>
      <c r="N962" s="106">
        <v>538</v>
      </c>
      <c r="O962" s="106">
        <v>2518</v>
      </c>
      <c r="P962" s="106">
        <v>1</v>
      </c>
      <c r="Q962" s="107">
        <v>0.52401746724890796</v>
      </c>
      <c r="R962" s="107">
        <v>0.34989503149055301</v>
      </c>
      <c r="S962" s="107">
        <v>0.81300813008130102</v>
      </c>
      <c r="T962" s="107">
        <v>1.2903225806451599</v>
      </c>
      <c r="U962" s="107">
        <v>0.81300813008130102</v>
      </c>
      <c r="V962" s="107">
        <v>0.432525951557093</v>
      </c>
      <c r="W962" s="107">
        <v>0.205338809034908</v>
      </c>
      <c r="X962" s="107">
        <v>0.52424639580602905</v>
      </c>
      <c r="Y962" s="107">
        <v>0</v>
      </c>
      <c r="Z962" s="106">
        <v>2702</v>
      </c>
      <c r="AA962" s="106">
        <v>1430</v>
      </c>
      <c r="AB962" s="106">
        <v>1272</v>
      </c>
      <c r="AC962" s="106">
        <v>224</v>
      </c>
      <c r="AD962" s="106">
        <v>469</v>
      </c>
      <c r="AE962" s="106">
        <v>1284</v>
      </c>
      <c r="AF962" s="106">
        <v>725</v>
      </c>
      <c r="AG962" s="106">
        <v>2334</v>
      </c>
      <c r="AH962" s="106">
        <v>353</v>
      </c>
      <c r="AI962" s="106">
        <v>15</v>
      </c>
      <c r="AJ962" s="106">
        <v>2690</v>
      </c>
      <c r="AK962" s="106">
        <v>2</v>
      </c>
      <c r="AL962" s="106">
        <v>10</v>
      </c>
      <c r="AM962" s="106">
        <v>457</v>
      </c>
      <c r="AN962" s="106">
        <v>2185</v>
      </c>
      <c r="AO962" s="106">
        <v>60</v>
      </c>
      <c r="AP962" s="107">
        <v>1.96229318968834</v>
      </c>
      <c r="AQ962" s="107">
        <v>0.14419610670511901</v>
      </c>
      <c r="AR962" s="107">
        <v>4.04290429042904</v>
      </c>
      <c r="AS962" s="107">
        <v>2.8846153846153801</v>
      </c>
      <c r="AT962" s="107">
        <v>3.1390134529148002</v>
      </c>
      <c r="AU962" s="107">
        <v>2.1739130434782599</v>
      </c>
      <c r="AV962" s="107">
        <v>0.56899004267425302</v>
      </c>
      <c r="AW962" s="107">
        <v>1.8650088809946701</v>
      </c>
      <c r="AX962" s="107">
        <v>2.6946107784431099</v>
      </c>
      <c r="AY962" s="107">
        <v>0</v>
      </c>
      <c r="AZ962" s="107">
        <v>1.9691119691119701</v>
      </c>
      <c r="BA962" s="107">
        <v>0</v>
      </c>
      <c r="BB962" s="107">
        <v>0</v>
      </c>
      <c r="BC962" s="107">
        <v>0.67720090293453705</v>
      </c>
      <c r="BD962" s="107">
        <v>2.2868032396379201</v>
      </c>
      <c r="BE962" s="107">
        <v>0</v>
      </c>
    </row>
    <row r="963" spans="2:57" ht="15" customHeight="1" x14ac:dyDescent="0.25">
      <c r="B963" s="91">
        <v>953</v>
      </c>
      <c r="C963" s="92" t="s">
        <v>504</v>
      </c>
      <c r="D963" s="92" t="s">
        <v>302</v>
      </c>
      <c r="E963" s="92" t="s">
        <v>510</v>
      </c>
      <c r="F963" s="92" t="s">
        <v>169</v>
      </c>
      <c r="G963" s="101" t="s">
        <v>501</v>
      </c>
      <c r="H963" s="94">
        <v>0</v>
      </c>
      <c r="I963" s="94">
        <v>0</v>
      </c>
      <c r="J963" s="94">
        <v>0</v>
      </c>
      <c r="K963" s="94">
        <v>0</v>
      </c>
      <c r="L963" s="94">
        <v>0</v>
      </c>
      <c r="M963" s="94">
        <v>0</v>
      </c>
      <c r="N963" s="94">
        <v>0</v>
      </c>
      <c r="O963" s="94">
        <v>0</v>
      </c>
      <c r="P963" s="94">
        <v>0</v>
      </c>
      <c r="Q963" s="95">
        <v>0</v>
      </c>
      <c r="R963" s="95">
        <v>0</v>
      </c>
      <c r="S963" s="95">
        <v>0</v>
      </c>
      <c r="T963" s="95">
        <v>0</v>
      </c>
      <c r="U963" s="95">
        <v>0</v>
      </c>
      <c r="V963" s="95">
        <v>0</v>
      </c>
      <c r="W963" s="95">
        <v>0</v>
      </c>
      <c r="X963" s="95">
        <v>0</v>
      </c>
      <c r="Y963" s="95">
        <v>0</v>
      </c>
      <c r="Z963" s="94">
        <v>0</v>
      </c>
      <c r="AA963" s="94">
        <v>0</v>
      </c>
      <c r="AB963" s="94">
        <v>0</v>
      </c>
      <c r="AC963" s="94">
        <v>0</v>
      </c>
      <c r="AD963" s="94">
        <v>0</v>
      </c>
      <c r="AE963" s="94">
        <v>0</v>
      </c>
      <c r="AF963" s="94">
        <v>0</v>
      </c>
      <c r="AG963" s="94">
        <v>0</v>
      </c>
      <c r="AH963" s="94">
        <v>0</v>
      </c>
      <c r="AI963" s="94">
        <v>0</v>
      </c>
      <c r="AJ963" s="94">
        <v>0</v>
      </c>
      <c r="AK963" s="94">
        <v>0</v>
      </c>
      <c r="AL963" s="94">
        <v>0</v>
      </c>
      <c r="AM963" s="94">
        <v>0</v>
      </c>
      <c r="AN963" s="94">
        <v>0</v>
      </c>
      <c r="AO963" s="94">
        <v>0</v>
      </c>
      <c r="AP963" s="95">
        <v>0</v>
      </c>
      <c r="AQ963" s="95">
        <v>0</v>
      </c>
      <c r="AR963" s="95">
        <v>0</v>
      </c>
      <c r="AS963" s="95">
        <v>0</v>
      </c>
      <c r="AT963" s="95">
        <v>0</v>
      </c>
      <c r="AU963" s="95">
        <v>0</v>
      </c>
      <c r="AV963" s="95">
        <v>0</v>
      </c>
      <c r="AW963" s="95">
        <v>0</v>
      </c>
      <c r="AX963" s="95">
        <v>0</v>
      </c>
      <c r="AY963" s="95">
        <v>0</v>
      </c>
      <c r="AZ963" s="95">
        <v>0</v>
      </c>
      <c r="BA963" s="95">
        <v>0</v>
      </c>
      <c r="BB963" s="95">
        <v>0</v>
      </c>
      <c r="BC963" s="95">
        <v>0</v>
      </c>
      <c r="BD963" s="95">
        <v>0</v>
      </c>
      <c r="BE963" s="95">
        <v>0</v>
      </c>
    </row>
    <row r="964" spans="2:57" ht="15" customHeight="1" x14ac:dyDescent="0.25">
      <c r="B964" s="91">
        <v>954</v>
      </c>
      <c r="C964" s="92" t="s">
        <v>504</v>
      </c>
      <c r="D964" s="92" t="s">
        <v>302</v>
      </c>
      <c r="E964" s="92" t="s">
        <v>510</v>
      </c>
      <c r="F964" s="92" t="s">
        <v>169</v>
      </c>
      <c r="G964" s="101" t="s">
        <v>502</v>
      </c>
      <c r="H964" s="94">
        <v>2519</v>
      </c>
      <c r="I964" s="94">
        <v>1504</v>
      </c>
      <c r="J964" s="94">
        <v>1015</v>
      </c>
      <c r="K964" s="94">
        <v>182</v>
      </c>
      <c r="L964" s="94">
        <v>547</v>
      </c>
      <c r="M964" s="94">
        <v>1252</v>
      </c>
      <c r="N964" s="94">
        <v>538</v>
      </c>
      <c r="O964" s="94">
        <v>2518</v>
      </c>
      <c r="P964" s="94">
        <v>1</v>
      </c>
      <c r="Q964" s="95">
        <v>0.52401746724890796</v>
      </c>
      <c r="R964" s="95">
        <v>0.34989503149055301</v>
      </c>
      <c r="S964" s="95">
        <v>0.81300813008130102</v>
      </c>
      <c r="T964" s="95">
        <v>1.2903225806451599</v>
      </c>
      <c r="U964" s="95">
        <v>0.81300813008130102</v>
      </c>
      <c r="V964" s="95">
        <v>0.432525951557093</v>
      </c>
      <c r="W964" s="95">
        <v>0.205338809034908</v>
      </c>
      <c r="X964" s="95">
        <v>0.52424639580602905</v>
      </c>
      <c r="Y964" s="95">
        <v>0</v>
      </c>
      <c r="Z964" s="94">
        <v>2702</v>
      </c>
      <c r="AA964" s="94">
        <v>1430</v>
      </c>
      <c r="AB964" s="94">
        <v>1272</v>
      </c>
      <c r="AC964" s="94">
        <v>224</v>
      </c>
      <c r="AD964" s="94">
        <v>469</v>
      </c>
      <c r="AE964" s="94">
        <v>1284</v>
      </c>
      <c r="AF964" s="94">
        <v>725</v>
      </c>
      <c r="AG964" s="94">
        <v>2334</v>
      </c>
      <c r="AH964" s="94">
        <v>353</v>
      </c>
      <c r="AI964" s="94">
        <v>15</v>
      </c>
      <c r="AJ964" s="94">
        <v>2690</v>
      </c>
      <c r="AK964" s="94">
        <v>2</v>
      </c>
      <c r="AL964" s="94">
        <v>10</v>
      </c>
      <c r="AM964" s="94">
        <v>457</v>
      </c>
      <c r="AN964" s="94">
        <v>2185</v>
      </c>
      <c r="AO964" s="94">
        <v>60</v>
      </c>
      <c r="AP964" s="95">
        <v>1.96229318968834</v>
      </c>
      <c r="AQ964" s="95">
        <v>0.14419610670511901</v>
      </c>
      <c r="AR964" s="95">
        <v>4.04290429042904</v>
      </c>
      <c r="AS964" s="95">
        <v>2.8846153846153801</v>
      </c>
      <c r="AT964" s="95">
        <v>3.1390134529148002</v>
      </c>
      <c r="AU964" s="95">
        <v>2.1739130434782599</v>
      </c>
      <c r="AV964" s="95">
        <v>0.56899004267425302</v>
      </c>
      <c r="AW964" s="95">
        <v>1.8650088809946701</v>
      </c>
      <c r="AX964" s="95">
        <v>2.6946107784431099</v>
      </c>
      <c r="AY964" s="95">
        <v>0</v>
      </c>
      <c r="AZ964" s="95">
        <v>1.9691119691119701</v>
      </c>
      <c r="BA964" s="95">
        <v>0</v>
      </c>
      <c r="BB964" s="95">
        <v>0</v>
      </c>
      <c r="BC964" s="95">
        <v>0.67720090293453705</v>
      </c>
      <c r="BD964" s="95">
        <v>2.2868032396379201</v>
      </c>
      <c r="BE964" s="95">
        <v>0</v>
      </c>
    </row>
    <row r="965" spans="2:57" ht="15" customHeight="1" x14ac:dyDescent="0.25">
      <c r="B965" s="86">
        <v>955</v>
      </c>
      <c r="C965" s="87" t="s">
        <v>503</v>
      </c>
      <c r="D965" s="103" t="s">
        <v>302</v>
      </c>
      <c r="E965" s="103" t="s">
        <v>404</v>
      </c>
      <c r="F965" s="103"/>
      <c r="G965" s="88" t="s">
        <v>404</v>
      </c>
      <c r="H965" s="89">
        <v>3177</v>
      </c>
      <c r="I965" s="89">
        <v>1826</v>
      </c>
      <c r="J965" s="89">
        <v>1351</v>
      </c>
      <c r="K965" s="89">
        <v>103</v>
      </c>
      <c r="L965" s="89">
        <v>815</v>
      </c>
      <c r="M965" s="89">
        <v>1522</v>
      </c>
      <c r="N965" s="89">
        <v>737</v>
      </c>
      <c r="O965" s="89">
        <v>3167</v>
      </c>
      <c r="P965" s="89">
        <v>10</v>
      </c>
      <c r="Q965" s="90">
        <v>0.744095761889356</v>
      </c>
      <c r="R965" s="90">
        <v>0.84554678692220997</v>
      </c>
      <c r="S965" s="90">
        <v>0.607441154138193</v>
      </c>
      <c r="T965" s="90">
        <v>0</v>
      </c>
      <c r="U965" s="90">
        <v>1.13493064312736</v>
      </c>
      <c r="V965" s="90">
        <v>0.74274139095205904</v>
      </c>
      <c r="W965" s="90">
        <v>0.41208791208791201</v>
      </c>
      <c r="X965" s="90">
        <v>0.74651087309315201</v>
      </c>
      <c r="Y965" s="90">
        <v>0</v>
      </c>
      <c r="Z965" s="89">
        <v>3045</v>
      </c>
      <c r="AA965" s="89">
        <v>1679</v>
      </c>
      <c r="AB965" s="89">
        <v>1366</v>
      </c>
      <c r="AC965" s="89">
        <v>95</v>
      </c>
      <c r="AD965" s="89">
        <v>633</v>
      </c>
      <c r="AE965" s="89">
        <v>1611</v>
      </c>
      <c r="AF965" s="89">
        <v>706</v>
      </c>
      <c r="AG965" s="89">
        <v>2658</v>
      </c>
      <c r="AH965" s="89">
        <v>377</v>
      </c>
      <c r="AI965" s="89">
        <v>10</v>
      </c>
      <c r="AJ965" s="89">
        <v>3024</v>
      </c>
      <c r="AK965" s="89">
        <v>17</v>
      </c>
      <c r="AL965" s="89">
        <v>4</v>
      </c>
      <c r="AM965" s="89">
        <v>251</v>
      </c>
      <c r="AN965" s="89">
        <v>2769</v>
      </c>
      <c r="AO965" s="89">
        <v>25</v>
      </c>
      <c r="AP965" s="90">
        <v>2.6990092244619102</v>
      </c>
      <c r="AQ965" s="90">
        <v>1.1194029850746301</v>
      </c>
      <c r="AR965" s="90">
        <v>4.6247156937073504</v>
      </c>
      <c r="AS965" s="90">
        <v>7.3684210526315796</v>
      </c>
      <c r="AT965" s="90">
        <v>4.4701986754966896</v>
      </c>
      <c r="AU965" s="90">
        <v>2.4057217165149498</v>
      </c>
      <c r="AV965" s="90">
        <v>1.1594202898550701</v>
      </c>
      <c r="AW965" s="90">
        <v>2.421875</v>
      </c>
      <c r="AX965" s="90">
        <v>4.4692737430167604</v>
      </c>
      <c r="AY965" s="90">
        <v>11.1111111111111</v>
      </c>
      <c r="AZ965" s="90">
        <v>2.7175782593739299</v>
      </c>
      <c r="BA965" s="90">
        <v>0</v>
      </c>
      <c r="BB965" s="90">
        <v>0</v>
      </c>
      <c r="BC965" s="90">
        <v>0.4149377593361</v>
      </c>
      <c r="BD965" s="90">
        <v>2.9301277235161498</v>
      </c>
      <c r="BE965" s="90">
        <v>0</v>
      </c>
    </row>
    <row r="966" spans="2:57" ht="15" customHeight="1" x14ac:dyDescent="0.25">
      <c r="B966" s="91">
        <v>956</v>
      </c>
      <c r="C966" s="92" t="s">
        <v>503</v>
      </c>
      <c r="D966" s="92" t="s">
        <v>302</v>
      </c>
      <c r="E966" s="92" t="s">
        <v>404</v>
      </c>
      <c r="F966" s="92"/>
      <c r="G966" s="93" t="s">
        <v>501</v>
      </c>
      <c r="H966" s="94">
        <v>0</v>
      </c>
      <c r="I966" s="94">
        <v>0</v>
      </c>
      <c r="J966" s="94">
        <v>0</v>
      </c>
      <c r="K966" s="94">
        <v>0</v>
      </c>
      <c r="L966" s="94">
        <v>0</v>
      </c>
      <c r="M966" s="94">
        <v>0</v>
      </c>
      <c r="N966" s="94">
        <v>0</v>
      </c>
      <c r="O966" s="94">
        <v>0</v>
      </c>
      <c r="P966" s="94">
        <v>0</v>
      </c>
      <c r="Q966" s="95">
        <v>0</v>
      </c>
      <c r="R966" s="95">
        <v>0</v>
      </c>
      <c r="S966" s="95">
        <v>0</v>
      </c>
      <c r="T966" s="95">
        <v>0</v>
      </c>
      <c r="U966" s="95">
        <v>0</v>
      </c>
      <c r="V966" s="95">
        <v>0</v>
      </c>
      <c r="W966" s="95">
        <v>0</v>
      </c>
      <c r="X966" s="95">
        <v>0</v>
      </c>
      <c r="Y966" s="95">
        <v>0</v>
      </c>
      <c r="Z966" s="94">
        <v>0</v>
      </c>
      <c r="AA966" s="94">
        <v>0</v>
      </c>
      <c r="AB966" s="94">
        <v>0</v>
      </c>
      <c r="AC966" s="94">
        <v>0</v>
      </c>
      <c r="AD966" s="94">
        <v>0</v>
      </c>
      <c r="AE966" s="94">
        <v>0</v>
      </c>
      <c r="AF966" s="94">
        <v>0</v>
      </c>
      <c r="AG966" s="94">
        <v>0</v>
      </c>
      <c r="AH966" s="94">
        <v>0</v>
      </c>
      <c r="AI966" s="94">
        <v>0</v>
      </c>
      <c r="AJ966" s="94">
        <v>0</v>
      </c>
      <c r="AK966" s="94">
        <v>0</v>
      </c>
      <c r="AL966" s="94">
        <v>0</v>
      </c>
      <c r="AM966" s="94">
        <v>0</v>
      </c>
      <c r="AN966" s="94">
        <v>0</v>
      </c>
      <c r="AO966" s="94">
        <v>0</v>
      </c>
      <c r="AP966" s="95">
        <v>0</v>
      </c>
      <c r="AQ966" s="95">
        <v>0</v>
      </c>
      <c r="AR966" s="95">
        <v>0</v>
      </c>
      <c r="AS966" s="95">
        <v>0</v>
      </c>
      <c r="AT966" s="95">
        <v>0</v>
      </c>
      <c r="AU966" s="95">
        <v>0</v>
      </c>
      <c r="AV966" s="95">
        <v>0</v>
      </c>
      <c r="AW966" s="95">
        <v>0</v>
      </c>
      <c r="AX966" s="95">
        <v>0</v>
      </c>
      <c r="AY966" s="95">
        <v>0</v>
      </c>
      <c r="AZ966" s="95">
        <v>0</v>
      </c>
      <c r="BA966" s="95">
        <v>0</v>
      </c>
      <c r="BB966" s="95">
        <v>0</v>
      </c>
      <c r="BC966" s="95">
        <v>0</v>
      </c>
      <c r="BD966" s="95">
        <v>0</v>
      </c>
      <c r="BE966" s="95">
        <v>0</v>
      </c>
    </row>
    <row r="967" spans="2:57" ht="15" customHeight="1" x14ac:dyDescent="0.25">
      <c r="B967" s="91">
        <v>957</v>
      </c>
      <c r="C967" s="92" t="s">
        <v>503</v>
      </c>
      <c r="D967" s="92" t="s">
        <v>302</v>
      </c>
      <c r="E967" s="92" t="s">
        <v>404</v>
      </c>
      <c r="F967" s="92"/>
      <c r="G967" s="93" t="s">
        <v>502</v>
      </c>
      <c r="H967" s="94">
        <v>3177</v>
      </c>
      <c r="I967" s="94">
        <v>1826</v>
      </c>
      <c r="J967" s="94">
        <v>1351</v>
      </c>
      <c r="K967" s="94">
        <v>103</v>
      </c>
      <c r="L967" s="94">
        <v>815</v>
      </c>
      <c r="M967" s="94">
        <v>1522</v>
      </c>
      <c r="N967" s="94">
        <v>737</v>
      </c>
      <c r="O967" s="94">
        <v>3167</v>
      </c>
      <c r="P967" s="94">
        <v>10</v>
      </c>
      <c r="Q967" s="95">
        <v>0.744095761889356</v>
      </c>
      <c r="R967" s="95">
        <v>0.84554678692220997</v>
      </c>
      <c r="S967" s="95">
        <v>0.607441154138193</v>
      </c>
      <c r="T967" s="95">
        <v>0</v>
      </c>
      <c r="U967" s="95">
        <v>1.13493064312736</v>
      </c>
      <c r="V967" s="95">
        <v>0.74274139095205904</v>
      </c>
      <c r="W967" s="95">
        <v>0.41208791208791201</v>
      </c>
      <c r="X967" s="95">
        <v>0.74651087309315201</v>
      </c>
      <c r="Y967" s="95">
        <v>0</v>
      </c>
      <c r="Z967" s="94">
        <v>3045</v>
      </c>
      <c r="AA967" s="94">
        <v>1679</v>
      </c>
      <c r="AB967" s="94">
        <v>1366</v>
      </c>
      <c r="AC967" s="94">
        <v>95</v>
      </c>
      <c r="AD967" s="94">
        <v>633</v>
      </c>
      <c r="AE967" s="94">
        <v>1611</v>
      </c>
      <c r="AF967" s="94">
        <v>706</v>
      </c>
      <c r="AG967" s="94">
        <v>2658</v>
      </c>
      <c r="AH967" s="94">
        <v>377</v>
      </c>
      <c r="AI967" s="94">
        <v>10</v>
      </c>
      <c r="AJ967" s="94">
        <v>3024</v>
      </c>
      <c r="AK967" s="94">
        <v>17</v>
      </c>
      <c r="AL967" s="94">
        <v>4</v>
      </c>
      <c r="AM967" s="94">
        <v>251</v>
      </c>
      <c r="AN967" s="94">
        <v>2769</v>
      </c>
      <c r="AO967" s="94">
        <v>25</v>
      </c>
      <c r="AP967" s="95">
        <v>2.6990092244619102</v>
      </c>
      <c r="AQ967" s="95">
        <v>1.1194029850746301</v>
      </c>
      <c r="AR967" s="95">
        <v>4.6247156937073504</v>
      </c>
      <c r="AS967" s="95">
        <v>7.3684210526315796</v>
      </c>
      <c r="AT967" s="95">
        <v>4.4701986754966896</v>
      </c>
      <c r="AU967" s="95">
        <v>2.4057217165149498</v>
      </c>
      <c r="AV967" s="95">
        <v>1.1594202898550701</v>
      </c>
      <c r="AW967" s="95">
        <v>2.421875</v>
      </c>
      <c r="AX967" s="95">
        <v>4.4692737430167604</v>
      </c>
      <c r="AY967" s="95">
        <v>11.1111111111111</v>
      </c>
      <c r="AZ967" s="95">
        <v>2.7175782593739299</v>
      </c>
      <c r="BA967" s="95">
        <v>0</v>
      </c>
      <c r="BB967" s="95">
        <v>0</v>
      </c>
      <c r="BC967" s="95">
        <v>0.4149377593361</v>
      </c>
      <c r="BD967" s="95">
        <v>2.9301277235161498</v>
      </c>
      <c r="BE967" s="95">
        <v>0</v>
      </c>
    </row>
    <row r="968" spans="2:57" ht="15" customHeight="1" x14ac:dyDescent="0.25">
      <c r="B968" s="96">
        <v>958</v>
      </c>
      <c r="C968" s="97" t="s">
        <v>504</v>
      </c>
      <c r="D968" s="104" t="s">
        <v>302</v>
      </c>
      <c r="E968" s="104" t="s">
        <v>404</v>
      </c>
      <c r="F968" s="104" t="s">
        <v>151</v>
      </c>
      <c r="G968" s="105" t="s">
        <v>151</v>
      </c>
      <c r="H968" s="106">
        <v>2303</v>
      </c>
      <c r="I968" s="106">
        <v>1322</v>
      </c>
      <c r="J968" s="106">
        <v>981</v>
      </c>
      <c r="K968" s="106">
        <v>92</v>
      </c>
      <c r="L968" s="106">
        <v>642</v>
      </c>
      <c r="M968" s="106">
        <v>1030</v>
      </c>
      <c r="N968" s="106">
        <v>539</v>
      </c>
      <c r="O968" s="106">
        <v>2293</v>
      </c>
      <c r="P968" s="106">
        <v>10</v>
      </c>
      <c r="Q968" s="107">
        <v>0.44802867383512501</v>
      </c>
      <c r="R968" s="107">
        <v>0.39123630672926402</v>
      </c>
      <c r="S968" s="107">
        <v>0.524109014675052</v>
      </c>
      <c r="T968" s="107">
        <v>0</v>
      </c>
      <c r="U968" s="107">
        <v>0.48231511254019299</v>
      </c>
      <c r="V968" s="107">
        <v>0.59880239520958101</v>
      </c>
      <c r="W968" s="107">
        <v>0.18867924528301899</v>
      </c>
      <c r="X968" s="107">
        <v>0.45004500450044999</v>
      </c>
      <c r="Y968" s="107">
        <v>0</v>
      </c>
      <c r="Z968" s="106">
        <v>2197</v>
      </c>
      <c r="AA968" s="106">
        <v>1208</v>
      </c>
      <c r="AB968" s="106">
        <v>989</v>
      </c>
      <c r="AC968" s="106">
        <v>72</v>
      </c>
      <c r="AD968" s="106">
        <v>469</v>
      </c>
      <c r="AE968" s="106">
        <v>1167</v>
      </c>
      <c r="AF968" s="106">
        <v>489</v>
      </c>
      <c r="AG968" s="106">
        <v>1912</v>
      </c>
      <c r="AH968" s="106">
        <v>279</v>
      </c>
      <c r="AI968" s="106">
        <v>6</v>
      </c>
      <c r="AJ968" s="106">
        <v>2184</v>
      </c>
      <c r="AK968" s="106">
        <v>11</v>
      </c>
      <c r="AL968" s="106">
        <v>2</v>
      </c>
      <c r="AM968" s="106">
        <v>177</v>
      </c>
      <c r="AN968" s="106">
        <v>1998</v>
      </c>
      <c r="AO968" s="106">
        <v>22</v>
      </c>
      <c r="AP968" s="107">
        <v>3.2045240339302499</v>
      </c>
      <c r="AQ968" s="107">
        <v>1.1226252158894601</v>
      </c>
      <c r="AR968" s="107">
        <v>5.7053941908713703</v>
      </c>
      <c r="AS968" s="107">
        <v>9.7222222222222197</v>
      </c>
      <c r="AT968" s="107">
        <v>4.9327354260089704</v>
      </c>
      <c r="AU968" s="107">
        <v>2.9359430604982202</v>
      </c>
      <c r="AV968" s="107">
        <v>1.25</v>
      </c>
      <c r="AW968" s="107">
        <v>2.9713668287412198</v>
      </c>
      <c r="AX968" s="107">
        <v>4.52830188679245</v>
      </c>
      <c r="AY968" s="107">
        <v>16.6666666666667</v>
      </c>
      <c r="AZ968" s="107">
        <v>3.2242769084874299</v>
      </c>
      <c r="BA968" s="107">
        <v>0</v>
      </c>
      <c r="BB968" s="107">
        <v>0</v>
      </c>
      <c r="BC968" s="107">
        <v>0.59171597633136097</v>
      </c>
      <c r="BD968" s="107">
        <v>3.46790890269151</v>
      </c>
      <c r="BE968" s="107">
        <v>0</v>
      </c>
    </row>
    <row r="969" spans="2:57" ht="15" customHeight="1" x14ac:dyDescent="0.25">
      <c r="B969" s="91">
        <v>959</v>
      </c>
      <c r="C969" s="92" t="s">
        <v>504</v>
      </c>
      <c r="D969" s="92" t="s">
        <v>302</v>
      </c>
      <c r="E969" s="92" t="s">
        <v>404</v>
      </c>
      <c r="F969" s="92" t="s">
        <v>151</v>
      </c>
      <c r="G969" s="101" t="s">
        <v>501</v>
      </c>
      <c r="H969" s="94">
        <v>0</v>
      </c>
      <c r="I969" s="94">
        <v>0</v>
      </c>
      <c r="J969" s="94">
        <v>0</v>
      </c>
      <c r="K969" s="94">
        <v>0</v>
      </c>
      <c r="L969" s="94">
        <v>0</v>
      </c>
      <c r="M969" s="94">
        <v>0</v>
      </c>
      <c r="N969" s="94">
        <v>0</v>
      </c>
      <c r="O969" s="94">
        <v>0</v>
      </c>
      <c r="P969" s="94">
        <v>0</v>
      </c>
      <c r="Q969" s="95">
        <v>0</v>
      </c>
      <c r="R969" s="95">
        <v>0</v>
      </c>
      <c r="S969" s="95">
        <v>0</v>
      </c>
      <c r="T969" s="95">
        <v>0</v>
      </c>
      <c r="U969" s="95">
        <v>0</v>
      </c>
      <c r="V969" s="95">
        <v>0</v>
      </c>
      <c r="W969" s="95">
        <v>0</v>
      </c>
      <c r="X969" s="95">
        <v>0</v>
      </c>
      <c r="Y969" s="95">
        <v>0</v>
      </c>
      <c r="Z969" s="94">
        <v>0</v>
      </c>
      <c r="AA969" s="94">
        <v>0</v>
      </c>
      <c r="AB969" s="94">
        <v>0</v>
      </c>
      <c r="AC969" s="94">
        <v>0</v>
      </c>
      <c r="AD969" s="94">
        <v>0</v>
      </c>
      <c r="AE969" s="94">
        <v>0</v>
      </c>
      <c r="AF969" s="94">
        <v>0</v>
      </c>
      <c r="AG969" s="94">
        <v>0</v>
      </c>
      <c r="AH969" s="94">
        <v>0</v>
      </c>
      <c r="AI969" s="94">
        <v>0</v>
      </c>
      <c r="AJ969" s="94">
        <v>0</v>
      </c>
      <c r="AK969" s="94">
        <v>0</v>
      </c>
      <c r="AL969" s="94">
        <v>0</v>
      </c>
      <c r="AM969" s="94">
        <v>0</v>
      </c>
      <c r="AN969" s="94">
        <v>0</v>
      </c>
      <c r="AO969" s="94">
        <v>0</v>
      </c>
      <c r="AP969" s="95">
        <v>0</v>
      </c>
      <c r="AQ969" s="95">
        <v>0</v>
      </c>
      <c r="AR969" s="95">
        <v>0</v>
      </c>
      <c r="AS969" s="95">
        <v>0</v>
      </c>
      <c r="AT969" s="95">
        <v>0</v>
      </c>
      <c r="AU969" s="95">
        <v>0</v>
      </c>
      <c r="AV969" s="95">
        <v>0</v>
      </c>
      <c r="AW969" s="95">
        <v>0</v>
      </c>
      <c r="AX969" s="95">
        <v>0</v>
      </c>
      <c r="AY969" s="95">
        <v>0</v>
      </c>
      <c r="AZ969" s="95">
        <v>0</v>
      </c>
      <c r="BA969" s="95">
        <v>0</v>
      </c>
      <c r="BB969" s="95">
        <v>0</v>
      </c>
      <c r="BC969" s="95">
        <v>0</v>
      </c>
      <c r="BD969" s="95">
        <v>0</v>
      </c>
      <c r="BE969" s="95">
        <v>0</v>
      </c>
    </row>
    <row r="970" spans="2:57" ht="15" customHeight="1" x14ac:dyDescent="0.25">
      <c r="B970" s="91">
        <v>960</v>
      </c>
      <c r="C970" s="92" t="s">
        <v>504</v>
      </c>
      <c r="D970" s="92" t="s">
        <v>302</v>
      </c>
      <c r="E970" s="92" t="s">
        <v>404</v>
      </c>
      <c r="F970" s="92" t="s">
        <v>151</v>
      </c>
      <c r="G970" s="101" t="s">
        <v>502</v>
      </c>
      <c r="H970" s="94">
        <v>2303</v>
      </c>
      <c r="I970" s="94">
        <v>1322</v>
      </c>
      <c r="J970" s="94">
        <v>981</v>
      </c>
      <c r="K970" s="94">
        <v>92</v>
      </c>
      <c r="L970" s="94">
        <v>642</v>
      </c>
      <c r="M970" s="94">
        <v>1030</v>
      </c>
      <c r="N970" s="94">
        <v>539</v>
      </c>
      <c r="O970" s="94">
        <v>2293</v>
      </c>
      <c r="P970" s="94">
        <v>10</v>
      </c>
      <c r="Q970" s="95">
        <v>0.44802867383512501</v>
      </c>
      <c r="R970" s="95">
        <v>0.39123630672926402</v>
      </c>
      <c r="S970" s="95">
        <v>0.524109014675052</v>
      </c>
      <c r="T970" s="95">
        <v>0</v>
      </c>
      <c r="U970" s="95">
        <v>0.48231511254019299</v>
      </c>
      <c r="V970" s="95">
        <v>0.59880239520958101</v>
      </c>
      <c r="W970" s="95">
        <v>0.18867924528301899</v>
      </c>
      <c r="X970" s="95">
        <v>0.45004500450044999</v>
      </c>
      <c r="Y970" s="95">
        <v>0</v>
      </c>
      <c r="Z970" s="94">
        <v>2197</v>
      </c>
      <c r="AA970" s="94">
        <v>1208</v>
      </c>
      <c r="AB970" s="94">
        <v>989</v>
      </c>
      <c r="AC970" s="94">
        <v>72</v>
      </c>
      <c r="AD970" s="94">
        <v>469</v>
      </c>
      <c r="AE970" s="94">
        <v>1167</v>
      </c>
      <c r="AF970" s="94">
        <v>489</v>
      </c>
      <c r="AG970" s="94">
        <v>1912</v>
      </c>
      <c r="AH970" s="94">
        <v>279</v>
      </c>
      <c r="AI970" s="94">
        <v>6</v>
      </c>
      <c r="AJ970" s="94">
        <v>2184</v>
      </c>
      <c r="AK970" s="94">
        <v>11</v>
      </c>
      <c r="AL970" s="94">
        <v>2</v>
      </c>
      <c r="AM970" s="94">
        <v>177</v>
      </c>
      <c r="AN970" s="94">
        <v>1998</v>
      </c>
      <c r="AO970" s="94">
        <v>22</v>
      </c>
      <c r="AP970" s="95">
        <v>3.2045240339302499</v>
      </c>
      <c r="AQ970" s="95">
        <v>1.1226252158894601</v>
      </c>
      <c r="AR970" s="95">
        <v>5.7053941908713703</v>
      </c>
      <c r="AS970" s="95">
        <v>9.7222222222222197</v>
      </c>
      <c r="AT970" s="95">
        <v>4.9327354260089704</v>
      </c>
      <c r="AU970" s="95">
        <v>2.9359430604982202</v>
      </c>
      <c r="AV970" s="95">
        <v>1.25</v>
      </c>
      <c r="AW970" s="95">
        <v>2.9713668287412198</v>
      </c>
      <c r="AX970" s="95">
        <v>4.52830188679245</v>
      </c>
      <c r="AY970" s="95">
        <v>16.6666666666667</v>
      </c>
      <c r="AZ970" s="95">
        <v>3.2242769084874299</v>
      </c>
      <c r="BA970" s="95">
        <v>0</v>
      </c>
      <c r="BB970" s="95">
        <v>0</v>
      </c>
      <c r="BC970" s="95">
        <v>0.59171597633136097</v>
      </c>
      <c r="BD970" s="95">
        <v>3.46790890269151</v>
      </c>
      <c r="BE970" s="95">
        <v>0</v>
      </c>
    </row>
    <row r="971" spans="2:57" ht="15" customHeight="1" x14ac:dyDescent="0.25">
      <c r="B971" s="96">
        <v>961</v>
      </c>
      <c r="C971" s="97" t="s">
        <v>504</v>
      </c>
      <c r="D971" s="104" t="s">
        <v>302</v>
      </c>
      <c r="E971" s="104" t="s">
        <v>404</v>
      </c>
      <c r="F971" s="104" t="s">
        <v>25</v>
      </c>
      <c r="G971" s="105" t="s">
        <v>25</v>
      </c>
      <c r="H971" s="106">
        <v>874</v>
      </c>
      <c r="I971" s="106">
        <v>504</v>
      </c>
      <c r="J971" s="106">
        <v>370</v>
      </c>
      <c r="K971" s="106">
        <v>11</v>
      </c>
      <c r="L971" s="106">
        <v>173</v>
      </c>
      <c r="M971" s="106">
        <v>492</v>
      </c>
      <c r="N971" s="106">
        <v>198</v>
      </c>
      <c r="O971" s="106">
        <v>874</v>
      </c>
      <c r="P971" s="106">
        <v>0</v>
      </c>
      <c r="Q971" s="107">
        <v>1.5133876600698499</v>
      </c>
      <c r="R971" s="107">
        <v>2.0161290322580601</v>
      </c>
      <c r="S971" s="107">
        <v>0.826446280991736</v>
      </c>
      <c r="T971" s="107">
        <v>0</v>
      </c>
      <c r="U971" s="107">
        <v>3.5087719298245599</v>
      </c>
      <c r="V971" s="107">
        <v>1.0438413361169101</v>
      </c>
      <c r="W971" s="107">
        <v>1.0101010101010099</v>
      </c>
      <c r="X971" s="107">
        <v>1.5133876600698499</v>
      </c>
      <c r="Y971" s="107">
        <v>0</v>
      </c>
      <c r="Z971" s="106">
        <v>848</v>
      </c>
      <c r="AA971" s="106">
        <v>471</v>
      </c>
      <c r="AB971" s="106">
        <v>377</v>
      </c>
      <c r="AC971" s="106">
        <v>23</v>
      </c>
      <c r="AD971" s="106">
        <v>164</v>
      </c>
      <c r="AE971" s="106">
        <v>444</v>
      </c>
      <c r="AF971" s="106">
        <v>217</v>
      </c>
      <c r="AG971" s="106">
        <v>746</v>
      </c>
      <c r="AH971" s="106">
        <v>98</v>
      </c>
      <c r="AI971" s="106">
        <v>4</v>
      </c>
      <c r="AJ971" s="106">
        <v>840</v>
      </c>
      <c r="AK971" s="106">
        <v>6</v>
      </c>
      <c r="AL971" s="106">
        <v>2</v>
      </c>
      <c r="AM971" s="106">
        <v>74</v>
      </c>
      <c r="AN971" s="106">
        <v>771</v>
      </c>
      <c r="AO971" s="106">
        <v>3</v>
      </c>
      <c r="AP971" s="107">
        <v>1.36645962732919</v>
      </c>
      <c r="AQ971" s="107">
        <v>1.1111111111111101</v>
      </c>
      <c r="AR971" s="107">
        <v>1.6901408450704201</v>
      </c>
      <c r="AS971" s="107">
        <v>0</v>
      </c>
      <c r="AT971" s="107">
        <v>3.16455696202532</v>
      </c>
      <c r="AU971" s="107">
        <v>0.96618357487922701</v>
      </c>
      <c r="AV971" s="107">
        <v>0.952380952380952</v>
      </c>
      <c r="AW971" s="107">
        <v>0.98730606488011297</v>
      </c>
      <c r="AX971" s="107">
        <v>4.3010752688171996</v>
      </c>
      <c r="AY971" s="107">
        <v>0</v>
      </c>
      <c r="AZ971" s="107">
        <v>1.3784461152882199</v>
      </c>
      <c r="BA971" s="107">
        <v>0</v>
      </c>
      <c r="BB971" s="107">
        <v>0</v>
      </c>
      <c r="BC971" s="107">
        <v>0</v>
      </c>
      <c r="BD971" s="107">
        <v>1.5068493150684901</v>
      </c>
      <c r="BE971" s="107">
        <v>0</v>
      </c>
    </row>
    <row r="972" spans="2:57" ht="15" customHeight="1" x14ac:dyDescent="0.25">
      <c r="B972" s="91">
        <v>962</v>
      </c>
      <c r="C972" s="92" t="s">
        <v>504</v>
      </c>
      <c r="D972" s="92" t="s">
        <v>302</v>
      </c>
      <c r="E972" s="92" t="s">
        <v>404</v>
      </c>
      <c r="F972" s="92" t="s">
        <v>25</v>
      </c>
      <c r="G972" s="101" t="s">
        <v>501</v>
      </c>
      <c r="H972" s="94">
        <v>0</v>
      </c>
      <c r="I972" s="94">
        <v>0</v>
      </c>
      <c r="J972" s="94">
        <v>0</v>
      </c>
      <c r="K972" s="94">
        <v>0</v>
      </c>
      <c r="L972" s="94">
        <v>0</v>
      </c>
      <c r="M972" s="94">
        <v>0</v>
      </c>
      <c r="N972" s="94">
        <v>0</v>
      </c>
      <c r="O972" s="94">
        <v>0</v>
      </c>
      <c r="P972" s="94">
        <v>0</v>
      </c>
      <c r="Q972" s="95">
        <v>0</v>
      </c>
      <c r="R972" s="95">
        <v>0</v>
      </c>
      <c r="S972" s="95">
        <v>0</v>
      </c>
      <c r="T972" s="95">
        <v>0</v>
      </c>
      <c r="U972" s="95">
        <v>0</v>
      </c>
      <c r="V972" s="95">
        <v>0</v>
      </c>
      <c r="W972" s="95">
        <v>0</v>
      </c>
      <c r="X972" s="95">
        <v>0</v>
      </c>
      <c r="Y972" s="95">
        <v>0</v>
      </c>
      <c r="Z972" s="94">
        <v>0</v>
      </c>
      <c r="AA972" s="94">
        <v>0</v>
      </c>
      <c r="AB972" s="94">
        <v>0</v>
      </c>
      <c r="AC972" s="94">
        <v>0</v>
      </c>
      <c r="AD972" s="94">
        <v>0</v>
      </c>
      <c r="AE972" s="94">
        <v>0</v>
      </c>
      <c r="AF972" s="94">
        <v>0</v>
      </c>
      <c r="AG972" s="94">
        <v>0</v>
      </c>
      <c r="AH972" s="94">
        <v>0</v>
      </c>
      <c r="AI972" s="94">
        <v>0</v>
      </c>
      <c r="AJ972" s="94">
        <v>0</v>
      </c>
      <c r="AK972" s="94">
        <v>0</v>
      </c>
      <c r="AL972" s="94">
        <v>0</v>
      </c>
      <c r="AM972" s="94">
        <v>0</v>
      </c>
      <c r="AN972" s="94">
        <v>0</v>
      </c>
      <c r="AO972" s="94">
        <v>0</v>
      </c>
      <c r="AP972" s="95">
        <v>0</v>
      </c>
      <c r="AQ972" s="95">
        <v>0</v>
      </c>
      <c r="AR972" s="95">
        <v>0</v>
      </c>
      <c r="AS972" s="95">
        <v>0</v>
      </c>
      <c r="AT972" s="95">
        <v>0</v>
      </c>
      <c r="AU972" s="95">
        <v>0</v>
      </c>
      <c r="AV972" s="95">
        <v>0</v>
      </c>
      <c r="AW972" s="95">
        <v>0</v>
      </c>
      <c r="AX972" s="95">
        <v>0</v>
      </c>
      <c r="AY972" s="95">
        <v>0</v>
      </c>
      <c r="AZ972" s="95">
        <v>0</v>
      </c>
      <c r="BA972" s="95">
        <v>0</v>
      </c>
      <c r="BB972" s="95">
        <v>0</v>
      </c>
      <c r="BC972" s="95">
        <v>0</v>
      </c>
      <c r="BD972" s="95">
        <v>0</v>
      </c>
      <c r="BE972" s="95">
        <v>0</v>
      </c>
    </row>
    <row r="973" spans="2:57" ht="15" customHeight="1" x14ac:dyDescent="0.25">
      <c r="B973" s="91">
        <v>963</v>
      </c>
      <c r="C973" s="92" t="s">
        <v>504</v>
      </c>
      <c r="D973" s="92" t="s">
        <v>302</v>
      </c>
      <c r="E973" s="92" t="s">
        <v>404</v>
      </c>
      <c r="F973" s="92" t="s">
        <v>25</v>
      </c>
      <c r="G973" s="101" t="s">
        <v>502</v>
      </c>
      <c r="H973" s="94">
        <v>874</v>
      </c>
      <c r="I973" s="94">
        <v>504</v>
      </c>
      <c r="J973" s="94">
        <v>370</v>
      </c>
      <c r="K973" s="94">
        <v>11</v>
      </c>
      <c r="L973" s="94">
        <v>173</v>
      </c>
      <c r="M973" s="94">
        <v>492</v>
      </c>
      <c r="N973" s="94">
        <v>198</v>
      </c>
      <c r="O973" s="94">
        <v>874</v>
      </c>
      <c r="P973" s="94">
        <v>0</v>
      </c>
      <c r="Q973" s="95">
        <v>1.5133876600698499</v>
      </c>
      <c r="R973" s="95">
        <v>2.0161290322580601</v>
      </c>
      <c r="S973" s="95">
        <v>0.826446280991736</v>
      </c>
      <c r="T973" s="95">
        <v>0</v>
      </c>
      <c r="U973" s="95">
        <v>3.5087719298245599</v>
      </c>
      <c r="V973" s="95">
        <v>1.0438413361169101</v>
      </c>
      <c r="W973" s="95">
        <v>1.0101010101010099</v>
      </c>
      <c r="X973" s="95">
        <v>1.5133876600698499</v>
      </c>
      <c r="Y973" s="95">
        <v>0</v>
      </c>
      <c r="Z973" s="94">
        <v>848</v>
      </c>
      <c r="AA973" s="94">
        <v>471</v>
      </c>
      <c r="AB973" s="94">
        <v>377</v>
      </c>
      <c r="AC973" s="94">
        <v>23</v>
      </c>
      <c r="AD973" s="94">
        <v>164</v>
      </c>
      <c r="AE973" s="94">
        <v>444</v>
      </c>
      <c r="AF973" s="94">
        <v>217</v>
      </c>
      <c r="AG973" s="94">
        <v>746</v>
      </c>
      <c r="AH973" s="94">
        <v>98</v>
      </c>
      <c r="AI973" s="94">
        <v>4</v>
      </c>
      <c r="AJ973" s="94">
        <v>840</v>
      </c>
      <c r="AK973" s="94">
        <v>6</v>
      </c>
      <c r="AL973" s="94">
        <v>2</v>
      </c>
      <c r="AM973" s="94">
        <v>74</v>
      </c>
      <c r="AN973" s="94">
        <v>771</v>
      </c>
      <c r="AO973" s="94">
        <v>3</v>
      </c>
      <c r="AP973" s="95">
        <v>1.36645962732919</v>
      </c>
      <c r="AQ973" s="95">
        <v>1.1111111111111101</v>
      </c>
      <c r="AR973" s="95">
        <v>1.6901408450704201</v>
      </c>
      <c r="AS973" s="95">
        <v>0</v>
      </c>
      <c r="AT973" s="95">
        <v>3.16455696202532</v>
      </c>
      <c r="AU973" s="95">
        <v>0.96618357487922701</v>
      </c>
      <c r="AV973" s="95">
        <v>0.952380952380952</v>
      </c>
      <c r="AW973" s="95">
        <v>0.98730606488011297</v>
      </c>
      <c r="AX973" s="95">
        <v>4.3010752688171996</v>
      </c>
      <c r="AY973" s="95">
        <v>0</v>
      </c>
      <c r="AZ973" s="95">
        <v>1.3784461152882199</v>
      </c>
      <c r="BA973" s="95">
        <v>0</v>
      </c>
      <c r="BB973" s="95">
        <v>0</v>
      </c>
      <c r="BC973" s="95">
        <v>0</v>
      </c>
      <c r="BD973" s="95">
        <v>1.5068493150684901</v>
      </c>
      <c r="BE973" s="95">
        <v>0</v>
      </c>
    </row>
    <row r="974" spans="2:57" ht="15" customHeight="1" x14ac:dyDescent="0.25">
      <c r="B974" s="86">
        <v>964</v>
      </c>
      <c r="C974" s="87" t="s">
        <v>503</v>
      </c>
      <c r="D974" s="103" t="s">
        <v>302</v>
      </c>
      <c r="E974" s="103" t="s">
        <v>405</v>
      </c>
      <c r="F974" s="103"/>
      <c r="G974" s="88" t="s">
        <v>405</v>
      </c>
      <c r="H974" s="89">
        <v>19684</v>
      </c>
      <c r="I974" s="89">
        <v>10537</v>
      </c>
      <c r="J974" s="89">
        <v>9147</v>
      </c>
      <c r="K974" s="89">
        <v>992</v>
      </c>
      <c r="L974" s="89">
        <v>5270</v>
      </c>
      <c r="M974" s="89">
        <v>10986</v>
      </c>
      <c r="N974" s="89">
        <v>2436</v>
      </c>
      <c r="O974" s="89">
        <v>19208</v>
      </c>
      <c r="P974" s="89">
        <v>476</v>
      </c>
      <c r="Q974" s="90">
        <v>1.1604552555233201</v>
      </c>
      <c r="R974" s="90">
        <v>0.993209688861863</v>
      </c>
      <c r="S974" s="90">
        <v>1.3652724339083999</v>
      </c>
      <c r="T974" s="90">
        <v>2.0592020592020601</v>
      </c>
      <c r="U974" s="90">
        <v>1.41619108010991</v>
      </c>
      <c r="V974" s="90">
        <v>0.97971980013716098</v>
      </c>
      <c r="W974" s="90">
        <v>1.1317338162064301</v>
      </c>
      <c r="X974" s="90">
        <v>1.1774792797942299</v>
      </c>
      <c r="Y974" s="90">
        <v>0.46620046620046601</v>
      </c>
      <c r="Z974" s="89">
        <v>24756</v>
      </c>
      <c r="AA974" s="89">
        <v>12847</v>
      </c>
      <c r="AB974" s="89">
        <v>11909</v>
      </c>
      <c r="AC974" s="89">
        <v>884</v>
      </c>
      <c r="AD974" s="89">
        <v>6196</v>
      </c>
      <c r="AE974" s="89">
        <v>13992</v>
      </c>
      <c r="AF974" s="89">
        <v>3684</v>
      </c>
      <c r="AG974" s="89">
        <v>9451</v>
      </c>
      <c r="AH974" s="89">
        <v>14823</v>
      </c>
      <c r="AI974" s="89">
        <v>482</v>
      </c>
      <c r="AJ974" s="89">
        <v>23637</v>
      </c>
      <c r="AK974" s="89">
        <v>1063</v>
      </c>
      <c r="AL974" s="89">
        <v>56</v>
      </c>
      <c r="AM974" s="89">
        <v>1898</v>
      </c>
      <c r="AN974" s="89">
        <v>22546</v>
      </c>
      <c r="AO974" s="89">
        <v>312</v>
      </c>
      <c r="AP974" s="90">
        <v>4.6337944496308197</v>
      </c>
      <c r="AQ974" s="90">
        <v>2.2335932423651701</v>
      </c>
      <c r="AR974" s="90">
        <v>7.2596410165274596</v>
      </c>
      <c r="AS974" s="90">
        <v>8.6479902557856292</v>
      </c>
      <c r="AT974" s="90">
        <v>5.5077452667814102</v>
      </c>
      <c r="AU974" s="90">
        <v>4.2570640423469799</v>
      </c>
      <c r="AV974" s="90">
        <v>3.6910846110164699</v>
      </c>
      <c r="AW974" s="90">
        <v>3.71311747154382</v>
      </c>
      <c r="AX974" s="90">
        <v>5.29716679684726</v>
      </c>
      <c r="AY974" s="90">
        <v>2.30414746543779</v>
      </c>
      <c r="AZ974" s="90">
        <v>4.6207846447771797</v>
      </c>
      <c r="BA974" s="90">
        <v>5.06454816285998</v>
      </c>
      <c r="BB974" s="90">
        <v>1.92307692307692</v>
      </c>
      <c r="BC974" s="90">
        <v>4.5604395604395602</v>
      </c>
      <c r="BD974" s="90">
        <v>4.6478019672742503</v>
      </c>
      <c r="BE974" s="90">
        <v>4.0677966101694896</v>
      </c>
    </row>
    <row r="975" spans="2:57" ht="15" customHeight="1" x14ac:dyDescent="0.25">
      <c r="B975" s="91">
        <v>965</v>
      </c>
      <c r="C975" s="92" t="s">
        <v>503</v>
      </c>
      <c r="D975" s="92" t="s">
        <v>302</v>
      </c>
      <c r="E975" s="92" t="s">
        <v>405</v>
      </c>
      <c r="F975" s="92"/>
      <c r="G975" s="93" t="s">
        <v>501</v>
      </c>
      <c r="H975" s="94">
        <v>15149</v>
      </c>
      <c r="I975" s="94">
        <v>8065</v>
      </c>
      <c r="J975" s="94">
        <v>7084</v>
      </c>
      <c r="K975" s="94">
        <v>720</v>
      </c>
      <c r="L975" s="94">
        <v>4171</v>
      </c>
      <c r="M975" s="94">
        <v>8603</v>
      </c>
      <c r="N975" s="94">
        <v>1655</v>
      </c>
      <c r="O975" s="94">
        <v>14779</v>
      </c>
      <c r="P975" s="94">
        <v>370</v>
      </c>
      <c r="Q975" s="95">
        <v>1.4667141331434701</v>
      </c>
      <c r="R975" s="95">
        <v>1.26398946675444</v>
      </c>
      <c r="S975" s="95">
        <v>1.7054263565891501</v>
      </c>
      <c r="T975" s="95">
        <v>2.6785714285714302</v>
      </c>
      <c r="U975" s="95">
        <v>1.7502612330198499</v>
      </c>
      <c r="V975" s="95">
        <v>1.21591746499632</v>
      </c>
      <c r="W975" s="95">
        <v>1.6501650165016499</v>
      </c>
      <c r="X975" s="95">
        <v>1.48796498905908</v>
      </c>
      <c r="Y975" s="95">
        <v>0.59701492537313405</v>
      </c>
      <c r="Z975" s="94">
        <v>20301</v>
      </c>
      <c r="AA975" s="94">
        <v>10499</v>
      </c>
      <c r="AB975" s="94">
        <v>9802</v>
      </c>
      <c r="AC975" s="94">
        <v>671</v>
      </c>
      <c r="AD975" s="94">
        <v>5228</v>
      </c>
      <c r="AE975" s="94">
        <v>11681</v>
      </c>
      <c r="AF975" s="94">
        <v>2721</v>
      </c>
      <c r="AG975" s="94">
        <v>7477</v>
      </c>
      <c r="AH975" s="94">
        <v>12548</v>
      </c>
      <c r="AI975" s="94">
        <v>276</v>
      </c>
      <c r="AJ975" s="94">
        <v>19346</v>
      </c>
      <c r="AK975" s="94">
        <v>912</v>
      </c>
      <c r="AL975" s="94">
        <v>43</v>
      </c>
      <c r="AM975" s="94">
        <v>1460</v>
      </c>
      <c r="AN975" s="94">
        <v>18612</v>
      </c>
      <c r="AO975" s="94">
        <v>229</v>
      </c>
      <c r="AP975" s="95">
        <v>5.29067660609826</v>
      </c>
      <c r="AQ975" s="95">
        <v>2.6397051499153301</v>
      </c>
      <c r="AR975" s="95">
        <v>8.1590860099159297</v>
      </c>
      <c r="AS975" s="95">
        <v>10.8239095315024</v>
      </c>
      <c r="AT975" s="95">
        <v>6.0587515299877603</v>
      </c>
      <c r="AU975" s="95">
        <v>4.7954991962850499</v>
      </c>
      <c r="AV975" s="95">
        <v>4.6574287913779804</v>
      </c>
      <c r="AW975" s="95">
        <v>4.2883084229641</v>
      </c>
      <c r="AX975" s="95">
        <v>5.9297833025365403</v>
      </c>
      <c r="AY975" s="95">
        <v>3.5714285714285698</v>
      </c>
      <c r="AZ975" s="95">
        <v>5.2825886313046304</v>
      </c>
      <c r="BA975" s="95">
        <v>5.7043073341094299</v>
      </c>
      <c r="BB975" s="95">
        <v>0</v>
      </c>
      <c r="BC975" s="95">
        <v>5.7306590257879702</v>
      </c>
      <c r="BD975" s="95">
        <v>5.2586985991866202</v>
      </c>
      <c r="BE975" s="95">
        <v>5.0691244239631299</v>
      </c>
    </row>
    <row r="976" spans="2:57" ht="15" customHeight="1" x14ac:dyDescent="0.25">
      <c r="B976" s="91">
        <v>966</v>
      </c>
      <c r="C976" s="92" t="s">
        <v>503</v>
      </c>
      <c r="D976" s="92" t="s">
        <v>302</v>
      </c>
      <c r="E976" s="92" t="s">
        <v>405</v>
      </c>
      <c r="F976" s="92"/>
      <c r="G976" s="93" t="s">
        <v>502</v>
      </c>
      <c r="H976" s="94">
        <v>4535</v>
      </c>
      <c r="I976" s="94">
        <v>2472</v>
      </c>
      <c r="J976" s="94">
        <v>2063</v>
      </c>
      <c r="K976" s="94">
        <v>272</v>
      </c>
      <c r="L976" s="94">
        <v>1099</v>
      </c>
      <c r="M976" s="94">
        <v>2383</v>
      </c>
      <c r="N976" s="94">
        <v>781</v>
      </c>
      <c r="O976" s="94">
        <v>4429</v>
      </c>
      <c r="P976" s="94">
        <v>106</v>
      </c>
      <c r="Q976" s="95">
        <v>5.1559680329981997E-2</v>
      </c>
      <c r="R976" s="95">
        <v>8.8028169014084501E-2</v>
      </c>
      <c r="S976" s="95">
        <v>0</v>
      </c>
      <c r="T976" s="95">
        <v>0.460829493087558</v>
      </c>
      <c r="U976" s="95">
        <v>0</v>
      </c>
      <c r="V976" s="95">
        <v>4.8426150121065402E-2</v>
      </c>
      <c r="W976" s="95">
        <v>0</v>
      </c>
      <c r="X976" s="95">
        <v>5.2840158520475598E-2</v>
      </c>
      <c r="Y976" s="95">
        <v>0</v>
      </c>
      <c r="Z976" s="94">
        <v>4455</v>
      </c>
      <c r="AA976" s="94">
        <v>2348</v>
      </c>
      <c r="AB976" s="94">
        <v>2107</v>
      </c>
      <c r="AC976" s="94">
        <v>213</v>
      </c>
      <c r="AD976" s="94">
        <v>968</v>
      </c>
      <c r="AE976" s="94">
        <v>2311</v>
      </c>
      <c r="AF976" s="94">
        <v>963</v>
      </c>
      <c r="AG976" s="94">
        <v>1974</v>
      </c>
      <c r="AH976" s="94">
        <v>2275</v>
      </c>
      <c r="AI976" s="94">
        <v>206</v>
      </c>
      <c r="AJ976" s="94">
        <v>4291</v>
      </c>
      <c r="AK976" s="94">
        <v>151</v>
      </c>
      <c r="AL976" s="94">
        <v>13</v>
      </c>
      <c r="AM976" s="94">
        <v>438</v>
      </c>
      <c r="AN976" s="94">
        <v>3934</v>
      </c>
      <c r="AO976" s="94">
        <v>83</v>
      </c>
      <c r="AP976" s="95">
        <v>1.64744645799012</v>
      </c>
      <c r="AQ976" s="95">
        <v>0.43994720633523998</v>
      </c>
      <c r="AR976" s="95">
        <v>3.0364372469635601</v>
      </c>
      <c r="AS976" s="95">
        <v>1.98019801980198</v>
      </c>
      <c r="AT976" s="95">
        <v>2.5330396475770902</v>
      </c>
      <c r="AU976" s="95">
        <v>1.53498871331828</v>
      </c>
      <c r="AV976" s="95">
        <v>0.97402597402597402</v>
      </c>
      <c r="AW976" s="95">
        <v>1.53439153439153</v>
      </c>
      <c r="AX976" s="95">
        <v>1.8373909049150201</v>
      </c>
      <c r="AY976" s="95">
        <v>0.54945054945054905</v>
      </c>
      <c r="AZ976" s="95">
        <v>1.6389432485322899</v>
      </c>
      <c r="BA976" s="95">
        <v>1.35135135135135</v>
      </c>
      <c r="BB976" s="95">
        <v>7.6923076923076898</v>
      </c>
      <c r="BC976" s="95">
        <v>0.70754716981132104</v>
      </c>
      <c r="BD976" s="95">
        <v>1.76140912730184</v>
      </c>
      <c r="BE976" s="95">
        <v>1.2820512820512799</v>
      </c>
    </row>
    <row r="977" spans="2:57" ht="15" customHeight="1" x14ac:dyDescent="0.25">
      <c r="B977" s="96">
        <v>967</v>
      </c>
      <c r="C977" s="97" t="s">
        <v>504</v>
      </c>
      <c r="D977" s="104" t="s">
        <v>302</v>
      </c>
      <c r="E977" s="104" t="s">
        <v>405</v>
      </c>
      <c r="F977" s="104" t="s">
        <v>293</v>
      </c>
      <c r="G977" s="105" t="s">
        <v>293</v>
      </c>
      <c r="H977" s="106">
        <v>19684</v>
      </c>
      <c r="I977" s="106">
        <v>10537</v>
      </c>
      <c r="J977" s="106">
        <v>9147</v>
      </c>
      <c r="K977" s="106">
        <v>992</v>
      </c>
      <c r="L977" s="106">
        <v>5270</v>
      </c>
      <c r="M977" s="106">
        <v>10986</v>
      </c>
      <c r="N977" s="106">
        <v>2436</v>
      </c>
      <c r="O977" s="106">
        <v>19208</v>
      </c>
      <c r="P977" s="106">
        <v>476</v>
      </c>
      <c r="Q977" s="107">
        <v>1.1604552555233201</v>
      </c>
      <c r="R977" s="107">
        <v>0.993209688861863</v>
      </c>
      <c r="S977" s="107">
        <v>1.3652724339083999</v>
      </c>
      <c r="T977" s="107">
        <v>2.0592020592020601</v>
      </c>
      <c r="U977" s="107">
        <v>1.41619108010991</v>
      </c>
      <c r="V977" s="107">
        <v>0.97971980013716098</v>
      </c>
      <c r="W977" s="107">
        <v>1.1317338162064301</v>
      </c>
      <c r="X977" s="107">
        <v>1.1774792797942299</v>
      </c>
      <c r="Y977" s="107">
        <v>0.46620046620046601</v>
      </c>
      <c r="Z977" s="106">
        <v>24756</v>
      </c>
      <c r="AA977" s="106">
        <v>12847</v>
      </c>
      <c r="AB977" s="106">
        <v>11909</v>
      </c>
      <c r="AC977" s="106">
        <v>884</v>
      </c>
      <c r="AD977" s="106">
        <v>6196</v>
      </c>
      <c r="AE977" s="106">
        <v>13992</v>
      </c>
      <c r="AF977" s="106">
        <v>3684</v>
      </c>
      <c r="AG977" s="106">
        <v>9451</v>
      </c>
      <c r="AH977" s="106">
        <v>14823</v>
      </c>
      <c r="AI977" s="106">
        <v>482</v>
      </c>
      <c r="AJ977" s="106">
        <v>23637</v>
      </c>
      <c r="AK977" s="106">
        <v>1063</v>
      </c>
      <c r="AL977" s="106">
        <v>56</v>
      </c>
      <c r="AM977" s="106">
        <v>1898</v>
      </c>
      <c r="AN977" s="106">
        <v>22546</v>
      </c>
      <c r="AO977" s="106">
        <v>312</v>
      </c>
      <c r="AP977" s="107">
        <v>4.6337944496308197</v>
      </c>
      <c r="AQ977" s="107">
        <v>2.2335932423651701</v>
      </c>
      <c r="AR977" s="107">
        <v>7.2596410165274596</v>
      </c>
      <c r="AS977" s="107">
        <v>8.6479902557856292</v>
      </c>
      <c r="AT977" s="107">
        <v>5.5077452667814102</v>
      </c>
      <c r="AU977" s="107">
        <v>4.2570640423469799</v>
      </c>
      <c r="AV977" s="107">
        <v>3.6910846110164699</v>
      </c>
      <c r="AW977" s="107">
        <v>3.71311747154382</v>
      </c>
      <c r="AX977" s="107">
        <v>5.29716679684726</v>
      </c>
      <c r="AY977" s="107">
        <v>2.30414746543779</v>
      </c>
      <c r="AZ977" s="107">
        <v>4.6207846447771797</v>
      </c>
      <c r="BA977" s="107">
        <v>5.06454816285998</v>
      </c>
      <c r="BB977" s="107">
        <v>1.92307692307692</v>
      </c>
      <c r="BC977" s="107">
        <v>4.5604395604395602</v>
      </c>
      <c r="BD977" s="107">
        <v>4.6478019672742503</v>
      </c>
      <c r="BE977" s="107">
        <v>4.0677966101694896</v>
      </c>
    </row>
    <row r="978" spans="2:57" ht="15" customHeight="1" x14ac:dyDescent="0.25">
      <c r="B978" s="91">
        <v>968</v>
      </c>
      <c r="C978" s="92" t="s">
        <v>504</v>
      </c>
      <c r="D978" s="92" t="s">
        <v>302</v>
      </c>
      <c r="E978" s="92" t="s">
        <v>405</v>
      </c>
      <c r="F978" s="92" t="s">
        <v>293</v>
      </c>
      <c r="G978" s="101" t="s">
        <v>501</v>
      </c>
      <c r="H978" s="94">
        <v>15149</v>
      </c>
      <c r="I978" s="94">
        <v>8065</v>
      </c>
      <c r="J978" s="94">
        <v>7084</v>
      </c>
      <c r="K978" s="94">
        <v>720</v>
      </c>
      <c r="L978" s="94">
        <v>4171</v>
      </c>
      <c r="M978" s="94">
        <v>8603</v>
      </c>
      <c r="N978" s="94">
        <v>1655</v>
      </c>
      <c r="O978" s="94">
        <v>14779</v>
      </c>
      <c r="P978" s="94">
        <v>370</v>
      </c>
      <c r="Q978" s="95">
        <v>1.4667141331434701</v>
      </c>
      <c r="R978" s="95">
        <v>1.26398946675444</v>
      </c>
      <c r="S978" s="95">
        <v>1.7054263565891501</v>
      </c>
      <c r="T978" s="95">
        <v>2.6785714285714302</v>
      </c>
      <c r="U978" s="95">
        <v>1.7502612330198499</v>
      </c>
      <c r="V978" s="95">
        <v>1.21591746499632</v>
      </c>
      <c r="W978" s="95">
        <v>1.6501650165016499</v>
      </c>
      <c r="X978" s="95">
        <v>1.48796498905908</v>
      </c>
      <c r="Y978" s="95">
        <v>0.59701492537313405</v>
      </c>
      <c r="Z978" s="94">
        <v>20301</v>
      </c>
      <c r="AA978" s="94">
        <v>10499</v>
      </c>
      <c r="AB978" s="94">
        <v>9802</v>
      </c>
      <c r="AC978" s="94">
        <v>671</v>
      </c>
      <c r="AD978" s="94">
        <v>5228</v>
      </c>
      <c r="AE978" s="94">
        <v>11681</v>
      </c>
      <c r="AF978" s="94">
        <v>2721</v>
      </c>
      <c r="AG978" s="94">
        <v>7477</v>
      </c>
      <c r="AH978" s="94">
        <v>12548</v>
      </c>
      <c r="AI978" s="94">
        <v>276</v>
      </c>
      <c r="AJ978" s="94">
        <v>19346</v>
      </c>
      <c r="AK978" s="94">
        <v>912</v>
      </c>
      <c r="AL978" s="94">
        <v>43</v>
      </c>
      <c r="AM978" s="94">
        <v>1460</v>
      </c>
      <c r="AN978" s="94">
        <v>18612</v>
      </c>
      <c r="AO978" s="94">
        <v>229</v>
      </c>
      <c r="AP978" s="95">
        <v>5.29067660609826</v>
      </c>
      <c r="AQ978" s="95">
        <v>2.6397051499153301</v>
      </c>
      <c r="AR978" s="95">
        <v>8.1590860099159297</v>
      </c>
      <c r="AS978" s="95">
        <v>10.8239095315024</v>
      </c>
      <c r="AT978" s="95">
        <v>6.0587515299877603</v>
      </c>
      <c r="AU978" s="95">
        <v>4.7954991962850499</v>
      </c>
      <c r="AV978" s="95">
        <v>4.6574287913779804</v>
      </c>
      <c r="AW978" s="95">
        <v>4.2883084229641</v>
      </c>
      <c r="AX978" s="95">
        <v>5.9297833025365403</v>
      </c>
      <c r="AY978" s="95">
        <v>3.5714285714285698</v>
      </c>
      <c r="AZ978" s="95">
        <v>5.2825886313046304</v>
      </c>
      <c r="BA978" s="95">
        <v>5.7043073341094299</v>
      </c>
      <c r="BB978" s="95">
        <v>0</v>
      </c>
      <c r="BC978" s="95">
        <v>5.7306590257879702</v>
      </c>
      <c r="BD978" s="95">
        <v>5.2586985991866202</v>
      </c>
      <c r="BE978" s="95">
        <v>5.0691244239631299</v>
      </c>
    </row>
    <row r="979" spans="2:57" ht="15" customHeight="1" x14ac:dyDescent="0.25">
      <c r="B979" s="91">
        <v>969</v>
      </c>
      <c r="C979" s="92" t="s">
        <v>504</v>
      </c>
      <c r="D979" s="92" t="s">
        <v>302</v>
      </c>
      <c r="E979" s="92" t="s">
        <v>405</v>
      </c>
      <c r="F979" s="92" t="s">
        <v>293</v>
      </c>
      <c r="G979" s="101" t="s">
        <v>502</v>
      </c>
      <c r="H979" s="94">
        <v>4535</v>
      </c>
      <c r="I979" s="94">
        <v>2472</v>
      </c>
      <c r="J979" s="94">
        <v>2063</v>
      </c>
      <c r="K979" s="94">
        <v>272</v>
      </c>
      <c r="L979" s="94">
        <v>1099</v>
      </c>
      <c r="M979" s="94">
        <v>2383</v>
      </c>
      <c r="N979" s="94">
        <v>781</v>
      </c>
      <c r="O979" s="94">
        <v>4429</v>
      </c>
      <c r="P979" s="94">
        <v>106</v>
      </c>
      <c r="Q979" s="95">
        <v>5.1559680329981997E-2</v>
      </c>
      <c r="R979" s="95">
        <v>8.8028169014084501E-2</v>
      </c>
      <c r="S979" s="95">
        <v>0</v>
      </c>
      <c r="T979" s="95">
        <v>0.460829493087558</v>
      </c>
      <c r="U979" s="95">
        <v>0</v>
      </c>
      <c r="V979" s="95">
        <v>4.8426150121065402E-2</v>
      </c>
      <c r="W979" s="95">
        <v>0</v>
      </c>
      <c r="X979" s="95">
        <v>5.2840158520475598E-2</v>
      </c>
      <c r="Y979" s="95">
        <v>0</v>
      </c>
      <c r="Z979" s="94">
        <v>4455</v>
      </c>
      <c r="AA979" s="94">
        <v>2348</v>
      </c>
      <c r="AB979" s="94">
        <v>2107</v>
      </c>
      <c r="AC979" s="94">
        <v>213</v>
      </c>
      <c r="AD979" s="94">
        <v>968</v>
      </c>
      <c r="AE979" s="94">
        <v>2311</v>
      </c>
      <c r="AF979" s="94">
        <v>963</v>
      </c>
      <c r="AG979" s="94">
        <v>1974</v>
      </c>
      <c r="AH979" s="94">
        <v>2275</v>
      </c>
      <c r="AI979" s="94">
        <v>206</v>
      </c>
      <c r="AJ979" s="94">
        <v>4291</v>
      </c>
      <c r="AK979" s="94">
        <v>151</v>
      </c>
      <c r="AL979" s="94">
        <v>13</v>
      </c>
      <c r="AM979" s="94">
        <v>438</v>
      </c>
      <c r="AN979" s="94">
        <v>3934</v>
      </c>
      <c r="AO979" s="94">
        <v>83</v>
      </c>
      <c r="AP979" s="95">
        <v>1.64744645799012</v>
      </c>
      <c r="AQ979" s="95">
        <v>0.43994720633523998</v>
      </c>
      <c r="AR979" s="95">
        <v>3.0364372469635601</v>
      </c>
      <c r="AS979" s="95">
        <v>1.98019801980198</v>
      </c>
      <c r="AT979" s="95">
        <v>2.5330396475770902</v>
      </c>
      <c r="AU979" s="95">
        <v>1.53498871331828</v>
      </c>
      <c r="AV979" s="95">
        <v>0.97402597402597402</v>
      </c>
      <c r="AW979" s="95">
        <v>1.53439153439153</v>
      </c>
      <c r="AX979" s="95">
        <v>1.8373909049150201</v>
      </c>
      <c r="AY979" s="95">
        <v>0.54945054945054905</v>
      </c>
      <c r="AZ979" s="95">
        <v>1.6389432485322899</v>
      </c>
      <c r="BA979" s="95">
        <v>1.35135135135135</v>
      </c>
      <c r="BB979" s="95">
        <v>7.6923076923076898</v>
      </c>
      <c r="BC979" s="95">
        <v>0.70754716981132104</v>
      </c>
      <c r="BD979" s="95">
        <v>1.76140912730184</v>
      </c>
      <c r="BE979" s="95">
        <v>1.2820512820512799</v>
      </c>
    </row>
    <row r="980" spans="2:57" ht="15" customHeight="1" x14ac:dyDescent="0.25">
      <c r="B980" s="86">
        <v>970</v>
      </c>
      <c r="C980" s="87" t="s">
        <v>503</v>
      </c>
      <c r="D980" s="103" t="s">
        <v>302</v>
      </c>
      <c r="E980" s="103" t="s">
        <v>406</v>
      </c>
      <c r="F980" s="103"/>
      <c r="G980" s="88" t="s">
        <v>406</v>
      </c>
      <c r="H980" s="89">
        <v>802</v>
      </c>
      <c r="I980" s="89">
        <v>460</v>
      </c>
      <c r="J980" s="89">
        <v>342</v>
      </c>
      <c r="K980" s="89">
        <v>22</v>
      </c>
      <c r="L980" s="89">
        <v>207</v>
      </c>
      <c r="M980" s="89">
        <v>457</v>
      </c>
      <c r="N980" s="89">
        <v>116</v>
      </c>
      <c r="O980" s="89">
        <v>801</v>
      </c>
      <c r="P980" s="89">
        <v>1</v>
      </c>
      <c r="Q980" s="90">
        <v>0.91383812010443899</v>
      </c>
      <c r="R980" s="90">
        <v>0.45558086560364502</v>
      </c>
      <c r="S980" s="90">
        <v>1.5290519877675799</v>
      </c>
      <c r="T980" s="90">
        <v>0</v>
      </c>
      <c r="U980" s="90">
        <v>1.55440414507772</v>
      </c>
      <c r="V980" s="90">
        <v>0.90702947845805004</v>
      </c>
      <c r="W980" s="90">
        <v>0</v>
      </c>
      <c r="X980" s="90">
        <v>0.91503267973856195</v>
      </c>
      <c r="Y980" s="90">
        <v>0</v>
      </c>
      <c r="Z980" s="89">
        <v>1042</v>
      </c>
      <c r="AA980" s="89">
        <v>573</v>
      </c>
      <c r="AB980" s="89">
        <v>469</v>
      </c>
      <c r="AC980" s="89">
        <v>19</v>
      </c>
      <c r="AD980" s="89">
        <v>243</v>
      </c>
      <c r="AE980" s="89">
        <v>610</v>
      </c>
      <c r="AF980" s="89">
        <v>170</v>
      </c>
      <c r="AG980" s="89">
        <v>895</v>
      </c>
      <c r="AH980" s="89">
        <v>144</v>
      </c>
      <c r="AI980" s="89">
        <v>3</v>
      </c>
      <c r="AJ980" s="89">
        <v>1037</v>
      </c>
      <c r="AK980" s="89">
        <v>2</v>
      </c>
      <c r="AL980" s="89">
        <v>3</v>
      </c>
      <c r="AM980" s="89">
        <v>85</v>
      </c>
      <c r="AN980" s="89">
        <v>952</v>
      </c>
      <c r="AO980" s="89">
        <v>5</v>
      </c>
      <c r="AP980" s="90">
        <v>3.4693877551020398</v>
      </c>
      <c r="AQ980" s="90">
        <v>2.62172284644195</v>
      </c>
      <c r="AR980" s="90">
        <v>4.4843049327354301</v>
      </c>
      <c r="AS980" s="90">
        <v>0</v>
      </c>
      <c r="AT980" s="90">
        <v>8</v>
      </c>
      <c r="AU980" s="90">
        <v>2.8070175438596499</v>
      </c>
      <c r="AV980" s="90">
        <v>0</v>
      </c>
      <c r="AW980" s="90">
        <v>3.1877213695395499</v>
      </c>
      <c r="AX980" s="90">
        <v>4.6153846153846203</v>
      </c>
      <c r="AY980" s="90">
        <v>33.3333333333333</v>
      </c>
      <c r="AZ980" s="90">
        <v>3.4836065573770498</v>
      </c>
      <c r="BA980" s="90">
        <v>0</v>
      </c>
      <c r="BB980" s="90">
        <v>0</v>
      </c>
      <c r="BC980" s="90">
        <v>0</v>
      </c>
      <c r="BD980" s="90">
        <v>3.8116591928251098</v>
      </c>
      <c r="BE980" s="90">
        <v>0</v>
      </c>
    </row>
    <row r="981" spans="2:57" ht="15" customHeight="1" x14ac:dyDescent="0.25">
      <c r="B981" s="91">
        <v>971</v>
      </c>
      <c r="C981" s="92" t="s">
        <v>503</v>
      </c>
      <c r="D981" s="92" t="s">
        <v>302</v>
      </c>
      <c r="E981" s="92" t="s">
        <v>406</v>
      </c>
      <c r="F981" s="92"/>
      <c r="G981" s="93" t="s">
        <v>501</v>
      </c>
      <c r="H981" s="94">
        <v>0</v>
      </c>
      <c r="I981" s="94">
        <v>0</v>
      </c>
      <c r="J981" s="94">
        <v>0</v>
      </c>
      <c r="K981" s="94">
        <v>0</v>
      </c>
      <c r="L981" s="94">
        <v>0</v>
      </c>
      <c r="M981" s="94">
        <v>0</v>
      </c>
      <c r="N981" s="94">
        <v>0</v>
      </c>
      <c r="O981" s="94">
        <v>0</v>
      </c>
      <c r="P981" s="94">
        <v>0</v>
      </c>
      <c r="Q981" s="95">
        <v>0</v>
      </c>
      <c r="R981" s="95">
        <v>0</v>
      </c>
      <c r="S981" s="95">
        <v>0</v>
      </c>
      <c r="T981" s="95">
        <v>0</v>
      </c>
      <c r="U981" s="95">
        <v>0</v>
      </c>
      <c r="V981" s="95">
        <v>0</v>
      </c>
      <c r="W981" s="95">
        <v>0</v>
      </c>
      <c r="X981" s="95">
        <v>0</v>
      </c>
      <c r="Y981" s="95">
        <v>0</v>
      </c>
      <c r="Z981" s="94">
        <v>0</v>
      </c>
      <c r="AA981" s="94">
        <v>0</v>
      </c>
      <c r="AB981" s="94">
        <v>0</v>
      </c>
      <c r="AC981" s="94">
        <v>0</v>
      </c>
      <c r="AD981" s="94">
        <v>0</v>
      </c>
      <c r="AE981" s="94">
        <v>0</v>
      </c>
      <c r="AF981" s="94">
        <v>0</v>
      </c>
      <c r="AG981" s="94">
        <v>0</v>
      </c>
      <c r="AH981" s="94">
        <v>0</v>
      </c>
      <c r="AI981" s="94">
        <v>0</v>
      </c>
      <c r="AJ981" s="94">
        <v>0</v>
      </c>
      <c r="AK981" s="94">
        <v>0</v>
      </c>
      <c r="AL981" s="94">
        <v>0</v>
      </c>
      <c r="AM981" s="94">
        <v>0</v>
      </c>
      <c r="AN981" s="94">
        <v>0</v>
      </c>
      <c r="AO981" s="94">
        <v>0</v>
      </c>
      <c r="AP981" s="95">
        <v>0</v>
      </c>
      <c r="AQ981" s="95">
        <v>0</v>
      </c>
      <c r="AR981" s="95">
        <v>0</v>
      </c>
      <c r="AS981" s="95">
        <v>0</v>
      </c>
      <c r="AT981" s="95">
        <v>0</v>
      </c>
      <c r="AU981" s="95">
        <v>0</v>
      </c>
      <c r="AV981" s="95">
        <v>0</v>
      </c>
      <c r="AW981" s="95">
        <v>0</v>
      </c>
      <c r="AX981" s="95">
        <v>0</v>
      </c>
      <c r="AY981" s="95">
        <v>0</v>
      </c>
      <c r="AZ981" s="95">
        <v>0</v>
      </c>
      <c r="BA981" s="95">
        <v>0</v>
      </c>
      <c r="BB981" s="95">
        <v>0</v>
      </c>
      <c r="BC981" s="95">
        <v>0</v>
      </c>
      <c r="BD981" s="95">
        <v>0</v>
      </c>
      <c r="BE981" s="95">
        <v>0</v>
      </c>
    </row>
    <row r="982" spans="2:57" ht="15" customHeight="1" x14ac:dyDescent="0.25">
      <c r="B982" s="91">
        <v>972</v>
      </c>
      <c r="C982" s="92" t="s">
        <v>503</v>
      </c>
      <c r="D982" s="92" t="s">
        <v>302</v>
      </c>
      <c r="E982" s="92" t="s">
        <v>406</v>
      </c>
      <c r="F982" s="92"/>
      <c r="G982" s="93" t="s">
        <v>502</v>
      </c>
      <c r="H982" s="94">
        <v>802</v>
      </c>
      <c r="I982" s="94">
        <v>460</v>
      </c>
      <c r="J982" s="94">
        <v>342</v>
      </c>
      <c r="K982" s="94">
        <v>22</v>
      </c>
      <c r="L982" s="94">
        <v>207</v>
      </c>
      <c r="M982" s="94">
        <v>457</v>
      </c>
      <c r="N982" s="94">
        <v>116</v>
      </c>
      <c r="O982" s="94">
        <v>801</v>
      </c>
      <c r="P982" s="94">
        <v>1</v>
      </c>
      <c r="Q982" s="95">
        <v>0.91383812010443899</v>
      </c>
      <c r="R982" s="95">
        <v>0.45558086560364502</v>
      </c>
      <c r="S982" s="95">
        <v>1.5290519877675799</v>
      </c>
      <c r="T982" s="95">
        <v>0</v>
      </c>
      <c r="U982" s="95">
        <v>1.55440414507772</v>
      </c>
      <c r="V982" s="95">
        <v>0.90702947845805004</v>
      </c>
      <c r="W982" s="95">
        <v>0</v>
      </c>
      <c r="X982" s="95">
        <v>0.91503267973856195</v>
      </c>
      <c r="Y982" s="95">
        <v>0</v>
      </c>
      <c r="Z982" s="94">
        <v>1042</v>
      </c>
      <c r="AA982" s="94">
        <v>573</v>
      </c>
      <c r="AB982" s="94">
        <v>469</v>
      </c>
      <c r="AC982" s="94">
        <v>19</v>
      </c>
      <c r="AD982" s="94">
        <v>243</v>
      </c>
      <c r="AE982" s="94">
        <v>610</v>
      </c>
      <c r="AF982" s="94">
        <v>170</v>
      </c>
      <c r="AG982" s="94">
        <v>895</v>
      </c>
      <c r="AH982" s="94">
        <v>144</v>
      </c>
      <c r="AI982" s="94">
        <v>3</v>
      </c>
      <c r="AJ982" s="94">
        <v>1037</v>
      </c>
      <c r="AK982" s="94">
        <v>2</v>
      </c>
      <c r="AL982" s="94">
        <v>3</v>
      </c>
      <c r="AM982" s="94">
        <v>85</v>
      </c>
      <c r="AN982" s="94">
        <v>952</v>
      </c>
      <c r="AO982" s="94">
        <v>5</v>
      </c>
      <c r="AP982" s="95">
        <v>3.4693877551020398</v>
      </c>
      <c r="AQ982" s="95">
        <v>2.62172284644195</v>
      </c>
      <c r="AR982" s="95">
        <v>4.4843049327354301</v>
      </c>
      <c r="AS982" s="95">
        <v>0</v>
      </c>
      <c r="AT982" s="95">
        <v>8</v>
      </c>
      <c r="AU982" s="95">
        <v>2.8070175438596499</v>
      </c>
      <c r="AV982" s="95">
        <v>0</v>
      </c>
      <c r="AW982" s="95">
        <v>3.1877213695395499</v>
      </c>
      <c r="AX982" s="95">
        <v>4.6153846153846203</v>
      </c>
      <c r="AY982" s="95">
        <v>33.3333333333333</v>
      </c>
      <c r="AZ982" s="95">
        <v>3.4836065573770498</v>
      </c>
      <c r="BA982" s="95">
        <v>0</v>
      </c>
      <c r="BB982" s="95">
        <v>0</v>
      </c>
      <c r="BC982" s="95">
        <v>0</v>
      </c>
      <c r="BD982" s="95">
        <v>3.8116591928251098</v>
      </c>
      <c r="BE982" s="95">
        <v>0</v>
      </c>
    </row>
    <row r="983" spans="2:57" ht="15" customHeight="1" x14ac:dyDescent="0.25">
      <c r="B983" s="96">
        <v>973</v>
      </c>
      <c r="C983" s="97" t="s">
        <v>504</v>
      </c>
      <c r="D983" s="104" t="s">
        <v>302</v>
      </c>
      <c r="E983" s="104" t="s">
        <v>406</v>
      </c>
      <c r="F983" s="104" t="s">
        <v>29</v>
      </c>
      <c r="G983" s="105" t="s">
        <v>29</v>
      </c>
      <c r="H983" s="106">
        <v>802</v>
      </c>
      <c r="I983" s="106">
        <v>460</v>
      </c>
      <c r="J983" s="106">
        <v>342</v>
      </c>
      <c r="K983" s="106">
        <v>22</v>
      </c>
      <c r="L983" s="106">
        <v>207</v>
      </c>
      <c r="M983" s="106">
        <v>457</v>
      </c>
      <c r="N983" s="106">
        <v>116</v>
      </c>
      <c r="O983" s="106">
        <v>801</v>
      </c>
      <c r="P983" s="106">
        <v>1</v>
      </c>
      <c r="Q983" s="107">
        <v>0.91383812010443899</v>
      </c>
      <c r="R983" s="107">
        <v>0.45558086560364502</v>
      </c>
      <c r="S983" s="107">
        <v>1.5290519877675799</v>
      </c>
      <c r="T983" s="107">
        <v>0</v>
      </c>
      <c r="U983" s="107">
        <v>1.55440414507772</v>
      </c>
      <c r="V983" s="107">
        <v>0.90702947845805004</v>
      </c>
      <c r="W983" s="107">
        <v>0</v>
      </c>
      <c r="X983" s="107">
        <v>0.91503267973856195</v>
      </c>
      <c r="Y983" s="107">
        <v>0</v>
      </c>
      <c r="Z983" s="106">
        <v>1042</v>
      </c>
      <c r="AA983" s="106">
        <v>573</v>
      </c>
      <c r="AB983" s="106">
        <v>469</v>
      </c>
      <c r="AC983" s="106">
        <v>19</v>
      </c>
      <c r="AD983" s="106">
        <v>243</v>
      </c>
      <c r="AE983" s="106">
        <v>610</v>
      </c>
      <c r="AF983" s="106">
        <v>170</v>
      </c>
      <c r="AG983" s="106">
        <v>895</v>
      </c>
      <c r="AH983" s="106">
        <v>144</v>
      </c>
      <c r="AI983" s="106">
        <v>3</v>
      </c>
      <c r="AJ983" s="106">
        <v>1037</v>
      </c>
      <c r="AK983" s="106">
        <v>2</v>
      </c>
      <c r="AL983" s="106">
        <v>3</v>
      </c>
      <c r="AM983" s="106">
        <v>85</v>
      </c>
      <c r="AN983" s="106">
        <v>952</v>
      </c>
      <c r="AO983" s="106">
        <v>5</v>
      </c>
      <c r="AP983" s="107">
        <v>3.4693877551020398</v>
      </c>
      <c r="AQ983" s="107">
        <v>2.62172284644195</v>
      </c>
      <c r="AR983" s="107">
        <v>4.4843049327354301</v>
      </c>
      <c r="AS983" s="107">
        <v>0</v>
      </c>
      <c r="AT983" s="107">
        <v>8</v>
      </c>
      <c r="AU983" s="107">
        <v>2.8070175438596499</v>
      </c>
      <c r="AV983" s="107">
        <v>0</v>
      </c>
      <c r="AW983" s="107">
        <v>3.1877213695395499</v>
      </c>
      <c r="AX983" s="107">
        <v>4.6153846153846203</v>
      </c>
      <c r="AY983" s="107">
        <v>33.3333333333333</v>
      </c>
      <c r="AZ983" s="107">
        <v>3.4836065573770498</v>
      </c>
      <c r="BA983" s="107">
        <v>0</v>
      </c>
      <c r="BB983" s="107">
        <v>0</v>
      </c>
      <c r="BC983" s="107">
        <v>0</v>
      </c>
      <c r="BD983" s="107">
        <v>3.8116591928251098</v>
      </c>
      <c r="BE983" s="107">
        <v>0</v>
      </c>
    </row>
    <row r="984" spans="2:57" ht="15" customHeight="1" x14ac:dyDescent="0.25">
      <c r="B984" s="91">
        <v>974</v>
      </c>
      <c r="C984" s="92" t="s">
        <v>504</v>
      </c>
      <c r="D984" s="92" t="s">
        <v>302</v>
      </c>
      <c r="E984" s="92" t="s">
        <v>406</v>
      </c>
      <c r="F984" s="92" t="s">
        <v>29</v>
      </c>
      <c r="G984" s="101" t="s">
        <v>501</v>
      </c>
      <c r="H984" s="94">
        <v>0</v>
      </c>
      <c r="I984" s="94">
        <v>0</v>
      </c>
      <c r="J984" s="94">
        <v>0</v>
      </c>
      <c r="K984" s="94">
        <v>0</v>
      </c>
      <c r="L984" s="94">
        <v>0</v>
      </c>
      <c r="M984" s="94">
        <v>0</v>
      </c>
      <c r="N984" s="94">
        <v>0</v>
      </c>
      <c r="O984" s="94">
        <v>0</v>
      </c>
      <c r="P984" s="94">
        <v>0</v>
      </c>
      <c r="Q984" s="95">
        <v>0</v>
      </c>
      <c r="R984" s="95">
        <v>0</v>
      </c>
      <c r="S984" s="95">
        <v>0</v>
      </c>
      <c r="T984" s="95">
        <v>0</v>
      </c>
      <c r="U984" s="95">
        <v>0</v>
      </c>
      <c r="V984" s="95">
        <v>0</v>
      </c>
      <c r="W984" s="95">
        <v>0</v>
      </c>
      <c r="X984" s="95">
        <v>0</v>
      </c>
      <c r="Y984" s="95">
        <v>0</v>
      </c>
      <c r="Z984" s="94">
        <v>0</v>
      </c>
      <c r="AA984" s="94">
        <v>0</v>
      </c>
      <c r="AB984" s="94">
        <v>0</v>
      </c>
      <c r="AC984" s="94">
        <v>0</v>
      </c>
      <c r="AD984" s="94">
        <v>0</v>
      </c>
      <c r="AE984" s="94">
        <v>0</v>
      </c>
      <c r="AF984" s="94">
        <v>0</v>
      </c>
      <c r="AG984" s="94">
        <v>0</v>
      </c>
      <c r="AH984" s="94">
        <v>0</v>
      </c>
      <c r="AI984" s="94">
        <v>0</v>
      </c>
      <c r="AJ984" s="94">
        <v>0</v>
      </c>
      <c r="AK984" s="94">
        <v>0</v>
      </c>
      <c r="AL984" s="94">
        <v>0</v>
      </c>
      <c r="AM984" s="94">
        <v>0</v>
      </c>
      <c r="AN984" s="94">
        <v>0</v>
      </c>
      <c r="AO984" s="94">
        <v>0</v>
      </c>
      <c r="AP984" s="95">
        <v>0</v>
      </c>
      <c r="AQ984" s="95">
        <v>0</v>
      </c>
      <c r="AR984" s="95">
        <v>0</v>
      </c>
      <c r="AS984" s="95">
        <v>0</v>
      </c>
      <c r="AT984" s="95">
        <v>0</v>
      </c>
      <c r="AU984" s="95">
        <v>0</v>
      </c>
      <c r="AV984" s="95">
        <v>0</v>
      </c>
      <c r="AW984" s="95">
        <v>0</v>
      </c>
      <c r="AX984" s="95">
        <v>0</v>
      </c>
      <c r="AY984" s="95">
        <v>0</v>
      </c>
      <c r="AZ984" s="95">
        <v>0</v>
      </c>
      <c r="BA984" s="95">
        <v>0</v>
      </c>
      <c r="BB984" s="95">
        <v>0</v>
      </c>
      <c r="BC984" s="95">
        <v>0</v>
      </c>
      <c r="BD984" s="95">
        <v>0</v>
      </c>
      <c r="BE984" s="95">
        <v>0</v>
      </c>
    </row>
    <row r="985" spans="2:57" ht="15" customHeight="1" x14ac:dyDescent="0.25">
      <c r="B985" s="91">
        <v>975</v>
      </c>
      <c r="C985" s="92" t="s">
        <v>504</v>
      </c>
      <c r="D985" s="92" t="s">
        <v>302</v>
      </c>
      <c r="E985" s="92" t="s">
        <v>406</v>
      </c>
      <c r="F985" s="92" t="s">
        <v>29</v>
      </c>
      <c r="G985" s="101" t="s">
        <v>502</v>
      </c>
      <c r="H985" s="94">
        <v>802</v>
      </c>
      <c r="I985" s="94">
        <v>460</v>
      </c>
      <c r="J985" s="94">
        <v>342</v>
      </c>
      <c r="K985" s="94">
        <v>22</v>
      </c>
      <c r="L985" s="94">
        <v>207</v>
      </c>
      <c r="M985" s="94">
        <v>457</v>
      </c>
      <c r="N985" s="94">
        <v>116</v>
      </c>
      <c r="O985" s="94">
        <v>801</v>
      </c>
      <c r="P985" s="94">
        <v>1</v>
      </c>
      <c r="Q985" s="95">
        <v>0.91383812010443899</v>
      </c>
      <c r="R985" s="95">
        <v>0.45558086560364502</v>
      </c>
      <c r="S985" s="95">
        <v>1.5290519877675799</v>
      </c>
      <c r="T985" s="95">
        <v>0</v>
      </c>
      <c r="U985" s="95">
        <v>1.55440414507772</v>
      </c>
      <c r="V985" s="95">
        <v>0.90702947845805004</v>
      </c>
      <c r="W985" s="95">
        <v>0</v>
      </c>
      <c r="X985" s="95">
        <v>0.91503267973856195</v>
      </c>
      <c r="Y985" s="95">
        <v>0</v>
      </c>
      <c r="Z985" s="94">
        <v>1042</v>
      </c>
      <c r="AA985" s="94">
        <v>573</v>
      </c>
      <c r="AB985" s="94">
        <v>469</v>
      </c>
      <c r="AC985" s="94">
        <v>19</v>
      </c>
      <c r="AD985" s="94">
        <v>243</v>
      </c>
      <c r="AE985" s="94">
        <v>610</v>
      </c>
      <c r="AF985" s="94">
        <v>170</v>
      </c>
      <c r="AG985" s="94">
        <v>895</v>
      </c>
      <c r="AH985" s="94">
        <v>144</v>
      </c>
      <c r="AI985" s="94">
        <v>3</v>
      </c>
      <c r="AJ985" s="94">
        <v>1037</v>
      </c>
      <c r="AK985" s="94">
        <v>2</v>
      </c>
      <c r="AL985" s="94">
        <v>3</v>
      </c>
      <c r="AM985" s="94">
        <v>85</v>
      </c>
      <c r="AN985" s="94">
        <v>952</v>
      </c>
      <c r="AO985" s="94">
        <v>5</v>
      </c>
      <c r="AP985" s="95">
        <v>3.4693877551020398</v>
      </c>
      <c r="AQ985" s="95">
        <v>2.62172284644195</v>
      </c>
      <c r="AR985" s="95">
        <v>4.4843049327354301</v>
      </c>
      <c r="AS985" s="95">
        <v>0</v>
      </c>
      <c r="AT985" s="95">
        <v>8</v>
      </c>
      <c r="AU985" s="95">
        <v>2.8070175438596499</v>
      </c>
      <c r="AV985" s="95">
        <v>0</v>
      </c>
      <c r="AW985" s="95">
        <v>3.1877213695395499</v>
      </c>
      <c r="AX985" s="95">
        <v>4.6153846153846203</v>
      </c>
      <c r="AY985" s="95">
        <v>33.3333333333333</v>
      </c>
      <c r="AZ985" s="95">
        <v>3.4836065573770498</v>
      </c>
      <c r="BA985" s="95">
        <v>0</v>
      </c>
      <c r="BB985" s="95">
        <v>0</v>
      </c>
      <c r="BC985" s="95">
        <v>0</v>
      </c>
      <c r="BD985" s="95">
        <v>3.8116591928251098</v>
      </c>
      <c r="BE985" s="95">
        <v>0</v>
      </c>
    </row>
    <row r="986" spans="2:57" ht="15" customHeight="1" x14ac:dyDescent="0.25">
      <c r="B986" s="76">
        <v>976</v>
      </c>
      <c r="C986" s="77" t="s">
        <v>3</v>
      </c>
      <c r="D986" s="77" t="s">
        <v>76</v>
      </c>
      <c r="E986" s="77"/>
      <c r="F986" s="77"/>
      <c r="G986" s="78" t="s">
        <v>76</v>
      </c>
      <c r="H986" s="79">
        <v>228347</v>
      </c>
      <c r="I986" s="79">
        <v>133932</v>
      </c>
      <c r="J986" s="79">
        <v>94415</v>
      </c>
      <c r="K986" s="79">
        <v>12669</v>
      </c>
      <c r="L986" s="79">
        <v>68467</v>
      </c>
      <c r="M986" s="79">
        <v>124229</v>
      </c>
      <c r="N986" s="79">
        <v>22982</v>
      </c>
      <c r="O986" s="79">
        <v>225231</v>
      </c>
      <c r="P986" s="79">
        <v>3116</v>
      </c>
      <c r="Q986" s="80">
        <v>1.36824756329743</v>
      </c>
      <c r="R986" s="80">
        <v>0.84096086973899797</v>
      </c>
      <c r="S986" s="80">
        <v>2.1347805371233299</v>
      </c>
      <c r="T986" s="80">
        <v>2.0771253286590698</v>
      </c>
      <c r="U986" s="80">
        <v>1.8982293826766601</v>
      </c>
      <c r="V986" s="80">
        <v>1.1258593108219099</v>
      </c>
      <c r="W986" s="80">
        <v>0.74762861548525805</v>
      </c>
      <c r="X986" s="80">
        <v>1.350877782525</v>
      </c>
      <c r="Y986" s="80">
        <v>2.6436376454000698</v>
      </c>
      <c r="Z986" s="79">
        <v>275854</v>
      </c>
      <c r="AA986" s="79">
        <v>150508</v>
      </c>
      <c r="AB986" s="79">
        <v>125346</v>
      </c>
      <c r="AC986" s="79">
        <v>9613</v>
      </c>
      <c r="AD986" s="79">
        <v>67963</v>
      </c>
      <c r="AE986" s="79">
        <v>161253</v>
      </c>
      <c r="AF986" s="79">
        <v>37025</v>
      </c>
      <c r="AG986" s="79">
        <v>39530</v>
      </c>
      <c r="AH986" s="79">
        <v>232313</v>
      </c>
      <c r="AI986" s="79">
        <v>4011</v>
      </c>
      <c r="AJ986" s="79">
        <v>270311</v>
      </c>
      <c r="AK986" s="79">
        <v>4889</v>
      </c>
      <c r="AL986" s="79">
        <v>654</v>
      </c>
      <c r="AM986" s="79">
        <v>19892</v>
      </c>
      <c r="AN986" s="79">
        <v>254003</v>
      </c>
      <c r="AO986" s="79">
        <v>1959</v>
      </c>
      <c r="AP986" s="80">
        <v>4.98819983399442</v>
      </c>
      <c r="AQ986" s="80">
        <v>2.38728452477095</v>
      </c>
      <c r="AR986" s="80">
        <v>8.1595232638093105</v>
      </c>
      <c r="AS986" s="80">
        <v>8.0157256743474896</v>
      </c>
      <c r="AT986" s="80">
        <v>7.0580277790886097</v>
      </c>
      <c r="AU986" s="80">
        <v>4.4383236190612996</v>
      </c>
      <c r="AV986" s="80">
        <v>2.8735632183908</v>
      </c>
      <c r="AW986" s="80">
        <v>3.90486050277402</v>
      </c>
      <c r="AX986" s="80">
        <v>5.2008381703885904</v>
      </c>
      <c r="AY986" s="80">
        <v>3.4015413234121699</v>
      </c>
      <c r="AZ986" s="80">
        <v>4.9944575416464998</v>
      </c>
      <c r="BA986" s="80">
        <v>4.8404601693075797</v>
      </c>
      <c r="BB986" s="80">
        <v>3.51437699680511</v>
      </c>
      <c r="BC986" s="80">
        <v>4.3096652125926296</v>
      </c>
      <c r="BD986" s="80">
        <v>5.0508997343819502</v>
      </c>
      <c r="BE986" s="80">
        <v>3.8064165307232201</v>
      </c>
    </row>
    <row r="987" spans="2:57" ht="15" customHeight="1" x14ac:dyDescent="0.25">
      <c r="B987" s="81">
        <v>977</v>
      </c>
      <c r="C987" s="82" t="s">
        <v>3</v>
      </c>
      <c r="D987" s="102" t="s">
        <v>76</v>
      </c>
      <c r="E987" s="102"/>
      <c r="F987" s="102"/>
      <c r="G987" s="83" t="s">
        <v>501</v>
      </c>
      <c r="H987" s="84">
        <v>147579</v>
      </c>
      <c r="I987" s="84">
        <v>82148</v>
      </c>
      <c r="J987" s="84">
        <v>65431</v>
      </c>
      <c r="K987" s="84">
        <v>6707</v>
      </c>
      <c r="L987" s="84">
        <v>45537</v>
      </c>
      <c r="M987" s="84">
        <v>83418</v>
      </c>
      <c r="N987" s="84">
        <v>11917</v>
      </c>
      <c r="O987" s="84">
        <v>145502</v>
      </c>
      <c r="P987" s="84">
        <v>2077</v>
      </c>
      <c r="Q987" s="85">
        <v>1.90257298948481</v>
      </c>
      <c r="R987" s="85">
        <v>1.2607899555323001</v>
      </c>
      <c r="S987" s="85">
        <v>2.7241979773625302</v>
      </c>
      <c r="T987" s="85">
        <v>3.45057509584931</v>
      </c>
      <c r="U987" s="85">
        <v>2.5727794177646599</v>
      </c>
      <c r="V987" s="85">
        <v>1.5047685418199199</v>
      </c>
      <c r="W987" s="85">
        <v>1.32354274317832</v>
      </c>
      <c r="X987" s="85">
        <v>1.8776196963944001</v>
      </c>
      <c r="Y987" s="85">
        <v>3.6997319034852501</v>
      </c>
      <c r="Z987" s="84">
        <v>186955</v>
      </c>
      <c r="AA987" s="84">
        <v>99716</v>
      </c>
      <c r="AB987" s="84">
        <v>87239</v>
      </c>
      <c r="AC987" s="84">
        <v>5316</v>
      </c>
      <c r="AD987" s="84">
        <v>47073</v>
      </c>
      <c r="AE987" s="84">
        <v>113480</v>
      </c>
      <c r="AF987" s="84">
        <v>21086</v>
      </c>
      <c r="AG987" s="84">
        <v>21584</v>
      </c>
      <c r="AH987" s="84">
        <v>163170</v>
      </c>
      <c r="AI987" s="84">
        <v>2201</v>
      </c>
      <c r="AJ987" s="84">
        <v>183312</v>
      </c>
      <c r="AK987" s="84">
        <v>3247</v>
      </c>
      <c r="AL987" s="84">
        <v>396</v>
      </c>
      <c r="AM987" s="84">
        <v>11859</v>
      </c>
      <c r="AN987" s="84">
        <v>173924</v>
      </c>
      <c r="AO987" s="84">
        <v>1172</v>
      </c>
      <c r="AP987" s="85">
        <v>6.4397398016185798</v>
      </c>
      <c r="AQ987" s="85">
        <v>3.2872852088056401</v>
      </c>
      <c r="AR987" s="85">
        <v>10.071643904165599</v>
      </c>
      <c r="AS987" s="85">
        <v>12.289395441030701</v>
      </c>
      <c r="AT987" s="85">
        <v>8.79978103188723</v>
      </c>
      <c r="AU987" s="85">
        <v>5.5542108105088701</v>
      </c>
      <c r="AV987" s="85">
        <v>4.5490861879556599</v>
      </c>
      <c r="AW987" s="85">
        <v>5.7406956944782301</v>
      </c>
      <c r="AX987" s="85">
        <v>6.5498490998022696</v>
      </c>
      <c r="AY987" s="85">
        <v>5.1775147928994096</v>
      </c>
      <c r="AZ987" s="85">
        <v>6.4420991759433299</v>
      </c>
      <c r="BA987" s="85">
        <v>6.4793388429752099</v>
      </c>
      <c r="BB987" s="85">
        <v>5.03978779840849</v>
      </c>
      <c r="BC987" s="85">
        <v>6.5398969255375903</v>
      </c>
      <c r="BD987" s="85">
        <v>6.4407151742810402</v>
      </c>
      <c r="BE987" s="85">
        <v>5.2534562211981601</v>
      </c>
    </row>
    <row r="988" spans="2:57" ht="15" customHeight="1" x14ac:dyDescent="0.25">
      <c r="B988" s="81">
        <v>978</v>
      </c>
      <c r="C988" s="82" t="s">
        <v>3</v>
      </c>
      <c r="D988" s="102" t="s">
        <v>76</v>
      </c>
      <c r="E988" s="102"/>
      <c r="F988" s="102"/>
      <c r="G988" s="83" t="s">
        <v>502</v>
      </c>
      <c r="H988" s="84">
        <v>80768</v>
      </c>
      <c r="I988" s="84">
        <v>51784</v>
      </c>
      <c r="J988" s="84">
        <v>28984</v>
      </c>
      <c r="K988" s="84">
        <v>5962</v>
      </c>
      <c r="L988" s="84">
        <v>22930</v>
      </c>
      <c r="M988" s="84">
        <v>40811</v>
      </c>
      <c r="N988" s="84">
        <v>11065</v>
      </c>
      <c r="O988" s="84">
        <v>79729</v>
      </c>
      <c r="P988" s="84">
        <v>1039</v>
      </c>
      <c r="Q988" s="85">
        <v>0.39753475094047702</v>
      </c>
      <c r="R988" s="85">
        <v>0.18093965251362201</v>
      </c>
      <c r="S988" s="85">
        <v>0.79766019675618205</v>
      </c>
      <c r="T988" s="85">
        <v>0.55442616891517305</v>
      </c>
      <c r="U988" s="85">
        <v>0.56129001569709402</v>
      </c>
      <c r="V988" s="85">
        <v>0.35641280989569701</v>
      </c>
      <c r="W988" s="85">
        <v>0.13500482160077101</v>
      </c>
      <c r="X988" s="85">
        <v>0.39464792539532401</v>
      </c>
      <c r="Y988" s="85">
        <v>0.61728395061728403</v>
      </c>
      <c r="Z988" s="84">
        <v>88899</v>
      </c>
      <c r="AA988" s="84">
        <v>50792</v>
      </c>
      <c r="AB988" s="84">
        <v>38107</v>
      </c>
      <c r="AC988" s="84">
        <v>4297</v>
      </c>
      <c r="AD988" s="84">
        <v>20890</v>
      </c>
      <c r="AE988" s="84">
        <v>47773</v>
      </c>
      <c r="AF988" s="84">
        <v>15939</v>
      </c>
      <c r="AG988" s="84">
        <v>17946</v>
      </c>
      <c r="AH988" s="84">
        <v>69143</v>
      </c>
      <c r="AI988" s="84">
        <v>1810</v>
      </c>
      <c r="AJ988" s="84">
        <v>86999</v>
      </c>
      <c r="AK988" s="84">
        <v>1642</v>
      </c>
      <c r="AL988" s="84">
        <v>258</v>
      </c>
      <c r="AM988" s="84">
        <v>8033</v>
      </c>
      <c r="AN988" s="84">
        <v>80079</v>
      </c>
      <c r="AO988" s="84">
        <v>787</v>
      </c>
      <c r="AP988" s="85">
        <v>1.9809658089531199</v>
      </c>
      <c r="AQ988" s="85">
        <v>0.66203647292961298</v>
      </c>
      <c r="AR988" s="85">
        <v>3.7916806066688999</v>
      </c>
      <c r="AS988" s="85">
        <v>2.7723735408560302</v>
      </c>
      <c r="AT988" s="85">
        <v>3.1878769449090298</v>
      </c>
      <c r="AU988" s="85">
        <v>1.82107998340503</v>
      </c>
      <c r="AV988" s="85">
        <v>0.70458952811894004</v>
      </c>
      <c r="AW988" s="85">
        <v>1.7001635896237399</v>
      </c>
      <c r="AX988" s="85">
        <v>2.0706620987337598</v>
      </c>
      <c r="AY988" s="85">
        <v>1.3256484149855901</v>
      </c>
      <c r="AZ988" s="85">
        <v>1.9884964997178201</v>
      </c>
      <c r="BA988" s="85">
        <v>1.7067003792667499</v>
      </c>
      <c r="BB988" s="85">
        <v>1.2048192771084301</v>
      </c>
      <c r="BC988" s="85">
        <v>1.0806638363566199</v>
      </c>
      <c r="BD988" s="85">
        <v>2.07487301359309</v>
      </c>
      <c r="BE988" s="85">
        <v>1.72413793103448</v>
      </c>
    </row>
    <row r="989" spans="2:57" ht="15" customHeight="1" x14ac:dyDescent="0.25">
      <c r="B989" s="86">
        <v>979</v>
      </c>
      <c r="C989" s="87" t="s">
        <v>503</v>
      </c>
      <c r="D989" s="103" t="s">
        <v>76</v>
      </c>
      <c r="E989" s="103" t="s">
        <v>367</v>
      </c>
      <c r="F989" s="103"/>
      <c r="G989" s="88" t="s">
        <v>367</v>
      </c>
      <c r="H989" s="89">
        <v>97059</v>
      </c>
      <c r="I989" s="89">
        <v>53677</v>
      </c>
      <c r="J989" s="89">
        <v>43382</v>
      </c>
      <c r="K989" s="89">
        <v>4425</v>
      </c>
      <c r="L989" s="89">
        <v>30422</v>
      </c>
      <c r="M989" s="89">
        <v>53621</v>
      </c>
      <c r="N989" s="89">
        <v>8591</v>
      </c>
      <c r="O989" s="89">
        <v>95754</v>
      </c>
      <c r="P989" s="89">
        <v>1305</v>
      </c>
      <c r="Q989" s="90">
        <v>1.7792051920341401</v>
      </c>
      <c r="R989" s="90">
        <v>1.20644763778745</v>
      </c>
      <c r="S989" s="90">
        <v>2.5056086309898902</v>
      </c>
      <c r="T989" s="90">
        <v>2.8784119106699801</v>
      </c>
      <c r="U989" s="90">
        <v>2.5643769170411601</v>
      </c>
      <c r="V989" s="90">
        <v>1.37636735184517</v>
      </c>
      <c r="W989" s="90">
        <v>0.98725318670332396</v>
      </c>
      <c r="X989" s="90">
        <v>1.7603531969050199</v>
      </c>
      <c r="Y989" s="90">
        <v>3.1799163179916299</v>
      </c>
      <c r="Z989" s="89">
        <v>123590</v>
      </c>
      <c r="AA989" s="89">
        <v>65450</v>
      </c>
      <c r="AB989" s="89">
        <v>58140</v>
      </c>
      <c r="AC989" s="89">
        <v>3439</v>
      </c>
      <c r="AD989" s="89">
        <v>31205</v>
      </c>
      <c r="AE989" s="89">
        <v>74049</v>
      </c>
      <c r="AF989" s="89">
        <v>14897</v>
      </c>
      <c r="AG989" s="89">
        <v>12935</v>
      </c>
      <c r="AH989" s="89">
        <v>109147</v>
      </c>
      <c r="AI989" s="89">
        <v>1508</v>
      </c>
      <c r="AJ989" s="89">
        <v>121049</v>
      </c>
      <c r="AK989" s="89">
        <v>2302</v>
      </c>
      <c r="AL989" s="89">
        <v>239</v>
      </c>
      <c r="AM989" s="89">
        <v>8018</v>
      </c>
      <c r="AN989" s="89">
        <v>114875</v>
      </c>
      <c r="AO989" s="89">
        <v>697</v>
      </c>
      <c r="AP989" s="90">
        <v>6.0550143758314396</v>
      </c>
      <c r="AQ989" s="90">
        <v>3.20235946364105</v>
      </c>
      <c r="AR989" s="90">
        <v>9.3047166174013594</v>
      </c>
      <c r="AS989" s="90">
        <v>10.143599144515701</v>
      </c>
      <c r="AT989" s="90">
        <v>9.0821555074108495</v>
      </c>
      <c r="AU989" s="90">
        <v>5.0669448294585804</v>
      </c>
      <c r="AV989" s="90">
        <v>3.7799717912552899</v>
      </c>
      <c r="AW989" s="90">
        <v>5.3607579561098104</v>
      </c>
      <c r="AX989" s="90">
        <v>6.1617370823478996</v>
      </c>
      <c r="AY989" s="90">
        <v>4.3692741367160002</v>
      </c>
      <c r="AZ989" s="90">
        <v>6.06461446817457</v>
      </c>
      <c r="BA989" s="90">
        <v>5.7692307692307701</v>
      </c>
      <c r="BB989" s="90">
        <v>3.9301310043668098</v>
      </c>
      <c r="BC989" s="90">
        <v>6.0315374507227304</v>
      </c>
      <c r="BD989" s="90">
        <v>6.0653647902156003</v>
      </c>
      <c r="BE989" s="90">
        <v>4.6082949308755801</v>
      </c>
    </row>
    <row r="990" spans="2:57" ht="15" customHeight="1" x14ac:dyDescent="0.25">
      <c r="B990" s="91">
        <v>980</v>
      </c>
      <c r="C990" s="92" t="s">
        <v>503</v>
      </c>
      <c r="D990" s="92" t="s">
        <v>76</v>
      </c>
      <c r="E990" s="92" t="s">
        <v>367</v>
      </c>
      <c r="F990" s="92"/>
      <c r="G990" s="93" t="s">
        <v>501</v>
      </c>
      <c r="H990" s="94">
        <v>84338</v>
      </c>
      <c r="I990" s="94">
        <v>45859</v>
      </c>
      <c r="J990" s="94">
        <v>38479</v>
      </c>
      <c r="K990" s="94">
        <v>3527</v>
      </c>
      <c r="L990" s="94">
        <v>26980</v>
      </c>
      <c r="M990" s="94">
        <v>47166</v>
      </c>
      <c r="N990" s="94">
        <v>6665</v>
      </c>
      <c r="O990" s="94">
        <v>83164</v>
      </c>
      <c r="P990" s="94">
        <v>1174</v>
      </c>
      <c r="Q990" s="95">
        <v>1.99596955344192</v>
      </c>
      <c r="R990" s="95">
        <v>1.38661553570593</v>
      </c>
      <c r="S990" s="95">
        <v>2.73754304089241</v>
      </c>
      <c r="T990" s="95">
        <v>3.37816703159212</v>
      </c>
      <c r="U990" s="95">
        <v>2.83627854433955</v>
      </c>
      <c r="V990" s="95">
        <v>1.51940960084082</v>
      </c>
      <c r="W990" s="95">
        <v>1.28309241513724</v>
      </c>
      <c r="X990" s="95">
        <v>1.97436064293616</v>
      </c>
      <c r="Y990" s="95">
        <v>3.5447761194029801</v>
      </c>
      <c r="Z990" s="94">
        <v>109962</v>
      </c>
      <c r="AA990" s="94">
        <v>57949</v>
      </c>
      <c r="AB990" s="94">
        <v>52013</v>
      </c>
      <c r="AC990" s="94">
        <v>2823</v>
      </c>
      <c r="AD990" s="94">
        <v>28165</v>
      </c>
      <c r="AE990" s="94">
        <v>66897</v>
      </c>
      <c r="AF990" s="94">
        <v>12077</v>
      </c>
      <c r="AG990" s="94">
        <v>11159</v>
      </c>
      <c r="AH990" s="94">
        <v>97626</v>
      </c>
      <c r="AI990" s="94">
        <v>1177</v>
      </c>
      <c r="AJ990" s="94">
        <v>107702</v>
      </c>
      <c r="AK990" s="94">
        <v>2057</v>
      </c>
      <c r="AL990" s="94">
        <v>203</v>
      </c>
      <c r="AM990" s="94">
        <v>6821</v>
      </c>
      <c r="AN990" s="94">
        <v>102537</v>
      </c>
      <c r="AO990" s="94">
        <v>604</v>
      </c>
      <c r="AP990" s="95">
        <v>6.51917461176971</v>
      </c>
      <c r="AQ990" s="95">
        <v>3.5004384682841301</v>
      </c>
      <c r="AR990" s="95">
        <v>9.9133149829505793</v>
      </c>
      <c r="AS990" s="95">
        <v>11.661698956780899</v>
      </c>
      <c r="AT990" s="95">
        <v>9.5758084838303201</v>
      </c>
      <c r="AU990" s="95">
        <v>5.4024081115335898</v>
      </c>
      <c r="AV990" s="95">
        <v>4.4734307975137897</v>
      </c>
      <c r="AW990" s="95">
        <v>5.8115478653375998</v>
      </c>
      <c r="AX990" s="95">
        <v>6.6160591584320398</v>
      </c>
      <c r="AY990" s="95">
        <v>5.2823315118397103</v>
      </c>
      <c r="AZ990" s="95">
        <v>6.5275104860597102</v>
      </c>
      <c r="BA990" s="95">
        <v>6.2631578947368398</v>
      </c>
      <c r="BB990" s="95">
        <v>4.6632124352331603</v>
      </c>
      <c r="BC990" s="95">
        <v>6.8350898946063197</v>
      </c>
      <c r="BD990" s="95">
        <v>6.5049168084311901</v>
      </c>
      <c r="BE990" s="95">
        <v>5.3380782918149503</v>
      </c>
    </row>
    <row r="991" spans="2:57" ht="15" customHeight="1" x14ac:dyDescent="0.25">
      <c r="B991" s="91">
        <v>981</v>
      </c>
      <c r="C991" s="92" t="s">
        <v>503</v>
      </c>
      <c r="D991" s="92" t="s">
        <v>76</v>
      </c>
      <c r="E991" s="92" t="s">
        <v>367</v>
      </c>
      <c r="F991" s="92"/>
      <c r="G991" s="93" t="s">
        <v>502</v>
      </c>
      <c r="H991" s="94">
        <v>12721</v>
      </c>
      <c r="I991" s="94">
        <v>7818</v>
      </c>
      <c r="J991" s="94">
        <v>4903</v>
      </c>
      <c r="K991" s="94">
        <v>898</v>
      </c>
      <c r="L991" s="94">
        <v>3442</v>
      </c>
      <c r="M991" s="94">
        <v>6455</v>
      </c>
      <c r="N991" s="94">
        <v>1926</v>
      </c>
      <c r="O991" s="94">
        <v>12590</v>
      </c>
      <c r="P991" s="94">
        <v>131</v>
      </c>
      <c r="Q991" s="95">
        <v>0.38088929369876601</v>
      </c>
      <c r="R991" s="95">
        <v>0.18550417384391099</v>
      </c>
      <c r="S991" s="95">
        <v>0.70640176600441495</v>
      </c>
      <c r="T991" s="95">
        <v>0.96038415366146501</v>
      </c>
      <c r="U991" s="95">
        <v>0.49200492004919999</v>
      </c>
      <c r="V991" s="95">
        <v>0.35789816170489702</v>
      </c>
      <c r="W991" s="95">
        <v>0</v>
      </c>
      <c r="X991" s="95">
        <v>0.38480843232390799</v>
      </c>
      <c r="Y991" s="95">
        <v>0</v>
      </c>
      <c r="Z991" s="94">
        <v>13628</v>
      </c>
      <c r="AA991" s="94">
        <v>7501</v>
      </c>
      <c r="AB991" s="94">
        <v>6127</v>
      </c>
      <c r="AC991" s="94">
        <v>616</v>
      </c>
      <c r="AD991" s="94">
        <v>3040</v>
      </c>
      <c r="AE991" s="94">
        <v>7152</v>
      </c>
      <c r="AF991" s="94">
        <v>2820</v>
      </c>
      <c r="AG991" s="94">
        <v>1776</v>
      </c>
      <c r="AH991" s="94">
        <v>11521</v>
      </c>
      <c r="AI991" s="94">
        <v>331</v>
      </c>
      <c r="AJ991" s="94">
        <v>13347</v>
      </c>
      <c r="AK991" s="94">
        <v>245</v>
      </c>
      <c r="AL991" s="94">
        <v>36</v>
      </c>
      <c r="AM991" s="94">
        <v>1197</v>
      </c>
      <c r="AN991" s="94">
        <v>12338</v>
      </c>
      <c r="AO991" s="94">
        <v>93</v>
      </c>
      <c r="AP991" s="95">
        <v>2.38986027334504</v>
      </c>
      <c r="AQ991" s="95">
        <v>0.97100656455142198</v>
      </c>
      <c r="AR991" s="95">
        <v>4.1832324978392403</v>
      </c>
      <c r="AS991" s="95">
        <v>3.2258064516128999</v>
      </c>
      <c r="AT991" s="95">
        <v>4.6052631578947398</v>
      </c>
      <c r="AU991" s="95">
        <v>1.9816406819175301</v>
      </c>
      <c r="AV991" s="95">
        <v>0.906782734856728</v>
      </c>
      <c r="AW991" s="95">
        <v>2.56559766763848</v>
      </c>
      <c r="AX991" s="95">
        <v>2.3958050809149301</v>
      </c>
      <c r="AY991" s="95">
        <v>1.2461059190031201</v>
      </c>
      <c r="AZ991" s="95">
        <v>2.40860550315691</v>
      </c>
      <c r="BA991" s="95">
        <v>1.72413793103448</v>
      </c>
      <c r="BB991" s="95">
        <v>0</v>
      </c>
      <c r="BC991" s="95">
        <v>1.55440414507772</v>
      </c>
      <c r="BD991" s="95">
        <v>2.4894514767932501</v>
      </c>
      <c r="BE991" s="95">
        <v>0</v>
      </c>
    </row>
    <row r="992" spans="2:57" ht="15" customHeight="1" x14ac:dyDescent="0.25">
      <c r="B992" s="96">
        <v>982</v>
      </c>
      <c r="C992" s="97" t="s">
        <v>504</v>
      </c>
      <c r="D992" s="104" t="s">
        <v>76</v>
      </c>
      <c r="E992" s="104" t="s">
        <v>367</v>
      </c>
      <c r="F992" s="104" t="s">
        <v>76</v>
      </c>
      <c r="G992" s="105" t="s">
        <v>76</v>
      </c>
      <c r="H992" s="106">
        <v>97059</v>
      </c>
      <c r="I992" s="106">
        <v>53677</v>
      </c>
      <c r="J992" s="106">
        <v>43382</v>
      </c>
      <c r="K992" s="106">
        <v>4425</v>
      </c>
      <c r="L992" s="106">
        <v>30422</v>
      </c>
      <c r="M992" s="106">
        <v>53621</v>
      </c>
      <c r="N992" s="106">
        <v>8591</v>
      </c>
      <c r="O992" s="106">
        <v>95754</v>
      </c>
      <c r="P992" s="106">
        <v>1305</v>
      </c>
      <c r="Q992" s="107">
        <v>1.7792051920341401</v>
      </c>
      <c r="R992" s="107">
        <v>1.20644763778745</v>
      </c>
      <c r="S992" s="107">
        <v>2.5056086309898902</v>
      </c>
      <c r="T992" s="107">
        <v>2.8784119106699801</v>
      </c>
      <c r="U992" s="107">
        <v>2.5643769170411601</v>
      </c>
      <c r="V992" s="107">
        <v>1.37636735184517</v>
      </c>
      <c r="W992" s="107">
        <v>0.98725318670332396</v>
      </c>
      <c r="X992" s="107">
        <v>1.7603531969050199</v>
      </c>
      <c r="Y992" s="107">
        <v>3.1799163179916299</v>
      </c>
      <c r="Z992" s="106">
        <v>123590</v>
      </c>
      <c r="AA992" s="106">
        <v>65450</v>
      </c>
      <c r="AB992" s="106">
        <v>58140</v>
      </c>
      <c r="AC992" s="106">
        <v>3439</v>
      </c>
      <c r="AD992" s="106">
        <v>31205</v>
      </c>
      <c r="AE992" s="106">
        <v>74049</v>
      </c>
      <c r="AF992" s="106">
        <v>14897</v>
      </c>
      <c r="AG992" s="106">
        <v>12935</v>
      </c>
      <c r="AH992" s="106">
        <v>109147</v>
      </c>
      <c r="AI992" s="106">
        <v>1508</v>
      </c>
      <c r="AJ992" s="106">
        <v>121049</v>
      </c>
      <c r="AK992" s="106">
        <v>2302</v>
      </c>
      <c r="AL992" s="106">
        <v>239</v>
      </c>
      <c r="AM992" s="106">
        <v>8018</v>
      </c>
      <c r="AN992" s="106">
        <v>114875</v>
      </c>
      <c r="AO992" s="106">
        <v>697</v>
      </c>
      <c r="AP992" s="107">
        <v>6.0550143758314396</v>
      </c>
      <c r="AQ992" s="107">
        <v>3.20235946364105</v>
      </c>
      <c r="AR992" s="107">
        <v>9.3047166174013594</v>
      </c>
      <c r="AS992" s="107">
        <v>10.143599144515701</v>
      </c>
      <c r="AT992" s="107">
        <v>9.0821555074108495</v>
      </c>
      <c r="AU992" s="107">
        <v>5.0669448294585804</v>
      </c>
      <c r="AV992" s="107">
        <v>3.7799717912552899</v>
      </c>
      <c r="AW992" s="107">
        <v>5.3607579561098104</v>
      </c>
      <c r="AX992" s="107">
        <v>6.1617370823478996</v>
      </c>
      <c r="AY992" s="107">
        <v>4.3692741367160002</v>
      </c>
      <c r="AZ992" s="107">
        <v>6.06461446817457</v>
      </c>
      <c r="BA992" s="107">
        <v>5.7692307692307701</v>
      </c>
      <c r="BB992" s="107">
        <v>3.9301310043668098</v>
      </c>
      <c r="BC992" s="107">
        <v>6.0315374507227304</v>
      </c>
      <c r="BD992" s="107">
        <v>6.0653647902156003</v>
      </c>
      <c r="BE992" s="107">
        <v>4.6082949308755801</v>
      </c>
    </row>
    <row r="993" spans="2:57" ht="15" customHeight="1" x14ac:dyDescent="0.25">
      <c r="B993" s="91">
        <v>983</v>
      </c>
      <c r="C993" s="92" t="s">
        <v>504</v>
      </c>
      <c r="D993" s="92" t="s">
        <v>76</v>
      </c>
      <c r="E993" s="92" t="s">
        <v>367</v>
      </c>
      <c r="F993" s="92" t="s">
        <v>76</v>
      </c>
      <c r="G993" s="101" t="s">
        <v>501</v>
      </c>
      <c r="H993" s="94">
        <v>84338</v>
      </c>
      <c r="I993" s="94">
        <v>45859</v>
      </c>
      <c r="J993" s="94">
        <v>38479</v>
      </c>
      <c r="K993" s="94">
        <v>3527</v>
      </c>
      <c r="L993" s="94">
        <v>26980</v>
      </c>
      <c r="M993" s="94">
        <v>47166</v>
      </c>
      <c r="N993" s="94">
        <v>6665</v>
      </c>
      <c r="O993" s="94">
        <v>83164</v>
      </c>
      <c r="P993" s="94">
        <v>1174</v>
      </c>
      <c r="Q993" s="95">
        <v>1.99596955344192</v>
      </c>
      <c r="R993" s="95">
        <v>1.38661553570593</v>
      </c>
      <c r="S993" s="95">
        <v>2.73754304089241</v>
      </c>
      <c r="T993" s="95">
        <v>3.37816703159212</v>
      </c>
      <c r="U993" s="95">
        <v>2.83627854433955</v>
      </c>
      <c r="V993" s="95">
        <v>1.51940960084082</v>
      </c>
      <c r="W993" s="95">
        <v>1.28309241513724</v>
      </c>
      <c r="X993" s="95">
        <v>1.97436064293616</v>
      </c>
      <c r="Y993" s="95">
        <v>3.5447761194029801</v>
      </c>
      <c r="Z993" s="94">
        <v>109962</v>
      </c>
      <c r="AA993" s="94">
        <v>57949</v>
      </c>
      <c r="AB993" s="94">
        <v>52013</v>
      </c>
      <c r="AC993" s="94">
        <v>2823</v>
      </c>
      <c r="AD993" s="94">
        <v>28165</v>
      </c>
      <c r="AE993" s="94">
        <v>66897</v>
      </c>
      <c r="AF993" s="94">
        <v>12077</v>
      </c>
      <c r="AG993" s="94">
        <v>11159</v>
      </c>
      <c r="AH993" s="94">
        <v>97626</v>
      </c>
      <c r="AI993" s="94">
        <v>1177</v>
      </c>
      <c r="AJ993" s="94">
        <v>107702</v>
      </c>
      <c r="AK993" s="94">
        <v>2057</v>
      </c>
      <c r="AL993" s="94">
        <v>203</v>
      </c>
      <c r="AM993" s="94">
        <v>6821</v>
      </c>
      <c r="AN993" s="94">
        <v>102537</v>
      </c>
      <c r="AO993" s="94">
        <v>604</v>
      </c>
      <c r="AP993" s="95">
        <v>6.51917461176971</v>
      </c>
      <c r="AQ993" s="95">
        <v>3.5004384682841301</v>
      </c>
      <c r="AR993" s="95">
        <v>9.9133149829505793</v>
      </c>
      <c r="AS993" s="95">
        <v>11.661698956780899</v>
      </c>
      <c r="AT993" s="95">
        <v>9.5758084838303201</v>
      </c>
      <c r="AU993" s="95">
        <v>5.4024081115335898</v>
      </c>
      <c r="AV993" s="95">
        <v>4.4734307975137897</v>
      </c>
      <c r="AW993" s="95">
        <v>5.8115478653375998</v>
      </c>
      <c r="AX993" s="95">
        <v>6.6160591584320398</v>
      </c>
      <c r="AY993" s="95">
        <v>5.2823315118397103</v>
      </c>
      <c r="AZ993" s="95">
        <v>6.5275104860597102</v>
      </c>
      <c r="BA993" s="95">
        <v>6.2631578947368398</v>
      </c>
      <c r="BB993" s="95">
        <v>4.6632124352331603</v>
      </c>
      <c r="BC993" s="95">
        <v>6.8350898946063197</v>
      </c>
      <c r="BD993" s="95">
        <v>6.5049168084311901</v>
      </c>
      <c r="BE993" s="95">
        <v>5.3380782918149503</v>
      </c>
    </row>
    <row r="994" spans="2:57" ht="15" customHeight="1" x14ac:dyDescent="0.25">
      <c r="B994" s="91">
        <v>984</v>
      </c>
      <c r="C994" s="92" t="s">
        <v>504</v>
      </c>
      <c r="D994" s="92" t="s">
        <v>76</v>
      </c>
      <c r="E994" s="92" t="s">
        <v>367</v>
      </c>
      <c r="F994" s="92" t="s">
        <v>76</v>
      </c>
      <c r="G994" s="101" t="s">
        <v>502</v>
      </c>
      <c r="H994" s="94">
        <v>12721</v>
      </c>
      <c r="I994" s="94">
        <v>7818</v>
      </c>
      <c r="J994" s="94">
        <v>4903</v>
      </c>
      <c r="K994" s="94">
        <v>898</v>
      </c>
      <c r="L994" s="94">
        <v>3442</v>
      </c>
      <c r="M994" s="94">
        <v>6455</v>
      </c>
      <c r="N994" s="94">
        <v>1926</v>
      </c>
      <c r="O994" s="94">
        <v>12590</v>
      </c>
      <c r="P994" s="94">
        <v>131</v>
      </c>
      <c r="Q994" s="95">
        <v>0.38088929369876601</v>
      </c>
      <c r="R994" s="95">
        <v>0.18550417384391099</v>
      </c>
      <c r="S994" s="95">
        <v>0.70640176600441495</v>
      </c>
      <c r="T994" s="95">
        <v>0.96038415366146501</v>
      </c>
      <c r="U994" s="95">
        <v>0.49200492004919999</v>
      </c>
      <c r="V994" s="95">
        <v>0.35789816170489702</v>
      </c>
      <c r="W994" s="95">
        <v>0</v>
      </c>
      <c r="X994" s="95">
        <v>0.38480843232390799</v>
      </c>
      <c r="Y994" s="95">
        <v>0</v>
      </c>
      <c r="Z994" s="94">
        <v>13628</v>
      </c>
      <c r="AA994" s="94">
        <v>7501</v>
      </c>
      <c r="AB994" s="94">
        <v>6127</v>
      </c>
      <c r="AC994" s="94">
        <v>616</v>
      </c>
      <c r="AD994" s="94">
        <v>3040</v>
      </c>
      <c r="AE994" s="94">
        <v>7152</v>
      </c>
      <c r="AF994" s="94">
        <v>2820</v>
      </c>
      <c r="AG994" s="94">
        <v>1776</v>
      </c>
      <c r="AH994" s="94">
        <v>11521</v>
      </c>
      <c r="AI994" s="94">
        <v>331</v>
      </c>
      <c r="AJ994" s="94">
        <v>13347</v>
      </c>
      <c r="AK994" s="94">
        <v>245</v>
      </c>
      <c r="AL994" s="94">
        <v>36</v>
      </c>
      <c r="AM994" s="94">
        <v>1197</v>
      </c>
      <c r="AN994" s="94">
        <v>12338</v>
      </c>
      <c r="AO994" s="94">
        <v>93</v>
      </c>
      <c r="AP994" s="95">
        <v>2.38986027334504</v>
      </c>
      <c r="AQ994" s="95">
        <v>0.97100656455142198</v>
      </c>
      <c r="AR994" s="95">
        <v>4.1832324978392403</v>
      </c>
      <c r="AS994" s="95">
        <v>3.2258064516128999</v>
      </c>
      <c r="AT994" s="95">
        <v>4.6052631578947398</v>
      </c>
      <c r="AU994" s="95">
        <v>1.9816406819175301</v>
      </c>
      <c r="AV994" s="95">
        <v>0.906782734856728</v>
      </c>
      <c r="AW994" s="95">
        <v>2.56559766763848</v>
      </c>
      <c r="AX994" s="95">
        <v>2.3958050809149301</v>
      </c>
      <c r="AY994" s="95">
        <v>1.2461059190031201</v>
      </c>
      <c r="AZ994" s="95">
        <v>2.40860550315691</v>
      </c>
      <c r="BA994" s="95">
        <v>1.72413793103448</v>
      </c>
      <c r="BB994" s="95">
        <v>0</v>
      </c>
      <c r="BC994" s="95">
        <v>1.55440414507772</v>
      </c>
      <c r="BD994" s="95">
        <v>2.4894514767932501</v>
      </c>
      <c r="BE994" s="95">
        <v>0</v>
      </c>
    </row>
    <row r="995" spans="2:57" ht="15" customHeight="1" x14ac:dyDescent="0.25">
      <c r="B995" s="86">
        <v>985</v>
      </c>
      <c r="C995" s="87" t="s">
        <v>503</v>
      </c>
      <c r="D995" s="103" t="s">
        <v>76</v>
      </c>
      <c r="E995" s="103" t="s">
        <v>407</v>
      </c>
      <c r="F995" s="103"/>
      <c r="G995" s="88" t="s">
        <v>407</v>
      </c>
      <c r="H995" s="89">
        <v>26421</v>
      </c>
      <c r="I995" s="89">
        <v>15730</v>
      </c>
      <c r="J995" s="89">
        <v>10691</v>
      </c>
      <c r="K995" s="89">
        <v>1683</v>
      </c>
      <c r="L995" s="89">
        <v>7447</v>
      </c>
      <c r="M995" s="89">
        <v>14310</v>
      </c>
      <c r="N995" s="89">
        <v>2981</v>
      </c>
      <c r="O995" s="89">
        <v>26116</v>
      </c>
      <c r="P995" s="89">
        <v>305</v>
      </c>
      <c r="Q995" s="90">
        <v>1.0266113772696199</v>
      </c>
      <c r="R995" s="90">
        <v>0.57502005883926199</v>
      </c>
      <c r="S995" s="90">
        <v>1.7100070828695699</v>
      </c>
      <c r="T995" s="90">
        <v>1.63505559189012</v>
      </c>
      <c r="U995" s="90">
        <v>1.1430204314902099</v>
      </c>
      <c r="V995" s="90">
        <v>0.98409174990751003</v>
      </c>
      <c r="W995" s="90">
        <v>0.60801144492131598</v>
      </c>
      <c r="X995" s="90">
        <v>1.0176252696707</v>
      </c>
      <c r="Y995" s="90">
        <v>1.8382352941176501</v>
      </c>
      <c r="Z995" s="89">
        <v>29508</v>
      </c>
      <c r="AA995" s="89">
        <v>16340</v>
      </c>
      <c r="AB995" s="89">
        <v>13168</v>
      </c>
      <c r="AC995" s="89">
        <v>1040</v>
      </c>
      <c r="AD995" s="89">
        <v>6803</v>
      </c>
      <c r="AE995" s="89">
        <v>17167</v>
      </c>
      <c r="AF995" s="89">
        <v>4498</v>
      </c>
      <c r="AG995" s="89">
        <v>3098</v>
      </c>
      <c r="AH995" s="89">
        <v>25954</v>
      </c>
      <c r="AI995" s="89">
        <v>456</v>
      </c>
      <c r="AJ995" s="89">
        <v>28890</v>
      </c>
      <c r="AK995" s="89">
        <v>539</v>
      </c>
      <c r="AL995" s="89">
        <v>79</v>
      </c>
      <c r="AM995" s="89">
        <v>2635</v>
      </c>
      <c r="AN995" s="89">
        <v>26633</v>
      </c>
      <c r="AO995" s="89">
        <v>240</v>
      </c>
      <c r="AP995" s="90">
        <v>4.6955660844353302</v>
      </c>
      <c r="AQ995" s="90">
        <v>2.13896975066447</v>
      </c>
      <c r="AR995" s="90">
        <v>7.9326923076923102</v>
      </c>
      <c r="AS995" s="90">
        <v>6.7745197168857398</v>
      </c>
      <c r="AT995" s="90">
        <v>5.7892286202079797</v>
      </c>
      <c r="AU995" s="90">
        <v>4.62172148525047</v>
      </c>
      <c r="AV995" s="90">
        <v>2.87952084773094</v>
      </c>
      <c r="AW995" s="90">
        <v>3.1323678006062599</v>
      </c>
      <c r="AX995" s="90">
        <v>4.90129065980459</v>
      </c>
      <c r="AY995" s="90">
        <v>3.6199095022624399</v>
      </c>
      <c r="AZ995" s="90">
        <v>4.6829867128827303</v>
      </c>
      <c r="BA995" s="90">
        <v>5.68627450980392</v>
      </c>
      <c r="BB995" s="90">
        <v>2.6315789473684199</v>
      </c>
      <c r="BC995" s="90">
        <v>3.3268101761252402</v>
      </c>
      <c r="BD995" s="90">
        <v>4.8433271893015402</v>
      </c>
      <c r="BE995" s="90">
        <v>3.5087719298245599</v>
      </c>
    </row>
    <row r="996" spans="2:57" ht="15" customHeight="1" x14ac:dyDescent="0.25">
      <c r="B996" s="91">
        <v>986</v>
      </c>
      <c r="C996" s="92" t="s">
        <v>503</v>
      </c>
      <c r="D996" s="92" t="s">
        <v>76</v>
      </c>
      <c r="E996" s="92" t="s">
        <v>407</v>
      </c>
      <c r="F996" s="92"/>
      <c r="G996" s="93" t="s">
        <v>501</v>
      </c>
      <c r="H996" s="94">
        <v>14664</v>
      </c>
      <c r="I996" s="94">
        <v>8316</v>
      </c>
      <c r="J996" s="94">
        <v>6348</v>
      </c>
      <c r="K996" s="94">
        <v>816</v>
      </c>
      <c r="L996" s="94">
        <v>4092</v>
      </c>
      <c r="M996" s="94">
        <v>8415</v>
      </c>
      <c r="N996" s="94">
        <v>1341</v>
      </c>
      <c r="O996" s="94">
        <v>14430</v>
      </c>
      <c r="P996" s="94">
        <v>234</v>
      </c>
      <c r="Q996" s="95">
        <v>1.6027976103744701</v>
      </c>
      <c r="R996" s="95">
        <v>0.99173553719008301</v>
      </c>
      <c r="S996" s="95">
        <v>2.4227947449240701</v>
      </c>
      <c r="T996" s="95">
        <v>3.1335149863760199</v>
      </c>
      <c r="U996" s="95">
        <v>1.7936054068105001</v>
      </c>
      <c r="V996" s="95">
        <v>1.4175420832806001</v>
      </c>
      <c r="W996" s="95">
        <v>1.2861736334405101</v>
      </c>
      <c r="X996" s="95">
        <v>1.5977513129669401</v>
      </c>
      <c r="Y996" s="95">
        <v>1.93236714975845</v>
      </c>
      <c r="Z996" s="94">
        <v>17065</v>
      </c>
      <c r="AA996" s="94">
        <v>9149</v>
      </c>
      <c r="AB996" s="94">
        <v>7916</v>
      </c>
      <c r="AC996" s="94">
        <v>510</v>
      </c>
      <c r="AD996" s="94">
        <v>3960</v>
      </c>
      <c r="AE996" s="94">
        <v>10430</v>
      </c>
      <c r="AF996" s="94">
        <v>2165</v>
      </c>
      <c r="AG996" s="94">
        <v>1943</v>
      </c>
      <c r="AH996" s="94">
        <v>14908</v>
      </c>
      <c r="AI996" s="94">
        <v>214</v>
      </c>
      <c r="AJ996" s="94">
        <v>16622</v>
      </c>
      <c r="AK996" s="94">
        <v>398</v>
      </c>
      <c r="AL996" s="94">
        <v>45</v>
      </c>
      <c r="AM996" s="94">
        <v>1205</v>
      </c>
      <c r="AN996" s="94">
        <v>15724</v>
      </c>
      <c r="AO996" s="94">
        <v>136</v>
      </c>
      <c r="AP996" s="95">
        <v>6.9558805456556501</v>
      </c>
      <c r="AQ996" s="95">
        <v>3.47657585774536</v>
      </c>
      <c r="AR996" s="95">
        <v>11.0251966404479</v>
      </c>
      <c r="AS996" s="95">
        <v>11.554621848739499</v>
      </c>
      <c r="AT996" s="95">
        <v>8.4763948497854091</v>
      </c>
      <c r="AU996" s="95">
        <v>6.5426170468187301</v>
      </c>
      <c r="AV996" s="95">
        <v>5.1591128254580498</v>
      </c>
      <c r="AW996" s="95">
        <v>4.35016111707841</v>
      </c>
      <c r="AX996" s="95">
        <v>7.3127815315315301</v>
      </c>
      <c r="AY996" s="95">
        <v>5.8823529411764701</v>
      </c>
      <c r="AZ996" s="95">
        <v>6.9550413014692003</v>
      </c>
      <c r="BA996" s="95">
        <v>7.2386058981233203</v>
      </c>
      <c r="BB996" s="95">
        <v>4.7619047619047601</v>
      </c>
      <c r="BC996" s="95">
        <v>6.2876830318690802</v>
      </c>
      <c r="BD996" s="95">
        <v>7.0260892773737202</v>
      </c>
      <c r="BE996" s="95">
        <v>4.7619047619047601</v>
      </c>
    </row>
    <row r="997" spans="2:57" ht="15" customHeight="1" x14ac:dyDescent="0.25">
      <c r="B997" s="91">
        <v>987</v>
      </c>
      <c r="C997" s="92" t="s">
        <v>503</v>
      </c>
      <c r="D997" s="92" t="s">
        <v>76</v>
      </c>
      <c r="E997" s="92" t="s">
        <v>407</v>
      </c>
      <c r="F997" s="92"/>
      <c r="G997" s="93" t="s">
        <v>502</v>
      </c>
      <c r="H997" s="94">
        <v>11757</v>
      </c>
      <c r="I997" s="94">
        <v>7414</v>
      </c>
      <c r="J997" s="94">
        <v>4343</v>
      </c>
      <c r="K997" s="94">
        <v>867</v>
      </c>
      <c r="L997" s="94">
        <v>3355</v>
      </c>
      <c r="M997" s="94">
        <v>5895</v>
      </c>
      <c r="N997" s="94">
        <v>1640</v>
      </c>
      <c r="O997" s="94">
        <v>11686</v>
      </c>
      <c r="P997" s="94">
        <v>71</v>
      </c>
      <c r="Q997" s="95">
        <v>0.31494645910195301</v>
      </c>
      <c r="R997" s="95">
        <v>0.112819066422225</v>
      </c>
      <c r="S997" s="95">
        <v>0.671307807061164</v>
      </c>
      <c r="T997" s="95">
        <v>0.25157232704402499</v>
      </c>
      <c r="U997" s="95">
        <v>0.34898477157360402</v>
      </c>
      <c r="V997" s="95">
        <v>0.37406483790523698</v>
      </c>
      <c r="W997" s="95">
        <v>6.4432989690721601E-2</v>
      </c>
      <c r="X997" s="95">
        <v>0.30774800868935598</v>
      </c>
      <c r="Y997" s="95">
        <v>1.5384615384615401</v>
      </c>
      <c r="Z997" s="94">
        <v>12443</v>
      </c>
      <c r="AA997" s="94">
        <v>7191</v>
      </c>
      <c r="AB997" s="94">
        <v>5252</v>
      </c>
      <c r="AC997" s="94">
        <v>530</v>
      </c>
      <c r="AD997" s="94">
        <v>2843</v>
      </c>
      <c r="AE997" s="94">
        <v>6737</v>
      </c>
      <c r="AF997" s="94">
        <v>2333</v>
      </c>
      <c r="AG997" s="94">
        <v>1155</v>
      </c>
      <c r="AH997" s="94">
        <v>11046</v>
      </c>
      <c r="AI997" s="94">
        <v>242</v>
      </c>
      <c r="AJ997" s="94">
        <v>12268</v>
      </c>
      <c r="AK997" s="94">
        <v>141</v>
      </c>
      <c r="AL997" s="94">
        <v>34</v>
      </c>
      <c r="AM997" s="94">
        <v>1430</v>
      </c>
      <c r="AN997" s="94">
        <v>10909</v>
      </c>
      <c r="AO997" s="94">
        <v>104</v>
      </c>
      <c r="AP997" s="95">
        <v>1.63224516988674</v>
      </c>
      <c r="AQ997" s="95">
        <v>0.46948356807511699</v>
      </c>
      <c r="AR997" s="95">
        <v>3.27374974894557</v>
      </c>
      <c r="AS997" s="95">
        <v>2.3391812865497101</v>
      </c>
      <c r="AT997" s="95">
        <v>2.0994475138121498</v>
      </c>
      <c r="AU997" s="95">
        <v>1.6735759250729301</v>
      </c>
      <c r="AV997" s="95">
        <v>0.79400088222320198</v>
      </c>
      <c r="AW997" s="95">
        <v>1.0840108401084001</v>
      </c>
      <c r="AX997" s="95">
        <v>1.68808027759542</v>
      </c>
      <c r="AY997" s="95">
        <v>1.6806722689075599</v>
      </c>
      <c r="AZ997" s="95">
        <v>1.6389287826307299</v>
      </c>
      <c r="BA997" s="95">
        <v>1.4598540145985399</v>
      </c>
      <c r="BB997" s="95">
        <v>0</v>
      </c>
      <c r="BC997" s="95">
        <v>0.86083213773314204</v>
      </c>
      <c r="BD997" s="95">
        <v>1.73135464231355</v>
      </c>
      <c r="BE997" s="95">
        <v>1.9607843137254899</v>
      </c>
    </row>
    <row r="998" spans="2:57" ht="15" customHeight="1" x14ac:dyDescent="0.25">
      <c r="B998" s="96">
        <v>988</v>
      </c>
      <c r="C998" s="97" t="s">
        <v>504</v>
      </c>
      <c r="D998" s="104" t="s">
        <v>76</v>
      </c>
      <c r="E998" s="104" t="s">
        <v>407</v>
      </c>
      <c r="F998" s="104" t="s">
        <v>274</v>
      </c>
      <c r="G998" s="105" t="s">
        <v>274</v>
      </c>
      <c r="H998" s="106">
        <v>9209</v>
      </c>
      <c r="I998" s="106">
        <v>5792</v>
      </c>
      <c r="J998" s="106">
        <v>3417</v>
      </c>
      <c r="K998" s="106">
        <v>681</v>
      </c>
      <c r="L998" s="106">
        <v>2617</v>
      </c>
      <c r="M998" s="106">
        <v>4591</v>
      </c>
      <c r="N998" s="106">
        <v>1320</v>
      </c>
      <c r="O998" s="106">
        <v>9150</v>
      </c>
      <c r="P998" s="106">
        <v>59</v>
      </c>
      <c r="Q998" s="107">
        <v>0.34490687514371099</v>
      </c>
      <c r="R998" s="107">
        <v>0.12621709340064899</v>
      </c>
      <c r="S998" s="107">
        <v>0.72969543147208105</v>
      </c>
      <c r="T998" s="107">
        <v>0.16129032258064499</v>
      </c>
      <c r="U998" s="107">
        <v>0.40666937779585199</v>
      </c>
      <c r="V998" s="107">
        <v>0.41171088746569101</v>
      </c>
      <c r="W998" s="107">
        <v>8.0192461908580606E-2</v>
      </c>
      <c r="X998" s="107">
        <v>0.33549282739472502</v>
      </c>
      <c r="Y998" s="107">
        <v>1.8518518518518501</v>
      </c>
      <c r="Z998" s="106">
        <v>10363</v>
      </c>
      <c r="AA998" s="106">
        <v>5934</v>
      </c>
      <c r="AB998" s="106">
        <v>4429</v>
      </c>
      <c r="AC998" s="106">
        <v>440</v>
      </c>
      <c r="AD998" s="106">
        <v>2295</v>
      </c>
      <c r="AE998" s="106">
        <v>5625</v>
      </c>
      <c r="AF998" s="106">
        <v>2003</v>
      </c>
      <c r="AG998" s="106">
        <v>730</v>
      </c>
      <c r="AH998" s="106">
        <v>9439</v>
      </c>
      <c r="AI998" s="106">
        <v>194</v>
      </c>
      <c r="AJ998" s="106">
        <v>10223</v>
      </c>
      <c r="AK998" s="106">
        <v>116</v>
      </c>
      <c r="AL998" s="106">
        <v>24</v>
      </c>
      <c r="AM998" s="106">
        <v>1235</v>
      </c>
      <c r="AN998" s="106">
        <v>9049</v>
      </c>
      <c r="AO998" s="106">
        <v>79</v>
      </c>
      <c r="AP998" s="107">
        <v>1.48761980830671</v>
      </c>
      <c r="AQ998" s="107">
        <v>0.49888181661792502</v>
      </c>
      <c r="AR998" s="107">
        <v>2.8551034975017799</v>
      </c>
      <c r="AS998" s="107">
        <v>1.87353629976581</v>
      </c>
      <c r="AT998" s="107">
        <v>1.91431175934366</v>
      </c>
      <c r="AU998" s="107">
        <v>1.4870570956489799</v>
      </c>
      <c r="AV998" s="107">
        <v>0.92402464065708401</v>
      </c>
      <c r="AW998" s="107">
        <v>0.708215297450425</v>
      </c>
      <c r="AX998" s="107">
        <v>1.5462221734839301</v>
      </c>
      <c r="AY998" s="107">
        <v>1.5706806282722501</v>
      </c>
      <c r="AZ998" s="107">
        <v>1.4880048587913799</v>
      </c>
      <c r="BA998" s="107">
        <v>1.76991150442478</v>
      </c>
      <c r="BB998" s="107">
        <v>0</v>
      </c>
      <c r="BC998" s="107">
        <v>0.83056478405315604</v>
      </c>
      <c r="BD998" s="107">
        <v>1.56858255095031</v>
      </c>
      <c r="BE998" s="107">
        <v>2.5641025641025599</v>
      </c>
    </row>
    <row r="999" spans="2:57" ht="15" customHeight="1" x14ac:dyDescent="0.25">
      <c r="B999" s="91">
        <v>989</v>
      </c>
      <c r="C999" s="92" t="s">
        <v>504</v>
      </c>
      <c r="D999" s="92" t="s">
        <v>76</v>
      </c>
      <c r="E999" s="92" t="s">
        <v>407</v>
      </c>
      <c r="F999" s="92" t="s">
        <v>274</v>
      </c>
      <c r="G999" s="101" t="s">
        <v>501</v>
      </c>
      <c r="H999" s="94">
        <v>0</v>
      </c>
      <c r="I999" s="94">
        <v>0</v>
      </c>
      <c r="J999" s="94">
        <v>0</v>
      </c>
      <c r="K999" s="94">
        <v>0</v>
      </c>
      <c r="L999" s="94">
        <v>0</v>
      </c>
      <c r="M999" s="94">
        <v>0</v>
      </c>
      <c r="N999" s="94">
        <v>0</v>
      </c>
      <c r="O999" s="94">
        <v>0</v>
      </c>
      <c r="P999" s="94">
        <v>0</v>
      </c>
      <c r="Q999" s="95">
        <v>0</v>
      </c>
      <c r="R999" s="95">
        <v>0</v>
      </c>
      <c r="S999" s="95">
        <v>0</v>
      </c>
      <c r="T999" s="95">
        <v>0</v>
      </c>
      <c r="U999" s="95">
        <v>0</v>
      </c>
      <c r="V999" s="95">
        <v>0</v>
      </c>
      <c r="W999" s="95">
        <v>0</v>
      </c>
      <c r="X999" s="95">
        <v>0</v>
      </c>
      <c r="Y999" s="95">
        <v>0</v>
      </c>
      <c r="Z999" s="94">
        <v>0</v>
      </c>
      <c r="AA999" s="94">
        <v>0</v>
      </c>
      <c r="AB999" s="94">
        <v>0</v>
      </c>
      <c r="AC999" s="94">
        <v>0</v>
      </c>
      <c r="AD999" s="94">
        <v>0</v>
      </c>
      <c r="AE999" s="94">
        <v>0</v>
      </c>
      <c r="AF999" s="94">
        <v>0</v>
      </c>
      <c r="AG999" s="94">
        <v>0</v>
      </c>
      <c r="AH999" s="94">
        <v>0</v>
      </c>
      <c r="AI999" s="94">
        <v>0</v>
      </c>
      <c r="AJ999" s="94">
        <v>0</v>
      </c>
      <c r="AK999" s="94">
        <v>0</v>
      </c>
      <c r="AL999" s="94">
        <v>0</v>
      </c>
      <c r="AM999" s="94">
        <v>0</v>
      </c>
      <c r="AN999" s="94">
        <v>0</v>
      </c>
      <c r="AO999" s="94">
        <v>0</v>
      </c>
      <c r="AP999" s="95">
        <v>0</v>
      </c>
      <c r="AQ999" s="95">
        <v>0</v>
      </c>
      <c r="AR999" s="95">
        <v>0</v>
      </c>
      <c r="AS999" s="95">
        <v>0</v>
      </c>
      <c r="AT999" s="95">
        <v>0</v>
      </c>
      <c r="AU999" s="95">
        <v>0</v>
      </c>
      <c r="AV999" s="95">
        <v>0</v>
      </c>
      <c r="AW999" s="95">
        <v>0</v>
      </c>
      <c r="AX999" s="95">
        <v>0</v>
      </c>
      <c r="AY999" s="95">
        <v>0</v>
      </c>
      <c r="AZ999" s="95">
        <v>0</v>
      </c>
      <c r="BA999" s="95">
        <v>0</v>
      </c>
      <c r="BB999" s="95">
        <v>0</v>
      </c>
      <c r="BC999" s="95">
        <v>0</v>
      </c>
      <c r="BD999" s="95">
        <v>0</v>
      </c>
      <c r="BE999" s="95">
        <v>0</v>
      </c>
    </row>
    <row r="1000" spans="2:57" ht="15" customHeight="1" x14ac:dyDescent="0.25">
      <c r="B1000" s="91">
        <v>990</v>
      </c>
      <c r="C1000" s="92" t="s">
        <v>504</v>
      </c>
      <c r="D1000" s="92" t="s">
        <v>76</v>
      </c>
      <c r="E1000" s="92" t="s">
        <v>407</v>
      </c>
      <c r="F1000" s="92" t="s">
        <v>274</v>
      </c>
      <c r="G1000" s="101" t="s">
        <v>502</v>
      </c>
      <c r="H1000" s="94">
        <v>9209</v>
      </c>
      <c r="I1000" s="94">
        <v>5792</v>
      </c>
      <c r="J1000" s="94">
        <v>3417</v>
      </c>
      <c r="K1000" s="94">
        <v>681</v>
      </c>
      <c r="L1000" s="94">
        <v>2617</v>
      </c>
      <c r="M1000" s="94">
        <v>4591</v>
      </c>
      <c r="N1000" s="94">
        <v>1320</v>
      </c>
      <c r="O1000" s="94">
        <v>9150</v>
      </c>
      <c r="P1000" s="94">
        <v>59</v>
      </c>
      <c r="Q1000" s="95">
        <v>0.34490687514371099</v>
      </c>
      <c r="R1000" s="95">
        <v>0.12621709340064899</v>
      </c>
      <c r="S1000" s="95">
        <v>0.72969543147208105</v>
      </c>
      <c r="T1000" s="95">
        <v>0.16129032258064499</v>
      </c>
      <c r="U1000" s="95">
        <v>0.40666937779585199</v>
      </c>
      <c r="V1000" s="95">
        <v>0.41171088746569101</v>
      </c>
      <c r="W1000" s="95">
        <v>8.0192461908580606E-2</v>
      </c>
      <c r="X1000" s="95">
        <v>0.33549282739472502</v>
      </c>
      <c r="Y1000" s="95">
        <v>1.8518518518518501</v>
      </c>
      <c r="Z1000" s="94">
        <v>10363</v>
      </c>
      <c r="AA1000" s="94">
        <v>5934</v>
      </c>
      <c r="AB1000" s="94">
        <v>4429</v>
      </c>
      <c r="AC1000" s="94">
        <v>440</v>
      </c>
      <c r="AD1000" s="94">
        <v>2295</v>
      </c>
      <c r="AE1000" s="94">
        <v>5625</v>
      </c>
      <c r="AF1000" s="94">
        <v>2003</v>
      </c>
      <c r="AG1000" s="94">
        <v>730</v>
      </c>
      <c r="AH1000" s="94">
        <v>9439</v>
      </c>
      <c r="AI1000" s="94">
        <v>194</v>
      </c>
      <c r="AJ1000" s="94">
        <v>10223</v>
      </c>
      <c r="AK1000" s="94">
        <v>116</v>
      </c>
      <c r="AL1000" s="94">
        <v>24</v>
      </c>
      <c r="AM1000" s="94">
        <v>1235</v>
      </c>
      <c r="AN1000" s="94">
        <v>9049</v>
      </c>
      <c r="AO1000" s="94">
        <v>79</v>
      </c>
      <c r="AP1000" s="95">
        <v>1.48761980830671</v>
      </c>
      <c r="AQ1000" s="95">
        <v>0.49888181661792502</v>
      </c>
      <c r="AR1000" s="95">
        <v>2.8551034975017799</v>
      </c>
      <c r="AS1000" s="95">
        <v>1.87353629976581</v>
      </c>
      <c r="AT1000" s="95">
        <v>1.91431175934366</v>
      </c>
      <c r="AU1000" s="95">
        <v>1.4870570956489799</v>
      </c>
      <c r="AV1000" s="95">
        <v>0.92402464065708401</v>
      </c>
      <c r="AW1000" s="95">
        <v>0.708215297450425</v>
      </c>
      <c r="AX1000" s="95">
        <v>1.5462221734839301</v>
      </c>
      <c r="AY1000" s="95">
        <v>1.5706806282722501</v>
      </c>
      <c r="AZ1000" s="95">
        <v>1.4880048587913799</v>
      </c>
      <c r="BA1000" s="95">
        <v>1.76991150442478</v>
      </c>
      <c r="BB1000" s="95">
        <v>0</v>
      </c>
      <c r="BC1000" s="95">
        <v>0.83056478405315604</v>
      </c>
      <c r="BD1000" s="95">
        <v>1.56858255095031</v>
      </c>
      <c r="BE1000" s="95">
        <v>2.5641025641025599</v>
      </c>
    </row>
    <row r="1001" spans="2:57" ht="15" customHeight="1" x14ac:dyDescent="0.25">
      <c r="B1001" s="96">
        <v>991</v>
      </c>
      <c r="C1001" s="97" t="s">
        <v>504</v>
      </c>
      <c r="D1001" s="104" t="s">
        <v>76</v>
      </c>
      <c r="E1001" s="104" t="s">
        <v>407</v>
      </c>
      <c r="F1001" s="104" t="s">
        <v>254</v>
      </c>
      <c r="G1001" s="105" t="s">
        <v>254</v>
      </c>
      <c r="H1001" s="106">
        <v>17212</v>
      </c>
      <c r="I1001" s="106">
        <v>9938</v>
      </c>
      <c r="J1001" s="106">
        <v>7274</v>
      </c>
      <c r="K1001" s="106">
        <v>1002</v>
      </c>
      <c r="L1001" s="106">
        <v>4830</v>
      </c>
      <c r="M1001" s="106">
        <v>9719</v>
      </c>
      <c r="N1001" s="106">
        <v>1661</v>
      </c>
      <c r="O1001" s="106">
        <v>16966</v>
      </c>
      <c r="P1001" s="106">
        <v>246</v>
      </c>
      <c r="Q1001" s="107">
        <v>1.3939656774673199</v>
      </c>
      <c r="R1001" s="107">
        <v>0.83953241232731102</v>
      </c>
      <c r="S1001" s="107">
        <v>2.1690684890803702</v>
      </c>
      <c r="T1001" s="107">
        <v>2.6402640264026398</v>
      </c>
      <c r="U1001" s="107">
        <v>1.5418502202643201</v>
      </c>
      <c r="V1001" s="107">
        <v>1.2577928469867701</v>
      </c>
      <c r="W1001" s="107">
        <v>1.03292446739832</v>
      </c>
      <c r="X1001" s="107">
        <v>1.3879294102870099</v>
      </c>
      <c r="Y1001" s="107">
        <v>1.8348623853210999</v>
      </c>
      <c r="Z1001" s="106">
        <v>19145</v>
      </c>
      <c r="AA1001" s="106">
        <v>10406</v>
      </c>
      <c r="AB1001" s="106">
        <v>8739</v>
      </c>
      <c r="AC1001" s="106">
        <v>600</v>
      </c>
      <c r="AD1001" s="106">
        <v>4508</v>
      </c>
      <c r="AE1001" s="106">
        <v>11542</v>
      </c>
      <c r="AF1001" s="106">
        <v>2495</v>
      </c>
      <c r="AG1001" s="106">
        <v>2368</v>
      </c>
      <c r="AH1001" s="106">
        <v>16515</v>
      </c>
      <c r="AI1001" s="106">
        <v>262</v>
      </c>
      <c r="AJ1001" s="106">
        <v>18667</v>
      </c>
      <c r="AK1001" s="106">
        <v>423</v>
      </c>
      <c r="AL1001" s="106">
        <v>55</v>
      </c>
      <c r="AM1001" s="106">
        <v>1400</v>
      </c>
      <c r="AN1001" s="106">
        <v>17584</v>
      </c>
      <c r="AO1001" s="106">
        <v>161</v>
      </c>
      <c r="AP1001" s="107">
        <v>6.4546151319391196</v>
      </c>
      <c r="AQ1001" s="107">
        <v>3.0934027430173199</v>
      </c>
      <c r="AR1001" s="107">
        <v>10.5110547299746</v>
      </c>
      <c r="AS1001" s="107">
        <v>10.4982206405694</v>
      </c>
      <c r="AT1001" s="107">
        <v>7.7900682513532598</v>
      </c>
      <c r="AU1001" s="107">
        <v>6.1652504067980498</v>
      </c>
      <c r="AV1001" s="107">
        <v>4.4713748432929403</v>
      </c>
      <c r="AW1001" s="107">
        <v>3.8886433937251401</v>
      </c>
      <c r="AX1001" s="107">
        <v>6.8435754189944102</v>
      </c>
      <c r="AY1001" s="107">
        <v>5.1792828685258998</v>
      </c>
      <c r="AZ1001" s="107">
        <v>6.4545097378907803</v>
      </c>
      <c r="BA1001" s="107">
        <v>6.8010075566750601</v>
      </c>
      <c r="BB1001" s="107">
        <v>3.8461538461538498</v>
      </c>
      <c r="BC1001" s="107">
        <v>5.5514433752775698</v>
      </c>
      <c r="BD1001" s="107">
        <v>6.5493587831792404</v>
      </c>
      <c r="BE1001" s="107">
        <v>4</v>
      </c>
    </row>
    <row r="1002" spans="2:57" ht="15" customHeight="1" x14ac:dyDescent="0.25">
      <c r="B1002" s="91">
        <v>992</v>
      </c>
      <c r="C1002" s="92" t="s">
        <v>504</v>
      </c>
      <c r="D1002" s="92" t="s">
        <v>76</v>
      </c>
      <c r="E1002" s="92" t="s">
        <v>407</v>
      </c>
      <c r="F1002" s="92" t="s">
        <v>254</v>
      </c>
      <c r="G1002" s="101" t="s">
        <v>501</v>
      </c>
      <c r="H1002" s="94">
        <v>14664</v>
      </c>
      <c r="I1002" s="94">
        <v>8316</v>
      </c>
      <c r="J1002" s="94">
        <v>6348</v>
      </c>
      <c r="K1002" s="94">
        <v>816</v>
      </c>
      <c r="L1002" s="94">
        <v>4092</v>
      </c>
      <c r="M1002" s="94">
        <v>8415</v>
      </c>
      <c r="N1002" s="94">
        <v>1341</v>
      </c>
      <c r="O1002" s="94">
        <v>14430</v>
      </c>
      <c r="P1002" s="94">
        <v>234</v>
      </c>
      <c r="Q1002" s="95">
        <v>1.6027976103744701</v>
      </c>
      <c r="R1002" s="95">
        <v>0.99173553719008301</v>
      </c>
      <c r="S1002" s="95">
        <v>2.4227947449240701</v>
      </c>
      <c r="T1002" s="95">
        <v>3.1335149863760199</v>
      </c>
      <c r="U1002" s="95">
        <v>1.7936054068105001</v>
      </c>
      <c r="V1002" s="95">
        <v>1.4175420832806001</v>
      </c>
      <c r="W1002" s="95">
        <v>1.2861736334405101</v>
      </c>
      <c r="X1002" s="95">
        <v>1.5977513129669401</v>
      </c>
      <c r="Y1002" s="95">
        <v>1.93236714975845</v>
      </c>
      <c r="Z1002" s="94">
        <v>17065</v>
      </c>
      <c r="AA1002" s="94">
        <v>9149</v>
      </c>
      <c r="AB1002" s="94">
        <v>7916</v>
      </c>
      <c r="AC1002" s="94">
        <v>510</v>
      </c>
      <c r="AD1002" s="94">
        <v>3960</v>
      </c>
      <c r="AE1002" s="94">
        <v>10430</v>
      </c>
      <c r="AF1002" s="94">
        <v>2165</v>
      </c>
      <c r="AG1002" s="94">
        <v>1943</v>
      </c>
      <c r="AH1002" s="94">
        <v>14908</v>
      </c>
      <c r="AI1002" s="94">
        <v>214</v>
      </c>
      <c r="AJ1002" s="94">
        <v>16622</v>
      </c>
      <c r="AK1002" s="94">
        <v>398</v>
      </c>
      <c r="AL1002" s="94">
        <v>45</v>
      </c>
      <c r="AM1002" s="94">
        <v>1205</v>
      </c>
      <c r="AN1002" s="94">
        <v>15724</v>
      </c>
      <c r="AO1002" s="94">
        <v>136</v>
      </c>
      <c r="AP1002" s="95">
        <v>6.9558805456556501</v>
      </c>
      <c r="AQ1002" s="95">
        <v>3.47657585774536</v>
      </c>
      <c r="AR1002" s="95">
        <v>11.0251966404479</v>
      </c>
      <c r="AS1002" s="95">
        <v>11.554621848739499</v>
      </c>
      <c r="AT1002" s="95">
        <v>8.4763948497854091</v>
      </c>
      <c r="AU1002" s="95">
        <v>6.5426170468187301</v>
      </c>
      <c r="AV1002" s="95">
        <v>5.1591128254580498</v>
      </c>
      <c r="AW1002" s="95">
        <v>4.35016111707841</v>
      </c>
      <c r="AX1002" s="95">
        <v>7.3127815315315301</v>
      </c>
      <c r="AY1002" s="95">
        <v>5.8823529411764701</v>
      </c>
      <c r="AZ1002" s="95">
        <v>6.9550413014692003</v>
      </c>
      <c r="BA1002" s="95">
        <v>7.2386058981233203</v>
      </c>
      <c r="BB1002" s="95">
        <v>4.7619047619047601</v>
      </c>
      <c r="BC1002" s="95">
        <v>6.2876830318690802</v>
      </c>
      <c r="BD1002" s="95">
        <v>7.0260892773737202</v>
      </c>
      <c r="BE1002" s="95">
        <v>4.7619047619047601</v>
      </c>
    </row>
    <row r="1003" spans="2:57" ht="15" customHeight="1" x14ac:dyDescent="0.25">
      <c r="B1003" s="91">
        <v>993</v>
      </c>
      <c r="C1003" s="92" t="s">
        <v>504</v>
      </c>
      <c r="D1003" s="92" t="s">
        <v>76</v>
      </c>
      <c r="E1003" s="92" t="s">
        <v>407</v>
      </c>
      <c r="F1003" s="92" t="s">
        <v>254</v>
      </c>
      <c r="G1003" s="101" t="s">
        <v>502</v>
      </c>
      <c r="H1003" s="94">
        <v>2548</v>
      </c>
      <c r="I1003" s="94">
        <v>1622</v>
      </c>
      <c r="J1003" s="94">
        <v>926</v>
      </c>
      <c r="K1003" s="94">
        <v>186</v>
      </c>
      <c r="L1003" s="94">
        <v>738</v>
      </c>
      <c r="M1003" s="94">
        <v>1304</v>
      </c>
      <c r="N1003" s="94">
        <v>320</v>
      </c>
      <c r="O1003" s="94">
        <v>2536</v>
      </c>
      <c r="P1003" s="94">
        <v>12</v>
      </c>
      <c r="Q1003" s="95">
        <v>0.20703933747412001</v>
      </c>
      <c r="R1003" s="95">
        <v>6.4724919093851099E-2</v>
      </c>
      <c r="S1003" s="95">
        <v>0.45977011494252901</v>
      </c>
      <c r="T1003" s="95">
        <v>0.57142857142857095</v>
      </c>
      <c r="U1003" s="95">
        <v>0.14430014430014401</v>
      </c>
      <c r="V1003" s="95">
        <v>0.241545893719807</v>
      </c>
      <c r="W1003" s="95">
        <v>0</v>
      </c>
      <c r="X1003" s="95">
        <v>0.20798668885191299</v>
      </c>
      <c r="Y1003" s="95">
        <v>0</v>
      </c>
      <c r="Z1003" s="94">
        <v>2080</v>
      </c>
      <c r="AA1003" s="94">
        <v>1257</v>
      </c>
      <c r="AB1003" s="94">
        <v>823</v>
      </c>
      <c r="AC1003" s="94">
        <v>90</v>
      </c>
      <c r="AD1003" s="94">
        <v>548</v>
      </c>
      <c r="AE1003" s="94">
        <v>1112</v>
      </c>
      <c r="AF1003" s="94">
        <v>330</v>
      </c>
      <c r="AG1003" s="94">
        <v>425</v>
      </c>
      <c r="AH1003" s="94">
        <v>1607</v>
      </c>
      <c r="AI1003" s="94">
        <v>48</v>
      </c>
      <c r="AJ1003" s="94">
        <v>2045</v>
      </c>
      <c r="AK1003" s="94">
        <v>25</v>
      </c>
      <c r="AL1003" s="94">
        <v>10</v>
      </c>
      <c r="AM1003" s="94">
        <v>195</v>
      </c>
      <c r="AN1003" s="94">
        <v>1860</v>
      </c>
      <c r="AO1003" s="94">
        <v>25</v>
      </c>
      <c r="AP1003" s="95">
        <v>2.3594377510040201</v>
      </c>
      <c r="AQ1003" s="95">
        <v>0.32894736842105299</v>
      </c>
      <c r="AR1003" s="95">
        <v>5.5412371134020599</v>
      </c>
      <c r="AS1003" s="95">
        <v>4.6511627906976702</v>
      </c>
      <c r="AT1003" s="95">
        <v>2.8790786948176601</v>
      </c>
      <c r="AU1003" s="95">
        <v>2.6266416510319002</v>
      </c>
      <c r="AV1003" s="95">
        <v>0</v>
      </c>
      <c r="AW1003" s="95">
        <v>1.7456359102244401</v>
      </c>
      <c r="AX1003" s="95">
        <v>2.5259067357512999</v>
      </c>
      <c r="AY1003" s="95">
        <v>2.12765957446809</v>
      </c>
      <c r="AZ1003" s="95">
        <v>2.4004085801838602</v>
      </c>
      <c r="BA1003" s="95">
        <v>0</v>
      </c>
      <c r="BB1003" s="95">
        <v>0</v>
      </c>
      <c r="BC1003" s="95">
        <v>1.0526315789473699</v>
      </c>
      <c r="BD1003" s="95">
        <v>2.5309336332958399</v>
      </c>
      <c r="BE1003" s="95">
        <v>0</v>
      </c>
    </row>
    <row r="1004" spans="2:57" ht="15" customHeight="1" x14ac:dyDescent="0.25">
      <c r="B1004" s="86">
        <v>994</v>
      </c>
      <c r="C1004" s="87" t="s">
        <v>503</v>
      </c>
      <c r="D1004" s="103" t="s">
        <v>76</v>
      </c>
      <c r="E1004" s="103" t="s">
        <v>408</v>
      </c>
      <c r="F1004" s="103"/>
      <c r="G1004" s="88" t="s">
        <v>408</v>
      </c>
      <c r="H1004" s="89">
        <v>66620</v>
      </c>
      <c r="I1004" s="89">
        <v>41259</v>
      </c>
      <c r="J1004" s="89">
        <v>25361</v>
      </c>
      <c r="K1004" s="89">
        <v>3634</v>
      </c>
      <c r="L1004" s="89">
        <v>20336</v>
      </c>
      <c r="M1004" s="89">
        <v>36777</v>
      </c>
      <c r="N1004" s="89">
        <v>5873</v>
      </c>
      <c r="O1004" s="89">
        <v>65357</v>
      </c>
      <c r="P1004" s="89">
        <v>1263</v>
      </c>
      <c r="Q1004" s="90">
        <v>1.4159321141954999</v>
      </c>
      <c r="R1004" s="90">
        <v>0.84428262360825301</v>
      </c>
      <c r="S1004" s="90">
        <v>2.3618265956517899</v>
      </c>
      <c r="T1004" s="90">
        <v>2.3570081709616599</v>
      </c>
      <c r="U1004" s="90">
        <v>1.79315639394604</v>
      </c>
      <c r="V1004" s="90">
        <v>1.1918074274616</v>
      </c>
      <c r="W1004" s="90">
        <v>0.99852071005917198</v>
      </c>
      <c r="X1004" s="90">
        <v>1.39619858536422</v>
      </c>
      <c r="Y1004" s="90">
        <v>2.4432809773123898</v>
      </c>
      <c r="Z1004" s="89">
        <v>77094</v>
      </c>
      <c r="AA1004" s="89">
        <v>43650</v>
      </c>
      <c r="AB1004" s="89">
        <v>33444</v>
      </c>
      <c r="AC1004" s="89">
        <v>3074</v>
      </c>
      <c r="AD1004" s="89">
        <v>19702</v>
      </c>
      <c r="AE1004" s="89">
        <v>45073</v>
      </c>
      <c r="AF1004" s="89">
        <v>9245</v>
      </c>
      <c r="AG1004" s="89">
        <v>16011</v>
      </c>
      <c r="AH1004" s="89">
        <v>59956</v>
      </c>
      <c r="AI1004" s="89">
        <v>1127</v>
      </c>
      <c r="AJ1004" s="89">
        <v>75299</v>
      </c>
      <c r="AK1004" s="89">
        <v>1576</v>
      </c>
      <c r="AL1004" s="89">
        <v>219</v>
      </c>
      <c r="AM1004" s="89">
        <v>5098</v>
      </c>
      <c r="AN1004" s="89">
        <v>71338</v>
      </c>
      <c r="AO1004" s="89">
        <v>658</v>
      </c>
      <c r="AP1004" s="90">
        <v>4.9993824534438502</v>
      </c>
      <c r="AQ1004" s="90">
        <v>2.14825363875546</v>
      </c>
      <c r="AR1004" s="90">
        <v>8.75636132315522</v>
      </c>
      <c r="AS1004" s="90">
        <v>9.2560850188549892</v>
      </c>
      <c r="AT1004" s="90">
        <v>6.0238991651661502</v>
      </c>
      <c r="AU1004" s="90">
        <v>4.6416462060095904</v>
      </c>
      <c r="AV1004" s="90">
        <v>3.2054176072234801</v>
      </c>
      <c r="AW1004" s="90">
        <v>4.0121220106726403</v>
      </c>
      <c r="AX1004" s="90">
        <v>5.2856361293966101</v>
      </c>
      <c r="AY1004" s="90">
        <v>3.79746835443038</v>
      </c>
      <c r="AZ1004" s="90">
        <v>5.0248784190256703</v>
      </c>
      <c r="BA1004" s="90">
        <v>3.7673496364838099</v>
      </c>
      <c r="BB1004" s="90">
        <v>5.2380952380952399</v>
      </c>
      <c r="BC1004" s="90">
        <v>4.6435175672899103</v>
      </c>
      <c r="BD1004" s="90">
        <v>5.0334624345219501</v>
      </c>
      <c r="BE1004" s="90">
        <v>4.0783034257748803</v>
      </c>
    </row>
    <row r="1005" spans="2:57" ht="15" customHeight="1" x14ac:dyDescent="0.25">
      <c r="B1005" s="91">
        <v>995</v>
      </c>
      <c r="C1005" s="92" t="s">
        <v>503</v>
      </c>
      <c r="D1005" s="92" t="s">
        <v>76</v>
      </c>
      <c r="E1005" s="92" t="s">
        <v>408</v>
      </c>
      <c r="F1005" s="92"/>
      <c r="G1005" s="93" t="s">
        <v>501</v>
      </c>
      <c r="H1005" s="94">
        <v>44971</v>
      </c>
      <c r="I1005" s="94">
        <v>25928</v>
      </c>
      <c r="J1005" s="94">
        <v>19043</v>
      </c>
      <c r="K1005" s="94">
        <v>2156</v>
      </c>
      <c r="L1005" s="94">
        <v>13518</v>
      </c>
      <c r="M1005" s="94">
        <v>25836</v>
      </c>
      <c r="N1005" s="94">
        <v>3461</v>
      </c>
      <c r="O1005" s="94">
        <v>44347</v>
      </c>
      <c r="P1005" s="94">
        <v>624</v>
      </c>
      <c r="Q1005" s="95">
        <v>1.8555800810148699</v>
      </c>
      <c r="R1005" s="95">
        <v>1.1741110600426199</v>
      </c>
      <c r="S1005" s="95">
        <v>2.79865849427547</v>
      </c>
      <c r="T1005" s="95">
        <v>3.5581518852894298</v>
      </c>
      <c r="U1005" s="95">
        <v>2.3185069472991899</v>
      </c>
      <c r="V1005" s="95">
        <v>1.5312082777036</v>
      </c>
      <c r="W1005" s="95">
        <v>1.52505446623094</v>
      </c>
      <c r="X1005" s="95">
        <v>1.8140255143426001</v>
      </c>
      <c r="Y1005" s="95">
        <v>4.9632352941176503</v>
      </c>
      <c r="Z1005" s="94">
        <v>53245</v>
      </c>
      <c r="AA1005" s="94">
        <v>29098</v>
      </c>
      <c r="AB1005" s="94">
        <v>24147</v>
      </c>
      <c r="AC1005" s="94">
        <v>1758</v>
      </c>
      <c r="AD1005" s="94">
        <v>13478</v>
      </c>
      <c r="AE1005" s="94">
        <v>32175</v>
      </c>
      <c r="AF1005" s="94">
        <v>5834</v>
      </c>
      <c r="AG1005" s="94">
        <v>7952</v>
      </c>
      <c r="AH1005" s="94">
        <v>44568</v>
      </c>
      <c r="AI1005" s="94">
        <v>725</v>
      </c>
      <c r="AJ1005" s="94">
        <v>52431</v>
      </c>
      <c r="AK1005" s="94">
        <v>680</v>
      </c>
      <c r="AL1005" s="94">
        <v>134</v>
      </c>
      <c r="AM1005" s="94">
        <v>3351</v>
      </c>
      <c r="AN1005" s="94">
        <v>49502</v>
      </c>
      <c r="AO1005" s="94">
        <v>392</v>
      </c>
      <c r="AP1005" s="95">
        <v>6.2708830548926002</v>
      </c>
      <c r="AQ1005" s="95">
        <v>2.93700701537567</v>
      </c>
      <c r="AR1005" s="95">
        <v>10.2990908691642</v>
      </c>
      <c r="AS1005" s="95">
        <v>13.5846798324357</v>
      </c>
      <c r="AT1005" s="95">
        <v>7.3979591836734704</v>
      </c>
      <c r="AU1005" s="95">
        <v>5.7037959745623796</v>
      </c>
      <c r="AV1005" s="95">
        <v>4.6411225040474902</v>
      </c>
      <c r="AW1005" s="95">
        <v>6.08626620799153</v>
      </c>
      <c r="AX1005" s="95">
        <v>6.3215932316174701</v>
      </c>
      <c r="AY1005" s="95">
        <v>5.1242236024844701</v>
      </c>
      <c r="AZ1005" s="95">
        <v>6.2595944089844098</v>
      </c>
      <c r="BA1005" s="95">
        <v>7.1428571428571397</v>
      </c>
      <c r="BB1005" s="95">
        <v>6.25</v>
      </c>
      <c r="BC1005" s="95">
        <v>6.3856558666247203</v>
      </c>
      <c r="BD1005" s="95">
        <v>6.2709942446350997</v>
      </c>
      <c r="BE1005" s="95">
        <v>5.2486187845303904</v>
      </c>
    </row>
    <row r="1006" spans="2:57" ht="15" customHeight="1" x14ac:dyDescent="0.25">
      <c r="B1006" s="91">
        <v>996</v>
      </c>
      <c r="C1006" s="92" t="s">
        <v>503</v>
      </c>
      <c r="D1006" s="92" t="s">
        <v>76</v>
      </c>
      <c r="E1006" s="92" t="s">
        <v>408</v>
      </c>
      <c r="F1006" s="92"/>
      <c r="G1006" s="93" t="s">
        <v>502</v>
      </c>
      <c r="H1006" s="94">
        <v>21649</v>
      </c>
      <c r="I1006" s="94">
        <v>15331</v>
      </c>
      <c r="J1006" s="94">
        <v>6318</v>
      </c>
      <c r="K1006" s="94">
        <v>1478</v>
      </c>
      <c r="L1006" s="94">
        <v>6818</v>
      </c>
      <c r="M1006" s="94">
        <v>10941</v>
      </c>
      <c r="N1006" s="94">
        <v>2412</v>
      </c>
      <c r="O1006" s="94">
        <v>21010</v>
      </c>
      <c r="P1006" s="94">
        <v>639</v>
      </c>
      <c r="Q1006" s="95">
        <v>0.49027118124712699</v>
      </c>
      <c r="R1006" s="95">
        <v>0.27918963418999199</v>
      </c>
      <c r="S1006" s="95">
        <v>1.0156806842480399</v>
      </c>
      <c r="T1006" s="95">
        <v>0.61585835257890698</v>
      </c>
      <c r="U1006" s="95">
        <v>0.74098468631648295</v>
      </c>
      <c r="V1006" s="95">
        <v>0.37946874375873801</v>
      </c>
      <c r="W1006" s="95">
        <v>0.22779043280182201</v>
      </c>
      <c r="X1006" s="95">
        <v>0.50055324305811699</v>
      </c>
      <c r="Y1006" s="95">
        <v>0.16611295681063101</v>
      </c>
      <c r="Z1006" s="94">
        <v>23849</v>
      </c>
      <c r="AA1006" s="94">
        <v>14552</v>
      </c>
      <c r="AB1006" s="94">
        <v>9297</v>
      </c>
      <c r="AC1006" s="94">
        <v>1316</v>
      </c>
      <c r="AD1006" s="94">
        <v>6224</v>
      </c>
      <c r="AE1006" s="94">
        <v>12898</v>
      </c>
      <c r="AF1006" s="94">
        <v>3411</v>
      </c>
      <c r="AG1006" s="94">
        <v>8059</v>
      </c>
      <c r="AH1006" s="94">
        <v>15388</v>
      </c>
      <c r="AI1006" s="94">
        <v>402</v>
      </c>
      <c r="AJ1006" s="94">
        <v>22868</v>
      </c>
      <c r="AK1006" s="94">
        <v>896</v>
      </c>
      <c r="AL1006" s="94">
        <v>85</v>
      </c>
      <c r="AM1006" s="94">
        <v>1747</v>
      </c>
      <c r="AN1006" s="94">
        <v>21836</v>
      </c>
      <c r="AO1006" s="94">
        <v>266</v>
      </c>
      <c r="AP1006" s="95">
        <v>2.1691973969631202</v>
      </c>
      <c r="AQ1006" s="95">
        <v>0.58916510992958804</v>
      </c>
      <c r="AR1006" s="95">
        <v>4.7053396378733696</v>
      </c>
      <c r="AS1006" s="95">
        <v>3.4510433386837902</v>
      </c>
      <c r="AT1006" s="95">
        <v>3.0434030779871999</v>
      </c>
      <c r="AU1006" s="95">
        <v>1.9985316910025299</v>
      </c>
      <c r="AV1006" s="95">
        <v>0.78764010905786097</v>
      </c>
      <c r="AW1006" s="95">
        <v>1.9551239994751299</v>
      </c>
      <c r="AX1006" s="95">
        <v>2.2968803565306799</v>
      </c>
      <c r="AY1006" s="95">
        <v>1.56657963446475</v>
      </c>
      <c r="AZ1006" s="95">
        <v>2.1998336260282798</v>
      </c>
      <c r="BA1006" s="95">
        <v>1.26582278481013</v>
      </c>
      <c r="BB1006" s="95">
        <v>3.6585365853658498</v>
      </c>
      <c r="BC1006" s="95">
        <v>1.3625592417061601</v>
      </c>
      <c r="BD1006" s="95">
        <v>2.23244552058111</v>
      </c>
      <c r="BE1006" s="95">
        <v>2.3904382470119501</v>
      </c>
    </row>
    <row r="1007" spans="2:57" ht="15" customHeight="1" x14ac:dyDescent="0.25">
      <c r="B1007" s="96">
        <v>997</v>
      </c>
      <c r="C1007" s="97" t="s">
        <v>504</v>
      </c>
      <c r="D1007" s="104" t="s">
        <v>76</v>
      </c>
      <c r="E1007" s="104" t="s">
        <v>408</v>
      </c>
      <c r="F1007" s="104" t="s">
        <v>297</v>
      </c>
      <c r="G1007" s="105" t="s">
        <v>297</v>
      </c>
      <c r="H1007" s="106">
        <v>40809</v>
      </c>
      <c r="I1007" s="106">
        <v>24397</v>
      </c>
      <c r="J1007" s="106">
        <v>16412</v>
      </c>
      <c r="K1007" s="106">
        <v>2281</v>
      </c>
      <c r="L1007" s="106">
        <v>12093</v>
      </c>
      <c r="M1007" s="106">
        <v>22865</v>
      </c>
      <c r="N1007" s="106">
        <v>3570</v>
      </c>
      <c r="O1007" s="106">
        <v>39816</v>
      </c>
      <c r="P1007" s="106">
        <v>993</v>
      </c>
      <c r="Q1007" s="107">
        <v>1.4480046761251899</v>
      </c>
      <c r="R1007" s="107">
        <v>0.893682588597843</v>
      </c>
      <c r="S1007" s="107">
        <v>2.2917643905381002</v>
      </c>
      <c r="T1007" s="107">
        <v>2.1414342629482102</v>
      </c>
      <c r="U1007" s="107">
        <v>1.92132580586414</v>
      </c>
      <c r="V1007" s="107">
        <v>1.1852892949168401</v>
      </c>
      <c r="W1007" s="107">
        <v>1.1504692703602799</v>
      </c>
      <c r="X1007" s="107">
        <v>1.4490779832756799</v>
      </c>
      <c r="Y1007" s="107">
        <v>1.4054054054054099</v>
      </c>
      <c r="Z1007" s="106">
        <v>48046</v>
      </c>
      <c r="AA1007" s="106">
        <v>26861</v>
      </c>
      <c r="AB1007" s="106">
        <v>21185</v>
      </c>
      <c r="AC1007" s="106">
        <v>1958</v>
      </c>
      <c r="AD1007" s="106">
        <v>12720</v>
      </c>
      <c r="AE1007" s="106">
        <v>27709</v>
      </c>
      <c r="AF1007" s="106">
        <v>5659</v>
      </c>
      <c r="AG1007" s="106">
        <v>9804</v>
      </c>
      <c r="AH1007" s="106">
        <v>37609</v>
      </c>
      <c r="AI1007" s="106">
        <v>633</v>
      </c>
      <c r="AJ1007" s="106">
        <v>46850</v>
      </c>
      <c r="AK1007" s="106">
        <v>1074</v>
      </c>
      <c r="AL1007" s="106">
        <v>122</v>
      </c>
      <c r="AM1007" s="106">
        <v>3208</v>
      </c>
      <c r="AN1007" s="106">
        <v>44445</v>
      </c>
      <c r="AO1007" s="106">
        <v>393</v>
      </c>
      <c r="AP1007" s="107">
        <v>5.24457117788989</v>
      </c>
      <c r="AQ1007" s="107">
        <v>2.25604996096799</v>
      </c>
      <c r="AR1007" s="107">
        <v>9.0786179268903293</v>
      </c>
      <c r="AS1007" s="107">
        <v>10.070005385029599</v>
      </c>
      <c r="AT1007" s="107">
        <v>6.0547368421052603</v>
      </c>
      <c r="AU1007" s="107">
        <v>4.8454817112380404</v>
      </c>
      <c r="AV1007" s="107">
        <v>3.76314333148866</v>
      </c>
      <c r="AW1007" s="107">
        <v>4.1577368195456499</v>
      </c>
      <c r="AX1007" s="107">
        <v>5.54542649575047</v>
      </c>
      <c r="AY1007" s="107">
        <v>4.2833607907743003</v>
      </c>
      <c r="AZ1007" s="107">
        <v>5.2713282937364996</v>
      </c>
      <c r="BA1007" s="107">
        <v>4.1910331384015604</v>
      </c>
      <c r="BB1007" s="107">
        <v>4.31034482758621</v>
      </c>
      <c r="BC1007" s="107">
        <v>5.2889324191968701</v>
      </c>
      <c r="BD1007" s="107">
        <v>5.2444317939230096</v>
      </c>
      <c r="BE1007" s="107">
        <v>4.8913043478260896</v>
      </c>
    </row>
    <row r="1008" spans="2:57" ht="15" customHeight="1" x14ac:dyDescent="0.25">
      <c r="B1008" s="91">
        <v>998</v>
      </c>
      <c r="C1008" s="92" t="s">
        <v>504</v>
      </c>
      <c r="D1008" s="92" t="s">
        <v>76</v>
      </c>
      <c r="E1008" s="92" t="s">
        <v>408</v>
      </c>
      <c r="F1008" s="92" t="s">
        <v>297</v>
      </c>
      <c r="G1008" s="101" t="s">
        <v>501</v>
      </c>
      <c r="H1008" s="94">
        <v>29401</v>
      </c>
      <c r="I1008" s="94">
        <v>16565</v>
      </c>
      <c r="J1008" s="94">
        <v>12836</v>
      </c>
      <c r="K1008" s="94">
        <v>1339</v>
      </c>
      <c r="L1008" s="94">
        <v>8421</v>
      </c>
      <c r="M1008" s="94">
        <v>17323</v>
      </c>
      <c r="N1008" s="94">
        <v>2318</v>
      </c>
      <c r="O1008" s="94">
        <v>29006</v>
      </c>
      <c r="P1008" s="94">
        <v>395</v>
      </c>
      <c r="Q1008" s="95">
        <v>1.8772961058045601</v>
      </c>
      <c r="R1008" s="95">
        <v>1.24757595345831</v>
      </c>
      <c r="S1008" s="95">
        <v>2.7063829787234002</v>
      </c>
      <c r="T1008" s="95">
        <v>3.23404255319149</v>
      </c>
      <c r="U1008" s="95">
        <v>2.5084922916122299</v>
      </c>
      <c r="V1008" s="95">
        <v>1.50394477317554</v>
      </c>
      <c r="W1008" s="95">
        <v>1.70742962621135</v>
      </c>
      <c r="X1008" s="95">
        <v>1.8539890547634099</v>
      </c>
      <c r="Y1008" s="95">
        <v>3.6211699164345399</v>
      </c>
      <c r="Z1008" s="94">
        <v>36301</v>
      </c>
      <c r="AA1008" s="94">
        <v>19798</v>
      </c>
      <c r="AB1008" s="94">
        <v>16503</v>
      </c>
      <c r="AC1008" s="94">
        <v>1166</v>
      </c>
      <c r="AD1008" s="94">
        <v>9312</v>
      </c>
      <c r="AE1008" s="94">
        <v>21667</v>
      </c>
      <c r="AF1008" s="94">
        <v>4156</v>
      </c>
      <c r="AG1008" s="94">
        <v>5328</v>
      </c>
      <c r="AH1008" s="94">
        <v>30534</v>
      </c>
      <c r="AI1008" s="94">
        <v>439</v>
      </c>
      <c r="AJ1008" s="94">
        <v>35678</v>
      </c>
      <c r="AK1008" s="94">
        <v>541</v>
      </c>
      <c r="AL1008" s="94">
        <v>82</v>
      </c>
      <c r="AM1008" s="94">
        <v>2389</v>
      </c>
      <c r="AN1008" s="94">
        <v>33660</v>
      </c>
      <c r="AO1008" s="94">
        <v>252</v>
      </c>
      <c r="AP1008" s="95">
        <v>6.0038229842446702</v>
      </c>
      <c r="AQ1008" s="95">
        <v>2.8270421938694499</v>
      </c>
      <c r="AR1008" s="95">
        <v>9.8407826587377691</v>
      </c>
      <c r="AS1008" s="95">
        <v>13.440860215053799</v>
      </c>
      <c r="AT1008" s="95">
        <v>7.0243679212904704</v>
      </c>
      <c r="AU1008" s="95">
        <v>5.4371465854719396</v>
      </c>
      <c r="AV1008" s="95">
        <v>4.6231155778894504</v>
      </c>
      <c r="AW1008" s="95">
        <v>5.6829316088575403</v>
      </c>
      <c r="AX1008" s="95">
        <v>6.0644716428201999</v>
      </c>
      <c r="AY1008" s="95">
        <v>5.71428571428571</v>
      </c>
      <c r="AZ1008" s="95">
        <v>6.0022983764033402</v>
      </c>
      <c r="BA1008" s="95">
        <v>6.4202334630350197</v>
      </c>
      <c r="BB1008" s="95">
        <v>3.8961038961039001</v>
      </c>
      <c r="BC1008" s="95">
        <v>6.3596491228070198</v>
      </c>
      <c r="BD1008" s="95">
        <v>5.9815711385288104</v>
      </c>
      <c r="BE1008" s="95">
        <v>5.5793991416309003</v>
      </c>
    </row>
    <row r="1009" spans="2:57" ht="15" customHeight="1" x14ac:dyDescent="0.25">
      <c r="B1009" s="91">
        <v>999</v>
      </c>
      <c r="C1009" s="92" t="s">
        <v>504</v>
      </c>
      <c r="D1009" s="92" t="s">
        <v>76</v>
      </c>
      <c r="E1009" s="92" t="s">
        <v>408</v>
      </c>
      <c r="F1009" s="92" t="s">
        <v>297</v>
      </c>
      <c r="G1009" s="101" t="s">
        <v>502</v>
      </c>
      <c r="H1009" s="94">
        <v>11408</v>
      </c>
      <c r="I1009" s="94">
        <v>7832</v>
      </c>
      <c r="J1009" s="94">
        <v>3576</v>
      </c>
      <c r="K1009" s="94">
        <v>942</v>
      </c>
      <c r="L1009" s="94">
        <v>3672</v>
      </c>
      <c r="M1009" s="94">
        <v>5542</v>
      </c>
      <c r="N1009" s="94">
        <v>1252</v>
      </c>
      <c r="O1009" s="94">
        <v>10810</v>
      </c>
      <c r="P1009" s="94">
        <v>598</v>
      </c>
      <c r="Q1009" s="95">
        <v>0.32635822614705301</v>
      </c>
      <c r="R1009" s="95">
        <v>0.138026224982747</v>
      </c>
      <c r="S1009" s="95">
        <v>0.75638197289631304</v>
      </c>
      <c r="T1009" s="95">
        <v>0.60024009603841499</v>
      </c>
      <c r="U1009" s="95">
        <v>0.57091346153846101</v>
      </c>
      <c r="V1009" s="95">
        <v>0.175746924428822</v>
      </c>
      <c r="W1009" s="95">
        <v>8.8028169014084501E-2</v>
      </c>
      <c r="X1009" s="95">
        <v>0.34510759236703198</v>
      </c>
      <c r="Y1009" s="95">
        <v>0</v>
      </c>
      <c r="Z1009" s="94">
        <v>11745</v>
      </c>
      <c r="AA1009" s="94">
        <v>7063</v>
      </c>
      <c r="AB1009" s="94">
        <v>4682</v>
      </c>
      <c r="AC1009" s="94">
        <v>792</v>
      </c>
      <c r="AD1009" s="94">
        <v>3408</v>
      </c>
      <c r="AE1009" s="94">
        <v>6042</v>
      </c>
      <c r="AF1009" s="94">
        <v>1503</v>
      </c>
      <c r="AG1009" s="94">
        <v>4476</v>
      </c>
      <c r="AH1009" s="94">
        <v>7075</v>
      </c>
      <c r="AI1009" s="94">
        <v>194</v>
      </c>
      <c r="AJ1009" s="94">
        <v>11172</v>
      </c>
      <c r="AK1009" s="94">
        <v>533</v>
      </c>
      <c r="AL1009" s="94">
        <v>40</v>
      </c>
      <c r="AM1009" s="94">
        <v>819</v>
      </c>
      <c r="AN1009" s="94">
        <v>10785</v>
      </c>
      <c r="AO1009" s="94">
        <v>141</v>
      </c>
      <c r="AP1009" s="95">
        <v>2.87470620141023</v>
      </c>
      <c r="AQ1009" s="95">
        <v>0.65369187342148305</v>
      </c>
      <c r="AR1009" s="95">
        <v>6.3264834911105998</v>
      </c>
      <c r="AS1009" s="95">
        <v>4.9932523616734104</v>
      </c>
      <c r="AT1009" s="95">
        <v>3.3503509891512402</v>
      </c>
      <c r="AU1009" s="95">
        <v>2.71493212669683</v>
      </c>
      <c r="AV1009" s="95">
        <v>1.38792505204719</v>
      </c>
      <c r="AW1009" s="95">
        <v>2.3173327027666102</v>
      </c>
      <c r="AX1009" s="95">
        <v>3.2801685224194999</v>
      </c>
      <c r="AY1009" s="95">
        <v>1.0695187165775399</v>
      </c>
      <c r="AZ1009" s="95">
        <v>2.9112358481590701</v>
      </c>
      <c r="BA1009" s="95">
        <v>1.953125</v>
      </c>
      <c r="BB1009" s="95">
        <v>5.1282051282051304</v>
      </c>
      <c r="BC1009" s="95">
        <v>2.1711366538952701</v>
      </c>
      <c r="BD1009" s="95">
        <v>2.91798107255521</v>
      </c>
      <c r="BE1009" s="95">
        <v>3.7037037037037002</v>
      </c>
    </row>
    <row r="1010" spans="2:57" ht="15" customHeight="1" x14ac:dyDescent="0.25">
      <c r="B1010" s="96">
        <v>1000</v>
      </c>
      <c r="C1010" s="97" t="s">
        <v>504</v>
      </c>
      <c r="D1010" s="104" t="s">
        <v>76</v>
      </c>
      <c r="E1010" s="104" t="s">
        <v>408</v>
      </c>
      <c r="F1010" s="104" t="s">
        <v>193</v>
      </c>
      <c r="G1010" s="105" t="s">
        <v>193</v>
      </c>
      <c r="H1010" s="106">
        <v>8176</v>
      </c>
      <c r="I1010" s="106">
        <v>5956</v>
      </c>
      <c r="J1010" s="106">
        <v>2220</v>
      </c>
      <c r="K1010" s="106">
        <v>424</v>
      </c>
      <c r="L1010" s="106">
        <v>2629</v>
      </c>
      <c r="M1010" s="106">
        <v>4359</v>
      </c>
      <c r="N1010" s="106">
        <v>764</v>
      </c>
      <c r="O1010" s="106">
        <v>8145</v>
      </c>
      <c r="P1010" s="106">
        <v>31</v>
      </c>
      <c r="Q1010" s="107">
        <v>1.02725654019997</v>
      </c>
      <c r="R1010" s="107">
        <v>0.58063307735531</v>
      </c>
      <c r="S1010" s="107">
        <v>2.2426095820591199</v>
      </c>
      <c r="T1010" s="107">
        <v>1.07238605898123</v>
      </c>
      <c r="U1010" s="107">
        <v>1.22110771914522</v>
      </c>
      <c r="V1010" s="107">
        <v>0.99085365853658502</v>
      </c>
      <c r="W1010" s="107">
        <v>0.57224606580829795</v>
      </c>
      <c r="X1010" s="107">
        <v>1.0032985156679499</v>
      </c>
      <c r="Y1010" s="107">
        <v>8</v>
      </c>
      <c r="Z1010" s="106">
        <v>8015</v>
      </c>
      <c r="AA1010" s="106">
        <v>4680</v>
      </c>
      <c r="AB1010" s="106">
        <v>3335</v>
      </c>
      <c r="AC1010" s="106">
        <v>340</v>
      </c>
      <c r="AD1010" s="106">
        <v>1779</v>
      </c>
      <c r="AE1010" s="106">
        <v>4729</v>
      </c>
      <c r="AF1010" s="106">
        <v>1167</v>
      </c>
      <c r="AG1010" s="106">
        <v>1576</v>
      </c>
      <c r="AH1010" s="106">
        <v>6312</v>
      </c>
      <c r="AI1010" s="106">
        <v>127</v>
      </c>
      <c r="AJ1010" s="106">
        <v>7944</v>
      </c>
      <c r="AK1010" s="106">
        <v>54</v>
      </c>
      <c r="AL1010" s="106">
        <v>17</v>
      </c>
      <c r="AM1010" s="106">
        <v>676</v>
      </c>
      <c r="AN1010" s="106">
        <v>7297</v>
      </c>
      <c r="AO1010" s="106">
        <v>42</v>
      </c>
      <c r="AP1010" s="107">
        <v>2.2408596514218302</v>
      </c>
      <c r="AQ1010" s="107">
        <v>0.64315812818806795</v>
      </c>
      <c r="AR1010" s="107">
        <v>4.5483664317745003</v>
      </c>
      <c r="AS1010" s="107">
        <v>3.6363636363636398</v>
      </c>
      <c r="AT1010" s="107">
        <v>3.06122448979592</v>
      </c>
      <c r="AU1010" s="107">
        <v>2.1603563474387499</v>
      </c>
      <c r="AV1010" s="107">
        <v>0.96069868995633201</v>
      </c>
      <c r="AW1010" s="107">
        <v>1.7287234042553199</v>
      </c>
      <c r="AX1010" s="107">
        <v>2.3484343770819498</v>
      </c>
      <c r="AY1010" s="107">
        <v>3.2520325203252001</v>
      </c>
      <c r="AZ1010" s="107">
        <v>2.23426758328926</v>
      </c>
      <c r="BA1010" s="107">
        <v>4</v>
      </c>
      <c r="BB1010" s="107">
        <v>0</v>
      </c>
      <c r="BC1010" s="107">
        <v>1.67173252279635</v>
      </c>
      <c r="BD1010" s="107">
        <v>2.2930487453129502</v>
      </c>
      <c r="BE1010" s="107">
        <v>2.5641025641025599</v>
      </c>
    </row>
    <row r="1011" spans="2:57" ht="15" customHeight="1" x14ac:dyDescent="0.25">
      <c r="B1011" s="91">
        <v>1001</v>
      </c>
      <c r="C1011" s="92" t="s">
        <v>504</v>
      </c>
      <c r="D1011" s="92" t="s">
        <v>76</v>
      </c>
      <c r="E1011" s="92" t="s">
        <v>408</v>
      </c>
      <c r="F1011" s="92" t="s">
        <v>193</v>
      </c>
      <c r="G1011" s="101" t="s">
        <v>501</v>
      </c>
      <c r="H1011" s="94">
        <v>1972</v>
      </c>
      <c r="I1011" s="94">
        <v>1280</v>
      </c>
      <c r="J1011" s="94">
        <v>692</v>
      </c>
      <c r="K1011" s="94">
        <v>105</v>
      </c>
      <c r="L1011" s="94">
        <v>696</v>
      </c>
      <c r="M1011" s="94">
        <v>1056</v>
      </c>
      <c r="N1011" s="94">
        <v>115</v>
      </c>
      <c r="O1011" s="94">
        <v>1964</v>
      </c>
      <c r="P1011" s="94">
        <v>8</v>
      </c>
      <c r="Q1011" s="95">
        <v>1.76638176638177</v>
      </c>
      <c r="R1011" s="95">
        <v>0.78602620087336295</v>
      </c>
      <c r="S1011" s="95">
        <v>3.6065573770491799</v>
      </c>
      <c r="T1011" s="95">
        <v>2.2471910112359601</v>
      </c>
      <c r="U1011" s="95">
        <v>1.9672131147541001</v>
      </c>
      <c r="V1011" s="95">
        <v>1.68421052631579</v>
      </c>
      <c r="W1011" s="95">
        <v>0.94339622641509402</v>
      </c>
      <c r="X1011" s="95">
        <v>1.7162471395881</v>
      </c>
      <c r="Y1011" s="95">
        <v>14.285714285714301</v>
      </c>
      <c r="Z1011" s="94">
        <v>1976</v>
      </c>
      <c r="AA1011" s="94">
        <v>1060</v>
      </c>
      <c r="AB1011" s="94">
        <v>916</v>
      </c>
      <c r="AC1011" s="94">
        <v>73</v>
      </c>
      <c r="AD1011" s="94">
        <v>440</v>
      </c>
      <c r="AE1011" s="94">
        <v>1297</v>
      </c>
      <c r="AF1011" s="94">
        <v>166</v>
      </c>
      <c r="AG1011" s="94">
        <v>296</v>
      </c>
      <c r="AH1011" s="94">
        <v>1671</v>
      </c>
      <c r="AI1011" s="94">
        <v>9</v>
      </c>
      <c r="AJ1011" s="94">
        <v>1954</v>
      </c>
      <c r="AK1011" s="94">
        <v>17</v>
      </c>
      <c r="AL1011" s="94">
        <v>5</v>
      </c>
      <c r="AM1011" s="94">
        <v>97</v>
      </c>
      <c r="AN1011" s="94">
        <v>1866</v>
      </c>
      <c r="AO1011" s="94">
        <v>13</v>
      </c>
      <c r="AP1011" s="95">
        <v>5.2347544522396099</v>
      </c>
      <c r="AQ1011" s="95">
        <v>1.6848364717542099</v>
      </c>
      <c r="AR1011" s="95">
        <v>9.4786729857819907</v>
      </c>
      <c r="AS1011" s="95">
        <v>12.6760563380282</v>
      </c>
      <c r="AT1011" s="95">
        <v>5.6511056511056497</v>
      </c>
      <c r="AU1011" s="95">
        <v>4.6952224052718297</v>
      </c>
      <c r="AV1011" s="95">
        <v>4.9689440993788798</v>
      </c>
      <c r="AW1011" s="95">
        <v>4.5936395759717303</v>
      </c>
      <c r="AX1011" s="95">
        <v>5.3811659192825099</v>
      </c>
      <c r="AY1011" s="95">
        <v>0</v>
      </c>
      <c r="AZ1011" s="95">
        <v>5.2344601962922601</v>
      </c>
      <c r="BA1011" s="95">
        <v>7.1428571428571397</v>
      </c>
      <c r="BB1011" s="95">
        <v>0</v>
      </c>
      <c r="BC1011" s="95">
        <v>7.6923076923076898</v>
      </c>
      <c r="BD1011" s="95">
        <v>5.0886220697541402</v>
      </c>
      <c r="BE1011" s="95">
        <v>7.6923076923076898</v>
      </c>
    </row>
    <row r="1012" spans="2:57" ht="15" customHeight="1" x14ac:dyDescent="0.25">
      <c r="B1012" s="91">
        <v>1002</v>
      </c>
      <c r="C1012" s="92" t="s">
        <v>504</v>
      </c>
      <c r="D1012" s="92" t="s">
        <v>76</v>
      </c>
      <c r="E1012" s="92" t="s">
        <v>408</v>
      </c>
      <c r="F1012" s="92" t="s">
        <v>193</v>
      </c>
      <c r="G1012" s="101" t="s">
        <v>502</v>
      </c>
      <c r="H1012" s="94">
        <v>6204</v>
      </c>
      <c r="I1012" s="94">
        <v>4676</v>
      </c>
      <c r="J1012" s="94">
        <v>1528</v>
      </c>
      <c r="K1012" s="94">
        <v>319</v>
      </c>
      <c r="L1012" s="94">
        <v>1933</v>
      </c>
      <c r="M1012" s="94">
        <v>3303</v>
      </c>
      <c r="N1012" s="94">
        <v>649</v>
      </c>
      <c r="O1012" s="94">
        <v>6181</v>
      </c>
      <c r="P1012" s="94">
        <v>23</v>
      </c>
      <c r="Q1012" s="95">
        <v>0.79336458708979396</v>
      </c>
      <c r="R1012" s="95">
        <v>0.524558893657606</v>
      </c>
      <c r="S1012" s="95">
        <v>1.62721893491124</v>
      </c>
      <c r="T1012" s="95">
        <v>0.70422535211267601</v>
      </c>
      <c r="U1012" s="95">
        <v>0.95068330362447995</v>
      </c>
      <c r="V1012" s="95">
        <v>0.77026121902210298</v>
      </c>
      <c r="W1012" s="95">
        <v>0.50590219224283295</v>
      </c>
      <c r="X1012" s="95">
        <v>0.77785817655571599</v>
      </c>
      <c r="Y1012" s="95">
        <v>5.5555555555555598</v>
      </c>
      <c r="Z1012" s="94">
        <v>6039</v>
      </c>
      <c r="AA1012" s="94">
        <v>3620</v>
      </c>
      <c r="AB1012" s="94">
        <v>2419</v>
      </c>
      <c r="AC1012" s="94">
        <v>267</v>
      </c>
      <c r="AD1012" s="94">
        <v>1339</v>
      </c>
      <c r="AE1012" s="94">
        <v>3432</v>
      </c>
      <c r="AF1012" s="94">
        <v>1001</v>
      </c>
      <c r="AG1012" s="94">
        <v>1280</v>
      </c>
      <c r="AH1012" s="94">
        <v>4641</v>
      </c>
      <c r="AI1012" s="94">
        <v>118</v>
      </c>
      <c r="AJ1012" s="94">
        <v>5990</v>
      </c>
      <c r="AK1012" s="94">
        <v>37</v>
      </c>
      <c r="AL1012" s="94">
        <v>12</v>
      </c>
      <c r="AM1012" s="94">
        <v>579</v>
      </c>
      <c r="AN1012" s="94">
        <v>5431</v>
      </c>
      <c r="AO1012" s="94">
        <v>29</v>
      </c>
      <c r="AP1012" s="95">
        <v>1.2807199723087599</v>
      </c>
      <c r="AQ1012" s="95">
        <v>0.34285714285714303</v>
      </c>
      <c r="AR1012" s="95">
        <v>2.7216856892010499</v>
      </c>
      <c r="AS1012" s="95">
        <v>1.15830115830116</v>
      </c>
      <c r="AT1012" s="95">
        <v>2.22398729150119</v>
      </c>
      <c r="AU1012" s="95">
        <v>1.22100122100122</v>
      </c>
      <c r="AV1012" s="95">
        <v>0.30487804878048802</v>
      </c>
      <c r="AW1012" s="95">
        <v>1.06470106470106</v>
      </c>
      <c r="AX1012" s="95">
        <v>1.2829169480081</v>
      </c>
      <c r="AY1012" s="95">
        <v>3.5087719298245599</v>
      </c>
      <c r="AZ1012" s="95">
        <v>1.2739965095985999</v>
      </c>
      <c r="BA1012" s="95">
        <v>2.7777777777777799</v>
      </c>
      <c r="BB1012" s="95">
        <v>0</v>
      </c>
      <c r="BC1012" s="95">
        <v>0.70546737213403898</v>
      </c>
      <c r="BD1012" s="95">
        <v>1.3500482160077101</v>
      </c>
      <c r="BE1012" s="95">
        <v>0</v>
      </c>
    </row>
    <row r="1013" spans="2:57" ht="15" customHeight="1" x14ac:dyDescent="0.25">
      <c r="B1013" s="96">
        <v>1003</v>
      </c>
      <c r="C1013" s="97" t="s">
        <v>504</v>
      </c>
      <c r="D1013" s="104" t="s">
        <v>76</v>
      </c>
      <c r="E1013" s="104" t="s">
        <v>408</v>
      </c>
      <c r="F1013" s="104" t="s">
        <v>326</v>
      </c>
      <c r="G1013" s="105" t="s">
        <v>326</v>
      </c>
      <c r="H1013" s="106">
        <v>17635</v>
      </c>
      <c r="I1013" s="106">
        <v>10906</v>
      </c>
      <c r="J1013" s="106">
        <v>6729</v>
      </c>
      <c r="K1013" s="106">
        <v>929</v>
      </c>
      <c r="L1013" s="106">
        <v>5614</v>
      </c>
      <c r="M1013" s="106">
        <v>9553</v>
      </c>
      <c r="N1013" s="106">
        <v>1539</v>
      </c>
      <c r="O1013" s="106">
        <v>17396</v>
      </c>
      <c r="P1013" s="106">
        <v>239</v>
      </c>
      <c r="Q1013" s="107">
        <v>1.51868422710946</v>
      </c>
      <c r="R1013" s="107">
        <v>0.87327376116978095</v>
      </c>
      <c r="S1013" s="107">
        <v>2.5743232021258899</v>
      </c>
      <c r="T1013" s="107">
        <v>3.4956304619226</v>
      </c>
      <c r="U1013" s="107">
        <v>1.7738359201773799</v>
      </c>
      <c r="V1013" s="107">
        <v>1.2987012987013</v>
      </c>
      <c r="W1013" s="107">
        <v>0.85348506401138002</v>
      </c>
      <c r="X1013" s="107">
        <v>1.4547310661647399</v>
      </c>
      <c r="Y1013" s="107">
        <v>6.6326530612244898</v>
      </c>
      <c r="Z1013" s="106">
        <v>21033</v>
      </c>
      <c r="AA1013" s="106">
        <v>12109</v>
      </c>
      <c r="AB1013" s="106">
        <v>8924</v>
      </c>
      <c r="AC1013" s="106">
        <v>776</v>
      </c>
      <c r="AD1013" s="106">
        <v>5203</v>
      </c>
      <c r="AE1013" s="106">
        <v>12635</v>
      </c>
      <c r="AF1013" s="106">
        <v>2419</v>
      </c>
      <c r="AG1013" s="106">
        <v>4631</v>
      </c>
      <c r="AH1013" s="106">
        <v>16035</v>
      </c>
      <c r="AI1013" s="106">
        <v>367</v>
      </c>
      <c r="AJ1013" s="106">
        <v>20505</v>
      </c>
      <c r="AK1013" s="106">
        <v>448</v>
      </c>
      <c r="AL1013" s="106">
        <v>80</v>
      </c>
      <c r="AM1013" s="106">
        <v>1214</v>
      </c>
      <c r="AN1013" s="106">
        <v>19596</v>
      </c>
      <c r="AO1013" s="106">
        <v>223</v>
      </c>
      <c r="AP1013" s="107">
        <v>5.5018322475570001</v>
      </c>
      <c r="AQ1013" s="107">
        <v>2.5044247787610598</v>
      </c>
      <c r="AR1013" s="107">
        <v>9.5591758505031095</v>
      </c>
      <c r="AS1013" s="107">
        <v>9.7260273972602693</v>
      </c>
      <c r="AT1013" s="107">
        <v>6.97868783953197</v>
      </c>
      <c r="AU1013" s="107">
        <v>5.1275553302922798</v>
      </c>
      <c r="AV1013" s="107">
        <v>3.00784655623365</v>
      </c>
      <c r="AW1013" s="107">
        <v>4.48998388210914</v>
      </c>
      <c r="AX1013" s="107">
        <v>5.8435501066098103</v>
      </c>
      <c r="AY1013" s="107">
        <v>3.0303030303030298</v>
      </c>
      <c r="AZ1013" s="107">
        <v>5.5555555555555598</v>
      </c>
      <c r="BA1013" s="107">
        <v>2.7459954233409598</v>
      </c>
      <c r="BB1013" s="107">
        <v>7.7922077922077904</v>
      </c>
      <c r="BC1013" s="107">
        <v>4.6247818499127398</v>
      </c>
      <c r="BD1013" s="107">
        <v>5.5859204197638803</v>
      </c>
      <c r="BE1013" s="107">
        <v>2.9126213592233001</v>
      </c>
    </row>
    <row r="1014" spans="2:57" ht="15" customHeight="1" x14ac:dyDescent="0.25">
      <c r="B1014" s="91">
        <v>1004</v>
      </c>
      <c r="C1014" s="92" t="s">
        <v>504</v>
      </c>
      <c r="D1014" s="92" t="s">
        <v>76</v>
      </c>
      <c r="E1014" s="92" t="s">
        <v>408</v>
      </c>
      <c r="F1014" s="92" t="s">
        <v>326</v>
      </c>
      <c r="G1014" s="101" t="s">
        <v>501</v>
      </c>
      <c r="H1014" s="94">
        <v>13598</v>
      </c>
      <c r="I1014" s="94">
        <v>8083</v>
      </c>
      <c r="J1014" s="94">
        <v>5515</v>
      </c>
      <c r="K1014" s="94">
        <v>712</v>
      </c>
      <c r="L1014" s="94">
        <v>4401</v>
      </c>
      <c r="M1014" s="94">
        <v>7457</v>
      </c>
      <c r="N1014" s="94">
        <v>1028</v>
      </c>
      <c r="O1014" s="94">
        <v>13377</v>
      </c>
      <c r="P1014" s="94">
        <v>221</v>
      </c>
      <c r="Q1014" s="95">
        <v>1.82011100228534</v>
      </c>
      <c r="R1014" s="95">
        <v>1.0795299262093501</v>
      </c>
      <c r="S1014" s="95">
        <v>2.91852452371301</v>
      </c>
      <c r="T1014" s="95">
        <v>4.3618739903069503</v>
      </c>
      <c r="U1014" s="95">
        <v>2.0005129520389802</v>
      </c>
      <c r="V1014" s="95">
        <v>1.57491904621725</v>
      </c>
      <c r="W1014" s="95">
        <v>1.1702127659574499</v>
      </c>
      <c r="X1014" s="95">
        <v>1.73927447407653</v>
      </c>
      <c r="Y1014" s="95">
        <v>7.30337078651685</v>
      </c>
      <c r="Z1014" s="94">
        <v>14968</v>
      </c>
      <c r="AA1014" s="94">
        <v>8240</v>
      </c>
      <c r="AB1014" s="94">
        <v>6728</v>
      </c>
      <c r="AC1014" s="94">
        <v>519</v>
      </c>
      <c r="AD1014" s="94">
        <v>3726</v>
      </c>
      <c r="AE1014" s="94">
        <v>9211</v>
      </c>
      <c r="AF1014" s="94">
        <v>1512</v>
      </c>
      <c r="AG1014" s="94">
        <v>2328</v>
      </c>
      <c r="AH1014" s="94">
        <v>12363</v>
      </c>
      <c r="AI1014" s="94">
        <v>277</v>
      </c>
      <c r="AJ1014" s="94">
        <v>14799</v>
      </c>
      <c r="AK1014" s="94">
        <v>122</v>
      </c>
      <c r="AL1014" s="94">
        <v>47</v>
      </c>
      <c r="AM1014" s="94">
        <v>865</v>
      </c>
      <c r="AN1014" s="94">
        <v>13976</v>
      </c>
      <c r="AO1014" s="94">
        <v>127</v>
      </c>
      <c r="AP1014" s="95">
        <v>7.0724512554860102</v>
      </c>
      <c r="AQ1014" s="95">
        <v>3.37580454485748</v>
      </c>
      <c r="AR1014" s="95">
        <v>11.5494750238626</v>
      </c>
      <c r="AS1014" s="95">
        <v>14.049586776859501</v>
      </c>
      <c r="AT1014" s="95">
        <v>8.56890459363958</v>
      </c>
      <c r="AU1014" s="95">
        <v>6.4876177188698998</v>
      </c>
      <c r="AV1014" s="95">
        <v>4.6544428772919604</v>
      </c>
      <c r="AW1014" s="95">
        <v>7.2283609576427299</v>
      </c>
      <c r="AX1014" s="95">
        <v>7.0969423210562903</v>
      </c>
      <c r="AY1014" s="95">
        <v>4.18604651162791</v>
      </c>
      <c r="AZ1014" s="95">
        <v>7.0321030792749504</v>
      </c>
      <c r="BA1014" s="95">
        <v>10.3448275862069</v>
      </c>
      <c r="BB1014" s="95">
        <v>10.869565217391299</v>
      </c>
      <c r="BC1014" s="95">
        <v>6.3118811881188099</v>
      </c>
      <c r="BD1014" s="95">
        <v>7.1445086705202296</v>
      </c>
      <c r="BE1014" s="95">
        <v>4.31034482758621</v>
      </c>
    </row>
    <row r="1015" spans="2:57" ht="15" customHeight="1" x14ac:dyDescent="0.25">
      <c r="B1015" s="91">
        <v>1005</v>
      </c>
      <c r="C1015" s="92" t="s">
        <v>504</v>
      </c>
      <c r="D1015" s="92" t="s">
        <v>76</v>
      </c>
      <c r="E1015" s="92" t="s">
        <v>408</v>
      </c>
      <c r="F1015" s="92" t="s">
        <v>326</v>
      </c>
      <c r="G1015" s="101" t="s">
        <v>502</v>
      </c>
      <c r="H1015" s="94">
        <v>4037</v>
      </c>
      <c r="I1015" s="94">
        <v>2823</v>
      </c>
      <c r="J1015" s="94">
        <v>1214</v>
      </c>
      <c r="K1015" s="94">
        <v>217</v>
      </c>
      <c r="L1015" s="94">
        <v>1213</v>
      </c>
      <c r="M1015" s="94">
        <v>2096</v>
      </c>
      <c r="N1015" s="94">
        <v>511</v>
      </c>
      <c r="O1015" s="94">
        <v>4019</v>
      </c>
      <c r="P1015" s="94">
        <v>18</v>
      </c>
      <c r="Q1015" s="95">
        <v>0.497649986176389</v>
      </c>
      <c r="R1015" s="95">
        <v>0.27667984189723299</v>
      </c>
      <c r="S1015" s="95">
        <v>1.0119595216191399</v>
      </c>
      <c r="T1015" s="95">
        <v>0.54945054945054905</v>
      </c>
      <c r="U1015" s="95">
        <v>0.94161958568738202</v>
      </c>
      <c r="V1015" s="95">
        <v>0.31463030938647102</v>
      </c>
      <c r="W1015" s="95">
        <v>0.21459227467811201</v>
      </c>
      <c r="X1015" s="95">
        <v>0.500138927479855</v>
      </c>
      <c r="Y1015" s="95">
        <v>0</v>
      </c>
      <c r="Z1015" s="94">
        <v>6065</v>
      </c>
      <c r="AA1015" s="94">
        <v>3869</v>
      </c>
      <c r="AB1015" s="94">
        <v>2196</v>
      </c>
      <c r="AC1015" s="94">
        <v>257</v>
      </c>
      <c r="AD1015" s="94">
        <v>1477</v>
      </c>
      <c r="AE1015" s="94">
        <v>3424</v>
      </c>
      <c r="AF1015" s="94">
        <v>907</v>
      </c>
      <c r="AG1015" s="94">
        <v>2303</v>
      </c>
      <c r="AH1015" s="94">
        <v>3672</v>
      </c>
      <c r="AI1015" s="94">
        <v>90</v>
      </c>
      <c r="AJ1015" s="94">
        <v>5706</v>
      </c>
      <c r="AK1015" s="94">
        <v>326</v>
      </c>
      <c r="AL1015" s="94">
        <v>33</v>
      </c>
      <c r="AM1015" s="94">
        <v>349</v>
      </c>
      <c r="AN1015" s="94">
        <v>5620</v>
      </c>
      <c r="AO1015" s="94">
        <v>96</v>
      </c>
      <c r="AP1015" s="95">
        <v>1.7046442859627799</v>
      </c>
      <c r="AQ1015" s="95">
        <v>0.70518036343910995</v>
      </c>
      <c r="AR1015" s="95">
        <v>3.4917555771096001</v>
      </c>
      <c r="AS1015" s="95">
        <v>1.2195121951219501</v>
      </c>
      <c r="AT1015" s="95">
        <v>3.0935251798561101</v>
      </c>
      <c r="AU1015" s="95">
        <v>1.51374729687983</v>
      </c>
      <c r="AV1015" s="95">
        <v>0.34246575342465801</v>
      </c>
      <c r="AW1015" s="95">
        <v>1.7503454629203099</v>
      </c>
      <c r="AX1015" s="95">
        <v>1.7162471395881</v>
      </c>
      <c r="AY1015" s="95">
        <v>0</v>
      </c>
      <c r="AZ1015" s="95">
        <v>1.79729479340374</v>
      </c>
      <c r="BA1015" s="95">
        <v>0</v>
      </c>
      <c r="BB1015" s="95">
        <v>3.2258064516128999</v>
      </c>
      <c r="BC1015" s="95">
        <v>0.59171597633136097</v>
      </c>
      <c r="BD1015" s="95">
        <v>1.7853786882164999</v>
      </c>
      <c r="BE1015" s="95">
        <v>1.1111111111111101</v>
      </c>
    </row>
    <row r="1016" spans="2:57" ht="15" customHeight="1" x14ac:dyDescent="0.25">
      <c r="B1016" s="86">
        <v>1006</v>
      </c>
      <c r="C1016" s="87" t="s">
        <v>503</v>
      </c>
      <c r="D1016" s="103" t="s">
        <v>76</v>
      </c>
      <c r="E1016" s="103" t="s">
        <v>511</v>
      </c>
      <c r="F1016" s="103"/>
      <c r="G1016" s="88" t="s">
        <v>511</v>
      </c>
      <c r="H1016" s="89">
        <v>10771</v>
      </c>
      <c r="I1016" s="89">
        <v>6178</v>
      </c>
      <c r="J1016" s="89">
        <v>4593</v>
      </c>
      <c r="K1016" s="89">
        <v>979</v>
      </c>
      <c r="L1016" s="89">
        <v>3077</v>
      </c>
      <c r="M1016" s="89">
        <v>5220</v>
      </c>
      <c r="N1016" s="89">
        <v>1495</v>
      </c>
      <c r="O1016" s="89">
        <v>10724</v>
      </c>
      <c r="P1016" s="89">
        <v>47</v>
      </c>
      <c r="Q1016" s="90">
        <v>0.17899761336515499</v>
      </c>
      <c r="R1016" s="90">
        <v>0.101574403250381</v>
      </c>
      <c r="S1016" s="90">
        <v>0.28922631959508299</v>
      </c>
      <c r="T1016" s="90">
        <v>0.22075055187638001</v>
      </c>
      <c r="U1016" s="90">
        <v>0.140105078809107</v>
      </c>
      <c r="V1016" s="90">
        <v>0.18356108504996901</v>
      </c>
      <c r="W1016" s="90">
        <v>0.21551724137931</v>
      </c>
      <c r="X1016" s="90">
        <v>0.17976630380505301</v>
      </c>
      <c r="Y1016" s="90">
        <v>0</v>
      </c>
      <c r="Z1016" s="89">
        <v>11808</v>
      </c>
      <c r="AA1016" s="89">
        <v>6476</v>
      </c>
      <c r="AB1016" s="89">
        <v>5332</v>
      </c>
      <c r="AC1016" s="89">
        <v>594</v>
      </c>
      <c r="AD1016" s="89">
        <v>2879</v>
      </c>
      <c r="AE1016" s="89">
        <v>6339</v>
      </c>
      <c r="AF1016" s="89">
        <v>1996</v>
      </c>
      <c r="AG1016" s="89">
        <v>849</v>
      </c>
      <c r="AH1016" s="89">
        <v>10725</v>
      </c>
      <c r="AI1016" s="89">
        <v>234</v>
      </c>
      <c r="AJ1016" s="89">
        <v>11662</v>
      </c>
      <c r="AK1016" s="89">
        <v>114</v>
      </c>
      <c r="AL1016" s="89">
        <v>32</v>
      </c>
      <c r="AM1016" s="89">
        <v>1046</v>
      </c>
      <c r="AN1016" s="89">
        <v>10704</v>
      </c>
      <c r="AO1016" s="89">
        <v>58</v>
      </c>
      <c r="AP1016" s="90">
        <v>1.3847239372023299</v>
      </c>
      <c r="AQ1016" s="90">
        <v>0.59974747474747503</v>
      </c>
      <c r="AR1016" s="90">
        <v>2.37904838064774</v>
      </c>
      <c r="AS1016" s="90">
        <v>2.4432809773123898</v>
      </c>
      <c r="AT1016" s="90">
        <v>2.0749908991627199</v>
      </c>
      <c r="AU1016" s="90">
        <v>1.2495889510029601</v>
      </c>
      <c r="AV1016" s="90">
        <v>0.51652892561983499</v>
      </c>
      <c r="AW1016" s="90">
        <v>0.75376884422110502</v>
      </c>
      <c r="AX1016" s="90">
        <v>1.4442182805079</v>
      </c>
      <c r="AY1016" s="90">
        <v>0.88888888888888895</v>
      </c>
      <c r="AZ1016" s="90">
        <v>1.3575064749486501</v>
      </c>
      <c r="BA1016" s="90">
        <v>4.5454545454545503</v>
      </c>
      <c r="BB1016" s="90">
        <v>0</v>
      </c>
      <c r="BC1016" s="90">
        <v>0.69513406156901703</v>
      </c>
      <c r="BD1016" s="90">
        <v>1.44969838489979</v>
      </c>
      <c r="BE1016" s="90">
        <v>1.88679245283019</v>
      </c>
    </row>
    <row r="1017" spans="2:57" ht="15" customHeight="1" x14ac:dyDescent="0.25">
      <c r="B1017" s="91">
        <v>1007</v>
      </c>
      <c r="C1017" s="92" t="s">
        <v>503</v>
      </c>
      <c r="D1017" s="92" t="s">
        <v>76</v>
      </c>
      <c r="E1017" s="92" t="s">
        <v>511</v>
      </c>
      <c r="F1017" s="92"/>
      <c r="G1017" s="93" t="s">
        <v>501</v>
      </c>
      <c r="H1017" s="94">
        <v>0</v>
      </c>
      <c r="I1017" s="94">
        <v>0</v>
      </c>
      <c r="J1017" s="94">
        <v>0</v>
      </c>
      <c r="K1017" s="94">
        <v>0</v>
      </c>
      <c r="L1017" s="94">
        <v>0</v>
      </c>
      <c r="M1017" s="94">
        <v>0</v>
      </c>
      <c r="N1017" s="94">
        <v>0</v>
      </c>
      <c r="O1017" s="94">
        <v>0</v>
      </c>
      <c r="P1017" s="94">
        <v>0</v>
      </c>
      <c r="Q1017" s="95">
        <v>0</v>
      </c>
      <c r="R1017" s="95">
        <v>0</v>
      </c>
      <c r="S1017" s="95">
        <v>0</v>
      </c>
      <c r="T1017" s="95">
        <v>0</v>
      </c>
      <c r="U1017" s="95">
        <v>0</v>
      </c>
      <c r="V1017" s="95">
        <v>0</v>
      </c>
      <c r="W1017" s="95">
        <v>0</v>
      </c>
      <c r="X1017" s="95">
        <v>0</v>
      </c>
      <c r="Y1017" s="95">
        <v>0</v>
      </c>
      <c r="Z1017" s="94">
        <v>1240</v>
      </c>
      <c r="AA1017" s="94">
        <v>682</v>
      </c>
      <c r="AB1017" s="94">
        <v>558</v>
      </c>
      <c r="AC1017" s="94">
        <v>45</v>
      </c>
      <c r="AD1017" s="94">
        <v>298</v>
      </c>
      <c r="AE1017" s="94">
        <v>729</v>
      </c>
      <c r="AF1017" s="94">
        <v>168</v>
      </c>
      <c r="AG1017" s="94">
        <v>64</v>
      </c>
      <c r="AH1017" s="94">
        <v>1162</v>
      </c>
      <c r="AI1017" s="94">
        <v>14</v>
      </c>
      <c r="AJ1017" s="94">
        <v>1218</v>
      </c>
      <c r="AK1017" s="94">
        <v>20</v>
      </c>
      <c r="AL1017" s="94">
        <v>2</v>
      </c>
      <c r="AM1017" s="94">
        <v>100</v>
      </c>
      <c r="AN1017" s="94">
        <v>1131</v>
      </c>
      <c r="AO1017" s="94">
        <v>9</v>
      </c>
      <c r="AP1017" s="95">
        <v>4.5029736618521703</v>
      </c>
      <c r="AQ1017" s="95">
        <v>2.4390243902439002</v>
      </c>
      <c r="AR1017" s="95">
        <v>7.1017274472168896</v>
      </c>
      <c r="AS1017" s="95">
        <v>13.3333333333333</v>
      </c>
      <c r="AT1017" s="95">
        <v>5.7761732851985599</v>
      </c>
      <c r="AU1017" s="95">
        <v>4.0520984081042002</v>
      </c>
      <c r="AV1017" s="95">
        <v>1.82926829268293</v>
      </c>
      <c r="AW1017" s="95">
        <v>3.3898305084745801</v>
      </c>
      <c r="AX1017" s="95">
        <v>4.5248868778280498</v>
      </c>
      <c r="AY1017" s="95">
        <v>7.6923076923076898</v>
      </c>
      <c r="AZ1017" s="95">
        <v>4.5847750865051902</v>
      </c>
      <c r="BA1017" s="95">
        <v>0</v>
      </c>
      <c r="BB1017" s="95">
        <v>0</v>
      </c>
      <c r="BC1017" s="95">
        <v>1.0526315789473699</v>
      </c>
      <c r="BD1017" s="95">
        <v>4.8372093023255802</v>
      </c>
      <c r="BE1017" s="95">
        <v>0</v>
      </c>
    </row>
    <row r="1018" spans="2:57" ht="15" customHeight="1" x14ac:dyDescent="0.25">
      <c r="B1018" s="91">
        <v>1008</v>
      </c>
      <c r="C1018" s="92" t="s">
        <v>503</v>
      </c>
      <c r="D1018" s="92" t="s">
        <v>76</v>
      </c>
      <c r="E1018" s="92" t="s">
        <v>511</v>
      </c>
      <c r="F1018" s="92"/>
      <c r="G1018" s="93" t="s">
        <v>502</v>
      </c>
      <c r="H1018" s="94">
        <v>10771</v>
      </c>
      <c r="I1018" s="94">
        <v>6178</v>
      </c>
      <c r="J1018" s="94">
        <v>4593</v>
      </c>
      <c r="K1018" s="94">
        <v>979</v>
      </c>
      <c r="L1018" s="94">
        <v>3077</v>
      </c>
      <c r="M1018" s="94">
        <v>5220</v>
      </c>
      <c r="N1018" s="94">
        <v>1495</v>
      </c>
      <c r="O1018" s="94">
        <v>10724</v>
      </c>
      <c r="P1018" s="94">
        <v>47</v>
      </c>
      <c r="Q1018" s="95">
        <v>0.17899761336515499</v>
      </c>
      <c r="R1018" s="95">
        <v>0.101574403250381</v>
      </c>
      <c r="S1018" s="95">
        <v>0.28922631959508299</v>
      </c>
      <c r="T1018" s="95">
        <v>0.22075055187638001</v>
      </c>
      <c r="U1018" s="95">
        <v>0.140105078809107</v>
      </c>
      <c r="V1018" s="95">
        <v>0.18356108504996901</v>
      </c>
      <c r="W1018" s="95">
        <v>0.21551724137931</v>
      </c>
      <c r="X1018" s="95">
        <v>0.17976630380505301</v>
      </c>
      <c r="Y1018" s="95">
        <v>0</v>
      </c>
      <c r="Z1018" s="94">
        <v>10568</v>
      </c>
      <c r="AA1018" s="94">
        <v>5794</v>
      </c>
      <c r="AB1018" s="94">
        <v>4774</v>
      </c>
      <c r="AC1018" s="94">
        <v>549</v>
      </c>
      <c r="AD1018" s="94">
        <v>2581</v>
      </c>
      <c r="AE1018" s="94">
        <v>5610</v>
      </c>
      <c r="AF1018" s="94">
        <v>1828</v>
      </c>
      <c r="AG1018" s="94">
        <v>785</v>
      </c>
      <c r="AH1018" s="94">
        <v>9563</v>
      </c>
      <c r="AI1018" s="94">
        <v>220</v>
      </c>
      <c r="AJ1018" s="94">
        <v>10444</v>
      </c>
      <c r="AK1018" s="94">
        <v>94</v>
      </c>
      <c r="AL1018" s="94">
        <v>30</v>
      </c>
      <c r="AM1018" s="94">
        <v>946</v>
      </c>
      <c r="AN1018" s="94">
        <v>9573</v>
      </c>
      <c r="AO1018" s="94">
        <v>49</v>
      </c>
      <c r="AP1018" s="95">
        <v>1.02352130695798</v>
      </c>
      <c r="AQ1018" s="95">
        <v>0.38732394366197198</v>
      </c>
      <c r="AR1018" s="95">
        <v>1.82994867217139</v>
      </c>
      <c r="AS1018" s="95">
        <v>1.51515151515152</v>
      </c>
      <c r="AT1018" s="95">
        <v>1.65991902834008</v>
      </c>
      <c r="AU1018" s="95">
        <v>0.89037284362826896</v>
      </c>
      <c r="AV1018" s="95">
        <v>0.39503386004514701</v>
      </c>
      <c r="AW1018" s="95">
        <v>0.54274084124830402</v>
      </c>
      <c r="AX1018" s="95">
        <v>1.07468519322623</v>
      </c>
      <c r="AY1018" s="95">
        <v>0.47169811320754701</v>
      </c>
      <c r="AZ1018" s="95">
        <v>0.98595757394681804</v>
      </c>
      <c r="BA1018" s="95">
        <v>5.4945054945054901</v>
      </c>
      <c r="BB1018" s="95">
        <v>0</v>
      </c>
      <c r="BC1018" s="95">
        <v>0.65789473684210498</v>
      </c>
      <c r="BD1018" s="95">
        <v>1.05400412908834</v>
      </c>
      <c r="BE1018" s="95">
        <v>2.1739130434782599</v>
      </c>
    </row>
    <row r="1019" spans="2:57" ht="15" customHeight="1" x14ac:dyDescent="0.25">
      <c r="B1019" s="96">
        <v>1009</v>
      </c>
      <c r="C1019" s="97" t="s">
        <v>504</v>
      </c>
      <c r="D1019" s="104" t="s">
        <v>76</v>
      </c>
      <c r="E1019" s="104" t="s">
        <v>511</v>
      </c>
      <c r="F1019" s="104" t="s">
        <v>235</v>
      </c>
      <c r="G1019" s="105" t="s">
        <v>235</v>
      </c>
      <c r="H1019" s="106">
        <v>8051</v>
      </c>
      <c r="I1019" s="106">
        <v>4626</v>
      </c>
      <c r="J1019" s="106">
        <v>3425</v>
      </c>
      <c r="K1019" s="106">
        <v>716</v>
      </c>
      <c r="L1019" s="106">
        <v>2342</v>
      </c>
      <c r="M1019" s="106">
        <v>3971</v>
      </c>
      <c r="N1019" s="106">
        <v>1022</v>
      </c>
      <c r="O1019" s="106">
        <v>8013</v>
      </c>
      <c r="P1019" s="106">
        <v>38</v>
      </c>
      <c r="Q1019" s="107">
        <v>0.186716457722059</v>
      </c>
      <c r="R1019" s="107">
        <v>0.13498312710911101</v>
      </c>
      <c r="S1019" s="107">
        <v>0.26203734032099602</v>
      </c>
      <c r="T1019" s="107">
        <v>0.151975683890578</v>
      </c>
      <c r="U1019" s="107">
        <v>0.18424689083371701</v>
      </c>
      <c r="V1019" s="107">
        <v>0.161030595813205</v>
      </c>
      <c r="W1019" s="107">
        <v>0.31813361611877</v>
      </c>
      <c r="X1019" s="107">
        <v>0.187592121130913</v>
      </c>
      <c r="Y1019" s="107">
        <v>0</v>
      </c>
      <c r="Z1019" s="106">
        <v>9108</v>
      </c>
      <c r="AA1019" s="106">
        <v>5030</v>
      </c>
      <c r="AB1019" s="106">
        <v>4078</v>
      </c>
      <c r="AC1019" s="106">
        <v>423</v>
      </c>
      <c r="AD1019" s="106">
        <v>2218</v>
      </c>
      <c r="AE1019" s="106">
        <v>5003</v>
      </c>
      <c r="AF1019" s="106">
        <v>1464</v>
      </c>
      <c r="AG1019" s="106">
        <v>578</v>
      </c>
      <c r="AH1019" s="106">
        <v>8373</v>
      </c>
      <c r="AI1019" s="106">
        <v>157</v>
      </c>
      <c r="AJ1019" s="106">
        <v>8989</v>
      </c>
      <c r="AK1019" s="106">
        <v>95</v>
      </c>
      <c r="AL1019" s="106">
        <v>24</v>
      </c>
      <c r="AM1019" s="106">
        <v>772</v>
      </c>
      <c r="AN1019" s="106">
        <v>8291</v>
      </c>
      <c r="AO1019" s="106">
        <v>45</v>
      </c>
      <c r="AP1019" s="107">
        <v>1.4519263747570601</v>
      </c>
      <c r="AQ1019" s="107">
        <v>0.58919138561560302</v>
      </c>
      <c r="AR1019" s="107">
        <v>2.5620915032679701</v>
      </c>
      <c r="AS1019" s="107">
        <v>2.68948655256724</v>
      </c>
      <c r="AT1019" s="107">
        <v>2.08432022738039</v>
      </c>
      <c r="AU1019" s="107">
        <v>1.33305561341387</v>
      </c>
      <c r="AV1019" s="107">
        <v>0.56100981767180902</v>
      </c>
      <c r="AW1019" s="107">
        <v>0.54945054945054905</v>
      </c>
      <c r="AX1019" s="107">
        <v>1.52795031055901</v>
      </c>
      <c r="AY1019" s="107">
        <v>0.66225165562913901</v>
      </c>
      <c r="AZ1019" s="107">
        <v>1.42509558567953</v>
      </c>
      <c r="BA1019" s="107">
        <v>4.3010752688171996</v>
      </c>
      <c r="BB1019" s="107">
        <v>0</v>
      </c>
      <c r="BC1019" s="107">
        <v>0.67114093959731502</v>
      </c>
      <c r="BD1019" s="107">
        <v>1.51990955910062</v>
      </c>
      <c r="BE1019" s="107">
        <v>2.4390243902439002</v>
      </c>
    </row>
    <row r="1020" spans="2:57" ht="15" customHeight="1" x14ac:dyDescent="0.25">
      <c r="B1020" s="91">
        <v>1010</v>
      </c>
      <c r="C1020" s="92" t="s">
        <v>504</v>
      </c>
      <c r="D1020" s="92" t="s">
        <v>76</v>
      </c>
      <c r="E1020" s="92" t="s">
        <v>511</v>
      </c>
      <c r="F1020" s="92" t="s">
        <v>235</v>
      </c>
      <c r="G1020" s="101" t="s">
        <v>501</v>
      </c>
      <c r="H1020" s="94">
        <v>0</v>
      </c>
      <c r="I1020" s="94">
        <v>0</v>
      </c>
      <c r="J1020" s="94">
        <v>0</v>
      </c>
      <c r="K1020" s="94">
        <v>0</v>
      </c>
      <c r="L1020" s="94">
        <v>0</v>
      </c>
      <c r="M1020" s="94">
        <v>0</v>
      </c>
      <c r="N1020" s="94">
        <v>0</v>
      </c>
      <c r="O1020" s="94">
        <v>0</v>
      </c>
      <c r="P1020" s="94">
        <v>0</v>
      </c>
      <c r="Q1020" s="95">
        <v>0</v>
      </c>
      <c r="R1020" s="95">
        <v>0</v>
      </c>
      <c r="S1020" s="95">
        <v>0</v>
      </c>
      <c r="T1020" s="95">
        <v>0</v>
      </c>
      <c r="U1020" s="95">
        <v>0</v>
      </c>
      <c r="V1020" s="95">
        <v>0</v>
      </c>
      <c r="W1020" s="95">
        <v>0</v>
      </c>
      <c r="X1020" s="95">
        <v>0</v>
      </c>
      <c r="Y1020" s="95">
        <v>0</v>
      </c>
      <c r="Z1020" s="94">
        <v>1240</v>
      </c>
      <c r="AA1020" s="94">
        <v>682</v>
      </c>
      <c r="AB1020" s="94">
        <v>558</v>
      </c>
      <c r="AC1020" s="94">
        <v>45</v>
      </c>
      <c r="AD1020" s="94">
        <v>298</v>
      </c>
      <c r="AE1020" s="94">
        <v>729</v>
      </c>
      <c r="AF1020" s="94">
        <v>168</v>
      </c>
      <c r="AG1020" s="94">
        <v>64</v>
      </c>
      <c r="AH1020" s="94">
        <v>1162</v>
      </c>
      <c r="AI1020" s="94">
        <v>14</v>
      </c>
      <c r="AJ1020" s="94">
        <v>1218</v>
      </c>
      <c r="AK1020" s="94">
        <v>20</v>
      </c>
      <c r="AL1020" s="94">
        <v>2</v>
      </c>
      <c r="AM1020" s="94">
        <v>100</v>
      </c>
      <c r="AN1020" s="94">
        <v>1131</v>
      </c>
      <c r="AO1020" s="94">
        <v>9</v>
      </c>
      <c r="AP1020" s="95">
        <v>4.5029736618521703</v>
      </c>
      <c r="AQ1020" s="95">
        <v>2.4390243902439002</v>
      </c>
      <c r="AR1020" s="95">
        <v>7.1017274472168896</v>
      </c>
      <c r="AS1020" s="95">
        <v>13.3333333333333</v>
      </c>
      <c r="AT1020" s="95">
        <v>5.7761732851985599</v>
      </c>
      <c r="AU1020" s="95">
        <v>4.0520984081042002</v>
      </c>
      <c r="AV1020" s="95">
        <v>1.82926829268293</v>
      </c>
      <c r="AW1020" s="95">
        <v>3.3898305084745801</v>
      </c>
      <c r="AX1020" s="95">
        <v>4.5248868778280498</v>
      </c>
      <c r="AY1020" s="95">
        <v>7.6923076923076898</v>
      </c>
      <c r="AZ1020" s="95">
        <v>4.5847750865051902</v>
      </c>
      <c r="BA1020" s="95">
        <v>0</v>
      </c>
      <c r="BB1020" s="95">
        <v>0</v>
      </c>
      <c r="BC1020" s="95">
        <v>1.0526315789473699</v>
      </c>
      <c r="BD1020" s="95">
        <v>4.8372093023255802</v>
      </c>
      <c r="BE1020" s="95">
        <v>0</v>
      </c>
    </row>
    <row r="1021" spans="2:57" ht="15" customHeight="1" x14ac:dyDescent="0.25">
      <c r="B1021" s="91">
        <v>1011</v>
      </c>
      <c r="C1021" s="92" t="s">
        <v>504</v>
      </c>
      <c r="D1021" s="92" t="s">
        <v>76</v>
      </c>
      <c r="E1021" s="92" t="s">
        <v>511</v>
      </c>
      <c r="F1021" s="92" t="s">
        <v>235</v>
      </c>
      <c r="G1021" s="101" t="s">
        <v>502</v>
      </c>
      <c r="H1021" s="94">
        <v>8051</v>
      </c>
      <c r="I1021" s="94">
        <v>4626</v>
      </c>
      <c r="J1021" s="94">
        <v>3425</v>
      </c>
      <c r="K1021" s="94">
        <v>716</v>
      </c>
      <c r="L1021" s="94">
        <v>2342</v>
      </c>
      <c r="M1021" s="94">
        <v>3971</v>
      </c>
      <c r="N1021" s="94">
        <v>1022</v>
      </c>
      <c r="O1021" s="94">
        <v>8013</v>
      </c>
      <c r="P1021" s="94">
        <v>38</v>
      </c>
      <c r="Q1021" s="95">
        <v>0.186716457722059</v>
      </c>
      <c r="R1021" s="95">
        <v>0.13498312710911101</v>
      </c>
      <c r="S1021" s="95">
        <v>0.26203734032099602</v>
      </c>
      <c r="T1021" s="95">
        <v>0.151975683890578</v>
      </c>
      <c r="U1021" s="95">
        <v>0.18424689083371701</v>
      </c>
      <c r="V1021" s="95">
        <v>0.161030595813205</v>
      </c>
      <c r="W1021" s="95">
        <v>0.31813361611877</v>
      </c>
      <c r="X1021" s="95">
        <v>0.187592121130913</v>
      </c>
      <c r="Y1021" s="95">
        <v>0</v>
      </c>
      <c r="Z1021" s="94">
        <v>7868</v>
      </c>
      <c r="AA1021" s="94">
        <v>4348</v>
      </c>
      <c r="AB1021" s="94">
        <v>3520</v>
      </c>
      <c r="AC1021" s="94">
        <v>378</v>
      </c>
      <c r="AD1021" s="94">
        <v>1920</v>
      </c>
      <c r="AE1021" s="94">
        <v>4274</v>
      </c>
      <c r="AF1021" s="94">
        <v>1296</v>
      </c>
      <c r="AG1021" s="94">
        <v>514</v>
      </c>
      <c r="AH1021" s="94">
        <v>7211</v>
      </c>
      <c r="AI1021" s="94">
        <v>143</v>
      </c>
      <c r="AJ1021" s="94">
        <v>7771</v>
      </c>
      <c r="AK1021" s="94">
        <v>75</v>
      </c>
      <c r="AL1021" s="94">
        <v>22</v>
      </c>
      <c r="AM1021" s="94">
        <v>672</v>
      </c>
      <c r="AN1021" s="94">
        <v>7160</v>
      </c>
      <c r="AO1021" s="94">
        <v>36</v>
      </c>
      <c r="AP1021" s="95">
        <v>0.97754293262879799</v>
      </c>
      <c r="AQ1021" s="95">
        <v>0.30473511486169702</v>
      </c>
      <c r="AR1021" s="95">
        <v>1.8462469733656199</v>
      </c>
      <c r="AS1021" s="95">
        <v>1.3736263736263701</v>
      </c>
      <c r="AT1021" s="95">
        <v>1.5267175572519101</v>
      </c>
      <c r="AU1021" s="95">
        <v>0.87591240875912402</v>
      </c>
      <c r="AV1021" s="95">
        <v>0.39619651347068102</v>
      </c>
      <c r="AW1021" s="95">
        <v>0.205338809034908</v>
      </c>
      <c r="AX1021" s="95">
        <v>1.0511159107271399</v>
      </c>
      <c r="AY1021" s="95">
        <v>0</v>
      </c>
      <c r="AZ1021" s="95">
        <v>0.93645484949832802</v>
      </c>
      <c r="BA1021" s="95">
        <v>5.4054054054054097</v>
      </c>
      <c r="BB1021" s="95">
        <v>0</v>
      </c>
      <c r="BC1021" s="95">
        <v>0.61538461538461497</v>
      </c>
      <c r="BD1021" s="95">
        <v>1.0020331106593099</v>
      </c>
      <c r="BE1021" s="95">
        <v>2.9411764705882399</v>
      </c>
    </row>
    <row r="1022" spans="2:57" ht="15" customHeight="1" x14ac:dyDescent="0.25">
      <c r="B1022" s="96">
        <v>1012</v>
      </c>
      <c r="C1022" s="97" t="s">
        <v>504</v>
      </c>
      <c r="D1022" s="104" t="s">
        <v>76</v>
      </c>
      <c r="E1022" s="104" t="s">
        <v>511</v>
      </c>
      <c r="F1022" s="104" t="s">
        <v>105</v>
      </c>
      <c r="G1022" s="105" t="s">
        <v>105</v>
      </c>
      <c r="H1022" s="106">
        <v>2720</v>
      </c>
      <c r="I1022" s="106">
        <v>1552</v>
      </c>
      <c r="J1022" s="106">
        <v>1168</v>
      </c>
      <c r="K1022" s="106">
        <v>263</v>
      </c>
      <c r="L1022" s="106">
        <v>735</v>
      </c>
      <c r="M1022" s="106">
        <v>1249</v>
      </c>
      <c r="N1022" s="106">
        <v>473</v>
      </c>
      <c r="O1022" s="106">
        <v>2711</v>
      </c>
      <c r="P1022" s="106">
        <v>9</v>
      </c>
      <c r="Q1022" s="107">
        <v>0.156372165754496</v>
      </c>
      <c r="R1022" s="107">
        <v>0</v>
      </c>
      <c r="S1022" s="107">
        <v>0.36496350364963498</v>
      </c>
      <c r="T1022" s="107">
        <v>0.40322580645161299</v>
      </c>
      <c r="U1022" s="107">
        <v>0</v>
      </c>
      <c r="V1022" s="107">
        <v>0.25488530161427397</v>
      </c>
      <c r="W1022" s="107">
        <v>0</v>
      </c>
      <c r="X1022" s="107">
        <v>0.15686274509803899</v>
      </c>
      <c r="Y1022" s="107">
        <v>0</v>
      </c>
      <c r="Z1022" s="106">
        <v>2700</v>
      </c>
      <c r="AA1022" s="106">
        <v>1446</v>
      </c>
      <c r="AB1022" s="106">
        <v>1254</v>
      </c>
      <c r="AC1022" s="106">
        <v>171</v>
      </c>
      <c r="AD1022" s="106">
        <v>661</v>
      </c>
      <c r="AE1022" s="106">
        <v>1336</v>
      </c>
      <c r="AF1022" s="106">
        <v>532</v>
      </c>
      <c r="AG1022" s="106">
        <v>271</v>
      </c>
      <c r="AH1022" s="106">
        <v>2352</v>
      </c>
      <c r="AI1022" s="106">
        <v>77</v>
      </c>
      <c r="AJ1022" s="106">
        <v>2673</v>
      </c>
      <c r="AK1022" s="106">
        <v>19</v>
      </c>
      <c r="AL1022" s="106">
        <v>8</v>
      </c>
      <c r="AM1022" s="106">
        <v>274</v>
      </c>
      <c r="AN1022" s="106">
        <v>2413</v>
      </c>
      <c r="AO1022" s="106">
        <v>13</v>
      </c>
      <c r="AP1022" s="107">
        <v>1.1578541103820901</v>
      </c>
      <c r="AQ1022" s="107">
        <v>0.63649222065063604</v>
      </c>
      <c r="AR1022" s="107">
        <v>1.78419711129991</v>
      </c>
      <c r="AS1022" s="107">
        <v>1.82926829268293</v>
      </c>
      <c r="AT1022" s="107">
        <v>2.0440251572327002</v>
      </c>
      <c r="AU1022" s="107">
        <v>0.93676814988290402</v>
      </c>
      <c r="AV1022" s="107">
        <v>0.39215686274509798</v>
      </c>
      <c r="AW1022" s="107">
        <v>1.2</v>
      </c>
      <c r="AX1022" s="107">
        <v>1.14689016321129</v>
      </c>
      <c r="AY1022" s="107">
        <v>1.35135135135135</v>
      </c>
      <c r="AZ1022" s="107">
        <v>1.1301636788776299</v>
      </c>
      <c r="BA1022" s="107">
        <v>5.8823529411764701</v>
      </c>
      <c r="BB1022" s="107">
        <v>0</v>
      </c>
      <c r="BC1022" s="107">
        <v>0.76335877862595403</v>
      </c>
      <c r="BD1022" s="107">
        <v>1.2084592145015101</v>
      </c>
      <c r="BE1022" s="107">
        <v>0</v>
      </c>
    </row>
    <row r="1023" spans="2:57" ht="15" customHeight="1" x14ac:dyDescent="0.25">
      <c r="B1023" s="91">
        <v>1013</v>
      </c>
      <c r="C1023" s="92" t="s">
        <v>504</v>
      </c>
      <c r="D1023" s="92" t="s">
        <v>76</v>
      </c>
      <c r="E1023" s="92" t="s">
        <v>511</v>
      </c>
      <c r="F1023" s="92" t="s">
        <v>105</v>
      </c>
      <c r="G1023" s="101" t="s">
        <v>501</v>
      </c>
      <c r="H1023" s="94">
        <v>0</v>
      </c>
      <c r="I1023" s="94">
        <v>0</v>
      </c>
      <c r="J1023" s="94">
        <v>0</v>
      </c>
      <c r="K1023" s="94">
        <v>0</v>
      </c>
      <c r="L1023" s="94">
        <v>0</v>
      </c>
      <c r="M1023" s="94">
        <v>0</v>
      </c>
      <c r="N1023" s="94">
        <v>0</v>
      </c>
      <c r="O1023" s="94">
        <v>0</v>
      </c>
      <c r="P1023" s="94">
        <v>0</v>
      </c>
      <c r="Q1023" s="95">
        <v>0</v>
      </c>
      <c r="R1023" s="95">
        <v>0</v>
      </c>
      <c r="S1023" s="95">
        <v>0</v>
      </c>
      <c r="T1023" s="95">
        <v>0</v>
      </c>
      <c r="U1023" s="95">
        <v>0</v>
      </c>
      <c r="V1023" s="95">
        <v>0</v>
      </c>
      <c r="W1023" s="95">
        <v>0</v>
      </c>
      <c r="X1023" s="95">
        <v>0</v>
      </c>
      <c r="Y1023" s="95">
        <v>0</v>
      </c>
      <c r="Z1023" s="94">
        <v>0</v>
      </c>
      <c r="AA1023" s="94">
        <v>0</v>
      </c>
      <c r="AB1023" s="94">
        <v>0</v>
      </c>
      <c r="AC1023" s="94">
        <v>0</v>
      </c>
      <c r="AD1023" s="94">
        <v>0</v>
      </c>
      <c r="AE1023" s="94">
        <v>0</v>
      </c>
      <c r="AF1023" s="94">
        <v>0</v>
      </c>
      <c r="AG1023" s="94">
        <v>0</v>
      </c>
      <c r="AH1023" s="94">
        <v>0</v>
      </c>
      <c r="AI1023" s="94">
        <v>0</v>
      </c>
      <c r="AJ1023" s="94">
        <v>0</v>
      </c>
      <c r="AK1023" s="94">
        <v>0</v>
      </c>
      <c r="AL1023" s="94">
        <v>0</v>
      </c>
      <c r="AM1023" s="94">
        <v>0</v>
      </c>
      <c r="AN1023" s="94">
        <v>0</v>
      </c>
      <c r="AO1023" s="94">
        <v>0</v>
      </c>
      <c r="AP1023" s="95">
        <v>0</v>
      </c>
      <c r="AQ1023" s="95">
        <v>0</v>
      </c>
      <c r="AR1023" s="95">
        <v>0</v>
      </c>
      <c r="AS1023" s="95">
        <v>0</v>
      </c>
      <c r="AT1023" s="95">
        <v>0</v>
      </c>
      <c r="AU1023" s="95">
        <v>0</v>
      </c>
      <c r="AV1023" s="95">
        <v>0</v>
      </c>
      <c r="AW1023" s="95">
        <v>0</v>
      </c>
      <c r="AX1023" s="95">
        <v>0</v>
      </c>
      <c r="AY1023" s="95">
        <v>0</v>
      </c>
      <c r="AZ1023" s="95">
        <v>0</v>
      </c>
      <c r="BA1023" s="95">
        <v>0</v>
      </c>
      <c r="BB1023" s="95">
        <v>0</v>
      </c>
      <c r="BC1023" s="95">
        <v>0</v>
      </c>
      <c r="BD1023" s="95">
        <v>0</v>
      </c>
      <c r="BE1023" s="95">
        <v>0</v>
      </c>
    </row>
    <row r="1024" spans="2:57" ht="15" customHeight="1" x14ac:dyDescent="0.25">
      <c r="B1024" s="91">
        <v>1014</v>
      </c>
      <c r="C1024" s="92" t="s">
        <v>504</v>
      </c>
      <c r="D1024" s="92" t="s">
        <v>76</v>
      </c>
      <c r="E1024" s="92" t="s">
        <v>511</v>
      </c>
      <c r="F1024" s="92" t="s">
        <v>105</v>
      </c>
      <c r="G1024" s="101" t="s">
        <v>502</v>
      </c>
      <c r="H1024" s="94">
        <v>2720</v>
      </c>
      <c r="I1024" s="94">
        <v>1552</v>
      </c>
      <c r="J1024" s="94">
        <v>1168</v>
      </c>
      <c r="K1024" s="94">
        <v>263</v>
      </c>
      <c r="L1024" s="94">
        <v>735</v>
      </c>
      <c r="M1024" s="94">
        <v>1249</v>
      </c>
      <c r="N1024" s="94">
        <v>473</v>
      </c>
      <c r="O1024" s="94">
        <v>2711</v>
      </c>
      <c r="P1024" s="94">
        <v>9</v>
      </c>
      <c r="Q1024" s="95">
        <v>0.156372165754496</v>
      </c>
      <c r="R1024" s="95">
        <v>0</v>
      </c>
      <c r="S1024" s="95">
        <v>0.36496350364963498</v>
      </c>
      <c r="T1024" s="95">
        <v>0.40322580645161299</v>
      </c>
      <c r="U1024" s="95">
        <v>0</v>
      </c>
      <c r="V1024" s="95">
        <v>0.25488530161427397</v>
      </c>
      <c r="W1024" s="95">
        <v>0</v>
      </c>
      <c r="X1024" s="95">
        <v>0.15686274509803899</v>
      </c>
      <c r="Y1024" s="95">
        <v>0</v>
      </c>
      <c r="Z1024" s="94">
        <v>2700</v>
      </c>
      <c r="AA1024" s="94">
        <v>1446</v>
      </c>
      <c r="AB1024" s="94">
        <v>1254</v>
      </c>
      <c r="AC1024" s="94">
        <v>171</v>
      </c>
      <c r="AD1024" s="94">
        <v>661</v>
      </c>
      <c r="AE1024" s="94">
        <v>1336</v>
      </c>
      <c r="AF1024" s="94">
        <v>532</v>
      </c>
      <c r="AG1024" s="94">
        <v>271</v>
      </c>
      <c r="AH1024" s="94">
        <v>2352</v>
      </c>
      <c r="AI1024" s="94">
        <v>77</v>
      </c>
      <c r="AJ1024" s="94">
        <v>2673</v>
      </c>
      <c r="AK1024" s="94">
        <v>19</v>
      </c>
      <c r="AL1024" s="94">
        <v>8</v>
      </c>
      <c r="AM1024" s="94">
        <v>274</v>
      </c>
      <c r="AN1024" s="94">
        <v>2413</v>
      </c>
      <c r="AO1024" s="94">
        <v>13</v>
      </c>
      <c r="AP1024" s="95">
        <v>1.1578541103820901</v>
      </c>
      <c r="AQ1024" s="95">
        <v>0.63649222065063604</v>
      </c>
      <c r="AR1024" s="95">
        <v>1.78419711129991</v>
      </c>
      <c r="AS1024" s="95">
        <v>1.82926829268293</v>
      </c>
      <c r="AT1024" s="95">
        <v>2.0440251572327002</v>
      </c>
      <c r="AU1024" s="95">
        <v>0.93676814988290402</v>
      </c>
      <c r="AV1024" s="95">
        <v>0.39215686274509798</v>
      </c>
      <c r="AW1024" s="95">
        <v>1.2</v>
      </c>
      <c r="AX1024" s="95">
        <v>1.14689016321129</v>
      </c>
      <c r="AY1024" s="95">
        <v>1.35135135135135</v>
      </c>
      <c r="AZ1024" s="95">
        <v>1.1301636788776299</v>
      </c>
      <c r="BA1024" s="95">
        <v>5.8823529411764701</v>
      </c>
      <c r="BB1024" s="95">
        <v>0</v>
      </c>
      <c r="BC1024" s="95">
        <v>0.76335877862595403</v>
      </c>
      <c r="BD1024" s="95">
        <v>1.2084592145015101</v>
      </c>
      <c r="BE1024" s="95">
        <v>0</v>
      </c>
    </row>
    <row r="1025" spans="2:57" ht="15" customHeight="1" x14ac:dyDescent="0.25">
      <c r="B1025" s="86">
        <v>1015</v>
      </c>
      <c r="C1025" s="87" t="s">
        <v>503</v>
      </c>
      <c r="D1025" s="103" t="s">
        <v>76</v>
      </c>
      <c r="E1025" s="103" t="s">
        <v>410</v>
      </c>
      <c r="F1025" s="103"/>
      <c r="G1025" s="88" t="s">
        <v>410</v>
      </c>
      <c r="H1025" s="89">
        <v>17130</v>
      </c>
      <c r="I1025" s="89">
        <v>10132</v>
      </c>
      <c r="J1025" s="89">
        <v>6998</v>
      </c>
      <c r="K1025" s="89">
        <v>1245</v>
      </c>
      <c r="L1025" s="89">
        <v>4353</v>
      </c>
      <c r="M1025" s="89">
        <v>8876</v>
      </c>
      <c r="N1025" s="89">
        <v>2656</v>
      </c>
      <c r="O1025" s="89">
        <v>17003</v>
      </c>
      <c r="P1025" s="89">
        <v>127</v>
      </c>
      <c r="Q1025" s="90">
        <v>0.50075112669003496</v>
      </c>
      <c r="R1025" s="90">
        <v>0.17723102585487899</v>
      </c>
      <c r="S1025" s="90">
        <v>0.98684210526315796</v>
      </c>
      <c r="T1025" s="90">
        <v>0.70237050043898197</v>
      </c>
      <c r="U1025" s="90">
        <v>0.97039064443891498</v>
      </c>
      <c r="V1025" s="90">
        <v>0.36079374624173199</v>
      </c>
      <c r="W1025" s="90">
        <v>0.119856172592889</v>
      </c>
      <c r="X1025" s="90">
        <v>0.49189632339030098</v>
      </c>
      <c r="Y1025" s="90">
        <v>1.6806722689075599</v>
      </c>
      <c r="Z1025" s="89">
        <v>22578</v>
      </c>
      <c r="AA1025" s="89">
        <v>12078</v>
      </c>
      <c r="AB1025" s="89">
        <v>10500</v>
      </c>
      <c r="AC1025" s="89">
        <v>974</v>
      </c>
      <c r="AD1025" s="89">
        <v>5039</v>
      </c>
      <c r="AE1025" s="89">
        <v>12316</v>
      </c>
      <c r="AF1025" s="89">
        <v>4249</v>
      </c>
      <c r="AG1025" s="89">
        <v>2372</v>
      </c>
      <c r="AH1025" s="89">
        <v>19749</v>
      </c>
      <c r="AI1025" s="89">
        <v>457</v>
      </c>
      <c r="AJ1025" s="89">
        <v>22231</v>
      </c>
      <c r="AK1025" s="89">
        <v>287</v>
      </c>
      <c r="AL1025" s="89">
        <v>60</v>
      </c>
      <c r="AM1025" s="89">
        <v>2040</v>
      </c>
      <c r="AN1025" s="89">
        <v>20373</v>
      </c>
      <c r="AO1025" s="89">
        <v>165</v>
      </c>
      <c r="AP1025" s="90">
        <v>2.9778393351800601</v>
      </c>
      <c r="AQ1025" s="90">
        <v>1.2300333134022401</v>
      </c>
      <c r="AR1025" s="90">
        <v>5.0336581935094902</v>
      </c>
      <c r="AS1025" s="90">
        <v>4.4823906083244403</v>
      </c>
      <c r="AT1025" s="90">
        <v>5.1882845188284499</v>
      </c>
      <c r="AU1025" s="90">
        <v>2.59641407307172</v>
      </c>
      <c r="AV1025" s="90">
        <v>1.1653313911143499</v>
      </c>
      <c r="AW1025" s="90">
        <v>2.3705004389815598</v>
      </c>
      <c r="AX1025" s="90">
        <v>3.0862569242943798</v>
      </c>
      <c r="AY1025" s="90">
        <v>1.40515222482436</v>
      </c>
      <c r="AZ1025" s="90">
        <v>2.9960615153788401</v>
      </c>
      <c r="BA1025" s="90">
        <v>2.1739130434782599</v>
      </c>
      <c r="BB1025" s="90">
        <v>0</v>
      </c>
      <c r="BC1025" s="90">
        <v>1.6691957511380899</v>
      </c>
      <c r="BD1025" s="90">
        <v>3.1091533063566099</v>
      </c>
      <c r="BE1025" s="90">
        <v>3.125</v>
      </c>
    </row>
    <row r="1026" spans="2:57" ht="15" customHeight="1" x14ac:dyDescent="0.25">
      <c r="B1026" s="91">
        <v>1016</v>
      </c>
      <c r="C1026" s="92" t="s">
        <v>503</v>
      </c>
      <c r="D1026" s="92" t="s">
        <v>76</v>
      </c>
      <c r="E1026" s="92" t="s">
        <v>410</v>
      </c>
      <c r="F1026" s="92"/>
      <c r="G1026" s="93" t="s">
        <v>501</v>
      </c>
      <c r="H1026" s="94">
        <v>1631</v>
      </c>
      <c r="I1026" s="94">
        <v>908</v>
      </c>
      <c r="J1026" s="94">
        <v>723</v>
      </c>
      <c r="K1026" s="94">
        <v>78</v>
      </c>
      <c r="L1026" s="94">
        <v>391</v>
      </c>
      <c r="M1026" s="94">
        <v>900</v>
      </c>
      <c r="N1026" s="94">
        <v>262</v>
      </c>
      <c r="O1026" s="94">
        <v>1606</v>
      </c>
      <c r="P1026" s="94">
        <v>25</v>
      </c>
      <c r="Q1026" s="95">
        <v>0.84911822338341003</v>
      </c>
      <c r="R1026" s="95">
        <v>0.34722222222222199</v>
      </c>
      <c r="S1026" s="95">
        <v>1.49925037481259</v>
      </c>
      <c r="T1026" s="95">
        <v>2.8985507246376798</v>
      </c>
      <c r="U1026" s="95">
        <v>1.9178082191780801</v>
      </c>
      <c r="V1026" s="95">
        <v>0.46948356807511699</v>
      </c>
      <c r="W1026" s="95">
        <v>0</v>
      </c>
      <c r="X1026" s="95">
        <v>0.86206896551724099</v>
      </c>
      <c r="Y1026" s="95">
        <v>0</v>
      </c>
      <c r="Z1026" s="94">
        <v>3235</v>
      </c>
      <c r="AA1026" s="94">
        <v>1706</v>
      </c>
      <c r="AB1026" s="94">
        <v>1529</v>
      </c>
      <c r="AC1026" s="94">
        <v>100</v>
      </c>
      <c r="AD1026" s="94">
        <v>722</v>
      </c>
      <c r="AE1026" s="94">
        <v>1870</v>
      </c>
      <c r="AF1026" s="94">
        <v>543</v>
      </c>
      <c r="AG1026" s="94">
        <v>184</v>
      </c>
      <c r="AH1026" s="94">
        <v>3023</v>
      </c>
      <c r="AI1026" s="94">
        <v>28</v>
      </c>
      <c r="AJ1026" s="94">
        <v>3160</v>
      </c>
      <c r="AK1026" s="94">
        <v>66</v>
      </c>
      <c r="AL1026" s="94">
        <v>9</v>
      </c>
      <c r="AM1026" s="94">
        <v>218</v>
      </c>
      <c r="AN1026" s="94">
        <v>3002</v>
      </c>
      <c r="AO1026" s="94">
        <v>15</v>
      </c>
      <c r="AP1026" s="95">
        <v>5.4598635034124099</v>
      </c>
      <c r="AQ1026" s="95">
        <v>2.8676021964612599</v>
      </c>
      <c r="AR1026" s="95">
        <v>8.4144645340750994</v>
      </c>
      <c r="AS1026" s="95">
        <v>14.893617021276601</v>
      </c>
      <c r="AT1026" s="95">
        <v>9.5870206489675507</v>
      </c>
      <c r="AU1026" s="95">
        <v>3.9237668161435</v>
      </c>
      <c r="AV1026" s="95">
        <v>3.6468330134357001</v>
      </c>
      <c r="AW1026" s="95">
        <v>4.6511627906976702</v>
      </c>
      <c r="AX1026" s="95">
        <v>5.5265901981230403</v>
      </c>
      <c r="AY1026" s="95">
        <v>3.5714285714285698</v>
      </c>
      <c r="AZ1026" s="95">
        <v>5.5241264559068197</v>
      </c>
      <c r="BA1026" s="95">
        <v>3.17460317460317</v>
      </c>
      <c r="BB1026" s="95">
        <v>0</v>
      </c>
      <c r="BC1026" s="95">
        <v>5.2631578947368398</v>
      </c>
      <c r="BD1026" s="95">
        <v>5.4660126138752601</v>
      </c>
      <c r="BE1026" s="95">
        <v>7.1428571428571397</v>
      </c>
    </row>
    <row r="1027" spans="2:57" ht="15" customHeight="1" x14ac:dyDescent="0.25">
      <c r="B1027" s="91">
        <v>1017</v>
      </c>
      <c r="C1027" s="92" t="s">
        <v>503</v>
      </c>
      <c r="D1027" s="92" t="s">
        <v>76</v>
      </c>
      <c r="E1027" s="92" t="s">
        <v>410</v>
      </c>
      <c r="F1027" s="92"/>
      <c r="G1027" s="93" t="s">
        <v>502</v>
      </c>
      <c r="H1027" s="94">
        <v>15499</v>
      </c>
      <c r="I1027" s="94">
        <v>9224</v>
      </c>
      <c r="J1027" s="94">
        <v>6275</v>
      </c>
      <c r="K1027" s="94">
        <v>1167</v>
      </c>
      <c r="L1027" s="94">
        <v>3962</v>
      </c>
      <c r="M1027" s="94">
        <v>7976</v>
      </c>
      <c r="N1027" s="94">
        <v>2394</v>
      </c>
      <c r="O1027" s="94">
        <v>15397</v>
      </c>
      <c r="P1027" s="94">
        <v>102</v>
      </c>
      <c r="Q1027" s="95">
        <v>0.46382831429560401</v>
      </c>
      <c r="R1027" s="95">
        <v>0.16040329972502301</v>
      </c>
      <c r="S1027" s="95">
        <v>0.92705964666783303</v>
      </c>
      <c r="T1027" s="95">
        <v>0.56074766355140204</v>
      </c>
      <c r="U1027" s="95">
        <v>0.875752599890531</v>
      </c>
      <c r="V1027" s="95">
        <v>0.34838536781455198</v>
      </c>
      <c r="W1027" s="95">
        <v>0.13286093888396799</v>
      </c>
      <c r="X1027" s="95">
        <v>0.452993239947035</v>
      </c>
      <c r="Y1027" s="95">
        <v>2.0833333333333299</v>
      </c>
      <c r="Z1027" s="94">
        <v>19343</v>
      </c>
      <c r="AA1027" s="94">
        <v>10372</v>
      </c>
      <c r="AB1027" s="94">
        <v>8971</v>
      </c>
      <c r="AC1027" s="94">
        <v>874</v>
      </c>
      <c r="AD1027" s="94">
        <v>4317</v>
      </c>
      <c r="AE1027" s="94">
        <v>10446</v>
      </c>
      <c r="AF1027" s="94">
        <v>3706</v>
      </c>
      <c r="AG1027" s="94">
        <v>2188</v>
      </c>
      <c r="AH1027" s="94">
        <v>16726</v>
      </c>
      <c r="AI1027" s="94">
        <v>429</v>
      </c>
      <c r="AJ1027" s="94">
        <v>19071</v>
      </c>
      <c r="AK1027" s="94">
        <v>221</v>
      </c>
      <c r="AL1027" s="94">
        <v>51</v>
      </c>
      <c r="AM1027" s="94">
        <v>1822</v>
      </c>
      <c r="AN1027" s="94">
        <v>17371</v>
      </c>
      <c r="AO1027" s="94">
        <v>150</v>
      </c>
      <c r="AP1027" s="95">
        <v>2.5668621858687999</v>
      </c>
      <c r="AQ1027" s="95">
        <v>0.96344854986094597</v>
      </c>
      <c r="AR1027" s="95">
        <v>4.4627128596594297</v>
      </c>
      <c r="AS1027" s="95">
        <v>3.3214709371293001</v>
      </c>
      <c r="AT1027" s="95">
        <v>4.4612384202827897</v>
      </c>
      <c r="AU1027" s="95">
        <v>2.3605577689242998</v>
      </c>
      <c r="AV1027" s="95">
        <v>0.80600333518621503</v>
      </c>
      <c r="AW1027" s="95">
        <v>2.1842355175688501</v>
      </c>
      <c r="AX1027" s="95">
        <v>2.6495832815026699</v>
      </c>
      <c r="AY1027" s="95">
        <v>1.2531328320802</v>
      </c>
      <c r="AZ1027" s="95">
        <v>2.5814550019101699</v>
      </c>
      <c r="BA1027" s="95">
        <v>1.8779342723004699</v>
      </c>
      <c r="BB1027" s="95">
        <v>0</v>
      </c>
      <c r="BC1027" s="95">
        <v>1.2443438914027101</v>
      </c>
      <c r="BD1027" s="95">
        <v>2.70562121303018</v>
      </c>
      <c r="BE1027" s="95">
        <v>2.7397260273972601</v>
      </c>
    </row>
    <row r="1028" spans="2:57" ht="15" customHeight="1" x14ac:dyDescent="0.25">
      <c r="B1028" s="96">
        <v>1018</v>
      </c>
      <c r="C1028" s="97" t="s">
        <v>504</v>
      </c>
      <c r="D1028" s="104" t="s">
        <v>76</v>
      </c>
      <c r="E1028" s="104" t="s">
        <v>410</v>
      </c>
      <c r="F1028" s="104" t="s">
        <v>59</v>
      </c>
      <c r="G1028" s="105" t="s">
        <v>59</v>
      </c>
      <c r="H1028" s="106">
        <v>11782</v>
      </c>
      <c r="I1028" s="106">
        <v>6756</v>
      </c>
      <c r="J1028" s="106">
        <v>5026</v>
      </c>
      <c r="K1028" s="106">
        <v>852</v>
      </c>
      <c r="L1028" s="106">
        <v>2910</v>
      </c>
      <c r="M1028" s="106">
        <v>6138</v>
      </c>
      <c r="N1028" s="106">
        <v>1882</v>
      </c>
      <c r="O1028" s="106">
        <v>11671</v>
      </c>
      <c r="P1028" s="106">
        <v>111</v>
      </c>
      <c r="Q1028" s="107">
        <v>0.60235465912202202</v>
      </c>
      <c r="R1028" s="107">
        <v>0.234448265082838</v>
      </c>
      <c r="S1028" s="107">
        <v>1.1186663742048699</v>
      </c>
      <c r="T1028" s="107">
        <v>1.02432778489117</v>
      </c>
      <c r="U1028" s="107">
        <v>1.1127596439169101</v>
      </c>
      <c r="V1028" s="107">
        <v>0.43675751222921</v>
      </c>
      <c r="W1028" s="107">
        <v>0.17084282460136699</v>
      </c>
      <c r="X1028" s="107">
        <v>0.58964437073889797</v>
      </c>
      <c r="Y1028" s="107">
        <v>1.94174757281553</v>
      </c>
      <c r="Z1028" s="106">
        <v>16920</v>
      </c>
      <c r="AA1028" s="106">
        <v>9072</v>
      </c>
      <c r="AB1028" s="106">
        <v>7848</v>
      </c>
      <c r="AC1028" s="106">
        <v>701</v>
      </c>
      <c r="AD1028" s="106">
        <v>3973</v>
      </c>
      <c r="AE1028" s="106">
        <v>9282</v>
      </c>
      <c r="AF1028" s="106">
        <v>2964</v>
      </c>
      <c r="AG1028" s="106">
        <v>1909</v>
      </c>
      <c r="AH1028" s="106">
        <v>14674</v>
      </c>
      <c r="AI1028" s="106">
        <v>337</v>
      </c>
      <c r="AJ1028" s="106">
        <v>16611</v>
      </c>
      <c r="AK1028" s="106">
        <v>256</v>
      </c>
      <c r="AL1028" s="106">
        <v>53</v>
      </c>
      <c r="AM1028" s="106">
        <v>1441</v>
      </c>
      <c r="AN1028" s="106">
        <v>15362</v>
      </c>
      <c r="AO1028" s="106">
        <v>117</v>
      </c>
      <c r="AP1028" s="107">
        <v>3.5901548331379902</v>
      </c>
      <c r="AQ1028" s="107">
        <v>1.5724703737465799</v>
      </c>
      <c r="AR1028" s="107">
        <v>5.9717552118359096</v>
      </c>
      <c r="AS1028" s="107">
        <v>5.5306427503736897</v>
      </c>
      <c r="AT1028" s="107">
        <v>6.0694407633183101</v>
      </c>
      <c r="AU1028" s="107">
        <v>3.0418677741609601</v>
      </c>
      <c r="AV1028" s="107">
        <v>1.57342657342657</v>
      </c>
      <c r="AW1028" s="107">
        <v>2.7203482045701799</v>
      </c>
      <c r="AX1028" s="107">
        <v>3.7479553374582202</v>
      </c>
      <c r="AY1028" s="107">
        <v>1.6025641025641</v>
      </c>
      <c r="AZ1028" s="107">
        <v>3.6189997486805701</v>
      </c>
      <c r="BA1028" s="107">
        <v>2.4489795918367299</v>
      </c>
      <c r="BB1028" s="107">
        <v>0</v>
      </c>
      <c r="BC1028" s="107">
        <v>2.0100502512562799</v>
      </c>
      <c r="BD1028" s="107">
        <v>3.7331701346389199</v>
      </c>
      <c r="BE1028" s="107">
        <v>4.46428571428571</v>
      </c>
    </row>
    <row r="1029" spans="2:57" ht="15" customHeight="1" x14ac:dyDescent="0.25">
      <c r="B1029" s="91">
        <v>1019</v>
      </c>
      <c r="C1029" s="92" t="s">
        <v>504</v>
      </c>
      <c r="D1029" s="92" t="s">
        <v>76</v>
      </c>
      <c r="E1029" s="92" t="s">
        <v>410</v>
      </c>
      <c r="F1029" s="92" t="s">
        <v>59</v>
      </c>
      <c r="G1029" s="101" t="s">
        <v>501</v>
      </c>
      <c r="H1029" s="94">
        <v>1631</v>
      </c>
      <c r="I1029" s="94">
        <v>908</v>
      </c>
      <c r="J1029" s="94">
        <v>723</v>
      </c>
      <c r="K1029" s="94">
        <v>78</v>
      </c>
      <c r="L1029" s="94">
        <v>391</v>
      </c>
      <c r="M1029" s="94">
        <v>900</v>
      </c>
      <c r="N1029" s="94">
        <v>262</v>
      </c>
      <c r="O1029" s="94">
        <v>1606</v>
      </c>
      <c r="P1029" s="94">
        <v>25</v>
      </c>
      <c r="Q1029" s="95">
        <v>0.84911822338341003</v>
      </c>
      <c r="R1029" s="95">
        <v>0.34722222222222199</v>
      </c>
      <c r="S1029" s="95">
        <v>1.49925037481259</v>
      </c>
      <c r="T1029" s="95">
        <v>2.8985507246376798</v>
      </c>
      <c r="U1029" s="95">
        <v>1.9178082191780801</v>
      </c>
      <c r="V1029" s="95">
        <v>0.46948356807511699</v>
      </c>
      <c r="W1029" s="95">
        <v>0</v>
      </c>
      <c r="X1029" s="95">
        <v>0.86206896551724099</v>
      </c>
      <c r="Y1029" s="95">
        <v>0</v>
      </c>
      <c r="Z1029" s="94">
        <v>3235</v>
      </c>
      <c r="AA1029" s="94">
        <v>1706</v>
      </c>
      <c r="AB1029" s="94">
        <v>1529</v>
      </c>
      <c r="AC1029" s="94">
        <v>100</v>
      </c>
      <c r="AD1029" s="94">
        <v>722</v>
      </c>
      <c r="AE1029" s="94">
        <v>1870</v>
      </c>
      <c r="AF1029" s="94">
        <v>543</v>
      </c>
      <c r="AG1029" s="94">
        <v>184</v>
      </c>
      <c r="AH1029" s="94">
        <v>3023</v>
      </c>
      <c r="AI1029" s="94">
        <v>28</v>
      </c>
      <c r="AJ1029" s="94">
        <v>3160</v>
      </c>
      <c r="AK1029" s="94">
        <v>66</v>
      </c>
      <c r="AL1029" s="94">
        <v>9</v>
      </c>
      <c r="AM1029" s="94">
        <v>218</v>
      </c>
      <c r="AN1029" s="94">
        <v>3002</v>
      </c>
      <c r="AO1029" s="94">
        <v>15</v>
      </c>
      <c r="AP1029" s="95">
        <v>5.4598635034124099</v>
      </c>
      <c r="AQ1029" s="95">
        <v>2.8676021964612599</v>
      </c>
      <c r="AR1029" s="95">
        <v>8.4144645340750994</v>
      </c>
      <c r="AS1029" s="95">
        <v>14.893617021276601</v>
      </c>
      <c r="AT1029" s="95">
        <v>9.5870206489675507</v>
      </c>
      <c r="AU1029" s="95">
        <v>3.9237668161435</v>
      </c>
      <c r="AV1029" s="95">
        <v>3.6468330134357001</v>
      </c>
      <c r="AW1029" s="95">
        <v>4.6511627906976702</v>
      </c>
      <c r="AX1029" s="95">
        <v>5.5265901981230403</v>
      </c>
      <c r="AY1029" s="95">
        <v>3.5714285714285698</v>
      </c>
      <c r="AZ1029" s="95">
        <v>5.5241264559068197</v>
      </c>
      <c r="BA1029" s="95">
        <v>3.17460317460317</v>
      </c>
      <c r="BB1029" s="95">
        <v>0</v>
      </c>
      <c r="BC1029" s="95">
        <v>5.2631578947368398</v>
      </c>
      <c r="BD1029" s="95">
        <v>5.4660126138752601</v>
      </c>
      <c r="BE1029" s="95">
        <v>7.1428571428571397</v>
      </c>
    </row>
    <row r="1030" spans="2:57" ht="15" customHeight="1" x14ac:dyDescent="0.25">
      <c r="B1030" s="91">
        <v>1020</v>
      </c>
      <c r="C1030" s="92" t="s">
        <v>504</v>
      </c>
      <c r="D1030" s="92" t="s">
        <v>76</v>
      </c>
      <c r="E1030" s="92" t="s">
        <v>410</v>
      </c>
      <c r="F1030" s="92" t="s">
        <v>59</v>
      </c>
      <c r="G1030" s="101" t="s">
        <v>502</v>
      </c>
      <c r="H1030" s="94">
        <v>10151</v>
      </c>
      <c r="I1030" s="94">
        <v>5848</v>
      </c>
      <c r="J1030" s="94">
        <v>4303</v>
      </c>
      <c r="K1030" s="94">
        <v>774</v>
      </c>
      <c r="L1030" s="94">
        <v>2519</v>
      </c>
      <c r="M1030" s="94">
        <v>5238</v>
      </c>
      <c r="N1030" s="94">
        <v>1620</v>
      </c>
      <c r="O1030" s="94">
        <v>10065</v>
      </c>
      <c r="P1030" s="94">
        <v>86</v>
      </c>
      <c r="Q1030" s="95">
        <v>0.56227455972841101</v>
      </c>
      <c r="R1030" s="95">
        <v>0.21684134441633501</v>
      </c>
      <c r="S1030" s="95">
        <v>1.0534429599177799</v>
      </c>
      <c r="T1030" s="95">
        <v>0.84269662921348298</v>
      </c>
      <c r="U1030" s="95">
        <v>0.98670098670098705</v>
      </c>
      <c r="V1030" s="95">
        <v>0.431034482758621</v>
      </c>
      <c r="W1030" s="95">
        <v>0.198544010589014</v>
      </c>
      <c r="X1030" s="95">
        <v>0.54568799486411301</v>
      </c>
      <c r="Y1030" s="95">
        <v>2.5</v>
      </c>
      <c r="Z1030" s="94">
        <v>13685</v>
      </c>
      <c r="AA1030" s="94">
        <v>7366</v>
      </c>
      <c r="AB1030" s="94">
        <v>6319</v>
      </c>
      <c r="AC1030" s="94">
        <v>601</v>
      </c>
      <c r="AD1030" s="94">
        <v>3251</v>
      </c>
      <c r="AE1030" s="94">
        <v>7412</v>
      </c>
      <c r="AF1030" s="94">
        <v>2421</v>
      </c>
      <c r="AG1030" s="94">
        <v>1725</v>
      </c>
      <c r="AH1030" s="94">
        <v>11651</v>
      </c>
      <c r="AI1030" s="94">
        <v>309</v>
      </c>
      <c r="AJ1030" s="94">
        <v>13451</v>
      </c>
      <c r="AK1030" s="94">
        <v>190</v>
      </c>
      <c r="AL1030" s="94">
        <v>44</v>
      </c>
      <c r="AM1030" s="94">
        <v>1223</v>
      </c>
      <c r="AN1030" s="94">
        <v>12360</v>
      </c>
      <c r="AO1030" s="94">
        <v>102</v>
      </c>
      <c r="AP1030" s="95">
        <v>3.1521242576519</v>
      </c>
      <c r="AQ1030" s="95">
        <v>1.27504553734062</v>
      </c>
      <c r="AR1030" s="95">
        <v>5.3860263465065898</v>
      </c>
      <c r="AS1030" s="95">
        <v>4</v>
      </c>
      <c r="AT1030" s="95">
        <v>5.2988691437802897</v>
      </c>
      <c r="AU1030" s="95">
        <v>2.8210526315789499</v>
      </c>
      <c r="AV1030" s="95">
        <v>1.1115861479264599</v>
      </c>
      <c r="AW1030" s="95">
        <v>2.52100840336134</v>
      </c>
      <c r="AX1030" s="95">
        <v>3.2904148783977099</v>
      </c>
      <c r="AY1030" s="95">
        <v>1.40845070422535</v>
      </c>
      <c r="AZ1030" s="95">
        <v>3.17558670900782</v>
      </c>
      <c r="BA1030" s="95">
        <v>2.1978021978022002</v>
      </c>
      <c r="BB1030" s="95">
        <v>0</v>
      </c>
      <c r="BC1030" s="95">
        <v>1.4358108108108101</v>
      </c>
      <c r="BD1030" s="95">
        <v>3.3158960512993598</v>
      </c>
      <c r="BE1030" s="95">
        <v>4.0816326530612201</v>
      </c>
    </row>
    <row r="1031" spans="2:57" ht="15" customHeight="1" x14ac:dyDescent="0.25">
      <c r="B1031" s="96">
        <v>1021</v>
      </c>
      <c r="C1031" s="97" t="s">
        <v>504</v>
      </c>
      <c r="D1031" s="104" t="s">
        <v>76</v>
      </c>
      <c r="E1031" s="104" t="s">
        <v>410</v>
      </c>
      <c r="F1031" s="104" t="s">
        <v>88</v>
      </c>
      <c r="G1031" s="105" t="s">
        <v>88</v>
      </c>
      <c r="H1031" s="106">
        <v>5348</v>
      </c>
      <c r="I1031" s="106">
        <v>3376</v>
      </c>
      <c r="J1031" s="106">
        <v>1972</v>
      </c>
      <c r="K1031" s="106">
        <v>393</v>
      </c>
      <c r="L1031" s="106">
        <v>1443</v>
      </c>
      <c r="M1031" s="106">
        <v>2738</v>
      </c>
      <c r="N1031" s="106">
        <v>774</v>
      </c>
      <c r="O1031" s="106">
        <v>5332</v>
      </c>
      <c r="P1031" s="106">
        <v>16</v>
      </c>
      <c r="Q1031" s="107">
        <v>0.27894002789400302</v>
      </c>
      <c r="R1031" s="107">
        <v>6.2617407639323705E-2</v>
      </c>
      <c r="S1031" s="107">
        <v>0.65753424657534298</v>
      </c>
      <c r="T1031" s="107">
        <v>0</v>
      </c>
      <c r="U1031" s="107">
        <v>0.68027210884353695</v>
      </c>
      <c r="V1031" s="107">
        <v>0.19297568506368201</v>
      </c>
      <c r="W1031" s="107">
        <v>0</v>
      </c>
      <c r="X1031" s="107">
        <v>0.279832100739556</v>
      </c>
      <c r="Y1031" s="107">
        <v>0</v>
      </c>
      <c r="Z1031" s="106">
        <v>5658</v>
      </c>
      <c r="AA1031" s="106">
        <v>3006</v>
      </c>
      <c r="AB1031" s="106">
        <v>2652</v>
      </c>
      <c r="AC1031" s="106">
        <v>273</v>
      </c>
      <c r="AD1031" s="106">
        <v>1066</v>
      </c>
      <c r="AE1031" s="106">
        <v>3034</v>
      </c>
      <c r="AF1031" s="106">
        <v>1285</v>
      </c>
      <c r="AG1031" s="106">
        <v>463</v>
      </c>
      <c r="AH1031" s="106">
        <v>5075</v>
      </c>
      <c r="AI1031" s="106">
        <v>120</v>
      </c>
      <c r="AJ1031" s="106">
        <v>5620</v>
      </c>
      <c r="AK1031" s="106">
        <v>31</v>
      </c>
      <c r="AL1031" s="106">
        <v>7</v>
      </c>
      <c r="AM1031" s="106">
        <v>599</v>
      </c>
      <c r="AN1031" s="106">
        <v>5011</v>
      </c>
      <c r="AO1031" s="106">
        <v>48</v>
      </c>
      <c r="AP1031" s="107">
        <v>1.15617544503579</v>
      </c>
      <c r="AQ1031" s="107">
        <v>0.20470829068577301</v>
      </c>
      <c r="AR1031" s="107">
        <v>2.2637013502780001</v>
      </c>
      <c r="AS1031" s="107">
        <v>1.8656716417910399</v>
      </c>
      <c r="AT1031" s="107">
        <v>1.88679245283019</v>
      </c>
      <c r="AU1031" s="107">
        <v>1.2349914236706701</v>
      </c>
      <c r="AV1031" s="107">
        <v>0.238284352660842</v>
      </c>
      <c r="AW1031" s="107">
        <v>0.90909090909090895</v>
      </c>
      <c r="AX1031" s="107">
        <v>1.1851246424192901</v>
      </c>
      <c r="AY1031" s="107">
        <v>0.86956521739130399</v>
      </c>
      <c r="AZ1031" s="107">
        <v>1.16407982261641</v>
      </c>
      <c r="BA1031" s="107">
        <v>0</v>
      </c>
      <c r="BB1031" s="107">
        <v>0</v>
      </c>
      <c r="BC1031" s="107">
        <v>0.85616438356164404</v>
      </c>
      <c r="BD1031" s="107">
        <v>1.20406892256591</v>
      </c>
      <c r="BE1031" s="107">
        <v>0</v>
      </c>
    </row>
    <row r="1032" spans="2:57" ht="15" customHeight="1" x14ac:dyDescent="0.25">
      <c r="B1032" s="91">
        <v>1022</v>
      </c>
      <c r="C1032" s="92" t="s">
        <v>504</v>
      </c>
      <c r="D1032" s="92" t="s">
        <v>76</v>
      </c>
      <c r="E1032" s="92" t="s">
        <v>410</v>
      </c>
      <c r="F1032" s="92" t="s">
        <v>88</v>
      </c>
      <c r="G1032" s="101" t="s">
        <v>501</v>
      </c>
      <c r="H1032" s="94">
        <v>0</v>
      </c>
      <c r="I1032" s="94">
        <v>0</v>
      </c>
      <c r="J1032" s="94">
        <v>0</v>
      </c>
      <c r="K1032" s="94">
        <v>0</v>
      </c>
      <c r="L1032" s="94">
        <v>0</v>
      </c>
      <c r="M1032" s="94">
        <v>0</v>
      </c>
      <c r="N1032" s="94">
        <v>0</v>
      </c>
      <c r="O1032" s="94">
        <v>0</v>
      </c>
      <c r="P1032" s="94">
        <v>0</v>
      </c>
      <c r="Q1032" s="95">
        <v>0</v>
      </c>
      <c r="R1032" s="95">
        <v>0</v>
      </c>
      <c r="S1032" s="95">
        <v>0</v>
      </c>
      <c r="T1032" s="95">
        <v>0</v>
      </c>
      <c r="U1032" s="95">
        <v>0</v>
      </c>
      <c r="V1032" s="95">
        <v>0</v>
      </c>
      <c r="W1032" s="95">
        <v>0</v>
      </c>
      <c r="X1032" s="95">
        <v>0</v>
      </c>
      <c r="Y1032" s="95">
        <v>0</v>
      </c>
      <c r="Z1032" s="94">
        <v>0</v>
      </c>
      <c r="AA1032" s="94">
        <v>0</v>
      </c>
      <c r="AB1032" s="94">
        <v>0</v>
      </c>
      <c r="AC1032" s="94">
        <v>0</v>
      </c>
      <c r="AD1032" s="94">
        <v>0</v>
      </c>
      <c r="AE1032" s="94">
        <v>0</v>
      </c>
      <c r="AF1032" s="94">
        <v>0</v>
      </c>
      <c r="AG1032" s="94">
        <v>0</v>
      </c>
      <c r="AH1032" s="94">
        <v>0</v>
      </c>
      <c r="AI1032" s="94">
        <v>0</v>
      </c>
      <c r="AJ1032" s="94">
        <v>0</v>
      </c>
      <c r="AK1032" s="94">
        <v>0</v>
      </c>
      <c r="AL1032" s="94">
        <v>0</v>
      </c>
      <c r="AM1032" s="94">
        <v>0</v>
      </c>
      <c r="AN1032" s="94">
        <v>0</v>
      </c>
      <c r="AO1032" s="94">
        <v>0</v>
      </c>
      <c r="AP1032" s="95">
        <v>0</v>
      </c>
      <c r="AQ1032" s="95">
        <v>0</v>
      </c>
      <c r="AR1032" s="95">
        <v>0</v>
      </c>
      <c r="AS1032" s="95">
        <v>0</v>
      </c>
      <c r="AT1032" s="95">
        <v>0</v>
      </c>
      <c r="AU1032" s="95">
        <v>0</v>
      </c>
      <c r="AV1032" s="95">
        <v>0</v>
      </c>
      <c r="AW1032" s="95">
        <v>0</v>
      </c>
      <c r="AX1032" s="95">
        <v>0</v>
      </c>
      <c r="AY1032" s="95">
        <v>0</v>
      </c>
      <c r="AZ1032" s="95">
        <v>0</v>
      </c>
      <c r="BA1032" s="95">
        <v>0</v>
      </c>
      <c r="BB1032" s="95">
        <v>0</v>
      </c>
      <c r="BC1032" s="95">
        <v>0</v>
      </c>
      <c r="BD1032" s="95">
        <v>0</v>
      </c>
      <c r="BE1032" s="95">
        <v>0</v>
      </c>
    </row>
    <row r="1033" spans="2:57" ht="15" customHeight="1" x14ac:dyDescent="0.25">
      <c r="B1033" s="91">
        <v>1023</v>
      </c>
      <c r="C1033" s="92" t="s">
        <v>504</v>
      </c>
      <c r="D1033" s="92" t="s">
        <v>76</v>
      </c>
      <c r="E1033" s="92" t="s">
        <v>410</v>
      </c>
      <c r="F1033" s="92" t="s">
        <v>88</v>
      </c>
      <c r="G1033" s="101" t="s">
        <v>502</v>
      </c>
      <c r="H1033" s="94">
        <v>5348</v>
      </c>
      <c r="I1033" s="94">
        <v>3376</v>
      </c>
      <c r="J1033" s="94">
        <v>1972</v>
      </c>
      <c r="K1033" s="94">
        <v>393</v>
      </c>
      <c r="L1033" s="94">
        <v>1443</v>
      </c>
      <c r="M1033" s="94">
        <v>2738</v>
      </c>
      <c r="N1033" s="94">
        <v>774</v>
      </c>
      <c r="O1033" s="94">
        <v>5332</v>
      </c>
      <c r="P1033" s="94">
        <v>16</v>
      </c>
      <c r="Q1033" s="95">
        <v>0.27894002789400302</v>
      </c>
      <c r="R1033" s="95">
        <v>6.2617407639323705E-2</v>
      </c>
      <c r="S1033" s="95">
        <v>0.65753424657534298</v>
      </c>
      <c r="T1033" s="95">
        <v>0</v>
      </c>
      <c r="U1033" s="95">
        <v>0.68027210884353695</v>
      </c>
      <c r="V1033" s="95">
        <v>0.19297568506368201</v>
      </c>
      <c r="W1033" s="95">
        <v>0</v>
      </c>
      <c r="X1033" s="95">
        <v>0.279832100739556</v>
      </c>
      <c r="Y1033" s="95">
        <v>0</v>
      </c>
      <c r="Z1033" s="94">
        <v>5658</v>
      </c>
      <c r="AA1033" s="94">
        <v>3006</v>
      </c>
      <c r="AB1033" s="94">
        <v>2652</v>
      </c>
      <c r="AC1033" s="94">
        <v>273</v>
      </c>
      <c r="AD1033" s="94">
        <v>1066</v>
      </c>
      <c r="AE1033" s="94">
        <v>3034</v>
      </c>
      <c r="AF1033" s="94">
        <v>1285</v>
      </c>
      <c r="AG1033" s="94">
        <v>463</v>
      </c>
      <c r="AH1033" s="94">
        <v>5075</v>
      </c>
      <c r="AI1033" s="94">
        <v>120</v>
      </c>
      <c r="AJ1033" s="94">
        <v>5620</v>
      </c>
      <c r="AK1033" s="94">
        <v>31</v>
      </c>
      <c r="AL1033" s="94">
        <v>7</v>
      </c>
      <c r="AM1033" s="94">
        <v>599</v>
      </c>
      <c r="AN1033" s="94">
        <v>5011</v>
      </c>
      <c r="AO1033" s="94">
        <v>48</v>
      </c>
      <c r="AP1033" s="95">
        <v>1.15617544503579</v>
      </c>
      <c r="AQ1033" s="95">
        <v>0.20470829068577301</v>
      </c>
      <c r="AR1033" s="95">
        <v>2.2637013502780001</v>
      </c>
      <c r="AS1033" s="95">
        <v>1.8656716417910399</v>
      </c>
      <c r="AT1033" s="95">
        <v>1.88679245283019</v>
      </c>
      <c r="AU1033" s="95">
        <v>1.2349914236706701</v>
      </c>
      <c r="AV1033" s="95">
        <v>0.238284352660842</v>
      </c>
      <c r="AW1033" s="95">
        <v>0.90909090909090895</v>
      </c>
      <c r="AX1033" s="95">
        <v>1.1851246424192901</v>
      </c>
      <c r="AY1033" s="95">
        <v>0.86956521739130399</v>
      </c>
      <c r="AZ1033" s="95">
        <v>1.16407982261641</v>
      </c>
      <c r="BA1033" s="95">
        <v>0</v>
      </c>
      <c r="BB1033" s="95">
        <v>0</v>
      </c>
      <c r="BC1033" s="95">
        <v>0.85616438356164404</v>
      </c>
      <c r="BD1033" s="95">
        <v>1.20406892256591</v>
      </c>
      <c r="BE1033" s="95">
        <v>0</v>
      </c>
    </row>
    <row r="1034" spans="2:57" ht="15" customHeight="1" x14ac:dyDescent="0.25">
      <c r="B1034" s="86">
        <v>1024</v>
      </c>
      <c r="C1034" s="87" t="s">
        <v>503</v>
      </c>
      <c r="D1034" s="103" t="s">
        <v>76</v>
      </c>
      <c r="E1034" s="103" t="s">
        <v>411</v>
      </c>
      <c r="F1034" s="103"/>
      <c r="G1034" s="88" t="s">
        <v>411</v>
      </c>
      <c r="H1034" s="89">
        <v>10346</v>
      </c>
      <c r="I1034" s="89">
        <v>6956</v>
      </c>
      <c r="J1034" s="89">
        <v>3390</v>
      </c>
      <c r="K1034" s="89">
        <v>703</v>
      </c>
      <c r="L1034" s="89">
        <v>2832</v>
      </c>
      <c r="M1034" s="89">
        <v>5425</v>
      </c>
      <c r="N1034" s="89">
        <v>1386</v>
      </c>
      <c r="O1034" s="89">
        <v>10277</v>
      </c>
      <c r="P1034" s="89">
        <v>69</v>
      </c>
      <c r="Q1034" s="90">
        <v>0.78034377306759495</v>
      </c>
      <c r="R1034" s="90">
        <v>0.249027237354086</v>
      </c>
      <c r="S1034" s="90">
        <v>1.8966644865925399</v>
      </c>
      <c r="T1034" s="90">
        <v>1.7628205128205101</v>
      </c>
      <c r="U1034" s="90">
        <v>0.82579630357845102</v>
      </c>
      <c r="V1034" s="90">
        <v>0.75757575757575801</v>
      </c>
      <c r="W1034" s="90">
        <v>0.30769230769230799</v>
      </c>
      <c r="X1034" s="90">
        <v>0.76425007960938296</v>
      </c>
      <c r="Y1034" s="90">
        <v>3.2258064516128999</v>
      </c>
      <c r="Z1034" s="89">
        <v>11276</v>
      </c>
      <c r="AA1034" s="89">
        <v>6514</v>
      </c>
      <c r="AB1034" s="89">
        <v>4762</v>
      </c>
      <c r="AC1034" s="89">
        <v>492</v>
      </c>
      <c r="AD1034" s="89">
        <v>2335</v>
      </c>
      <c r="AE1034" s="89">
        <v>6309</v>
      </c>
      <c r="AF1034" s="89">
        <v>2140</v>
      </c>
      <c r="AG1034" s="89">
        <v>4265</v>
      </c>
      <c r="AH1034" s="89">
        <v>6782</v>
      </c>
      <c r="AI1034" s="89">
        <v>229</v>
      </c>
      <c r="AJ1034" s="89">
        <v>11180</v>
      </c>
      <c r="AK1034" s="89">
        <v>71</v>
      </c>
      <c r="AL1034" s="89">
        <v>25</v>
      </c>
      <c r="AM1034" s="89">
        <v>1055</v>
      </c>
      <c r="AN1034" s="89">
        <v>10080</v>
      </c>
      <c r="AO1034" s="89">
        <v>141</v>
      </c>
      <c r="AP1034" s="90">
        <v>1.97716513505987</v>
      </c>
      <c r="AQ1034" s="90">
        <v>0.50681026290782405</v>
      </c>
      <c r="AR1034" s="90">
        <v>4.05920610002243</v>
      </c>
      <c r="AS1034" s="90">
        <v>1.92307692307692</v>
      </c>
      <c r="AT1034" s="90">
        <v>2.9130632680928499</v>
      </c>
      <c r="AU1034" s="90">
        <v>2.0337301587301599</v>
      </c>
      <c r="AV1034" s="90">
        <v>0.82524271844660202</v>
      </c>
      <c r="AW1034" s="90">
        <v>1.1463414634146301</v>
      </c>
      <c r="AX1034" s="90">
        <v>2.52713178294574</v>
      </c>
      <c r="AY1034" s="90">
        <v>1.3452914798206299</v>
      </c>
      <c r="AZ1034" s="90">
        <v>1.9657399606852</v>
      </c>
      <c r="BA1034" s="90">
        <v>4.5454545454545503</v>
      </c>
      <c r="BB1034" s="90">
        <v>0</v>
      </c>
      <c r="BC1034" s="90">
        <v>0.98911968348170098</v>
      </c>
      <c r="BD1034" s="90">
        <v>2.0980473618612399</v>
      </c>
      <c r="BE1034" s="90">
        <v>0.74626865671641796</v>
      </c>
    </row>
    <row r="1035" spans="2:57" ht="15" customHeight="1" x14ac:dyDescent="0.25">
      <c r="B1035" s="91">
        <v>1025</v>
      </c>
      <c r="C1035" s="92" t="s">
        <v>503</v>
      </c>
      <c r="D1035" s="92" t="s">
        <v>76</v>
      </c>
      <c r="E1035" s="92" t="s">
        <v>411</v>
      </c>
      <c r="F1035" s="92"/>
      <c r="G1035" s="93" t="s">
        <v>501</v>
      </c>
      <c r="H1035" s="94">
        <v>1975</v>
      </c>
      <c r="I1035" s="94">
        <v>1137</v>
      </c>
      <c r="J1035" s="94">
        <v>838</v>
      </c>
      <c r="K1035" s="94">
        <v>130</v>
      </c>
      <c r="L1035" s="94">
        <v>556</v>
      </c>
      <c r="M1035" s="94">
        <v>1101</v>
      </c>
      <c r="N1035" s="94">
        <v>188</v>
      </c>
      <c r="O1035" s="94">
        <v>1955</v>
      </c>
      <c r="P1035" s="94">
        <v>20</v>
      </c>
      <c r="Q1035" s="95">
        <v>2.1193530395984399</v>
      </c>
      <c r="R1035" s="95">
        <v>0.87209302325581395</v>
      </c>
      <c r="S1035" s="95">
        <v>3.8107752956635998</v>
      </c>
      <c r="T1035" s="95">
        <v>6.0344827586206904</v>
      </c>
      <c r="U1035" s="95">
        <v>2.1739130434782599</v>
      </c>
      <c r="V1035" s="95">
        <v>1.8018018018018001</v>
      </c>
      <c r="W1035" s="95">
        <v>1.16279069767442</v>
      </c>
      <c r="X1035" s="95">
        <v>2.1420518602029301</v>
      </c>
      <c r="Y1035" s="95">
        <v>0</v>
      </c>
      <c r="Z1035" s="94">
        <v>2208</v>
      </c>
      <c r="AA1035" s="94">
        <v>1132</v>
      </c>
      <c r="AB1035" s="94">
        <v>1076</v>
      </c>
      <c r="AC1035" s="94">
        <v>80</v>
      </c>
      <c r="AD1035" s="94">
        <v>450</v>
      </c>
      <c r="AE1035" s="94">
        <v>1379</v>
      </c>
      <c r="AF1035" s="94">
        <v>299</v>
      </c>
      <c r="AG1035" s="94">
        <v>282</v>
      </c>
      <c r="AH1035" s="94">
        <v>1883</v>
      </c>
      <c r="AI1035" s="94">
        <v>43</v>
      </c>
      <c r="AJ1035" s="94">
        <v>2179</v>
      </c>
      <c r="AK1035" s="94">
        <v>26</v>
      </c>
      <c r="AL1035" s="94">
        <v>3</v>
      </c>
      <c r="AM1035" s="94">
        <v>164</v>
      </c>
      <c r="AN1035" s="94">
        <v>2028</v>
      </c>
      <c r="AO1035" s="94">
        <v>16</v>
      </c>
      <c r="AP1035" s="95">
        <v>5.0928129462160898</v>
      </c>
      <c r="AQ1035" s="95">
        <v>1.0194624652455999</v>
      </c>
      <c r="AR1035" s="95">
        <v>9.3933463796477508</v>
      </c>
      <c r="AS1035" s="95">
        <v>6.6666666666666696</v>
      </c>
      <c r="AT1035" s="95">
        <v>5.8962264150943398</v>
      </c>
      <c r="AU1035" s="95">
        <v>4.8595292331055404</v>
      </c>
      <c r="AV1035" s="95">
        <v>4.5614035087719298</v>
      </c>
      <c r="AW1035" s="95">
        <v>4.07407407407407</v>
      </c>
      <c r="AX1035" s="95">
        <v>5.3631284916201096</v>
      </c>
      <c r="AY1035" s="95">
        <v>0</v>
      </c>
      <c r="AZ1035" s="95">
        <v>5.0675675675675702</v>
      </c>
      <c r="BA1035" s="95">
        <v>7.6923076923076898</v>
      </c>
      <c r="BB1035" s="95">
        <v>0</v>
      </c>
      <c r="BC1035" s="95">
        <v>4.43037974683544</v>
      </c>
      <c r="BD1035" s="95">
        <v>5.1321928460342097</v>
      </c>
      <c r="BE1035" s="95">
        <v>7.1428571428571397</v>
      </c>
    </row>
    <row r="1036" spans="2:57" ht="15" customHeight="1" x14ac:dyDescent="0.25">
      <c r="B1036" s="91">
        <v>1026</v>
      </c>
      <c r="C1036" s="92" t="s">
        <v>503</v>
      </c>
      <c r="D1036" s="92" t="s">
        <v>76</v>
      </c>
      <c r="E1036" s="92" t="s">
        <v>411</v>
      </c>
      <c r="F1036" s="92"/>
      <c r="G1036" s="93" t="s">
        <v>502</v>
      </c>
      <c r="H1036" s="94">
        <v>8371</v>
      </c>
      <c r="I1036" s="94">
        <v>5819</v>
      </c>
      <c r="J1036" s="94">
        <v>2552</v>
      </c>
      <c r="K1036" s="94">
        <v>573</v>
      </c>
      <c r="L1036" s="94">
        <v>2276</v>
      </c>
      <c r="M1036" s="94">
        <v>4324</v>
      </c>
      <c r="N1036" s="94">
        <v>1198</v>
      </c>
      <c r="O1036" s="94">
        <v>8322</v>
      </c>
      <c r="P1036" s="94">
        <v>49</v>
      </c>
      <c r="Q1036" s="95">
        <v>0.46814044213264</v>
      </c>
      <c r="R1036" s="95">
        <v>0.12979788614871099</v>
      </c>
      <c r="S1036" s="95">
        <v>1.2625163256421399</v>
      </c>
      <c r="T1036" s="95">
        <v>0.78740157480314998</v>
      </c>
      <c r="U1036" s="95">
        <v>0.49091801669121299</v>
      </c>
      <c r="V1036" s="95">
        <v>0.49788399302962399</v>
      </c>
      <c r="W1036" s="95">
        <v>0.17730496453900699</v>
      </c>
      <c r="X1036" s="95">
        <v>0.44461880476003701</v>
      </c>
      <c r="Y1036" s="95">
        <v>4.6511627906976702</v>
      </c>
      <c r="Z1036" s="94">
        <v>9068</v>
      </c>
      <c r="AA1036" s="94">
        <v>5382</v>
      </c>
      <c r="AB1036" s="94">
        <v>3686</v>
      </c>
      <c r="AC1036" s="94">
        <v>412</v>
      </c>
      <c r="AD1036" s="94">
        <v>1885</v>
      </c>
      <c r="AE1036" s="94">
        <v>4930</v>
      </c>
      <c r="AF1036" s="94">
        <v>1841</v>
      </c>
      <c r="AG1036" s="94">
        <v>3983</v>
      </c>
      <c r="AH1036" s="94">
        <v>4899</v>
      </c>
      <c r="AI1036" s="94">
        <v>186</v>
      </c>
      <c r="AJ1036" s="94">
        <v>9001</v>
      </c>
      <c r="AK1036" s="94">
        <v>45</v>
      </c>
      <c r="AL1036" s="94">
        <v>22</v>
      </c>
      <c r="AM1036" s="94">
        <v>891</v>
      </c>
      <c r="AN1036" s="94">
        <v>8052</v>
      </c>
      <c r="AO1036" s="94">
        <v>125</v>
      </c>
      <c r="AP1036" s="95">
        <v>1.2223247232472301</v>
      </c>
      <c r="AQ1036" s="95">
        <v>0.40114613180515801</v>
      </c>
      <c r="AR1036" s="95">
        <v>2.4730869944719198</v>
      </c>
      <c r="AS1036" s="95">
        <v>1.01781170483461</v>
      </c>
      <c r="AT1036" s="95">
        <v>2.19966159052453</v>
      </c>
      <c r="AU1036" s="95">
        <v>1.2470936377087301</v>
      </c>
      <c r="AV1036" s="95">
        <v>0.22535211267605601</v>
      </c>
      <c r="AW1036" s="95">
        <v>0.93994778067885099</v>
      </c>
      <c r="AX1036" s="95">
        <v>1.43776824034335</v>
      </c>
      <c r="AY1036" s="95">
        <v>1.64835164835165</v>
      </c>
      <c r="AZ1036" s="95">
        <v>1.21937057252352</v>
      </c>
      <c r="BA1036" s="95">
        <v>2.5</v>
      </c>
      <c r="BB1036" s="95">
        <v>0</v>
      </c>
      <c r="BC1036" s="95">
        <v>0.351699882766706</v>
      </c>
      <c r="BD1036" s="95">
        <v>1.3378360826081299</v>
      </c>
      <c r="BE1036" s="95">
        <v>0</v>
      </c>
    </row>
    <row r="1037" spans="2:57" ht="15" customHeight="1" x14ac:dyDescent="0.25">
      <c r="B1037" s="96">
        <v>1027</v>
      </c>
      <c r="C1037" s="97" t="s">
        <v>504</v>
      </c>
      <c r="D1037" s="104" t="s">
        <v>76</v>
      </c>
      <c r="E1037" s="104" t="s">
        <v>411</v>
      </c>
      <c r="F1037" s="104" t="s">
        <v>223</v>
      </c>
      <c r="G1037" s="105" t="s">
        <v>223</v>
      </c>
      <c r="H1037" s="106">
        <v>10346</v>
      </c>
      <c r="I1037" s="106">
        <v>6956</v>
      </c>
      <c r="J1037" s="106">
        <v>3390</v>
      </c>
      <c r="K1037" s="106">
        <v>703</v>
      </c>
      <c r="L1037" s="106">
        <v>2832</v>
      </c>
      <c r="M1037" s="106">
        <v>5425</v>
      </c>
      <c r="N1037" s="106">
        <v>1386</v>
      </c>
      <c r="O1037" s="106">
        <v>10277</v>
      </c>
      <c r="P1037" s="106">
        <v>69</v>
      </c>
      <c r="Q1037" s="107">
        <v>0.78034377306759495</v>
      </c>
      <c r="R1037" s="107">
        <v>0.249027237354086</v>
      </c>
      <c r="S1037" s="107">
        <v>1.8966644865925399</v>
      </c>
      <c r="T1037" s="107">
        <v>1.7628205128205101</v>
      </c>
      <c r="U1037" s="107">
        <v>0.82579630357845102</v>
      </c>
      <c r="V1037" s="107">
        <v>0.75757575757575801</v>
      </c>
      <c r="W1037" s="107">
        <v>0.30769230769230799</v>
      </c>
      <c r="X1037" s="107">
        <v>0.76425007960938296</v>
      </c>
      <c r="Y1037" s="107">
        <v>3.2258064516128999</v>
      </c>
      <c r="Z1037" s="106">
        <v>11276</v>
      </c>
      <c r="AA1037" s="106">
        <v>6514</v>
      </c>
      <c r="AB1037" s="106">
        <v>4762</v>
      </c>
      <c r="AC1037" s="106">
        <v>492</v>
      </c>
      <c r="AD1037" s="106">
        <v>2335</v>
      </c>
      <c r="AE1037" s="106">
        <v>6309</v>
      </c>
      <c r="AF1037" s="106">
        <v>2140</v>
      </c>
      <c r="AG1037" s="106">
        <v>4265</v>
      </c>
      <c r="AH1037" s="106">
        <v>6782</v>
      </c>
      <c r="AI1037" s="106">
        <v>229</v>
      </c>
      <c r="AJ1037" s="106">
        <v>11180</v>
      </c>
      <c r="AK1037" s="106">
        <v>71</v>
      </c>
      <c r="AL1037" s="106">
        <v>25</v>
      </c>
      <c r="AM1037" s="106">
        <v>1055</v>
      </c>
      <c r="AN1037" s="106">
        <v>10080</v>
      </c>
      <c r="AO1037" s="106">
        <v>141</v>
      </c>
      <c r="AP1037" s="107">
        <v>1.97716513505987</v>
      </c>
      <c r="AQ1037" s="107">
        <v>0.50681026290782405</v>
      </c>
      <c r="AR1037" s="107">
        <v>4.05920610002243</v>
      </c>
      <c r="AS1037" s="107">
        <v>1.92307692307692</v>
      </c>
      <c r="AT1037" s="107">
        <v>2.9130632680928499</v>
      </c>
      <c r="AU1037" s="107">
        <v>2.0337301587301599</v>
      </c>
      <c r="AV1037" s="107">
        <v>0.82524271844660202</v>
      </c>
      <c r="AW1037" s="107">
        <v>1.1463414634146301</v>
      </c>
      <c r="AX1037" s="107">
        <v>2.52713178294574</v>
      </c>
      <c r="AY1037" s="107">
        <v>1.3452914798206299</v>
      </c>
      <c r="AZ1037" s="107">
        <v>1.9657399606852</v>
      </c>
      <c r="BA1037" s="107">
        <v>4.5454545454545503</v>
      </c>
      <c r="BB1037" s="107">
        <v>0</v>
      </c>
      <c r="BC1037" s="107">
        <v>0.98911968348170098</v>
      </c>
      <c r="BD1037" s="107">
        <v>2.0980473618612399</v>
      </c>
      <c r="BE1037" s="107">
        <v>0.74626865671641796</v>
      </c>
    </row>
    <row r="1038" spans="2:57" ht="15" customHeight="1" x14ac:dyDescent="0.25">
      <c r="B1038" s="91">
        <v>1028</v>
      </c>
      <c r="C1038" s="92" t="s">
        <v>504</v>
      </c>
      <c r="D1038" s="92" t="s">
        <v>76</v>
      </c>
      <c r="E1038" s="92" t="s">
        <v>411</v>
      </c>
      <c r="F1038" s="92" t="s">
        <v>223</v>
      </c>
      <c r="G1038" s="101" t="s">
        <v>501</v>
      </c>
      <c r="H1038" s="94">
        <v>1975</v>
      </c>
      <c r="I1038" s="94">
        <v>1137</v>
      </c>
      <c r="J1038" s="94">
        <v>838</v>
      </c>
      <c r="K1038" s="94">
        <v>130</v>
      </c>
      <c r="L1038" s="94">
        <v>556</v>
      </c>
      <c r="M1038" s="94">
        <v>1101</v>
      </c>
      <c r="N1038" s="94">
        <v>188</v>
      </c>
      <c r="O1038" s="94">
        <v>1955</v>
      </c>
      <c r="P1038" s="94">
        <v>20</v>
      </c>
      <c r="Q1038" s="95">
        <v>2.1193530395984399</v>
      </c>
      <c r="R1038" s="95">
        <v>0.87209302325581395</v>
      </c>
      <c r="S1038" s="95">
        <v>3.8107752956635998</v>
      </c>
      <c r="T1038" s="95">
        <v>6.0344827586206904</v>
      </c>
      <c r="U1038" s="95">
        <v>2.1739130434782599</v>
      </c>
      <c r="V1038" s="95">
        <v>1.8018018018018001</v>
      </c>
      <c r="W1038" s="95">
        <v>1.16279069767442</v>
      </c>
      <c r="X1038" s="95">
        <v>2.1420518602029301</v>
      </c>
      <c r="Y1038" s="95">
        <v>0</v>
      </c>
      <c r="Z1038" s="94">
        <v>2208</v>
      </c>
      <c r="AA1038" s="94">
        <v>1132</v>
      </c>
      <c r="AB1038" s="94">
        <v>1076</v>
      </c>
      <c r="AC1038" s="94">
        <v>80</v>
      </c>
      <c r="AD1038" s="94">
        <v>450</v>
      </c>
      <c r="AE1038" s="94">
        <v>1379</v>
      </c>
      <c r="AF1038" s="94">
        <v>299</v>
      </c>
      <c r="AG1038" s="94">
        <v>282</v>
      </c>
      <c r="AH1038" s="94">
        <v>1883</v>
      </c>
      <c r="AI1038" s="94">
        <v>43</v>
      </c>
      <c r="AJ1038" s="94">
        <v>2179</v>
      </c>
      <c r="AK1038" s="94">
        <v>26</v>
      </c>
      <c r="AL1038" s="94">
        <v>3</v>
      </c>
      <c r="AM1038" s="94">
        <v>164</v>
      </c>
      <c r="AN1038" s="94">
        <v>2028</v>
      </c>
      <c r="AO1038" s="94">
        <v>16</v>
      </c>
      <c r="AP1038" s="95">
        <v>5.0928129462160898</v>
      </c>
      <c r="AQ1038" s="95">
        <v>1.0194624652455999</v>
      </c>
      <c r="AR1038" s="95">
        <v>9.3933463796477508</v>
      </c>
      <c r="AS1038" s="95">
        <v>6.6666666666666696</v>
      </c>
      <c r="AT1038" s="95">
        <v>5.8962264150943398</v>
      </c>
      <c r="AU1038" s="95">
        <v>4.8595292331055404</v>
      </c>
      <c r="AV1038" s="95">
        <v>4.5614035087719298</v>
      </c>
      <c r="AW1038" s="95">
        <v>4.07407407407407</v>
      </c>
      <c r="AX1038" s="95">
        <v>5.3631284916201096</v>
      </c>
      <c r="AY1038" s="95">
        <v>0</v>
      </c>
      <c r="AZ1038" s="95">
        <v>5.0675675675675702</v>
      </c>
      <c r="BA1038" s="95">
        <v>7.6923076923076898</v>
      </c>
      <c r="BB1038" s="95">
        <v>0</v>
      </c>
      <c r="BC1038" s="95">
        <v>4.43037974683544</v>
      </c>
      <c r="BD1038" s="95">
        <v>5.1321928460342097</v>
      </c>
      <c r="BE1038" s="95">
        <v>7.1428571428571397</v>
      </c>
    </row>
    <row r="1039" spans="2:57" ht="15" customHeight="1" x14ac:dyDescent="0.25">
      <c r="B1039" s="91">
        <v>1029</v>
      </c>
      <c r="C1039" s="92" t="s">
        <v>504</v>
      </c>
      <c r="D1039" s="92" t="s">
        <v>76</v>
      </c>
      <c r="E1039" s="92" t="s">
        <v>411</v>
      </c>
      <c r="F1039" s="92" t="s">
        <v>223</v>
      </c>
      <c r="G1039" s="101" t="s">
        <v>502</v>
      </c>
      <c r="H1039" s="94">
        <v>8371</v>
      </c>
      <c r="I1039" s="94">
        <v>5819</v>
      </c>
      <c r="J1039" s="94">
        <v>2552</v>
      </c>
      <c r="K1039" s="94">
        <v>573</v>
      </c>
      <c r="L1039" s="94">
        <v>2276</v>
      </c>
      <c r="M1039" s="94">
        <v>4324</v>
      </c>
      <c r="N1039" s="94">
        <v>1198</v>
      </c>
      <c r="O1039" s="94">
        <v>8322</v>
      </c>
      <c r="P1039" s="94">
        <v>49</v>
      </c>
      <c r="Q1039" s="95">
        <v>0.46814044213264</v>
      </c>
      <c r="R1039" s="95">
        <v>0.12979788614871099</v>
      </c>
      <c r="S1039" s="95">
        <v>1.2625163256421399</v>
      </c>
      <c r="T1039" s="95">
        <v>0.78740157480314998</v>
      </c>
      <c r="U1039" s="95">
        <v>0.49091801669121299</v>
      </c>
      <c r="V1039" s="95">
        <v>0.49788399302962399</v>
      </c>
      <c r="W1039" s="95">
        <v>0.17730496453900699</v>
      </c>
      <c r="X1039" s="95">
        <v>0.44461880476003701</v>
      </c>
      <c r="Y1039" s="95">
        <v>4.6511627906976702</v>
      </c>
      <c r="Z1039" s="94">
        <v>9068</v>
      </c>
      <c r="AA1039" s="94">
        <v>5382</v>
      </c>
      <c r="AB1039" s="94">
        <v>3686</v>
      </c>
      <c r="AC1039" s="94">
        <v>412</v>
      </c>
      <c r="AD1039" s="94">
        <v>1885</v>
      </c>
      <c r="AE1039" s="94">
        <v>4930</v>
      </c>
      <c r="AF1039" s="94">
        <v>1841</v>
      </c>
      <c r="AG1039" s="94">
        <v>3983</v>
      </c>
      <c r="AH1039" s="94">
        <v>4899</v>
      </c>
      <c r="AI1039" s="94">
        <v>186</v>
      </c>
      <c r="AJ1039" s="94">
        <v>9001</v>
      </c>
      <c r="AK1039" s="94">
        <v>45</v>
      </c>
      <c r="AL1039" s="94">
        <v>22</v>
      </c>
      <c r="AM1039" s="94">
        <v>891</v>
      </c>
      <c r="AN1039" s="94">
        <v>8052</v>
      </c>
      <c r="AO1039" s="94">
        <v>125</v>
      </c>
      <c r="AP1039" s="95">
        <v>1.2223247232472301</v>
      </c>
      <c r="AQ1039" s="95">
        <v>0.40114613180515801</v>
      </c>
      <c r="AR1039" s="95">
        <v>2.4730869944719198</v>
      </c>
      <c r="AS1039" s="95">
        <v>1.01781170483461</v>
      </c>
      <c r="AT1039" s="95">
        <v>2.19966159052453</v>
      </c>
      <c r="AU1039" s="95">
        <v>1.2470936377087301</v>
      </c>
      <c r="AV1039" s="95">
        <v>0.22535211267605601</v>
      </c>
      <c r="AW1039" s="95">
        <v>0.93994778067885099</v>
      </c>
      <c r="AX1039" s="95">
        <v>1.43776824034335</v>
      </c>
      <c r="AY1039" s="95">
        <v>1.64835164835165</v>
      </c>
      <c r="AZ1039" s="95">
        <v>1.21937057252352</v>
      </c>
      <c r="BA1039" s="95">
        <v>2.5</v>
      </c>
      <c r="BB1039" s="95">
        <v>0</v>
      </c>
      <c r="BC1039" s="95">
        <v>0.351699882766706</v>
      </c>
      <c r="BD1039" s="95">
        <v>1.3378360826081299</v>
      </c>
      <c r="BE1039" s="95">
        <v>0</v>
      </c>
    </row>
    <row r="1040" spans="2:57" ht="15" customHeight="1" x14ac:dyDescent="0.25">
      <c r="B1040" s="76">
        <v>1030</v>
      </c>
      <c r="C1040" s="77" t="s">
        <v>3</v>
      </c>
      <c r="D1040" s="77" t="s">
        <v>85</v>
      </c>
      <c r="E1040" s="77"/>
      <c r="F1040" s="77"/>
      <c r="G1040" s="78" t="s">
        <v>85</v>
      </c>
      <c r="H1040" s="79">
        <v>1191507</v>
      </c>
      <c r="I1040" s="79">
        <v>729312</v>
      </c>
      <c r="J1040" s="79">
        <v>462195</v>
      </c>
      <c r="K1040" s="79">
        <v>70364</v>
      </c>
      <c r="L1040" s="79">
        <v>404642</v>
      </c>
      <c r="M1040" s="79">
        <v>631115</v>
      </c>
      <c r="N1040" s="79">
        <v>85386</v>
      </c>
      <c r="O1040" s="79">
        <v>1168758</v>
      </c>
      <c r="P1040" s="79">
        <v>22749</v>
      </c>
      <c r="Q1040" s="80">
        <v>2.1672384911426499</v>
      </c>
      <c r="R1040" s="80">
        <v>1.34502905965005</v>
      </c>
      <c r="S1040" s="80">
        <v>3.48783425799733</v>
      </c>
      <c r="T1040" s="80">
        <v>3.7762563923175598</v>
      </c>
      <c r="U1040" s="80">
        <v>2.6732521589142499</v>
      </c>
      <c r="V1040" s="80">
        <v>1.7885284436512701</v>
      </c>
      <c r="W1040" s="80">
        <v>1.3638944269134801</v>
      </c>
      <c r="X1040" s="80">
        <v>2.1554259007057102</v>
      </c>
      <c r="Y1040" s="80">
        <v>2.7843751579160099</v>
      </c>
      <c r="Z1040" s="79">
        <v>1506059</v>
      </c>
      <c r="AA1040" s="79">
        <v>869759</v>
      </c>
      <c r="AB1040" s="79">
        <v>636300</v>
      </c>
      <c r="AC1040" s="79">
        <v>55914</v>
      </c>
      <c r="AD1040" s="79">
        <v>435890</v>
      </c>
      <c r="AE1040" s="79">
        <v>870287</v>
      </c>
      <c r="AF1040" s="79">
        <v>143968</v>
      </c>
      <c r="AG1040" s="79">
        <v>294018</v>
      </c>
      <c r="AH1040" s="79">
        <v>1189126</v>
      </c>
      <c r="AI1040" s="79">
        <v>22915</v>
      </c>
      <c r="AJ1040" s="79">
        <v>1468086</v>
      </c>
      <c r="AK1040" s="79">
        <v>33538</v>
      </c>
      <c r="AL1040" s="79">
        <v>4435</v>
      </c>
      <c r="AM1040" s="79">
        <v>73375</v>
      </c>
      <c r="AN1040" s="79">
        <v>1416834</v>
      </c>
      <c r="AO1040" s="79">
        <v>15850</v>
      </c>
      <c r="AP1040" s="80">
        <v>5.9142302515380099</v>
      </c>
      <c r="AQ1040" s="80">
        <v>2.97806204203262</v>
      </c>
      <c r="AR1040" s="80">
        <v>9.9762084630872305</v>
      </c>
      <c r="AS1040" s="80">
        <v>10.2899276143539</v>
      </c>
      <c r="AT1040" s="80">
        <v>7.52356219690932</v>
      </c>
      <c r="AU1040" s="80">
        <v>5.1802113504482996</v>
      </c>
      <c r="AV1040" s="80">
        <v>3.8964489181450501</v>
      </c>
      <c r="AW1040" s="80">
        <v>4.7992503423916997</v>
      </c>
      <c r="AX1040" s="80">
        <v>6.2250336532673796</v>
      </c>
      <c r="AY1040" s="80">
        <v>4.3860928762460496</v>
      </c>
      <c r="AZ1040" s="80">
        <v>5.9049773422895404</v>
      </c>
      <c r="BA1040" s="80">
        <v>6.4917712237249496</v>
      </c>
      <c r="BB1040" s="80">
        <v>4.6337817638266099</v>
      </c>
      <c r="BC1040" s="80">
        <v>5.2931725745053502</v>
      </c>
      <c r="BD1040" s="80">
        <v>5.9603603658573796</v>
      </c>
      <c r="BE1040" s="80">
        <v>4.6853146853146797</v>
      </c>
    </row>
    <row r="1041" spans="2:57" ht="15" customHeight="1" x14ac:dyDescent="0.25">
      <c r="B1041" s="81">
        <v>1031</v>
      </c>
      <c r="C1041" s="82" t="s">
        <v>3</v>
      </c>
      <c r="D1041" s="102" t="s">
        <v>85</v>
      </c>
      <c r="E1041" s="102"/>
      <c r="F1041" s="102"/>
      <c r="G1041" s="83" t="s">
        <v>501</v>
      </c>
      <c r="H1041" s="84">
        <v>976217</v>
      </c>
      <c r="I1041" s="84">
        <v>573899</v>
      </c>
      <c r="J1041" s="84">
        <v>402318</v>
      </c>
      <c r="K1041" s="84">
        <v>53011</v>
      </c>
      <c r="L1041" s="84">
        <v>338050</v>
      </c>
      <c r="M1041" s="84">
        <v>521310</v>
      </c>
      <c r="N1041" s="84">
        <v>63846</v>
      </c>
      <c r="O1041" s="84">
        <v>961445</v>
      </c>
      <c r="P1041" s="84">
        <v>14772</v>
      </c>
      <c r="Q1041" s="85">
        <v>2.5485724371449701</v>
      </c>
      <c r="R1041" s="85">
        <v>1.6489812283436101</v>
      </c>
      <c r="S1041" s="85">
        <v>3.8474526730403</v>
      </c>
      <c r="T1041" s="85">
        <v>4.7915425191463097</v>
      </c>
      <c r="U1041" s="85">
        <v>3.0976132920227402</v>
      </c>
      <c r="V1041" s="85">
        <v>2.078764286542</v>
      </c>
      <c r="W1041" s="85">
        <v>1.7660358548005199</v>
      </c>
      <c r="X1041" s="85">
        <v>2.5240779878098398</v>
      </c>
      <c r="Y1041" s="85">
        <v>4.1722009531994697</v>
      </c>
      <c r="Z1041" s="84">
        <v>1246545</v>
      </c>
      <c r="AA1041" s="84">
        <v>698289</v>
      </c>
      <c r="AB1041" s="84">
        <v>548256</v>
      </c>
      <c r="AC1041" s="84">
        <v>41046</v>
      </c>
      <c r="AD1041" s="84">
        <v>362698</v>
      </c>
      <c r="AE1041" s="84">
        <v>729676</v>
      </c>
      <c r="AF1041" s="84">
        <v>113125</v>
      </c>
      <c r="AG1041" s="84">
        <v>189471</v>
      </c>
      <c r="AH1041" s="84">
        <v>1039951</v>
      </c>
      <c r="AI1041" s="84">
        <v>17123</v>
      </c>
      <c r="AJ1041" s="84">
        <v>1218466</v>
      </c>
      <c r="AK1041" s="84">
        <v>24774</v>
      </c>
      <c r="AL1041" s="84">
        <v>3305</v>
      </c>
      <c r="AM1041" s="84">
        <v>60926</v>
      </c>
      <c r="AN1041" s="84">
        <v>1173413</v>
      </c>
      <c r="AO1041" s="84">
        <v>12206</v>
      </c>
      <c r="AP1041" s="85">
        <v>6.7212694495257397</v>
      </c>
      <c r="AQ1041" s="85">
        <v>3.5753130274820601</v>
      </c>
      <c r="AR1041" s="85">
        <v>10.752677512857201</v>
      </c>
      <c r="AS1041" s="85">
        <v>12.998901501281599</v>
      </c>
      <c r="AT1041" s="85">
        <v>8.5255007064159507</v>
      </c>
      <c r="AU1041" s="85">
        <v>5.8059177717852997</v>
      </c>
      <c r="AV1041" s="85">
        <v>4.6849620367922</v>
      </c>
      <c r="AW1041" s="85">
        <v>6.3801310410483296</v>
      </c>
      <c r="AX1041" s="85">
        <v>6.8053421951907698</v>
      </c>
      <c r="AY1041" s="85">
        <v>5.4408390691576498</v>
      </c>
      <c r="AZ1041" s="85">
        <v>6.6887726807348802</v>
      </c>
      <c r="BA1041" s="85">
        <v>8.4960375437198401</v>
      </c>
      <c r="BB1041" s="85">
        <v>5.5330634278002702</v>
      </c>
      <c r="BC1041" s="85">
        <v>6.0425918802671603</v>
      </c>
      <c r="BD1041" s="85">
        <v>6.7675152616863103</v>
      </c>
      <c r="BE1041" s="85">
        <v>5.6918008784773102</v>
      </c>
    </row>
    <row r="1042" spans="2:57" ht="15" customHeight="1" x14ac:dyDescent="0.25">
      <c r="B1042" s="81">
        <v>1032</v>
      </c>
      <c r="C1042" s="82" t="s">
        <v>3</v>
      </c>
      <c r="D1042" s="102" t="s">
        <v>85</v>
      </c>
      <c r="E1042" s="102"/>
      <c r="F1042" s="102"/>
      <c r="G1042" s="83" t="s">
        <v>502</v>
      </c>
      <c r="H1042" s="84">
        <v>215290</v>
      </c>
      <c r="I1042" s="84">
        <v>155413</v>
      </c>
      <c r="J1042" s="84">
        <v>59877</v>
      </c>
      <c r="K1042" s="84">
        <v>17353</v>
      </c>
      <c r="L1042" s="84">
        <v>66592</v>
      </c>
      <c r="M1042" s="84">
        <v>109805</v>
      </c>
      <c r="N1042" s="84">
        <v>21540</v>
      </c>
      <c r="O1042" s="84">
        <v>207313</v>
      </c>
      <c r="P1042" s="84">
        <v>7977</v>
      </c>
      <c r="Q1042" s="85">
        <v>0.46088217108237201</v>
      </c>
      <c r="R1042" s="85">
        <v>0.24474405037174099</v>
      </c>
      <c r="S1042" s="85">
        <v>1.04620245847944</v>
      </c>
      <c r="T1042" s="85">
        <v>0.65199674001630004</v>
      </c>
      <c r="U1042" s="85">
        <v>0.55289034058044995</v>
      </c>
      <c r="V1042" s="85">
        <v>0.42763852972842398</v>
      </c>
      <c r="W1042" s="85">
        <v>0.20952575633687701</v>
      </c>
      <c r="X1042" s="85">
        <v>0.469086144704988</v>
      </c>
      <c r="Y1042" s="85">
        <v>0.24320457796852599</v>
      </c>
      <c r="Z1042" s="84">
        <v>259514</v>
      </c>
      <c r="AA1042" s="84">
        <v>171470</v>
      </c>
      <c r="AB1042" s="84">
        <v>88044</v>
      </c>
      <c r="AC1042" s="84">
        <v>14868</v>
      </c>
      <c r="AD1042" s="84">
        <v>73192</v>
      </c>
      <c r="AE1042" s="84">
        <v>140611</v>
      </c>
      <c r="AF1042" s="84">
        <v>30843</v>
      </c>
      <c r="AG1042" s="84">
        <v>104547</v>
      </c>
      <c r="AH1042" s="84">
        <v>149175</v>
      </c>
      <c r="AI1042" s="84">
        <v>5792</v>
      </c>
      <c r="AJ1042" s="84">
        <v>249620</v>
      </c>
      <c r="AK1042" s="84">
        <v>8764</v>
      </c>
      <c r="AL1042" s="84">
        <v>1130</v>
      </c>
      <c r="AM1042" s="84">
        <v>12449</v>
      </c>
      <c r="AN1042" s="84">
        <v>243421</v>
      </c>
      <c r="AO1042" s="84">
        <v>3644</v>
      </c>
      <c r="AP1042" s="85">
        <v>2.1044772445706101</v>
      </c>
      <c r="AQ1042" s="85">
        <v>0.61078064634819396</v>
      </c>
      <c r="AR1042" s="85">
        <v>5.1229305046098901</v>
      </c>
      <c r="AS1042" s="85">
        <v>2.7352297592997799</v>
      </c>
      <c r="AT1042" s="85">
        <v>2.6595822969253602</v>
      </c>
      <c r="AU1042" s="85">
        <v>1.9841958685857</v>
      </c>
      <c r="AV1042" s="85">
        <v>1.07712047541869</v>
      </c>
      <c r="AW1042" s="85">
        <v>1.9445848923045801</v>
      </c>
      <c r="AX1042" s="85">
        <v>2.2462490864537199</v>
      </c>
      <c r="AY1042" s="85">
        <v>1.35593220338983</v>
      </c>
      <c r="AZ1042" s="85">
        <v>2.14604165068324</v>
      </c>
      <c r="BA1042" s="85">
        <v>0.90145714991355896</v>
      </c>
      <c r="BB1042" s="85">
        <v>2.0952380952380998</v>
      </c>
      <c r="BC1042" s="85">
        <v>1.6897856242118501</v>
      </c>
      <c r="BD1042" s="85">
        <v>2.13611438124456</v>
      </c>
      <c r="BE1042" s="85">
        <v>1.4234875444839901</v>
      </c>
    </row>
    <row r="1043" spans="2:57" ht="15" customHeight="1" x14ac:dyDescent="0.25">
      <c r="B1043" s="86">
        <v>1033</v>
      </c>
      <c r="C1043" s="87" t="s">
        <v>503</v>
      </c>
      <c r="D1043" s="103" t="s">
        <v>85</v>
      </c>
      <c r="E1043" s="103" t="s">
        <v>412</v>
      </c>
      <c r="F1043" s="103"/>
      <c r="G1043" s="88" t="s">
        <v>412</v>
      </c>
      <c r="H1043" s="89">
        <v>770088</v>
      </c>
      <c r="I1043" s="89">
        <v>449386</v>
      </c>
      <c r="J1043" s="89">
        <v>320702</v>
      </c>
      <c r="K1043" s="89">
        <v>41071</v>
      </c>
      <c r="L1043" s="89">
        <v>271036</v>
      </c>
      <c r="M1043" s="89">
        <v>409798</v>
      </c>
      <c r="N1043" s="89">
        <v>48183</v>
      </c>
      <c r="O1043" s="89">
        <v>757197</v>
      </c>
      <c r="P1043" s="89">
        <v>12891</v>
      </c>
      <c r="Q1043" s="90">
        <v>2.7035739045064999</v>
      </c>
      <c r="R1043" s="90">
        <v>1.79908728496128</v>
      </c>
      <c r="S1043" s="90">
        <v>3.9874504106037598</v>
      </c>
      <c r="T1043" s="90">
        <v>4.9213266923251098</v>
      </c>
      <c r="U1043" s="90">
        <v>3.31746712467783</v>
      </c>
      <c r="V1043" s="90">
        <v>2.2048521495464901</v>
      </c>
      <c r="W1043" s="90">
        <v>1.7522345117090801</v>
      </c>
      <c r="X1043" s="90">
        <v>2.6806036708093601</v>
      </c>
      <c r="Y1043" s="90">
        <v>4.0799856527977001</v>
      </c>
      <c r="Z1043" s="89">
        <v>959388</v>
      </c>
      <c r="AA1043" s="89">
        <v>534796</v>
      </c>
      <c r="AB1043" s="89">
        <v>424592</v>
      </c>
      <c r="AC1043" s="89">
        <v>28553</v>
      </c>
      <c r="AD1043" s="89">
        <v>277994</v>
      </c>
      <c r="AE1043" s="89">
        <v>566556</v>
      </c>
      <c r="AF1043" s="89">
        <v>86285</v>
      </c>
      <c r="AG1043" s="89">
        <v>116326</v>
      </c>
      <c r="AH1043" s="89">
        <v>830792</v>
      </c>
      <c r="AI1043" s="89">
        <v>12270</v>
      </c>
      <c r="AJ1043" s="89">
        <v>935628</v>
      </c>
      <c r="AK1043" s="89">
        <v>21357</v>
      </c>
      <c r="AL1043" s="89">
        <v>2403</v>
      </c>
      <c r="AM1043" s="89">
        <v>46590</v>
      </c>
      <c r="AN1043" s="89">
        <v>903874</v>
      </c>
      <c r="AO1043" s="89">
        <v>8924</v>
      </c>
      <c r="AP1043" s="90">
        <v>6.7845339860070304</v>
      </c>
      <c r="AQ1043" s="90">
        <v>3.8659444409596699</v>
      </c>
      <c r="AR1043" s="90">
        <v>10.483529728551501</v>
      </c>
      <c r="AS1043" s="90">
        <v>13.3611612515042</v>
      </c>
      <c r="AT1043" s="90">
        <v>8.7997210588668793</v>
      </c>
      <c r="AU1043" s="90">
        <v>5.7949383640893402</v>
      </c>
      <c r="AV1043" s="90">
        <v>4.7449422862107502</v>
      </c>
      <c r="AW1043" s="90">
        <v>6.6480380824087302</v>
      </c>
      <c r="AX1043" s="90">
        <v>6.8203314338114902</v>
      </c>
      <c r="AY1043" s="90">
        <v>5.6576181336258102</v>
      </c>
      <c r="AZ1043" s="90">
        <v>6.7498069695023402</v>
      </c>
      <c r="BA1043" s="90">
        <v>8.41818368816209</v>
      </c>
      <c r="BB1043" s="90">
        <v>5.9424326833797601</v>
      </c>
      <c r="BC1043" s="90">
        <v>6.1128670239567597</v>
      </c>
      <c r="BD1043" s="90">
        <v>6.8285856711290496</v>
      </c>
      <c r="BE1043" s="90">
        <v>5.8639268262122499</v>
      </c>
    </row>
    <row r="1044" spans="2:57" ht="15" customHeight="1" x14ac:dyDescent="0.25">
      <c r="B1044" s="91">
        <v>1034</v>
      </c>
      <c r="C1044" s="92" t="s">
        <v>503</v>
      </c>
      <c r="D1044" s="92" t="s">
        <v>85</v>
      </c>
      <c r="E1044" s="92" t="s">
        <v>412</v>
      </c>
      <c r="F1044" s="92"/>
      <c r="G1044" s="93" t="s">
        <v>501</v>
      </c>
      <c r="H1044" s="94">
        <v>739070</v>
      </c>
      <c r="I1044" s="94">
        <v>427621</v>
      </c>
      <c r="J1044" s="94">
        <v>311449</v>
      </c>
      <c r="K1044" s="94">
        <v>38407</v>
      </c>
      <c r="L1044" s="94">
        <v>261176</v>
      </c>
      <c r="M1044" s="94">
        <v>394409</v>
      </c>
      <c r="N1044" s="94">
        <v>45078</v>
      </c>
      <c r="O1044" s="94">
        <v>726736</v>
      </c>
      <c r="P1044" s="94">
        <v>12334</v>
      </c>
      <c r="Q1044" s="95">
        <v>2.7906234315981102</v>
      </c>
      <c r="R1044" s="95">
        <v>1.8755163939402699</v>
      </c>
      <c r="S1044" s="95">
        <v>4.0618239155146503</v>
      </c>
      <c r="T1044" s="95">
        <v>5.2052719284956801</v>
      </c>
      <c r="U1044" s="95">
        <v>3.4119577298308101</v>
      </c>
      <c r="V1044" s="95">
        <v>2.2690428398240901</v>
      </c>
      <c r="W1044" s="95">
        <v>1.8593840790238201</v>
      </c>
      <c r="X1044" s="95">
        <v>2.7659196015652801</v>
      </c>
      <c r="Y1044" s="95">
        <v>4.2799360361207803</v>
      </c>
      <c r="Z1044" s="94">
        <v>930782</v>
      </c>
      <c r="AA1044" s="94">
        <v>516432</v>
      </c>
      <c r="AB1044" s="94">
        <v>414350</v>
      </c>
      <c r="AC1044" s="94">
        <v>27091</v>
      </c>
      <c r="AD1044" s="94">
        <v>270045</v>
      </c>
      <c r="AE1044" s="94">
        <v>550949</v>
      </c>
      <c r="AF1044" s="94">
        <v>82697</v>
      </c>
      <c r="AG1044" s="94">
        <v>110061</v>
      </c>
      <c r="AH1044" s="94">
        <v>809051</v>
      </c>
      <c r="AI1044" s="94">
        <v>11670</v>
      </c>
      <c r="AJ1044" s="94">
        <v>907581</v>
      </c>
      <c r="AK1044" s="94">
        <v>20901</v>
      </c>
      <c r="AL1044" s="94">
        <v>2300</v>
      </c>
      <c r="AM1044" s="94">
        <v>44972</v>
      </c>
      <c r="AN1044" s="94">
        <v>877185</v>
      </c>
      <c r="AO1044" s="94">
        <v>8625</v>
      </c>
      <c r="AP1044" s="95">
        <v>6.8820146099806898</v>
      </c>
      <c r="AQ1044" s="95">
        <v>3.96054758674771</v>
      </c>
      <c r="AR1044" s="95">
        <v>10.5432157806641</v>
      </c>
      <c r="AS1044" s="95">
        <v>13.798160773743501</v>
      </c>
      <c r="AT1044" s="95">
        <v>8.9211609791528108</v>
      </c>
      <c r="AU1044" s="95">
        <v>5.8631628063819203</v>
      </c>
      <c r="AV1044" s="95">
        <v>4.8785863378839096</v>
      </c>
      <c r="AW1044" s="95">
        <v>6.8549550762837397</v>
      </c>
      <c r="AX1044" s="95">
        <v>6.9000967504497703</v>
      </c>
      <c r="AY1044" s="95">
        <v>5.8597132685461402</v>
      </c>
      <c r="AZ1044" s="95">
        <v>6.8467781274210697</v>
      </c>
      <c r="BA1044" s="95">
        <v>8.5176816772634094</v>
      </c>
      <c r="BB1044" s="95">
        <v>6.0768108896451096</v>
      </c>
      <c r="BC1044" s="95">
        <v>6.2394683754598299</v>
      </c>
      <c r="BD1044" s="95">
        <v>6.9240645975283801</v>
      </c>
      <c r="BE1044" s="95">
        <v>5.9891107078039898</v>
      </c>
    </row>
    <row r="1045" spans="2:57" ht="15" customHeight="1" x14ac:dyDescent="0.25">
      <c r="B1045" s="91">
        <v>1035</v>
      </c>
      <c r="C1045" s="92" t="s">
        <v>503</v>
      </c>
      <c r="D1045" s="92" t="s">
        <v>85</v>
      </c>
      <c r="E1045" s="92" t="s">
        <v>412</v>
      </c>
      <c r="F1045" s="92"/>
      <c r="G1045" s="93" t="s">
        <v>502</v>
      </c>
      <c r="H1045" s="94">
        <v>31018</v>
      </c>
      <c r="I1045" s="94">
        <v>21765</v>
      </c>
      <c r="J1045" s="94">
        <v>9253</v>
      </c>
      <c r="K1045" s="94">
        <v>2664</v>
      </c>
      <c r="L1045" s="94">
        <v>9860</v>
      </c>
      <c r="M1045" s="94">
        <v>15389</v>
      </c>
      <c r="N1045" s="94">
        <v>3105</v>
      </c>
      <c r="O1045" s="94">
        <v>30461</v>
      </c>
      <c r="P1045" s="94">
        <v>557</v>
      </c>
      <c r="Q1045" s="95">
        <v>0.66767176394572503</v>
      </c>
      <c r="R1045" s="95">
        <v>0.33397429409978702</v>
      </c>
      <c r="S1045" s="95">
        <v>1.48221343873518</v>
      </c>
      <c r="T1045" s="95">
        <v>0.90090090090090102</v>
      </c>
      <c r="U1045" s="95">
        <v>0.87709306299122902</v>
      </c>
      <c r="V1045" s="95">
        <v>0.58156232050545698</v>
      </c>
      <c r="W1045" s="95">
        <v>0.24822695035461001</v>
      </c>
      <c r="X1045" s="95">
        <v>0.68039653217251395</v>
      </c>
      <c r="Y1045" s="95">
        <v>0</v>
      </c>
      <c r="Z1045" s="94">
        <v>28606</v>
      </c>
      <c r="AA1045" s="94">
        <v>18364</v>
      </c>
      <c r="AB1045" s="94">
        <v>10242</v>
      </c>
      <c r="AC1045" s="94">
        <v>1462</v>
      </c>
      <c r="AD1045" s="94">
        <v>7949</v>
      </c>
      <c r="AE1045" s="94">
        <v>15607</v>
      </c>
      <c r="AF1045" s="94">
        <v>3588</v>
      </c>
      <c r="AG1045" s="94">
        <v>6265</v>
      </c>
      <c r="AH1045" s="94">
        <v>21741</v>
      </c>
      <c r="AI1045" s="94">
        <v>600</v>
      </c>
      <c r="AJ1045" s="94">
        <v>28047</v>
      </c>
      <c r="AK1045" s="94">
        <v>456</v>
      </c>
      <c r="AL1045" s="94">
        <v>103</v>
      </c>
      <c r="AM1045" s="94">
        <v>1618</v>
      </c>
      <c r="AN1045" s="94">
        <v>26689</v>
      </c>
      <c r="AO1045" s="94">
        <v>299</v>
      </c>
      <c r="AP1045" s="95">
        <v>3.64938864301253</v>
      </c>
      <c r="AQ1045" s="95">
        <v>1.25549641286739</v>
      </c>
      <c r="AR1045" s="95">
        <v>8.0614203454894398</v>
      </c>
      <c r="AS1045" s="95">
        <v>5.2785923753665704</v>
      </c>
      <c r="AT1045" s="95">
        <v>4.7306535411539503</v>
      </c>
      <c r="AU1045" s="95">
        <v>3.4027634563827598</v>
      </c>
      <c r="AV1045" s="95">
        <v>1.7457084666860601</v>
      </c>
      <c r="AW1045" s="95">
        <v>3.0103162523253801</v>
      </c>
      <c r="AX1045" s="95">
        <v>3.8859462402851301</v>
      </c>
      <c r="AY1045" s="95">
        <v>1.8248175182481701</v>
      </c>
      <c r="AZ1045" s="95">
        <v>3.6481835564053502</v>
      </c>
      <c r="BA1045" s="95">
        <v>3.8554216867469902</v>
      </c>
      <c r="BB1045" s="95">
        <v>3.0927835051546402</v>
      </c>
      <c r="BC1045" s="95">
        <v>2.6195153896529102</v>
      </c>
      <c r="BD1045" s="95">
        <v>3.7276821618143798</v>
      </c>
      <c r="BE1045" s="95">
        <v>2.2471910112359601</v>
      </c>
    </row>
    <row r="1046" spans="2:57" ht="15" customHeight="1" x14ac:dyDescent="0.25">
      <c r="B1046" s="96">
        <v>1036</v>
      </c>
      <c r="C1046" s="97" t="s">
        <v>504</v>
      </c>
      <c r="D1046" s="104" t="s">
        <v>85</v>
      </c>
      <c r="E1046" s="104" t="s">
        <v>412</v>
      </c>
      <c r="F1046" s="104" t="s">
        <v>304</v>
      </c>
      <c r="G1046" s="105" t="s">
        <v>304</v>
      </c>
      <c r="H1046" s="106">
        <v>677462</v>
      </c>
      <c r="I1046" s="106">
        <v>391248</v>
      </c>
      <c r="J1046" s="106">
        <v>286214</v>
      </c>
      <c r="K1046" s="106">
        <v>34529</v>
      </c>
      <c r="L1046" s="106">
        <v>239407</v>
      </c>
      <c r="M1046" s="106">
        <v>362176</v>
      </c>
      <c r="N1046" s="106">
        <v>41350</v>
      </c>
      <c r="O1046" s="106">
        <v>665613</v>
      </c>
      <c r="P1046" s="106">
        <v>11849</v>
      </c>
      <c r="Q1046" s="107">
        <v>2.8502878435525099</v>
      </c>
      <c r="R1046" s="107">
        <v>1.94381831143231</v>
      </c>
      <c r="S1046" s="107">
        <v>4.1047414016910997</v>
      </c>
      <c r="T1046" s="107">
        <v>5.2351793284435804</v>
      </c>
      <c r="U1046" s="107">
        <v>3.4922285279691199</v>
      </c>
      <c r="V1046" s="107">
        <v>2.3242139143352301</v>
      </c>
      <c r="W1046" s="107">
        <v>1.90552353638695</v>
      </c>
      <c r="X1046" s="107">
        <v>2.8253094816799802</v>
      </c>
      <c r="Y1046" s="107">
        <v>4.2831996870721696</v>
      </c>
      <c r="Z1046" s="106">
        <v>800212</v>
      </c>
      <c r="AA1046" s="106">
        <v>442639</v>
      </c>
      <c r="AB1046" s="106">
        <v>357573</v>
      </c>
      <c r="AC1046" s="106">
        <v>22103</v>
      </c>
      <c r="AD1046" s="106">
        <v>230699</v>
      </c>
      <c r="AE1046" s="106">
        <v>474177</v>
      </c>
      <c r="AF1046" s="106">
        <v>73233</v>
      </c>
      <c r="AG1046" s="106">
        <v>89340</v>
      </c>
      <c r="AH1046" s="106">
        <v>700931</v>
      </c>
      <c r="AI1046" s="106">
        <v>9941</v>
      </c>
      <c r="AJ1046" s="106">
        <v>779212</v>
      </c>
      <c r="AK1046" s="106">
        <v>19095</v>
      </c>
      <c r="AL1046" s="106">
        <v>1905</v>
      </c>
      <c r="AM1046" s="106">
        <v>39180</v>
      </c>
      <c r="AN1046" s="106">
        <v>753622</v>
      </c>
      <c r="AO1046" s="106">
        <v>7410</v>
      </c>
      <c r="AP1046" s="107">
        <v>6.9248099050476402</v>
      </c>
      <c r="AQ1046" s="107">
        <v>4.10382201659956</v>
      </c>
      <c r="AR1046" s="107">
        <v>10.436002623030801</v>
      </c>
      <c r="AS1046" s="107">
        <v>13.805008509603701</v>
      </c>
      <c r="AT1046" s="107">
        <v>9.12494374706767</v>
      </c>
      <c r="AU1046" s="107">
        <v>5.8762733712825499</v>
      </c>
      <c r="AV1046" s="107">
        <v>4.85043988269795</v>
      </c>
      <c r="AW1046" s="107">
        <v>6.9901598869989403</v>
      </c>
      <c r="AX1046" s="107">
        <v>6.9306453243732999</v>
      </c>
      <c r="AY1046" s="107">
        <v>5.8783631019669897</v>
      </c>
      <c r="AZ1046" s="107">
        <v>6.8866376881141402</v>
      </c>
      <c r="BA1046" s="107">
        <v>8.5954119473351405</v>
      </c>
      <c r="BB1046" s="107">
        <v>5.9307105108631797</v>
      </c>
      <c r="BC1046" s="107">
        <v>6.3400655021834096</v>
      </c>
      <c r="BD1046" s="107">
        <v>6.9632779984148803</v>
      </c>
      <c r="BE1046" s="107">
        <v>6.1357110473023999</v>
      </c>
    </row>
    <row r="1047" spans="2:57" ht="15" customHeight="1" x14ac:dyDescent="0.25">
      <c r="B1047" s="91">
        <v>1037</v>
      </c>
      <c r="C1047" s="92" t="s">
        <v>504</v>
      </c>
      <c r="D1047" s="92" t="s">
        <v>85</v>
      </c>
      <c r="E1047" s="92" t="s">
        <v>412</v>
      </c>
      <c r="F1047" s="92" t="s">
        <v>304</v>
      </c>
      <c r="G1047" s="101" t="s">
        <v>501</v>
      </c>
      <c r="H1047" s="94">
        <v>672333</v>
      </c>
      <c r="I1047" s="94">
        <v>387471</v>
      </c>
      <c r="J1047" s="94">
        <v>284862</v>
      </c>
      <c r="K1047" s="94">
        <v>34064</v>
      </c>
      <c r="L1047" s="94">
        <v>237692</v>
      </c>
      <c r="M1047" s="94">
        <v>359702</v>
      </c>
      <c r="N1047" s="94">
        <v>40875</v>
      </c>
      <c r="O1047" s="94">
        <v>660662</v>
      </c>
      <c r="P1047" s="94">
        <v>11671</v>
      </c>
      <c r="Q1047" s="95">
        <v>2.8676026085693702</v>
      </c>
      <c r="R1047" s="95">
        <v>1.9611673129063301</v>
      </c>
      <c r="S1047" s="95">
        <v>4.1153006517063204</v>
      </c>
      <c r="T1047" s="95">
        <v>5.2935153583617804</v>
      </c>
      <c r="U1047" s="95">
        <v>3.5151532787242998</v>
      </c>
      <c r="V1047" s="95">
        <v>2.3352573052757601</v>
      </c>
      <c r="W1047" s="95">
        <v>1.9249546659227199</v>
      </c>
      <c r="X1047" s="95">
        <v>2.8418841224497502</v>
      </c>
      <c r="Y1047" s="95">
        <v>4.35690838555655</v>
      </c>
      <c r="Z1047" s="94">
        <v>796568</v>
      </c>
      <c r="AA1047" s="94">
        <v>440113</v>
      </c>
      <c r="AB1047" s="94">
        <v>356455</v>
      </c>
      <c r="AC1047" s="94">
        <v>21838</v>
      </c>
      <c r="AD1047" s="94">
        <v>229510</v>
      </c>
      <c r="AE1047" s="94">
        <v>472336</v>
      </c>
      <c r="AF1047" s="94">
        <v>72884</v>
      </c>
      <c r="AG1047" s="94">
        <v>88294</v>
      </c>
      <c r="AH1047" s="94">
        <v>698450</v>
      </c>
      <c r="AI1047" s="94">
        <v>9824</v>
      </c>
      <c r="AJ1047" s="94">
        <v>775697</v>
      </c>
      <c r="AK1047" s="94">
        <v>18976</v>
      </c>
      <c r="AL1047" s="94">
        <v>1895</v>
      </c>
      <c r="AM1047" s="94">
        <v>38990</v>
      </c>
      <c r="AN1047" s="94">
        <v>750196</v>
      </c>
      <c r="AO1047" s="94">
        <v>7382</v>
      </c>
      <c r="AP1047" s="95">
        <v>6.9442643270670699</v>
      </c>
      <c r="AQ1047" s="95">
        <v>4.1236960937037797</v>
      </c>
      <c r="AR1047" s="95">
        <v>10.4453820335758</v>
      </c>
      <c r="AS1047" s="95">
        <v>13.9406758817453</v>
      </c>
      <c r="AT1047" s="95">
        <v>9.1574174792795695</v>
      </c>
      <c r="AU1047" s="95">
        <v>5.8879714145011901</v>
      </c>
      <c r="AV1047" s="95">
        <v>4.8683454403465598</v>
      </c>
      <c r="AW1047" s="95">
        <v>7.0357914965169401</v>
      </c>
      <c r="AX1047" s="95">
        <v>6.94635252095068</v>
      </c>
      <c r="AY1047" s="95">
        <v>5.9187178019461903</v>
      </c>
      <c r="AZ1047" s="95">
        <v>6.9055013060977402</v>
      </c>
      <c r="BA1047" s="95">
        <v>8.6410464174094201</v>
      </c>
      <c r="BB1047" s="95">
        <v>5.9657412876550504</v>
      </c>
      <c r="BC1047" s="95">
        <v>6.3631376851343902</v>
      </c>
      <c r="BD1047" s="95">
        <v>6.9826365925255596</v>
      </c>
      <c r="BE1047" s="95">
        <v>6.1447428311333603</v>
      </c>
    </row>
    <row r="1048" spans="2:57" ht="15" customHeight="1" x14ac:dyDescent="0.25">
      <c r="B1048" s="91">
        <v>1038</v>
      </c>
      <c r="C1048" s="92" t="s">
        <v>504</v>
      </c>
      <c r="D1048" s="92" t="s">
        <v>85</v>
      </c>
      <c r="E1048" s="92" t="s">
        <v>412</v>
      </c>
      <c r="F1048" s="92" t="s">
        <v>304</v>
      </c>
      <c r="G1048" s="101" t="s">
        <v>502</v>
      </c>
      <c r="H1048" s="94">
        <v>5129</v>
      </c>
      <c r="I1048" s="94">
        <v>3777</v>
      </c>
      <c r="J1048" s="94">
        <v>1352</v>
      </c>
      <c r="K1048" s="94">
        <v>465</v>
      </c>
      <c r="L1048" s="94">
        <v>1715</v>
      </c>
      <c r="M1048" s="94">
        <v>2474</v>
      </c>
      <c r="N1048" s="94">
        <v>475</v>
      </c>
      <c r="O1048" s="94">
        <v>4951</v>
      </c>
      <c r="P1048" s="94">
        <v>178</v>
      </c>
      <c r="Q1048" s="95">
        <v>0.64516129032258096</v>
      </c>
      <c r="R1048" s="95">
        <v>0.230348401957961</v>
      </c>
      <c r="S1048" s="95">
        <v>1.86915887850467</v>
      </c>
      <c r="T1048" s="95">
        <v>1.1848341232227499</v>
      </c>
      <c r="U1048" s="95">
        <v>0.45045045045045001</v>
      </c>
      <c r="V1048" s="95">
        <v>0.75354609929077998</v>
      </c>
      <c r="W1048" s="95">
        <v>0.23923444976076599</v>
      </c>
      <c r="X1048" s="95">
        <v>0.67009157918248796</v>
      </c>
      <c r="Y1048" s="95">
        <v>0</v>
      </c>
      <c r="Z1048" s="94">
        <v>3644</v>
      </c>
      <c r="AA1048" s="94">
        <v>2526</v>
      </c>
      <c r="AB1048" s="94">
        <v>1118</v>
      </c>
      <c r="AC1048" s="94">
        <v>265</v>
      </c>
      <c r="AD1048" s="94">
        <v>1189</v>
      </c>
      <c r="AE1048" s="94">
        <v>1841</v>
      </c>
      <c r="AF1048" s="94">
        <v>349</v>
      </c>
      <c r="AG1048" s="94">
        <v>1046</v>
      </c>
      <c r="AH1048" s="94">
        <v>2481</v>
      </c>
      <c r="AI1048" s="94">
        <v>117</v>
      </c>
      <c r="AJ1048" s="94">
        <v>3515</v>
      </c>
      <c r="AK1048" s="94">
        <v>119</v>
      </c>
      <c r="AL1048" s="94">
        <v>10</v>
      </c>
      <c r="AM1048" s="94">
        <v>190</v>
      </c>
      <c r="AN1048" s="94">
        <v>3426</v>
      </c>
      <c r="AO1048" s="94">
        <v>28</v>
      </c>
      <c r="AP1048" s="95">
        <v>2.7344898559247302</v>
      </c>
      <c r="AQ1048" s="95">
        <v>0.71458596048760004</v>
      </c>
      <c r="AR1048" s="95">
        <v>7.4363992172211404</v>
      </c>
      <c r="AS1048" s="95">
        <v>2.1186440677966099</v>
      </c>
      <c r="AT1048" s="95">
        <v>3.0575539568345298</v>
      </c>
      <c r="AU1048" s="95">
        <v>2.9069767441860499</v>
      </c>
      <c r="AV1048" s="95">
        <v>1.2012012012012001</v>
      </c>
      <c r="AW1048" s="95">
        <v>3.1408308004052699</v>
      </c>
      <c r="AX1048" s="95">
        <v>2.5618758141554498</v>
      </c>
      <c r="AY1048" s="95">
        <v>2.7027027027027</v>
      </c>
      <c r="AZ1048" s="95">
        <v>2.7777777777777799</v>
      </c>
      <c r="BA1048" s="95">
        <v>1.73913043478261</v>
      </c>
      <c r="BB1048" s="95">
        <v>0</v>
      </c>
      <c r="BC1048" s="95">
        <v>1.6666666666666701</v>
      </c>
      <c r="BD1048" s="95">
        <v>2.7856025039123602</v>
      </c>
      <c r="BE1048" s="95">
        <v>3.8461538461538498</v>
      </c>
    </row>
    <row r="1049" spans="2:57" ht="15" customHeight="1" x14ac:dyDescent="0.25">
      <c r="B1049" s="96">
        <v>1039</v>
      </c>
      <c r="C1049" s="97" t="s">
        <v>504</v>
      </c>
      <c r="D1049" s="104" t="s">
        <v>85</v>
      </c>
      <c r="E1049" s="104" t="s">
        <v>412</v>
      </c>
      <c r="F1049" s="104" t="s">
        <v>263</v>
      </c>
      <c r="G1049" s="105" t="s">
        <v>263</v>
      </c>
      <c r="H1049" s="106">
        <v>23051</v>
      </c>
      <c r="I1049" s="106">
        <v>15025</v>
      </c>
      <c r="J1049" s="106">
        <v>8026</v>
      </c>
      <c r="K1049" s="106">
        <v>1642</v>
      </c>
      <c r="L1049" s="106">
        <v>8111</v>
      </c>
      <c r="M1049" s="106">
        <v>11763</v>
      </c>
      <c r="N1049" s="106">
        <v>1535</v>
      </c>
      <c r="O1049" s="106">
        <v>22873</v>
      </c>
      <c r="P1049" s="106">
        <v>178</v>
      </c>
      <c r="Q1049" s="107">
        <v>1.41259564449676</v>
      </c>
      <c r="R1049" s="107">
        <v>0.724962630792227</v>
      </c>
      <c r="S1049" s="107">
        <v>2.7254566210045699</v>
      </c>
      <c r="T1049" s="107">
        <v>2.6517794836008401</v>
      </c>
      <c r="U1049" s="107">
        <v>1.65300932466799</v>
      </c>
      <c r="V1049" s="107">
        <v>1.1486614771217001</v>
      </c>
      <c r="W1049" s="107">
        <v>0.89352196574832499</v>
      </c>
      <c r="X1049" s="107">
        <v>1.3937626649532899</v>
      </c>
      <c r="Y1049" s="107">
        <v>3.87096774193548</v>
      </c>
      <c r="Z1049" s="106">
        <v>47967</v>
      </c>
      <c r="AA1049" s="106">
        <v>28623</v>
      </c>
      <c r="AB1049" s="106">
        <v>19344</v>
      </c>
      <c r="AC1049" s="106">
        <v>2179</v>
      </c>
      <c r="AD1049" s="106">
        <v>14753</v>
      </c>
      <c r="AE1049" s="106">
        <v>27482</v>
      </c>
      <c r="AF1049" s="106">
        <v>3553</v>
      </c>
      <c r="AG1049" s="106">
        <v>8333</v>
      </c>
      <c r="AH1049" s="106">
        <v>38846</v>
      </c>
      <c r="AI1049" s="106">
        <v>788</v>
      </c>
      <c r="AJ1049" s="106">
        <v>47222</v>
      </c>
      <c r="AK1049" s="106">
        <v>562</v>
      </c>
      <c r="AL1049" s="106">
        <v>183</v>
      </c>
      <c r="AM1049" s="106">
        <v>2245</v>
      </c>
      <c r="AN1049" s="106">
        <v>45204</v>
      </c>
      <c r="AO1049" s="106">
        <v>518</v>
      </c>
      <c r="AP1049" s="107">
        <v>6.4342800379283904</v>
      </c>
      <c r="AQ1049" s="107">
        <v>2.7513586956521698</v>
      </c>
      <c r="AR1049" s="107">
        <v>11.917069333633</v>
      </c>
      <c r="AS1049" s="107">
        <v>10.6862745098039</v>
      </c>
      <c r="AT1049" s="107">
        <v>7.4464922711058303</v>
      </c>
      <c r="AU1049" s="107">
        <v>5.7915209618482599</v>
      </c>
      <c r="AV1049" s="107">
        <v>4.6608903495667802</v>
      </c>
      <c r="AW1049" s="107">
        <v>5.8426680244399201</v>
      </c>
      <c r="AX1049" s="107">
        <v>6.5863071931983397</v>
      </c>
      <c r="AY1049" s="107">
        <v>5.2785923753665704</v>
      </c>
      <c r="AZ1049" s="107">
        <v>6.4351215038973004</v>
      </c>
      <c r="BA1049" s="107">
        <v>5.859375</v>
      </c>
      <c r="BB1049" s="107">
        <v>8.0246913580246897</v>
      </c>
      <c r="BC1049" s="107">
        <v>5.1306413301662701</v>
      </c>
      <c r="BD1049" s="107">
        <v>6.5078832606507904</v>
      </c>
      <c r="BE1049" s="107">
        <v>5.71428571428571</v>
      </c>
    </row>
    <row r="1050" spans="2:57" ht="15" customHeight="1" x14ac:dyDescent="0.25">
      <c r="B1050" s="91">
        <v>1040</v>
      </c>
      <c r="C1050" s="92" t="s">
        <v>504</v>
      </c>
      <c r="D1050" s="92" t="s">
        <v>85</v>
      </c>
      <c r="E1050" s="92" t="s">
        <v>412</v>
      </c>
      <c r="F1050" s="92" t="s">
        <v>263</v>
      </c>
      <c r="G1050" s="101" t="s">
        <v>501</v>
      </c>
      <c r="H1050" s="94">
        <v>14803</v>
      </c>
      <c r="I1050" s="94">
        <v>9062</v>
      </c>
      <c r="J1050" s="94">
        <v>5741</v>
      </c>
      <c r="K1050" s="94">
        <v>943</v>
      </c>
      <c r="L1050" s="94">
        <v>5150</v>
      </c>
      <c r="M1050" s="94">
        <v>7709</v>
      </c>
      <c r="N1050" s="94">
        <v>1001</v>
      </c>
      <c r="O1050" s="94">
        <v>14685</v>
      </c>
      <c r="P1050" s="94">
        <v>118</v>
      </c>
      <c r="Q1050" s="95">
        <v>1.88316679477325</v>
      </c>
      <c r="R1050" s="95">
        <v>1.02564102564103</v>
      </c>
      <c r="S1050" s="95">
        <v>3.25024925224327</v>
      </c>
      <c r="T1050" s="95">
        <v>4.1871921182265996</v>
      </c>
      <c r="U1050" s="95">
        <v>2.1734208738963101</v>
      </c>
      <c r="V1050" s="95">
        <v>1.50528296424953</v>
      </c>
      <c r="W1050" s="95">
        <v>1.2614678899082601</v>
      </c>
      <c r="X1050" s="95">
        <v>1.8514214888837199</v>
      </c>
      <c r="Y1050" s="95">
        <v>5.9405940594059397</v>
      </c>
      <c r="Z1050" s="94">
        <v>40883</v>
      </c>
      <c r="AA1050" s="94">
        <v>24117</v>
      </c>
      <c r="AB1050" s="94">
        <v>16766</v>
      </c>
      <c r="AC1050" s="94">
        <v>1802</v>
      </c>
      <c r="AD1050" s="94">
        <v>12613</v>
      </c>
      <c r="AE1050" s="94">
        <v>23491</v>
      </c>
      <c r="AF1050" s="94">
        <v>2977</v>
      </c>
      <c r="AG1050" s="94">
        <v>6809</v>
      </c>
      <c r="AH1050" s="94">
        <v>33399</v>
      </c>
      <c r="AI1050" s="94">
        <v>675</v>
      </c>
      <c r="AJ1050" s="94">
        <v>40224</v>
      </c>
      <c r="AK1050" s="94">
        <v>507</v>
      </c>
      <c r="AL1050" s="94">
        <v>152</v>
      </c>
      <c r="AM1050" s="94">
        <v>1897</v>
      </c>
      <c r="AN1050" s="94">
        <v>38545</v>
      </c>
      <c r="AO1050" s="94">
        <v>441</v>
      </c>
      <c r="AP1050" s="95">
        <v>6.7995869409802197</v>
      </c>
      <c r="AQ1050" s="95">
        <v>3.0251422937301098</v>
      </c>
      <c r="AR1050" s="95">
        <v>12.249255856089</v>
      </c>
      <c r="AS1050" s="95">
        <v>11.7507418397626</v>
      </c>
      <c r="AT1050" s="95">
        <v>7.7458054420585896</v>
      </c>
      <c r="AU1050" s="95">
        <v>6.1022085495201797</v>
      </c>
      <c r="AV1050" s="95">
        <v>5.3571428571428603</v>
      </c>
      <c r="AW1050" s="95">
        <v>6.0314005907041803</v>
      </c>
      <c r="AX1050" s="95">
        <v>6.9788617886178903</v>
      </c>
      <c r="AY1050" s="95">
        <v>5.8219178082191796</v>
      </c>
      <c r="AZ1050" s="95">
        <v>6.80118375033629</v>
      </c>
      <c r="BA1050" s="95">
        <v>6.0737527114967502</v>
      </c>
      <c r="BB1050" s="95">
        <v>8.8235294117647101</v>
      </c>
      <c r="BC1050" s="95">
        <v>5.71428571428571</v>
      </c>
      <c r="BD1050" s="95">
        <v>6.8573194370312098</v>
      </c>
      <c r="BE1050" s="95">
        <v>6.4935064935064899</v>
      </c>
    </row>
    <row r="1051" spans="2:57" ht="15" customHeight="1" x14ac:dyDescent="0.25">
      <c r="B1051" s="91">
        <v>1041</v>
      </c>
      <c r="C1051" s="92" t="s">
        <v>504</v>
      </c>
      <c r="D1051" s="92" t="s">
        <v>85</v>
      </c>
      <c r="E1051" s="92" t="s">
        <v>412</v>
      </c>
      <c r="F1051" s="92" t="s">
        <v>263</v>
      </c>
      <c r="G1051" s="101" t="s">
        <v>502</v>
      </c>
      <c r="H1051" s="94">
        <v>8248</v>
      </c>
      <c r="I1051" s="94">
        <v>5963</v>
      </c>
      <c r="J1051" s="94">
        <v>2285</v>
      </c>
      <c r="K1051" s="94">
        <v>699</v>
      </c>
      <c r="L1051" s="94">
        <v>2961</v>
      </c>
      <c r="M1051" s="94">
        <v>4054</v>
      </c>
      <c r="N1051" s="94">
        <v>534</v>
      </c>
      <c r="O1051" s="94">
        <v>8188</v>
      </c>
      <c r="P1051" s="94">
        <v>60</v>
      </c>
      <c r="Q1051" s="95">
        <v>0.58281377066955797</v>
      </c>
      <c r="R1051" s="95">
        <v>0.27855153203342597</v>
      </c>
      <c r="S1051" s="95">
        <v>1.40491721023583</v>
      </c>
      <c r="T1051" s="95">
        <v>0.64412238325281801</v>
      </c>
      <c r="U1051" s="95">
        <v>0.78917700112739597</v>
      </c>
      <c r="V1051" s="95">
        <v>0.46896551724137903</v>
      </c>
      <c r="W1051" s="95">
        <v>0.21231422505307901</v>
      </c>
      <c r="X1051" s="95">
        <v>0.58711086837793602</v>
      </c>
      <c r="Y1051" s="95">
        <v>0</v>
      </c>
      <c r="Z1051" s="94">
        <v>7084</v>
      </c>
      <c r="AA1051" s="94">
        <v>4506</v>
      </c>
      <c r="AB1051" s="94">
        <v>2578</v>
      </c>
      <c r="AC1051" s="94">
        <v>377</v>
      </c>
      <c r="AD1051" s="94">
        <v>2140</v>
      </c>
      <c r="AE1051" s="94">
        <v>3991</v>
      </c>
      <c r="AF1051" s="94">
        <v>576</v>
      </c>
      <c r="AG1051" s="94">
        <v>1524</v>
      </c>
      <c r="AH1051" s="94">
        <v>5447</v>
      </c>
      <c r="AI1051" s="94">
        <v>113</v>
      </c>
      <c r="AJ1051" s="94">
        <v>6998</v>
      </c>
      <c r="AK1051" s="94">
        <v>55</v>
      </c>
      <c r="AL1051" s="94">
        <v>31</v>
      </c>
      <c r="AM1051" s="94">
        <v>348</v>
      </c>
      <c r="AN1051" s="94">
        <v>6659</v>
      </c>
      <c r="AO1051" s="94">
        <v>77</v>
      </c>
      <c r="AP1051" s="95">
        <v>4.3205147847403103</v>
      </c>
      <c r="AQ1051" s="95">
        <v>1.290939517093</v>
      </c>
      <c r="AR1051" s="95">
        <v>9.7269624573378799</v>
      </c>
      <c r="AS1051" s="95">
        <v>5.6338028169014098</v>
      </c>
      <c r="AT1051" s="95">
        <v>5.6835637480798802</v>
      </c>
      <c r="AU1051" s="95">
        <v>3.94880174291939</v>
      </c>
      <c r="AV1051" s="95">
        <v>1.09689213893967</v>
      </c>
      <c r="AW1051" s="95">
        <v>4.9894588896697103</v>
      </c>
      <c r="AX1051" s="95">
        <v>4.1749900119856198</v>
      </c>
      <c r="AY1051" s="95">
        <v>2.0408163265306101</v>
      </c>
      <c r="AZ1051" s="95">
        <v>4.3255813953488396</v>
      </c>
      <c r="BA1051" s="95">
        <v>3.9215686274509798</v>
      </c>
      <c r="BB1051" s="95">
        <v>3.8461538461538498</v>
      </c>
      <c r="BC1051" s="95">
        <v>1.875</v>
      </c>
      <c r="BD1051" s="95">
        <v>4.4810167834446801</v>
      </c>
      <c r="BE1051" s="95">
        <v>1.4285714285714299</v>
      </c>
    </row>
    <row r="1052" spans="2:57" ht="15" customHeight="1" x14ac:dyDescent="0.25">
      <c r="B1052" s="96">
        <v>1042</v>
      </c>
      <c r="C1052" s="97" t="s">
        <v>504</v>
      </c>
      <c r="D1052" s="104" t="s">
        <v>85</v>
      </c>
      <c r="E1052" s="104" t="s">
        <v>412</v>
      </c>
      <c r="F1052" s="104" t="s">
        <v>188</v>
      </c>
      <c r="G1052" s="105" t="s">
        <v>188</v>
      </c>
      <c r="H1052" s="106">
        <v>7005</v>
      </c>
      <c r="I1052" s="106">
        <v>4571</v>
      </c>
      <c r="J1052" s="106">
        <v>2434</v>
      </c>
      <c r="K1052" s="106">
        <v>515</v>
      </c>
      <c r="L1052" s="106">
        <v>1937</v>
      </c>
      <c r="M1052" s="106">
        <v>3695</v>
      </c>
      <c r="N1052" s="106">
        <v>858</v>
      </c>
      <c r="O1052" s="106">
        <v>6804</v>
      </c>
      <c r="P1052" s="106">
        <v>201</v>
      </c>
      <c r="Q1052" s="107">
        <v>1.30835083185269</v>
      </c>
      <c r="R1052" s="107">
        <v>0.87633885102239495</v>
      </c>
      <c r="S1052" s="107">
        <v>2.1603456553048499</v>
      </c>
      <c r="T1052" s="107">
        <v>0.94562647754137097</v>
      </c>
      <c r="U1052" s="107">
        <v>1.9596199524940601</v>
      </c>
      <c r="V1052" s="107">
        <v>1.27234171463193</v>
      </c>
      <c r="W1052" s="107">
        <v>0.25542784163473797</v>
      </c>
      <c r="X1052" s="107">
        <v>1.32691988721181</v>
      </c>
      <c r="Y1052" s="107">
        <v>0.61728395061728403</v>
      </c>
      <c r="Z1052" s="106">
        <v>11589</v>
      </c>
      <c r="AA1052" s="106">
        <v>6856</v>
      </c>
      <c r="AB1052" s="106">
        <v>4733</v>
      </c>
      <c r="AC1052" s="106">
        <v>281</v>
      </c>
      <c r="AD1052" s="106">
        <v>2593</v>
      </c>
      <c r="AE1052" s="106">
        <v>7306</v>
      </c>
      <c r="AF1052" s="106">
        <v>1409</v>
      </c>
      <c r="AG1052" s="106">
        <v>983</v>
      </c>
      <c r="AH1052" s="106">
        <v>10417</v>
      </c>
      <c r="AI1052" s="106">
        <v>189</v>
      </c>
      <c r="AJ1052" s="106">
        <v>10885</v>
      </c>
      <c r="AK1052" s="106">
        <v>673</v>
      </c>
      <c r="AL1052" s="106">
        <v>31</v>
      </c>
      <c r="AM1052" s="106">
        <v>452</v>
      </c>
      <c r="AN1052" s="106">
        <v>11021</v>
      </c>
      <c r="AO1052" s="106">
        <v>116</v>
      </c>
      <c r="AP1052" s="107">
        <v>5.3468888261319796</v>
      </c>
      <c r="AQ1052" s="107">
        <v>3.17034700315457</v>
      </c>
      <c r="AR1052" s="107">
        <v>8.56876021480271</v>
      </c>
      <c r="AS1052" s="107">
        <v>11.969111969111999</v>
      </c>
      <c r="AT1052" s="107">
        <v>7.0190274841437601</v>
      </c>
      <c r="AU1052" s="107">
        <v>4.9708911777877303</v>
      </c>
      <c r="AV1052" s="107">
        <v>2.9230769230769198</v>
      </c>
      <c r="AW1052" s="107">
        <v>3.51648351648352</v>
      </c>
      <c r="AX1052" s="107">
        <v>5.5817363074667501</v>
      </c>
      <c r="AY1052" s="107">
        <v>1.82926829268293</v>
      </c>
      <c r="AZ1052" s="107">
        <v>5.2610522104420898</v>
      </c>
      <c r="BA1052" s="107">
        <v>6.7001675041875997</v>
      </c>
      <c r="BB1052" s="107">
        <v>7.1428571428571397</v>
      </c>
      <c r="BC1052" s="107">
        <v>4.4705882352941204</v>
      </c>
      <c r="BD1052" s="107">
        <v>5.4284299157999003</v>
      </c>
      <c r="BE1052" s="107">
        <v>0.970873786407767</v>
      </c>
    </row>
    <row r="1053" spans="2:57" ht="15" customHeight="1" x14ac:dyDescent="0.25">
      <c r="B1053" s="91">
        <v>1043</v>
      </c>
      <c r="C1053" s="92" t="s">
        <v>504</v>
      </c>
      <c r="D1053" s="92" t="s">
        <v>85</v>
      </c>
      <c r="E1053" s="92" t="s">
        <v>412</v>
      </c>
      <c r="F1053" s="92" t="s">
        <v>188</v>
      </c>
      <c r="G1053" s="101" t="s">
        <v>501</v>
      </c>
      <c r="H1053" s="94">
        <v>1928</v>
      </c>
      <c r="I1053" s="94">
        <v>1092</v>
      </c>
      <c r="J1053" s="94">
        <v>836</v>
      </c>
      <c r="K1053" s="94">
        <v>83</v>
      </c>
      <c r="L1053" s="94">
        <v>481</v>
      </c>
      <c r="M1053" s="94">
        <v>1200</v>
      </c>
      <c r="N1053" s="94">
        <v>164</v>
      </c>
      <c r="O1053" s="94">
        <v>1759</v>
      </c>
      <c r="P1053" s="94">
        <v>169</v>
      </c>
      <c r="Q1053" s="95">
        <v>1.8256772673733801</v>
      </c>
      <c r="R1053" s="95">
        <v>1.5463917525773201</v>
      </c>
      <c r="S1053" s="95">
        <v>2.1978021978022002</v>
      </c>
      <c r="T1053" s="95">
        <v>0</v>
      </c>
      <c r="U1053" s="95">
        <v>2.30414746543779</v>
      </c>
      <c r="V1053" s="95">
        <v>1.91387559808612</v>
      </c>
      <c r="W1053" s="95">
        <v>0.69444444444444398</v>
      </c>
      <c r="X1053" s="95">
        <v>1.92061459667093</v>
      </c>
      <c r="Y1053" s="95">
        <v>0.73529411764705899</v>
      </c>
      <c r="Z1053" s="94">
        <v>5790</v>
      </c>
      <c r="AA1053" s="94">
        <v>3162</v>
      </c>
      <c r="AB1053" s="94">
        <v>2628</v>
      </c>
      <c r="AC1053" s="94">
        <v>101</v>
      </c>
      <c r="AD1053" s="94">
        <v>1207</v>
      </c>
      <c r="AE1053" s="94">
        <v>3891</v>
      </c>
      <c r="AF1053" s="94">
        <v>591</v>
      </c>
      <c r="AG1053" s="94">
        <v>201</v>
      </c>
      <c r="AH1053" s="94">
        <v>5545</v>
      </c>
      <c r="AI1053" s="94">
        <v>44</v>
      </c>
      <c r="AJ1053" s="94">
        <v>5250</v>
      </c>
      <c r="AK1053" s="94">
        <v>531</v>
      </c>
      <c r="AL1053" s="94">
        <v>9</v>
      </c>
      <c r="AM1053" s="94">
        <v>120</v>
      </c>
      <c r="AN1053" s="94">
        <v>5644</v>
      </c>
      <c r="AO1053" s="94">
        <v>26</v>
      </c>
      <c r="AP1053" s="95">
        <v>6.14599092284418</v>
      </c>
      <c r="AQ1053" s="95">
        <v>4.4390915347556801</v>
      </c>
      <c r="AR1053" s="95">
        <v>8.2283795130142696</v>
      </c>
      <c r="AS1053" s="95">
        <v>16.304347826087</v>
      </c>
      <c r="AT1053" s="95">
        <v>8.0324909747292406</v>
      </c>
      <c r="AU1053" s="95">
        <v>5.6741573033707899</v>
      </c>
      <c r="AV1053" s="95">
        <v>3.59848484848485</v>
      </c>
      <c r="AW1053" s="95">
        <v>4.9180327868852496</v>
      </c>
      <c r="AX1053" s="95">
        <v>6.1957379636937704</v>
      </c>
      <c r="AY1053" s="95">
        <v>5.4054054054054097</v>
      </c>
      <c r="AZ1053" s="95">
        <v>6.0524126455906799</v>
      </c>
      <c r="BA1053" s="95">
        <v>6.9767441860465098</v>
      </c>
      <c r="BB1053" s="95">
        <v>14.285714285714301</v>
      </c>
      <c r="BC1053" s="95">
        <v>9.1743119266054993</v>
      </c>
      <c r="BD1053" s="95">
        <v>6.1093871217998403</v>
      </c>
      <c r="BE1053" s="95">
        <v>0</v>
      </c>
    </row>
    <row r="1054" spans="2:57" ht="15" customHeight="1" x14ac:dyDescent="0.25">
      <c r="B1054" s="91">
        <v>1044</v>
      </c>
      <c r="C1054" s="92" t="s">
        <v>504</v>
      </c>
      <c r="D1054" s="92" t="s">
        <v>85</v>
      </c>
      <c r="E1054" s="92" t="s">
        <v>412</v>
      </c>
      <c r="F1054" s="92" t="s">
        <v>188</v>
      </c>
      <c r="G1054" s="101" t="s">
        <v>502</v>
      </c>
      <c r="H1054" s="94">
        <v>5077</v>
      </c>
      <c r="I1054" s="94">
        <v>3479</v>
      </c>
      <c r="J1054" s="94">
        <v>1598</v>
      </c>
      <c r="K1054" s="94">
        <v>432</v>
      </c>
      <c r="L1054" s="94">
        <v>1456</v>
      </c>
      <c r="M1054" s="94">
        <v>2495</v>
      </c>
      <c r="N1054" s="94">
        <v>694</v>
      </c>
      <c r="O1054" s="94">
        <v>5045</v>
      </c>
      <c r="P1054" s="94">
        <v>32</v>
      </c>
      <c r="Q1054" s="95">
        <v>1.1128421989761901</v>
      </c>
      <c r="R1054" s="95">
        <v>0.66921606118546895</v>
      </c>
      <c r="S1054" s="95">
        <v>2.1402214022140198</v>
      </c>
      <c r="T1054" s="95">
        <v>1.14942528735632</v>
      </c>
      <c r="U1054" s="95">
        <v>1.84</v>
      </c>
      <c r="V1054" s="95">
        <v>0.97517730496453903</v>
      </c>
      <c r="W1054" s="95">
        <v>0.156494522691706</v>
      </c>
      <c r="X1054" s="95">
        <v>1.1193194537721101</v>
      </c>
      <c r="Y1054" s="95">
        <v>0</v>
      </c>
      <c r="Z1054" s="94">
        <v>5799</v>
      </c>
      <c r="AA1054" s="94">
        <v>3694</v>
      </c>
      <c r="AB1054" s="94">
        <v>2105</v>
      </c>
      <c r="AC1054" s="94">
        <v>180</v>
      </c>
      <c r="AD1054" s="94">
        <v>1386</v>
      </c>
      <c r="AE1054" s="94">
        <v>3415</v>
      </c>
      <c r="AF1054" s="94">
        <v>818</v>
      </c>
      <c r="AG1054" s="94">
        <v>782</v>
      </c>
      <c r="AH1054" s="94">
        <v>4872</v>
      </c>
      <c r="AI1054" s="94">
        <v>145</v>
      </c>
      <c r="AJ1054" s="94">
        <v>5635</v>
      </c>
      <c r="AK1054" s="94">
        <v>142</v>
      </c>
      <c r="AL1054" s="94">
        <v>22</v>
      </c>
      <c r="AM1054" s="94">
        <v>332</v>
      </c>
      <c r="AN1054" s="94">
        <v>5377</v>
      </c>
      <c r="AO1054" s="94">
        <v>90</v>
      </c>
      <c r="AP1054" s="95">
        <v>4.5548266166822904</v>
      </c>
      <c r="AQ1054" s="95">
        <v>2.0966802562609201</v>
      </c>
      <c r="AR1054" s="95">
        <v>8.9952656496580694</v>
      </c>
      <c r="AS1054" s="95">
        <v>9.5808383233532908</v>
      </c>
      <c r="AT1054" s="95">
        <v>6.1256961018297504</v>
      </c>
      <c r="AU1054" s="95">
        <v>4.17330359987257</v>
      </c>
      <c r="AV1054" s="95">
        <v>2.46113989637306</v>
      </c>
      <c r="AW1054" s="95">
        <v>3.1636863823933998</v>
      </c>
      <c r="AX1054" s="95">
        <v>4.88730194153091</v>
      </c>
      <c r="AY1054" s="95">
        <v>0.78740157480314998</v>
      </c>
      <c r="AZ1054" s="95">
        <v>4.5279383429672402</v>
      </c>
      <c r="BA1054" s="95">
        <v>5.6451612903225801</v>
      </c>
      <c r="BB1054" s="95">
        <v>4.7619047619047601</v>
      </c>
      <c r="BC1054" s="95">
        <v>2.84810126582278</v>
      </c>
      <c r="BD1054" s="95">
        <v>4.7175541607612903</v>
      </c>
      <c r="BE1054" s="95">
        <v>1.25</v>
      </c>
    </row>
    <row r="1055" spans="2:57" ht="15" customHeight="1" x14ac:dyDescent="0.25">
      <c r="B1055" s="96">
        <v>1045</v>
      </c>
      <c r="C1055" s="97" t="s">
        <v>504</v>
      </c>
      <c r="D1055" s="104" t="s">
        <v>85</v>
      </c>
      <c r="E1055" s="104" t="s">
        <v>412</v>
      </c>
      <c r="F1055" s="104" t="s">
        <v>294</v>
      </c>
      <c r="G1055" s="105" t="s">
        <v>294</v>
      </c>
      <c r="H1055" s="106">
        <v>39682</v>
      </c>
      <c r="I1055" s="106">
        <v>24270</v>
      </c>
      <c r="J1055" s="106">
        <v>15412</v>
      </c>
      <c r="K1055" s="106">
        <v>2445</v>
      </c>
      <c r="L1055" s="106">
        <v>14024</v>
      </c>
      <c r="M1055" s="106">
        <v>20833</v>
      </c>
      <c r="N1055" s="106">
        <v>2380</v>
      </c>
      <c r="O1055" s="106">
        <v>39153</v>
      </c>
      <c r="P1055" s="106">
        <v>529</v>
      </c>
      <c r="Q1055" s="107">
        <v>1.9514946418499699</v>
      </c>
      <c r="R1055" s="107">
        <v>0.92256850415385305</v>
      </c>
      <c r="S1055" s="107">
        <v>3.5910187961676301</v>
      </c>
      <c r="T1055" s="107">
        <v>4.30828147438966</v>
      </c>
      <c r="U1055" s="107">
        <v>2.2071307300509302</v>
      </c>
      <c r="V1055" s="107">
        <v>1.6128176561090799</v>
      </c>
      <c r="W1055" s="107">
        <v>1.1611704598235</v>
      </c>
      <c r="X1055" s="107">
        <v>1.9645410351730099</v>
      </c>
      <c r="Y1055" s="107">
        <v>1.0204081632653099</v>
      </c>
      <c r="Z1055" s="106">
        <v>71738</v>
      </c>
      <c r="AA1055" s="106">
        <v>40544</v>
      </c>
      <c r="AB1055" s="106">
        <v>31194</v>
      </c>
      <c r="AC1055" s="106">
        <v>2651</v>
      </c>
      <c r="AD1055" s="106">
        <v>21978</v>
      </c>
      <c r="AE1055" s="106">
        <v>42206</v>
      </c>
      <c r="AF1055" s="106">
        <v>4903</v>
      </c>
      <c r="AG1055" s="106">
        <v>12588</v>
      </c>
      <c r="AH1055" s="106">
        <v>58206</v>
      </c>
      <c r="AI1055" s="106">
        <v>944</v>
      </c>
      <c r="AJ1055" s="106">
        <v>70768</v>
      </c>
      <c r="AK1055" s="106">
        <v>763</v>
      </c>
      <c r="AL1055" s="106">
        <v>207</v>
      </c>
      <c r="AM1055" s="106">
        <v>3201</v>
      </c>
      <c r="AN1055" s="106">
        <v>67936</v>
      </c>
      <c r="AO1055" s="106">
        <v>601</v>
      </c>
      <c r="AP1055" s="107">
        <v>6.4639293650912002</v>
      </c>
      <c r="AQ1055" s="107">
        <v>2.9140781299357701</v>
      </c>
      <c r="AR1055" s="107">
        <v>11.1042290354771</v>
      </c>
      <c r="AS1055" s="107">
        <v>13.927125506072899</v>
      </c>
      <c r="AT1055" s="107">
        <v>7.5752351869181904</v>
      </c>
      <c r="AU1055" s="107">
        <v>5.5948114874072603</v>
      </c>
      <c r="AV1055" s="107">
        <v>5.0537634408602203</v>
      </c>
      <c r="AW1055" s="107">
        <v>6.1781848459616997</v>
      </c>
      <c r="AX1055" s="107">
        <v>6.5331364223740103</v>
      </c>
      <c r="AY1055" s="107">
        <v>6.0989643268124301</v>
      </c>
      <c r="AZ1055" s="107">
        <v>6.45575742918468</v>
      </c>
      <c r="BA1055" s="107">
        <v>7.7032810271041399</v>
      </c>
      <c r="BB1055" s="107">
        <v>4.7368421052631602</v>
      </c>
      <c r="BC1055" s="107">
        <v>5.3823432884804703</v>
      </c>
      <c r="BD1055" s="107">
        <v>6.5249255307412302</v>
      </c>
      <c r="BE1055" s="107">
        <v>5.4249547920434003</v>
      </c>
    </row>
    <row r="1056" spans="2:57" ht="15" customHeight="1" x14ac:dyDescent="0.25">
      <c r="B1056" s="91">
        <v>1046</v>
      </c>
      <c r="C1056" s="92" t="s">
        <v>504</v>
      </c>
      <c r="D1056" s="92" t="s">
        <v>85</v>
      </c>
      <c r="E1056" s="92" t="s">
        <v>412</v>
      </c>
      <c r="F1056" s="92" t="s">
        <v>294</v>
      </c>
      <c r="G1056" s="101" t="s">
        <v>501</v>
      </c>
      <c r="H1056" s="94">
        <v>35491</v>
      </c>
      <c r="I1056" s="94">
        <v>21275</v>
      </c>
      <c r="J1056" s="94">
        <v>14216</v>
      </c>
      <c r="K1056" s="94">
        <v>2133</v>
      </c>
      <c r="L1056" s="94">
        <v>12641</v>
      </c>
      <c r="M1056" s="94">
        <v>18725</v>
      </c>
      <c r="N1056" s="94">
        <v>1992</v>
      </c>
      <c r="O1056" s="94">
        <v>35206</v>
      </c>
      <c r="P1056" s="94">
        <v>285</v>
      </c>
      <c r="Q1056" s="95">
        <v>2.1142983369623498</v>
      </c>
      <c r="R1056" s="95">
        <v>1.0176782248334499</v>
      </c>
      <c r="S1056" s="95">
        <v>3.7699984159670499</v>
      </c>
      <c r="T1056" s="95">
        <v>4.8378229796591503</v>
      </c>
      <c r="U1056" s="95">
        <v>2.3916561769465901</v>
      </c>
      <c r="V1056" s="95">
        <v>1.72881755959405</v>
      </c>
      <c r="W1056" s="95">
        <v>1.2777777777777799</v>
      </c>
      <c r="X1056" s="95">
        <v>2.1158129175946501</v>
      </c>
      <c r="Y1056" s="95">
        <v>1.93050193050193</v>
      </c>
      <c r="Z1056" s="94">
        <v>67868</v>
      </c>
      <c r="AA1056" s="94">
        <v>38002</v>
      </c>
      <c r="AB1056" s="94">
        <v>29866</v>
      </c>
      <c r="AC1056" s="94">
        <v>2473</v>
      </c>
      <c r="AD1056" s="94">
        <v>20830</v>
      </c>
      <c r="AE1056" s="94">
        <v>40150</v>
      </c>
      <c r="AF1056" s="94">
        <v>4415</v>
      </c>
      <c r="AG1056" s="94">
        <v>11710</v>
      </c>
      <c r="AH1056" s="94">
        <v>55256</v>
      </c>
      <c r="AI1056" s="94">
        <v>902</v>
      </c>
      <c r="AJ1056" s="94">
        <v>66960</v>
      </c>
      <c r="AK1056" s="94">
        <v>719</v>
      </c>
      <c r="AL1056" s="94">
        <v>189</v>
      </c>
      <c r="AM1056" s="94">
        <v>2982</v>
      </c>
      <c r="AN1056" s="94">
        <v>64323</v>
      </c>
      <c r="AO1056" s="94">
        <v>563</v>
      </c>
      <c r="AP1056" s="95">
        <v>6.5874117053481296</v>
      </c>
      <c r="AQ1056" s="95">
        <v>3.02255681339363</v>
      </c>
      <c r="AR1056" s="95">
        <v>11.1482479784367</v>
      </c>
      <c r="AS1056" s="95">
        <v>14.465682015638601</v>
      </c>
      <c r="AT1056" s="95">
        <v>7.6827113005509897</v>
      </c>
      <c r="AU1056" s="95">
        <v>5.68760611205433</v>
      </c>
      <c r="AV1056" s="95">
        <v>5.3247373447946504</v>
      </c>
      <c r="AW1056" s="95">
        <v>6.3964931114689598</v>
      </c>
      <c r="AX1056" s="95">
        <v>6.6323057473499896</v>
      </c>
      <c r="AY1056" s="95">
        <v>6.3778580024067404</v>
      </c>
      <c r="AZ1056" s="95">
        <v>6.5760253071527899</v>
      </c>
      <c r="BA1056" s="95">
        <v>8.0181543116490204</v>
      </c>
      <c r="BB1056" s="95">
        <v>5.2325581395348797</v>
      </c>
      <c r="BC1056" s="95">
        <v>5.3464650017587099</v>
      </c>
      <c r="BD1056" s="95">
        <v>6.65678749229924</v>
      </c>
      <c r="BE1056" s="95">
        <v>5.3639846743295001</v>
      </c>
    </row>
    <row r="1057" spans="2:57" ht="15" customHeight="1" x14ac:dyDescent="0.25">
      <c r="B1057" s="91">
        <v>1047</v>
      </c>
      <c r="C1057" s="92" t="s">
        <v>504</v>
      </c>
      <c r="D1057" s="92" t="s">
        <v>85</v>
      </c>
      <c r="E1057" s="92" t="s">
        <v>412</v>
      </c>
      <c r="F1057" s="92" t="s">
        <v>294</v>
      </c>
      <c r="G1057" s="101" t="s">
        <v>502</v>
      </c>
      <c r="H1057" s="94">
        <v>4191</v>
      </c>
      <c r="I1057" s="94">
        <v>2995</v>
      </c>
      <c r="J1057" s="94">
        <v>1196</v>
      </c>
      <c r="K1057" s="94">
        <v>312</v>
      </c>
      <c r="L1057" s="94">
        <v>1383</v>
      </c>
      <c r="M1057" s="94">
        <v>2108</v>
      </c>
      <c r="N1057" s="94">
        <v>388</v>
      </c>
      <c r="O1057" s="94">
        <v>3947</v>
      </c>
      <c r="P1057" s="94">
        <v>244</v>
      </c>
      <c r="Q1057" s="95">
        <v>0.58339962874569096</v>
      </c>
      <c r="R1057" s="95">
        <v>0.25697503671071997</v>
      </c>
      <c r="S1057" s="95">
        <v>1.4326647564469901</v>
      </c>
      <c r="T1057" s="95">
        <v>0.74074074074074103</v>
      </c>
      <c r="U1057" s="95">
        <v>0.56134723336006398</v>
      </c>
      <c r="V1057" s="95">
        <v>0.57864281956864805</v>
      </c>
      <c r="W1057" s="95">
        <v>0.56657223796033995</v>
      </c>
      <c r="X1057" s="95">
        <v>0.62146892655367203</v>
      </c>
      <c r="Y1057" s="95">
        <v>0</v>
      </c>
      <c r="Z1057" s="94">
        <v>3870</v>
      </c>
      <c r="AA1057" s="94">
        <v>2542</v>
      </c>
      <c r="AB1057" s="94">
        <v>1328</v>
      </c>
      <c r="AC1057" s="94">
        <v>178</v>
      </c>
      <c r="AD1057" s="94">
        <v>1148</v>
      </c>
      <c r="AE1057" s="94">
        <v>2056</v>
      </c>
      <c r="AF1057" s="94">
        <v>488</v>
      </c>
      <c r="AG1057" s="94">
        <v>878</v>
      </c>
      <c r="AH1057" s="94">
        <v>2950</v>
      </c>
      <c r="AI1057" s="94">
        <v>42</v>
      </c>
      <c r="AJ1057" s="94">
        <v>3808</v>
      </c>
      <c r="AK1057" s="94">
        <v>44</v>
      </c>
      <c r="AL1057" s="94">
        <v>18</v>
      </c>
      <c r="AM1057" s="94">
        <v>219</v>
      </c>
      <c r="AN1057" s="94">
        <v>3613</v>
      </c>
      <c r="AO1057" s="94">
        <v>38</v>
      </c>
      <c r="AP1057" s="95">
        <v>4.3034482758620696</v>
      </c>
      <c r="AQ1057" s="95">
        <v>1.2976140644621199</v>
      </c>
      <c r="AR1057" s="95">
        <v>10.113268608414201</v>
      </c>
      <c r="AS1057" s="95">
        <v>6.5476190476190501</v>
      </c>
      <c r="AT1057" s="95">
        <v>5.6338028169014098</v>
      </c>
      <c r="AU1057" s="95">
        <v>3.7823834196891202</v>
      </c>
      <c r="AV1057" s="95">
        <v>2.5974025974026</v>
      </c>
      <c r="AW1057" s="95">
        <v>3.2451923076923102</v>
      </c>
      <c r="AX1057" s="95">
        <v>4.6823956442831198</v>
      </c>
      <c r="AY1057" s="95">
        <v>0</v>
      </c>
      <c r="AZ1057" s="95">
        <v>4.3453882814690203</v>
      </c>
      <c r="BA1057" s="95">
        <v>2.5</v>
      </c>
      <c r="BB1057" s="95">
        <v>0</v>
      </c>
      <c r="BC1057" s="95">
        <v>5.8823529411764701</v>
      </c>
      <c r="BD1057" s="95">
        <v>4.18879056047198</v>
      </c>
      <c r="BE1057" s="95">
        <v>6.4516129032258096</v>
      </c>
    </row>
    <row r="1058" spans="2:57" ht="15" customHeight="1" x14ac:dyDescent="0.25">
      <c r="B1058" s="96">
        <v>1048</v>
      </c>
      <c r="C1058" s="97" t="s">
        <v>504</v>
      </c>
      <c r="D1058" s="104" t="s">
        <v>85</v>
      </c>
      <c r="E1058" s="104" t="s">
        <v>412</v>
      </c>
      <c r="F1058" s="104" t="s">
        <v>291</v>
      </c>
      <c r="G1058" s="105" t="s">
        <v>291</v>
      </c>
      <c r="H1058" s="106">
        <v>22888</v>
      </c>
      <c r="I1058" s="106">
        <v>14272</v>
      </c>
      <c r="J1058" s="106">
        <v>8616</v>
      </c>
      <c r="K1058" s="106">
        <v>1940</v>
      </c>
      <c r="L1058" s="106">
        <v>7557</v>
      </c>
      <c r="M1058" s="106">
        <v>11331</v>
      </c>
      <c r="N1058" s="106">
        <v>2060</v>
      </c>
      <c r="O1058" s="106">
        <v>22754</v>
      </c>
      <c r="P1058" s="106">
        <v>134</v>
      </c>
      <c r="Q1058" s="107">
        <v>1.4386033356090899</v>
      </c>
      <c r="R1058" s="107">
        <v>0.79482583963219799</v>
      </c>
      <c r="S1058" s="107">
        <v>2.51531343672618</v>
      </c>
      <c r="T1058" s="107">
        <v>3.0557219892151002</v>
      </c>
      <c r="U1058" s="107">
        <v>2.0352781546811398</v>
      </c>
      <c r="V1058" s="107">
        <v>0.92816397563569597</v>
      </c>
      <c r="W1058" s="107">
        <v>0.69854916711445503</v>
      </c>
      <c r="X1058" s="107">
        <v>1.42247510668563</v>
      </c>
      <c r="Y1058" s="107">
        <v>4.2016806722689104</v>
      </c>
      <c r="Z1058" s="106">
        <v>27882</v>
      </c>
      <c r="AA1058" s="106">
        <v>16134</v>
      </c>
      <c r="AB1058" s="106">
        <v>11748</v>
      </c>
      <c r="AC1058" s="106">
        <v>1339</v>
      </c>
      <c r="AD1058" s="106">
        <v>7971</v>
      </c>
      <c r="AE1058" s="106">
        <v>15385</v>
      </c>
      <c r="AF1058" s="106">
        <v>3187</v>
      </c>
      <c r="AG1058" s="106">
        <v>5082</v>
      </c>
      <c r="AH1058" s="106">
        <v>22392</v>
      </c>
      <c r="AI1058" s="106">
        <v>408</v>
      </c>
      <c r="AJ1058" s="106">
        <v>27541</v>
      </c>
      <c r="AK1058" s="106">
        <v>264</v>
      </c>
      <c r="AL1058" s="106">
        <v>77</v>
      </c>
      <c r="AM1058" s="106">
        <v>1512</v>
      </c>
      <c r="AN1058" s="106">
        <v>26091</v>
      </c>
      <c r="AO1058" s="106">
        <v>279</v>
      </c>
      <c r="AP1058" s="107">
        <v>4.8430117360158498</v>
      </c>
      <c r="AQ1058" s="107">
        <v>2.1037501633346398</v>
      </c>
      <c r="AR1058" s="107">
        <v>8.6761748034375596</v>
      </c>
      <c r="AS1058" s="107">
        <v>9.6184419713831506</v>
      </c>
      <c r="AT1058" s="107">
        <v>6.0018967619563703</v>
      </c>
      <c r="AU1058" s="107">
        <v>4.2733278282411202</v>
      </c>
      <c r="AV1058" s="107">
        <v>2.7985681744223898</v>
      </c>
      <c r="AW1058" s="107">
        <v>3.7572254335260098</v>
      </c>
      <c r="AX1058" s="107">
        <v>5.14747859181732</v>
      </c>
      <c r="AY1058" s="107">
        <v>1.84210526315789</v>
      </c>
      <c r="AZ1058" s="107">
        <v>4.8206710374084096</v>
      </c>
      <c r="BA1058" s="107">
        <v>7.4074074074074101</v>
      </c>
      <c r="BB1058" s="107">
        <v>4.2253521126760596</v>
      </c>
      <c r="BC1058" s="107">
        <v>3.8062283737024201</v>
      </c>
      <c r="BD1058" s="107">
        <v>4.9335940682799597</v>
      </c>
      <c r="BE1058" s="107">
        <v>1.97628458498024</v>
      </c>
    </row>
    <row r="1059" spans="2:57" ht="15" customHeight="1" x14ac:dyDescent="0.25">
      <c r="B1059" s="91">
        <v>1049</v>
      </c>
      <c r="C1059" s="92" t="s">
        <v>504</v>
      </c>
      <c r="D1059" s="92" t="s">
        <v>85</v>
      </c>
      <c r="E1059" s="92" t="s">
        <v>412</v>
      </c>
      <c r="F1059" s="92" t="s">
        <v>291</v>
      </c>
      <c r="G1059" s="101" t="s">
        <v>501</v>
      </c>
      <c r="H1059" s="94">
        <v>14515</v>
      </c>
      <c r="I1059" s="94">
        <v>8721</v>
      </c>
      <c r="J1059" s="94">
        <v>5794</v>
      </c>
      <c r="K1059" s="94">
        <v>1184</v>
      </c>
      <c r="L1059" s="94">
        <v>5212</v>
      </c>
      <c r="M1059" s="94">
        <v>7073</v>
      </c>
      <c r="N1059" s="94">
        <v>1046</v>
      </c>
      <c r="O1059" s="94">
        <v>14424</v>
      </c>
      <c r="P1059" s="94">
        <v>91</v>
      </c>
      <c r="Q1059" s="95">
        <v>1.9629057187017001</v>
      </c>
      <c r="R1059" s="95">
        <v>1.1166730843280701</v>
      </c>
      <c r="S1059" s="95">
        <v>3.2433482229559099</v>
      </c>
      <c r="T1059" s="95">
        <v>4.5045045045045002</v>
      </c>
      <c r="U1059" s="95">
        <v>2.5405168637757298</v>
      </c>
      <c r="V1059" s="95">
        <v>1.27072679373935</v>
      </c>
      <c r="W1059" s="95">
        <v>1.1930585683297199</v>
      </c>
      <c r="X1059" s="95">
        <v>1.9365375641623901</v>
      </c>
      <c r="Y1059" s="95">
        <v>6.0975609756097597</v>
      </c>
      <c r="Z1059" s="94">
        <v>19673</v>
      </c>
      <c r="AA1059" s="94">
        <v>11038</v>
      </c>
      <c r="AB1059" s="94">
        <v>8635</v>
      </c>
      <c r="AC1059" s="94">
        <v>877</v>
      </c>
      <c r="AD1059" s="94">
        <v>5885</v>
      </c>
      <c r="AE1059" s="94">
        <v>11081</v>
      </c>
      <c r="AF1059" s="94">
        <v>1830</v>
      </c>
      <c r="AG1059" s="94">
        <v>3047</v>
      </c>
      <c r="AH1059" s="94">
        <v>16401</v>
      </c>
      <c r="AI1059" s="94">
        <v>225</v>
      </c>
      <c r="AJ1059" s="94">
        <v>19450</v>
      </c>
      <c r="AK1059" s="94">
        <v>168</v>
      </c>
      <c r="AL1059" s="94">
        <v>55</v>
      </c>
      <c r="AM1059" s="94">
        <v>983</v>
      </c>
      <c r="AN1059" s="94">
        <v>18477</v>
      </c>
      <c r="AO1059" s="94">
        <v>213</v>
      </c>
      <c r="AP1059" s="95">
        <v>5.8040064970221996</v>
      </c>
      <c r="AQ1059" s="95">
        <v>2.68088786393773</v>
      </c>
      <c r="AR1059" s="95">
        <v>9.8350489892099695</v>
      </c>
      <c r="AS1059" s="95">
        <v>12.3170731707317</v>
      </c>
      <c r="AT1059" s="95">
        <v>6.9490282361569502</v>
      </c>
      <c r="AU1059" s="95">
        <v>5.0258472142446902</v>
      </c>
      <c r="AV1059" s="95">
        <v>3.8285714285714301</v>
      </c>
      <c r="AW1059" s="95">
        <v>5.3793103448275899</v>
      </c>
      <c r="AX1059" s="95">
        <v>5.9424629002863796</v>
      </c>
      <c r="AY1059" s="95">
        <v>1.4563106796116501</v>
      </c>
      <c r="AZ1059" s="95">
        <v>5.78218255489241</v>
      </c>
      <c r="BA1059" s="95">
        <v>8.8607594936708907</v>
      </c>
      <c r="BB1059" s="95">
        <v>4.0816326530612201</v>
      </c>
      <c r="BC1059" s="95">
        <v>4.7974413646055396</v>
      </c>
      <c r="BD1059" s="95">
        <v>5.8999942326547101</v>
      </c>
      <c r="BE1059" s="95">
        <v>2.0725388601036299</v>
      </c>
    </row>
    <row r="1060" spans="2:57" ht="15" customHeight="1" x14ac:dyDescent="0.25">
      <c r="B1060" s="91">
        <v>1050</v>
      </c>
      <c r="C1060" s="92" t="s">
        <v>504</v>
      </c>
      <c r="D1060" s="92" t="s">
        <v>85</v>
      </c>
      <c r="E1060" s="92" t="s">
        <v>412</v>
      </c>
      <c r="F1060" s="92" t="s">
        <v>291</v>
      </c>
      <c r="G1060" s="101" t="s">
        <v>502</v>
      </c>
      <c r="H1060" s="94">
        <v>8373</v>
      </c>
      <c r="I1060" s="94">
        <v>5551</v>
      </c>
      <c r="J1060" s="94">
        <v>2822</v>
      </c>
      <c r="K1060" s="94">
        <v>756</v>
      </c>
      <c r="L1060" s="94">
        <v>2345</v>
      </c>
      <c r="M1060" s="94">
        <v>4258</v>
      </c>
      <c r="N1060" s="94">
        <v>1014</v>
      </c>
      <c r="O1060" s="94">
        <v>8330</v>
      </c>
      <c r="P1060" s="94">
        <v>43</v>
      </c>
      <c r="Q1060" s="95">
        <v>0.54189796457837702</v>
      </c>
      <c r="R1060" s="95">
        <v>0.29750099166997201</v>
      </c>
      <c r="S1060" s="95">
        <v>1.03011093502377</v>
      </c>
      <c r="T1060" s="95">
        <v>0.89552238805970197</v>
      </c>
      <c r="U1060" s="95">
        <v>0.91920657958393803</v>
      </c>
      <c r="V1060" s="95">
        <v>0.35989717223650403</v>
      </c>
      <c r="W1060" s="95">
        <v>0.21299254526091599</v>
      </c>
      <c r="X1060" s="95">
        <v>0.54456103068136497</v>
      </c>
      <c r="Y1060" s="95">
        <v>0</v>
      </c>
      <c r="Z1060" s="94">
        <v>8209</v>
      </c>
      <c r="AA1060" s="94">
        <v>5096</v>
      </c>
      <c r="AB1060" s="94">
        <v>3113</v>
      </c>
      <c r="AC1060" s="94">
        <v>462</v>
      </c>
      <c r="AD1060" s="94">
        <v>2086</v>
      </c>
      <c r="AE1060" s="94">
        <v>4304</v>
      </c>
      <c r="AF1060" s="94">
        <v>1357</v>
      </c>
      <c r="AG1060" s="94">
        <v>2035</v>
      </c>
      <c r="AH1060" s="94">
        <v>5991</v>
      </c>
      <c r="AI1060" s="94">
        <v>183</v>
      </c>
      <c r="AJ1060" s="94">
        <v>8091</v>
      </c>
      <c r="AK1060" s="94">
        <v>96</v>
      </c>
      <c r="AL1060" s="94">
        <v>22</v>
      </c>
      <c r="AM1060" s="94">
        <v>529</v>
      </c>
      <c r="AN1060" s="94">
        <v>7614</v>
      </c>
      <c r="AO1060" s="94">
        <v>66</v>
      </c>
      <c r="AP1060" s="95">
        <v>2.5598147671726301</v>
      </c>
      <c r="AQ1060" s="95">
        <v>0.87773014901000201</v>
      </c>
      <c r="AR1060" s="95">
        <v>5.4260869565217398</v>
      </c>
      <c r="AS1060" s="95">
        <v>4.5662100456620998</v>
      </c>
      <c r="AT1060" s="95">
        <v>3.32122470160872</v>
      </c>
      <c r="AU1060" s="95">
        <v>2.3494860499265799</v>
      </c>
      <c r="AV1060" s="95">
        <v>1.4361300075585799</v>
      </c>
      <c r="AW1060" s="95">
        <v>1.3374485596707799</v>
      </c>
      <c r="AX1060" s="95">
        <v>2.9879773691654901</v>
      </c>
      <c r="AY1060" s="95">
        <v>2.29885057471264</v>
      </c>
      <c r="AZ1060" s="95">
        <v>2.5303247684883301</v>
      </c>
      <c r="BA1060" s="95">
        <v>4.7058823529411802</v>
      </c>
      <c r="BB1060" s="95">
        <v>4.5454545454545503</v>
      </c>
      <c r="BC1060" s="95">
        <v>1.9723865877711999</v>
      </c>
      <c r="BD1060" s="95">
        <v>2.60857499653115</v>
      </c>
      <c r="BE1060" s="95">
        <v>1.6666666666666701</v>
      </c>
    </row>
    <row r="1061" spans="2:57" ht="15" customHeight="1" x14ac:dyDescent="0.25">
      <c r="B1061" s="86">
        <v>1051</v>
      </c>
      <c r="C1061" s="87" t="s">
        <v>503</v>
      </c>
      <c r="D1061" s="103" t="s">
        <v>85</v>
      </c>
      <c r="E1061" s="103" t="s">
        <v>298</v>
      </c>
      <c r="F1061" s="103"/>
      <c r="G1061" s="88" t="s">
        <v>298</v>
      </c>
      <c r="H1061" s="89">
        <v>44915</v>
      </c>
      <c r="I1061" s="89">
        <v>29137</v>
      </c>
      <c r="J1061" s="89">
        <v>15778</v>
      </c>
      <c r="K1061" s="89">
        <v>2860</v>
      </c>
      <c r="L1061" s="89">
        <v>15346</v>
      </c>
      <c r="M1061" s="89">
        <v>23721</v>
      </c>
      <c r="N1061" s="89">
        <v>2988</v>
      </c>
      <c r="O1061" s="89">
        <v>44388</v>
      </c>
      <c r="P1061" s="89">
        <v>527</v>
      </c>
      <c r="Q1061" s="90">
        <v>1.95560795571048</v>
      </c>
      <c r="R1061" s="90">
        <v>1.1328890631125099</v>
      </c>
      <c r="S1061" s="90">
        <v>3.50955131052865</v>
      </c>
      <c r="T1061" s="90">
        <v>3.1785863655374298</v>
      </c>
      <c r="U1061" s="90">
        <v>2.2864110967151898</v>
      </c>
      <c r="V1061" s="90">
        <v>1.7046542807891201</v>
      </c>
      <c r="W1061" s="90">
        <v>1.18320610687023</v>
      </c>
      <c r="X1061" s="90">
        <v>1.9452729866424601</v>
      </c>
      <c r="Y1061" s="90">
        <v>2.8199566160520599</v>
      </c>
      <c r="Z1061" s="89">
        <v>72349</v>
      </c>
      <c r="AA1061" s="89">
        <v>42768</v>
      </c>
      <c r="AB1061" s="89">
        <v>29581</v>
      </c>
      <c r="AC1061" s="89">
        <v>3062</v>
      </c>
      <c r="AD1061" s="89">
        <v>22432</v>
      </c>
      <c r="AE1061" s="89">
        <v>41290</v>
      </c>
      <c r="AF1061" s="89">
        <v>5565</v>
      </c>
      <c r="AG1061" s="89">
        <v>14724</v>
      </c>
      <c r="AH1061" s="89">
        <v>56282</v>
      </c>
      <c r="AI1061" s="89">
        <v>1343</v>
      </c>
      <c r="AJ1061" s="89">
        <v>71157</v>
      </c>
      <c r="AK1061" s="89">
        <v>937</v>
      </c>
      <c r="AL1061" s="89">
        <v>255</v>
      </c>
      <c r="AM1061" s="89">
        <v>3567</v>
      </c>
      <c r="AN1061" s="89">
        <v>67919</v>
      </c>
      <c r="AO1061" s="89">
        <v>863</v>
      </c>
      <c r="AP1061" s="90">
        <v>6.2762321621297499</v>
      </c>
      <c r="AQ1061" s="90">
        <v>2.6833540656495098</v>
      </c>
      <c r="AR1061" s="90">
        <v>11.456388858387299</v>
      </c>
      <c r="AS1061" s="90">
        <v>11.5992970123023</v>
      </c>
      <c r="AT1061" s="90">
        <v>7.4981586054505298</v>
      </c>
      <c r="AU1061" s="90">
        <v>5.5449480815002703</v>
      </c>
      <c r="AV1061" s="90">
        <v>3.9855760106282001</v>
      </c>
      <c r="AW1061" s="90">
        <v>5.9618441971383103</v>
      </c>
      <c r="AX1061" s="90">
        <v>6.3944604553103401</v>
      </c>
      <c r="AY1061" s="90">
        <v>4.7740835464620597</v>
      </c>
      <c r="AZ1061" s="90">
        <v>6.2538105109132998</v>
      </c>
      <c r="BA1061" s="90">
        <v>8.8404133180252593</v>
      </c>
      <c r="BB1061" s="90">
        <v>3.0042918454935599</v>
      </c>
      <c r="BC1061" s="90">
        <v>5.5605114481118099</v>
      </c>
      <c r="BD1061" s="90">
        <v>6.3228219348858001</v>
      </c>
      <c r="BE1061" s="90">
        <v>5.6265984654731502</v>
      </c>
    </row>
    <row r="1062" spans="2:57" ht="15" customHeight="1" x14ac:dyDescent="0.25">
      <c r="B1062" s="91">
        <v>1052</v>
      </c>
      <c r="C1062" s="92" t="s">
        <v>503</v>
      </c>
      <c r="D1062" s="92" t="s">
        <v>85</v>
      </c>
      <c r="E1062" s="92" t="s">
        <v>298</v>
      </c>
      <c r="F1062" s="92"/>
      <c r="G1062" s="93" t="s">
        <v>501</v>
      </c>
      <c r="H1062" s="94">
        <v>36371</v>
      </c>
      <c r="I1062" s="94">
        <v>22613</v>
      </c>
      <c r="J1062" s="94">
        <v>13758</v>
      </c>
      <c r="K1062" s="94">
        <v>2211</v>
      </c>
      <c r="L1062" s="94">
        <v>12688</v>
      </c>
      <c r="M1062" s="94">
        <v>19415</v>
      </c>
      <c r="N1062" s="94">
        <v>2057</v>
      </c>
      <c r="O1062" s="94">
        <v>35947</v>
      </c>
      <c r="P1062" s="94">
        <v>424</v>
      </c>
      <c r="Q1062" s="95">
        <v>2.1431280819319798</v>
      </c>
      <c r="R1062" s="95">
        <v>1.19775610249153</v>
      </c>
      <c r="S1062" s="95">
        <v>3.7218330660815302</v>
      </c>
      <c r="T1062" s="95">
        <v>3.7837837837837802</v>
      </c>
      <c r="U1062" s="95">
        <v>2.5036818851251801</v>
      </c>
      <c r="V1062" s="95">
        <v>1.82360161318604</v>
      </c>
      <c r="W1062" s="95">
        <v>1.32377275234418</v>
      </c>
      <c r="X1062" s="95">
        <v>2.1271151201100298</v>
      </c>
      <c r="Y1062" s="95">
        <v>3.4852546916890099</v>
      </c>
      <c r="Z1062" s="94">
        <v>63638</v>
      </c>
      <c r="AA1062" s="94">
        <v>36760</v>
      </c>
      <c r="AB1062" s="94">
        <v>26878</v>
      </c>
      <c r="AC1062" s="94">
        <v>2654</v>
      </c>
      <c r="AD1062" s="94">
        <v>19924</v>
      </c>
      <c r="AE1062" s="94">
        <v>36576</v>
      </c>
      <c r="AF1062" s="94">
        <v>4484</v>
      </c>
      <c r="AG1062" s="94">
        <v>12976</v>
      </c>
      <c r="AH1062" s="94">
        <v>49483</v>
      </c>
      <c r="AI1062" s="94">
        <v>1179</v>
      </c>
      <c r="AJ1062" s="94">
        <v>62596</v>
      </c>
      <c r="AK1062" s="94">
        <v>840</v>
      </c>
      <c r="AL1062" s="94">
        <v>202</v>
      </c>
      <c r="AM1062" s="94">
        <v>3061</v>
      </c>
      <c r="AN1062" s="94">
        <v>59839</v>
      </c>
      <c r="AO1062" s="94">
        <v>738</v>
      </c>
      <c r="AP1062" s="95">
        <v>6.68621500903543</v>
      </c>
      <c r="AQ1062" s="95">
        <v>2.9999408878642799</v>
      </c>
      <c r="AR1062" s="95">
        <v>11.710441508217899</v>
      </c>
      <c r="AS1062" s="95">
        <v>12.3832724319935</v>
      </c>
      <c r="AT1062" s="95">
        <v>7.9225449515906003</v>
      </c>
      <c r="AU1062" s="95">
        <v>5.8755828365696701</v>
      </c>
      <c r="AV1062" s="95">
        <v>4.5819555975436899</v>
      </c>
      <c r="AW1062" s="95">
        <v>6.3894356955380598</v>
      </c>
      <c r="AX1062" s="95">
        <v>6.7991286553567898</v>
      </c>
      <c r="AY1062" s="95">
        <v>5.2011776251226696</v>
      </c>
      <c r="AZ1062" s="95">
        <v>6.6590404880754299</v>
      </c>
      <c r="BA1062" s="95">
        <v>9.6401028277634992</v>
      </c>
      <c r="BB1062" s="95">
        <v>2.7173913043478302</v>
      </c>
      <c r="BC1062" s="95">
        <v>6.0395695938910103</v>
      </c>
      <c r="BD1062" s="95">
        <v>6.7265469061876297</v>
      </c>
      <c r="BE1062" s="95">
        <v>6.1469265367316304</v>
      </c>
    </row>
    <row r="1063" spans="2:57" ht="15" customHeight="1" x14ac:dyDescent="0.25">
      <c r="B1063" s="91">
        <v>1053</v>
      </c>
      <c r="C1063" s="92" t="s">
        <v>503</v>
      </c>
      <c r="D1063" s="92" t="s">
        <v>85</v>
      </c>
      <c r="E1063" s="92" t="s">
        <v>298</v>
      </c>
      <c r="F1063" s="92"/>
      <c r="G1063" s="93" t="s">
        <v>502</v>
      </c>
      <c r="H1063" s="94">
        <v>8544</v>
      </c>
      <c r="I1063" s="94">
        <v>6524</v>
      </c>
      <c r="J1063" s="94">
        <v>2020</v>
      </c>
      <c r="K1063" s="94">
        <v>649</v>
      </c>
      <c r="L1063" s="94">
        <v>2658</v>
      </c>
      <c r="M1063" s="94">
        <v>4306</v>
      </c>
      <c r="N1063" s="94">
        <v>931</v>
      </c>
      <c r="O1063" s="94">
        <v>8441</v>
      </c>
      <c r="P1063" s="94">
        <v>103</v>
      </c>
      <c r="Q1063" s="95">
        <v>1.1517615176151801</v>
      </c>
      <c r="R1063" s="95">
        <v>0.90861436309627797</v>
      </c>
      <c r="S1063" s="95">
        <v>1.9915509957755</v>
      </c>
      <c r="T1063" s="95">
        <v>1.1090573012939</v>
      </c>
      <c r="U1063" s="95">
        <v>1.2405848471422201</v>
      </c>
      <c r="V1063" s="95">
        <v>1.1655629139072801</v>
      </c>
      <c r="W1063" s="95">
        <v>0.86741016109045899</v>
      </c>
      <c r="X1063" s="95">
        <v>1.16566099835436</v>
      </c>
      <c r="Y1063" s="95">
        <v>0</v>
      </c>
      <c r="Z1063" s="94">
        <v>8711</v>
      </c>
      <c r="AA1063" s="94">
        <v>6008</v>
      </c>
      <c r="AB1063" s="94">
        <v>2703</v>
      </c>
      <c r="AC1063" s="94">
        <v>408</v>
      </c>
      <c r="AD1063" s="94">
        <v>2508</v>
      </c>
      <c r="AE1063" s="94">
        <v>4714</v>
      </c>
      <c r="AF1063" s="94">
        <v>1081</v>
      </c>
      <c r="AG1063" s="94">
        <v>1748</v>
      </c>
      <c r="AH1063" s="94">
        <v>6799</v>
      </c>
      <c r="AI1063" s="94">
        <v>164</v>
      </c>
      <c r="AJ1063" s="94">
        <v>8561</v>
      </c>
      <c r="AK1063" s="94">
        <v>97</v>
      </c>
      <c r="AL1063" s="94">
        <v>53</v>
      </c>
      <c r="AM1063" s="94">
        <v>506</v>
      </c>
      <c r="AN1063" s="94">
        <v>8080</v>
      </c>
      <c r="AO1063" s="94">
        <v>125</v>
      </c>
      <c r="AP1063" s="95">
        <v>3.29029053886268</v>
      </c>
      <c r="AQ1063" s="95">
        <v>0.75580349109231604</v>
      </c>
      <c r="AR1063" s="95">
        <v>8.9307168602322804</v>
      </c>
      <c r="AS1063" s="95">
        <v>6.5445026178010499</v>
      </c>
      <c r="AT1063" s="95">
        <v>4.1484716157205197</v>
      </c>
      <c r="AU1063" s="95">
        <v>2.9675638371290498</v>
      </c>
      <c r="AV1063" s="95">
        <v>1.5458937198067599</v>
      </c>
      <c r="AW1063" s="95">
        <v>2.7946537059538299</v>
      </c>
      <c r="AX1063" s="95">
        <v>3.4537895746722098</v>
      </c>
      <c r="AY1063" s="95">
        <v>1.94805194805195</v>
      </c>
      <c r="AZ1063" s="95">
        <v>3.2987866531850401</v>
      </c>
      <c r="BA1063" s="95">
        <v>2.1505376344085998</v>
      </c>
      <c r="BB1063" s="95">
        <v>4.0816326530612201</v>
      </c>
      <c r="BC1063" s="95">
        <v>2.6970954356846502</v>
      </c>
      <c r="BD1063" s="95">
        <v>3.3391444280541802</v>
      </c>
      <c r="BE1063" s="95">
        <v>2.60869565217391</v>
      </c>
    </row>
    <row r="1064" spans="2:57" ht="15" customHeight="1" x14ac:dyDescent="0.25">
      <c r="B1064" s="96">
        <v>1054</v>
      </c>
      <c r="C1064" s="97" t="s">
        <v>504</v>
      </c>
      <c r="D1064" s="104" t="s">
        <v>85</v>
      </c>
      <c r="E1064" s="104" t="s">
        <v>298</v>
      </c>
      <c r="F1064" s="104" t="s">
        <v>298</v>
      </c>
      <c r="G1064" s="105" t="s">
        <v>298</v>
      </c>
      <c r="H1064" s="106">
        <v>40191</v>
      </c>
      <c r="I1064" s="106">
        <v>25808</v>
      </c>
      <c r="J1064" s="106">
        <v>14383</v>
      </c>
      <c r="K1064" s="106">
        <v>2539</v>
      </c>
      <c r="L1064" s="106">
        <v>13782</v>
      </c>
      <c r="M1064" s="106">
        <v>21317</v>
      </c>
      <c r="N1064" s="106">
        <v>2553</v>
      </c>
      <c r="O1064" s="106">
        <v>39811</v>
      </c>
      <c r="P1064" s="106">
        <v>380</v>
      </c>
      <c r="Q1064" s="107">
        <v>1.92735994517732</v>
      </c>
      <c r="R1064" s="107">
        <v>1.05635359116022</v>
      </c>
      <c r="S1064" s="107">
        <v>3.5169799144954399</v>
      </c>
      <c r="T1064" s="107">
        <v>3.1554524361949001</v>
      </c>
      <c r="U1064" s="107">
        <v>2.2917547568710401</v>
      </c>
      <c r="V1064" s="107">
        <v>1.6499893549073901</v>
      </c>
      <c r="W1064" s="107">
        <v>1.1535048802129499</v>
      </c>
      <c r="X1064" s="107">
        <v>1.9108830989162999</v>
      </c>
      <c r="Y1064" s="107">
        <v>3.6809815950920202</v>
      </c>
      <c r="Z1064" s="106">
        <v>68065</v>
      </c>
      <c r="AA1064" s="106">
        <v>39993</v>
      </c>
      <c r="AB1064" s="106">
        <v>28072</v>
      </c>
      <c r="AC1064" s="106">
        <v>2899</v>
      </c>
      <c r="AD1064" s="106">
        <v>21256</v>
      </c>
      <c r="AE1064" s="106">
        <v>38879</v>
      </c>
      <c r="AF1064" s="106">
        <v>5031</v>
      </c>
      <c r="AG1064" s="106">
        <v>14056</v>
      </c>
      <c r="AH1064" s="106">
        <v>52724</v>
      </c>
      <c r="AI1064" s="106">
        <v>1285</v>
      </c>
      <c r="AJ1064" s="106">
        <v>66999</v>
      </c>
      <c r="AK1064" s="106">
        <v>829</v>
      </c>
      <c r="AL1064" s="106">
        <v>237</v>
      </c>
      <c r="AM1064" s="106">
        <v>3351</v>
      </c>
      <c r="AN1064" s="106">
        <v>63884</v>
      </c>
      <c r="AO1064" s="106">
        <v>830</v>
      </c>
      <c r="AP1064" s="107">
        <v>6.39604434165404</v>
      </c>
      <c r="AQ1064" s="107">
        <v>2.7888771100057101</v>
      </c>
      <c r="AR1064" s="107">
        <v>11.518567127306399</v>
      </c>
      <c r="AS1064" s="107">
        <v>11.804008908686001</v>
      </c>
      <c r="AT1064" s="107">
        <v>7.58370101219829</v>
      </c>
      <c r="AU1064" s="107">
        <v>5.6483669214732499</v>
      </c>
      <c r="AV1064" s="107">
        <v>4.1797941608905704</v>
      </c>
      <c r="AW1064" s="107">
        <v>6.0511966070887597</v>
      </c>
      <c r="AX1064" s="107">
        <v>6.5285702472504799</v>
      </c>
      <c r="AY1064" s="107">
        <v>4.7363717605004503</v>
      </c>
      <c r="AZ1064" s="107">
        <v>6.3716355268914802</v>
      </c>
      <c r="BA1064" s="107">
        <v>9.5176010430247704</v>
      </c>
      <c r="BB1064" s="107">
        <v>2.30414746543779</v>
      </c>
      <c r="BC1064" s="107">
        <v>5.6591843186847903</v>
      </c>
      <c r="BD1064" s="107">
        <v>6.4496920616557203</v>
      </c>
      <c r="BE1064" s="107">
        <v>5.3050397877984103</v>
      </c>
    </row>
    <row r="1065" spans="2:57" ht="15" customHeight="1" x14ac:dyDescent="0.25">
      <c r="B1065" s="91">
        <v>1055</v>
      </c>
      <c r="C1065" s="92" t="s">
        <v>504</v>
      </c>
      <c r="D1065" s="92" t="s">
        <v>85</v>
      </c>
      <c r="E1065" s="92" t="s">
        <v>298</v>
      </c>
      <c r="F1065" s="92" t="s">
        <v>298</v>
      </c>
      <c r="G1065" s="101" t="s">
        <v>501</v>
      </c>
      <c r="H1065" s="94">
        <v>34065</v>
      </c>
      <c r="I1065" s="94">
        <v>21096</v>
      </c>
      <c r="J1065" s="94">
        <v>12969</v>
      </c>
      <c r="K1065" s="94">
        <v>2065</v>
      </c>
      <c r="L1065" s="94">
        <v>11859</v>
      </c>
      <c r="M1065" s="94">
        <v>18258</v>
      </c>
      <c r="N1065" s="94">
        <v>1883</v>
      </c>
      <c r="O1065" s="94">
        <v>33717</v>
      </c>
      <c r="P1065" s="94">
        <v>348</v>
      </c>
      <c r="Q1065" s="95">
        <v>2.1657123610643301</v>
      </c>
      <c r="R1065" s="95">
        <v>1.23897635665206</v>
      </c>
      <c r="S1065" s="95">
        <v>3.6941197465869502</v>
      </c>
      <c r="T1065" s="95">
        <v>3.8285714285714301</v>
      </c>
      <c r="U1065" s="95">
        <v>2.5361250368622801</v>
      </c>
      <c r="V1065" s="95">
        <v>1.8387377313952</v>
      </c>
      <c r="W1065" s="95">
        <v>1.31815458358298</v>
      </c>
      <c r="X1065" s="95">
        <v>2.1471348849870702</v>
      </c>
      <c r="Y1065" s="95">
        <v>3.9735099337748299</v>
      </c>
      <c r="Z1065" s="94">
        <v>61563</v>
      </c>
      <c r="AA1065" s="94">
        <v>35517</v>
      </c>
      <c r="AB1065" s="94">
        <v>26046</v>
      </c>
      <c r="AC1065" s="94">
        <v>2588</v>
      </c>
      <c r="AD1065" s="94">
        <v>19323</v>
      </c>
      <c r="AE1065" s="94">
        <v>35376</v>
      </c>
      <c r="AF1065" s="94">
        <v>4276</v>
      </c>
      <c r="AG1065" s="94">
        <v>12718</v>
      </c>
      <c r="AH1065" s="94">
        <v>47690</v>
      </c>
      <c r="AI1065" s="94">
        <v>1155</v>
      </c>
      <c r="AJ1065" s="94">
        <v>60572</v>
      </c>
      <c r="AK1065" s="94">
        <v>794</v>
      </c>
      <c r="AL1065" s="94">
        <v>197</v>
      </c>
      <c r="AM1065" s="94">
        <v>2987</v>
      </c>
      <c r="AN1065" s="94">
        <v>57859</v>
      </c>
      <c r="AO1065" s="94">
        <v>717</v>
      </c>
      <c r="AP1065" s="95">
        <v>6.7407407407407396</v>
      </c>
      <c r="AQ1065" s="95">
        <v>3.0498821079707299</v>
      </c>
      <c r="AR1065" s="95">
        <v>11.7539408559664</v>
      </c>
      <c r="AS1065" s="95">
        <v>12.4583333333333</v>
      </c>
      <c r="AT1065" s="95">
        <v>7.94838120253526</v>
      </c>
      <c r="AU1065" s="95">
        <v>5.9355153883732301</v>
      </c>
      <c r="AV1065" s="95">
        <v>4.6344485749690199</v>
      </c>
      <c r="AW1065" s="95">
        <v>6.4478311840562696</v>
      </c>
      <c r="AX1065" s="95">
        <v>6.8599894883572103</v>
      </c>
      <c r="AY1065" s="95">
        <v>5.0150451354062202</v>
      </c>
      <c r="AZ1065" s="95">
        <v>6.7145853125167996</v>
      </c>
      <c r="BA1065" s="95">
        <v>9.6994535519125709</v>
      </c>
      <c r="BB1065" s="95">
        <v>2.7932960893854699</v>
      </c>
      <c r="BC1065" s="95">
        <v>6.0433700675435498</v>
      </c>
      <c r="BD1065" s="95">
        <v>6.7882567290895803</v>
      </c>
      <c r="BE1065" s="95">
        <v>5.8641975308641996</v>
      </c>
    </row>
    <row r="1066" spans="2:57" ht="15" customHeight="1" x14ac:dyDescent="0.25">
      <c r="B1066" s="91">
        <v>1056</v>
      </c>
      <c r="C1066" s="92" t="s">
        <v>504</v>
      </c>
      <c r="D1066" s="92" t="s">
        <v>85</v>
      </c>
      <c r="E1066" s="92" t="s">
        <v>298</v>
      </c>
      <c r="F1066" s="92" t="s">
        <v>298</v>
      </c>
      <c r="G1066" s="101" t="s">
        <v>502</v>
      </c>
      <c r="H1066" s="94">
        <v>6126</v>
      </c>
      <c r="I1066" s="94">
        <v>4712</v>
      </c>
      <c r="J1066" s="94">
        <v>1414</v>
      </c>
      <c r="K1066" s="94">
        <v>474</v>
      </c>
      <c r="L1066" s="94">
        <v>1923</v>
      </c>
      <c r="M1066" s="94">
        <v>3059</v>
      </c>
      <c r="N1066" s="94">
        <v>670</v>
      </c>
      <c r="O1066" s="94">
        <v>6094</v>
      </c>
      <c r="P1066" s="94">
        <v>32</v>
      </c>
      <c r="Q1066" s="95">
        <v>0.60015003750937701</v>
      </c>
      <c r="R1066" s="95">
        <v>0.24142926122646099</v>
      </c>
      <c r="S1066" s="95">
        <v>1.8487394957983201</v>
      </c>
      <c r="T1066" s="95">
        <v>0.24691358024691401</v>
      </c>
      <c r="U1066" s="95">
        <v>0.78692493946731201</v>
      </c>
      <c r="V1066" s="95">
        <v>0.52044609665427499</v>
      </c>
      <c r="W1066" s="95">
        <v>0.683760683760684</v>
      </c>
      <c r="X1066" s="95">
        <v>0.60286360211002299</v>
      </c>
      <c r="Y1066" s="95">
        <v>0</v>
      </c>
      <c r="Z1066" s="94">
        <v>6502</v>
      </c>
      <c r="AA1066" s="94">
        <v>4476</v>
      </c>
      <c r="AB1066" s="94">
        <v>2026</v>
      </c>
      <c r="AC1066" s="94">
        <v>311</v>
      </c>
      <c r="AD1066" s="94">
        <v>1933</v>
      </c>
      <c r="AE1066" s="94">
        <v>3503</v>
      </c>
      <c r="AF1066" s="94">
        <v>755</v>
      </c>
      <c r="AG1066" s="94">
        <v>1338</v>
      </c>
      <c r="AH1066" s="94">
        <v>5034</v>
      </c>
      <c r="AI1066" s="94">
        <v>130</v>
      </c>
      <c r="AJ1066" s="94">
        <v>6427</v>
      </c>
      <c r="AK1066" s="94">
        <v>35</v>
      </c>
      <c r="AL1066" s="94">
        <v>40</v>
      </c>
      <c r="AM1066" s="94">
        <v>364</v>
      </c>
      <c r="AN1066" s="94">
        <v>6025</v>
      </c>
      <c r="AO1066" s="94">
        <v>113</v>
      </c>
      <c r="AP1066" s="95">
        <v>3.1359466221851502</v>
      </c>
      <c r="AQ1066" s="95">
        <v>0.72604065827686304</v>
      </c>
      <c r="AR1066" s="95">
        <v>8.4809447128287694</v>
      </c>
      <c r="AS1066" s="95">
        <v>6.4625850340136104</v>
      </c>
      <c r="AT1066" s="95">
        <v>3.9383561643835598</v>
      </c>
      <c r="AU1066" s="95">
        <v>2.7303754266211602</v>
      </c>
      <c r="AV1066" s="95">
        <v>1.65289256198347</v>
      </c>
      <c r="AW1066" s="95">
        <v>2.2979397781299502</v>
      </c>
      <c r="AX1066" s="95">
        <v>3.38321405335068</v>
      </c>
      <c r="AY1066" s="95">
        <v>2.4590163934426199</v>
      </c>
      <c r="AZ1066" s="95">
        <v>3.1408308004052699</v>
      </c>
      <c r="BA1066" s="95">
        <v>5.71428571428571</v>
      </c>
      <c r="BB1066" s="95">
        <v>0</v>
      </c>
      <c r="BC1066" s="95">
        <v>2.5714285714285698</v>
      </c>
      <c r="BD1066" s="95">
        <v>3.19552265751941</v>
      </c>
      <c r="BE1066" s="95">
        <v>1.88679245283019</v>
      </c>
    </row>
    <row r="1067" spans="2:57" ht="15" customHeight="1" x14ac:dyDescent="0.25">
      <c r="B1067" s="96">
        <v>1057</v>
      </c>
      <c r="C1067" s="97" t="s">
        <v>504</v>
      </c>
      <c r="D1067" s="104" t="s">
        <v>85</v>
      </c>
      <c r="E1067" s="104" t="s">
        <v>298</v>
      </c>
      <c r="F1067" s="104" t="s">
        <v>91</v>
      </c>
      <c r="G1067" s="105" t="s">
        <v>91</v>
      </c>
      <c r="H1067" s="106">
        <v>4724</v>
      </c>
      <c r="I1067" s="106">
        <v>3329</v>
      </c>
      <c r="J1067" s="106">
        <v>1395</v>
      </c>
      <c r="K1067" s="106">
        <v>321</v>
      </c>
      <c r="L1067" s="106">
        <v>1564</v>
      </c>
      <c r="M1067" s="106">
        <v>2404</v>
      </c>
      <c r="N1067" s="106">
        <v>435</v>
      </c>
      <c r="O1067" s="106">
        <v>4577</v>
      </c>
      <c r="P1067" s="106">
        <v>147</v>
      </c>
      <c r="Q1067" s="107">
        <v>2.2033049574361501</v>
      </c>
      <c r="R1067" s="107">
        <v>1.7331022530329301</v>
      </c>
      <c r="S1067" s="107">
        <v>3.4265103697024299</v>
      </c>
      <c r="T1067" s="107">
        <v>3.3898305084745801</v>
      </c>
      <c r="U1067" s="107">
        <v>2.2376543209876498</v>
      </c>
      <c r="V1067" s="107">
        <v>2.19465648854962</v>
      </c>
      <c r="W1067" s="107">
        <v>1.3661202185792301</v>
      </c>
      <c r="X1067" s="107">
        <v>2.2544700699663101</v>
      </c>
      <c r="Y1067" s="107">
        <v>0.74074074074074103</v>
      </c>
      <c r="Z1067" s="106">
        <v>4284</v>
      </c>
      <c r="AA1067" s="106">
        <v>2775</v>
      </c>
      <c r="AB1067" s="106">
        <v>1509</v>
      </c>
      <c r="AC1067" s="106">
        <v>163</v>
      </c>
      <c r="AD1067" s="106">
        <v>1176</v>
      </c>
      <c r="AE1067" s="106">
        <v>2411</v>
      </c>
      <c r="AF1067" s="106">
        <v>534</v>
      </c>
      <c r="AG1067" s="106">
        <v>668</v>
      </c>
      <c r="AH1067" s="106">
        <v>3558</v>
      </c>
      <c r="AI1067" s="106">
        <v>58</v>
      </c>
      <c r="AJ1067" s="106">
        <v>4158</v>
      </c>
      <c r="AK1067" s="106">
        <v>108</v>
      </c>
      <c r="AL1067" s="106">
        <v>18</v>
      </c>
      <c r="AM1067" s="106">
        <v>216</v>
      </c>
      <c r="AN1067" s="106">
        <v>4035</v>
      </c>
      <c r="AO1067" s="106">
        <v>33</v>
      </c>
      <c r="AP1067" s="107">
        <v>4.4062733383121699</v>
      </c>
      <c r="AQ1067" s="107">
        <v>1.1913912375096101</v>
      </c>
      <c r="AR1067" s="107">
        <v>10.3180212014134</v>
      </c>
      <c r="AS1067" s="107">
        <v>7.9470198675496704</v>
      </c>
      <c r="AT1067" s="107">
        <v>6</v>
      </c>
      <c r="AU1067" s="107">
        <v>3.8972542072630598</v>
      </c>
      <c r="AV1067" s="107">
        <v>2.1653543307086598</v>
      </c>
      <c r="AW1067" s="107">
        <v>4.1009463722397497</v>
      </c>
      <c r="AX1067" s="107">
        <v>4.4457795133673796</v>
      </c>
      <c r="AY1067" s="107">
        <v>5.5555555555555598</v>
      </c>
      <c r="AZ1067" s="107">
        <v>4.3879907621247103</v>
      </c>
      <c r="BA1067" s="107">
        <v>3.8461538461538498</v>
      </c>
      <c r="BB1067" s="107">
        <v>12.5</v>
      </c>
      <c r="BC1067" s="107">
        <v>4</v>
      </c>
      <c r="BD1067" s="107">
        <v>4.3547110055423603</v>
      </c>
      <c r="BE1067" s="107">
        <v>14.285714285714301</v>
      </c>
    </row>
    <row r="1068" spans="2:57" ht="15" customHeight="1" x14ac:dyDescent="0.25">
      <c r="B1068" s="91">
        <v>1058</v>
      </c>
      <c r="C1068" s="92" t="s">
        <v>504</v>
      </c>
      <c r="D1068" s="92" t="s">
        <v>85</v>
      </c>
      <c r="E1068" s="92" t="s">
        <v>298</v>
      </c>
      <c r="F1068" s="92" t="s">
        <v>91</v>
      </c>
      <c r="G1068" s="101" t="s">
        <v>501</v>
      </c>
      <c r="H1068" s="94">
        <v>2306</v>
      </c>
      <c r="I1068" s="94">
        <v>1517</v>
      </c>
      <c r="J1068" s="94">
        <v>789</v>
      </c>
      <c r="K1068" s="94">
        <v>146</v>
      </c>
      <c r="L1068" s="94">
        <v>829</v>
      </c>
      <c r="M1068" s="94">
        <v>1157</v>
      </c>
      <c r="N1068" s="94">
        <v>174</v>
      </c>
      <c r="O1068" s="94">
        <v>2230</v>
      </c>
      <c r="P1068" s="94">
        <v>76</v>
      </c>
      <c r="Q1068" s="95">
        <v>1.7985611510791399</v>
      </c>
      <c r="R1068" s="95">
        <v>0.61349693251533699</v>
      </c>
      <c r="S1068" s="95">
        <v>4.2056074766355103</v>
      </c>
      <c r="T1068" s="95">
        <v>3</v>
      </c>
      <c r="U1068" s="95">
        <v>2.0260492040521001</v>
      </c>
      <c r="V1068" s="95">
        <v>1.5825914935707199</v>
      </c>
      <c r="W1068" s="95">
        <v>1.3888888888888899</v>
      </c>
      <c r="X1068" s="95">
        <v>1.8133333333333299</v>
      </c>
      <c r="Y1068" s="95">
        <v>1.40845070422535</v>
      </c>
      <c r="Z1068" s="94">
        <v>2075</v>
      </c>
      <c r="AA1068" s="94">
        <v>1243</v>
      </c>
      <c r="AB1068" s="94">
        <v>832</v>
      </c>
      <c r="AC1068" s="94">
        <v>66</v>
      </c>
      <c r="AD1068" s="94">
        <v>601</v>
      </c>
      <c r="AE1068" s="94">
        <v>1200</v>
      </c>
      <c r="AF1068" s="94">
        <v>208</v>
      </c>
      <c r="AG1068" s="94">
        <v>258</v>
      </c>
      <c r="AH1068" s="94">
        <v>1793</v>
      </c>
      <c r="AI1068" s="94">
        <v>24</v>
      </c>
      <c r="AJ1068" s="94">
        <v>2024</v>
      </c>
      <c r="AK1068" s="94">
        <v>46</v>
      </c>
      <c r="AL1068" s="94">
        <v>5</v>
      </c>
      <c r="AM1068" s="94">
        <v>74</v>
      </c>
      <c r="AN1068" s="94">
        <v>1980</v>
      </c>
      <c r="AO1068" s="94">
        <v>21</v>
      </c>
      <c r="AP1068" s="95">
        <v>5.1072522982635302</v>
      </c>
      <c r="AQ1068" s="95">
        <v>1.6142735768904</v>
      </c>
      <c r="AR1068" s="95">
        <v>10.371318822022999</v>
      </c>
      <c r="AS1068" s="95">
        <v>9.5238095238095202</v>
      </c>
      <c r="AT1068" s="95">
        <v>7.1174377224199299</v>
      </c>
      <c r="AU1068" s="95">
        <v>4.1446208112874796</v>
      </c>
      <c r="AV1068" s="95">
        <v>3.5175879396984899</v>
      </c>
      <c r="AW1068" s="95">
        <v>3.6</v>
      </c>
      <c r="AX1068" s="95">
        <v>5.2194543297746101</v>
      </c>
      <c r="AY1068" s="95">
        <v>13.636363636363599</v>
      </c>
      <c r="AZ1068" s="95">
        <v>5.0340849501835301</v>
      </c>
      <c r="BA1068" s="95">
        <v>8.6956521739130395</v>
      </c>
      <c r="BB1068" s="95">
        <v>0</v>
      </c>
      <c r="BC1068" s="95">
        <v>5.8823529411764701</v>
      </c>
      <c r="BD1068" s="95">
        <v>4.9706039551042203</v>
      </c>
      <c r="BE1068" s="95">
        <v>15.789473684210501</v>
      </c>
    </row>
    <row r="1069" spans="2:57" ht="15" customHeight="1" x14ac:dyDescent="0.25">
      <c r="B1069" s="91">
        <v>1059</v>
      </c>
      <c r="C1069" s="92" t="s">
        <v>504</v>
      </c>
      <c r="D1069" s="92" t="s">
        <v>85</v>
      </c>
      <c r="E1069" s="92" t="s">
        <v>298</v>
      </c>
      <c r="F1069" s="92" t="s">
        <v>91</v>
      </c>
      <c r="G1069" s="101" t="s">
        <v>502</v>
      </c>
      <c r="H1069" s="94">
        <v>2418</v>
      </c>
      <c r="I1069" s="94">
        <v>1812</v>
      </c>
      <c r="J1069" s="94">
        <v>606</v>
      </c>
      <c r="K1069" s="94">
        <v>175</v>
      </c>
      <c r="L1069" s="94">
        <v>735</v>
      </c>
      <c r="M1069" s="94">
        <v>1247</v>
      </c>
      <c r="N1069" s="94">
        <v>261</v>
      </c>
      <c r="O1069" s="94">
        <v>2347</v>
      </c>
      <c r="P1069" s="94">
        <v>71</v>
      </c>
      <c r="Q1069" s="95">
        <v>2.587890625</v>
      </c>
      <c r="R1069" s="95">
        <v>2.6565464895635702</v>
      </c>
      <c r="S1069" s="95">
        <v>2.35546038543897</v>
      </c>
      <c r="T1069" s="95">
        <v>3.6764705882352899</v>
      </c>
      <c r="U1069" s="95">
        <v>2.4793388429752099</v>
      </c>
      <c r="V1069" s="95">
        <v>2.7649769585253501</v>
      </c>
      <c r="W1069" s="95">
        <v>1.35135135135135</v>
      </c>
      <c r="X1069" s="95">
        <v>2.6713709677419399</v>
      </c>
      <c r="Y1069" s="95">
        <v>0</v>
      </c>
      <c r="Z1069" s="94">
        <v>2209</v>
      </c>
      <c r="AA1069" s="94">
        <v>1532</v>
      </c>
      <c r="AB1069" s="94">
        <v>677</v>
      </c>
      <c r="AC1069" s="94">
        <v>97</v>
      </c>
      <c r="AD1069" s="94">
        <v>575</v>
      </c>
      <c r="AE1069" s="94">
        <v>1211</v>
      </c>
      <c r="AF1069" s="94">
        <v>326</v>
      </c>
      <c r="AG1069" s="94">
        <v>410</v>
      </c>
      <c r="AH1069" s="94">
        <v>1765</v>
      </c>
      <c r="AI1069" s="94">
        <v>34</v>
      </c>
      <c r="AJ1069" s="94">
        <v>2134</v>
      </c>
      <c r="AK1069" s="94">
        <v>62</v>
      </c>
      <c r="AL1069" s="94">
        <v>13</v>
      </c>
      <c r="AM1069" s="94">
        <v>142</v>
      </c>
      <c r="AN1069" s="94">
        <v>2055</v>
      </c>
      <c r="AO1069" s="94">
        <v>12</v>
      </c>
      <c r="AP1069" s="95">
        <v>3.7396794560466202</v>
      </c>
      <c r="AQ1069" s="95">
        <v>0.84210526315789502</v>
      </c>
      <c r="AR1069" s="95">
        <v>10.252365930599399</v>
      </c>
      <c r="AS1069" s="95">
        <v>6.8181818181818201</v>
      </c>
      <c r="AT1069" s="95">
        <v>4.8327137546468402</v>
      </c>
      <c r="AU1069" s="95">
        <v>3.6476868327402099</v>
      </c>
      <c r="AV1069" s="95">
        <v>1.2944983818770199</v>
      </c>
      <c r="AW1069" s="95">
        <v>4.4270833333333304</v>
      </c>
      <c r="AX1069" s="95">
        <v>3.65185636031649</v>
      </c>
      <c r="AY1069" s="95">
        <v>0</v>
      </c>
      <c r="AZ1069" s="95">
        <v>3.76884422110553</v>
      </c>
      <c r="BA1069" s="95">
        <v>0</v>
      </c>
      <c r="BB1069" s="95">
        <v>18.181818181818201</v>
      </c>
      <c r="BC1069" s="95">
        <v>3.0303030303030298</v>
      </c>
      <c r="BD1069" s="95">
        <v>3.7539103232533901</v>
      </c>
      <c r="BE1069" s="95">
        <v>11.1111111111111</v>
      </c>
    </row>
    <row r="1070" spans="2:57" ht="15" customHeight="1" x14ac:dyDescent="0.25">
      <c r="B1070" s="86">
        <v>1060</v>
      </c>
      <c r="C1070" s="87" t="s">
        <v>503</v>
      </c>
      <c r="D1070" s="103" t="s">
        <v>85</v>
      </c>
      <c r="E1070" s="103" t="s">
        <v>413</v>
      </c>
      <c r="F1070" s="103"/>
      <c r="G1070" s="88" t="s">
        <v>413</v>
      </c>
      <c r="H1070" s="89">
        <v>27592</v>
      </c>
      <c r="I1070" s="89">
        <v>18151</v>
      </c>
      <c r="J1070" s="89">
        <v>9441</v>
      </c>
      <c r="K1070" s="89">
        <v>1945</v>
      </c>
      <c r="L1070" s="89">
        <v>8511</v>
      </c>
      <c r="M1070" s="89">
        <v>14595</v>
      </c>
      <c r="N1070" s="89">
        <v>2541</v>
      </c>
      <c r="O1070" s="89">
        <v>27119</v>
      </c>
      <c r="P1070" s="89">
        <v>473</v>
      </c>
      <c r="Q1070" s="90">
        <v>1.01966790262776</v>
      </c>
      <c r="R1070" s="90">
        <v>0.55332603672625602</v>
      </c>
      <c r="S1070" s="90">
        <v>1.9364092756394899</v>
      </c>
      <c r="T1070" s="90">
        <v>1.27272727272727</v>
      </c>
      <c r="U1070" s="90">
        <v>1.1878051999472099</v>
      </c>
      <c r="V1070" s="90">
        <v>0.95654138736160299</v>
      </c>
      <c r="W1070" s="90">
        <v>0.64991334488734798</v>
      </c>
      <c r="X1070" s="90">
        <v>1.0047984251322599</v>
      </c>
      <c r="Y1070" s="90">
        <v>1.8648018648018601</v>
      </c>
      <c r="Z1070" s="89">
        <v>41964</v>
      </c>
      <c r="AA1070" s="89">
        <v>26457</v>
      </c>
      <c r="AB1070" s="89">
        <v>15507</v>
      </c>
      <c r="AC1070" s="89">
        <v>2278</v>
      </c>
      <c r="AD1070" s="89">
        <v>12326</v>
      </c>
      <c r="AE1070" s="89">
        <v>23054</v>
      </c>
      <c r="AF1070" s="89">
        <v>4306</v>
      </c>
      <c r="AG1070" s="89">
        <v>24988</v>
      </c>
      <c r="AH1070" s="89">
        <v>16143</v>
      </c>
      <c r="AI1070" s="89">
        <v>833</v>
      </c>
      <c r="AJ1070" s="89">
        <v>40823</v>
      </c>
      <c r="AK1070" s="89">
        <v>954</v>
      </c>
      <c r="AL1070" s="89">
        <v>187</v>
      </c>
      <c r="AM1070" s="89">
        <v>1645</v>
      </c>
      <c r="AN1070" s="89">
        <v>39608</v>
      </c>
      <c r="AO1070" s="89">
        <v>711</v>
      </c>
      <c r="AP1070" s="90">
        <v>2.8376059620457399</v>
      </c>
      <c r="AQ1070" s="90">
        <v>1.00369359242011</v>
      </c>
      <c r="AR1070" s="90">
        <v>6.0683216634839798</v>
      </c>
      <c r="AS1070" s="90">
        <v>3.6057692307692299</v>
      </c>
      <c r="AT1070" s="90">
        <v>3.3923693717508101</v>
      </c>
      <c r="AU1070" s="90">
        <v>2.63194605905603</v>
      </c>
      <c r="AV1070" s="90">
        <v>1.99367858011184</v>
      </c>
      <c r="AW1070" s="90">
        <v>2.4266849596981599</v>
      </c>
      <c r="AX1070" s="90">
        <v>3.5547240411599601</v>
      </c>
      <c r="AY1070" s="90">
        <v>1.3210039630118899</v>
      </c>
      <c r="AZ1070" s="90">
        <v>2.8723236361723399</v>
      </c>
      <c r="BA1070" s="90">
        <v>1.2820512820512799</v>
      </c>
      <c r="BB1070" s="90">
        <v>2.9239766081871301</v>
      </c>
      <c r="BC1070" s="90">
        <v>3.3036848792884399</v>
      </c>
      <c r="BD1070" s="90">
        <v>2.8263466550825398</v>
      </c>
      <c r="BE1070" s="90">
        <v>2.3400936037441502</v>
      </c>
    </row>
    <row r="1071" spans="2:57" ht="15" customHeight="1" x14ac:dyDescent="0.25">
      <c r="B1071" s="91">
        <v>1061</v>
      </c>
      <c r="C1071" s="92" t="s">
        <v>503</v>
      </c>
      <c r="D1071" s="92" t="s">
        <v>85</v>
      </c>
      <c r="E1071" s="92" t="s">
        <v>413</v>
      </c>
      <c r="F1071" s="92"/>
      <c r="G1071" s="93" t="s">
        <v>501</v>
      </c>
      <c r="H1071" s="94">
        <v>11602</v>
      </c>
      <c r="I1071" s="94">
        <v>6736</v>
      </c>
      <c r="J1071" s="94">
        <v>4866</v>
      </c>
      <c r="K1071" s="94">
        <v>674</v>
      </c>
      <c r="L1071" s="94">
        <v>3598</v>
      </c>
      <c r="M1071" s="94">
        <v>6433</v>
      </c>
      <c r="N1071" s="94">
        <v>897</v>
      </c>
      <c r="O1071" s="94">
        <v>11397</v>
      </c>
      <c r="P1071" s="94">
        <v>205</v>
      </c>
      <c r="Q1071" s="95">
        <v>1.92233009708738</v>
      </c>
      <c r="R1071" s="95">
        <v>1.1825449700199899</v>
      </c>
      <c r="S1071" s="95">
        <v>2.9562383612662901</v>
      </c>
      <c r="T1071" s="95">
        <v>2.8880866425992799</v>
      </c>
      <c r="U1071" s="95">
        <v>2.2763199494151101</v>
      </c>
      <c r="V1071" s="95">
        <v>1.67472375690608</v>
      </c>
      <c r="W1071" s="95">
        <v>1.64348925410872</v>
      </c>
      <c r="X1071" s="95">
        <v>1.8890317476016201</v>
      </c>
      <c r="Y1071" s="95">
        <v>3.7037037037037002</v>
      </c>
      <c r="Z1071" s="94">
        <v>17512</v>
      </c>
      <c r="AA1071" s="94">
        <v>10223</v>
      </c>
      <c r="AB1071" s="94">
        <v>7289</v>
      </c>
      <c r="AC1071" s="94">
        <v>889</v>
      </c>
      <c r="AD1071" s="94">
        <v>4983</v>
      </c>
      <c r="AE1071" s="94">
        <v>9869</v>
      </c>
      <c r="AF1071" s="94">
        <v>1771</v>
      </c>
      <c r="AG1071" s="94">
        <v>8706</v>
      </c>
      <c r="AH1071" s="94">
        <v>8580</v>
      </c>
      <c r="AI1071" s="94">
        <v>226</v>
      </c>
      <c r="AJ1071" s="94">
        <v>17128</v>
      </c>
      <c r="AK1071" s="94">
        <v>319</v>
      </c>
      <c r="AL1071" s="94">
        <v>65</v>
      </c>
      <c r="AM1071" s="94">
        <v>799</v>
      </c>
      <c r="AN1071" s="94">
        <v>16453</v>
      </c>
      <c r="AO1071" s="94">
        <v>260</v>
      </c>
      <c r="AP1071" s="95">
        <v>5.2407407407407396</v>
      </c>
      <c r="AQ1071" s="95">
        <v>2.0647730845823302</v>
      </c>
      <c r="AR1071" s="95">
        <v>9.7912599489412795</v>
      </c>
      <c r="AS1071" s="95">
        <v>6.6585956416464898</v>
      </c>
      <c r="AT1071" s="95">
        <v>6.4007014467338896</v>
      </c>
      <c r="AU1071" s="95">
        <v>4.7847935328817996</v>
      </c>
      <c r="AV1071" s="95">
        <v>3.8600723763570599</v>
      </c>
      <c r="AW1071" s="95">
        <v>4.6062407132243699</v>
      </c>
      <c r="AX1071" s="95">
        <v>5.9068534645967397</v>
      </c>
      <c r="AY1071" s="95">
        <v>4.4776119402985097</v>
      </c>
      <c r="AZ1071" s="95">
        <v>5.2704576976421604</v>
      </c>
      <c r="BA1071" s="95">
        <v>3.5971223021582701</v>
      </c>
      <c r="BB1071" s="95">
        <v>5</v>
      </c>
      <c r="BC1071" s="95">
        <v>5.9445178335535003</v>
      </c>
      <c r="BD1071" s="95">
        <v>5.1936098875813599</v>
      </c>
      <c r="BE1071" s="95">
        <v>6.0344827586206904</v>
      </c>
    </row>
    <row r="1072" spans="2:57" ht="15" customHeight="1" x14ac:dyDescent="0.25">
      <c r="B1072" s="91">
        <v>1062</v>
      </c>
      <c r="C1072" s="92" t="s">
        <v>503</v>
      </c>
      <c r="D1072" s="92" t="s">
        <v>85</v>
      </c>
      <c r="E1072" s="92" t="s">
        <v>413</v>
      </c>
      <c r="F1072" s="92"/>
      <c r="G1072" s="93" t="s">
        <v>502</v>
      </c>
      <c r="H1072" s="94">
        <v>15990</v>
      </c>
      <c r="I1072" s="94">
        <v>11415</v>
      </c>
      <c r="J1072" s="94">
        <v>4575</v>
      </c>
      <c r="K1072" s="94">
        <v>1271</v>
      </c>
      <c r="L1072" s="94">
        <v>4913</v>
      </c>
      <c r="M1072" s="94">
        <v>8162</v>
      </c>
      <c r="N1072" s="94">
        <v>1644</v>
      </c>
      <c r="O1072" s="94">
        <v>15722</v>
      </c>
      <c r="P1072" s="94">
        <v>268</v>
      </c>
      <c r="Q1072" s="95">
        <v>0.378996692392503</v>
      </c>
      <c r="R1072" s="95">
        <v>0.19153418885271001</v>
      </c>
      <c r="S1072" s="95">
        <v>0.85995085995085996</v>
      </c>
      <c r="T1072" s="95">
        <v>0.45620437956204402</v>
      </c>
      <c r="U1072" s="95">
        <v>0.40779338468509302</v>
      </c>
      <c r="V1072" s="95">
        <v>0.400801603206413</v>
      </c>
      <c r="W1072" s="95">
        <v>0.13183915622940001</v>
      </c>
      <c r="X1072" s="95">
        <v>0.37836322869955202</v>
      </c>
      <c r="Y1072" s="95">
        <v>0.41666666666666702</v>
      </c>
      <c r="Z1072" s="94">
        <v>24452</v>
      </c>
      <c r="AA1072" s="94">
        <v>16234</v>
      </c>
      <c r="AB1072" s="94">
        <v>8218</v>
      </c>
      <c r="AC1072" s="94">
        <v>1389</v>
      </c>
      <c r="AD1072" s="94">
        <v>7343</v>
      </c>
      <c r="AE1072" s="94">
        <v>13185</v>
      </c>
      <c r="AF1072" s="94">
        <v>2535</v>
      </c>
      <c r="AG1072" s="94">
        <v>16282</v>
      </c>
      <c r="AH1072" s="94">
        <v>7563</v>
      </c>
      <c r="AI1072" s="94">
        <v>607</v>
      </c>
      <c r="AJ1072" s="94">
        <v>23695</v>
      </c>
      <c r="AK1072" s="94">
        <v>635</v>
      </c>
      <c r="AL1072" s="94">
        <v>122</v>
      </c>
      <c r="AM1072" s="94">
        <v>846</v>
      </c>
      <c r="AN1072" s="94">
        <v>23155</v>
      </c>
      <c r="AO1072" s="94">
        <v>451</v>
      </c>
      <c r="AP1072" s="95">
        <v>1.1336280474460501</v>
      </c>
      <c r="AQ1072" s="95">
        <v>0.34489490466584199</v>
      </c>
      <c r="AR1072" s="95">
        <v>2.7540106951871701</v>
      </c>
      <c r="AS1072" s="95">
        <v>1.5948963317384399</v>
      </c>
      <c r="AT1072" s="95">
        <v>1.37026668631207</v>
      </c>
      <c r="AU1072" s="95">
        <v>1.0363533317140301</v>
      </c>
      <c r="AV1072" s="95">
        <v>0.73319755600814696</v>
      </c>
      <c r="AW1072" s="95">
        <v>1.2722980062959099</v>
      </c>
      <c r="AX1072" s="95">
        <v>0.90870367741019498</v>
      </c>
      <c r="AY1072" s="95">
        <v>0.17985611510791399</v>
      </c>
      <c r="AZ1072" s="95">
        <v>1.1554432207979799</v>
      </c>
      <c r="BA1072" s="95">
        <v>0.17241379310344801</v>
      </c>
      <c r="BB1072" s="95">
        <v>1.8018018018018001</v>
      </c>
      <c r="BC1072" s="95">
        <v>0.856793145654835</v>
      </c>
      <c r="BD1072" s="95">
        <v>1.1609083761158101</v>
      </c>
      <c r="BE1072" s="95">
        <v>0.24449877750611199</v>
      </c>
    </row>
    <row r="1073" spans="2:57" ht="15" customHeight="1" x14ac:dyDescent="0.25">
      <c r="B1073" s="96">
        <v>1063</v>
      </c>
      <c r="C1073" s="97" t="s">
        <v>504</v>
      </c>
      <c r="D1073" s="104" t="s">
        <v>85</v>
      </c>
      <c r="E1073" s="104" t="s">
        <v>413</v>
      </c>
      <c r="F1073" s="104" t="s">
        <v>262</v>
      </c>
      <c r="G1073" s="105" t="s">
        <v>262</v>
      </c>
      <c r="H1073" s="106">
        <v>20521</v>
      </c>
      <c r="I1073" s="106">
        <v>13335</v>
      </c>
      <c r="J1073" s="106">
        <v>7186</v>
      </c>
      <c r="K1073" s="106">
        <v>1485</v>
      </c>
      <c r="L1073" s="106">
        <v>6409</v>
      </c>
      <c r="M1073" s="106">
        <v>10760</v>
      </c>
      <c r="N1073" s="106">
        <v>1867</v>
      </c>
      <c r="O1073" s="106">
        <v>20103</v>
      </c>
      <c r="P1073" s="106">
        <v>418</v>
      </c>
      <c r="Q1073" s="107">
        <v>1.19370591427021</v>
      </c>
      <c r="R1073" s="107">
        <v>0.702769739561802</v>
      </c>
      <c r="S1073" s="107">
        <v>2.1310181531176</v>
      </c>
      <c r="T1073" s="107">
        <v>1.4285714285714299</v>
      </c>
      <c r="U1073" s="107">
        <v>1.35230066736916</v>
      </c>
      <c r="V1073" s="107">
        <v>1.15541922290389</v>
      </c>
      <c r="W1073" s="107">
        <v>0.70754716981132104</v>
      </c>
      <c r="X1073" s="107">
        <v>1.17451523545706</v>
      </c>
      <c r="Y1073" s="107">
        <v>2.1052631578947398</v>
      </c>
      <c r="Z1073" s="106">
        <v>30285</v>
      </c>
      <c r="AA1073" s="106">
        <v>18871</v>
      </c>
      <c r="AB1073" s="106">
        <v>11414</v>
      </c>
      <c r="AC1073" s="106">
        <v>1703</v>
      </c>
      <c r="AD1073" s="106">
        <v>9146</v>
      </c>
      <c r="AE1073" s="106">
        <v>16403</v>
      </c>
      <c r="AF1073" s="106">
        <v>3033</v>
      </c>
      <c r="AG1073" s="106">
        <v>18285</v>
      </c>
      <c r="AH1073" s="106">
        <v>11493</v>
      </c>
      <c r="AI1073" s="106">
        <v>507</v>
      </c>
      <c r="AJ1073" s="106">
        <v>29541</v>
      </c>
      <c r="AK1073" s="106">
        <v>608</v>
      </c>
      <c r="AL1073" s="106">
        <v>136</v>
      </c>
      <c r="AM1073" s="106">
        <v>1270</v>
      </c>
      <c r="AN1073" s="106">
        <v>28557</v>
      </c>
      <c r="AO1073" s="106">
        <v>458</v>
      </c>
      <c r="AP1073" s="107">
        <v>3.2167284126531799</v>
      </c>
      <c r="AQ1073" s="107">
        <v>1.15072202166065</v>
      </c>
      <c r="AR1073" s="107">
        <v>6.7575406032482599</v>
      </c>
      <c r="AS1073" s="107">
        <v>3.74677002583979</v>
      </c>
      <c r="AT1073" s="107">
        <v>3.83150880533079</v>
      </c>
      <c r="AU1073" s="107">
        <v>3.0207512477015999</v>
      </c>
      <c r="AV1073" s="107">
        <v>2.17842323651452</v>
      </c>
      <c r="AW1073" s="107">
        <v>2.7003228646903401</v>
      </c>
      <c r="AX1073" s="107">
        <v>4.1013041013041001</v>
      </c>
      <c r="AY1073" s="107">
        <v>1.9780219780219801</v>
      </c>
      <c r="AZ1073" s="107">
        <v>3.23945717204144</v>
      </c>
      <c r="BA1073" s="107">
        <v>2.0484171322160099</v>
      </c>
      <c r="BB1073" s="107">
        <v>3.2520325203252001</v>
      </c>
      <c r="BC1073" s="107">
        <v>3.8810900082576398</v>
      </c>
      <c r="BD1073" s="107">
        <v>3.1821617535903299</v>
      </c>
      <c r="BE1073" s="107">
        <v>3.4912718204488802</v>
      </c>
    </row>
    <row r="1074" spans="2:57" ht="15" customHeight="1" x14ac:dyDescent="0.25">
      <c r="B1074" s="91">
        <v>1064</v>
      </c>
      <c r="C1074" s="92" t="s">
        <v>504</v>
      </c>
      <c r="D1074" s="92" t="s">
        <v>85</v>
      </c>
      <c r="E1074" s="92" t="s">
        <v>413</v>
      </c>
      <c r="F1074" s="92" t="s">
        <v>262</v>
      </c>
      <c r="G1074" s="101" t="s">
        <v>501</v>
      </c>
      <c r="H1074" s="94">
        <v>8840</v>
      </c>
      <c r="I1074" s="94">
        <v>5033</v>
      </c>
      <c r="J1074" s="94">
        <v>3807</v>
      </c>
      <c r="K1074" s="94">
        <v>502</v>
      </c>
      <c r="L1074" s="94">
        <v>2731</v>
      </c>
      <c r="M1074" s="94">
        <v>4912</v>
      </c>
      <c r="N1074" s="94">
        <v>695</v>
      </c>
      <c r="O1074" s="94">
        <v>8666</v>
      </c>
      <c r="P1074" s="94">
        <v>174</v>
      </c>
      <c r="Q1074" s="95">
        <v>2.1850242780475302</v>
      </c>
      <c r="R1074" s="95">
        <v>1.4518650882287201</v>
      </c>
      <c r="S1074" s="95">
        <v>3.1651239175873398</v>
      </c>
      <c r="T1074" s="95">
        <v>3.4567901234567899</v>
      </c>
      <c r="U1074" s="95">
        <v>2.5480367585630699</v>
      </c>
      <c r="V1074" s="95">
        <v>1.9256909832351601</v>
      </c>
      <c r="W1074" s="95">
        <v>1.79445350734095</v>
      </c>
      <c r="X1074" s="95">
        <v>2.1393164623010699</v>
      </c>
      <c r="Y1074" s="95">
        <v>4.375</v>
      </c>
      <c r="Z1074" s="94">
        <v>14241</v>
      </c>
      <c r="AA1074" s="94">
        <v>8288</v>
      </c>
      <c r="AB1074" s="94">
        <v>5953</v>
      </c>
      <c r="AC1074" s="94">
        <v>718</v>
      </c>
      <c r="AD1074" s="94">
        <v>4191</v>
      </c>
      <c r="AE1074" s="94">
        <v>7938</v>
      </c>
      <c r="AF1074" s="94">
        <v>1394</v>
      </c>
      <c r="AG1074" s="94">
        <v>6989</v>
      </c>
      <c r="AH1074" s="94">
        <v>7095</v>
      </c>
      <c r="AI1074" s="94">
        <v>157</v>
      </c>
      <c r="AJ1074" s="94">
        <v>13906</v>
      </c>
      <c r="AK1074" s="94">
        <v>281</v>
      </c>
      <c r="AL1074" s="94">
        <v>54</v>
      </c>
      <c r="AM1074" s="94">
        <v>656</v>
      </c>
      <c r="AN1074" s="94">
        <v>13371</v>
      </c>
      <c r="AO1074" s="94">
        <v>214</v>
      </c>
      <c r="AP1074" s="95">
        <v>5.4527529197633804</v>
      </c>
      <c r="AQ1074" s="95">
        <v>2.13917525773196</v>
      </c>
      <c r="AR1074" s="95">
        <v>10.191669738297101</v>
      </c>
      <c r="AS1074" s="95">
        <v>6.5573770491803298</v>
      </c>
      <c r="AT1074" s="95">
        <v>6.6943435391800703</v>
      </c>
      <c r="AU1074" s="95">
        <v>4.98709063731485</v>
      </c>
      <c r="AV1074" s="95">
        <v>3.8402457757296502</v>
      </c>
      <c r="AW1074" s="95">
        <v>4.8329998460828101</v>
      </c>
      <c r="AX1074" s="95">
        <v>6.06106870229008</v>
      </c>
      <c r="AY1074" s="95">
        <v>5.7553956834532398</v>
      </c>
      <c r="AZ1074" s="95">
        <v>5.4775389867328697</v>
      </c>
      <c r="BA1074" s="95">
        <v>4.0485829959514197</v>
      </c>
      <c r="BB1074" s="95">
        <v>6</v>
      </c>
      <c r="BC1074" s="95">
        <v>6.6129032258064502</v>
      </c>
      <c r="BD1074" s="95">
        <v>5.3660901891061901</v>
      </c>
      <c r="BE1074" s="95">
        <v>7.2916666666666696</v>
      </c>
    </row>
    <row r="1075" spans="2:57" ht="15" customHeight="1" x14ac:dyDescent="0.25">
      <c r="B1075" s="91">
        <v>1065</v>
      </c>
      <c r="C1075" s="92" t="s">
        <v>504</v>
      </c>
      <c r="D1075" s="92" t="s">
        <v>85</v>
      </c>
      <c r="E1075" s="92" t="s">
        <v>413</v>
      </c>
      <c r="F1075" s="92" t="s">
        <v>262</v>
      </c>
      <c r="G1075" s="101" t="s">
        <v>502</v>
      </c>
      <c r="H1075" s="94">
        <v>11681</v>
      </c>
      <c r="I1075" s="94">
        <v>8302</v>
      </c>
      <c r="J1075" s="94">
        <v>3379</v>
      </c>
      <c r="K1075" s="94">
        <v>983</v>
      </c>
      <c r="L1075" s="94">
        <v>3678</v>
      </c>
      <c r="M1075" s="94">
        <v>5848</v>
      </c>
      <c r="N1075" s="94">
        <v>1172</v>
      </c>
      <c r="O1075" s="94">
        <v>11437</v>
      </c>
      <c r="P1075" s="94">
        <v>244</v>
      </c>
      <c r="Q1075" s="95">
        <v>0.46208977744247498</v>
      </c>
      <c r="R1075" s="95">
        <v>0.26253609871357297</v>
      </c>
      <c r="S1075" s="95">
        <v>0.97119892833221699</v>
      </c>
      <c r="T1075" s="95">
        <v>0.46783625730994199</v>
      </c>
      <c r="U1075" s="95">
        <v>0.48484848484848497</v>
      </c>
      <c r="V1075" s="95">
        <v>0.52180395080134201</v>
      </c>
      <c r="W1075" s="95">
        <v>9.2336103416435805E-2</v>
      </c>
      <c r="X1075" s="95">
        <v>0.46224961479198801</v>
      </c>
      <c r="Y1075" s="95">
        <v>0.45454545454545497</v>
      </c>
      <c r="Z1075" s="94">
        <v>16044</v>
      </c>
      <c r="AA1075" s="94">
        <v>10583</v>
      </c>
      <c r="AB1075" s="94">
        <v>5461</v>
      </c>
      <c r="AC1075" s="94">
        <v>985</v>
      </c>
      <c r="AD1075" s="94">
        <v>4955</v>
      </c>
      <c r="AE1075" s="94">
        <v>8465</v>
      </c>
      <c r="AF1075" s="94">
        <v>1639</v>
      </c>
      <c r="AG1075" s="94">
        <v>11296</v>
      </c>
      <c r="AH1075" s="94">
        <v>4398</v>
      </c>
      <c r="AI1075" s="94">
        <v>350</v>
      </c>
      <c r="AJ1075" s="94">
        <v>15635</v>
      </c>
      <c r="AK1075" s="94">
        <v>327</v>
      </c>
      <c r="AL1075" s="94">
        <v>82</v>
      </c>
      <c r="AM1075" s="94">
        <v>614</v>
      </c>
      <c r="AN1075" s="94">
        <v>15186</v>
      </c>
      <c r="AO1075" s="94">
        <v>244</v>
      </c>
      <c r="AP1075" s="95">
        <v>1.2360607282009901</v>
      </c>
      <c r="AQ1075" s="95">
        <v>0.38121990369181402</v>
      </c>
      <c r="AR1075" s="95">
        <v>2.9686864579097199</v>
      </c>
      <c r="AS1075" s="95">
        <v>1.5963511972633999</v>
      </c>
      <c r="AT1075" s="95">
        <v>1.40659340659341</v>
      </c>
      <c r="AU1075" s="95">
        <v>1.1818528402592401</v>
      </c>
      <c r="AV1075" s="95">
        <v>0.81761006289308202</v>
      </c>
      <c r="AW1075" s="95">
        <v>1.3854621370279001</v>
      </c>
      <c r="AX1075" s="95">
        <v>0.91765873015873001</v>
      </c>
      <c r="AY1075" s="95">
        <v>0.316455696202532</v>
      </c>
      <c r="AZ1075" s="95">
        <v>1.25318460373201</v>
      </c>
      <c r="BA1075" s="95">
        <v>0.34482758620689702</v>
      </c>
      <c r="BB1075" s="95">
        <v>1.3698630136986301</v>
      </c>
      <c r="BC1075" s="95">
        <v>1.0152284263959399</v>
      </c>
      <c r="BD1075" s="95">
        <v>1.26366605139855</v>
      </c>
      <c r="BE1075" s="95">
        <v>0</v>
      </c>
    </row>
    <row r="1076" spans="2:57" ht="15" customHeight="1" x14ac:dyDescent="0.25">
      <c r="B1076" s="96">
        <v>1066</v>
      </c>
      <c r="C1076" s="97" t="s">
        <v>504</v>
      </c>
      <c r="D1076" s="104" t="s">
        <v>85</v>
      </c>
      <c r="E1076" s="104" t="s">
        <v>413</v>
      </c>
      <c r="F1076" s="104" t="s">
        <v>480</v>
      </c>
      <c r="G1076" s="105" t="s">
        <v>480</v>
      </c>
      <c r="H1076" s="106">
        <v>4437</v>
      </c>
      <c r="I1076" s="106">
        <v>2943</v>
      </c>
      <c r="J1076" s="106">
        <v>1494</v>
      </c>
      <c r="K1076" s="106">
        <v>275</v>
      </c>
      <c r="L1076" s="106">
        <v>1230</v>
      </c>
      <c r="M1076" s="106">
        <v>2475</v>
      </c>
      <c r="N1076" s="106">
        <v>457</v>
      </c>
      <c r="O1076" s="106">
        <v>4421</v>
      </c>
      <c r="P1076" s="106">
        <v>16</v>
      </c>
      <c r="Q1076" s="107">
        <v>0.47134706028280798</v>
      </c>
      <c r="R1076" s="107">
        <v>0.14925373134328401</v>
      </c>
      <c r="S1076" s="107">
        <v>1.1102886750555101</v>
      </c>
      <c r="T1076" s="107">
        <v>0.85836909871244604</v>
      </c>
      <c r="U1076" s="107">
        <v>0.89126559714794995</v>
      </c>
      <c r="V1076" s="107">
        <v>0.30932390631904599</v>
      </c>
      <c r="W1076" s="107">
        <v>0</v>
      </c>
      <c r="X1076" s="107">
        <v>0.47298979337814301</v>
      </c>
      <c r="Y1076" s="107">
        <v>0</v>
      </c>
      <c r="Z1076" s="106">
        <v>7225</v>
      </c>
      <c r="AA1076" s="106">
        <v>4610</v>
      </c>
      <c r="AB1076" s="106">
        <v>2615</v>
      </c>
      <c r="AC1076" s="106">
        <v>349</v>
      </c>
      <c r="AD1076" s="106">
        <v>1928</v>
      </c>
      <c r="AE1076" s="106">
        <v>4130</v>
      </c>
      <c r="AF1076" s="106">
        <v>818</v>
      </c>
      <c r="AG1076" s="106">
        <v>4625</v>
      </c>
      <c r="AH1076" s="106">
        <v>2392</v>
      </c>
      <c r="AI1076" s="106">
        <v>208</v>
      </c>
      <c r="AJ1076" s="106">
        <v>7053</v>
      </c>
      <c r="AK1076" s="106">
        <v>140</v>
      </c>
      <c r="AL1076" s="106">
        <v>32</v>
      </c>
      <c r="AM1076" s="106">
        <v>242</v>
      </c>
      <c r="AN1076" s="106">
        <v>6822</v>
      </c>
      <c r="AO1076" s="106">
        <v>161</v>
      </c>
      <c r="AP1076" s="107">
        <v>1.84229918938836</v>
      </c>
      <c r="AQ1076" s="107">
        <v>0.59469350411710897</v>
      </c>
      <c r="AR1076" s="107">
        <v>4.1027766266058796</v>
      </c>
      <c r="AS1076" s="107">
        <v>3.125</v>
      </c>
      <c r="AT1076" s="107">
        <v>1.7867113344500301</v>
      </c>
      <c r="AU1076" s="107">
        <v>1.82191429304593</v>
      </c>
      <c r="AV1076" s="107">
        <v>1.54440154440154</v>
      </c>
      <c r="AW1076" s="107">
        <v>1.68630168630169</v>
      </c>
      <c r="AX1076" s="107">
        <v>2.2978347326557702</v>
      </c>
      <c r="AY1076" s="107">
        <v>0</v>
      </c>
      <c r="AZ1076" s="107">
        <v>1.88736222255775</v>
      </c>
      <c r="BA1076" s="107">
        <v>0</v>
      </c>
      <c r="BB1076" s="107">
        <v>0</v>
      </c>
      <c r="BC1076" s="107">
        <v>0.427350427350427</v>
      </c>
      <c r="BD1076" s="107">
        <v>1.9378027816846399</v>
      </c>
      <c r="BE1076" s="107">
        <v>0</v>
      </c>
    </row>
    <row r="1077" spans="2:57" ht="15" customHeight="1" x14ac:dyDescent="0.25">
      <c r="B1077" s="91">
        <v>1067</v>
      </c>
      <c r="C1077" s="92" t="s">
        <v>504</v>
      </c>
      <c r="D1077" s="92" t="s">
        <v>85</v>
      </c>
      <c r="E1077" s="92" t="s">
        <v>413</v>
      </c>
      <c r="F1077" s="92" t="s">
        <v>480</v>
      </c>
      <c r="G1077" s="101" t="s">
        <v>501</v>
      </c>
      <c r="H1077" s="94">
        <v>1600</v>
      </c>
      <c r="I1077" s="94">
        <v>948</v>
      </c>
      <c r="J1077" s="94">
        <v>652</v>
      </c>
      <c r="K1077" s="94">
        <v>95</v>
      </c>
      <c r="L1077" s="94">
        <v>485</v>
      </c>
      <c r="M1077" s="94">
        <v>883</v>
      </c>
      <c r="N1077" s="94">
        <v>137</v>
      </c>
      <c r="O1077" s="94">
        <v>1588</v>
      </c>
      <c r="P1077" s="94">
        <v>12</v>
      </c>
      <c r="Q1077" s="95">
        <v>1.1072664359861599</v>
      </c>
      <c r="R1077" s="95">
        <v>0.46403712296983801</v>
      </c>
      <c r="S1077" s="95">
        <v>2.0583190394511202</v>
      </c>
      <c r="T1077" s="95">
        <v>2.4390243902439002</v>
      </c>
      <c r="U1077" s="95">
        <v>1.80995475113122</v>
      </c>
      <c r="V1077" s="95">
        <v>0.75</v>
      </c>
      <c r="W1077" s="95">
        <v>0</v>
      </c>
      <c r="X1077" s="95">
        <v>1.1157601115760101</v>
      </c>
      <c r="Y1077" s="95">
        <v>0</v>
      </c>
      <c r="Z1077" s="94">
        <v>2116</v>
      </c>
      <c r="AA1077" s="94">
        <v>1230</v>
      </c>
      <c r="AB1077" s="94">
        <v>886</v>
      </c>
      <c r="AC1077" s="94">
        <v>113</v>
      </c>
      <c r="AD1077" s="94">
        <v>484</v>
      </c>
      <c r="AE1077" s="94">
        <v>1270</v>
      </c>
      <c r="AF1077" s="94">
        <v>249</v>
      </c>
      <c r="AG1077" s="94">
        <v>1266</v>
      </c>
      <c r="AH1077" s="94">
        <v>821</v>
      </c>
      <c r="AI1077" s="94">
        <v>29</v>
      </c>
      <c r="AJ1077" s="94">
        <v>2084</v>
      </c>
      <c r="AK1077" s="94">
        <v>28</v>
      </c>
      <c r="AL1077" s="94">
        <v>4</v>
      </c>
      <c r="AM1077" s="94">
        <v>98</v>
      </c>
      <c r="AN1077" s="94">
        <v>1999</v>
      </c>
      <c r="AO1077" s="94">
        <v>19</v>
      </c>
      <c r="AP1077" s="95">
        <v>4.0837161817253698</v>
      </c>
      <c r="AQ1077" s="95">
        <v>1.6666666666666701</v>
      </c>
      <c r="AR1077" s="95">
        <v>7.4481074481074501</v>
      </c>
      <c r="AS1077" s="95">
        <v>4.9019607843137303</v>
      </c>
      <c r="AT1077" s="95">
        <v>4.5977011494252897</v>
      </c>
      <c r="AU1077" s="95">
        <v>4.0370058873002499</v>
      </c>
      <c r="AV1077" s="95">
        <v>3.0042918454935599</v>
      </c>
      <c r="AW1077" s="95">
        <v>3.40136054421769</v>
      </c>
      <c r="AX1077" s="95">
        <v>5.2770448548812698</v>
      </c>
      <c r="AY1077" s="95">
        <v>0</v>
      </c>
      <c r="AZ1077" s="95">
        <v>4.1429311237700697</v>
      </c>
      <c r="BA1077" s="95">
        <v>0</v>
      </c>
      <c r="BB1077" s="95">
        <v>0</v>
      </c>
      <c r="BC1077" s="95">
        <v>1.0526315789473699</v>
      </c>
      <c r="BD1077" s="95">
        <v>4.2772062804547897</v>
      </c>
      <c r="BE1077" s="95">
        <v>0</v>
      </c>
    </row>
    <row r="1078" spans="2:57" ht="15" customHeight="1" x14ac:dyDescent="0.25">
      <c r="B1078" s="91">
        <v>1068</v>
      </c>
      <c r="C1078" s="92" t="s">
        <v>504</v>
      </c>
      <c r="D1078" s="92" t="s">
        <v>85</v>
      </c>
      <c r="E1078" s="92" t="s">
        <v>413</v>
      </c>
      <c r="F1078" s="92" t="s">
        <v>480</v>
      </c>
      <c r="G1078" s="101" t="s">
        <v>502</v>
      </c>
      <c r="H1078" s="94">
        <v>2837</v>
      </c>
      <c r="I1078" s="94">
        <v>1995</v>
      </c>
      <c r="J1078" s="94">
        <v>842</v>
      </c>
      <c r="K1078" s="94">
        <v>180</v>
      </c>
      <c r="L1078" s="94">
        <v>745</v>
      </c>
      <c r="M1078" s="94">
        <v>1592</v>
      </c>
      <c r="N1078" s="94">
        <v>320</v>
      </c>
      <c r="O1078" s="94">
        <v>2833</v>
      </c>
      <c r="P1078" s="94">
        <v>4</v>
      </c>
      <c r="Q1078" s="95">
        <v>0.116009280742459</v>
      </c>
      <c r="R1078" s="95">
        <v>0</v>
      </c>
      <c r="S1078" s="95">
        <v>0.390625</v>
      </c>
      <c r="T1078" s="95">
        <v>0</v>
      </c>
      <c r="U1078" s="95">
        <v>0.29411764705882398</v>
      </c>
      <c r="V1078" s="95">
        <v>6.8352699931647304E-2</v>
      </c>
      <c r="W1078" s="95">
        <v>0</v>
      </c>
      <c r="X1078" s="95">
        <v>0.116144018583043</v>
      </c>
      <c r="Y1078" s="95">
        <v>0</v>
      </c>
      <c r="Z1078" s="94">
        <v>5109</v>
      </c>
      <c r="AA1078" s="94">
        <v>3380</v>
      </c>
      <c r="AB1078" s="94">
        <v>1729</v>
      </c>
      <c r="AC1078" s="94">
        <v>236</v>
      </c>
      <c r="AD1078" s="94">
        <v>1444</v>
      </c>
      <c r="AE1078" s="94">
        <v>2860</v>
      </c>
      <c r="AF1078" s="94">
        <v>569</v>
      </c>
      <c r="AG1078" s="94">
        <v>3359</v>
      </c>
      <c r="AH1078" s="94">
        <v>1571</v>
      </c>
      <c r="AI1078" s="94">
        <v>179</v>
      </c>
      <c r="AJ1078" s="94">
        <v>4969</v>
      </c>
      <c r="AK1078" s="94">
        <v>112</v>
      </c>
      <c r="AL1078" s="94">
        <v>28</v>
      </c>
      <c r="AM1078" s="94">
        <v>144</v>
      </c>
      <c r="AN1078" s="94">
        <v>4823</v>
      </c>
      <c r="AO1078" s="94">
        <v>142</v>
      </c>
      <c r="AP1078" s="95">
        <v>0.93244923331951901</v>
      </c>
      <c r="AQ1078" s="95">
        <v>0.216584158415842</v>
      </c>
      <c r="AR1078" s="95">
        <v>2.3839397741530699</v>
      </c>
      <c r="AS1078" s="95">
        <v>2.2935779816513802</v>
      </c>
      <c r="AT1078" s="95">
        <v>0.88495575221238898</v>
      </c>
      <c r="AU1078" s="95">
        <v>0.84933530280649905</v>
      </c>
      <c r="AV1078" s="95">
        <v>0.91911764705882404</v>
      </c>
      <c r="AW1078" s="95">
        <v>1.0466222645099901</v>
      </c>
      <c r="AX1078" s="95">
        <v>0.79734219269103002</v>
      </c>
      <c r="AY1078" s="95">
        <v>0</v>
      </c>
      <c r="AZ1078" s="95">
        <v>0.95907928388746799</v>
      </c>
      <c r="BA1078" s="95">
        <v>0</v>
      </c>
      <c r="BB1078" s="95">
        <v>0</v>
      </c>
      <c r="BC1078" s="95">
        <v>0</v>
      </c>
      <c r="BD1078" s="95">
        <v>0.98857644991212701</v>
      </c>
      <c r="BE1078" s="95">
        <v>0</v>
      </c>
    </row>
    <row r="1079" spans="2:57" ht="15" customHeight="1" x14ac:dyDescent="0.25">
      <c r="B1079" s="96">
        <v>1069</v>
      </c>
      <c r="C1079" s="97" t="s">
        <v>504</v>
      </c>
      <c r="D1079" s="104" t="s">
        <v>85</v>
      </c>
      <c r="E1079" s="104" t="s">
        <v>413</v>
      </c>
      <c r="F1079" s="104" t="s">
        <v>79</v>
      </c>
      <c r="G1079" s="105" t="s">
        <v>79</v>
      </c>
      <c r="H1079" s="106">
        <v>2634</v>
      </c>
      <c r="I1079" s="106">
        <v>1873</v>
      </c>
      <c r="J1079" s="106">
        <v>761</v>
      </c>
      <c r="K1079" s="106">
        <v>185</v>
      </c>
      <c r="L1079" s="106">
        <v>872</v>
      </c>
      <c r="M1079" s="106">
        <v>1360</v>
      </c>
      <c r="N1079" s="106">
        <v>217</v>
      </c>
      <c r="O1079" s="106">
        <v>2595</v>
      </c>
      <c r="P1079" s="106">
        <v>39</v>
      </c>
      <c r="Q1079" s="107">
        <v>0.59549128030625298</v>
      </c>
      <c r="R1079" s="107">
        <v>0.11968880909634901</v>
      </c>
      <c r="S1079" s="107">
        <v>1.76470588235294</v>
      </c>
      <c r="T1079" s="107">
        <v>0.63694267515923597</v>
      </c>
      <c r="U1079" s="107">
        <v>0.394218134034166</v>
      </c>
      <c r="V1079" s="107">
        <v>0.56726094003241501</v>
      </c>
      <c r="W1079" s="107">
        <v>1.50753768844221</v>
      </c>
      <c r="X1079" s="107">
        <v>0.60449050086355804</v>
      </c>
      <c r="Y1079" s="107">
        <v>0</v>
      </c>
      <c r="Z1079" s="106">
        <v>4454</v>
      </c>
      <c r="AA1079" s="106">
        <v>2976</v>
      </c>
      <c r="AB1079" s="106">
        <v>1478</v>
      </c>
      <c r="AC1079" s="106">
        <v>226</v>
      </c>
      <c r="AD1079" s="106">
        <v>1252</v>
      </c>
      <c r="AE1079" s="106">
        <v>2521</v>
      </c>
      <c r="AF1079" s="106">
        <v>455</v>
      </c>
      <c r="AG1079" s="106">
        <v>2078</v>
      </c>
      <c r="AH1079" s="106">
        <v>2258</v>
      </c>
      <c r="AI1079" s="106">
        <v>118</v>
      </c>
      <c r="AJ1079" s="106">
        <v>4229</v>
      </c>
      <c r="AK1079" s="106">
        <v>206</v>
      </c>
      <c r="AL1079" s="106">
        <v>19</v>
      </c>
      <c r="AM1079" s="106">
        <v>133</v>
      </c>
      <c r="AN1079" s="106">
        <v>4229</v>
      </c>
      <c r="AO1079" s="106">
        <v>92</v>
      </c>
      <c r="AP1079" s="107">
        <v>1.90930787589499</v>
      </c>
      <c r="AQ1079" s="107">
        <v>0.71225071225071201</v>
      </c>
      <c r="AR1079" s="107">
        <v>4.3415340086830696</v>
      </c>
      <c r="AS1079" s="107">
        <v>3.3018867924528301</v>
      </c>
      <c r="AT1079" s="107">
        <v>2.6863084922010398</v>
      </c>
      <c r="AU1079" s="107">
        <v>1.47058823529412</v>
      </c>
      <c r="AV1079" s="107">
        <v>1.57657657657658</v>
      </c>
      <c r="AW1079" s="107">
        <v>1.68367346938776</v>
      </c>
      <c r="AX1079" s="107">
        <v>2.1687883074021701</v>
      </c>
      <c r="AY1079" s="107">
        <v>0.91743119266055095</v>
      </c>
      <c r="AZ1079" s="107">
        <v>1.98342957569671</v>
      </c>
      <c r="BA1079" s="107">
        <v>0</v>
      </c>
      <c r="BB1079" s="107">
        <v>5.8823529411764701</v>
      </c>
      <c r="BC1079" s="107">
        <v>3.1007751937984498</v>
      </c>
      <c r="BD1079" s="107">
        <v>1.88774226025673</v>
      </c>
      <c r="BE1079" s="107">
        <v>1.13636363636364</v>
      </c>
    </row>
    <row r="1080" spans="2:57" ht="15" customHeight="1" x14ac:dyDescent="0.25">
      <c r="B1080" s="91">
        <v>1070</v>
      </c>
      <c r="C1080" s="92" t="s">
        <v>504</v>
      </c>
      <c r="D1080" s="92" t="s">
        <v>85</v>
      </c>
      <c r="E1080" s="92" t="s">
        <v>413</v>
      </c>
      <c r="F1080" s="92" t="s">
        <v>79</v>
      </c>
      <c r="G1080" s="101" t="s">
        <v>501</v>
      </c>
      <c r="H1080" s="94">
        <v>1162</v>
      </c>
      <c r="I1080" s="94">
        <v>755</v>
      </c>
      <c r="J1080" s="94">
        <v>407</v>
      </c>
      <c r="K1080" s="94">
        <v>77</v>
      </c>
      <c r="L1080" s="94">
        <v>382</v>
      </c>
      <c r="M1080" s="94">
        <v>638</v>
      </c>
      <c r="N1080" s="94">
        <v>65</v>
      </c>
      <c r="O1080" s="94">
        <v>1143</v>
      </c>
      <c r="P1080" s="94">
        <v>19</v>
      </c>
      <c r="Q1080" s="95">
        <v>1.0689990281827</v>
      </c>
      <c r="R1080" s="95">
        <v>0.30075187969924799</v>
      </c>
      <c r="S1080" s="95">
        <v>2.47252747252747</v>
      </c>
      <c r="T1080" s="95">
        <v>0</v>
      </c>
      <c r="U1080" s="95">
        <v>0.91743119266055095</v>
      </c>
      <c r="V1080" s="95">
        <v>1.0380622837370199</v>
      </c>
      <c r="W1080" s="95">
        <v>3.5087719298245599</v>
      </c>
      <c r="X1080" s="95">
        <v>1.0880316518298701</v>
      </c>
      <c r="Y1080" s="95">
        <v>0</v>
      </c>
      <c r="Z1080" s="94">
        <v>1155</v>
      </c>
      <c r="AA1080" s="94">
        <v>705</v>
      </c>
      <c r="AB1080" s="94">
        <v>450</v>
      </c>
      <c r="AC1080" s="94">
        <v>58</v>
      </c>
      <c r="AD1080" s="94">
        <v>308</v>
      </c>
      <c r="AE1080" s="94">
        <v>661</v>
      </c>
      <c r="AF1080" s="94">
        <v>128</v>
      </c>
      <c r="AG1080" s="94">
        <v>451</v>
      </c>
      <c r="AH1080" s="94">
        <v>664</v>
      </c>
      <c r="AI1080" s="94">
        <v>40</v>
      </c>
      <c r="AJ1080" s="94">
        <v>1138</v>
      </c>
      <c r="AK1080" s="94">
        <v>10</v>
      </c>
      <c r="AL1080" s="94">
        <v>7</v>
      </c>
      <c r="AM1080" s="94">
        <v>45</v>
      </c>
      <c r="AN1080" s="94">
        <v>1083</v>
      </c>
      <c r="AO1080" s="94">
        <v>27</v>
      </c>
      <c r="AP1080" s="95">
        <v>4.7393364928909998</v>
      </c>
      <c r="AQ1080" s="95">
        <v>1.87207488299532</v>
      </c>
      <c r="AR1080" s="95">
        <v>9.1787439613526605</v>
      </c>
      <c r="AS1080" s="95">
        <v>11.320754716981099</v>
      </c>
      <c r="AT1080" s="95">
        <v>5.1282051282051304</v>
      </c>
      <c r="AU1080" s="95">
        <v>3.7953795379537998</v>
      </c>
      <c r="AV1080" s="95">
        <v>5.6910569105691096</v>
      </c>
      <c r="AW1080" s="95">
        <v>4.4665012406947904</v>
      </c>
      <c r="AX1080" s="95">
        <v>5.0406504065040698</v>
      </c>
      <c r="AY1080" s="95">
        <v>2.7027027027027</v>
      </c>
      <c r="AZ1080" s="95">
        <v>4.7984644913627603</v>
      </c>
      <c r="BA1080" s="95">
        <v>0</v>
      </c>
      <c r="BB1080" s="95">
        <v>0</v>
      </c>
      <c r="BC1080" s="95">
        <v>7.1428571428571397</v>
      </c>
      <c r="BD1080" s="95">
        <v>4.7474747474747501</v>
      </c>
      <c r="BE1080" s="95">
        <v>0</v>
      </c>
    </row>
    <row r="1081" spans="2:57" ht="15" customHeight="1" x14ac:dyDescent="0.25">
      <c r="B1081" s="91">
        <v>1071</v>
      </c>
      <c r="C1081" s="92" t="s">
        <v>504</v>
      </c>
      <c r="D1081" s="92" t="s">
        <v>85</v>
      </c>
      <c r="E1081" s="92" t="s">
        <v>413</v>
      </c>
      <c r="F1081" s="92" t="s">
        <v>79</v>
      </c>
      <c r="G1081" s="101" t="s">
        <v>502</v>
      </c>
      <c r="H1081" s="94">
        <v>1472</v>
      </c>
      <c r="I1081" s="94">
        <v>1118</v>
      </c>
      <c r="J1081" s="94">
        <v>354</v>
      </c>
      <c r="K1081" s="94">
        <v>108</v>
      </c>
      <c r="L1081" s="94">
        <v>490</v>
      </c>
      <c r="M1081" s="94">
        <v>722</v>
      </c>
      <c r="N1081" s="94">
        <v>152</v>
      </c>
      <c r="O1081" s="94">
        <v>1452</v>
      </c>
      <c r="P1081" s="94">
        <v>20</v>
      </c>
      <c r="Q1081" s="95">
        <v>0.22692889561270799</v>
      </c>
      <c r="R1081" s="95">
        <v>0</v>
      </c>
      <c r="S1081" s="95">
        <v>0.949367088607595</v>
      </c>
      <c r="T1081" s="95">
        <v>1.1111111111111101</v>
      </c>
      <c r="U1081" s="95">
        <v>0</v>
      </c>
      <c r="V1081" s="95">
        <v>0.15243902439024401</v>
      </c>
      <c r="W1081" s="95">
        <v>0.70422535211267601</v>
      </c>
      <c r="X1081" s="95">
        <v>0.229885057471264</v>
      </c>
      <c r="Y1081" s="95">
        <v>0</v>
      </c>
      <c r="Z1081" s="94">
        <v>3299</v>
      </c>
      <c r="AA1081" s="94">
        <v>2271</v>
      </c>
      <c r="AB1081" s="94">
        <v>1028</v>
      </c>
      <c r="AC1081" s="94">
        <v>168</v>
      </c>
      <c r="AD1081" s="94">
        <v>944</v>
      </c>
      <c r="AE1081" s="94">
        <v>1860</v>
      </c>
      <c r="AF1081" s="94">
        <v>327</v>
      </c>
      <c r="AG1081" s="94">
        <v>1627</v>
      </c>
      <c r="AH1081" s="94">
        <v>1594</v>
      </c>
      <c r="AI1081" s="94">
        <v>78</v>
      </c>
      <c r="AJ1081" s="94">
        <v>3091</v>
      </c>
      <c r="AK1081" s="94">
        <v>196</v>
      </c>
      <c r="AL1081" s="94">
        <v>12</v>
      </c>
      <c r="AM1081" s="94">
        <v>88</v>
      </c>
      <c r="AN1081" s="94">
        <v>3146</v>
      </c>
      <c r="AO1081" s="94">
        <v>65</v>
      </c>
      <c r="AP1081" s="95">
        <v>0.95693779904306198</v>
      </c>
      <c r="AQ1081" s="95">
        <v>0.36917397323488699</v>
      </c>
      <c r="AR1081" s="95">
        <v>2.2727272727272698</v>
      </c>
      <c r="AS1081" s="95">
        <v>0.62893081761006298</v>
      </c>
      <c r="AT1081" s="95">
        <v>1.9296254256526699</v>
      </c>
      <c r="AU1081" s="95">
        <v>0.67643742953776798</v>
      </c>
      <c r="AV1081" s="95">
        <v>0</v>
      </c>
      <c r="AW1081" s="95">
        <v>0.96339113680154098</v>
      </c>
      <c r="AX1081" s="95">
        <v>0.99601593625497997</v>
      </c>
      <c r="AY1081" s="95">
        <v>0</v>
      </c>
      <c r="AZ1081" s="95">
        <v>0.98605916354981304</v>
      </c>
      <c r="BA1081" s="95">
        <v>0</v>
      </c>
      <c r="BB1081" s="95">
        <v>9.0909090909090899</v>
      </c>
      <c r="BC1081" s="95">
        <v>1.14942528735632</v>
      </c>
      <c r="BD1081" s="95">
        <v>0.93865236339255798</v>
      </c>
      <c r="BE1081" s="95">
        <v>1.5384615384615401</v>
      </c>
    </row>
    <row r="1082" spans="2:57" ht="15" customHeight="1" x14ac:dyDescent="0.25">
      <c r="B1082" s="86">
        <v>1072</v>
      </c>
      <c r="C1082" s="87" t="s">
        <v>503</v>
      </c>
      <c r="D1082" s="103" t="s">
        <v>85</v>
      </c>
      <c r="E1082" s="103" t="s">
        <v>414</v>
      </c>
      <c r="F1082" s="103"/>
      <c r="G1082" s="88" t="s">
        <v>414</v>
      </c>
      <c r="H1082" s="89">
        <v>42209</v>
      </c>
      <c r="I1082" s="89">
        <v>28646</v>
      </c>
      <c r="J1082" s="89">
        <v>13563</v>
      </c>
      <c r="K1082" s="89">
        <v>2936</v>
      </c>
      <c r="L1082" s="89">
        <v>13624</v>
      </c>
      <c r="M1082" s="89">
        <v>21818</v>
      </c>
      <c r="N1082" s="89">
        <v>3831</v>
      </c>
      <c r="O1082" s="89">
        <v>41897</v>
      </c>
      <c r="P1082" s="89">
        <v>312</v>
      </c>
      <c r="Q1082" s="90">
        <v>1.25743504121883</v>
      </c>
      <c r="R1082" s="90">
        <v>0.57733211789729599</v>
      </c>
      <c r="S1082" s="90">
        <v>2.7490836387870701</v>
      </c>
      <c r="T1082" s="90">
        <v>3.0628480509148801</v>
      </c>
      <c r="U1082" s="90">
        <v>1.5760248244324699</v>
      </c>
      <c r="V1082" s="90">
        <v>0.90682610861983104</v>
      </c>
      <c r="W1082" s="90">
        <v>0.85665334094803003</v>
      </c>
      <c r="X1082" s="90">
        <v>1.2322972227331199</v>
      </c>
      <c r="Y1082" s="90">
        <v>4.7619047619047601</v>
      </c>
      <c r="Z1082" s="89">
        <v>51750</v>
      </c>
      <c r="AA1082" s="89">
        <v>31935</v>
      </c>
      <c r="AB1082" s="89">
        <v>19815</v>
      </c>
      <c r="AC1082" s="89">
        <v>2532</v>
      </c>
      <c r="AD1082" s="89">
        <v>14559</v>
      </c>
      <c r="AE1082" s="89">
        <v>28971</v>
      </c>
      <c r="AF1082" s="89">
        <v>5688</v>
      </c>
      <c r="AG1082" s="89">
        <v>17757</v>
      </c>
      <c r="AH1082" s="89">
        <v>33348</v>
      </c>
      <c r="AI1082" s="89">
        <v>645</v>
      </c>
      <c r="AJ1082" s="89">
        <v>51180</v>
      </c>
      <c r="AK1082" s="89">
        <v>416</v>
      </c>
      <c r="AL1082" s="89">
        <v>154</v>
      </c>
      <c r="AM1082" s="89">
        <v>2560</v>
      </c>
      <c r="AN1082" s="89">
        <v>48745</v>
      </c>
      <c r="AO1082" s="89">
        <v>445</v>
      </c>
      <c r="AP1082" s="90">
        <v>4.8291988613257404</v>
      </c>
      <c r="AQ1082" s="90">
        <v>1.51094866690598</v>
      </c>
      <c r="AR1082" s="90">
        <v>10.3145061228894</v>
      </c>
      <c r="AS1082" s="90">
        <v>10.038119440914899</v>
      </c>
      <c r="AT1082" s="90">
        <v>6.0670374707260004</v>
      </c>
      <c r="AU1082" s="90">
        <v>4.2244868459092197</v>
      </c>
      <c r="AV1082" s="90">
        <v>2.5533467080065702</v>
      </c>
      <c r="AW1082" s="90">
        <v>3.4379758697434699</v>
      </c>
      <c r="AX1082" s="90">
        <v>5.5980451270984704</v>
      </c>
      <c r="AY1082" s="90">
        <v>4.0336134453781503</v>
      </c>
      <c r="AZ1082" s="90">
        <v>4.81848456193726</v>
      </c>
      <c r="BA1082" s="90">
        <v>7.4935400516795898</v>
      </c>
      <c r="BB1082" s="90">
        <v>1.3605442176870699</v>
      </c>
      <c r="BC1082" s="90">
        <v>3.9837398373983701</v>
      </c>
      <c r="BD1082" s="90">
        <v>4.8896375966480896</v>
      </c>
      <c r="BE1082" s="90">
        <v>3.11004784688995</v>
      </c>
    </row>
    <row r="1083" spans="2:57" ht="15" customHeight="1" x14ac:dyDescent="0.25">
      <c r="B1083" s="91">
        <v>1073</v>
      </c>
      <c r="C1083" s="92" t="s">
        <v>503</v>
      </c>
      <c r="D1083" s="92" t="s">
        <v>85</v>
      </c>
      <c r="E1083" s="92" t="s">
        <v>414</v>
      </c>
      <c r="F1083" s="92"/>
      <c r="G1083" s="93" t="s">
        <v>501</v>
      </c>
      <c r="H1083" s="94">
        <v>23921</v>
      </c>
      <c r="I1083" s="94">
        <v>15105</v>
      </c>
      <c r="J1083" s="94">
        <v>8816</v>
      </c>
      <c r="K1083" s="94">
        <v>1761</v>
      </c>
      <c r="L1083" s="94">
        <v>8347</v>
      </c>
      <c r="M1083" s="94">
        <v>11928</v>
      </c>
      <c r="N1083" s="94">
        <v>1885</v>
      </c>
      <c r="O1083" s="94">
        <v>23679</v>
      </c>
      <c r="P1083" s="94">
        <v>242</v>
      </c>
      <c r="Q1083" s="95">
        <v>1.91314770422275</v>
      </c>
      <c r="R1083" s="95">
        <v>0.90220137134608402</v>
      </c>
      <c r="S1083" s="95">
        <v>3.7003955595253299</v>
      </c>
      <c r="T1083" s="95">
        <v>4.6326935804103204</v>
      </c>
      <c r="U1083" s="95">
        <v>2.27908836465414</v>
      </c>
      <c r="V1083" s="95">
        <v>1.3403847907358399</v>
      </c>
      <c r="W1083" s="95">
        <v>1.5780245470485099</v>
      </c>
      <c r="X1083" s="95">
        <v>1.88582603836841</v>
      </c>
      <c r="Y1083" s="95">
        <v>4.6296296296296298</v>
      </c>
      <c r="Z1083" s="94">
        <v>28520</v>
      </c>
      <c r="AA1083" s="94">
        <v>16154</v>
      </c>
      <c r="AB1083" s="94">
        <v>12366</v>
      </c>
      <c r="AC1083" s="94">
        <v>1503</v>
      </c>
      <c r="AD1083" s="94">
        <v>8714</v>
      </c>
      <c r="AE1083" s="94">
        <v>15681</v>
      </c>
      <c r="AF1083" s="94">
        <v>2622</v>
      </c>
      <c r="AG1083" s="94">
        <v>7030</v>
      </c>
      <c r="AH1083" s="94">
        <v>21178</v>
      </c>
      <c r="AI1083" s="94">
        <v>312</v>
      </c>
      <c r="AJ1083" s="94">
        <v>28169</v>
      </c>
      <c r="AK1083" s="94">
        <v>286</v>
      </c>
      <c r="AL1083" s="94">
        <v>65</v>
      </c>
      <c r="AM1083" s="94">
        <v>1323</v>
      </c>
      <c r="AN1083" s="94">
        <v>26983</v>
      </c>
      <c r="AO1083" s="94">
        <v>214</v>
      </c>
      <c r="AP1083" s="95">
        <v>7.0194264569842701</v>
      </c>
      <c r="AQ1083" s="95">
        <v>2.46433203631647</v>
      </c>
      <c r="AR1083" s="95">
        <v>13.0719517449375</v>
      </c>
      <c r="AS1083" s="95">
        <v>14.1025641025641</v>
      </c>
      <c r="AT1083" s="95">
        <v>8.1497797356828201</v>
      </c>
      <c r="AU1083" s="95">
        <v>6.1713520749665296</v>
      </c>
      <c r="AV1083" s="95">
        <v>4.4240733359904301</v>
      </c>
      <c r="AW1083" s="95">
        <v>6.2872467222884403</v>
      </c>
      <c r="AX1083" s="95">
        <v>7.2712744706352401</v>
      </c>
      <c r="AY1083" s="95">
        <v>6.5743944636678204</v>
      </c>
      <c r="AZ1083" s="95">
        <v>7.0077530993670196</v>
      </c>
      <c r="BA1083" s="95">
        <v>9.77443609022556</v>
      </c>
      <c r="BB1083" s="95">
        <v>0</v>
      </c>
      <c r="BC1083" s="95">
        <v>6.2648691514670896</v>
      </c>
      <c r="BD1083" s="95">
        <v>7.08054610178774</v>
      </c>
      <c r="BE1083" s="95">
        <v>3.9800995024875601</v>
      </c>
    </row>
    <row r="1084" spans="2:57" ht="15" customHeight="1" x14ac:dyDescent="0.25">
      <c r="B1084" s="91">
        <v>1074</v>
      </c>
      <c r="C1084" s="92" t="s">
        <v>503</v>
      </c>
      <c r="D1084" s="92" t="s">
        <v>85</v>
      </c>
      <c r="E1084" s="92" t="s">
        <v>414</v>
      </c>
      <c r="F1084" s="92"/>
      <c r="G1084" s="93" t="s">
        <v>502</v>
      </c>
      <c r="H1084" s="94">
        <v>18288</v>
      </c>
      <c r="I1084" s="94">
        <v>13541</v>
      </c>
      <c r="J1084" s="94">
        <v>4747</v>
      </c>
      <c r="K1084" s="94">
        <v>1175</v>
      </c>
      <c r="L1084" s="94">
        <v>5277</v>
      </c>
      <c r="M1084" s="94">
        <v>9890</v>
      </c>
      <c r="N1084" s="94">
        <v>1946</v>
      </c>
      <c r="O1084" s="94">
        <v>18218</v>
      </c>
      <c r="P1084" s="94">
        <v>70</v>
      </c>
      <c r="Q1084" s="95">
        <v>0.402644230769231</v>
      </c>
      <c r="R1084" s="95">
        <v>0.21646756995109401</v>
      </c>
      <c r="S1084" s="95">
        <v>0.95992320614350901</v>
      </c>
      <c r="T1084" s="95">
        <v>0.69790628115652997</v>
      </c>
      <c r="U1084" s="95">
        <v>0.463841450558718</v>
      </c>
      <c r="V1084" s="95">
        <v>0.38448863012193801</v>
      </c>
      <c r="W1084" s="95">
        <v>0.16750418760468999</v>
      </c>
      <c r="X1084" s="95">
        <v>0.38593740577700097</v>
      </c>
      <c r="Y1084" s="95">
        <v>5.2631578947368398</v>
      </c>
      <c r="Z1084" s="94">
        <v>23230</v>
      </c>
      <c r="AA1084" s="94">
        <v>15781</v>
      </c>
      <c r="AB1084" s="94">
        <v>7449</v>
      </c>
      <c r="AC1084" s="94">
        <v>1029</v>
      </c>
      <c r="AD1084" s="94">
        <v>5845</v>
      </c>
      <c r="AE1084" s="94">
        <v>13290</v>
      </c>
      <c r="AF1084" s="94">
        <v>3066</v>
      </c>
      <c r="AG1084" s="94">
        <v>10727</v>
      </c>
      <c r="AH1084" s="94">
        <v>12170</v>
      </c>
      <c r="AI1084" s="94">
        <v>333</v>
      </c>
      <c r="AJ1084" s="94">
        <v>23011</v>
      </c>
      <c r="AK1084" s="94">
        <v>130</v>
      </c>
      <c r="AL1084" s="94">
        <v>89</v>
      </c>
      <c r="AM1084" s="94">
        <v>1237</v>
      </c>
      <c r="AN1084" s="94">
        <v>21762</v>
      </c>
      <c r="AO1084" s="94">
        <v>231</v>
      </c>
      <c r="AP1084" s="95">
        <v>2.1575265177160898</v>
      </c>
      <c r="AQ1084" s="95">
        <v>0.54522761610720605</v>
      </c>
      <c r="AR1084" s="95">
        <v>5.6982111944604696</v>
      </c>
      <c r="AS1084" s="95">
        <v>4.0752351097178696</v>
      </c>
      <c r="AT1084" s="95">
        <v>2.9679533867443602</v>
      </c>
      <c r="AU1084" s="95">
        <v>1.93999371661954</v>
      </c>
      <c r="AV1084" s="95">
        <v>0.97511768661734999</v>
      </c>
      <c r="AW1084" s="95">
        <v>1.5923566878980899</v>
      </c>
      <c r="AX1084" s="95">
        <v>2.68129189518586</v>
      </c>
      <c r="AY1084" s="95">
        <v>1.63398692810458</v>
      </c>
      <c r="AZ1084" s="95">
        <v>2.15519205358363</v>
      </c>
      <c r="BA1084" s="95">
        <v>2.4793388429752099</v>
      </c>
      <c r="BB1084" s="95">
        <v>2.29885057471264</v>
      </c>
      <c r="BC1084" s="95">
        <v>1.58465387823186</v>
      </c>
      <c r="BD1084" s="95">
        <v>2.18911230049665</v>
      </c>
      <c r="BE1084" s="95">
        <v>2.30414746543779</v>
      </c>
    </row>
    <row r="1085" spans="2:57" ht="15" customHeight="1" x14ac:dyDescent="0.25">
      <c r="B1085" s="96">
        <v>1075</v>
      </c>
      <c r="C1085" s="97" t="s">
        <v>504</v>
      </c>
      <c r="D1085" s="104" t="s">
        <v>85</v>
      </c>
      <c r="E1085" s="104" t="s">
        <v>414</v>
      </c>
      <c r="F1085" s="104" t="s">
        <v>164</v>
      </c>
      <c r="G1085" s="105" t="s">
        <v>164</v>
      </c>
      <c r="H1085" s="106">
        <v>5302</v>
      </c>
      <c r="I1085" s="106">
        <v>3755</v>
      </c>
      <c r="J1085" s="106">
        <v>1547</v>
      </c>
      <c r="K1085" s="106">
        <v>374</v>
      </c>
      <c r="L1085" s="106">
        <v>1513</v>
      </c>
      <c r="M1085" s="106">
        <v>2757</v>
      </c>
      <c r="N1085" s="106">
        <v>658</v>
      </c>
      <c r="O1085" s="106">
        <v>5258</v>
      </c>
      <c r="P1085" s="106">
        <v>44</v>
      </c>
      <c r="Q1085" s="107">
        <v>1.9534497090606799</v>
      </c>
      <c r="R1085" s="107">
        <v>1.1357018054746699</v>
      </c>
      <c r="S1085" s="107">
        <v>3.99129172714078</v>
      </c>
      <c r="T1085" s="107">
        <v>2.98507462686567</v>
      </c>
      <c r="U1085" s="107">
        <v>2.3477622890682301</v>
      </c>
      <c r="V1085" s="107">
        <v>1.87176423735564</v>
      </c>
      <c r="W1085" s="107">
        <v>0.82918739635157501</v>
      </c>
      <c r="X1085" s="107">
        <v>1.9267015706806301</v>
      </c>
      <c r="Y1085" s="107">
        <v>5.4054054054054097</v>
      </c>
      <c r="Z1085" s="106">
        <v>6450</v>
      </c>
      <c r="AA1085" s="106">
        <v>4026</v>
      </c>
      <c r="AB1085" s="106">
        <v>2424</v>
      </c>
      <c r="AC1085" s="106">
        <v>297</v>
      </c>
      <c r="AD1085" s="106">
        <v>1648</v>
      </c>
      <c r="AE1085" s="106">
        <v>3561</v>
      </c>
      <c r="AF1085" s="106">
        <v>944</v>
      </c>
      <c r="AG1085" s="106">
        <v>1684</v>
      </c>
      <c r="AH1085" s="106">
        <v>4679</v>
      </c>
      <c r="AI1085" s="106">
        <v>87</v>
      </c>
      <c r="AJ1085" s="106">
        <v>6357</v>
      </c>
      <c r="AK1085" s="106">
        <v>73</v>
      </c>
      <c r="AL1085" s="106">
        <v>20</v>
      </c>
      <c r="AM1085" s="106">
        <v>398</v>
      </c>
      <c r="AN1085" s="106">
        <v>5994</v>
      </c>
      <c r="AO1085" s="106">
        <v>58</v>
      </c>
      <c r="AP1085" s="107">
        <v>6.1497768226153102</v>
      </c>
      <c r="AQ1085" s="107">
        <v>2.0231213872832399</v>
      </c>
      <c r="AR1085" s="107">
        <v>13.1520285332144</v>
      </c>
      <c r="AS1085" s="107">
        <v>13.5714285714286</v>
      </c>
      <c r="AT1085" s="107">
        <v>7.4122236671001298</v>
      </c>
      <c r="AU1085" s="107">
        <v>5.8453237410071903</v>
      </c>
      <c r="AV1085" s="107">
        <v>2.7932960893854699</v>
      </c>
      <c r="AW1085" s="107">
        <v>3.5242290748898699</v>
      </c>
      <c r="AX1085" s="107">
        <v>7.1884984025559104</v>
      </c>
      <c r="AY1085" s="107">
        <v>1.2820512820512799</v>
      </c>
      <c r="AZ1085" s="107">
        <v>6.18297587131367</v>
      </c>
      <c r="BA1085" s="107">
        <v>4.9180327868852496</v>
      </c>
      <c r="BB1085" s="107">
        <v>0</v>
      </c>
      <c r="BC1085" s="107">
        <v>4.1884816753926701</v>
      </c>
      <c r="BD1085" s="107">
        <v>6.3045414069456802</v>
      </c>
      <c r="BE1085" s="107">
        <v>3.8461538461538498</v>
      </c>
    </row>
    <row r="1086" spans="2:57" ht="15" customHeight="1" x14ac:dyDescent="0.25">
      <c r="B1086" s="91">
        <v>1076</v>
      </c>
      <c r="C1086" s="92" t="s">
        <v>504</v>
      </c>
      <c r="D1086" s="92" t="s">
        <v>85</v>
      </c>
      <c r="E1086" s="92" t="s">
        <v>414</v>
      </c>
      <c r="F1086" s="92" t="s">
        <v>164</v>
      </c>
      <c r="G1086" s="101" t="s">
        <v>501</v>
      </c>
      <c r="H1086" s="94">
        <v>1867</v>
      </c>
      <c r="I1086" s="94">
        <v>1175</v>
      </c>
      <c r="J1086" s="94">
        <v>692</v>
      </c>
      <c r="K1086" s="94">
        <v>122</v>
      </c>
      <c r="L1086" s="94">
        <v>598</v>
      </c>
      <c r="M1086" s="94">
        <v>962</v>
      </c>
      <c r="N1086" s="94">
        <v>185</v>
      </c>
      <c r="O1086" s="94">
        <v>1855</v>
      </c>
      <c r="P1086" s="94">
        <v>12</v>
      </c>
      <c r="Q1086" s="95">
        <v>3.3858727378867499</v>
      </c>
      <c r="R1086" s="95">
        <v>2.0446096654275099</v>
      </c>
      <c r="S1086" s="95">
        <v>5.6514913657770798</v>
      </c>
      <c r="T1086" s="95">
        <v>6.4220183486238502</v>
      </c>
      <c r="U1086" s="95">
        <v>4.5454545454545503</v>
      </c>
      <c r="V1086" s="95">
        <v>2.5900900900900901</v>
      </c>
      <c r="W1086" s="95">
        <v>1.80722891566265</v>
      </c>
      <c r="X1086" s="95">
        <v>3.4077555816686198</v>
      </c>
      <c r="Y1086" s="95">
        <v>0</v>
      </c>
      <c r="Z1086" s="94">
        <v>2534</v>
      </c>
      <c r="AA1086" s="94">
        <v>1453</v>
      </c>
      <c r="AB1086" s="94">
        <v>1081</v>
      </c>
      <c r="AC1086" s="94">
        <v>117</v>
      </c>
      <c r="AD1086" s="94">
        <v>699</v>
      </c>
      <c r="AE1086" s="94">
        <v>1420</v>
      </c>
      <c r="AF1086" s="94">
        <v>298</v>
      </c>
      <c r="AG1086" s="94">
        <v>429</v>
      </c>
      <c r="AH1086" s="94">
        <v>2090</v>
      </c>
      <c r="AI1086" s="94">
        <v>15</v>
      </c>
      <c r="AJ1086" s="94">
        <v>2489</v>
      </c>
      <c r="AK1086" s="94">
        <v>41</v>
      </c>
      <c r="AL1086" s="94">
        <v>4</v>
      </c>
      <c r="AM1086" s="94">
        <v>129</v>
      </c>
      <c r="AN1086" s="94">
        <v>2388</v>
      </c>
      <c r="AO1086" s="94">
        <v>17</v>
      </c>
      <c r="AP1086" s="95">
        <v>10.029251984956099</v>
      </c>
      <c r="AQ1086" s="95">
        <v>3.4432234432234399</v>
      </c>
      <c r="AR1086" s="95">
        <v>18.7743190661479</v>
      </c>
      <c r="AS1086" s="95">
        <v>22.321428571428601</v>
      </c>
      <c r="AT1086" s="95">
        <v>11.1111111111111</v>
      </c>
      <c r="AU1086" s="95">
        <v>9.5309009679821308</v>
      </c>
      <c r="AV1086" s="95">
        <v>4.9822064056939501</v>
      </c>
      <c r="AW1086" s="95">
        <v>7.3349633251833701</v>
      </c>
      <c r="AX1086" s="95">
        <v>10.6091370558376</v>
      </c>
      <c r="AY1086" s="95">
        <v>7.1428571428571397</v>
      </c>
      <c r="AZ1086" s="95">
        <v>10.1018675721562</v>
      </c>
      <c r="BA1086" s="95">
        <v>6.0606060606060597</v>
      </c>
      <c r="BB1086" s="95">
        <v>0</v>
      </c>
      <c r="BC1086" s="95">
        <v>7.2580645161290303</v>
      </c>
      <c r="BD1086" s="95">
        <v>10.208610741233899</v>
      </c>
      <c r="BE1086" s="95">
        <v>6.25</v>
      </c>
    </row>
    <row r="1087" spans="2:57" ht="15" customHeight="1" x14ac:dyDescent="0.25">
      <c r="B1087" s="91">
        <v>1077</v>
      </c>
      <c r="C1087" s="92" t="s">
        <v>504</v>
      </c>
      <c r="D1087" s="92" t="s">
        <v>85</v>
      </c>
      <c r="E1087" s="92" t="s">
        <v>414</v>
      </c>
      <c r="F1087" s="92" t="s">
        <v>164</v>
      </c>
      <c r="G1087" s="101" t="s">
        <v>502</v>
      </c>
      <c r="H1087" s="94">
        <v>3435</v>
      </c>
      <c r="I1087" s="94">
        <v>2580</v>
      </c>
      <c r="J1087" s="94">
        <v>855</v>
      </c>
      <c r="K1087" s="94">
        <v>252</v>
      </c>
      <c r="L1087" s="94">
        <v>915</v>
      </c>
      <c r="M1087" s="94">
        <v>1795</v>
      </c>
      <c r="N1087" s="94">
        <v>473</v>
      </c>
      <c r="O1087" s="94">
        <v>3403</v>
      </c>
      <c r="P1087" s="94">
        <v>32</v>
      </c>
      <c r="Q1087" s="95">
        <v>1.16166505324298</v>
      </c>
      <c r="R1087" s="95">
        <v>0.72094995759117897</v>
      </c>
      <c r="S1087" s="95">
        <v>2.5641025641025599</v>
      </c>
      <c r="T1087" s="95">
        <v>1.3274336283185799</v>
      </c>
      <c r="U1087" s="95">
        <v>0.86100861008610097</v>
      </c>
      <c r="V1087" s="95">
        <v>1.4787430683918701</v>
      </c>
      <c r="W1087" s="95">
        <v>0.45766590389015999</v>
      </c>
      <c r="X1087" s="95">
        <v>1.1064106736088499</v>
      </c>
      <c r="Y1087" s="95">
        <v>7.6923076923076898</v>
      </c>
      <c r="Z1087" s="94">
        <v>3916</v>
      </c>
      <c r="AA1087" s="94">
        <v>2573</v>
      </c>
      <c r="AB1087" s="94">
        <v>1343</v>
      </c>
      <c r="AC1087" s="94">
        <v>180</v>
      </c>
      <c r="AD1087" s="94">
        <v>949</v>
      </c>
      <c r="AE1087" s="94">
        <v>2141</v>
      </c>
      <c r="AF1087" s="94">
        <v>646</v>
      </c>
      <c r="AG1087" s="94">
        <v>1255</v>
      </c>
      <c r="AH1087" s="94">
        <v>2589</v>
      </c>
      <c r="AI1087" s="94">
        <v>72</v>
      </c>
      <c r="AJ1087" s="94">
        <v>3868</v>
      </c>
      <c r="AK1087" s="94">
        <v>32</v>
      </c>
      <c r="AL1087" s="94">
        <v>16</v>
      </c>
      <c r="AM1087" s="94">
        <v>269</v>
      </c>
      <c r="AN1087" s="94">
        <v>3606</v>
      </c>
      <c r="AO1087" s="94">
        <v>41</v>
      </c>
      <c r="AP1087" s="95">
        <v>3.6105032822757099</v>
      </c>
      <c r="AQ1087" s="95">
        <v>1.22900450634986</v>
      </c>
      <c r="AR1087" s="95">
        <v>8.3950617283950599</v>
      </c>
      <c r="AS1087" s="95">
        <v>7.7380952380952399</v>
      </c>
      <c r="AT1087" s="95">
        <v>4.65380249716232</v>
      </c>
      <c r="AU1087" s="95">
        <v>3.3617661816357298</v>
      </c>
      <c r="AV1087" s="95">
        <v>1.79153094462541</v>
      </c>
      <c r="AW1087" s="95">
        <v>2.20338983050847</v>
      </c>
      <c r="AX1087" s="95">
        <v>4.3946932006633501</v>
      </c>
      <c r="AY1087" s="95">
        <v>0</v>
      </c>
      <c r="AZ1087" s="95">
        <v>3.6267995570321099</v>
      </c>
      <c r="BA1087" s="95">
        <v>3.5714285714285698</v>
      </c>
      <c r="BB1087" s="95">
        <v>0</v>
      </c>
      <c r="BC1087" s="95">
        <v>2.7131782945736398</v>
      </c>
      <c r="BD1087" s="95">
        <v>3.6882807852468802</v>
      </c>
      <c r="BE1087" s="95">
        <v>2.7777777777777799</v>
      </c>
    </row>
    <row r="1088" spans="2:57" ht="15" customHeight="1" x14ac:dyDescent="0.25">
      <c r="B1088" s="96">
        <v>1078</v>
      </c>
      <c r="C1088" s="97" t="s">
        <v>504</v>
      </c>
      <c r="D1088" s="104" t="s">
        <v>85</v>
      </c>
      <c r="E1088" s="104" t="s">
        <v>414</v>
      </c>
      <c r="F1088" s="104" t="s">
        <v>225</v>
      </c>
      <c r="G1088" s="105" t="s">
        <v>225</v>
      </c>
      <c r="H1088" s="106">
        <v>8314</v>
      </c>
      <c r="I1088" s="106">
        <v>5538</v>
      </c>
      <c r="J1088" s="106">
        <v>2776</v>
      </c>
      <c r="K1088" s="106">
        <v>609</v>
      </c>
      <c r="L1088" s="106">
        <v>2707</v>
      </c>
      <c r="M1088" s="106">
        <v>4080</v>
      </c>
      <c r="N1088" s="106">
        <v>918</v>
      </c>
      <c r="O1088" s="106">
        <v>8258</v>
      </c>
      <c r="P1088" s="106">
        <v>56</v>
      </c>
      <c r="Q1088" s="107">
        <v>1.4830508474576301</v>
      </c>
      <c r="R1088" s="107">
        <v>0.52682926829268295</v>
      </c>
      <c r="S1088" s="107">
        <v>3.5022661722290902</v>
      </c>
      <c r="T1088" s="107">
        <v>3.7698412698412702</v>
      </c>
      <c r="U1088" s="107">
        <v>1.7886855241264601</v>
      </c>
      <c r="V1088" s="107">
        <v>1.1312812417784801</v>
      </c>
      <c r="W1088" s="107">
        <v>0.83036773428232502</v>
      </c>
      <c r="X1088" s="107">
        <v>1.45217159605649</v>
      </c>
      <c r="Y1088" s="107">
        <v>6.5217391304347796</v>
      </c>
      <c r="Z1088" s="106">
        <v>8889</v>
      </c>
      <c r="AA1088" s="106">
        <v>5466</v>
      </c>
      <c r="AB1088" s="106">
        <v>3423</v>
      </c>
      <c r="AC1088" s="106">
        <v>416</v>
      </c>
      <c r="AD1088" s="106">
        <v>2384</v>
      </c>
      <c r="AE1088" s="106">
        <v>4925</v>
      </c>
      <c r="AF1088" s="106">
        <v>1164</v>
      </c>
      <c r="AG1088" s="106">
        <v>2209</v>
      </c>
      <c r="AH1088" s="106">
        <v>6560</v>
      </c>
      <c r="AI1088" s="106">
        <v>120</v>
      </c>
      <c r="AJ1088" s="106">
        <v>8804</v>
      </c>
      <c r="AK1088" s="106">
        <v>61</v>
      </c>
      <c r="AL1088" s="106">
        <v>24</v>
      </c>
      <c r="AM1088" s="106">
        <v>487</v>
      </c>
      <c r="AN1088" s="106">
        <v>8293</v>
      </c>
      <c r="AO1088" s="106">
        <v>109</v>
      </c>
      <c r="AP1088" s="107">
        <v>4.6426027071954401</v>
      </c>
      <c r="AQ1088" s="107">
        <v>1.47340221967088</v>
      </c>
      <c r="AR1088" s="107">
        <v>9.8247809762202696</v>
      </c>
      <c r="AS1088" s="107">
        <v>8.6387434554973801</v>
      </c>
      <c r="AT1088" s="107">
        <v>6.1878952122854596</v>
      </c>
      <c r="AU1088" s="107">
        <v>4.0833687792428801</v>
      </c>
      <c r="AV1088" s="107">
        <v>2.58007117437722</v>
      </c>
      <c r="AW1088" s="107">
        <v>3.39782916470033</v>
      </c>
      <c r="AX1088" s="107">
        <v>5.1041834921660501</v>
      </c>
      <c r="AY1088" s="107">
        <v>2.6785714285714302</v>
      </c>
      <c r="AZ1088" s="107">
        <v>4.6751378566291102</v>
      </c>
      <c r="BA1088" s="107">
        <v>1.72413793103448</v>
      </c>
      <c r="BB1088" s="107">
        <v>0</v>
      </c>
      <c r="BC1088" s="107">
        <v>4.2918454935622297</v>
      </c>
      <c r="BD1088" s="107">
        <v>4.6976448122215198</v>
      </c>
      <c r="BE1088" s="107">
        <v>1.98019801980198</v>
      </c>
    </row>
    <row r="1089" spans="2:57" ht="15" customHeight="1" x14ac:dyDescent="0.25">
      <c r="B1089" s="91">
        <v>1079</v>
      </c>
      <c r="C1089" s="92" t="s">
        <v>504</v>
      </c>
      <c r="D1089" s="92" t="s">
        <v>85</v>
      </c>
      <c r="E1089" s="92" t="s">
        <v>414</v>
      </c>
      <c r="F1089" s="92" t="s">
        <v>225</v>
      </c>
      <c r="G1089" s="101" t="s">
        <v>501</v>
      </c>
      <c r="H1089" s="94">
        <v>5375</v>
      </c>
      <c r="I1089" s="94">
        <v>3433</v>
      </c>
      <c r="J1089" s="94">
        <v>1942</v>
      </c>
      <c r="K1089" s="94">
        <v>371</v>
      </c>
      <c r="L1089" s="94">
        <v>1829</v>
      </c>
      <c r="M1089" s="94">
        <v>2690</v>
      </c>
      <c r="N1089" s="94">
        <v>485</v>
      </c>
      <c r="O1089" s="94">
        <v>5339</v>
      </c>
      <c r="P1089" s="94">
        <v>36</v>
      </c>
      <c r="Q1089" s="95">
        <v>1.9599836668027799</v>
      </c>
      <c r="R1089" s="95">
        <v>0.66100094428706302</v>
      </c>
      <c r="S1089" s="95">
        <v>4.3579314352120901</v>
      </c>
      <c r="T1089" s="95">
        <v>5</v>
      </c>
      <c r="U1089" s="95">
        <v>2.2713321055862501</v>
      </c>
      <c r="V1089" s="95">
        <v>1.4354066985645899</v>
      </c>
      <c r="W1089" s="95">
        <v>1.5873015873015901</v>
      </c>
      <c r="X1089" s="95">
        <v>1.9305812281782699</v>
      </c>
      <c r="Y1089" s="95">
        <v>6.8965517241379297</v>
      </c>
      <c r="Z1089" s="94">
        <v>5675</v>
      </c>
      <c r="AA1089" s="94">
        <v>3371</v>
      </c>
      <c r="AB1089" s="94">
        <v>2304</v>
      </c>
      <c r="AC1089" s="94">
        <v>254</v>
      </c>
      <c r="AD1089" s="94">
        <v>1623</v>
      </c>
      <c r="AE1089" s="94">
        <v>3164</v>
      </c>
      <c r="AF1089" s="94">
        <v>634</v>
      </c>
      <c r="AG1089" s="94">
        <v>1044</v>
      </c>
      <c r="AH1089" s="94">
        <v>4556</v>
      </c>
      <c r="AI1089" s="94">
        <v>75</v>
      </c>
      <c r="AJ1089" s="94">
        <v>5610</v>
      </c>
      <c r="AK1089" s="94">
        <v>50</v>
      </c>
      <c r="AL1089" s="94">
        <v>15</v>
      </c>
      <c r="AM1089" s="94">
        <v>286</v>
      </c>
      <c r="AN1089" s="94">
        <v>5337</v>
      </c>
      <c r="AO1089" s="94">
        <v>52</v>
      </c>
      <c r="AP1089" s="95">
        <v>5.9534883720930196</v>
      </c>
      <c r="AQ1089" s="95">
        <v>2.14618973561431</v>
      </c>
      <c r="AR1089" s="95">
        <v>11.6203703703704</v>
      </c>
      <c r="AS1089" s="95">
        <v>11.1111111111111</v>
      </c>
      <c r="AT1089" s="95">
        <v>7.8755790866975497</v>
      </c>
      <c r="AU1089" s="95">
        <v>4.9570389953734297</v>
      </c>
      <c r="AV1089" s="95">
        <v>4.1390728476821197</v>
      </c>
      <c r="AW1089" s="95">
        <v>4.8951048951048897</v>
      </c>
      <c r="AX1089" s="95">
        <v>6.2282128747385501</v>
      </c>
      <c r="AY1089" s="95">
        <v>4.2253521126760596</v>
      </c>
      <c r="AZ1089" s="95">
        <v>6.0018814675446803</v>
      </c>
      <c r="BA1089" s="95">
        <v>2.12765957446809</v>
      </c>
      <c r="BB1089" s="95">
        <v>0</v>
      </c>
      <c r="BC1089" s="95">
        <v>5.9040590405904103</v>
      </c>
      <c r="BD1089" s="95">
        <v>5.9916946806407001</v>
      </c>
      <c r="BE1089" s="95">
        <v>2.12765957446809</v>
      </c>
    </row>
    <row r="1090" spans="2:57" ht="15" customHeight="1" x14ac:dyDescent="0.25">
      <c r="B1090" s="91">
        <v>1080</v>
      </c>
      <c r="C1090" s="92" t="s">
        <v>504</v>
      </c>
      <c r="D1090" s="92" t="s">
        <v>85</v>
      </c>
      <c r="E1090" s="92" t="s">
        <v>414</v>
      </c>
      <c r="F1090" s="92" t="s">
        <v>225</v>
      </c>
      <c r="G1090" s="101" t="s">
        <v>502</v>
      </c>
      <c r="H1090" s="94">
        <v>2939</v>
      </c>
      <c r="I1090" s="94">
        <v>2105</v>
      </c>
      <c r="J1090" s="94">
        <v>834</v>
      </c>
      <c r="K1090" s="94">
        <v>238</v>
      </c>
      <c r="L1090" s="94">
        <v>878</v>
      </c>
      <c r="M1090" s="94">
        <v>1390</v>
      </c>
      <c r="N1090" s="94">
        <v>433</v>
      </c>
      <c r="O1090" s="94">
        <v>2919</v>
      </c>
      <c r="P1090" s="94">
        <v>20</v>
      </c>
      <c r="Q1090" s="95">
        <v>0.60286360211002299</v>
      </c>
      <c r="R1090" s="95">
        <v>0.30800821355236102</v>
      </c>
      <c r="S1090" s="95">
        <v>1.41643059490085</v>
      </c>
      <c r="T1090" s="95">
        <v>1.6304347826087</v>
      </c>
      <c r="U1090" s="95">
        <v>0.77419354838709697</v>
      </c>
      <c r="V1090" s="95">
        <v>0.54137664346481096</v>
      </c>
      <c r="W1090" s="95">
        <v>0</v>
      </c>
      <c r="X1090" s="95">
        <v>0.56882821387940796</v>
      </c>
      <c r="Y1090" s="95">
        <v>5.8823529411764701</v>
      </c>
      <c r="Z1090" s="94">
        <v>3214</v>
      </c>
      <c r="AA1090" s="94">
        <v>2095</v>
      </c>
      <c r="AB1090" s="94">
        <v>1119</v>
      </c>
      <c r="AC1090" s="94">
        <v>162</v>
      </c>
      <c r="AD1090" s="94">
        <v>761</v>
      </c>
      <c r="AE1090" s="94">
        <v>1761</v>
      </c>
      <c r="AF1090" s="94">
        <v>530</v>
      </c>
      <c r="AG1090" s="94">
        <v>1165</v>
      </c>
      <c r="AH1090" s="94">
        <v>2004</v>
      </c>
      <c r="AI1090" s="94">
        <v>45</v>
      </c>
      <c r="AJ1090" s="94">
        <v>3194</v>
      </c>
      <c r="AK1090" s="94">
        <v>11</v>
      </c>
      <c r="AL1090" s="94">
        <v>9</v>
      </c>
      <c r="AM1090" s="94">
        <v>201</v>
      </c>
      <c r="AN1090" s="94">
        <v>2956</v>
      </c>
      <c r="AO1090" s="94">
        <v>57</v>
      </c>
      <c r="AP1090" s="95">
        <v>2.33016081391533</v>
      </c>
      <c r="AQ1090" s="95">
        <v>0.39781203381402302</v>
      </c>
      <c r="AR1090" s="95">
        <v>6.0810810810810798</v>
      </c>
      <c r="AS1090" s="95">
        <v>4.7297297297297298</v>
      </c>
      <c r="AT1090" s="95">
        <v>2.5604551920341398</v>
      </c>
      <c r="AU1090" s="95">
        <v>2.5059665871121699</v>
      </c>
      <c r="AV1090" s="95">
        <v>0.76923076923076905</v>
      </c>
      <c r="AW1090" s="95">
        <v>2.0572450805008899</v>
      </c>
      <c r="AX1090" s="95">
        <v>2.5423728813559299</v>
      </c>
      <c r="AY1090" s="95">
        <v>0</v>
      </c>
      <c r="AZ1090" s="95">
        <v>2.3455566567558601</v>
      </c>
      <c r="BA1090" s="95">
        <v>0</v>
      </c>
      <c r="BB1090" s="95">
        <v>0</v>
      </c>
      <c r="BC1090" s="95">
        <v>2.0512820512820502</v>
      </c>
      <c r="BD1090" s="95">
        <v>2.3588277340957799</v>
      </c>
      <c r="BE1090" s="95">
        <v>1.8518518518518501</v>
      </c>
    </row>
    <row r="1091" spans="2:57" ht="15" customHeight="1" x14ac:dyDescent="0.25">
      <c r="B1091" s="96">
        <v>1081</v>
      </c>
      <c r="C1091" s="97" t="s">
        <v>504</v>
      </c>
      <c r="D1091" s="104" t="s">
        <v>85</v>
      </c>
      <c r="E1091" s="104" t="s">
        <v>414</v>
      </c>
      <c r="F1091" s="104" t="s">
        <v>278</v>
      </c>
      <c r="G1091" s="105" t="s">
        <v>278</v>
      </c>
      <c r="H1091" s="106">
        <v>24485</v>
      </c>
      <c r="I1091" s="106">
        <v>16456</v>
      </c>
      <c r="J1091" s="106">
        <v>8029</v>
      </c>
      <c r="K1091" s="106">
        <v>1711</v>
      </c>
      <c r="L1091" s="106">
        <v>8151</v>
      </c>
      <c r="M1091" s="106">
        <v>12823</v>
      </c>
      <c r="N1091" s="106">
        <v>1800</v>
      </c>
      <c r="O1091" s="106">
        <v>24387</v>
      </c>
      <c r="P1091" s="106">
        <v>98</v>
      </c>
      <c r="Q1091" s="107">
        <v>1.1221329503119499</v>
      </c>
      <c r="R1091" s="107">
        <v>0.52245221876860004</v>
      </c>
      <c r="S1091" s="107">
        <v>2.3889354568315202</v>
      </c>
      <c r="T1091" s="107">
        <v>3.0013642564802199</v>
      </c>
      <c r="U1091" s="107">
        <v>1.4370932754880701</v>
      </c>
      <c r="V1091" s="107">
        <v>0.71198508221732504</v>
      </c>
      <c r="W1091" s="107">
        <v>0.97620500305064095</v>
      </c>
      <c r="X1091" s="107">
        <v>1.0950878774222601</v>
      </c>
      <c r="Y1091" s="107">
        <v>7.8651685393258397</v>
      </c>
      <c r="Z1091" s="106">
        <v>31725</v>
      </c>
      <c r="AA1091" s="106">
        <v>19412</v>
      </c>
      <c r="AB1091" s="106">
        <v>12313</v>
      </c>
      <c r="AC1091" s="106">
        <v>1644</v>
      </c>
      <c r="AD1091" s="106">
        <v>9289</v>
      </c>
      <c r="AE1091" s="106">
        <v>17711</v>
      </c>
      <c r="AF1091" s="106">
        <v>3081</v>
      </c>
      <c r="AG1091" s="106">
        <v>12925</v>
      </c>
      <c r="AH1091" s="106">
        <v>18429</v>
      </c>
      <c r="AI1091" s="106">
        <v>371</v>
      </c>
      <c r="AJ1091" s="106">
        <v>31421</v>
      </c>
      <c r="AK1091" s="106">
        <v>212</v>
      </c>
      <c r="AL1091" s="106">
        <v>92</v>
      </c>
      <c r="AM1091" s="106">
        <v>1456</v>
      </c>
      <c r="AN1091" s="106">
        <v>30020</v>
      </c>
      <c r="AO1091" s="106">
        <v>249</v>
      </c>
      <c r="AP1091" s="107">
        <v>4.7548291233283804</v>
      </c>
      <c r="AQ1091" s="107">
        <v>1.4949279231179899</v>
      </c>
      <c r="AR1091" s="107">
        <v>10.0389441800087</v>
      </c>
      <c r="AS1091" s="107">
        <v>9.9411379986919606</v>
      </c>
      <c r="AT1091" s="107">
        <v>5.8816824347429604</v>
      </c>
      <c r="AU1091" s="107">
        <v>4.0769502294387596</v>
      </c>
      <c r="AV1091" s="107">
        <v>2.6465661641541001</v>
      </c>
      <c r="AW1091" s="107">
        <v>3.42669127678356</v>
      </c>
      <c r="AX1091" s="107">
        <v>5.6864988558352403</v>
      </c>
      <c r="AY1091" s="107">
        <v>5.5232558139534902</v>
      </c>
      <c r="AZ1091" s="107">
        <v>4.7306307507667702</v>
      </c>
      <c r="BA1091" s="107">
        <v>10</v>
      </c>
      <c r="BB1091" s="107">
        <v>1.1235955056179801</v>
      </c>
      <c r="BC1091" s="107">
        <v>4.13990007137759</v>
      </c>
      <c r="BD1091" s="107">
        <v>4.7964811841094699</v>
      </c>
      <c r="BE1091" s="107">
        <v>3.3613445378151301</v>
      </c>
    </row>
    <row r="1092" spans="2:57" ht="15" customHeight="1" x14ac:dyDescent="0.25">
      <c r="B1092" s="91">
        <v>1082</v>
      </c>
      <c r="C1092" s="92" t="s">
        <v>504</v>
      </c>
      <c r="D1092" s="92" t="s">
        <v>85</v>
      </c>
      <c r="E1092" s="92" t="s">
        <v>414</v>
      </c>
      <c r="F1092" s="92" t="s">
        <v>278</v>
      </c>
      <c r="G1092" s="101" t="s">
        <v>501</v>
      </c>
      <c r="H1092" s="94">
        <v>14423</v>
      </c>
      <c r="I1092" s="94">
        <v>8974</v>
      </c>
      <c r="J1092" s="94">
        <v>5449</v>
      </c>
      <c r="K1092" s="94">
        <v>1141</v>
      </c>
      <c r="L1092" s="94">
        <v>5177</v>
      </c>
      <c r="M1092" s="94">
        <v>7141</v>
      </c>
      <c r="N1092" s="94">
        <v>964</v>
      </c>
      <c r="O1092" s="94">
        <v>14338</v>
      </c>
      <c r="P1092" s="94">
        <v>85</v>
      </c>
      <c r="Q1092" s="95">
        <v>1.8269377770983</v>
      </c>
      <c r="R1092" s="95">
        <v>0.93560145808019402</v>
      </c>
      <c r="S1092" s="95">
        <v>3.3388293487221801</v>
      </c>
      <c r="T1092" s="95">
        <v>4.4193216855087396</v>
      </c>
      <c r="U1092" s="95">
        <v>2.1385799828913599</v>
      </c>
      <c r="V1092" s="95">
        <v>1.2355094569859699</v>
      </c>
      <c r="W1092" s="95">
        <v>1.71037628278221</v>
      </c>
      <c r="X1092" s="95">
        <v>1.78406644109505</v>
      </c>
      <c r="Y1092" s="95">
        <v>8.9743589743589691</v>
      </c>
      <c r="Z1092" s="94">
        <v>17826</v>
      </c>
      <c r="AA1092" s="94">
        <v>9800</v>
      </c>
      <c r="AB1092" s="94">
        <v>8026</v>
      </c>
      <c r="AC1092" s="94">
        <v>1054</v>
      </c>
      <c r="AD1092" s="94">
        <v>5688</v>
      </c>
      <c r="AE1092" s="94">
        <v>9589</v>
      </c>
      <c r="AF1092" s="94">
        <v>1495</v>
      </c>
      <c r="AG1092" s="94">
        <v>5307</v>
      </c>
      <c r="AH1092" s="94">
        <v>12334</v>
      </c>
      <c r="AI1092" s="94">
        <v>185</v>
      </c>
      <c r="AJ1092" s="94">
        <v>17627</v>
      </c>
      <c r="AK1092" s="94">
        <v>159</v>
      </c>
      <c r="AL1092" s="94">
        <v>40</v>
      </c>
      <c r="AM1092" s="94">
        <v>821</v>
      </c>
      <c r="AN1092" s="94">
        <v>16875</v>
      </c>
      <c r="AO1092" s="94">
        <v>130</v>
      </c>
      <c r="AP1092" s="95">
        <v>7.1635268410795501</v>
      </c>
      <c r="AQ1092" s="95">
        <v>2.55482222695337</v>
      </c>
      <c r="AR1092" s="95">
        <v>12.9062209842154</v>
      </c>
      <c r="AS1092" s="95">
        <v>14.038657171922701</v>
      </c>
      <c r="AT1092" s="95">
        <v>8.0067189249720006</v>
      </c>
      <c r="AU1092" s="95">
        <v>6.3476455806839303</v>
      </c>
      <c r="AV1092" s="95">
        <v>4.5170257123002102</v>
      </c>
      <c r="AW1092" s="95">
        <v>6.4796523113393896</v>
      </c>
      <c r="AX1092" s="95">
        <v>7.4457172166182204</v>
      </c>
      <c r="AY1092" s="95">
        <v>8.0924855491329506</v>
      </c>
      <c r="AZ1092" s="95">
        <v>7.1245147805315003</v>
      </c>
      <c r="BA1092" s="95">
        <v>13.3333333333333</v>
      </c>
      <c r="BB1092" s="95">
        <v>0</v>
      </c>
      <c r="BC1092" s="95">
        <v>6.6326530612244898</v>
      </c>
      <c r="BD1092" s="95">
        <v>7.2074882995319802</v>
      </c>
      <c r="BE1092" s="95">
        <v>4.8387096774193497</v>
      </c>
    </row>
    <row r="1093" spans="2:57" ht="15" customHeight="1" x14ac:dyDescent="0.25">
      <c r="B1093" s="91">
        <v>1083</v>
      </c>
      <c r="C1093" s="92" t="s">
        <v>504</v>
      </c>
      <c r="D1093" s="92" t="s">
        <v>85</v>
      </c>
      <c r="E1093" s="92" t="s">
        <v>414</v>
      </c>
      <c r="F1093" s="92" t="s">
        <v>278</v>
      </c>
      <c r="G1093" s="101" t="s">
        <v>502</v>
      </c>
      <c r="H1093" s="94">
        <v>10062</v>
      </c>
      <c r="I1093" s="94">
        <v>7482</v>
      </c>
      <c r="J1093" s="94">
        <v>2580</v>
      </c>
      <c r="K1093" s="94">
        <v>570</v>
      </c>
      <c r="L1093" s="94">
        <v>2974</v>
      </c>
      <c r="M1093" s="94">
        <v>5682</v>
      </c>
      <c r="N1093" s="94">
        <v>836</v>
      </c>
      <c r="O1093" s="94">
        <v>10049</v>
      </c>
      <c r="P1093" s="94">
        <v>13</v>
      </c>
      <c r="Q1093" s="95">
        <v>0.119604218766989</v>
      </c>
      <c r="R1093" s="95">
        <v>2.9023363807865299E-2</v>
      </c>
      <c r="S1093" s="95">
        <v>0.39028620988725099</v>
      </c>
      <c r="T1093" s="95">
        <v>0.202839756592292</v>
      </c>
      <c r="U1093" s="95">
        <v>0.22222222222222199</v>
      </c>
      <c r="V1093" s="95">
        <v>5.7230064860740198E-2</v>
      </c>
      <c r="W1093" s="95">
        <v>0.13123359580052499</v>
      </c>
      <c r="X1093" s="95">
        <v>0.11974744175919901</v>
      </c>
      <c r="Y1093" s="95">
        <v>0</v>
      </c>
      <c r="Z1093" s="94">
        <v>13899</v>
      </c>
      <c r="AA1093" s="94">
        <v>9612</v>
      </c>
      <c r="AB1093" s="94">
        <v>4287</v>
      </c>
      <c r="AC1093" s="94">
        <v>590</v>
      </c>
      <c r="AD1093" s="94">
        <v>3601</v>
      </c>
      <c r="AE1093" s="94">
        <v>8122</v>
      </c>
      <c r="AF1093" s="94">
        <v>1586</v>
      </c>
      <c r="AG1093" s="94">
        <v>7618</v>
      </c>
      <c r="AH1093" s="94">
        <v>6095</v>
      </c>
      <c r="AI1093" s="94">
        <v>186</v>
      </c>
      <c r="AJ1093" s="94">
        <v>13794</v>
      </c>
      <c r="AK1093" s="94">
        <v>53</v>
      </c>
      <c r="AL1093" s="94">
        <v>52</v>
      </c>
      <c r="AM1093" s="94">
        <v>635</v>
      </c>
      <c r="AN1093" s="94">
        <v>13145</v>
      </c>
      <c r="AO1093" s="94">
        <v>119</v>
      </c>
      <c r="AP1093" s="95">
        <v>1.7001198322348701</v>
      </c>
      <c r="AQ1093" s="95">
        <v>0.42844901456726697</v>
      </c>
      <c r="AR1093" s="95">
        <v>4.6563745019920297</v>
      </c>
      <c r="AS1093" s="95">
        <v>2.5641025641025599</v>
      </c>
      <c r="AT1093" s="95">
        <v>2.5475841874084901</v>
      </c>
      <c r="AU1093" s="95">
        <v>1.427660930529</v>
      </c>
      <c r="AV1093" s="95">
        <v>0.90556274256144897</v>
      </c>
      <c r="AW1093" s="95">
        <v>1.3380186511690799</v>
      </c>
      <c r="AX1093" s="95">
        <v>2.1272915946039399</v>
      </c>
      <c r="AY1093" s="95">
        <v>2.9239766081871301</v>
      </c>
      <c r="AZ1093" s="95">
        <v>1.7055316579880799</v>
      </c>
      <c r="BA1093" s="95">
        <v>0</v>
      </c>
      <c r="BB1093" s="95">
        <v>1.9607843137254899</v>
      </c>
      <c r="BC1093" s="95">
        <v>0.97244732576985404</v>
      </c>
      <c r="BD1093" s="95">
        <v>1.7352032327073901</v>
      </c>
      <c r="BE1093" s="95">
        <v>1.7543859649122799</v>
      </c>
    </row>
    <row r="1094" spans="2:57" ht="15" customHeight="1" x14ac:dyDescent="0.25">
      <c r="B1094" s="96">
        <v>1084</v>
      </c>
      <c r="C1094" s="97" t="s">
        <v>504</v>
      </c>
      <c r="D1094" s="104" t="s">
        <v>85</v>
      </c>
      <c r="E1094" s="104" t="s">
        <v>414</v>
      </c>
      <c r="F1094" s="104" t="s">
        <v>327</v>
      </c>
      <c r="G1094" s="105" t="s">
        <v>327</v>
      </c>
      <c r="H1094" s="106">
        <v>4108</v>
      </c>
      <c r="I1094" s="106">
        <v>2897</v>
      </c>
      <c r="J1094" s="106">
        <v>1211</v>
      </c>
      <c r="K1094" s="106">
        <v>242</v>
      </c>
      <c r="L1094" s="106">
        <v>1253</v>
      </c>
      <c r="M1094" s="106">
        <v>2158</v>
      </c>
      <c r="N1094" s="106">
        <v>455</v>
      </c>
      <c r="O1094" s="106">
        <v>3994</v>
      </c>
      <c r="P1094" s="106">
        <v>114</v>
      </c>
      <c r="Q1094" s="107">
        <v>0.70479804825155901</v>
      </c>
      <c r="R1094" s="107">
        <v>0.26435045317220501</v>
      </c>
      <c r="S1094" s="107">
        <v>1.8251681075888599</v>
      </c>
      <c r="T1094" s="107">
        <v>1.91387559808612</v>
      </c>
      <c r="U1094" s="107">
        <v>1.0879419764279199</v>
      </c>
      <c r="V1094" s="107">
        <v>0.40816326530612201</v>
      </c>
      <c r="W1094" s="107">
        <v>0.47961630695443602</v>
      </c>
      <c r="X1094" s="107">
        <v>0.69676700111482703</v>
      </c>
      <c r="Y1094" s="107">
        <v>0.99009900990098998</v>
      </c>
      <c r="Z1094" s="106">
        <v>4686</v>
      </c>
      <c r="AA1094" s="106">
        <v>3031</v>
      </c>
      <c r="AB1094" s="106">
        <v>1655</v>
      </c>
      <c r="AC1094" s="106">
        <v>175</v>
      </c>
      <c r="AD1094" s="106">
        <v>1238</v>
      </c>
      <c r="AE1094" s="106">
        <v>2774</v>
      </c>
      <c r="AF1094" s="106">
        <v>499</v>
      </c>
      <c r="AG1094" s="106">
        <v>939</v>
      </c>
      <c r="AH1094" s="106">
        <v>3680</v>
      </c>
      <c r="AI1094" s="106">
        <v>67</v>
      </c>
      <c r="AJ1094" s="106">
        <v>4598</v>
      </c>
      <c r="AK1094" s="106">
        <v>70</v>
      </c>
      <c r="AL1094" s="106">
        <v>18</v>
      </c>
      <c r="AM1094" s="106">
        <v>219</v>
      </c>
      <c r="AN1094" s="106">
        <v>4438</v>
      </c>
      <c r="AO1094" s="106">
        <v>29</v>
      </c>
      <c r="AP1094" s="107">
        <v>3.8878842676311001</v>
      </c>
      <c r="AQ1094" s="107">
        <v>1.0065949323151699</v>
      </c>
      <c r="AR1094" s="107">
        <v>9.2676604018146502</v>
      </c>
      <c r="AS1094" s="107">
        <v>8.2352941176470598</v>
      </c>
      <c r="AT1094" s="107">
        <v>5.4433713784021096</v>
      </c>
      <c r="AU1094" s="107">
        <v>3.3763277693474998</v>
      </c>
      <c r="AV1094" s="107">
        <v>1.46137787056367</v>
      </c>
      <c r="AW1094" s="107">
        <v>3.5359116022099499</v>
      </c>
      <c r="AX1094" s="107">
        <v>4.0196645459803397</v>
      </c>
      <c r="AY1094" s="107">
        <v>1.63934426229508</v>
      </c>
      <c r="AZ1094" s="107">
        <v>3.82488479262673</v>
      </c>
      <c r="BA1094" s="107">
        <v>7.3529411764705896</v>
      </c>
      <c r="BB1094" s="107">
        <v>6.25</v>
      </c>
      <c r="BC1094" s="107">
        <v>1.8957345971563999</v>
      </c>
      <c r="BD1094" s="107">
        <v>3.9894887720974701</v>
      </c>
      <c r="BE1094" s="107">
        <v>3.7037037037037002</v>
      </c>
    </row>
    <row r="1095" spans="2:57" ht="15" customHeight="1" x14ac:dyDescent="0.25">
      <c r="B1095" s="91">
        <v>1085</v>
      </c>
      <c r="C1095" s="92" t="s">
        <v>504</v>
      </c>
      <c r="D1095" s="92" t="s">
        <v>85</v>
      </c>
      <c r="E1095" s="92" t="s">
        <v>414</v>
      </c>
      <c r="F1095" s="92" t="s">
        <v>327</v>
      </c>
      <c r="G1095" s="101" t="s">
        <v>501</v>
      </c>
      <c r="H1095" s="94">
        <v>2256</v>
      </c>
      <c r="I1095" s="94">
        <v>1523</v>
      </c>
      <c r="J1095" s="94">
        <v>733</v>
      </c>
      <c r="K1095" s="94">
        <v>127</v>
      </c>
      <c r="L1095" s="94">
        <v>743</v>
      </c>
      <c r="M1095" s="94">
        <v>1135</v>
      </c>
      <c r="N1095" s="94">
        <v>251</v>
      </c>
      <c r="O1095" s="94">
        <v>2147</v>
      </c>
      <c r="P1095" s="94">
        <v>109</v>
      </c>
      <c r="Q1095" s="95">
        <v>1.10055027513757</v>
      </c>
      <c r="R1095" s="95">
        <v>0.364431486880466</v>
      </c>
      <c r="S1095" s="95">
        <v>2.71132376395534</v>
      </c>
      <c r="T1095" s="95">
        <v>3.6697247706421998</v>
      </c>
      <c r="U1095" s="95">
        <v>1.3888888888888899</v>
      </c>
      <c r="V1095" s="95">
        <v>0.68965517241379304</v>
      </c>
      <c r="W1095" s="95">
        <v>0.88105726872246704</v>
      </c>
      <c r="X1095" s="95">
        <v>1.10468174644924</v>
      </c>
      <c r="Y1095" s="95">
        <v>1.0204081632653099</v>
      </c>
      <c r="Z1095" s="94">
        <v>2485</v>
      </c>
      <c r="AA1095" s="94">
        <v>1530</v>
      </c>
      <c r="AB1095" s="94">
        <v>955</v>
      </c>
      <c r="AC1095" s="94">
        <v>78</v>
      </c>
      <c r="AD1095" s="94">
        <v>704</v>
      </c>
      <c r="AE1095" s="94">
        <v>1508</v>
      </c>
      <c r="AF1095" s="94">
        <v>195</v>
      </c>
      <c r="AG1095" s="94">
        <v>250</v>
      </c>
      <c r="AH1095" s="94">
        <v>2198</v>
      </c>
      <c r="AI1095" s="94">
        <v>37</v>
      </c>
      <c r="AJ1095" s="94">
        <v>2443</v>
      </c>
      <c r="AK1095" s="94">
        <v>36</v>
      </c>
      <c r="AL1095" s="94">
        <v>6</v>
      </c>
      <c r="AM1095" s="94">
        <v>87</v>
      </c>
      <c r="AN1095" s="94">
        <v>2383</v>
      </c>
      <c r="AO1095" s="94">
        <v>15</v>
      </c>
      <c r="AP1095" s="95">
        <v>5.3356282271944897</v>
      </c>
      <c r="AQ1095" s="95">
        <v>1.6597510373444</v>
      </c>
      <c r="AR1095" s="95">
        <v>11.3895216400911</v>
      </c>
      <c r="AS1095" s="95">
        <v>12</v>
      </c>
      <c r="AT1095" s="95">
        <v>6.96594427244582</v>
      </c>
      <c r="AU1095" s="95">
        <v>4.4428772919605102</v>
      </c>
      <c r="AV1095" s="95">
        <v>3.7837837837837802</v>
      </c>
      <c r="AW1095" s="95">
        <v>6.25</v>
      </c>
      <c r="AX1095" s="95">
        <v>5.2605942523136902</v>
      </c>
      <c r="AY1095" s="95">
        <v>3.2258064516128999</v>
      </c>
      <c r="AZ1095" s="95">
        <v>5.3000438020148897</v>
      </c>
      <c r="BA1095" s="95">
        <v>8.3333333333333304</v>
      </c>
      <c r="BB1095" s="95">
        <v>0</v>
      </c>
      <c r="BC1095" s="95">
        <v>2.4390243902439002</v>
      </c>
      <c r="BD1095" s="95">
        <v>5.4757630161579902</v>
      </c>
      <c r="BE1095" s="95">
        <v>0</v>
      </c>
    </row>
    <row r="1096" spans="2:57" ht="15" customHeight="1" x14ac:dyDescent="0.25">
      <c r="B1096" s="91">
        <v>1086</v>
      </c>
      <c r="C1096" s="92" t="s">
        <v>504</v>
      </c>
      <c r="D1096" s="92" t="s">
        <v>85</v>
      </c>
      <c r="E1096" s="92" t="s">
        <v>414</v>
      </c>
      <c r="F1096" s="92" t="s">
        <v>327</v>
      </c>
      <c r="G1096" s="101" t="s">
        <v>502</v>
      </c>
      <c r="H1096" s="94">
        <v>1852</v>
      </c>
      <c r="I1096" s="94">
        <v>1374</v>
      </c>
      <c r="J1096" s="94">
        <v>478</v>
      </c>
      <c r="K1096" s="94">
        <v>115</v>
      </c>
      <c r="L1096" s="94">
        <v>510</v>
      </c>
      <c r="M1096" s="94">
        <v>1023</v>
      </c>
      <c r="N1096" s="94">
        <v>204</v>
      </c>
      <c r="O1096" s="94">
        <v>1847</v>
      </c>
      <c r="P1096" s="94">
        <v>5</v>
      </c>
      <c r="Q1096" s="95">
        <v>0.23668639053254401</v>
      </c>
      <c r="R1096" s="95">
        <v>0.156739811912226</v>
      </c>
      <c r="S1096" s="95">
        <v>0.48309178743961401</v>
      </c>
      <c r="T1096" s="95">
        <v>0</v>
      </c>
      <c r="U1096" s="95">
        <v>0.659340659340659</v>
      </c>
      <c r="V1096" s="95">
        <v>0.10582010582010599</v>
      </c>
      <c r="W1096" s="95">
        <v>0</v>
      </c>
      <c r="X1096" s="95">
        <v>0.2371072910492</v>
      </c>
      <c r="Y1096" s="95">
        <v>0</v>
      </c>
      <c r="Z1096" s="94">
        <v>2201</v>
      </c>
      <c r="AA1096" s="94">
        <v>1501</v>
      </c>
      <c r="AB1096" s="94">
        <v>700</v>
      </c>
      <c r="AC1096" s="94">
        <v>97</v>
      </c>
      <c r="AD1096" s="94">
        <v>534</v>
      </c>
      <c r="AE1096" s="94">
        <v>1266</v>
      </c>
      <c r="AF1096" s="94">
        <v>304</v>
      </c>
      <c r="AG1096" s="94">
        <v>689</v>
      </c>
      <c r="AH1096" s="94">
        <v>1482</v>
      </c>
      <c r="AI1096" s="94">
        <v>30</v>
      </c>
      <c r="AJ1096" s="94">
        <v>2155</v>
      </c>
      <c r="AK1096" s="94">
        <v>34</v>
      </c>
      <c r="AL1096" s="94">
        <v>12</v>
      </c>
      <c r="AM1096" s="94">
        <v>132</v>
      </c>
      <c r="AN1096" s="94">
        <v>2055</v>
      </c>
      <c r="AO1096" s="94">
        <v>14</v>
      </c>
      <c r="AP1096" s="95">
        <v>2.28571428571429</v>
      </c>
      <c r="AQ1096" s="95">
        <v>0.348432055749129</v>
      </c>
      <c r="AR1096" s="95">
        <v>6.4661654135338296</v>
      </c>
      <c r="AS1096" s="95">
        <v>5.2631578947368398</v>
      </c>
      <c r="AT1096" s="95">
        <v>3.4482758620689702</v>
      </c>
      <c r="AU1096" s="95">
        <v>2.1346469622331701</v>
      </c>
      <c r="AV1096" s="95">
        <v>0</v>
      </c>
      <c r="AW1096" s="95">
        <v>2.55639097744361</v>
      </c>
      <c r="AX1096" s="95">
        <v>2.2064056939501802</v>
      </c>
      <c r="AY1096" s="95">
        <v>0</v>
      </c>
      <c r="AZ1096" s="95">
        <v>2.18765192027224</v>
      </c>
      <c r="BA1096" s="95">
        <v>6.25</v>
      </c>
      <c r="BB1096" s="95">
        <v>9.0909090909090899</v>
      </c>
      <c r="BC1096" s="95">
        <v>1.55038759689922</v>
      </c>
      <c r="BD1096" s="95">
        <v>2.2982635342185902</v>
      </c>
      <c r="BE1096" s="95">
        <v>7.6923076923076898</v>
      </c>
    </row>
    <row r="1097" spans="2:57" ht="15" customHeight="1" x14ac:dyDescent="0.25">
      <c r="B1097" s="86">
        <v>1087</v>
      </c>
      <c r="C1097" s="87" t="s">
        <v>503</v>
      </c>
      <c r="D1097" s="103" t="s">
        <v>85</v>
      </c>
      <c r="E1097" s="103" t="s">
        <v>415</v>
      </c>
      <c r="F1097" s="103"/>
      <c r="G1097" s="88" t="s">
        <v>415</v>
      </c>
      <c r="H1097" s="89">
        <v>33569</v>
      </c>
      <c r="I1097" s="89">
        <v>23036</v>
      </c>
      <c r="J1097" s="89">
        <v>10533</v>
      </c>
      <c r="K1097" s="89">
        <v>2962</v>
      </c>
      <c r="L1097" s="89">
        <v>11174</v>
      </c>
      <c r="M1097" s="89">
        <v>16932</v>
      </c>
      <c r="N1097" s="89">
        <v>2501</v>
      </c>
      <c r="O1097" s="89">
        <v>30483</v>
      </c>
      <c r="P1097" s="89">
        <v>3086</v>
      </c>
      <c r="Q1097" s="90">
        <v>1.1719415391953101</v>
      </c>
      <c r="R1097" s="90">
        <v>0.622976552536054</v>
      </c>
      <c r="S1097" s="90">
        <v>2.4199843871975002</v>
      </c>
      <c r="T1097" s="90">
        <v>1.66597251145356</v>
      </c>
      <c r="U1097" s="90">
        <v>1.2881286067601001</v>
      </c>
      <c r="V1097" s="90">
        <v>1.01252331468159</v>
      </c>
      <c r="W1097" s="90">
        <v>1.20751341681574</v>
      </c>
      <c r="X1097" s="90">
        <v>1.2580742076010201</v>
      </c>
      <c r="Y1097" s="90">
        <v>0.33027522935779802</v>
      </c>
      <c r="Z1097" s="89">
        <v>51224</v>
      </c>
      <c r="AA1097" s="89">
        <v>32878</v>
      </c>
      <c r="AB1097" s="89">
        <v>18346</v>
      </c>
      <c r="AC1097" s="89">
        <v>3602</v>
      </c>
      <c r="AD1097" s="89">
        <v>15567</v>
      </c>
      <c r="AE1097" s="89">
        <v>27584</v>
      </c>
      <c r="AF1097" s="89">
        <v>4471</v>
      </c>
      <c r="AG1097" s="89">
        <v>14119</v>
      </c>
      <c r="AH1097" s="89">
        <v>35722</v>
      </c>
      <c r="AI1097" s="89">
        <v>1383</v>
      </c>
      <c r="AJ1097" s="89">
        <v>47228</v>
      </c>
      <c r="AK1097" s="89">
        <v>3778</v>
      </c>
      <c r="AL1097" s="89">
        <v>218</v>
      </c>
      <c r="AM1097" s="89">
        <v>2124</v>
      </c>
      <c r="AN1097" s="89">
        <v>48315</v>
      </c>
      <c r="AO1097" s="89">
        <v>785</v>
      </c>
      <c r="AP1097" s="90">
        <v>3.5239528467519401</v>
      </c>
      <c r="AQ1097" s="90">
        <v>1.0982306284319701</v>
      </c>
      <c r="AR1097" s="90">
        <v>8.0464587199904205</v>
      </c>
      <c r="AS1097" s="90">
        <v>3.98681055155875</v>
      </c>
      <c r="AT1097" s="90">
        <v>3.8683241891798001</v>
      </c>
      <c r="AU1097" s="90">
        <v>3.4103197898964899</v>
      </c>
      <c r="AV1097" s="90">
        <v>2.6796300687692698</v>
      </c>
      <c r="AW1097" s="90">
        <v>3.72750642673522</v>
      </c>
      <c r="AX1097" s="90">
        <v>3.4763845600575398</v>
      </c>
      <c r="AY1097" s="90">
        <v>2.64</v>
      </c>
      <c r="AZ1097" s="90">
        <v>3.74223672877284</v>
      </c>
      <c r="BA1097" s="90">
        <v>0.93590470788428803</v>
      </c>
      <c r="BB1097" s="90">
        <v>1</v>
      </c>
      <c r="BC1097" s="90">
        <v>3.6850075719333701</v>
      </c>
      <c r="BD1097" s="90">
        <v>3.5428014702626101</v>
      </c>
      <c r="BE1097" s="90">
        <v>1.85449358059914</v>
      </c>
    </row>
    <row r="1098" spans="2:57" ht="15" customHeight="1" x14ac:dyDescent="0.25">
      <c r="B1098" s="91">
        <v>1088</v>
      </c>
      <c r="C1098" s="92" t="s">
        <v>503</v>
      </c>
      <c r="D1098" s="92" t="s">
        <v>85</v>
      </c>
      <c r="E1098" s="92" t="s">
        <v>415</v>
      </c>
      <c r="F1098" s="92"/>
      <c r="G1098" s="93" t="s">
        <v>501</v>
      </c>
      <c r="H1098" s="94">
        <v>12388</v>
      </c>
      <c r="I1098" s="94">
        <v>7923</v>
      </c>
      <c r="J1098" s="94">
        <v>4465</v>
      </c>
      <c r="K1098" s="94">
        <v>636</v>
      </c>
      <c r="L1098" s="94">
        <v>3687</v>
      </c>
      <c r="M1098" s="94">
        <v>6999</v>
      </c>
      <c r="N1098" s="94">
        <v>1066</v>
      </c>
      <c r="O1098" s="94">
        <v>12234</v>
      </c>
      <c r="P1098" s="94">
        <v>154</v>
      </c>
      <c r="Q1098" s="95">
        <v>2.4441596484804098</v>
      </c>
      <c r="R1098" s="95">
        <v>1.34228187919463</v>
      </c>
      <c r="S1098" s="95">
        <v>4.4121397602652399</v>
      </c>
      <c r="T1098" s="95">
        <v>6.0998151571164501</v>
      </c>
      <c r="U1098" s="95">
        <v>3.0152315822194602</v>
      </c>
      <c r="V1098" s="95">
        <v>1.8783111253812801</v>
      </c>
      <c r="W1098" s="95">
        <v>2.1344717182497299</v>
      </c>
      <c r="X1098" s="95">
        <v>2.4281742354031501</v>
      </c>
      <c r="Y1098" s="95">
        <v>3.7313432835820901</v>
      </c>
      <c r="Z1098" s="94">
        <v>17207</v>
      </c>
      <c r="AA1098" s="94">
        <v>10191</v>
      </c>
      <c r="AB1098" s="94">
        <v>7016</v>
      </c>
      <c r="AC1098" s="94">
        <v>703</v>
      </c>
      <c r="AD1098" s="94">
        <v>4711</v>
      </c>
      <c r="AE1098" s="94">
        <v>10046</v>
      </c>
      <c r="AF1098" s="94">
        <v>1747</v>
      </c>
      <c r="AG1098" s="94">
        <v>4660</v>
      </c>
      <c r="AH1098" s="94">
        <v>12167</v>
      </c>
      <c r="AI1098" s="94">
        <v>380</v>
      </c>
      <c r="AJ1098" s="94">
        <v>16943</v>
      </c>
      <c r="AK1098" s="94">
        <v>217</v>
      </c>
      <c r="AL1098" s="94">
        <v>47</v>
      </c>
      <c r="AM1098" s="94">
        <v>809</v>
      </c>
      <c r="AN1098" s="94">
        <v>16151</v>
      </c>
      <c r="AO1098" s="94">
        <v>247</v>
      </c>
      <c r="AP1098" s="95">
        <v>7.3426793235682402</v>
      </c>
      <c r="AQ1098" s="95">
        <v>2.6002971768202099</v>
      </c>
      <c r="AR1098" s="95">
        <v>14.2328450269854</v>
      </c>
      <c r="AS1098" s="95">
        <v>15.912636505460201</v>
      </c>
      <c r="AT1098" s="95">
        <v>8.8592800374006604</v>
      </c>
      <c r="AU1098" s="95">
        <v>6.5882352941176503</v>
      </c>
      <c r="AV1098" s="95">
        <v>4.3345543345543298</v>
      </c>
      <c r="AW1098" s="95">
        <v>6.74988441978733</v>
      </c>
      <c r="AX1098" s="95">
        <v>7.6025994836641999</v>
      </c>
      <c r="AY1098" s="95">
        <v>6.3218390804597702</v>
      </c>
      <c r="AZ1098" s="95">
        <v>7.3771537970644596</v>
      </c>
      <c r="BA1098" s="95">
        <v>6.1538461538461497</v>
      </c>
      <c r="BB1098" s="95">
        <v>0</v>
      </c>
      <c r="BC1098" s="95">
        <v>5.70291777188329</v>
      </c>
      <c r="BD1098" s="95">
        <v>7.4884561333065696</v>
      </c>
      <c r="BE1098" s="95">
        <v>2.8571428571428599</v>
      </c>
    </row>
    <row r="1099" spans="2:57" ht="15" customHeight="1" x14ac:dyDescent="0.25">
      <c r="B1099" s="91">
        <v>1089</v>
      </c>
      <c r="C1099" s="92" t="s">
        <v>503</v>
      </c>
      <c r="D1099" s="92" t="s">
        <v>85</v>
      </c>
      <c r="E1099" s="92" t="s">
        <v>415</v>
      </c>
      <c r="F1099" s="92"/>
      <c r="G1099" s="93" t="s">
        <v>502</v>
      </c>
      <c r="H1099" s="94">
        <v>21181</v>
      </c>
      <c r="I1099" s="94">
        <v>15113</v>
      </c>
      <c r="J1099" s="94">
        <v>6068</v>
      </c>
      <c r="K1099" s="94">
        <v>2326</v>
      </c>
      <c r="L1099" s="94">
        <v>7487</v>
      </c>
      <c r="M1099" s="94">
        <v>9933</v>
      </c>
      <c r="N1099" s="94">
        <v>1435</v>
      </c>
      <c r="O1099" s="94">
        <v>18249</v>
      </c>
      <c r="P1099" s="94">
        <v>2932</v>
      </c>
      <c r="Q1099" s="95">
        <v>0.41781974062618699</v>
      </c>
      <c r="R1099" s="95">
        <v>0.246581483972204</v>
      </c>
      <c r="S1099" s="95">
        <v>0.87197780420134796</v>
      </c>
      <c r="T1099" s="95">
        <v>0.37634408602150499</v>
      </c>
      <c r="U1099" s="95">
        <v>0.43163249576075202</v>
      </c>
      <c r="V1099" s="95">
        <v>0.39849709666401001</v>
      </c>
      <c r="W1099" s="95">
        <v>0.53887605850654396</v>
      </c>
      <c r="X1099" s="95">
        <v>0.460916782422023</v>
      </c>
      <c r="Y1099" s="95">
        <v>0.154380548050946</v>
      </c>
      <c r="Z1099" s="94">
        <v>34017</v>
      </c>
      <c r="AA1099" s="94">
        <v>22687</v>
      </c>
      <c r="AB1099" s="94">
        <v>11330</v>
      </c>
      <c r="AC1099" s="94">
        <v>2899</v>
      </c>
      <c r="AD1099" s="94">
        <v>10856</v>
      </c>
      <c r="AE1099" s="94">
        <v>17538</v>
      </c>
      <c r="AF1099" s="94">
        <v>2724</v>
      </c>
      <c r="AG1099" s="94">
        <v>9459</v>
      </c>
      <c r="AH1099" s="94">
        <v>23555</v>
      </c>
      <c r="AI1099" s="94">
        <v>1003</v>
      </c>
      <c r="AJ1099" s="94">
        <v>30285</v>
      </c>
      <c r="AK1099" s="94">
        <v>3561</v>
      </c>
      <c r="AL1099" s="94">
        <v>171</v>
      </c>
      <c r="AM1099" s="94">
        <v>1315</v>
      </c>
      <c r="AN1099" s="94">
        <v>32164</v>
      </c>
      <c r="AO1099" s="94">
        <v>538</v>
      </c>
      <c r="AP1099" s="95">
        <v>1.6219432006763299</v>
      </c>
      <c r="AQ1099" s="95">
        <v>0.44661356416041298</v>
      </c>
      <c r="AR1099" s="95">
        <v>4.1201800743785499</v>
      </c>
      <c r="AS1099" s="95">
        <v>1.1502782931354401</v>
      </c>
      <c r="AT1099" s="95">
        <v>1.7587194941211299</v>
      </c>
      <c r="AU1099" s="95">
        <v>1.6140732680449801</v>
      </c>
      <c r="AV1099" s="95">
        <v>1.6285381930981</v>
      </c>
      <c r="AW1099" s="95">
        <v>2.2584269662921299</v>
      </c>
      <c r="AX1099" s="95">
        <v>1.38242602213689</v>
      </c>
      <c r="AY1099" s="95">
        <v>1.2195121951219501</v>
      </c>
      <c r="AZ1099" s="95">
        <v>1.74001687289089</v>
      </c>
      <c r="BA1099" s="95">
        <v>0.63044130891624095</v>
      </c>
      <c r="BB1099" s="95">
        <v>1.26582278481013</v>
      </c>
      <c r="BC1099" s="95">
        <v>2.44498777506112</v>
      </c>
      <c r="BD1099" s="95">
        <v>1.5917138224295999</v>
      </c>
      <c r="BE1099" s="95">
        <v>1.42566191446029</v>
      </c>
    </row>
    <row r="1100" spans="2:57" ht="15" customHeight="1" x14ac:dyDescent="0.25">
      <c r="B1100" s="96">
        <v>1090</v>
      </c>
      <c r="C1100" s="97" t="s">
        <v>504</v>
      </c>
      <c r="D1100" s="104" t="s">
        <v>85</v>
      </c>
      <c r="E1100" s="104" t="s">
        <v>415</v>
      </c>
      <c r="F1100" s="104" t="s">
        <v>481</v>
      </c>
      <c r="G1100" s="105" t="s">
        <v>481</v>
      </c>
      <c r="H1100" s="106">
        <v>11763</v>
      </c>
      <c r="I1100" s="106">
        <v>8518</v>
      </c>
      <c r="J1100" s="106">
        <v>3245</v>
      </c>
      <c r="K1100" s="106">
        <v>864</v>
      </c>
      <c r="L1100" s="106">
        <v>3887</v>
      </c>
      <c r="M1100" s="106">
        <v>6181</v>
      </c>
      <c r="N1100" s="106">
        <v>831</v>
      </c>
      <c r="O1100" s="106">
        <v>10905</v>
      </c>
      <c r="P1100" s="106">
        <v>858</v>
      </c>
      <c r="Q1100" s="107">
        <v>1.16234390009606</v>
      </c>
      <c r="R1100" s="107">
        <v>0.70699135899450105</v>
      </c>
      <c r="S1100" s="107">
        <v>2.4170274170274202</v>
      </c>
      <c r="T1100" s="107">
        <v>1.2345679012345701</v>
      </c>
      <c r="U1100" s="107">
        <v>1.3062409288824399</v>
      </c>
      <c r="V1100" s="107">
        <v>0.98199672667757798</v>
      </c>
      <c r="W1100" s="107">
        <v>1.76390773405699</v>
      </c>
      <c r="X1100" s="107">
        <v>1.21256088713856</v>
      </c>
      <c r="Y1100" s="107">
        <v>0.525624178712221</v>
      </c>
      <c r="Z1100" s="106">
        <v>19759</v>
      </c>
      <c r="AA1100" s="106">
        <v>12510</v>
      </c>
      <c r="AB1100" s="106">
        <v>7249</v>
      </c>
      <c r="AC1100" s="106">
        <v>1472</v>
      </c>
      <c r="AD1100" s="106">
        <v>5694</v>
      </c>
      <c r="AE1100" s="106">
        <v>10887</v>
      </c>
      <c r="AF1100" s="106">
        <v>1706</v>
      </c>
      <c r="AG1100" s="106">
        <v>6346</v>
      </c>
      <c r="AH1100" s="106">
        <v>12799</v>
      </c>
      <c r="AI1100" s="106">
        <v>614</v>
      </c>
      <c r="AJ1100" s="106">
        <v>18475</v>
      </c>
      <c r="AK1100" s="106">
        <v>1220</v>
      </c>
      <c r="AL1100" s="106">
        <v>64</v>
      </c>
      <c r="AM1100" s="106">
        <v>838</v>
      </c>
      <c r="AN1100" s="106">
        <v>18568</v>
      </c>
      <c r="AO1100" s="106">
        <v>353</v>
      </c>
      <c r="AP1100" s="107">
        <v>2.9848338173604398</v>
      </c>
      <c r="AQ1100" s="107">
        <v>0.93880972338642099</v>
      </c>
      <c r="AR1100" s="107">
        <v>6.6476590636254498</v>
      </c>
      <c r="AS1100" s="107">
        <v>3.1069364161849702</v>
      </c>
      <c r="AT1100" s="107">
        <v>3.3665600902764701</v>
      </c>
      <c r="AU1100" s="107">
        <v>2.82513395031661</v>
      </c>
      <c r="AV1100" s="107">
        <v>2.64127764127764</v>
      </c>
      <c r="AW1100" s="107">
        <v>3.1390134529148002</v>
      </c>
      <c r="AX1100" s="107">
        <v>2.9869373491970999</v>
      </c>
      <c r="AY1100" s="107">
        <v>1.2635379061371801</v>
      </c>
      <c r="AZ1100" s="107">
        <v>3.0942658307931201</v>
      </c>
      <c r="BA1100" s="107">
        <v>1.48601398601399</v>
      </c>
      <c r="BB1100" s="107">
        <v>0</v>
      </c>
      <c r="BC1100" s="107">
        <v>3.1766200762388799</v>
      </c>
      <c r="BD1100" s="107">
        <v>3.01990391214825</v>
      </c>
      <c r="BE1100" s="107">
        <v>0.61919504643962897</v>
      </c>
    </row>
    <row r="1101" spans="2:57" ht="15" customHeight="1" x14ac:dyDescent="0.25">
      <c r="B1101" s="91">
        <v>1091</v>
      </c>
      <c r="C1101" s="92" t="s">
        <v>504</v>
      </c>
      <c r="D1101" s="92" t="s">
        <v>85</v>
      </c>
      <c r="E1101" s="92" t="s">
        <v>415</v>
      </c>
      <c r="F1101" s="92" t="s">
        <v>481</v>
      </c>
      <c r="G1101" s="101" t="s">
        <v>501</v>
      </c>
      <c r="H1101" s="94">
        <v>4843</v>
      </c>
      <c r="I1101" s="94">
        <v>3090</v>
      </c>
      <c r="J1101" s="94">
        <v>1753</v>
      </c>
      <c r="K1101" s="94">
        <v>221</v>
      </c>
      <c r="L1101" s="94">
        <v>1494</v>
      </c>
      <c r="M1101" s="94">
        <v>2744</v>
      </c>
      <c r="N1101" s="94">
        <v>384</v>
      </c>
      <c r="O1101" s="94">
        <v>4794</v>
      </c>
      <c r="P1101" s="94">
        <v>49</v>
      </c>
      <c r="Q1101" s="95">
        <v>2.5259678942398498</v>
      </c>
      <c r="R1101" s="95">
        <v>1.7311233885819499</v>
      </c>
      <c r="S1101" s="95">
        <v>3.94477317554241</v>
      </c>
      <c r="T1101" s="95">
        <v>3.5714285714285698</v>
      </c>
      <c r="U1101" s="95">
        <v>2.9298380878951402</v>
      </c>
      <c r="V1101" s="95">
        <v>2.0746887966804999</v>
      </c>
      <c r="W1101" s="95">
        <v>3.6036036036036001</v>
      </c>
      <c r="X1101" s="95">
        <v>2.4791418355184698</v>
      </c>
      <c r="Y1101" s="95">
        <v>7.3170731707317103</v>
      </c>
      <c r="Z1101" s="94">
        <v>5300</v>
      </c>
      <c r="AA1101" s="94">
        <v>3117</v>
      </c>
      <c r="AB1101" s="94">
        <v>2183</v>
      </c>
      <c r="AC1101" s="94">
        <v>212</v>
      </c>
      <c r="AD1101" s="94">
        <v>1314</v>
      </c>
      <c r="AE1101" s="94">
        <v>3221</v>
      </c>
      <c r="AF1101" s="94">
        <v>553</v>
      </c>
      <c r="AG1101" s="94">
        <v>1835</v>
      </c>
      <c r="AH1101" s="94">
        <v>3377</v>
      </c>
      <c r="AI1101" s="94">
        <v>88</v>
      </c>
      <c r="AJ1101" s="94">
        <v>5228</v>
      </c>
      <c r="AK1101" s="94">
        <v>62</v>
      </c>
      <c r="AL1101" s="94">
        <v>10</v>
      </c>
      <c r="AM1101" s="94">
        <v>284</v>
      </c>
      <c r="AN1101" s="94">
        <v>4937</v>
      </c>
      <c r="AO1101" s="94">
        <v>79</v>
      </c>
      <c r="AP1101" s="95">
        <v>8.2752970094223706</v>
      </c>
      <c r="AQ1101" s="95">
        <v>3.2616238723109001</v>
      </c>
      <c r="AR1101" s="95">
        <v>15.5</v>
      </c>
      <c r="AS1101" s="95">
        <v>15.8974358974359</v>
      </c>
      <c r="AT1101" s="95">
        <v>10.310142497904399</v>
      </c>
      <c r="AU1101" s="95">
        <v>7.4646940147948904</v>
      </c>
      <c r="AV1101" s="95">
        <v>5.3846153846153904</v>
      </c>
      <c r="AW1101" s="95">
        <v>7.8419811320754702</v>
      </c>
      <c r="AX1101" s="95">
        <v>8.49967804249839</v>
      </c>
      <c r="AY1101" s="95">
        <v>8.75</v>
      </c>
      <c r="AZ1101" s="95">
        <v>8.2450674974039497</v>
      </c>
      <c r="BA1101" s="95">
        <v>12.280701754386</v>
      </c>
      <c r="BB1101" s="95">
        <v>0</v>
      </c>
      <c r="BC1101" s="95">
        <v>4.9618320610686997</v>
      </c>
      <c r="BD1101" s="95">
        <v>8.59151834761591</v>
      </c>
      <c r="BE1101" s="95">
        <v>0</v>
      </c>
    </row>
    <row r="1102" spans="2:57" ht="15" customHeight="1" x14ac:dyDescent="0.25">
      <c r="B1102" s="91">
        <v>1092</v>
      </c>
      <c r="C1102" s="92" t="s">
        <v>504</v>
      </c>
      <c r="D1102" s="92" t="s">
        <v>85</v>
      </c>
      <c r="E1102" s="92" t="s">
        <v>415</v>
      </c>
      <c r="F1102" s="92" t="s">
        <v>481</v>
      </c>
      <c r="G1102" s="101" t="s">
        <v>502</v>
      </c>
      <c r="H1102" s="94">
        <v>6920</v>
      </c>
      <c r="I1102" s="94">
        <v>5428</v>
      </c>
      <c r="J1102" s="94">
        <v>1492</v>
      </c>
      <c r="K1102" s="94">
        <v>643</v>
      </c>
      <c r="L1102" s="94">
        <v>2393</v>
      </c>
      <c r="M1102" s="94">
        <v>3437</v>
      </c>
      <c r="N1102" s="94">
        <v>447</v>
      </c>
      <c r="O1102" s="94">
        <v>6111</v>
      </c>
      <c r="P1102" s="94">
        <v>809</v>
      </c>
      <c r="Q1102" s="95">
        <v>0.22675736961451201</v>
      </c>
      <c r="R1102" s="95">
        <v>0.142189721714402</v>
      </c>
      <c r="S1102" s="95">
        <v>0.55955235811350901</v>
      </c>
      <c r="T1102" s="95">
        <v>0.37523452157598502</v>
      </c>
      <c r="U1102" s="95">
        <v>0.325884543761639</v>
      </c>
      <c r="V1102" s="95">
        <v>0.129491744901263</v>
      </c>
      <c r="W1102" s="95">
        <v>0.24752475247524799</v>
      </c>
      <c r="X1102" s="95">
        <v>0.23835716905023799</v>
      </c>
      <c r="Y1102" s="95">
        <v>0.13888888888888901</v>
      </c>
      <c r="Z1102" s="94">
        <v>14459</v>
      </c>
      <c r="AA1102" s="94">
        <v>9393</v>
      </c>
      <c r="AB1102" s="94">
        <v>5066</v>
      </c>
      <c r="AC1102" s="94">
        <v>1260</v>
      </c>
      <c r="AD1102" s="94">
        <v>4380</v>
      </c>
      <c r="AE1102" s="94">
        <v>7666</v>
      </c>
      <c r="AF1102" s="94">
        <v>1153</v>
      </c>
      <c r="AG1102" s="94">
        <v>4511</v>
      </c>
      <c r="AH1102" s="94">
        <v>9422</v>
      </c>
      <c r="AI1102" s="94">
        <v>526</v>
      </c>
      <c r="AJ1102" s="94">
        <v>13247</v>
      </c>
      <c r="AK1102" s="94">
        <v>1158</v>
      </c>
      <c r="AL1102" s="94">
        <v>54</v>
      </c>
      <c r="AM1102" s="94">
        <v>554</v>
      </c>
      <c r="AN1102" s="94">
        <v>13631</v>
      </c>
      <c r="AO1102" s="94">
        <v>274</v>
      </c>
      <c r="AP1102" s="95">
        <v>1.1012252042007</v>
      </c>
      <c r="AQ1102" s="95">
        <v>0.19893899204244</v>
      </c>
      <c r="AR1102" s="95">
        <v>2.8516295025729002</v>
      </c>
      <c r="AS1102" s="95">
        <v>1.00925147182506</v>
      </c>
      <c r="AT1102" s="95">
        <v>1.3579049466537301</v>
      </c>
      <c r="AU1102" s="95">
        <v>0.93265670004114698</v>
      </c>
      <c r="AV1102" s="95">
        <v>1.3537906137184099</v>
      </c>
      <c r="AW1102" s="95">
        <v>1.2947976878612699</v>
      </c>
      <c r="AX1102" s="95">
        <v>1.0658588578480901</v>
      </c>
      <c r="AY1102" s="95">
        <v>0</v>
      </c>
      <c r="AZ1102" s="95">
        <v>1.1215399300031801</v>
      </c>
      <c r="BA1102" s="95">
        <v>0.91996320147194099</v>
      </c>
      <c r="BB1102" s="95">
        <v>0</v>
      </c>
      <c r="BC1102" s="95">
        <v>2.28571428571429</v>
      </c>
      <c r="BD1102" s="95">
        <v>1.0593056522075299</v>
      </c>
      <c r="BE1102" s="95">
        <v>0.78740157480314998</v>
      </c>
    </row>
    <row r="1103" spans="2:57" ht="15" customHeight="1" x14ac:dyDescent="0.25">
      <c r="B1103" s="96">
        <v>1093</v>
      </c>
      <c r="C1103" s="97" t="s">
        <v>504</v>
      </c>
      <c r="D1103" s="104" t="s">
        <v>85</v>
      </c>
      <c r="E1103" s="104" t="s">
        <v>415</v>
      </c>
      <c r="F1103" s="104" t="s">
        <v>272</v>
      </c>
      <c r="G1103" s="105" t="s">
        <v>272</v>
      </c>
      <c r="H1103" s="106">
        <v>15820</v>
      </c>
      <c r="I1103" s="106">
        <v>10594</v>
      </c>
      <c r="J1103" s="106">
        <v>5226</v>
      </c>
      <c r="K1103" s="106">
        <v>1795</v>
      </c>
      <c r="L1103" s="106">
        <v>5731</v>
      </c>
      <c r="M1103" s="106">
        <v>7349</v>
      </c>
      <c r="N1103" s="106">
        <v>945</v>
      </c>
      <c r="O1103" s="106">
        <v>13651</v>
      </c>
      <c r="P1103" s="106">
        <v>2169</v>
      </c>
      <c r="Q1103" s="107">
        <v>0.72101236021188897</v>
      </c>
      <c r="R1103" s="107">
        <v>0.26058631921824099</v>
      </c>
      <c r="S1103" s="107">
        <v>1.6887266088544</v>
      </c>
      <c r="T1103" s="107">
        <v>1.2793176972281499</v>
      </c>
      <c r="U1103" s="107">
        <v>0.77661966073983202</v>
      </c>
      <c r="V1103" s="107">
        <v>0.63585607940446698</v>
      </c>
      <c r="W1103" s="107">
        <v>0.11848341232227499</v>
      </c>
      <c r="X1103" s="107">
        <v>0.81300813008130102</v>
      </c>
      <c r="Y1103" s="107">
        <v>0.15731515469323501</v>
      </c>
      <c r="Z1103" s="106">
        <v>23656</v>
      </c>
      <c r="AA1103" s="106">
        <v>15505</v>
      </c>
      <c r="AB1103" s="106">
        <v>8151</v>
      </c>
      <c r="AC1103" s="106">
        <v>1850</v>
      </c>
      <c r="AD1103" s="106">
        <v>8019</v>
      </c>
      <c r="AE1103" s="106">
        <v>12086</v>
      </c>
      <c r="AF1103" s="106">
        <v>1701</v>
      </c>
      <c r="AG1103" s="106">
        <v>5263</v>
      </c>
      <c r="AH1103" s="106">
        <v>17822</v>
      </c>
      <c r="AI1103" s="106">
        <v>571</v>
      </c>
      <c r="AJ1103" s="106">
        <v>21099</v>
      </c>
      <c r="AK1103" s="106">
        <v>2430</v>
      </c>
      <c r="AL1103" s="106">
        <v>127</v>
      </c>
      <c r="AM1103" s="106">
        <v>902</v>
      </c>
      <c r="AN1103" s="106">
        <v>22451</v>
      </c>
      <c r="AO1103" s="106">
        <v>303</v>
      </c>
      <c r="AP1103" s="107">
        <v>3.1627056672760498</v>
      </c>
      <c r="AQ1103" s="107">
        <v>0.87713287192489597</v>
      </c>
      <c r="AR1103" s="107">
        <v>7.7398106216549998</v>
      </c>
      <c r="AS1103" s="107">
        <v>3.46854791299236</v>
      </c>
      <c r="AT1103" s="107">
        <v>3.1637801718259899</v>
      </c>
      <c r="AU1103" s="107">
        <v>3.1857307658177301</v>
      </c>
      <c r="AV1103" s="107">
        <v>2.6632847178186401</v>
      </c>
      <c r="AW1103" s="107">
        <v>3.3042394014962602</v>
      </c>
      <c r="AX1103" s="107">
        <v>3.13519391083726</v>
      </c>
      <c r="AY1103" s="107">
        <v>2.72373540856031</v>
      </c>
      <c r="AZ1103" s="107">
        <v>3.4827656955272901</v>
      </c>
      <c r="BA1103" s="107">
        <v>0.52886734244160405</v>
      </c>
      <c r="BB1103" s="107">
        <v>0.86956521739130399</v>
      </c>
      <c r="BC1103" s="107">
        <v>3.58851674641148</v>
      </c>
      <c r="BD1103" s="107">
        <v>3.1516143001491601</v>
      </c>
      <c r="BE1103" s="107">
        <v>2.6819923371647501</v>
      </c>
    </row>
    <row r="1104" spans="2:57" ht="15" customHeight="1" x14ac:dyDescent="0.25">
      <c r="B1104" s="91">
        <v>1094</v>
      </c>
      <c r="C1104" s="92" t="s">
        <v>504</v>
      </c>
      <c r="D1104" s="92" t="s">
        <v>85</v>
      </c>
      <c r="E1104" s="92" t="s">
        <v>415</v>
      </c>
      <c r="F1104" s="92" t="s">
        <v>272</v>
      </c>
      <c r="G1104" s="101" t="s">
        <v>501</v>
      </c>
      <c r="H1104" s="94">
        <v>3801</v>
      </c>
      <c r="I1104" s="94">
        <v>2478</v>
      </c>
      <c r="J1104" s="94">
        <v>1323</v>
      </c>
      <c r="K1104" s="94">
        <v>244</v>
      </c>
      <c r="L1104" s="94">
        <v>1244</v>
      </c>
      <c r="M1104" s="94">
        <v>2055</v>
      </c>
      <c r="N1104" s="94">
        <v>258</v>
      </c>
      <c r="O1104" s="94">
        <v>3736</v>
      </c>
      <c r="P1104" s="94">
        <v>65</v>
      </c>
      <c r="Q1104" s="95">
        <v>2.2129186602870798</v>
      </c>
      <c r="R1104" s="95">
        <v>0.74074074074074103</v>
      </c>
      <c r="S1104" s="95">
        <v>4.89864864864865</v>
      </c>
      <c r="T1104" s="95">
        <v>8.4158415841584198</v>
      </c>
      <c r="U1104" s="95">
        <v>2.5782688766114199</v>
      </c>
      <c r="V1104" s="95">
        <v>1.5308911973756101</v>
      </c>
      <c r="W1104" s="95">
        <v>0.44052863436123402</v>
      </c>
      <c r="X1104" s="95">
        <v>2.24924012158055</v>
      </c>
      <c r="Y1104" s="95">
        <v>0</v>
      </c>
      <c r="Z1104" s="94">
        <v>7135</v>
      </c>
      <c r="AA1104" s="94">
        <v>4258</v>
      </c>
      <c r="AB1104" s="94">
        <v>2877</v>
      </c>
      <c r="AC1104" s="94">
        <v>334</v>
      </c>
      <c r="AD1104" s="94">
        <v>2275</v>
      </c>
      <c r="AE1104" s="94">
        <v>3964</v>
      </c>
      <c r="AF1104" s="94">
        <v>562</v>
      </c>
      <c r="AG1104" s="94">
        <v>1870</v>
      </c>
      <c r="AH1104" s="94">
        <v>5133</v>
      </c>
      <c r="AI1104" s="94">
        <v>132</v>
      </c>
      <c r="AJ1104" s="94">
        <v>6992</v>
      </c>
      <c r="AK1104" s="94">
        <v>122</v>
      </c>
      <c r="AL1104" s="94">
        <v>21</v>
      </c>
      <c r="AM1104" s="94">
        <v>299</v>
      </c>
      <c r="AN1104" s="94">
        <v>6736</v>
      </c>
      <c r="AO1104" s="94">
        <v>100</v>
      </c>
      <c r="AP1104" s="95">
        <v>7.2843645230112797</v>
      </c>
      <c r="AQ1104" s="95">
        <v>2.3094688221709001</v>
      </c>
      <c r="AR1104" s="95">
        <v>14.5590994371482</v>
      </c>
      <c r="AS1104" s="95">
        <v>15.259740259740299</v>
      </c>
      <c r="AT1104" s="95">
        <v>7.8277886497064602</v>
      </c>
      <c r="AU1104" s="95">
        <v>6.5960912052117298</v>
      </c>
      <c r="AV1104" s="95">
        <v>5.3231939163498101</v>
      </c>
      <c r="AW1104" s="95">
        <v>5.5619930475086896</v>
      </c>
      <c r="AX1104" s="95">
        <v>7.9762409843020796</v>
      </c>
      <c r="AY1104" s="95">
        <v>4.9180327868852496</v>
      </c>
      <c r="AZ1104" s="95">
        <v>7.3538557213930398</v>
      </c>
      <c r="BA1104" s="95">
        <v>4.5045045045045002</v>
      </c>
      <c r="BB1104" s="95">
        <v>0</v>
      </c>
      <c r="BC1104" s="95">
        <v>6.9930069930069898</v>
      </c>
      <c r="BD1104" s="95">
        <v>7.3410777670216198</v>
      </c>
      <c r="BE1104" s="95">
        <v>3.8461538461538498</v>
      </c>
    </row>
    <row r="1105" spans="2:57" ht="15" customHeight="1" x14ac:dyDescent="0.25">
      <c r="B1105" s="91">
        <v>1095</v>
      </c>
      <c r="C1105" s="92" t="s">
        <v>504</v>
      </c>
      <c r="D1105" s="92" t="s">
        <v>85</v>
      </c>
      <c r="E1105" s="92" t="s">
        <v>415</v>
      </c>
      <c r="F1105" s="92" t="s">
        <v>272</v>
      </c>
      <c r="G1105" s="101" t="s">
        <v>502</v>
      </c>
      <c r="H1105" s="94">
        <v>12019</v>
      </c>
      <c r="I1105" s="94">
        <v>8116</v>
      </c>
      <c r="J1105" s="94">
        <v>3903</v>
      </c>
      <c r="K1105" s="94">
        <v>1551</v>
      </c>
      <c r="L1105" s="94">
        <v>4487</v>
      </c>
      <c r="M1105" s="94">
        <v>5294</v>
      </c>
      <c r="N1105" s="94">
        <v>687</v>
      </c>
      <c r="O1105" s="94">
        <v>9915</v>
      </c>
      <c r="P1105" s="94">
        <v>2104</v>
      </c>
      <c r="Q1105" s="95">
        <v>0.23419203747072601</v>
      </c>
      <c r="R1105" s="95">
        <v>0.11347517730496499</v>
      </c>
      <c r="S1105" s="95">
        <v>0.50031269543464696</v>
      </c>
      <c r="T1105" s="95">
        <v>8.29875518672199E-2</v>
      </c>
      <c r="U1105" s="95">
        <v>0.26267402153927</v>
      </c>
      <c r="V1105" s="95">
        <v>0.28144620047629398</v>
      </c>
      <c r="W1105" s="95">
        <v>0</v>
      </c>
      <c r="X1105" s="95">
        <v>0.25014889815366298</v>
      </c>
      <c r="Y1105" s="95">
        <v>0.161899622234215</v>
      </c>
      <c r="Z1105" s="94">
        <v>16521</v>
      </c>
      <c r="AA1105" s="94">
        <v>11247</v>
      </c>
      <c r="AB1105" s="94">
        <v>5274</v>
      </c>
      <c r="AC1105" s="94">
        <v>1516</v>
      </c>
      <c r="AD1105" s="94">
        <v>5744</v>
      </c>
      <c r="AE1105" s="94">
        <v>8122</v>
      </c>
      <c r="AF1105" s="94">
        <v>1139</v>
      </c>
      <c r="AG1105" s="94">
        <v>3393</v>
      </c>
      <c r="AH1105" s="94">
        <v>12689</v>
      </c>
      <c r="AI1105" s="94">
        <v>439</v>
      </c>
      <c r="AJ1105" s="94">
        <v>14107</v>
      </c>
      <c r="AK1105" s="94">
        <v>2308</v>
      </c>
      <c r="AL1105" s="94">
        <v>106</v>
      </c>
      <c r="AM1105" s="94">
        <v>603</v>
      </c>
      <c r="AN1105" s="94">
        <v>15715</v>
      </c>
      <c r="AO1105" s="94">
        <v>203</v>
      </c>
      <c r="AP1105" s="95">
        <v>1.39704922313618</v>
      </c>
      <c r="AQ1105" s="95">
        <v>0.35527299925205702</v>
      </c>
      <c r="AR1105" s="95">
        <v>3.8078753786239701</v>
      </c>
      <c r="AS1105" s="95">
        <v>0.86145010768126296</v>
      </c>
      <c r="AT1105" s="95">
        <v>1.3613159387407801</v>
      </c>
      <c r="AU1105" s="95">
        <v>1.52933421226104</v>
      </c>
      <c r="AV1105" s="95">
        <v>1.33206470028544</v>
      </c>
      <c r="AW1105" s="95">
        <v>2.0414776409591702</v>
      </c>
      <c r="AX1105" s="95">
        <v>1.20777027027027</v>
      </c>
      <c r="AY1105" s="95">
        <v>2.0408163265306101</v>
      </c>
      <c r="AZ1105" s="95">
        <v>1.57685241886099</v>
      </c>
      <c r="BA1105" s="95">
        <v>0.32437442075996298</v>
      </c>
      <c r="BB1105" s="95">
        <v>1.0416666666666701</v>
      </c>
      <c r="BC1105" s="95">
        <v>1.8181818181818199</v>
      </c>
      <c r="BD1105" s="95">
        <v>1.3712718546451801</v>
      </c>
      <c r="BE1105" s="95">
        <v>2.1857923497267802</v>
      </c>
    </row>
    <row r="1106" spans="2:57" ht="15" customHeight="1" x14ac:dyDescent="0.25">
      <c r="B1106" s="96">
        <v>1096</v>
      </c>
      <c r="C1106" s="97" t="s">
        <v>504</v>
      </c>
      <c r="D1106" s="104" t="s">
        <v>85</v>
      </c>
      <c r="E1106" s="104" t="s">
        <v>415</v>
      </c>
      <c r="F1106" s="104" t="s">
        <v>162</v>
      </c>
      <c r="G1106" s="105" t="s">
        <v>162</v>
      </c>
      <c r="H1106" s="106">
        <v>5986</v>
      </c>
      <c r="I1106" s="106">
        <v>3924</v>
      </c>
      <c r="J1106" s="106">
        <v>2062</v>
      </c>
      <c r="K1106" s="106">
        <v>303</v>
      </c>
      <c r="L1106" s="106">
        <v>1556</v>
      </c>
      <c r="M1106" s="106">
        <v>3402</v>
      </c>
      <c r="N1106" s="106">
        <v>725</v>
      </c>
      <c r="O1106" s="106">
        <v>5927</v>
      </c>
      <c r="P1106" s="106">
        <v>59</v>
      </c>
      <c r="Q1106" s="107">
        <v>2.3360119603812399</v>
      </c>
      <c r="R1106" s="107">
        <v>1.3849632560768801</v>
      </c>
      <c r="S1106" s="107">
        <v>4.1919470490899098</v>
      </c>
      <c r="T1106" s="107">
        <v>4.9056603773584904</v>
      </c>
      <c r="U1106" s="107">
        <v>3.07467057101025</v>
      </c>
      <c r="V1106" s="107">
        <v>1.8597063621533401</v>
      </c>
      <c r="W1106" s="107">
        <v>1.98473282442748</v>
      </c>
      <c r="X1106" s="107">
        <v>2.3233849641103101</v>
      </c>
      <c r="Y1106" s="107">
        <v>3.5087719298245599</v>
      </c>
      <c r="Z1106" s="106">
        <v>7809</v>
      </c>
      <c r="AA1106" s="106">
        <v>4863</v>
      </c>
      <c r="AB1106" s="106">
        <v>2946</v>
      </c>
      <c r="AC1106" s="106">
        <v>280</v>
      </c>
      <c r="AD1106" s="106">
        <v>1854</v>
      </c>
      <c r="AE1106" s="106">
        <v>4611</v>
      </c>
      <c r="AF1106" s="106">
        <v>1064</v>
      </c>
      <c r="AG1106" s="106">
        <v>2510</v>
      </c>
      <c r="AH1106" s="106">
        <v>5101</v>
      </c>
      <c r="AI1106" s="106">
        <v>198</v>
      </c>
      <c r="AJ1106" s="106">
        <v>7654</v>
      </c>
      <c r="AK1106" s="106">
        <v>128</v>
      </c>
      <c r="AL1106" s="106">
        <v>27</v>
      </c>
      <c r="AM1106" s="106">
        <v>384</v>
      </c>
      <c r="AN1106" s="106">
        <v>7296</v>
      </c>
      <c r="AO1106" s="106">
        <v>129</v>
      </c>
      <c r="AP1106" s="107">
        <v>5.9565807327001403</v>
      </c>
      <c r="AQ1106" s="107">
        <v>2.2087483759203099</v>
      </c>
      <c r="AR1106" s="107">
        <v>12.245639534883701</v>
      </c>
      <c r="AS1106" s="107">
        <v>12.350597609561801</v>
      </c>
      <c r="AT1106" s="107">
        <v>8.3476272155517393</v>
      </c>
      <c r="AU1106" s="107">
        <v>5.3694355208811402</v>
      </c>
      <c r="AV1106" s="107">
        <v>2.7667984189723298</v>
      </c>
      <c r="AW1106" s="107">
        <v>6.0593397409109899</v>
      </c>
      <c r="AX1106" s="107">
        <v>5.8811261730969804</v>
      </c>
      <c r="AY1106" s="107">
        <v>6.5934065934065904</v>
      </c>
      <c r="AZ1106" s="107">
        <v>5.9986178299930897</v>
      </c>
      <c r="BA1106" s="107">
        <v>3.5398230088495599</v>
      </c>
      <c r="BB1106" s="107">
        <v>4.5454545454545503</v>
      </c>
      <c r="BC1106" s="107">
        <v>5.0279329608938497</v>
      </c>
      <c r="BD1106" s="107">
        <v>6.0478607686729502</v>
      </c>
      <c r="BE1106" s="107">
        <v>3.41880341880342</v>
      </c>
    </row>
    <row r="1107" spans="2:57" ht="15" customHeight="1" x14ac:dyDescent="0.25">
      <c r="B1107" s="91">
        <v>1097</v>
      </c>
      <c r="C1107" s="92" t="s">
        <v>504</v>
      </c>
      <c r="D1107" s="92" t="s">
        <v>85</v>
      </c>
      <c r="E1107" s="92" t="s">
        <v>415</v>
      </c>
      <c r="F1107" s="92" t="s">
        <v>162</v>
      </c>
      <c r="G1107" s="101" t="s">
        <v>501</v>
      </c>
      <c r="H1107" s="94">
        <v>3744</v>
      </c>
      <c r="I1107" s="94">
        <v>2355</v>
      </c>
      <c r="J1107" s="94">
        <v>1389</v>
      </c>
      <c r="K1107" s="94">
        <v>171</v>
      </c>
      <c r="L1107" s="94">
        <v>949</v>
      </c>
      <c r="M1107" s="94">
        <v>2200</v>
      </c>
      <c r="N1107" s="94">
        <v>424</v>
      </c>
      <c r="O1107" s="94">
        <v>3704</v>
      </c>
      <c r="P1107" s="94">
        <v>40</v>
      </c>
      <c r="Q1107" s="95">
        <v>2.5717703349282299</v>
      </c>
      <c r="R1107" s="95">
        <v>1.45676691729323</v>
      </c>
      <c r="S1107" s="95">
        <v>4.5230263157894699</v>
      </c>
      <c r="T1107" s="95">
        <v>6.2937062937062898</v>
      </c>
      <c r="U1107" s="95">
        <v>3.7170263788968798</v>
      </c>
      <c r="V1107" s="95">
        <v>1.95979899497487</v>
      </c>
      <c r="W1107" s="95">
        <v>1.8567639257294399</v>
      </c>
      <c r="X1107" s="95">
        <v>2.5416036308623302</v>
      </c>
      <c r="Y1107" s="95">
        <v>5.1282051282051304</v>
      </c>
      <c r="Z1107" s="94">
        <v>4772</v>
      </c>
      <c r="AA1107" s="94">
        <v>2816</v>
      </c>
      <c r="AB1107" s="94">
        <v>1956</v>
      </c>
      <c r="AC1107" s="94">
        <v>157</v>
      </c>
      <c r="AD1107" s="94">
        <v>1122</v>
      </c>
      <c r="AE1107" s="94">
        <v>2861</v>
      </c>
      <c r="AF1107" s="94">
        <v>632</v>
      </c>
      <c r="AG1107" s="94">
        <v>955</v>
      </c>
      <c r="AH1107" s="94">
        <v>3657</v>
      </c>
      <c r="AI1107" s="94">
        <v>160</v>
      </c>
      <c r="AJ1107" s="94">
        <v>4723</v>
      </c>
      <c r="AK1107" s="94">
        <v>33</v>
      </c>
      <c r="AL1107" s="94">
        <v>16</v>
      </c>
      <c r="AM1107" s="94">
        <v>226</v>
      </c>
      <c r="AN1107" s="94">
        <v>4478</v>
      </c>
      <c r="AO1107" s="94">
        <v>68</v>
      </c>
      <c r="AP1107" s="95">
        <v>6.4082455747255196</v>
      </c>
      <c r="AQ1107" s="95">
        <v>2.3079833522512301</v>
      </c>
      <c r="AR1107" s="95">
        <v>12.3626373626374</v>
      </c>
      <c r="AS1107" s="95">
        <v>17.3913043478261</v>
      </c>
      <c r="AT1107" s="95">
        <v>9.22190201729107</v>
      </c>
      <c r="AU1107" s="95">
        <v>5.6092124814264501</v>
      </c>
      <c r="AV1107" s="95">
        <v>2.5337837837837802</v>
      </c>
      <c r="AW1107" s="95">
        <v>6.96902654867257</v>
      </c>
      <c r="AX1107" s="95">
        <v>6.2701435687078799</v>
      </c>
      <c r="AY1107" s="95">
        <v>6.1643835616438398</v>
      </c>
      <c r="AZ1107" s="95">
        <v>6.4661994121636903</v>
      </c>
      <c r="BA1107" s="95">
        <v>0</v>
      </c>
      <c r="BB1107" s="95">
        <v>0</v>
      </c>
      <c r="BC1107" s="95">
        <v>4.8543689320388301</v>
      </c>
      <c r="BD1107" s="95">
        <v>6.5092989985693803</v>
      </c>
      <c r="BE1107" s="95">
        <v>4.7619047619047601</v>
      </c>
    </row>
    <row r="1108" spans="2:57" ht="15" customHeight="1" x14ac:dyDescent="0.25">
      <c r="B1108" s="91">
        <v>1098</v>
      </c>
      <c r="C1108" s="92" t="s">
        <v>504</v>
      </c>
      <c r="D1108" s="92" t="s">
        <v>85</v>
      </c>
      <c r="E1108" s="92" t="s">
        <v>415</v>
      </c>
      <c r="F1108" s="92" t="s">
        <v>162</v>
      </c>
      <c r="G1108" s="101" t="s">
        <v>502</v>
      </c>
      <c r="H1108" s="94">
        <v>2242</v>
      </c>
      <c r="I1108" s="94">
        <v>1569</v>
      </c>
      <c r="J1108" s="94">
        <v>673</v>
      </c>
      <c r="K1108" s="94">
        <v>132</v>
      </c>
      <c r="L1108" s="94">
        <v>607</v>
      </c>
      <c r="M1108" s="94">
        <v>1202</v>
      </c>
      <c r="N1108" s="94">
        <v>301</v>
      </c>
      <c r="O1108" s="94">
        <v>2223</v>
      </c>
      <c r="P1108" s="94">
        <v>19</v>
      </c>
      <c r="Q1108" s="95">
        <v>1.9431988041853501</v>
      </c>
      <c r="R1108" s="95">
        <v>1.27659574468085</v>
      </c>
      <c r="S1108" s="95">
        <v>3.5175879396984899</v>
      </c>
      <c r="T1108" s="95">
        <v>3.27868852459016</v>
      </c>
      <c r="U1108" s="95">
        <v>2.0676691729323302</v>
      </c>
      <c r="V1108" s="95">
        <v>1.67441860465116</v>
      </c>
      <c r="W1108" s="95">
        <v>2.1582733812949599</v>
      </c>
      <c r="X1108" s="95">
        <v>1.9607843137254899</v>
      </c>
      <c r="Y1108" s="95">
        <v>0</v>
      </c>
      <c r="Z1108" s="94">
        <v>3037</v>
      </c>
      <c r="AA1108" s="94">
        <v>2047</v>
      </c>
      <c r="AB1108" s="94">
        <v>990</v>
      </c>
      <c r="AC1108" s="94">
        <v>123</v>
      </c>
      <c r="AD1108" s="94">
        <v>732</v>
      </c>
      <c r="AE1108" s="94">
        <v>1750</v>
      </c>
      <c r="AF1108" s="94">
        <v>432</v>
      </c>
      <c r="AG1108" s="94">
        <v>1555</v>
      </c>
      <c r="AH1108" s="94">
        <v>1444</v>
      </c>
      <c r="AI1108" s="94">
        <v>38</v>
      </c>
      <c r="AJ1108" s="94">
        <v>2931</v>
      </c>
      <c r="AK1108" s="94">
        <v>95</v>
      </c>
      <c r="AL1108" s="94">
        <v>11</v>
      </c>
      <c r="AM1108" s="94">
        <v>158</v>
      </c>
      <c r="AN1108" s="94">
        <v>2818</v>
      </c>
      <c r="AO1108" s="94">
        <v>61</v>
      </c>
      <c r="AP1108" s="95">
        <v>5.2631578947368398</v>
      </c>
      <c r="AQ1108" s="95">
        <v>2.0759493670886102</v>
      </c>
      <c r="AR1108" s="95">
        <v>12.0171673819742</v>
      </c>
      <c r="AS1108" s="95">
        <v>6.19469026548673</v>
      </c>
      <c r="AT1108" s="95">
        <v>7.0621468926553703</v>
      </c>
      <c r="AU1108" s="95">
        <v>4.98199279711885</v>
      </c>
      <c r="AV1108" s="95">
        <v>3.0952380952380998</v>
      </c>
      <c r="AW1108" s="95">
        <v>5.5070517125587601</v>
      </c>
      <c r="AX1108" s="95">
        <v>4.9204052098408102</v>
      </c>
      <c r="AY1108" s="95">
        <v>8.3333333333333304</v>
      </c>
      <c r="AZ1108" s="95">
        <v>5.2631578947368398</v>
      </c>
      <c r="BA1108" s="95">
        <v>4.6511627906976702</v>
      </c>
      <c r="BB1108" s="95">
        <v>11.1111111111111</v>
      </c>
      <c r="BC1108" s="95">
        <v>5.2631578947368398</v>
      </c>
      <c r="BD1108" s="95">
        <v>5.3313587560162903</v>
      </c>
      <c r="BE1108" s="95">
        <v>1.8518518518518501</v>
      </c>
    </row>
    <row r="1109" spans="2:57" ht="15" customHeight="1" x14ac:dyDescent="0.25">
      <c r="B1109" s="86">
        <v>1099</v>
      </c>
      <c r="C1109" s="87" t="s">
        <v>503</v>
      </c>
      <c r="D1109" s="103" t="s">
        <v>85</v>
      </c>
      <c r="E1109" s="103" t="s">
        <v>416</v>
      </c>
      <c r="F1109" s="103"/>
      <c r="G1109" s="88" t="s">
        <v>416</v>
      </c>
      <c r="H1109" s="89">
        <v>18225</v>
      </c>
      <c r="I1109" s="89">
        <v>12666</v>
      </c>
      <c r="J1109" s="89">
        <v>5559</v>
      </c>
      <c r="K1109" s="89">
        <v>1094</v>
      </c>
      <c r="L1109" s="89">
        <v>5363</v>
      </c>
      <c r="M1109" s="89">
        <v>9800</v>
      </c>
      <c r="N1109" s="89">
        <v>1968</v>
      </c>
      <c r="O1109" s="89">
        <v>18101</v>
      </c>
      <c r="P1109" s="89">
        <v>124</v>
      </c>
      <c r="Q1109" s="90">
        <v>0.93440708182209398</v>
      </c>
      <c r="R1109" s="90">
        <v>0.43095866314863701</v>
      </c>
      <c r="S1109" s="90">
        <v>2.1033285685113299</v>
      </c>
      <c r="T1109" s="90">
        <v>2.1668472372697698</v>
      </c>
      <c r="U1109" s="90">
        <v>1.0441082463243101</v>
      </c>
      <c r="V1109" s="90">
        <v>0.75221735713483795</v>
      </c>
      <c r="W1109" s="90">
        <v>0.91743119266055095</v>
      </c>
      <c r="X1109" s="90">
        <v>0.93469514082327498</v>
      </c>
      <c r="Y1109" s="90">
        <v>0.89285714285714302</v>
      </c>
      <c r="Z1109" s="89">
        <v>20211</v>
      </c>
      <c r="AA1109" s="89">
        <v>12719</v>
      </c>
      <c r="AB1109" s="89">
        <v>7492</v>
      </c>
      <c r="AC1109" s="89">
        <v>751</v>
      </c>
      <c r="AD1109" s="89">
        <v>5236</v>
      </c>
      <c r="AE1109" s="89">
        <v>11605</v>
      </c>
      <c r="AF1109" s="89">
        <v>2619</v>
      </c>
      <c r="AG1109" s="89">
        <v>3581</v>
      </c>
      <c r="AH1109" s="89">
        <v>16247</v>
      </c>
      <c r="AI1109" s="89">
        <v>383</v>
      </c>
      <c r="AJ1109" s="89">
        <v>19993</v>
      </c>
      <c r="AK1109" s="89">
        <v>151</v>
      </c>
      <c r="AL1109" s="89">
        <v>67</v>
      </c>
      <c r="AM1109" s="89">
        <v>1082</v>
      </c>
      <c r="AN1109" s="89">
        <v>18891</v>
      </c>
      <c r="AO1109" s="89">
        <v>238</v>
      </c>
      <c r="AP1109" s="90">
        <v>3.7680697278911599</v>
      </c>
      <c r="AQ1109" s="90">
        <v>1.2083578081732</v>
      </c>
      <c r="AR1109" s="90">
        <v>8.1895926945934203</v>
      </c>
      <c r="AS1109" s="90">
        <v>7.52532561505065</v>
      </c>
      <c r="AT1109" s="90">
        <v>4.8770320967069596</v>
      </c>
      <c r="AU1109" s="90">
        <v>3.4890160605501199</v>
      </c>
      <c r="AV1109" s="90">
        <v>1.80505415162455</v>
      </c>
      <c r="AW1109" s="90">
        <v>2.6331360946745601</v>
      </c>
      <c r="AX1109" s="90">
        <v>4.0631006827069696</v>
      </c>
      <c r="AY1109" s="90">
        <v>2.0057306590257902</v>
      </c>
      <c r="AZ1109" s="90">
        <v>3.7426837781238298</v>
      </c>
      <c r="BA1109" s="90">
        <v>5.9701492537313401</v>
      </c>
      <c r="BB1109" s="90">
        <v>6.7796610169491496</v>
      </c>
      <c r="BC1109" s="90">
        <v>2.8347996089931602</v>
      </c>
      <c r="BD1109" s="90">
        <v>3.8030811210277999</v>
      </c>
      <c r="BE1109" s="90">
        <v>5.4455445544554504</v>
      </c>
    </row>
    <row r="1110" spans="2:57" ht="15" customHeight="1" x14ac:dyDescent="0.25">
      <c r="B1110" s="91">
        <v>1100</v>
      </c>
      <c r="C1110" s="92" t="s">
        <v>503</v>
      </c>
      <c r="D1110" s="92" t="s">
        <v>85</v>
      </c>
      <c r="E1110" s="92" t="s">
        <v>416</v>
      </c>
      <c r="F1110" s="92"/>
      <c r="G1110" s="93" t="s">
        <v>501</v>
      </c>
      <c r="H1110" s="94">
        <v>9457</v>
      </c>
      <c r="I1110" s="94">
        <v>5973</v>
      </c>
      <c r="J1110" s="94">
        <v>3484</v>
      </c>
      <c r="K1110" s="94">
        <v>508</v>
      </c>
      <c r="L1110" s="94">
        <v>2843</v>
      </c>
      <c r="M1110" s="94">
        <v>5119</v>
      </c>
      <c r="N1110" s="94">
        <v>987</v>
      </c>
      <c r="O1110" s="94">
        <v>9383</v>
      </c>
      <c r="P1110" s="94">
        <v>74</v>
      </c>
      <c r="Q1110" s="95">
        <v>1.4766400387315399</v>
      </c>
      <c r="R1110" s="95">
        <v>0.78998073217726394</v>
      </c>
      <c r="S1110" s="95">
        <v>2.63671875</v>
      </c>
      <c r="T1110" s="95">
        <v>4.1162227602905599</v>
      </c>
      <c r="U1110" s="95">
        <v>1.5201314708299101</v>
      </c>
      <c r="V1110" s="95">
        <v>1.1612620508325999</v>
      </c>
      <c r="W1110" s="95">
        <v>1.76263219741481</v>
      </c>
      <c r="X1110" s="95">
        <v>1.4766902611667101</v>
      </c>
      <c r="Y1110" s="95">
        <v>1.47058823529412</v>
      </c>
      <c r="Z1110" s="94">
        <v>11165</v>
      </c>
      <c r="AA1110" s="94">
        <v>6516</v>
      </c>
      <c r="AB1110" s="94">
        <v>4649</v>
      </c>
      <c r="AC1110" s="94">
        <v>372</v>
      </c>
      <c r="AD1110" s="94">
        <v>2930</v>
      </c>
      <c r="AE1110" s="94">
        <v>6538</v>
      </c>
      <c r="AF1110" s="94">
        <v>1325</v>
      </c>
      <c r="AG1110" s="94">
        <v>854</v>
      </c>
      <c r="AH1110" s="94">
        <v>10098</v>
      </c>
      <c r="AI1110" s="94">
        <v>213</v>
      </c>
      <c r="AJ1110" s="94">
        <v>11030</v>
      </c>
      <c r="AK1110" s="94">
        <v>94</v>
      </c>
      <c r="AL1110" s="94">
        <v>41</v>
      </c>
      <c r="AM1110" s="94">
        <v>601</v>
      </c>
      <c r="AN1110" s="94">
        <v>10416</v>
      </c>
      <c r="AO1110" s="94">
        <v>148</v>
      </c>
      <c r="AP1110" s="95">
        <v>5.1406401551891401</v>
      </c>
      <c r="AQ1110" s="95">
        <v>1.8067296535720201</v>
      </c>
      <c r="AR1110" s="95">
        <v>9.8433481412204795</v>
      </c>
      <c r="AS1110" s="95">
        <v>9.5100864553314093</v>
      </c>
      <c r="AT1110" s="95">
        <v>6.8353474320241698</v>
      </c>
      <c r="AU1110" s="95">
        <v>4.6841497608444698</v>
      </c>
      <c r="AV1110" s="95">
        <v>2.5559105431309899</v>
      </c>
      <c r="AW1110" s="95">
        <v>5.2565707133917403</v>
      </c>
      <c r="AX1110" s="95">
        <v>5.17962466487936</v>
      </c>
      <c r="AY1110" s="95">
        <v>2.6881720430107499</v>
      </c>
      <c r="AZ1110" s="95">
        <v>5.10154027273619</v>
      </c>
      <c r="BA1110" s="95">
        <v>8.6419753086419693</v>
      </c>
      <c r="BB1110" s="95">
        <v>8.3333333333333304</v>
      </c>
      <c r="BC1110" s="95">
        <v>2.6690391459074698</v>
      </c>
      <c r="BD1110" s="95">
        <v>5.2686272472202003</v>
      </c>
      <c r="BE1110" s="95">
        <v>6.4</v>
      </c>
    </row>
    <row r="1111" spans="2:57" ht="15" customHeight="1" x14ac:dyDescent="0.25">
      <c r="B1111" s="91">
        <v>1101</v>
      </c>
      <c r="C1111" s="92" t="s">
        <v>503</v>
      </c>
      <c r="D1111" s="92" t="s">
        <v>85</v>
      </c>
      <c r="E1111" s="92" t="s">
        <v>416</v>
      </c>
      <c r="F1111" s="92"/>
      <c r="G1111" s="93" t="s">
        <v>502</v>
      </c>
      <c r="H1111" s="94">
        <v>8768</v>
      </c>
      <c r="I1111" s="94">
        <v>6693</v>
      </c>
      <c r="J1111" s="94">
        <v>2075</v>
      </c>
      <c r="K1111" s="94">
        <v>586</v>
      </c>
      <c r="L1111" s="94">
        <v>2520</v>
      </c>
      <c r="M1111" s="94">
        <v>4681</v>
      </c>
      <c r="N1111" s="94">
        <v>981</v>
      </c>
      <c r="O1111" s="94">
        <v>8718</v>
      </c>
      <c r="P1111" s="94">
        <v>50</v>
      </c>
      <c r="Q1111" s="95">
        <v>0.37476577139287898</v>
      </c>
      <c r="R1111" s="95">
        <v>0.129449838187702</v>
      </c>
      <c r="S1111" s="95">
        <v>1.20547945205479</v>
      </c>
      <c r="T1111" s="95">
        <v>0.58823529411764697</v>
      </c>
      <c r="U1111" s="95">
        <v>0.53120849933598902</v>
      </c>
      <c r="V1111" s="95">
        <v>0.32235781717706702</v>
      </c>
      <c r="W1111" s="95">
        <v>0.111982082866741</v>
      </c>
      <c r="X1111" s="95">
        <v>0.376837080768748</v>
      </c>
      <c r="Y1111" s="95">
        <v>0</v>
      </c>
      <c r="Z1111" s="94">
        <v>9046</v>
      </c>
      <c r="AA1111" s="94">
        <v>6203</v>
      </c>
      <c r="AB1111" s="94">
        <v>2843</v>
      </c>
      <c r="AC1111" s="94">
        <v>379</v>
      </c>
      <c r="AD1111" s="94">
        <v>2306</v>
      </c>
      <c r="AE1111" s="94">
        <v>5067</v>
      </c>
      <c r="AF1111" s="94">
        <v>1294</v>
      </c>
      <c r="AG1111" s="94">
        <v>2727</v>
      </c>
      <c r="AH1111" s="94">
        <v>6149</v>
      </c>
      <c r="AI1111" s="94">
        <v>170</v>
      </c>
      <c r="AJ1111" s="94">
        <v>8963</v>
      </c>
      <c r="AK1111" s="94">
        <v>57</v>
      </c>
      <c r="AL1111" s="94">
        <v>26</v>
      </c>
      <c r="AM1111" s="94">
        <v>481</v>
      </c>
      <c r="AN1111" s="94">
        <v>8475</v>
      </c>
      <c r="AO1111" s="94">
        <v>90</v>
      </c>
      <c r="AP1111" s="95">
        <v>2.10439689630849</v>
      </c>
      <c r="AQ1111" s="95">
        <v>0.59483344663494198</v>
      </c>
      <c r="AR1111" s="95">
        <v>5.4919908466819196</v>
      </c>
      <c r="AS1111" s="95">
        <v>5.5232558139534902</v>
      </c>
      <c r="AT1111" s="95">
        <v>2.46511627906977</v>
      </c>
      <c r="AU1111" s="95">
        <v>1.9702368476210399</v>
      </c>
      <c r="AV1111" s="95">
        <v>1.0475423045930701</v>
      </c>
      <c r="AW1111" s="95">
        <v>1.8209996125532699</v>
      </c>
      <c r="AX1111" s="95">
        <v>2.2561610551891702</v>
      </c>
      <c r="AY1111" s="95">
        <v>1.22699386503067</v>
      </c>
      <c r="AZ1111" s="95">
        <v>2.09964412811388</v>
      </c>
      <c r="BA1111" s="95">
        <v>1.88679245283019</v>
      </c>
      <c r="BB1111" s="95">
        <v>4.3478260869565197</v>
      </c>
      <c r="BC1111" s="95">
        <v>3.0368763557483698</v>
      </c>
      <c r="BD1111" s="95">
        <v>2.0331325301204801</v>
      </c>
      <c r="BE1111" s="95">
        <v>3.8961038961039001</v>
      </c>
    </row>
    <row r="1112" spans="2:57" ht="15" customHeight="1" x14ac:dyDescent="0.25">
      <c r="B1112" s="96">
        <v>1102</v>
      </c>
      <c r="C1112" s="97" t="s">
        <v>504</v>
      </c>
      <c r="D1112" s="104" t="s">
        <v>85</v>
      </c>
      <c r="E1112" s="104" t="s">
        <v>416</v>
      </c>
      <c r="F1112" s="104" t="s">
        <v>158</v>
      </c>
      <c r="G1112" s="105" t="s">
        <v>158</v>
      </c>
      <c r="H1112" s="106">
        <v>7585</v>
      </c>
      <c r="I1112" s="106">
        <v>4809</v>
      </c>
      <c r="J1112" s="106">
        <v>2776</v>
      </c>
      <c r="K1112" s="106">
        <v>438</v>
      </c>
      <c r="L1112" s="106">
        <v>2241</v>
      </c>
      <c r="M1112" s="106">
        <v>4062</v>
      </c>
      <c r="N1112" s="106">
        <v>844</v>
      </c>
      <c r="O1112" s="106">
        <v>7512</v>
      </c>
      <c r="P1112" s="106">
        <v>73</v>
      </c>
      <c r="Q1112" s="107">
        <v>1.3409961685823799</v>
      </c>
      <c r="R1112" s="107">
        <v>0.74245939675174</v>
      </c>
      <c r="S1112" s="107">
        <v>2.3828756058158298</v>
      </c>
      <c r="T1112" s="107">
        <v>2.93333333333333</v>
      </c>
      <c r="U1112" s="107">
        <v>1.3817809621289701</v>
      </c>
      <c r="V1112" s="107">
        <v>1.1057173678532899</v>
      </c>
      <c r="W1112" s="107">
        <v>1.60213618157543</v>
      </c>
      <c r="X1112" s="107">
        <v>1.3394850424170299</v>
      </c>
      <c r="Y1112" s="107">
        <v>1.4925373134328399</v>
      </c>
      <c r="Z1112" s="106">
        <v>9205</v>
      </c>
      <c r="AA1112" s="106">
        <v>5490</v>
      </c>
      <c r="AB1112" s="106">
        <v>3715</v>
      </c>
      <c r="AC1112" s="106">
        <v>276</v>
      </c>
      <c r="AD1112" s="106">
        <v>2318</v>
      </c>
      <c r="AE1112" s="106">
        <v>5405</v>
      </c>
      <c r="AF1112" s="106">
        <v>1206</v>
      </c>
      <c r="AG1112" s="106">
        <v>564</v>
      </c>
      <c r="AH1112" s="106">
        <v>8429</v>
      </c>
      <c r="AI1112" s="106">
        <v>212</v>
      </c>
      <c r="AJ1112" s="106">
        <v>9098</v>
      </c>
      <c r="AK1112" s="106">
        <v>79</v>
      </c>
      <c r="AL1112" s="106">
        <v>28</v>
      </c>
      <c r="AM1112" s="106">
        <v>471</v>
      </c>
      <c r="AN1112" s="106">
        <v>8611</v>
      </c>
      <c r="AO1112" s="106">
        <v>123</v>
      </c>
      <c r="AP1112" s="107">
        <v>4.4563695753616397</v>
      </c>
      <c r="AQ1112" s="107">
        <v>1.6517683637776901</v>
      </c>
      <c r="AR1112" s="107">
        <v>8.6690017513134805</v>
      </c>
      <c r="AS1112" s="107">
        <v>8.7301587301587293</v>
      </c>
      <c r="AT1112" s="107">
        <v>6.0491493383742903</v>
      </c>
      <c r="AU1112" s="107">
        <v>3.9691943127962102</v>
      </c>
      <c r="AV1112" s="107">
        <v>2.71929824561404</v>
      </c>
      <c r="AW1112" s="107">
        <v>4.6554934823091196</v>
      </c>
      <c r="AX1112" s="107">
        <v>4.5118531735916401</v>
      </c>
      <c r="AY1112" s="107">
        <v>1.5873015873015901</v>
      </c>
      <c r="AZ1112" s="107">
        <v>4.4221698113207504</v>
      </c>
      <c r="BA1112" s="107">
        <v>10.294117647058799</v>
      </c>
      <c r="BB1112" s="107">
        <v>0</v>
      </c>
      <c r="BC1112" s="107">
        <v>2.92792792792793</v>
      </c>
      <c r="BD1112" s="107">
        <v>4.5125903764647202</v>
      </c>
      <c r="BE1112" s="107">
        <v>6.6037735849056602</v>
      </c>
    </row>
    <row r="1113" spans="2:57" ht="15" customHeight="1" x14ac:dyDescent="0.25">
      <c r="B1113" s="91">
        <v>1103</v>
      </c>
      <c r="C1113" s="92" t="s">
        <v>504</v>
      </c>
      <c r="D1113" s="92" t="s">
        <v>85</v>
      </c>
      <c r="E1113" s="92" t="s">
        <v>416</v>
      </c>
      <c r="F1113" s="92" t="s">
        <v>158</v>
      </c>
      <c r="G1113" s="101" t="s">
        <v>501</v>
      </c>
      <c r="H1113" s="94">
        <v>5887</v>
      </c>
      <c r="I1113" s="94">
        <v>3505</v>
      </c>
      <c r="J1113" s="94">
        <v>2382</v>
      </c>
      <c r="K1113" s="94">
        <v>321</v>
      </c>
      <c r="L1113" s="94">
        <v>1745</v>
      </c>
      <c r="M1113" s="94">
        <v>3218</v>
      </c>
      <c r="N1113" s="94">
        <v>603</v>
      </c>
      <c r="O1113" s="94">
        <v>5829</v>
      </c>
      <c r="P1113" s="94">
        <v>58</v>
      </c>
      <c r="Q1113" s="95">
        <v>1.5846066779852901</v>
      </c>
      <c r="R1113" s="95">
        <v>0.95177664974619303</v>
      </c>
      <c r="S1113" s="95">
        <v>2.51279664960447</v>
      </c>
      <c r="T1113" s="95">
        <v>3.6764705882352899</v>
      </c>
      <c r="U1113" s="95">
        <v>1.57377049180328</v>
      </c>
      <c r="V1113" s="95">
        <v>1.28248396895039</v>
      </c>
      <c r="W1113" s="95">
        <v>2.2181146025878</v>
      </c>
      <c r="X1113" s="95">
        <v>1.5818562988374301</v>
      </c>
      <c r="Y1113" s="95">
        <v>1.8518518518518501</v>
      </c>
      <c r="Z1113" s="94">
        <v>7338</v>
      </c>
      <c r="AA1113" s="94">
        <v>4166</v>
      </c>
      <c r="AB1113" s="94">
        <v>3172</v>
      </c>
      <c r="AC1113" s="94">
        <v>208</v>
      </c>
      <c r="AD1113" s="94">
        <v>1861</v>
      </c>
      <c r="AE1113" s="94">
        <v>4371</v>
      </c>
      <c r="AF1113" s="94">
        <v>898</v>
      </c>
      <c r="AG1113" s="94">
        <v>393</v>
      </c>
      <c r="AH1113" s="94">
        <v>6826</v>
      </c>
      <c r="AI1113" s="94">
        <v>119</v>
      </c>
      <c r="AJ1113" s="94">
        <v>7246</v>
      </c>
      <c r="AK1113" s="94">
        <v>68</v>
      </c>
      <c r="AL1113" s="94">
        <v>24</v>
      </c>
      <c r="AM1113" s="94">
        <v>368</v>
      </c>
      <c r="AN1113" s="94">
        <v>6872</v>
      </c>
      <c r="AO1113" s="94">
        <v>98</v>
      </c>
      <c r="AP1113" s="95">
        <v>5.1154633148202304</v>
      </c>
      <c r="AQ1113" s="95">
        <v>1.9693094629156001</v>
      </c>
      <c r="AR1113" s="95">
        <v>9.3110504774897702</v>
      </c>
      <c r="AS1113" s="95">
        <v>9.375</v>
      </c>
      <c r="AT1113" s="95">
        <v>7.2738024837374304</v>
      </c>
      <c r="AU1113" s="95">
        <v>4.4801558315071803</v>
      </c>
      <c r="AV1113" s="95">
        <v>2.93427230046948</v>
      </c>
      <c r="AW1113" s="95">
        <v>5.5555555555555598</v>
      </c>
      <c r="AX1113" s="95">
        <v>5.1390853371051399</v>
      </c>
      <c r="AY1113" s="95">
        <v>1.98019801980198</v>
      </c>
      <c r="AZ1113" s="95">
        <v>5.0724637681159397</v>
      </c>
      <c r="BA1113" s="95">
        <v>11.864406779661</v>
      </c>
      <c r="BB1113" s="95">
        <v>0</v>
      </c>
      <c r="BC1113" s="95">
        <v>2.8818443804034599</v>
      </c>
      <c r="BD1113" s="95">
        <v>5.2106084243369697</v>
      </c>
      <c r="BE1113" s="95">
        <v>7.0588235294117601</v>
      </c>
    </row>
    <row r="1114" spans="2:57" ht="15" customHeight="1" x14ac:dyDescent="0.25">
      <c r="B1114" s="91">
        <v>1104</v>
      </c>
      <c r="C1114" s="92" t="s">
        <v>504</v>
      </c>
      <c r="D1114" s="92" t="s">
        <v>85</v>
      </c>
      <c r="E1114" s="92" t="s">
        <v>416</v>
      </c>
      <c r="F1114" s="92" t="s">
        <v>158</v>
      </c>
      <c r="G1114" s="101" t="s">
        <v>502</v>
      </c>
      <c r="H1114" s="94">
        <v>1698</v>
      </c>
      <c r="I1114" s="94">
        <v>1304</v>
      </c>
      <c r="J1114" s="94">
        <v>394</v>
      </c>
      <c r="K1114" s="94">
        <v>117</v>
      </c>
      <c r="L1114" s="94">
        <v>496</v>
      </c>
      <c r="M1114" s="94">
        <v>844</v>
      </c>
      <c r="N1114" s="94">
        <v>241</v>
      </c>
      <c r="O1114" s="94">
        <v>1683</v>
      </c>
      <c r="P1114" s="94">
        <v>15</v>
      </c>
      <c r="Q1114" s="95">
        <v>0.47138047138047101</v>
      </c>
      <c r="R1114" s="95">
        <v>0.17271157167530199</v>
      </c>
      <c r="S1114" s="95">
        <v>1.5290519877675799</v>
      </c>
      <c r="T1114" s="95">
        <v>0.970873786407767</v>
      </c>
      <c r="U1114" s="95">
        <v>0.69930069930069905</v>
      </c>
      <c r="V1114" s="95">
        <v>0.40268456375838901</v>
      </c>
      <c r="W1114" s="95">
        <v>0</v>
      </c>
      <c r="X1114" s="95">
        <v>0.47554347826087001</v>
      </c>
      <c r="Y1114" s="95">
        <v>0</v>
      </c>
      <c r="Z1114" s="94">
        <v>1867</v>
      </c>
      <c r="AA1114" s="94">
        <v>1324</v>
      </c>
      <c r="AB1114" s="94">
        <v>543</v>
      </c>
      <c r="AC1114" s="94">
        <v>68</v>
      </c>
      <c r="AD1114" s="94">
        <v>457</v>
      </c>
      <c r="AE1114" s="94">
        <v>1034</v>
      </c>
      <c r="AF1114" s="94">
        <v>308</v>
      </c>
      <c r="AG1114" s="94">
        <v>171</v>
      </c>
      <c r="AH1114" s="94">
        <v>1603</v>
      </c>
      <c r="AI1114" s="94">
        <v>93</v>
      </c>
      <c r="AJ1114" s="94">
        <v>1852</v>
      </c>
      <c r="AK1114" s="94">
        <v>11</v>
      </c>
      <c r="AL1114" s="94">
        <v>4</v>
      </c>
      <c r="AM1114" s="94">
        <v>103</v>
      </c>
      <c r="AN1114" s="94">
        <v>1739</v>
      </c>
      <c r="AO1114" s="94">
        <v>25</v>
      </c>
      <c r="AP1114" s="95">
        <v>1.8497109826589599</v>
      </c>
      <c r="AQ1114" s="95">
        <v>0.64724919093851097</v>
      </c>
      <c r="AR1114" s="95">
        <v>4.8582995951417001</v>
      </c>
      <c r="AS1114" s="95">
        <v>6.6666666666666696</v>
      </c>
      <c r="AT1114" s="95">
        <v>1.1764705882352899</v>
      </c>
      <c r="AU1114" s="95">
        <v>1.7763845350052201</v>
      </c>
      <c r="AV1114" s="95">
        <v>2.0833333333333299</v>
      </c>
      <c r="AW1114" s="95">
        <v>2.5157232704402501</v>
      </c>
      <c r="AX1114" s="95">
        <v>1.82063385030344</v>
      </c>
      <c r="AY1114" s="95">
        <v>1.13636363636364</v>
      </c>
      <c r="AZ1114" s="95">
        <v>1.8626309662398099</v>
      </c>
      <c r="BA1114" s="95">
        <v>0</v>
      </c>
      <c r="BB1114" s="95">
        <v>0</v>
      </c>
      <c r="BC1114" s="95">
        <v>3.0927835051546402</v>
      </c>
      <c r="BD1114" s="95">
        <v>1.7369727047146399</v>
      </c>
      <c r="BE1114" s="95">
        <v>4.7619047619047601</v>
      </c>
    </row>
    <row r="1115" spans="2:57" ht="15" customHeight="1" x14ac:dyDescent="0.25">
      <c r="B1115" s="96">
        <v>1105</v>
      </c>
      <c r="C1115" s="97" t="s">
        <v>504</v>
      </c>
      <c r="D1115" s="104" t="s">
        <v>85</v>
      </c>
      <c r="E1115" s="104" t="s">
        <v>416</v>
      </c>
      <c r="F1115" s="104" t="s">
        <v>35</v>
      </c>
      <c r="G1115" s="105" t="s">
        <v>35</v>
      </c>
      <c r="H1115" s="106">
        <v>8277</v>
      </c>
      <c r="I1115" s="106">
        <v>6177</v>
      </c>
      <c r="J1115" s="106">
        <v>2100</v>
      </c>
      <c r="K1115" s="106">
        <v>513</v>
      </c>
      <c r="L1115" s="106">
        <v>2383</v>
      </c>
      <c r="M1115" s="106">
        <v>4513</v>
      </c>
      <c r="N1115" s="106">
        <v>868</v>
      </c>
      <c r="O1115" s="106">
        <v>8239</v>
      </c>
      <c r="P1115" s="106">
        <v>38</v>
      </c>
      <c r="Q1115" s="107">
        <v>0.49405795166243799</v>
      </c>
      <c r="R1115" s="107">
        <v>0.17721070352649301</v>
      </c>
      <c r="S1115" s="107">
        <v>1.4626218851571</v>
      </c>
      <c r="T1115" s="107">
        <v>0.89285714285714302</v>
      </c>
      <c r="U1115" s="107">
        <v>0.565237870937353</v>
      </c>
      <c r="V1115" s="107">
        <v>0.43562439496611799</v>
      </c>
      <c r="W1115" s="107">
        <v>0.38167938931297701</v>
      </c>
      <c r="X1115" s="107">
        <v>0.496244635193133</v>
      </c>
      <c r="Y1115" s="107">
        <v>0</v>
      </c>
      <c r="Z1115" s="106">
        <v>8534</v>
      </c>
      <c r="AA1115" s="106">
        <v>5637</v>
      </c>
      <c r="AB1115" s="106">
        <v>2897</v>
      </c>
      <c r="AC1115" s="106">
        <v>383</v>
      </c>
      <c r="AD1115" s="106">
        <v>2226</v>
      </c>
      <c r="AE1115" s="106">
        <v>4761</v>
      </c>
      <c r="AF1115" s="106">
        <v>1164</v>
      </c>
      <c r="AG1115" s="106">
        <v>2763</v>
      </c>
      <c r="AH1115" s="106">
        <v>5646</v>
      </c>
      <c r="AI1115" s="106">
        <v>125</v>
      </c>
      <c r="AJ1115" s="106">
        <v>8453</v>
      </c>
      <c r="AK1115" s="106">
        <v>55</v>
      </c>
      <c r="AL1115" s="106">
        <v>26</v>
      </c>
      <c r="AM1115" s="106">
        <v>465</v>
      </c>
      <c r="AN1115" s="106">
        <v>7980</v>
      </c>
      <c r="AO1115" s="106">
        <v>89</v>
      </c>
      <c r="AP1115" s="107">
        <v>2.67512753514993</v>
      </c>
      <c r="AQ1115" s="107">
        <v>0.784167289021658</v>
      </c>
      <c r="AR1115" s="107">
        <v>6.4528161133905302</v>
      </c>
      <c r="AS1115" s="107">
        <v>6.5340909090909101</v>
      </c>
      <c r="AT1115" s="107">
        <v>3.27868852459016</v>
      </c>
      <c r="AU1115" s="107">
        <v>2.4966562639322301</v>
      </c>
      <c r="AV1115" s="107">
        <v>1.06666666666667</v>
      </c>
      <c r="AW1115" s="107">
        <v>2.0198170731707301</v>
      </c>
      <c r="AX1115" s="107">
        <v>3.0039675042509</v>
      </c>
      <c r="AY1115" s="107">
        <v>2.5</v>
      </c>
      <c r="AZ1115" s="107">
        <v>2.64975511741806</v>
      </c>
      <c r="BA1115" s="107">
        <v>2</v>
      </c>
      <c r="BB1115" s="107">
        <v>12.5</v>
      </c>
      <c r="BC1115" s="107">
        <v>3.1531531531531498</v>
      </c>
      <c r="BD1115" s="107">
        <v>2.6340295330584</v>
      </c>
      <c r="BE1115" s="107">
        <v>3.9473684210526301</v>
      </c>
    </row>
    <row r="1116" spans="2:57" ht="15" customHeight="1" x14ac:dyDescent="0.25">
      <c r="B1116" s="91">
        <v>1106</v>
      </c>
      <c r="C1116" s="92" t="s">
        <v>504</v>
      </c>
      <c r="D1116" s="92" t="s">
        <v>85</v>
      </c>
      <c r="E1116" s="92" t="s">
        <v>416</v>
      </c>
      <c r="F1116" s="92" t="s">
        <v>35</v>
      </c>
      <c r="G1116" s="101" t="s">
        <v>501</v>
      </c>
      <c r="H1116" s="94">
        <v>1867</v>
      </c>
      <c r="I1116" s="94">
        <v>1272</v>
      </c>
      <c r="J1116" s="94">
        <v>595</v>
      </c>
      <c r="K1116" s="94">
        <v>109</v>
      </c>
      <c r="L1116" s="94">
        <v>598</v>
      </c>
      <c r="M1116" s="94">
        <v>965</v>
      </c>
      <c r="N1116" s="94">
        <v>195</v>
      </c>
      <c r="O1116" s="94">
        <v>1860</v>
      </c>
      <c r="P1116" s="94">
        <v>7</v>
      </c>
      <c r="Q1116" s="95">
        <v>1.4322916666666701</v>
      </c>
      <c r="R1116" s="95">
        <v>0.57361376673040199</v>
      </c>
      <c r="S1116" s="95">
        <v>3.2653061224489801</v>
      </c>
      <c r="T1116" s="95">
        <v>2.3529411764705901</v>
      </c>
      <c r="U1116" s="95">
        <v>1.6096579476861199</v>
      </c>
      <c r="V1116" s="95">
        <v>1.25628140703518</v>
      </c>
      <c r="W1116" s="95">
        <v>1.26582278481013</v>
      </c>
      <c r="X1116" s="95">
        <v>1.4379084967320299</v>
      </c>
      <c r="Y1116" s="95">
        <v>0</v>
      </c>
      <c r="Z1116" s="94">
        <v>1800</v>
      </c>
      <c r="AA1116" s="94">
        <v>1080</v>
      </c>
      <c r="AB1116" s="94">
        <v>720</v>
      </c>
      <c r="AC1116" s="94">
        <v>93</v>
      </c>
      <c r="AD1116" s="94">
        <v>490</v>
      </c>
      <c r="AE1116" s="94">
        <v>973</v>
      </c>
      <c r="AF1116" s="94">
        <v>244</v>
      </c>
      <c r="AG1116" s="94">
        <v>261</v>
      </c>
      <c r="AH1116" s="94">
        <v>1484</v>
      </c>
      <c r="AI1116" s="94">
        <v>55</v>
      </c>
      <c r="AJ1116" s="94">
        <v>1778</v>
      </c>
      <c r="AK1116" s="94">
        <v>17</v>
      </c>
      <c r="AL1116" s="94">
        <v>5</v>
      </c>
      <c r="AM1116" s="94">
        <v>121</v>
      </c>
      <c r="AN1116" s="94">
        <v>1649</v>
      </c>
      <c r="AO1116" s="94">
        <v>30</v>
      </c>
      <c r="AP1116" s="95">
        <v>4.75617098133654</v>
      </c>
      <c r="AQ1116" s="95">
        <v>1.6</v>
      </c>
      <c r="AR1116" s="95">
        <v>9.5310136157337393</v>
      </c>
      <c r="AS1116" s="95">
        <v>10.3448275862069</v>
      </c>
      <c r="AT1116" s="95">
        <v>5.3452115812917604</v>
      </c>
      <c r="AU1116" s="95">
        <v>4.5964125560538101</v>
      </c>
      <c r="AV1116" s="95">
        <v>2.1459227467811202</v>
      </c>
      <c r="AW1116" s="95">
        <v>4.4715447154471502</v>
      </c>
      <c r="AX1116" s="95">
        <v>4.8422597212032299</v>
      </c>
      <c r="AY1116" s="95">
        <v>3.8461538461538498</v>
      </c>
      <c r="AZ1116" s="95">
        <v>4.6865489957394999</v>
      </c>
      <c r="BA1116" s="95">
        <v>0</v>
      </c>
      <c r="BB1116" s="95">
        <v>40</v>
      </c>
      <c r="BC1116" s="95">
        <v>3.5398230088495599</v>
      </c>
      <c r="BD1116" s="95">
        <v>4.8620236530880403</v>
      </c>
      <c r="BE1116" s="95">
        <v>3.8461538461538498</v>
      </c>
    </row>
    <row r="1117" spans="2:57" ht="15" customHeight="1" x14ac:dyDescent="0.25">
      <c r="B1117" s="91">
        <v>1107</v>
      </c>
      <c r="C1117" s="92" t="s">
        <v>504</v>
      </c>
      <c r="D1117" s="92" t="s">
        <v>85</v>
      </c>
      <c r="E1117" s="92" t="s">
        <v>416</v>
      </c>
      <c r="F1117" s="92" t="s">
        <v>35</v>
      </c>
      <c r="G1117" s="101" t="s">
        <v>502</v>
      </c>
      <c r="H1117" s="94">
        <v>6410</v>
      </c>
      <c r="I1117" s="94">
        <v>4905</v>
      </c>
      <c r="J1117" s="94">
        <v>1505</v>
      </c>
      <c r="K1117" s="94">
        <v>404</v>
      </c>
      <c r="L1117" s="94">
        <v>1785</v>
      </c>
      <c r="M1117" s="94">
        <v>3548</v>
      </c>
      <c r="N1117" s="94">
        <v>673</v>
      </c>
      <c r="O1117" s="94">
        <v>6379</v>
      </c>
      <c r="P1117" s="94">
        <v>31</v>
      </c>
      <c r="Q1117" s="95">
        <v>0.25197379472534898</v>
      </c>
      <c r="R1117" s="95">
        <v>8.7013269523602305E-2</v>
      </c>
      <c r="S1117" s="95">
        <v>0.81120943952802405</v>
      </c>
      <c r="T1117" s="95">
        <v>0.55096418732782404</v>
      </c>
      <c r="U1117" s="95">
        <v>0.24600246002459999</v>
      </c>
      <c r="V1117" s="95">
        <v>0.23980815347721801</v>
      </c>
      <c r="W1117" s="95">
        <v>0.15923566878980899</v>
      </c>
      <c r="X1117" s="95">
        <v>0.25312183597705001</v>
      </c>
      <c r="Y1117" s="95">
        <v>0</v>
      </c>
      <c r="Z1117" s="94">
        <v>6734</v>
      </c>
      <c r="AA1117" s="94">
        <v>4557</v>
      </c>
      <c r="AB1117" s="94">
        <v>2177</v>
      </c>
      <c r="AC1117" s="94">
        <v>290</v>
      </c>
      <c r="AD1117" s="94">
        <v>1736</v>
      </c>
      <c r="AE1117" s="94">
        <v>3788</v>
      </c>
      <c r="AF1117" s="94">
        <v>920</v>
      </c>
      <c r="AG1117" s="94">
        <v>2502</v>
      </c>
      <c r="AH1117" s="94">
        <v>4162</v>
      </c>
      <c r="AI1117" s="94">
        <v>70</v>
      </c>
      <c r="AJ1117" s="94">
        <v>6675</v>
      </c>
      <c r="AK1117" s="94">
        <v>38</v>
      </c>
      <c r="AL1117" s="94">
        <v>21</v>
      </c>
      <c r="AM1117" s="94">
        <v>344</v>
      </c>
      <c r="AN1117" s="94">
        <v>6331</v>
      </c>
      <c r="AO1117" s="94">
        <v>59</v>
      </c>
      <c r="AP1117" s="95">
        <v>2.1329987452948602</v>
      </c>
      <c r="AQ1117" s="95">
        <v>0.596877869605142</v>
      </c>
      <c r="AR1117" s="95">
        <v>5.4455445544554504</v>
      </c>
      <c r="AS1117" s="95">
        <v>5.2830188679245298</v>
      </c>
      <c r="AT1117" s="95">
        <v>2.7076923076923101</v>
      </c>
      <c r="AU1117" s="95">
        <v>1.9755147468002201</v>
      </c>
      <c r="AV1117" s="95">
        <v>0.78475336322870004</v>
      </c>
      <c r="AW1117" s="95">
        <v>1.76619007569386</v>
      </c>
      <c r="AX1117" s="95">
        <v>2.36641221374046</v>
      </c>
      <c r="AY1117" s="95">
        <v>1.47058823529412</v>
      </c>
      <c r="AZ1117" s="95">
        <v>2.12025316455696</v>
      </c>
      <c r="BA1117" s="95">
        <v>2.7027027027027</v>
      </c>
      <c r="BB1117" s="95">
        <v>5.2631578947368398</v>
      </c>
      <c r="BC1117" s="95">
        <v>3.0211480362537801</v>
      </c>
      <c r="BD1117" s="95">
        <v>2.0683903252710598</v>
      </c>
      <c r="BE1117" s="95">
        <v>4</v>
      </c>
    </row>
    <row r="1118" spans="2:57" ht="15" customHeight="1" x14ac:dyDescent="0.25">
      <c r="B1118" s="96">
        <v>1108</v>
      </c>
      <c r="C1118" s="97" t="s">
        <v>504</v>
      </c>
      <c r="D1118" s="104" t="s">
        <v>85</v>
      </c>
      <c r="E1118" s="104" t="s">
        <v>416</v>
      </c>
      <c r="F1118" s="104" t="s">
        <v>329</v>
      </c>
      <c r="G1118" s="105" t="s">
        <v>329</v>
      </c>
      <c r="H1118" s="106">
        <v>2363</v>
      </c>
      <c r="I1118" s="106">
        <v>1680</v>
      </c>
      <c r="J1118" s="106">
        <v>683</v>
      </c>
      <c r="K1118" s="106">
        <v>143</v>
      </c>
      <c r="L1118" s="106">
        <v>739</v>
      </c>
      <c r="M1118" s="106">
        <v>1225</v>
      </c>
      <c r="N1118" s="106">
        <v>256</v>
      </c>
      <c r="O1118" s="106">
        <v>2350</v>
      </c>
      <c r="P1118" s="106">
        <v>13</v>
      </c>
      <c r="Q1118" s="107">
        <v>1.2048192771084301</v>
      </c>
      <c r="R1118" s="107">
        <v>0.49400141143260401</v>
      </c>
      <c r="S1118" s="107">
        <v>2.9565217391304301</v>
      </c>
      <c r="T1118" s="107">
        <v>5</v>
      </c>
      <c r="U1118" s="107">
        <v>1.62337662337662</v>
      </c>
      <c r="V1118" s="107">
        <v>0.74976569821930605</v>
      </c>
      <c r="W1118" s="107">
        <v>0.47846889952153099</v>
      </c>
      <c r="X1118" s="107">
        <v>1.2121212121212099</v>
      </c>
      <c r="Y1118" s="107">
        <v>0</v>
      </c>
      <c r="Z1118" s="106">
        <v>2472</v>
      </c>
      <c r="AA1118" s="106">
        <v>1592</v>
      </c>
      <c r="AB1118" s="106">
        <v>880</v>
      </c>
      <c r="AC1118" s="106">
        <v>92</v>
      </c>
      <c r="AD1118" s="106">
        <v>692</v>
      </c>
      <c r="AE1118" s="106">
        <v>1439</v>
      </c>
      <c r="AF1118" s="106">
        <v>249</v>
      </c>
      <c r="AG1118" s="106">
        <v>254</v>
      </c>
      <c r="AH1118" s="106">
        <v>2172</v>
      </c>
      <c r="AI1118" s="106">
        <v>46</v>
      </c>
      <c r="AJ1118" s="106">
        <v>2442</v>
      </c>
      <c r="AK1118" s="106">
        <v>17</v>
      </c>
      <c r="AL1118" s="106">
        <v>13</v>
      </c>
      <c r="AM1118" s="106">
        <v>146</v>
      </c>
      <c r="AN1118" s="106">
        <v>2300</v>
      </c>
      <c r="AO1118" s="106">
        <v>26</v>
      </c>
      <c r="AP1118" s="107">
        <v>5.0747621205255999</v>
      </c>
      <c r="AQ1118" s="107">
        <v>1.20141342756184</v>
      </c>
      <c r="AR1118" s="107">
        <v>11.9949494949495</v>
      </c>
      <c r="AS1118" s="107">
        <v>8.0459770114942497</v>
      </c>
      <c r="AT1118" s="107">
        <v>6.25</v>
      </c>
      <c r="AU1118" s="107">
        <v>5.0623052959501598</v>
      </c>
      <c r="AV1118" s="107">
        <v>0.87719298245613997</v>
      </c>
      <c r="AW1118" s="107">
        <v>5.0228310502283096</v>
      </c>
      <c r="AX1118" s="107">
        <v>5.1334702258726903</v>
      </c>
      <c r="AY1118" s="107">
        <v>2.5</v>
      </c>
      <c r="AZ1118" s="107">
        <v>5.0917431192660496</v>
      </c>
      <c r="BA1118" s="107">
        <v>0</v>
      </c>
      <c r="BB1118" s="107">
        <v>9.0909090909090899</v>
      </c>
      <c r="BC1118" s="107">
        <v>1.4814814814814801</v>
      </c>
      <c r="BD1118" s="107">
        <v>5.3118908382066303</v>
      </c>
      <c r="BE1118" s="107">
        <v>5</v>
      </c>
    </row>
    <row r="1119" spans="2:57" ht="15" customHeight="1" x14ac:dyDescent="0.25">
      <c r="B1119" s="91">
        <v>1109</v>
      </c>
      <c r="C1119" s="92" t="s">
        <v>504</v>
      </c>
      <c r="D1119" s="92" t="s">
        <v>85</v>
      </c>
      <c r="E1119" s="92" t="s">
        <v>416</v>
      </c>
      <c r="F1119" s="92" t="s">
        <v>329</v>
      </c>
      <c r="G1119" s="101" t="s">
        <v>501</v>
      </c>
      <c r="H1119" s="94">
        <v>1703</v>
      </c>
      <c r="I1119" s="94">
        <v>1196</v>
      </c>
      <c r="J1119" s="94">
        <v>507</v>
      </c>
      <c r="K1119" s="94">
        <v>78</v>
      </c>
      <c r="L1119" s="94">
        <v>500</v>
      </c>
      <c r="M1119" s="94">
        <v>936</v>
      </c>
      <c r="N1119" s="94">
        <v>189</v>
      </c>
      <c r="O1119" s="94">
        <v>1694</v>
      </c>
      <c r="P1119" s="94">
        <v>9</v>
      </c>
      <c r="Q1119" s="95">
        <v>1.12280701754386</v>
      </c>
      <c r="R1119" s="95">
        <v>0.50403225806451601</v>
      </c>
      <c r="S1119" s="95">
        <v>2.54041570438799</v>
      </c>
      <c r="T1119" s="95">
        <v>8.9285714285714306</v>
      </c>
      <c r="U1119" s="95">
        <v>1.21359223300971</v>
      </c>
      <c r="V1119" s="95">
        <v>0.62111801242235998</v>
      </c>
      <c r="W1119" s="95">
        <v>0.65789473684210498</v>
      </c>
      <c r="X1119" s="95">
        <v>1.1291460832745199</v>
      </c>
      <c r="Y1119" s="95">
        <v>0</v>
      </c>
      <c r="Z1119" s="94">
        <v>2027</v>
      </c>
      <c r="AA1119" s="94">
        <v>1270</v>
      </c>
      <c r="AB1119" s="94">
        <v>757</v>
      </c>
      <c r="AC1119" s="94">
        <v>71</v>
      </c>
      <c r="AD1119" s="94">
        <v>579</v>
      </c>
      <c r="AE1119" s="94">
        <v>1194</v>
      </c>
      <c r="AF1119" s="94">
        <v>183</v>
      </c>
      <c r="AG1119" s="94">
        <v>200</v>
      </c>
      <c r="AH1119" s="94">
        <v>1788</v>
      </c>
      <c r="AI1119" s="94">
        <v>39</v>
      </c>
      <c r="AJ1119" s="94">
        <v>2006</v>
      </c>
      <c r="AK1119" s="94">
        <v>9</v>
      </c>
      <c r="AL1119" s="94">
        <v>12</v>
      </c>
      <c r="AM1119" s="94">
        <v>112</v>
      </c>
      <c r="AN1119" s="94">
        <v>1895</v>
      </c>
      <c r="AO1119" s="94">
        <v>20</v>
      </c>
      <c r="AP1119" s="95">
        <v>5.5893746541228602</v>
      </c>
      <c r="AQ1119" s="95">
        <v>1.4247551202137101</v>
      </c>
      <c r="AR1119" s="95">
        <v>12.4269005847953</v>
      </c>
      <c r="AS1119" s="95">
        <v>8.8235294117647101</v>
      </c>
      <c r="AT1119" s="95">
        <v>6.6929133858267704</v>
      </c>
      <c r="AU1119" s="95">
        <v>5.5451127819548898</v>
      </c>
      <c r="AV1119" s="95">
        <v>1.19760479041916</v>
      </c>
      <c r="AW1119" s="95">
        <v>5.71428571428571</v>
      </c>
      <c r="AX1119" s="95">
        <v>5.6285178236397702</v>
      </c>
      <c r="AY1119" s="95">
        <v>3.0303030303030298</v>
      </c>
      <c r="AZ1119" s="95">
        <v>5.5928411633109603</v>
      </c>
      <c r="BA1119" s="95">
        <v>0</v>
      </c>
      <c r="BB1119" s="95">
        <v>10</v>
      </c>
      <c r="BC1119" s="95">
        <v>0.98039215686274495</v>
      </c>
      <c r="BD1119" s="95">
        <v>5.85452395032525</v>
      </c>
      <c r="BE1119" s="95">
        <v>7.1428571428571397</v>
      </c>
    </row>
    <row r="1120" spans="2:57" ht="15" customHeight="1" x14ac:dyDescent="0.25">
      <c r="B1120" s="91">
        <v>1110</v>
      </c>
      <c r="C1120" s="92" t="s">
        <v>504</v>
      </c>
      <c r="D1120" s="92" t="s">
        <v>85</v>
      </c>
      <c r="E1120" s="92" t="s">
        <v>416</v>
      </c>
      <c r="F1120" s="92" t="s">
        <v>329</v>
      </c>
      <c r="G1120" s="101" t="s">
        <v>502</v>
      </c>
      <c r="H1120" s="94">
        <v>660</v>
      </c>
      <c r="I1120" s="94">
        <v>484</v>
      </c>
      <c r="J1120" s="94">
        <v>176</v>
      </c>
      <c r="K1120" s="94">
        <v>65</v>
      </c>
      <c r="L1120" s="94">
        <v>239</v>
      </c>
      <c r="M1120" s="94">
        <v>289</v>
      </c>
      <c r="N1120" s="94">
        <v>67</v>
      </c>
      <c r="O1120" s="94">
        <v>656</v>
      </c>
      <c r="P1120" s="94">
        <v>4</v>
      </c>
      <c r="Q1120" s="95">
        <v>1.41093474426808</v>
      </c>
      <c r="R1120" s="95">
        <v>0.47058823529411797</v>
      </c>
      <c r="S1120" s="95">
        <v>4.2253521126760596</v>
      </c>
      <c r="T1120" s="95">
        <v>0</v>
      </c>
      <c r="U1120" s="95">
        <v>2.4509803921568598</v>
      </c>
      <c r="V1120" s="95">
        <v>1.1450381679389301</v>
      </c>
      <c r="W1120" s="95">
        <v>0</v>
      </c>
      <c r="X1120" s="95">
        <v>1.42095914742451</v>
      </c>
      <c r="Y1120" s="95">
        <v>0</v>
      </c>
      <c r="Z1120" s="94">
        <v>445</v>
      </c>
      <c r="AA1120" s="94">
        <v>322</v>
      </c>
      <c r="AB1120" s="94">
        <v>123</v>
      </c>
      <c r="AC1120" s="94">
        <v>21</v>
      </c>
      <c r="AD1120" s="94">
        <v>113</v>
      </c>
      <c r="AE1120" s="94">
        <v>245</v>
      </c>
      <c r="AF1120" s="94">
        <v>66</v>
      </c>
      <c r="AG1120" s="94">
        <v>54</v>
      </c>
      <c r="AH1120" s="94">
        <v>384</v>
      </c>
      <c r="AI1120" s="94">
        <v>7</v>
      </c>
      <c r="AJ1120" s="94">
        <v>436</v>
      </c>
      <c r="AK1120" s="94">
        <v>8</v>
      </c>
      <c r="AL1120" s="94">
        <v>1</v>
      </c>
      <c r="AM1120" s="94">
        <v>34</v>
      </c>
      <c r="AN1120" s="94">
        <v>405</v>
      </c>
      <c r="AO1120" s="94">
        <v>6</v>
      </c>
      <c r="AP1120" s="95">
        <v>2.75</v>
      </c>
      <c r="AQ1120" s="95">
        <v>0.34246575342465801</v>
      </c>
      <c r="AR1120" s="95">
        <v>9.2592592592592595</v>
      </c>
      <c r="AS1120" s="95">
        <v>5.2631578947368398</v>
      </c>
      <c r="AT1120" s="95">
        <v>4</v>
      </c>
      <c r="AU1120" s="95">
        <v>2.7272727272727302</v>
      </c>
      <c r="AV1120" s="95">
        <v>0</v>
      </c>
      <c r="AW1120" s="95">
        <v>2.2727272727272698</v>
      </c>
      <c r="AX1120" s="95">
        <v>2.8653295128939802</v>
      </c>
      <c r="AY1120" s="95">
        <v>0</v>
      </c>
      <c r="AZ1120" s="95">
        <v>2.8061224489795902</v>
      </c>
      <c r="BA1120" s="95">
        <v>0</v>
      </c>
      <c r="BB1120" s="95">
        <v>0</v>
      </c>
      <c r="BC1120" s="95">
        <v>3.0303030303030298</v>
      </c>
      <c r="BD1120" s="95">
        <v>2.7700831024930701</v>
      </c>
      <c r="BE1120" s="95">
        <v>0</v>
      </c>
    </row>
    <row r="1121" spans="2:57" ht="15" customHeight="1" x14ac:dyDescent="0.25">
      <c r="B1121" s="86">
        <v>1111</v>
      </c>
      <c r="C1121" s="87" t="s">
        <v>503</v>
      </c>
      <c r="D1121" s="103" t="s">
        <v>85</v>
      </c>
      <c r="E1121" s="103" t="s">
        <v>417</v>
      </c>
      <c r="F1121" s="103"/>
      <c r="G1121" s="88" t="s">
        <v>417</v>
      </c>
      <c r="H1121" s="89">
        <v>45123</v>
      </c>
      <c r="I1121" s="89">
        <v>30026</v>
      </c>
      <c r="J1121" s="89">
        <v>15097</v>
      </c>
      <c r="K1121" s="89">
        <v>3371</v>
      </c>
      <c r="L1121" s="89">
        <v>13747</v>
      </c>
      <c r="M1121" s="89">
        <v>23587</v>
      </c>
      <c r="N1121" s="89">
        <v>4418</v>
      </c>
      <c r="O1121" s="89">
        <v>42713</v>
      </c>
      <c r="P1121" s="89">
        <v>2410</v>
      </c>
      <c r="Q1121" s="90">
        <v>1.0515059704152601</v>
      </c>
      <c r="R1121" s="90">
        <v>0.53769548260062905</v>
      </c>
      <c r="S1121" s="90">
        <v>2.1059993783027702</v>
      </c>
      <c r="T1121" s="90">
        <v>1.5833033465275299</v>
      </c>
      <c r="U1121" s="90">
        <v>1.23896809232858</v>
      </c>
      <c r="V1121" s="90">
        <v>0.92690423590433202</v>
      </c>
      <c r="W1121" s="90">
        <v>0.77081192189105896</v>
      </c>
      <c r="X1121" s="90">
        <v>1.09951996567352</v>
      </c>
      <c r="Y1121" s="90">
        <v>0.15090543259557301</v>
      </c>
      <c r="Z1121" s="89">
        <v>56181</v>
      </c>
      <c r="AA1121" s="89">
        <v>34510</v>
      </c>
      <c r="AB1121" s="89">
        <v>21671</v>
      </c>
      <c r="AC1121" s="89">
        <v>3210</v>
      </c>
      <c r="AD1121" s="89">
        <v>16165</v>
      </c>
      <c r="AE1121" s="89">
        <v>30059</v>
      </c>
      <c r="AF1121" s="89">
        <v>6747</v>
      </c>
      <c r="AG1121" s="89">
        <v>24776</v>
      </c>
      <c r="AH1121" s="89">
        <v>30240</v>
      </c>
      <c r="AI1121" s="89">
        <v>1165</v>
      </c>
      <c r="AJ1121" s="89">
        <v>54101</v>
      </c>
      <c r="AK1121" s="89">
        <v>1776</v>
      </c>
      <c r="AL1121" s="89">
        <v>304</v>
      </c>
      <c r="AM1121" s="89">
        <v>2979</v>
      </c>
      <c r="AN1121" s="89">
        <v>52249</v>
      </c>
      <c r="AO1121" s="89">
        <v>953</v>
      </c>
      <c r="AP1121" s="90">
        <v>3.2629631748574499</v>
      </c>
      <c r="AQ1121" s="90">
        <v>1.2655889145496499</v>
      </c>
      <c r="AR1121" s="90">
        <v>6.5123735096683699</v>
      </c>
      <c r="AS1121" s="90">
        <v>3.4911043974488098</v>
      </c>
      <c r="AT1121" s="90">
        <v>3.8829715518403698</v>
      </c>
      <c r="AU1121" s="90">
        <v>3.1967358524037599</v>
      </c>
      <c r="AV1121" s="90">
        <v>2.01894704146607</v>
      </c>
      <c r="AW1121" s="90">
        <v>2.7847120599121999</v>
      </c>
      <c r="AX1121" s="90">
        <v>3.6958066808813101</v>
      </c>
      <c r="AY1121" s="90">
        <v>2.25776105362183</v>
      </c>
      <c r="AZ1121" s="90">
        <v>3.35881490870202</v>
      </c>
      <c r="BA1121" s="90">
        <v>0.60060060060060105</v>
      </c>
      <c r="BB1121" s="90">
        <v>1.7985611510791399</v>
      </c>
      <c r="BC1121" s="90">
        <v>2.7093596059113301</v>
      </c>
      <c r="BD1121" s="90">
        <v>3.31581324682791</v>
      </c>
      <c r="BE1121" s="90">
        <v>2.13723284589426</v>
      </c>
    </row>
    <row r="1122" spans="2:57" ht="15" customHeight="1" x14ac:dyDescent="0.25">
      <c r="B1122" s="91">
        <v>1112</v>
      </c>
      <c r="C1122" s="92" t="s">
        <v>503</v>
      </c>
      <c r="D1122" s="92" t="s">
        <v>85</v>
      </c>
      <c r="E1122" s="92" t="s">
        <v>417</v>
      </c>
      <c r="F1122" s="92"/>
      <c r="G1122" s="93" t="s">
        <v>501</v>
      </c>
      <c r="H1122" s="94">
        <v>16571</v>
      </c>
      <c r="I1122" s="94">
        <v>9578</v>
      </c>
      <c r="J1122" s="94">
        <v>6993</v>
      </c>
      <c r="K1122" s="94">
        <v>822</v>
      </c>
      <c r="L1122" s="94">
        <v>4687</v>
      </c>
      <c r="M1122" s="94">
        <v>9446</v>
      </c>
      <c r="N1122" s="94">
        <v>1616</v>
      </c>
      <c r="O1122" s="94">
        <v>16471</v>
      </c>
      <c r="P1122" s="94">
        <v>100</v>
      </c>
      <c r="Q1122" s="95">
        <v>2.0206157416888502</v>
      </c>
      <c r="R1122" s="95">
        <v>0.99715099715099698</v>
      </c>
      <c r="S1122" s="95">
        <v>3.40562248995984</v>
      </c>
      <c r="T1122" s="95">
        <v>5.1063829787234001</v>
      </c>
      <c r="U1122" s="95">
        <v>2.52141982864137</v>
      </c>
      <c r="V1122" s="95">
        <v>1.59144893111639</v>
      </c>
      <c r="W1122" s="95">
        <v>1.59833217512161</v>
      </c>
      <c r="X1122" s="95">
        <v>2.01277735797211</v>
      </c>
      <c r="Y1122" s="95">
        <v>3.2608695652173898</v>
      </c>
      <c r="Z1122" s="94">
        <v>20565</v>
      </c>
      <c r="AA1122" s="94">
        <v>11401</v>
      </c>
      <c r="AB1122" s="94">
        <v>9164</v>
      </c>
      <c r="AC1122" s="94">
        <v>681</v>
      </c>
      <c r="AD1122" s="94">
        <v>5440</v>
      </c>
      <c r="AE1122" s="94">
        <v>11763</v>
      </c>
      <c r="AF1122" s="94">
        <v>2681</v>
      </c>
      <c r="AG1122" s="94">
        <v>5409</v>
      </c>
      <c r="AH1122" s="94">
        <v>14860</v>
      </c>
      <c r="AI1122" s="94">
        <v>296</v>
      </c>
      <c r="AJ1122" s="94">
        <v>20355</v>
      </c>
      <c r="AK1122" s="94">
        <v>131</v>
      </c>
      <c r="AL1122" s="94">
        <v>79</v>
      </c>
      <c r="AM1122" s="94">
        <v>1174</v>
      </c>
      <c r="AN1122" s="94">
        <v>19075</v>
      </c>
      <c r="AO1122" s="94">
        <v>316</v>
      </c>
      <c r="AP1122" s="95">
        <v>5.8105417583569103</v>
      </c>
      <c r="AQ1122" s="95">
        <v>2.5847377390645701</v>
      </c>
      <c r="AR1122" s="95">
        <v>9.8076020647583295</v>
      </c>
      <c r="AS1122" s="95">
        <v>9.9056603773584904</v>
      </c>
      <c r="AT1122" s="95">
        <v>6.7878787878787898</v>
      </c>
      <c r="AU1122" s="95">
        <v>5.5712592322421797</v>
      </c>
      <c r="AV1122" s="95">
        <v>3.9084090011843702</v>
      </c>
      <c r="AW1122" s="95">
        <v>5.7034976152623198</v>
      </c>
      <c r="AX1122" s="95">
        <v>5.8563134978229296</v>
      </c>
      <c r="AY1122" s="95">
        <v>5.4744525547445297</v>
      </c>
      <c r="AZ1122" s="95">
        <v>5.8104461025559599</v>
      </c>
      <c r="BA1122" s="95">
        <v>5.9829059829059803</v>
      </c>
      <c r="BB1122" s="95">
        <v>5.5555555555555598</v>
      </c>
      <c r="BC1122" s="95">
        <v>5.0495942290351703</v>
      </c>
      <c r="BD1122" s="95">
        <v>5.8913326171764604</v>
      </c>
      <c r="BE1122" s="95">
        <v>3.7931034482758599</v>
      </c>
    </row>
    <row r="1123" spans="2:57" ht="15" customHeight="1" x14ac:dyDescent="0.25">
      <c r="B1123" s="91">
        <v>1113</v>
      </c>
      <c r="C1123" s="92" t="s">
        <v>503</v>
      </c>
      <c r="D1123" s="92" t="s">
        <v>85</v>
      </c>
      <c r="E1123" s="92" t="s">
        <v>417</v>
      </c>
      <c r="F1123" s="92"/>
      <c r="G1123" s="93" t="s">
        <v>502</v>
      </c>
      <c r="H1123" s="94">
        <v>28552</v>
      </c>
      <c r="I1123" s="94">
        <v>20448</v>
      </c>
      <c r="J1123" s="94">
        <v>8104</v>
      </c>
      <c r="K1123" s="94">
        <v>2549</v>
      </c>
      <c r="L1123" s="94">
        <v>9060</v>
      </c>
      <c r="M1123" s="94">
        <v>14141</v>
      </c>
      <c r="N1123" s="94">
        <v>2802</v>
      </c>
      <c r="O1123" s="94">
        <v>26242</v>
      </c>
      <c r="P1123" s="94">
        <v>2310</v>
      </c>
      <c r="Q1123" s="95">
        <v>0.475069027123599</v>
      </c>
      <c r="R1123" s="95">
        <v>0.32249096469279998</v>
      </c>
      <c r="S1123" s="95">
        <v>0.88815294294746305</v>
      </c>
      <c r="T1123" s="95">
        <v>0.38572806171648999</v>
      </c>
      <c r="U1123" s="95">
        <v>0.55851409273931696</v>
      </c>
      <c r="V1123" s="95">
        <v>0.47572972101274003</v>
      </c>
      <c r="W1123" s="95">
        <v>0.28536485935589101</v>
      </c>
      <c r="X1123" s="95">
        <v>0.51469294386767594</v>
      </c>
      <c r="Y1123" s="95">
        <v>0</v>
      </c>
      <c r="Z1123" s="94">
        <v>35616</v>
      </c>
      <c r="AA1123" s="94">
        <v>23109</v>
      </c>
      <c r="AB1123" s="94">
        <v>12507</v>
      </c>
      <c r="AC1123" s="94">
        <v>2529</v>
      </c>
      <c r="AD1123" s="94">
        <v>10725</v>
      </c>
      <c r="AE1123" s="94">
        <v>18296</v>
      </c>
      <c r="AF1123" s="94">
        <v>4066</v>
      </c>
      <c r="AG1123" s="94">
        <v>19367</v>
      </c>
      <c r="AH1123" s="94">
        <v>15380</v>
      </c>
      <c r="AI1123" s="94">
        <v>869</v>
      </c>
      <c r="AJ1123" s="94">
        <v>33746</v>
      </c>
      <c r="AK1123" s="94">
        <v>1645</v>
      </c>
      <c r="AL1123" s="94">
        <v>225</v>
      </c>
      <c r="AM1123" s="94">
        <v>1805</v>
      </c>
      <c r="AN1123" s="94">
        <v>33174</v>
      </c>
      <c r="AO1123" s="94">
        <v>637</v>
      </c>
      <c r="AP1123" s="95">
        <v>1.8050433270366699</v>
      </c>
      <c r="AQ1123" s="95">
        <v>0.62976315429197305</v>
      </c>
      <c r="AR1123" s="95">
        <v>4.0566532610596298</v>
      </c>
      <c r="AS1123" s="95">
        <v>1.7498932991890701</v>
      </c>
      <c r="AT1123" s="95">
        <v>2.4281667341157398</v>
      </c>
      <c r="AU1123" s="95">
        <v>1.68428388895342</v>
      </c>
      <c r="AV1123" s="95">
        <v>0.79365079365079405</v>
      </c>
      <c r="AW1123" s="95">
        <v>1.9778046368530899</v>
      </c>
      <c r="AX1123" s="95">
        <v>1.6225626740947099</v>
      </c>
      <c r="AY1123" s="95">
        <v>1.14068441064639</v>
      </c>
      <c r="AZ1123" s="95">
        <v>1.8925847390575099</v>
      </c>
      <c r="BA1123" s="95">
        <v>0.193798449612403</v>
      </c>
      <c r="BB1123" s="95">
        <v>0.485436893203883</v>
      </c>
      <c r="BC1123" s="95">
        <v>1.2117714945181799</v>
      </c>
      <c r="BD1123" s="95">
        <v>1.84725490828202</v>
      </c>
      <c r="BE1123" s="95">
        <v>1.3355592654424</v>
      </c>
    </row>
    <row r="1124" spans="2:57" ht="15" customHeight="1" x14ac:dyDescent="0.25">
      <c r="B1124" s="96">
        <v>1114</v>
      </c>
      <c r="C1124" s="97" t="s">
        <v>504</v>
      </c>
      <c r="D1124" s="104" t="s">
        <v>85</v>
      </c>
      <c r="E1124" s="104" t="s">
        <v>417</v>
      </c>
      <c r="F1124" s="104" t="s">
        <v>74</v>
      </c>
      <c r="G1124" s="105" t="s">
        <v>74</v>
      </c>
      <c r="H1124" s="106">
        <v>2032</v>
      </c>
      <c r="I1124" s="106">
        <v>1568</v>
      </c>
      <c r="J1124" s="106">
        <v>464</v>
      </c>
      <c r="K1124" s="106">
        <v>108</v>
      </c>
      <c r="L1124" s="106">
        <v>568</v>
      </c>
      <c r="M1124" s="106">
        <v>1094</v>
      </c>
      <c r="N1124" s="106">
        <v>262</v>
      </c>
      <c r="O1124" s="106">
        <v>2021</v>
      </c>
      <c r="P1124" s="106">
        <v>11</v>
      </c>
      <c r="Q1124" s="107">
        <v>0.91594827586206895</v>
      </c>
      <c r="R1124" s="107">
        <v>0.277585010409438</v>
      </c>
      <c r="S1124" s="107">
        <v>3.1325301204819298</v>
      </c>
      <c r="T1124" s="107">
        <v>0</v>
      </c>
      <c r="U1124" s="107">
        <v>0.98231827111984305</v>
      </c>
      <c r="V1124" s="107">
        <v>1.0934393638171001</v>
      </c>
      <c r="W1124" s="107">
        <v>0.41152263374485598</v>
      </c>
      <c r="X1124" s="107">
        <v>0.91891891891891897</v>
      </c>
      <c r="Y1124" s="107">
        <v>0</v>
      </c>
      <c r="Z1124" s="106">
        <v>2785</v>
      </c>
      <c r="AA1124" s="106">
        <v>1702</v>
      </c>
      <c r="AB1124" s="106">
        <v>1083</v>
      </c>
      <c r="AC1124" s="106">
        <v>156</v>
      </c>
      <c r="AD1124" s="106">
        <v>663</v>
      </c>
      <c r="AE1124" s="106">
        <v>1549</v>
      </c>
      <c r="AF1124" s="106">
        <v>417</v>
      </c>
      <c r="AG1124" s="106">
        <v>1690</v>
      </c>
      <c r="AH1124" s="106">
        <v>1068</v>
      </c>
      <c r="AI1124" s="106">
        <v>27</v>
      </c>
      <c r="AJ1124" s="106">
        <v>2768</v>
      </c>
      <c r="AK1124" s="106">
        <v>4</v>
      </c>
      <c r="AL1124" s="106">
        <v>13</v>
      </c>
      <c r="AM1124" s="106">
        <v>162</v>
      </c>
      <c r="AN1124" s="106">
        <v>2590</v>
      </c>
      <c r="AO1124" s="106">
        <v>33</v>
      </c>
      <c r="AP1124" s="107">
        <v>2.0770392749244699</v>
      </c>
      <c r="AQ1124" s="107">
        <v>0.54644808743169404</v>
      </c>
      <c r="AR1124" s="107">
        <v>4.5954045954045997</v>
      </c>
      <c r="AS1124" s="107">
        <v>2.0408163265306101</v>
      </c>
      <c r="AT1124" s="107">
        <v>3.5031847133757998</v>
      </c>
      <c r="AU1124" s="107">
        <v>1.69952413324269</v>
      </c>
      <c r="AV1124" s="107">
        <v>1.24378109452736</v>
      </c>
      <c r="AW1124" s="107">
        <v>1.8125</v>
      </c>
      <c r="AX1124" s="107">
        <v>2.5390625</v>
      </c>
      <c r="AY1124" s="107">
        <v>0</v>
      </c>
      <c r="AZ1124" s="107">
        <v>2.0904599011782601</v>
      </c>
      <c r="BA1124" s="107">
        <v>0</v>
      </c>
      <c r="BB1124" s="107">
        <v>0</v>
      </c>
      <c r="BC1124" s="107">
        <v>0.632911392405063</v>
      </c>
      <c r="BD1124" s="107">
        <v>2.1969080553295401</v>
      </c>
      <c r="BE1124" s="107">
        <v>0</v>
      </c>
    </row>
    <row r="1125" spans="2:57" ht="15" customHeight="1" x14ac:dyDescent="0.25">
      <c r="B1125" s="91">
        <v>1115</v>
      </c>
      <c r="C1125" s="92" t="s">
        <v>504</v>
      </c>
      <c r="D1125" s="92" t="s">
        <v>85</v>
      </c>
      <c r="E1125" s="92" t="s">
        <v>417</v>
      </c>
      <c r="F1125" s="92" t="s">
        <v>74</v>
      </c>
      <c r="G1125" s="101" t="s">
        <v>501</v>
      </c>
      <c r="H1125" s="94">
        <v>0</v>
      </c>
      <c r="I1125" s="94">
        <v>0</v>
      </c>
      <c r="J1125" s="94">
        <v>0</v>
      </c>
      <c r="K1125" s="94">
        <v>0</v>
      </c>
      <c r="L1125" s="94">
        <v>0</v>
      </c>
      <c r="M1125" s="94">
        <v>0</v>
      </c>
      <c r="N1125" s="94">
        <v>0</v>
      </c>
      <c r="O1125" s="94">
        <v>0</v>
      </c>
      <c r="P1125" s="94">
        <v>0</v>
      </c>
      <c r="Q1125" s="95">
        <v>0</v>
      </c>
      <c r="R1125" s="95">
        <v>0</v>
      </c>
      <c r="S1125" s="95">
        <v>0</v>
      </c>
      <c r="T1125" s="95">
        <v>0</v>
      </c>
      <c r="U1125" s="95">
        <v>0</v>
      </c>
      <c r="V1125" s="95">
        <v>0</v>
      </c>
      <c r="W1125" s="95">
        <v>0</v>
      </c>
      <c r="X1125" s="95">
        <v>0</v>
      </c>
      <c r="Y1125" s="95">
        <v>0</v>
      </c>
      <c r="Z1125" s="94">
        <v>0</v>
      </c>
      <c r="AA1125" s="94">
        <v>0</v>
      </c>
      <c r="AB1125" s="94">
        <v>0</v>
      </c>
      <c r="AC1125" s="94">
        <v>0</v>
      </c>
      <c r="AD1125" s="94">
        <v>0</v>
      </c>
      <c r="AE1125" s="94">
        <v>0</v>
      </c>
      <c r="AF1125" s="94">
        <v>0</v>
      </c>
      <c r="AG1125" s="94">
        <v>0</v>
      </c>
      <c r="AH1125" s="94">
        <v>0</v>
      </c>
      <c r="AI1125" s="94">
        <v>0</v>
      </c>
      <c r="AJ1125" s="94">
        <v>0</v>
      </c>
      <c r="AK1125" s="94">
        <v>0</v>
      </c>
      <c r="AL1125" s="94">
        <v>0</v>
      </c>
      <c r="AM1125" s="94">
        <v>0</v>
      </c>
      <c r="AN1125" s="94">
        <v>0</v>
      </c>
      <c r="AO1125" s="94">
        <v>0</v>
      </c>
      <c r="AP1125" s="95">
        <v>0</v>
      </c>
      <c r="AQ1125" s="95">
        <v>0</v>
      </c>
      <c r="AR1125" s="95">
        <v>0</v>
      </c>
      <c r="AS1125" s="95">
        <v>0</v>
      </c>
      <c r="AT1125" s="95">
        <v>0</v>
      </c>
      <c r="AU1125" s="95">
        <v>0</v>
      </c>
      <c r="AV1125" s="95">
        <v>0</v>
      </c>
      <c r="AW1125" s="95">
        <v>0</v>
      </c>
      <c r="AX1125" s="95">
        <v>0</v>
      </c>
      <c r="AY1125" s="95">
        <v>0</v>
      </c>
      <c r="AZ1125" s="95">
        <v>0</v>
      </c>
      <c r="BA1125" s="95">
        <v>0</v>
      </c>
      <c r="BB1125" s="95">
        <v>0</v>
      </c>
      <c r="BC1125" s="95">
        <v>0</v>
      </c>
      <c r="BD1125" s="95">
        <v>0</v>
      </c>
      <c r="BE1125" s="95">
        <v>0</v>
      </c>
    </row>
    <row r="1126" spans="2:57" ht="15" customHeight="1" x14ac:dyDescent="0.25">
      <c r="B1126" s="91">
        <v>1116</v>
      </c>
      <c r="C1126" s="92" t="s">
        <v>504</v>
      </c>
      <c r="D1126" s="92" t="s">
        <v>85</v>
      </c>
      <c r="E1126" s="92" t="s">
        <v>417</v>
      </c>
      <c r="F1126" s="92" t="s">
        <v>74</v>
      </c>
      <c r="G1126" s="101" t="s">
        <v>502</v>
      </c>
      <c r="H1126" s="94">
        <v>2032</v>
      </c>
      <c r="I1126" s="94">
        <v>1568</v>
      </c>
      <c r="J1126" s="94">
        <v>464</v>
      </c>
      <c r="K1126" s="94">
        <v>108</v>
      </c>
      <c r="L1126" s="94">
        <v>568</v>
      </c>
      <c r="M1126" s="94">
        <v>1094</v>
      </c>
      <c r="N1126" s="94">
        <v>262</v>
      </c>
      <c r="O1126" s="94">
        <v>2021</v>
      </c>
      <c r="P1126" s="94">
        <v>11</v>
      </c>
      <c r="Q1126" s="95">
        <v>0.91594827586206895</v>
      </c>
      <c r="R1126" s="95">
        <v>0.277585010409438</v>
      </c>
      <c r="S1126" s="95">
        <v>3.1325301204819298</v>
      </c>
      <c r="T1126" s="95">
        <v>0</v>
      </c>
      <c r="U1126" s="95">
        <v>0.98231827111984305</v>
      </c>
      <c r="V1126" s="95">
        <v>1.0934393638171001</v>
      </c>
      <c r="W1126" s="95">
        <v>0.41152263374485598</v>
      </c>
      <c r="X1126" s="95">
        <v>0.91891891891891897</v>
      </c>
      <c r="Y1126" s="95">
        <v>0</v>
      </c>
      <c r="Z1126" s="94">
        <v>2785</v>
      </c>
      <c r="AA1126" s="94">
        <v>1702</v>
      </c>
      <c r="AB1126" s="94">
        <v>1083</v>
      </c>
      <c r="AC1126" s="94">
        <v>156</v>
      </c>
      <c r="AD1126" s="94">
        <v>663</v>
      </c>
      <c r="AE1126" s="94">
        <v>1549</v>
      </c>
      <c r="AF1126" s="94">
        <v>417</v>
      </c>
      <c r="AG1126" s="94">
        <v>1690</v>
      </c>
      <c r="AH1126" s="94">
        <v>1068</v>
      </c>
      <c r="AI1126" s="94">
        <v>27</v>
      </c>
      <c r="AJ1126" s="94">
        <v>2768</v>
      </c>
      <c r="AK1126" s="94">
        <v>4</v>
      </c>
      <c r="AL1126" s="94">
        <v>13</v>
      </c>
      <c r="AM1126" s="94">
        <v>162</v>
      </c>
      <c r="AN1126" s="94">
        <v>2590</v>
      </c>
      <c r="AO1126" s="94">
        <v>33</v>
      </c>
      <c r="AP1126" s="95">
        <v>2.0770392749244699</v>
      </c>
      <c r="AQ1126" s="95">
        <v>0.54644808743169404</v>
      </c>
      <c r="AR1126" s="95">
        <v>4.5954045954045997</v>
      </c>
      <c r="AS1126" s="95">
        <v>2.0408163265306101</v>
      </c>
      <c r="AT1126" s="95">
        <v>3.5031847133757998</v>
      </c>
      <c r="AU1126" s="95">
        <v>1.69952413324269</v>
      </c>
      <c r="AV1126" s="95">
        <v>1.24378109452736</v>
      </c>
      <c r="AW1126" s="95">
        <v>1.8125</v>
      </c>
      <c r="AX1126" s="95">
        <v>2.5390625</v>
      </c>
      <c r="AY1126" s="95">
        <v>0</v>
      </c>
      <c r="AZ1126" s="95">
        <v>2.0904599011782601</v>
      </c>
      <c r="BA1126" s="95">
        <v>0</v>
      </c>
      <c r="BB1126" s="95">
        <v>0</v>
      </c>
      <c r="BC1126" s="95">
        <v>0.632911392405063</v>
      </c>
      <c r="BD1126" s="95">
        <v>2.1969080553295401</v>
      </c>
      <c r="BE1126" s="95">
        <v>0</v>
      </c>
    </row>
    <row r="1127" spans="2:57" ht="15" customHeight="1" x14ac:dyDescent="0.25">
      <c r="B1127" s="96">
        <v>1117</v>
      </c>
      <c r="C1127" s="97" t="s">
        <v>504</v>
      </c>
      <c r="D1127" s="104" t="s">
        <v>85</v>
      </c>
      <c r="E1127" s="104" t="s">
        <v>417</v>
      </c>
      <c r="F1127" s="104" t="s">
        <v>482</v>
      </c>
      <c r="G1127" s="105" t="s">
        <v>482</v>
      </c>
      <c r="H1127" s="106">
        <v>11230</v>
      </c>
      <c r="I1127" s="106">
        <v>7820</v>
      </c>
      <c r="J1127" s="106">
        <v>3410</v>
      </c>
      <c r="K1127" s="106">
        <v>955</v>
      </c>
      <c r="L1127" s="106">
        <v>3528</v>
      </c>
      <c r="M1127" s="106">
        <v>5713</v>
      </c>
      <c r="N1127" s="106">
        <v>1034</v>
      </c>
      <c r="O1127" s="106">
        <v>9710</v>
      </c>
      <c r="P1127" s="106">
        <v>1520</v>
      </c>
      <c r="Q1127" s="107">
        <v>0.66786812254850003</v>
      </c>
      <c r="R1127" s="107">
        <v>0.56154869218265102</v>
      </c>
      <c r="S1127" s="107">
        <v>0.93773443360840203</v>
      </c>
      <c r="T1127" s="107">
        <v>0.55325034578146604</v>
      </c>
      <c r="U1127" s="107">
        <v>0.68493150684931503</v>
      </c>
      <c r="V1127" s="107">
        <v>0.73499387505104097</v>
      </c>
      <c r="W1127" s="107">
        <v>0.33632286995515698</v>
      </c>
      <c r="X1127" s="107">
        <v>0.76391415060021794</v>
      </c>
      <c r="Y1127" s="107">
        <v>0</v>
      </c>
      <c r="Z1127" s="106">
        <v>14568</v>
      </c>
      <c r="AA1127" s="106">
        <v>9325</v>
      </c>
      <c r="AB1127" s="106">
        <v>5243</v>
      </c>
      <c r="AC1127" s="106">
        <v>1055</v>
      </c>
      <c r="AD1127" s="106">
        <v>4410</v>
      </c>
      <c r="AE1127" s="106">
        <v>7560</v>
      </c>
      <c r="AF1127" s="106">
        <v>1543</v>
      </c>
      <c r="AG1127" s="106">
        <v>9067</v>
      </c>
      <c r="AH1127" s="106">
        <v>5142</v>
      </c>
      <c r="AI1127" s="106">
        <v>359</v>
      </c>
      <c r="AJ1127" s="106">
        <v>13456</v>
      </c>
      <c r="AK1127" s="106">
        <v>1027</v>
      </c>
      <c r="AL1127" s="106">
        <v>85</v>
      </c>
      <c r="AM1127" s="106">
        <v>663</v>
      </c>
      <c r="AN1127" s="106">
        <v>13654</v>
      </c>
      <c r="AO1127" s="106">
        <v>251</v>
      </c>
      <c r="AP1127" s="107">
        <v>2.05041522745646</v>
      </c>
      <c r="AQ1127" s="107">
        <v>0.86021505376344098</v>
      </c>
      <c r="AR1127" s="107">
        <v>4.2539815590947203</v>
      </c>
      <c r="AS1127" s="107">
        <v>1.84804928131417</v>
      </c>
      <c r="AT1127" s="107">
        <v>2.7627035027133702</v>
      </c>
      <c r="AU1127" s="107">
        <v>1.8883878241262699</v>
      </c>
      <c r="AV1127" s="107">
        <v>1.0114632501685801</v>
      </c>
      <c r="AW1127" s="107">
        <v>2.2850412249705498</v>
      </c>
      <c r="AX1127" s="107">
        <v>1.73386254439106</v>
      </c>
      <c r="AY1127" s="107">
        <v>0.60606060606060597</v>
      </c>
      <c r="AZ1127" s="107">
        <v>2.18740057270124</v>
      </c>
      <c r="BA1127" s="107">
        <v>0.31185031185031198</v>
      </c>
      <c r="BB1127" s="107">
        <v>1.3698630136986301</v>
      </c>
      <c r="BC1127" s="107">
        <v>2.1943573667711598</v>
      </c>
      <c r="BD1127" s="107">
        <v>2.06517471535139</v>
      </c>
      <c r="BE1127" s="107">
        <v>0.854700854700855</v>
      </c>
    </row>
    <row r="1128" spans="2:57" ht="15" customHeight="1" x14ac:dyDescent="0.25">
      <c r="B1128" s="91">
        <v>1118</v>
      </c>
      <c r="C1128" s="92" t="s">
        <v>504</v>
      </c>
      <c r="D1128" s="92" t="s">
        <v>85</v>
      </c>
      <c r="E1128" s="92" t="s">
        <v>417</v>
      </c>
      <c r="F1128" s="92" t="s">
        <v>482</v>
      </c>
      <c r="G1128" s="101" t="s">
        <v>501</v>
      </c>
      <c r="H1128" s="94">
        <v>1160</v>
      </c>
      <c r="I1128" s="94">
        <v>677</v>
      </c>
      <c r="J1128" s="94">
        <v>483</v>
      </c>
      <c r="K1128" s="94">
        <v>38</v>
      </c>
      <c r="L1128" s="94">
        <v>310</v>
      </c>
      <c r="M1128" s="94">
        <v>707</v>
      </c>
      <c r="N1128" s="94">
        <v>105</v>
      </c>
      <c r="O1128" s="94">
        <v>1150</v>
      </c>
      <c r="P1128" s="94">
        <v>10</v>
      </c>
      <c r="Q1128" s="95">
        <v>1.93986420950533</v>
      </c>
      <c r="R1128" s="95">
        <v>1.17845117845118</v>
      </c>
      <c r="S1128" s="95">
        <v>2.97482837528604</v>
      </c>
      <c r="T1128" s="95">
        <v>6.6666666666666696</v>
      </c>
      <c r="U1128" s="95">
        <v>2.2058823529411802</v>
      </c>
      <c r="V1128" s="95">
        <v>1.5698587127158601</v>
      </c>
      <c r="W1128" s="95">
        <v>2.1739130434782599</v>
      </c>
      <c r="X1128" s="95">
        <v>1.9588638589617999</v>
      </c>
      <c r="Y1128" s="95">
        <v>0</v>
      </c>
      <c r="Z1128" s="94">
        <v>2319</v>
      </c>
      <c r="AA1128" s="94">
        <v>1324</v>
      </c>
      <c r="AB1128" s="94">
        <v>995</v>
      </c>
      <c r="AC1128" s="94">
        <v>81</v>
      </c>
      <c r="AD1128" s="94">
        <v>626</v>
      </c>
      <c r="AE1128" s="94">
        <v>1321</v>
      </c>
      <c r="AF1128" s="94">
        <v>291</v>
      </c>
      <c r="AG1128" s="94">
        <v>1227</v>
      </c>
      <c r="AH1128" s="94">
        <v>1078</v>
      </c>
      <c r="AI1128" s="94">
        <v>14</v>
      </c>
      <c r="AJ1128" s="94">
        <v>2294</v>
      </c>
      <c r="AK1128" s="94">
        <v>17</v>
      </c>
      <c r="AL1128" s="94">
        <v>8</v>
      </c>
      <c r="AM1128" s="94">
        <v>112</v>
      </c>
      <c r="AN1128" s="94">
        <v>2182</v>
      </c>
      <c r="AO1128" s="94">
        <v>25</v>
      </c>
      <c r="AP1128" s="95">
        <v>5.4637281910009197</v>
      </c>
      <c r="AQ1128" s="95">
        <v>2.3218574859887902</v>
      </c>
      <c r="AR1128" s="95">
        <v>9.6878363832077508</v>
      </c>
      <c r="AS1128" s="95">
        <v>9.3333333333333304</v>
      </c>
      <c r="AT1128" s="95">
        <v>7.00525394045534</v>
      </c>
      <c r="AU1128" s="95">
        <v>5.0119331742243398</v>
      </c>
      <c r="AV1128" s="95">
        <v>3.2727272727272698</v>
      </c>
      <c r="AW1128" s="95">
        <v>4.95221546481321</v>
      </c>
      <c r="AX1128" s="95">
        <v>5.9113300492610801</v>
      </c>
      <c r="AY1128" s="95">
        <v>16.6666666666667</v>
      </c>
      <c r="AZ1128" s="95">
        <v>5.4292343387470998</v>
      </c>
      <c r="BA1128" s="95">
        <v>12.5</v>
      </c>
      <c r="BB1128" s="95">
        <v>0</v>
      </c>
      <c r="BC1128" s="95">
        <v>3.7037037037037002</v>
      </c>
      <c r="BD1128" s="95">
        <v>5.517578125</v>
      </c>
      <c r="BE1128" s="95">
        <v>9.0909090909090899</v>
      </c>
    </row>
    <row r="1129" spans="2:57" ht="15" customHeight="1" x14ac:dyDescent="0.25">
      <c r="B1129" s="91">
        <v>1119</v>
      </c>
      <c r="C1129" s="92" t="s">
        <v>504</v>
      </c>
      <c r="D1129" s="92" t="s">
        <v>85</v>
      </c>
      <c r="E1129" s="92" t="s">
        <v>417</v>
      </c>
      <c r="F1129" s="92" t="s">
        <v>482</v>
      </c>
      <c r="G1129" s="101" t="s">
        <v>502</v>
      </c>
      <c r="H1129" s="94">
        <v>10070</v>
      </c>
      <c r="I1129" s="94">
        <v>7143</v>
      </c>
      <c r="J1129" s="94">
        <v>2927</v>
      </c>
      <c r="K1129" s="94">
        <v>917</v>
      </c>
      <c r="L1129" s="94">
        <v>3218</v>
      </c>
      <c r="M1129" s="94">
        <v>5006</v>
      </c>
      <c r="N1129" s="94">
        <v>929</v>
      </c>
      <c r="O1129" s="94">
        <v>8560</v>
      </c>
      <c r="P1129" s="94">
        <v>1510</v>
      </c>
      <c r="Q1129" s="95">
        <v>0.51178290883123101</v>
      </c>
      <c r="R1129" s="95">
        <v>0.50218694313947798</v>
      </c>
      <c r="S1129" s="95">
        <v>0.53835800807537004</v>
      </c>
      <c r="T1129" s="95">
        <v>0.28860028860028902</v>
      </c>
      <c r="U1129" s="95">
        <v>0.52870090634441103</v>
      </c>
      <c r="V1129" s="95">
        <v>0.61018540248767905</v>
      </c>
      <c r="W1129" s="95">
        <v>0.125</v>
      </c>
      <c r="X1129" s="95">
        <v>0.59507334624965402</v>
      </c>
      <c r="Y1129" s="95">
        <v>0</v>
      </c>
      <c r="Z1129" s="94">
        <v>12249</v>
      </c>
      <c r="AA1129" s="94">
        <v>8001</v>
      </c>
      <c r="AB1129" s="94">
        <v>4248</v>
      </c>
      <c r="AC1129" s="94">
        <v>974</v>
      </c>
      <c r="AD1129" s="94">
        <v>3784</v>
      </c>
      <c r="AE1129" s="94">
        <v>6239</v>
      </c>
      <c r="AF1129" s="94">
        <v>1252</v>
      </c>
      <c r="AG1129" s="94">
        <v>7840</v>
      </c>
      <c r="AH1129" s="94">
        <v>4064</v>
      </c>
      <c r="AI1129" s="94">
        <v>345</v>
      </c>
      <c r="AJ1129" s="94">
        <v>11162</v>
      </c>
      <c r="AK1129" s="94">
        <v>1010</v>
      </c>
      <c r="AL1129" s="94">
        <v>77</v>
      </c>
      <c r="AM1129" s="94">
        <v>551</v>
      </c>
      <c r="AN1129" s="94">
        <v>11472</v>
      </c>
      <c r="AO1129" s="94">
        <v>226</v>
      </c>
      <c r="AP1129" s="95">
        <v>1.39994750196868</v>
      </c>
      <c r="AQ1129" s="95">
        <v>0.619562351700501</v>
      </c>
      <c r="AR1129" s="95">
        <v>2.9404111371324499</v>
      </c>
      <c r="AS1129" s="95">
        <v>1.2235817575083401</v>
      </c>
      <c r="AT1129" s="95">
        <v>2.0671834625323</v>
      </c>
      <c r="AU1129" s="95">
        <v>1.21596163726666</v>
      </c>
      <c r="AV1129" s="95">
        <v>0.49668874172185401</v>
      </c>
      <c r="AW1129" s="95">
        <v>1.8667393377844399</v>
      </c>
      <c r="AX1129" s="95">
        <v>0.60975609756097604</v>
      </c>
      <c r="AY1129" s="95">
        <v>0</v>
      </c>
      <c r="AZ1129" s="95">
        <v>1.5167514639531501</v>
      </c>
      <c r="BA1129" s="95">
        <v>0.105708245243129</v>
      </c>
      <c r="BB1129" s="95">
        <v>1.51515151515152</v>
      </c>
      <c r="BC1129" s="95">
        <v>1.88679245283019</v>
      </c>
      <c r="BD1129" s="95">
        <v>1.4035744362309299</v>
      </c>
      <c r="BE1129" s="95">
        <v>0</v>
      </c>
    </row>
    <row r="1130" spans="2:57" ht="15" customHeight="1" x14ac:dyDescent="0.25">
      <c r="B1130" s="96">
        <v>1120</v>
      </c>
      <c r="C1130" s="97" t="s">
        <v>504</v>
      </c>
      <c r="D1130" s="104" t="s">
        <v>85</v>
      </c>
      <c r="E1130" s="104" t="s">
        <v>417</v>
      </c>
      <c r="F1130" s="104" t="s">
        <v>250</v>
      </c>
      <c r="G1130" s="105" t="s">
        <v>250</v>
      </c>
      <c r="H1130" s="106">
        <v>11459</v>
      </c>
      <c r="I1130" s="106">
        <v>8033</v>
      </c>
      <c r="J1130" s="106">
        <v>3426</v>
      </c>
      <c r="K1130" s="106">
        <v>1154</v>
      </c>
      <c r="L1130" s="106">
        <v>3857</v>
      </c>
      <c r="M1130" s="106">
        <v>5504</v>
      </c>
      <c r="N1130" s="106">
        <v>944</v>
      </c>
      <c r="O1130" s="106">
        <v>10675</v>
      </c>
      <c r="P1130" s="106">
        <v>784</v>
      </c>
      <c r="Q1130" s="107">
        <v>0.47647409172126298</v>
      </c>
      <c r="R1130" s="107">
        <v>0.19701660568533599</v>
      </c>
      <c r="S1130" s="107">
        <v>1.1455525606468999</v>
      </c>
      <c r="T1130" s="107">
        <v>0.51020408163265296</v>
      </c>
      <c r="U1130" s="107">
        <v>0.59826503140891396</v>
      </c>
      <c r="V1130" s="107">
        <v>0.42717656631407602</v>
      </c>
      <c r="W1130" s="107">
        <v>0.239520958083832</v>
      </c>
      <c r="X1130" s="107">
        <v>0.50186865990389795</v>
      </c>
      <c r="Y1130" s="107">
        <v>0.141043723554302</v>
      </c>
      <c r="Z1130" s="106">
        <v>14829</v>
      </c>
      <c r="AA1130" s="106">
        <v>9792</v>
      </c>
      <c r="AB1130" s="106">
        <v>5037</v>
      </c>
      <c r="AC1130" s="106">
        <v>1036</v>
      </c>
      <c r="AD1130" s="106">
        <v>4576</v>
      </c>
      <c r="AE1130" s="106">
        <v>7753</v>
      </c>
      <c r="AF1130" s="106">
        <v>1464</v>
      </c>
      <c r="AG1130" s="106">
        <v>3938</v>
      </c>
      <c r="AH1130" s="106">
        <v>10462</v>
      </c>
      <c r="AI1130" s="106">
        <v>429</v>
      </c>
      <c r="AJ1130" s="106">
        <v>14219</v>
      </c>
      <c r="AK1130" s="106">
        <v>524</v>
      </c>
      <c r="AL1130" s="106">
        <v>86</v>
      </c>
      <c r="AM1130" s="106">
        <v>715</v>
      </c>
      <c r="AN1130" s="106">
        <v>13872</v>
      </c>
      <c r="AO1130" s="106">
        <v>242</v>
      </c>
      <c r="AP1130" s="107">
        <v>2.9339321935670801</v>
      </c>
      <c r="AQ1130" s="107">
        <v>0.87900162778079205</v>
      </c>
      <c r="AR1130" s="107">
        <v>7.0603617345826999</v>
      </c>
      <c r="AS1130" s="107">
        <v>3.81760339342524</v>
      </c>
      <c r="AT1130" s="107">
        <v>3.0028598665395601</v>
      </c>
      <c r="AU1130" s="107">
        <v>2.9973875979650799</v>
      </c>
      <c r="AV1130" s="107">
        <v>1.7959770114942499</v>
      </c>
      <c r="AW1130" s="107">
        <v>3.89009793253536</v>
      </c>
      <c r="AX1130" s="107">
        <v>2.55620572836464</v>
      </c>
      <c r="AY1130" s="107">
        <v>3.3591731266149898</v>
      </c>
      <c r="AZ1130" s="107">
        <v>3.0479503857207702</v>
      </c>
      <c r="BA1130" s="107">
        <v>0.399201596806387</v>
      </c>
      <c r="BB1130" s="107">
        <v>0</v>
      </c>
      <c r="BC1130" s="107">
        <v>2.2123893805309698</v>
      </c>
      <c r="BD1130" s="107">
        <v>2.9468786351299001</v>
      </c>
      <c r="BE1130" s="107">
        <v>4.3290043290043299</v>
      </c>
    </row>
    <row r="1131" spans="2:57" ht="15" customHeight="1" x14ac:dyDescent="0.25">
      <c r="B1131" s="91">
        <v>1121</v>
      </c>
      <c r="C1131" s="92" t="s">
        <v>504</v>
      </c>
      <c r="D1131" s="92" t="s">
        <v>85</v>
      </c>
      <c r="E1131" s="92" t="s">
        <v>417</v>
      </c>
      <c r="F1131" s="92" t="s">
        <v>250</v>
      </c>
      <c r="G1131" s="101" t="s">
        <v>501</v>
      </c>
      <c r="H1131" s="94">
        <v>1898</v>
      </c>
      <c r="I1131" s="94">
        <v>1213</v>
      </c>
      <c r="J1131" s="94">
        <v>685</v>
      </c>
      <c r="K1131" s="94">
        <v>130</v>
      </c>
      <c r="L1131" s="94">
        <v>568</v>
      </c>
      <c r="M1131" s="94">
        <v>1061</v>
      </c>
      <c r="N1131" s="94">
        <v>139</v>
      </c>
      <c r="O1131" s="94">
        <v>1892</v>
      </c>
      <c r="P1131" s="94">
        <v>6</v>
      </c>
      <c r="Q1131" s="95">
        <v>1.4634146341463401</v>
      </c>
      <c r="R1131" s="95">
        <v>0.67763794772507302</v>
      </c>
      <c r="S1131" s="95">
        <v>2.8006589785832001</v>
      </c>
      <c r="T1131" s="95">
        <v>2.8037383177570101</v>
      </c>
      <c r="U1131" s="95">
        <v>1.25260960334029</v>
      </c>
      <c r="V1131" s="95">
        <v>1.3888888888888899</v>
      </c>
      <c r="W1131" s="95">
        <v>1.6949152542372901</v>
      </c>
      <c r="X1131" s="95">
        <v>1.40672782874618</v>
      </c>
      <c r="Y1131" s="95">
        <v>20</v>
      </c>
      <c r="Z1131" s="94">
        <v>3861</v>
      </c>
      <c r="AA1131" s="94">
        <v>2317</v>
      </c>
      <c r="AB1131" s="94">
        <v>1544</v>
      </c>
      <c r="AC1131" s="94">
        <v>209</v>
      </c>
      <c r="AD1131" s="94">
        <v>1234</v>
      </c>
      <c r="AE1131" s="94">
        <v>2081</v>
      </c>
      <c r="AF1131" s="94">
        <v>337</v>
      </c>
      <c r="AG1131" s="94">
        <v>1171</v>
      </c>
      <c r="AH1131" s="94">
        <v>2584</v>
      </c>
      <c r="AI1131" s="94">
        <v>106</v>
      </c>
      <c r="AJ1131" s="94">
        <v>3826</v>
      </c>
      <c r="AK1131" s="94">
        <v>21</v>
      </c>
      <c r="AL1131" s="94">
        <v>14</v>
      </c>
      <c r="AM1131" s="94">
        <v>187</v>
      </c>
      <c r="AN1131" s="94">
        <v>3563</v>
      </c>
      <c r="AO1131" s="94">
        <v>111</v>
      </c>
      <c r="AP1131" s="95">
        <v>6.3572433192686404</v>
      </c>
      <c r="AQ1131" s="95">
        <v>2.1687883074021701</v>
      </c>
      <c r="AR1131" s="95">
        <v>12.5523012552301</v>
      </c>
      <c r="AS1131" s="95">
        <v>9.8445595854922292</v>
      </c>
      <c r="AT1131" s="95">
        <v>6.2949640287769801</v>
      </c>
      <c r="AU1131" s="95">
        <v>6.1139896373056999</v>
      </c>
      <c r="AV1131" s="95">
        <v>5.9375</v>
      </c>
      <c r="AW1131" s="95">
        <v>7.4005550416281203</v>
      </c>
      <c r="AX1131" s="95">
        <v>5.9368421052631604</v>
      </c>
      <c r="AY1131" s="95">
        <v>5.0505050505050502</v>
      </c>
      <c r="AZ1131" s="95">
        <v>6.4131668558456303</v>
      </c>
      <c r="BA1131" s="95">
        <v>0</v>
      </c>
      <c r="BB1131" s="95">
        <v>0</v>
      </c>
      <c r="BC1131" s="95">
        <v>7.1823204419889501</v>
      </c>
      <c r="BD1131" s="95">
        <v>6.3953488372093004</v>
      </c>
      <c r="BE1131" s="95">
        <v>3.7735849056603801</v>
      </c>
    </row>
    <row r="1132" spans="2:57" ht="15" customHeight="1" x14ac:dyDescent="0.25">
      <c r="B1132" s="91">
        <v>1122</v>
      </c>
      <c r="C1132" s="92" t="s">
        <v>504</v>
      </c>
      <c r="D1132" s="92" t="s">
        <v>85</v>
      </c>
      <c r="E1132" s="92" t="s">
        <v>417</v>
      </c>
      <c r="F1132" s="92" t="s">
        <v>250</v>
      </c>
      <c r="G1132" s="101" t="s">
        <v>502</v>
      </c>
      <c r="H1132" s="94">
        <v>9561</v>
      </c>
      <c r="I1132" s="94">
        <v>6820</v>
      </c>
      <c r="J1132" s="94">
        <v>2741</v>
      </c>
      <c r="K1132" s="94">
        <v>1024</v>
      </c>
      <c r="L1132" s="94">
        <v>3289</v>
      </c>
      <c r="M1132" s="94">
        <v>4443</v>
      </c>
      <c r="N1132" s="94">
        <v>805</v>
      </c>
      <c r="O1132" s="94">
        <v>8783</v>
      </c>
      <c r="P1132" s="94">
        <v>778</v>
      </c>
      <c r="Q1132" s="95">
        <v>0.28456248517903698</v>
      </c>
      <c r="R1132" s="95">
        <v>0.11526428453812</v>
      </c>
      <c r="S1132" s="95">
        <v>0.72003388394748002</v>
      </c>
      <c r="T1132" s="95">
        <v>0.22909507445589899</v>
      </c>
      <c r="U1132" s="95">
        <v>0.488826815642458</v>
      </c>
      <c r="V1132" s="95">
        <v>0.20100502512562801</v>
      </c>
      <c r="W1132" s="95">
        <v>0</v>
      </c>
      <c r="X1132" s="95">
        <v>0.31047865459249702</v>
      </c>
      <c r="Y1132" s="95">
        <v>0</v>
      </c>
      <c r="Z1132" s="94">
        <v>10968</v>
      </c>
      <c r="AA1132" s="94">
        <v>7475</v>
      </c>
      <c r="AB1132" s="94">
        <v>3493</v>
      </c>
      <c r="AC1132" s="94">
        <v>827</v>
      </c>
      <c r="AD1132" s="94">
        <v>3342</v>
      </c>
      <c r="AE1132" s="94">
        <v>5672</v>
      </c>
      <c r="AF1132" s="94">
        <v>1127</v>
      </c>
      <c r="AG1132" s="94">
        <v>2767</v>
      </c>
      <c r="AH1132" s="94">
        <v>7878</v>
      </c>
      <c r="AI1132" s="94">
        <v>323</v>
      </c>
      <c r="AJ1132" s="94">
        <v>10393</v>
      </c>
      <c r="AK1132" s="94">
        <v>503</v>
      </c>
      <c r="AL1132" s="94">
        <v>72</v>
      </c>
      <c r="AM1132" s="94">
        <v>528</v>
      </c>
      <c r="AN1132" s="94">
        <v>10309</v>
      </c>
      <c r="AO1132" s="94">
        <v>131</v>
      </c>
      <c r="AP1132" s="95">
        <v>1.7465118548151</v>
      </c>
      <c r="AQ1132" s="95">
        <v>0.49337468283056102</v>
      </c>
      <c r="AR1132" s="95">
        <v>4.5641838351822503</v>
      </c>
      <c r="AS1132" s="95">
        <v>2.2666666666666702</v>
      </c>
      <c r="AT1132" s="95">
        <v>1.81582360570687</v>
      </c>
      <c r="AU1132" s="95">
        <v>1.8716077110237701</v>
      </c>
      <c r="AV1132" s="95">
        <v>0.55970149253731305</v>
      </c>
      <c r="AW1132" s="95">
        <v>2.4277456647398798</v>
      </c>
      <c r="AX1132" s="95">
        <v>1.4661960358403501</v>
      </c>
      <c r="AY1132" s="95">
        <v>2.7777777777777799</v>
      </c>
      <c r="AZ1132" s="95">
        <v>1.82511858115075</v>
      </c>
      <c r="BA1132" s="95">
        <v>0.41407867494824002</v>
      </c>
      <c r="BB1132" s="95">
        <v>0</v>
      </c>
      <c r="BC1132" s="95">
        <v>0.40241448692152898</v>
      </c>
      <c r="BD1132" s="95">
        <v>1.77625428482393</v>
      </c>
      <c r="BE1132" s="95">
        <v>4.8</v>
      </c>
    </row>
    <row r="1133" spans="2:57" ht="15" customHeight="1" x14ac:dyDescent="0.25">
      <c r="B1133" s="96">
        <v>1123</v>
      </c>
      <c r="C1133" s="97" t="s">
        <v>504</v>
      </c>
      <c r="D1133" s="104" t="s">
        <v>85</v>
      </c>
      <c r="E1133" s="104" t="s">
        <v>417</v>
      </c>
      <c r="F1133" s="104" t="s">
        <v>73</v>
      </c>
      <c r="G1133" s="105" t="s">
        <v>73</v>
      </c>
      <c r="H1133" s="106">
        <v>1806</v>
      </c>
      <c r="I1133" s="106">
        <v>1195</v>
      </c>
      <c r="J1133" s="106">
        <v>611</v>
      </c>
      <c r="K1133" s="106">
        <v>72</v>
      </c>
      <c r="L1133" s="106">
        <v>514</v>
      </c>
      <c r="M1133" s="106">
        <v>992</v>
      </c>
      <c r="N1133" s="106">
        <v>228</v>
      </c>
      <c r="O1133" s="106">
        <v>1804</v>
      </c>
      <c r="P1133" s="106">
        <v>2</v>
      </c>
      <c r="Q1133" s="107">
        <v>0.678175092478422</v>
      </c>
      <c r="R1133" s="107">
        <v>9.1996320147194097E-2</v>
      </c>
      <c r="S1133" s="107">
        <v>1.86915887850467</v>
      </c>
      <c r="T1133" s="107">
        <v>0</v>
      </c>
      <c r="U1133" s="107">
        <v>1.3303769401330401</v>
      </c>
      <c r="V1133" s="107">
        <v>0.55555555555555602</v>
      </c>
      <c r="W1133" s="107">
        <v>0</v>
      </c>
      <c r="X1133" s="107">
        <v>0.67901234567901203</v>
      </c>
      <c r="Y1133" s="107">
        <v>0</v>
      </c>
      <c r="Z1133" s="106">
        <v>2267</v>
      </c>
      <c r="AA1133" s="106">
        <v>1384</v>
      </c>
      <c r="AB1133" s="106">
        <v>883</v>
      </c>
      <c r="AC1133" s="106">
        <v>58</v>
      </c>
      <c r="AD1133" s="106">
        <v>635</v>
      </c>
      <c r="AE1133" s="106">
        <v>1248</v>
      </c>
      <c r="AF1133" s="106">
        <v>326</v>
      </c>
      <c r="AG1133" s="106">
        <v>888</v>
      </c>
      <c r="AH1133" s="106">
        <v>1340</v>
      </c>
      <c r="AI1133" s="106">
        <v>39</v>
      </c>
      <c r="AJ1133" s="106">
        <v>2260</v>
      </c>
      <c r="AK1133" s="106">
        <v>3</v>
      </c>
      <c r="AL1133" s="106">
        <v>4</v>
      </c>
      <c r="AM1133" s="106">
        <v>113</v>
      </c>
      <c r="AN1133" s="106">
        <v>2101</v>
      </c>
      <c r="AO1133" s="106">
        <v>53</v>
      </c>
      <c r="AP1133" s="107">
        <v>3.10296191819464</v>
      </c>
      <c r="AQ1133" s="107">
        <v>0.76277650648359996</v>
      </c>
      <c r="AR1133" s="107">
        <v>6.8627450980392197</v>
      </c>
      <c r="AS1133" s="107">
        <v>1.9607843137254899</v>
      </c>
      <c r="AT1133" s="107">
        <v>4.1237113402061896</v>
      </c>
      <c r="AU1133" s="107">
        <v>3.22033898305085</v>
      </c>
      <c r="AV1133" s="107">
        <v>0.95541401273885396</v>
      </c>
      <c r="AW1133" s="107">
        <v>2.1978021978022002</v>
      </c>
      <c r="AX1133" s="107">
        <v>3.7007874015748001</v>
      </c>
      <c r="AY1133" s="107">
        <v>2.6315789473684199</v>
      </c>
      <c r="AZ1133" s="107">
        <v>3.1102733270499501</v>
      </c>
      <c r="BA1133" s="107">
        <v>0</v>
      </c>
      <c r="BB1133" s="107">
        <v>0</v>
      </c>
      <c r="BC1133" s="107">
        <v>0</v>
      </c>
      <c r="BD1133" s="107">
        <v>3.30788804071247</v>
      </c>
      <c r="BE1133" s="107">
        <v>1.9607843137254899</v>
      </c>
    </row>
    <row r="1134" spans="2:57" ht="15" customHeight="1" x14ac:dyDescent="0.25">
      <c r="B1134" s="91">
        <v>1124</v>
      </c>
      <c r="C1134" s="92" t="s">
        <v>504</v>
      </c>
      <c r="D1134" s="92" t="s">
        <v>85</v>
      </c>
      <c r="E1134" s="92" t="s">
        <v>417</v>
      </c>
      <c r="F1134" s="92" t="s">
        <v>73</v>
      </c>
      <c r="G1134" s="101" t="s">
        <v>501</v>
      </c>
      <c r="H1134" s="94">
        <v>926</v>
      </c>
      <c r="I1134" s="94">
        <v>538</v>
      </c>
      <c r="J1134" s="94">
        <v>388</v>
      </c>
      <c r="K1134" s="94">
        <v>28</v>
      </c>
      <c r="L1134" s="94">
        <v>262</v>
      </c>
      <c r="M1134" s="94">
        <v>511</v>
      </c>
      <c r="N1134" s="94">
        <v>125</v>
      </c>
      <c r="O1134" s="94">
        <v>924</v>
      </c>
      <c r="P1134" s="94">
        <v>2</v>
      </c>
      <c r="Q1134" s="95">
        <v>1.3221153846153799</v>
      </c>
      <c r="R1134" s="95">
        <v>0.20449897750511301</v>
      </c>
      <c r="S1134" s="95">
        <v>2.9154518950437298</v>
      </c>
      <c r="T1134" s="95">
        <v>0</v>
      </c>
      <c r="U1134" s="95">
        <v>2.60869565217391</v>
      </c>
      <c r="V1134" s="95">
        <v>1.08225108225108</v>
      </c>
      <c r="W1134" s="95">
        <v>0</v>
      </c>
      <c r="X1134" s="95">
        <v>1.32530120481928</v>
      </c>
      <c r="Y1134" s="95">
        <v>0</v>
      </c>
      <c r="Z1134" s="94">
        <v>1242</v>
      </c>
      <c r="AA1134" s="94">
        <v>704</v>
      </c>
      <c r="AB1134" s="94">
        <v>538</v>
      </c>
      <c r="AC1134" s="94">
        <v>18</v>
      </c>
      <c r="AD1134" s="94">
        <v>356</v>
      </c>
      <c r="AE1134" s="94">
        <v>709</v>
      </c>
      <c r="AF1134" s="94">
        <v>159</v>
      </c>
      <c r="AG1134" s="94">
        <v>318</v>
      </c>
      <c r="AH1134" s="94">
        <v>906</v>
      </c>
      <c r="AI1134" s="94">
        <v>18</v>
      </c>
      <c r="AJ1134" s="94">
        <v>1238</v>
      </c>
      <c r="AK1134" s="94">
        <v>3</v>
      </c>
      <c r="AL1134" s="94">
        <v>1</v>
      </c>
      <c r="AM1134" s="94">
        <v>52</v>
      </c>
      <c r="AN1134" s="94">
        <v>1167</v>
      </c>
      <c r="AO1134" s="94">
        <v>23</v>
      </c>
      <c r="AP1134" s="95">
        <v>4.47119518486672</v>
      </c>
      <c r="AQ1134" s="95">
        <v>1.3554216867469899</v>
      </c>
      <c r="AR1134" s="95">
        <v>8.6172344689378804</v>
      </c>
      <c r="AS1134" s="95">
        <v>0</v>
      </c>
      <c r="AT1134" s="95">
        <v>5.5045871559632999</v>
      </c>
      <c r="AU1134" s="95">
        <v>4.64071856287425</v>
      </c>
      <c r="AV1134" s="95">
        <v>1.9736842105263199</v>
      </c>
      <c r="AW1134" s="95">
        <v>3.7542662116040999</v>
      </c>
      <c r="AX1134" s="95">
        <v>4.8065650644783098</v>
      </c>
      <c r="AY1134" s="95">
        <v>0</v>
      </c>
      <c r="AZ1134" s="95">
        <v>4.4866264020707503</v>
      </c>
      <c r="BA1134" s="95">
        <v>0</v>
      </c>
      <c r="BB1134" s="95">
        <v>0</v>
      </c>
      <c r="BC1134" s="95">
        <v>0</v>
      </c>
      <c r="BD1134" s="95">
        <v>4.6831955922865003</v>
      </c>
      <c r="BE1134" s="95">
        <v>4.3478260869565197</v>
      </c>
    </row>
    <row r="1135" spans="2:57" ht="15" customHeight="1" x14ac:dyDescent="0.25">
      <c r="B1135" s="91">
        <v>1125</v>
      </c>
      <c r="C1135" s="92" t="s">
        <v>504</v>
      </c>
      <c r="D1135" s="92" t="s">
        <v>85</v>
      </c>
      <c r="E1135" s="92" t="s">
        <v>417</v>
      </c>
      <c r="F1135" s="92" t="s">
        <v>73</v>
      </c>
      <c r="G1135" s="101" t="s">
        <v>502</v>
      </c>
      <c r="H1135" s="94">
        <v>880</v>
      </c>
      <c r="I1135" s="94">
        <v>657</v>
      </c>
      <c r="J1135" s="94">
        <v>223</v>
      </c>
      <c r="K1135" s="94">
        <v>44</v>
      </c>
      <c r="L1135" s="94">
        <v>252</v>
      </c>
      <c r="M1135" s="94">
        <v>481</v>
      </c>
      <c r="N1135" s="94">
        <v>103</v>
      </c>
      <c r="O1135" s="94">
        <v>880</v>
      </c>
      <c r="P1135" s="94">
        <v>0</v>
      </c>
      <c r="Q1135" s="95">
        <v>0</v>
      </c>
      <c r="R1135" s="95">
        <v>0</v>
      </c>
      <c r="S1135" s="95">
        <v>0</v>
      </c>
      <c r="T1135" s="95">
        <v>0</v>
      </c>
      <c r="U1135" s="95">
        <v>0</v>
      </c>
      <c r="V1135" s="95">
        <v>0</v>
      </c>
      <c r="W1135" s="95">
        <v>0</v>
      </c>
      <c r="X1135" s="95">
        <v>0</v>
      </c>
      <c r="Y1135" s="95">
        <v>0</v>
      </c>
      <c r="Z1135" s="94">
        <v>1025</v>
      </c>
      <c r="AA1135" s="94">
        <v>680</v>
      </c>
      <c r="AB1135" s="94">
        <v>345</v>
      </c>
      <c r="AC1135" s="94">
        <v>40</v>
      </c>
      <c r="AD1135" s="94">
        <v>279</v>
      </c>
      <c r="AE1135" s="94">
        <v>539</v>
      </c>
      <c r="AF1135" s="94">
        <v>167</v>
      </c>
      <c r="AG1135" s="94">
        <v>570</v>
      </c>
      <c r="AH1135" s="94">
        <v>434</v>
      </c>
      <c r="AI1135" s="94">
        <v>21</v>
      </c>
      <c r="AJ1135" s="94">
        <v>1022</v>
      </c>
      <c r="AK1135" s="94">
        <v>0</v>
      </c>
      <c r="AL1135" s="94">
        <v>3</v>
      </c>
      <c r="AM1135" s="94">
        <v>61</v>
      </c>
      <c r="AN1135" s="94">
        <v>934</v>
      </c>
      <c r="AO1135" s="94">
        <v>30</v>
      </c>
      <c r="AP1135" s="95">
        <v>1.45228215767635</v>
      </c>
      <c r="AQ1135" s="95">
        <v>0.15455950540958299</v>
      </c>
      <c r="AR1135" s="95">
        <v>4.1009463722397497</v>
      </c>
      <c r="AS1135" s="95">
        <v>2.8571428571428599</v>
      </c>
      <c r="AT1135" s="95">
        <v>2.3529411764705901</v>
      </c>
      <c r="AU1135" s="95">
        <v>1.3671875</v>
      </c>
      <c r="AV1135" s="95">
        <v>0</v>
      </c>
      <c r="AW1135" s="95">
        <v>1.3307984790874501</v>
      </c>
      <c r="AX1135" s="95">
        <v>1.43884892086331</v>
      </c>
      <c r="AY1135" s="95">
        <v>4.7619047619047601</v>
      </c>
      <c r="AZ1135" s="95">
        <v>1.4537902388369699</v>
      </c>
      <c r="BA1135" s="95">
        <v>0</v>
      </c>
      <c r="BB1135" s="95">
        <v>0</v>
      </c>
      <c r="BC1135" s="95">
        <v>0</v>
      </c>
      <c r="BD1135" s="95">
        <v>1.5981735159817401</v>
      </c>
      <c r="BE1135" s="95">
        <v>0</v>
      </c>
    </row>
    <row r="1136" spans="2:57" ht="15" customHeight="1" x14ac:dyDescent="0.25">
      <c r="B1136" s="96">
        <v>1126</v>
      </c>
      <c r="C1136" s="97" t="s">
        <v>504</v>
      </c>
      <c r="D1136" s="104" t="s">
        <v>85</v>
      </c>
      <c r="E1136" s="104" t="s">
        <v>417</v>
      </c>
      <c r="F1136" s="104" t="s">
        <v>483</v>
      </c>
      <c r="G1136" s="105" t="s">
        <v>483</v>
      </c>
      <c r="H1136" s="106">
        <v>3792</v>
      </c>
      <c r="I1136" s="106">
        <v>2718</v>
      </c>
      <c r="J1136" s="106">
        <v>1074</v>
      </c>
      <c r="K1136" s="106">
        <v>297</v>
      </c>
      <c r="L1136" s="106">
        <v>1103</v>
      </c>
      <c r="M1136" s="106">
        <v>1945</v>
      </c>
      <c r="N1136" s="106">
        <v>447</v>
      </c>
      <c r="O1136" s="106">
        <v>3783</v>
      </c>
      <c r="P1136" s="106">
        <v>9</v>
      </c>
      <c r="Q1136" s="107">
        <v>0.34129692832764502</v>
      </c>
      <c r="R1136" s="107">
        <v>0.25402201524132101</v>
      </c>
      <c r="S1136" s="107">
        <v>0.58072009291521498</v>
      </c>
      <c r="T1136" s="107">
        <v>0.40816326530612201</v>
      </c>
      <c r="U1136" s="107">
        <v>0.431034482758621</v>
      </c>
      <c r="V1136" s="107">
        <v>0.23923444976076599</v>
      </c>
      <c r="W1136" s="107">
        <v>0.52910052910052896</v>
      </c>
      <c r="X1136" s="107">
        <v>0.342146189735614</v>
      </c>
      <c r="Y1136" s="107">
        <v>0</v>
      </c>
      <c r="Z1136" s="106">
        <v>5402</v>
      </c>
      <c r="AA1136" s="106">
        <v>3288</v>
      </c>
      <c r="AB1136" s="106">
        <v>2114</v>
      </c>
      <c r="AC1136" s="106">
        <v>383</v>
      </c>
      <c r="AD1136" s="106">
        <v>1648</v>
      </c>
      <c r="AE1136" s="106">
        <v>2651</v>
      </c>
      <c r="AF1136" s="106">
        <v>720</v>
      </c>
      <c r="AG1136" s="106">
        <v>4552</v>
      </c>
      <c r="AH1136" s="106">
        <v>801</v>
      </c>
      <c r="AI1136" s="106">
        <v>49</v>
      </c>
      <c r="AJ1136" s="106">
        <v>5362</v>
      </c>
      <c r="AK1136" s="106">
        <v>7</v>
      </c>
      <c r="AL1136" s="106">
        <v>33</v>
      </c>
      <c r="AM1136" s="106">
        <v>348</v>
      </c>
      <c r="AN1136" s="106">
        <v>4905</v>
      </c>
      <c r="AO1136" s="106">
        <v>149</v>
      </c>
      <c r="AP1136" s="107">
        <v>2.2900763358778602</v>
      </c>
      <c r="AQ1136" s="107">
        <v>0.87124878993223598</v>
      </c>
      <c r="AR1136" s="107">
        <v>4.4776119402985097</v>
      </c>
      <c r="AS1136" s="107">
        <v>1.33689839572193</v>
      </c>
      <c r="AT1136" s="107">
        <v>3.94477317554241</v>
      </c>
      <c r="AU1136" s="107">
        <v>1.86878727634195</v>
      </c>
      <c r="AV1136" s="107">
        <v>0.71530758226037205</v>
      </c>
      <c r="AW1136" s="107">
        <v>2.0847810979847101</v>
      </c>
      <c r="AX1136" s="107">
        <v>3.6096256684491999</v>
      </c>
      <c r="AY1136" s="107">
        <v>0</v>
      </c>
      <c r="AZ1136" s="107">
        <v>2.30723723131532</v>
      </c>
      <c r="BA1136" s="107">
        <v>0</v>
      </c>
      <c r="BB1136" s="107">
        <v>0</v>
      </c>
      <c r="BC1136" s="107">
        <v>1.1869436201780399</v>
      </c>
      <c r="BD1136" s="107">
        <v>2.4174401036045801</v>
      </c>
      <c r="BE1136" s="107">
        <v>0.71942446043165498</v>
      </c>
    </row>
    <row r="1137" spans="2:57" ht="15" customHeight="1" x14ac:dyDescent="0.25">
      <c r="B1137" s="91">
        <v>1127</v>
      </c>
      <c r="C1137" s="92" t="s">
        <v>504</v>
      </c>
      <c r="D1137" s="92" t="s">
        <v>85</v>
      </c>
      <c r="E1137" s="92" t="s">
        <v>417</v>
      </c>
      <c r="F1137" s="92" t="s">
        <v>483</v>
      </c>
      <c r="G1137" s="101" t="s">
        <v>501</v>
      </c>
      <c r="H1137" s="94">
        <v>0</v>
      </c>
      <c r="I1137" s="94">
        <v>0</v>
      </c>
      <c r="J1137" s="94">
        <v>0</v>
      </c>
      <c r="K1137" s="94">
        <v>0</v>
      </c>
      <c r="L1137" s="94">
        <v>0</v>
      </c>
      <c r="M1137" s="94">
        <v>0</v>
      </c>
      <c r="N1137" s="94">
        <v>0</v>
      </c>
      <c r="O1137" s="94">
        <v>0</v>
      </c>
      <c r="P1137" s="94">
        <v>0</v>
      </c>
      <c r="Q1137" s="95">
        <v>0</v>
      </c>
      <c r="R1137" s="95">
        <v>0</v>
      </c>
      <c r="S1137" s="95">
        <v>0</v>
      </c>
      <c r="T1137" s="95">
        <v>0</v>
      </c>
      <c r="U1137" s="95">
        <v>0</v>
      </c>
      <c r="V1137" s="95">
        <v>0</v>
      </c>
      <c r="W1137" s="95">
        <v>0</v>
      </c>
      <c r="X1137" s="95">
        <v>0</v>
      </c>
      <c r="Y1137" s="95">
        <v>0</v>
      </c>
      <c r="Z1137" s="94">
        <v>0</v>
      </c>
      <c r="AA1137" s="94">
        <v>0</v>
      </c>
      <c r="AB1137" s="94">
        <v>0</v>
      </c>
      <c r="AC1137" s="94">
        <v>0</v>
      </c>
      <c r="AD1137" s="94">
        <v>0</v>
      </c>
      <c r="AE1137" s="94">
        <v>0</v>
      </c>
      <c r="AF1137" s="94">
        <v>0</v>
      </c>
      <c r="AG1137" s="94">
        <v>0</v>
      </c>
      <c r="AH1137" s="94">
        <v>0</v>
      </c>
      <c r="AI1137" s="94">
        <v>0</v>
      </c>
      <c r="AJ1137" s="94">
        <v>0</v>
      </c>
      <c r="AK1137" s="94">
        <v>0</v>
      </c>
      <c r="AL1137" s="94">
        <v>0</v>
      </c>
      <c r="AM1137" s="94">
        <v>0</v>
      </c>
      <c r="AN1137" s="94">
        <v>0</v>
      </c>
      <c r="AO1137" s="94">
        <v>0</v>
      </c>
      <c r="AP1137" s="95">
        <v>0</v>
      </c>
      <c r="AQ1137" s="95">
        <v>0</v>
      </c>
      <c r="AR1137" s="95">
        <v>0</v>
      </c>
      <c r="AS1137" s="95">
        <v>0</v>
      </c>
      <c r="AT1137" s="95">
        <v>0</v>
      </c>
      <c r="AU1137" s="95">
        <v>0</v>
      </c>
      <c r="AV1137" s="95">
        <v>0</v>
      </c>
      <c r="AW1137" s="95">
        <v>0</v>
      </c>
      <c r="AX1137" s="95">
        <v>0</v>
      </c>
      <c r="AY1137" s="95">
        <v>0</v>
      </c>
      <c r="AZ1137" s="95">
        <v>0</v>
      </c>
      <c r="BA1137" s="95">
        <v>0</v>
      </c>
      <c r="BB1137" s="95">
        <v>0</v>
      </c>
      <c r="BC1137" s="95">
        <v>0</v>
      </c>
      <c r="BD1137" s="95">
        <v>0</v>
      </c>
      <c r="BE1137" s="95">
        <v>0</v>
      </c>
    </row>
    <row r="1138" spans="2:57" ht="15" customHeight="1" x14ac:dyDescent="0.25">
      <c r="B1138" s="91">
        <v>1128</v>
      </c>
      <c r="C1138" s="92" t="s">
        <v>504</v>
      </c>
      <c r="D1138" s="92" t="s">
        <v>85</v>
      </c>
      <c r="E1138" s="92" t="s">
        <v>417</v>
      </c>
      <c r="F1138" s="92" t="s">
        <v>483</v>
      </c>
      <c r="G1138" s="101" t="s">
        <v>502</v>
      </c>
      <c r="H1138" s="94">
        <v>3792</v>
      </c>
      <c r="I1138" s="94">
        <v>2718</v>
      </c>
      <c r="J1138" s="94">
        <v>1074</v>
      </c>
      <c r="K1138" s="94">
        <v>297</v>
      </c>
      <c r="L1138" s="94">
        <v>1103</v>
      </c>
      <c r="M1138" s="94">
        <v>1945</v>
      </c>
      <c r="N1138" s="94">
        <v>447</v>
      </c>
      <c r="O1138" s="94">
        <v>3783</v>
      </c>
      <c r="P1138" s="94">
        <v>9</v>
      </c>
      <c r="Q1138" s="95">
        <v>0.34129692832764502</v>
      </c>
      <c r="R1138" s="95">
        <v>0.25402201524132101</v>
      </c>
      <c r="S1138" s="95">
        <v>0.58072009291521498</v>
      </c>
      <c r="T1138" s="95">
        <v>0.40816326530612201</v>
      </c>
      <c r="U1138" s="95">
        <v>0.431034482758621</v>
      </c>
      <c r="V1138" s="95">
        <v>0.23923444976076599</v>
      </c>
      <c r="W1138" s="95">
        <v>0.52910052910052896</v>
      </c>
      <c r="X1138" s="95">
        <v>0.342146189735614</v>
      </c>
      <c r="Y1138" s="95">
        <v>0</v>
      </c>
      <c r="Z1138" s="94">
        <v>5402</v>
      </c>
      <c r="AA1138" s="94">
        <v>3288</v>
      </c>
      <c r="AB1138" s="94">
        <v>2114</v>
      </c>
      <c r="AC1138" s="94">
        <v>383</v>
      </c>
      <c r="AD1138" s="94">
        <v>1648</v>
      </c>
      <c r="AE1138" s="94">
        <v>2651</v>
      </c>
      <c r="AF1138" s="94">
        <v>720</v>
      </c>
      <c r="AG1138" s="94">
        <v>4552</v>
      </c>
      <c r="AH1138" s="94">
        <v>801</v>
      </c>
      <c r="AI1138" s="94">
        <v>49</v>
      </c>
      <c r="AJ1138" s="94">
        <v>5362</v>
      </c>
      <c r="AK1138" s="94">
        <v>7</v>
      </c>
      <c r="AL1138" s="94">
        <v>33</v>
      </c>
      <c r="AM1138" s="94">
        <v>348</v>
      </c>
      <c r="AN1138" s="94">
        <v>4905</v>
      </c>
      <c r="AO1138" s="94">
        <v>149</v>
      </c>
      <c r="AP1138" s="95">
        <v>2.2900763358778602</v>
      </c>
      <c r="AQ1138" s="95">
        <v>0.87124878993223598</v>
      </c>
      <c r="AR1138" s="95">
        <v>4.4776119402985097</v>
      </c>
      <c r="AS1138" s="95">
        <v>1.33689839572193</v>
      </c>
      <c r="AT1138" s="95">
        <v>3.94477317554241</v>
      </c>
      <c r="AU1138" s="95">
        <v>1.86878727634195</v>
      </c>
      <c r="AV1138" s="95">
        <v>0.71530758226037205</v>
      </c>
      <c r="AW1138" s="95">
        <v>2.0847810979847101</v>
      </c>
      <c r="AX1138" s="95">
        <v>3.6096256684491999</v>
      </c>
      <c r="AY1138" s="95">
        <v>0</v>
      </c>
      <c r="AZ1138" s="95">
        <v>2.30723723131532</v>
      </c>
      <c r="BA1138" s="95">
        <v>0</v>
      </c>
      <c r="BB1138" s="95">
        <v>0</v>
      </c>
      <c r="BC1138" s="95">
        <v>1.1869436201780399</v>
      </c>
      <c r="BD1138" s="95">
        <v>2.4174401036045801</v>
      </c>
      <c r="BE1138" s="95">
        <v>0.71942446043165498</v>
      </c>
    </row>
    <row r="1139" spans="2:57" ht="15" customHeight="1" x14ac:dyDescent="0.25">
      <c r="B1139" s="96">
        <v>1129</v>
      </c>
      <c r="C1139" s="97" t="s">
        <v>504</v>
      </c>
      <c r="D1139" s="104" t="s">
        <v>85</v>
      </c>
      <c r="E1139" s="104" t="s">
        <v>417</v>
      </c>
      <c r="F1139" s="104" t="s">
        <v>221</v>
      </c>
      <c r="G1139" s="105" t="s">
        <v>221</v>
      </c>
      <c r="H1139" s="106">
        <v>12964</v>
      </c>
      <c r="I1139" s="106">
        <v>7469</v>
      </c>
      <c r="J1139" s="106">
        <v>5495</v>
      </c>
      <c r="K1139" s="106">
        <v>672</v>
      </c>
      <c r="L1139" s="106">
        <v>3587</v>
      </c>
      <c r="M1139" s="106">
        <v>7375</v>
      </c>
      <c r="N1139" s="106">
        <v>1330</v>
      </c>
      <c r="O1139" s="106">
        <v>12883</v>
      </c>
      <c r="P1139" s="106">
        <v>81</v>
      </c>
      <c r="Q1139" s="107">
        <v>2.10992445949466</v>
      </c>
      <c r="R1139" s="107">
        <v>1.08450067781292</v>
      </c>
      <c r="S1139" s="107">
        <v>3.50553505535055</v>
      </c>
      <c r="T1139" s="107">
        <v>4.4750430292598997</v>
      </c>
      <c r="U1139" s="107">
        <v>2.6992696093998099</v>
      </c>
      <c r="V1139" s="107">
        <v>1.69722685255342</v>
      </c>
      <c r="W1139" s="107">
        <v>1.6835016835016801</v>
      </c>
      <c r="X1139" s="107">
        <v>2.1060910600367002</v>
      </c>
      <c r="Y1139" s="107">
        <v>2.7027027027027</v>
      </c>
      <c r="Z1139" s="106">
        <v>14189</v>
      </c>
      <c r="AA1139" s="106">
        <v>7734</v>
      </c>
      <c r="AB1139" s="106">
        <v>6455</v>
      </c>
      <c r="AC1139" s="106">
        <v>442</v>
      </c>
      <c r="AD1139" s="106">
        <v>3590</v>
      </c>
      <c r="AE1139" s="106">
        <v>8146</v>
      </c>
      <c r="AF1139" s="106">
        <v>2011</v>
      </c>
      <c r="AG1139" s="106">
        <v>3842</v>
      </c>
      <c r="AH1139" s="106">
        <v>10146</v>
      </c>
      <c r="AI1139" s="106">
        <v>201</v>
      </c>
      <c r="AJ1139" s="106">
        <v>14040</v>
      </c>
      <c r="AK1139" s="106">
        <v>86</v>
      </c>
      <c r="AL1139" s="106">
        <v>63</v>
      </c>
      <c r="AM1139" s="106">
        <v>884</v>
      </c>
      <c r="AN1139" s="106">
        <v>13112</v>
      </c>
      <c r="AO1139" s="106">
        <v>193</v>
      </c>
      <c r="AP1139" s="107">
        <v>5.4501290420525299</v>
      </c>
      <c r="AQ1139" s="107">
        <v>2.6245986318581598</v>
      </c>
      <c r="AR1139" s="107">
        <v>8.8171685243719793</v>
      </c>
      <c r="AS1139" s="107">
        <v>8.3732057416267907</v>
      </c>
      <c r="AT1139" s="107">
        <v>6.5403422982885102</v>
      </c>
      <c r="AU1139" s="107">
        <v>5.2222075695635004</v>
      </c>
      <c r="AV1139" s="107">
        <v>3.8400841662283001</v>
      </c>
      <c r="AW1139" s="107">
        <v>4.23940149625935</v>
      </c>
      <c r="AX1139" s="107">
        <v>5.9582178639948804</v>
      </c>
      <c r="AY1139" s="107">
        <v>3.27868852459016</v>
      </c>
      <c r="AZ1139" s="107">
        <v>5.44520285297952</v>
      </c>
      <c r="BA1139" s="107">
        <v>6.5789473684210504</v>
      </c>
      <c r="BB1139" s="107">
        <v>5.0847457627118704</v>
      </c>
      <c r="BC1139" s="107">
        <v>4.9043062200956902</v>
      </c>
      <c r="BD1139" s="107">
        <v>5.5244985202236103</v>
      </c>
      <c r="BE1139" s="107">
        <v>2.8735632183908</v>
      </c>
    </row>
    <row r="1140" spans="2:57" ht="15" customHeight="1" x14ac:dyDescent="0.25">
      <c r="B1140" s="91">
        <v>1130</v>
      </c>
      <c r="C1140" s="92" t="s">
        <v>504</v>
      </c>
      <c r="D1140" s="92" t="s">
        <v>85</v>
      </c>
      <c r="E1140" s="92" t="s">
        <v>417</v>
      </c>
      <c r="F1140" s="92" t="s">
        <v>221</v>
      </c>
      <c r="G1140" s="101" t="s">
        <v>501</v>
      </c>
      <c r="H1140" s="94">
        <v>11290</v>
      </c>
      <c r="I1140" s="94">
        <v>6356</v>
      </c>
      <c r="J1140" s="94">
        <v>4934</v>
      </c>
      <c r="K1140" s="94">
        <v>562</v>
      </c>
      <c r="L1140" s="94">
        <v>3142</v>
      </c>
      <c r="M1140" s="94">
        <v>6472</v>
      </c>
      <c r="N1140" s="94">
        <v>1114</v>
      </c>
      <c r="O1140" s="94">
        <v>11211</v>
      </c>
      <c r="P1140" s="94">
        <v>79</v>
      </c>
      <c r="Q1140" s="95">
        <v>2.2394744699910398</v>
      </c>
      <c r="R1140" s="95">
        <v>1.13034263511127</v>
      </c>
      <c r="S1140" s="95">
        <v>3.6716077537058198</v>
      </c>
      <c r="T1140" s="95">
        <v>4.8780487804878003</v>
      </c>
      <c r="U1140" s="95">
        <v>2.8943560057887101</v>
      </c>
      <c r="V1140" s="95">
        <v>1.79589017440856</v>
      </c>
      <c r="W1140" s="95">
        <v>1.7</v>
      </c>
      <c r="X1140" s="95">
        <v>2.23558897243108</v>
      </c>
      <c r="Y1140" s="95">
        <v>2.7777777777777799</v>
      </c>
      <c r="Z1140" s="94">
        <v>11656</v>
      </c>
      <c r="AA1140" s="94">
        <v>6205</v>
      </c>
      <c r="AB1140" s="94">
        <v>5451</v>
      </c>
      <c r="AC1140" s="94">
        <v>316</v>
      </c>
      <c r="AD1140" s="94">
        <v>2824</v>
      </c>
      <c r="AE1140" s="94">
        <v>6814</v>
      </c>
      <c r="AF1140" s="94">
        <v>1702</v>
      </c>
      <c r="AG1140" s="94">
        <v>2150</v>
      </c>
      <c r="AH1140" s="94">
        <v>9364</v>
      </c>
      <c r="AI1140" s="94">
        <v>142</v>
      </c>
      <c r="AJ1140" s="94">
        <v>11522</v>
      </c>
      <c r="AK1140" s="94">
        <v>84</v>
      </c>
      <c r="AL1140" s="94">
        <v>50</v>
      </c>
      <c r="AM1140" s="94">
        <v>742</v>
      </c>
      <c r="AN1140" s="94">
        <v>10772</v>
      </c>
      <c r="AO1140" s="94">
        <v>142</v>
      </c>
      <c r="AP1140" s="95">
        <v>5.9296947271045299</v>
      </c>
      <c r="AQ1140" s="95">
        <v>2.9422005571030598</v>
      </c>
      <c r="AR1140" s="95">
        <v>9.3170153967627307</v>
      </c>
      <c r="AS1140" s="95">
        <v>10.402684563758401</v>
      </c>
      <c r="AT1140" s="95">
        <v>7.3614877954281299</v>
      </c>
      <c r="AU1140" s="95">
        <v>5.6284584980237202</v>
      </c>
      <c r="AV1140" s="95">
        <v>3.9850560398505599</v>
      </c>
      <c r="AW1140" s="95">
        <v>5.8910891089108901</v>
      </c>
      <c r="AX1140" s="95">
        <v>5.9591176810255204</v>
      </c>
      <c r="AY1140" s="95">
        <v>4.5801526717557204</v>
      </c>
      <c r="AZ1140" s="95">
        <v>5.9214218896164601</v>
      </c>
      <c r="BA1140" s="95">
        <v>6.7567567567567597</v>
      </c>
      <c r="BB1140" s="95">
        <v>6.5217391304347796</v>
      </c>
      <c r="BC1140" s="95">
        <v>5.3084648493543796</v>
      </c>
      <c r="BD1140" s="95">
        <v>6.00901352028042</v>
      </c>
      <c r="BE1140" s="95">
        <v>3.125</v>
      </c>
    </row>
    <row r="1141" spans="2:57" ht="15" customHeight="1" x14ac:dyDescent="0.25">
      <c r="B1141" s="91">
        <v>1131</v>
      </c>
      <c r="C1141" s="92" t="s">
        <v>504</v>
      </c>
      <c r="D1141" s="92" t="s">
        <v>85</v>
      </c>
      <c r="E1141" s="92" t="s">
        <v>417</v>
      </c>
      <c r="F1141" s="92" t="s">
        <v>221</v>
      </c>
      <c r="G1141" s="101" t="s">
        <v>502</v>
      </c>
      <c r="H1141" s="94">
        <v>1674</v>
      </c>
      <c r="I1141" s="94">
        <v>1113</v>
      </c>
      <c r="J1141" s="94">
        <v>561</v>
      </c>
      <c r="K1141" s="94">
        <v>110</v>
      </c>
      <c r="L1141" s="94">
        <v>445</v>
      </c>
      <c r="M1141" s="94">
        <v>903</v>
      </c>
      <c r="N1141" s="94">
        <v>216</v>
      </c>
      <c r="O1141" s="94">
        <v>1672</v>
      </c>
      <c r="P1141" s="94">
        <v>2</v>
      </c>
      <c r="Q1141" s="95">
        <v>1.22448979591837</v>
      </c>
      <c r="R1141" s="95">
        <v>0.81883316274309104</v>
      </c>
      <c r="S1141" s="95">
        <v>2.0283975659229201</v>
      </c>
      <c r="T1141" s="95">
        <v>2.2471910112359601</v>
      </c>
      <c r="U1141" s="95">
        <v>1.2987012987013</v>
      </c>
      <c r="V1141" s="95">
        <v>0.99009900990098998</v>
      </c>
      <c r="W1141" s="95">
        <v>1.59574468085106</v>
      </c>
      <c r="X1141" s="95">
        <v>1.22615803814714</v>
      </c>
      <c r="Y1141" s="95">
        <v>0</v>
      </c>
      <c r="Z1141" s="94">
        <v>2533</v>
      </c>
      <c r="AA1141" s="94">
        <v>1529</v>
      </c>
      <c r="AB1141" s="94">
        <v>1004</v>
      </c>
      <c r="AC1141" s="94">
        <v>126</v>
      </c>
      <c r="AD1141" s="94">
        <v>766</v>
      </c>
      <c r="AE1141" s="94">
        <v>1332</v>
      </c>
      <c r="AF1141" s="94">
        <v>309</v>
      </c>
      <c r="AG1141" s="94">
        <v>1692</v>
      </c>
      <c r="AH1141" s="94">
        <v>782</v>
      </c>
      <c r="AI1141" s="94">
        <v>59</v>
      </c>
      <c r="AJ1141" s="94">
        <v>2518</v>
      </c>
      <c r="AK1141" s="94">
        <v>2</v>
      </c>
      <c r="AL1141" s="94">
        <v>13</v>
      </c>
      <c r="AM1141" s="94">
        <v>142</v>
      </c>
      <c r="AN1141" s="94">
        <v>2340</v>
      </c>
      <c r="AO1141" s="94">
        <v>51</v>
      </c>
      <c r="AP1141" s="95">
        <v>3.2571912013536402</v>
      </c>
      <c r="AQ1141" s="95">
        <v>1.3389711064129699</v>
      </c>
      <c r="AR1141" s="95">
        <v>6.1375661375661403</v>
      </c>
      <c r="AS1141" s="95">
        <v>3.3333333333333299</v>
      </c>
      <c r="AT1141" s="95">
        <v>3.4732272069464498</v>
      </c>
      <c r="AU1141" s="95">
        <v>3.1796502384737702</v>
      </c>
      <c r="AV1141" s="95">
        <v>3.0508474576271198</v>
      </c>
      <c r="AW1141" s="95">
        <v>2.1397105097545599</v>
      </c>
      <c r="AX1141" s="95">
        <v>5.94744121715076</v>
      </c>
      <c r="AY1141" s="95">
        <v>0</v>
      </c>
      <c r="AZ1141" s="95">
        <v>3.2779906343124701</v>
      </c>
      <c r="BA1141" s="95">
        <v>0</v>
      </c>
      <c r="BB1141" s="95">
        <v>0</v>
      </c>
      <c r="BC1141" s="95">
        <v>2.8776978417266199</v>
      </c>
      <c r="BD1141" s="95">
        <v>3.30426801284993</v>
      </c>
      <c r="BE1141" s="95">
        <v>2.1739130434782599</v>
      </c>
    </row>
    <row r="1142" spans="2:57" ht="15" customHeight="1" x14ac:dyDescent="0.25">
      <c r="B1142" s="96">
        <v>1132</v>
      </c>
      <c r="C1142" s="97" t="s">
        <v>504</v>
      </c>
      <c r="D1142" s="104" t="s">
        <v>85</v>
      </c>
      <c r="E1142" s="104" t="s">
        <v>417</v>
      </c>
      <c r="F1142" s="104" t="s">
        <v>53</v>
      </c>
      <c r="G1142" s="105" t="s">
        <v>53</v>
      </c>
      <c r="H1142" s="106">
        <v>1840</v>
      </c>
      <c r="I1142" s="106">
        <v>1223</v>
      </c>
      <c r="J1142" s="106">
        <v>617</v>
      </c>
      <c r="K1142" s="106">
        <v>113</v>
      </c>
      <c r="L1142" s="106">
        <v>590</v>
      </c>
      <c r="M1142" s="106">
        <v>964</v>
      </c>
      <c r="N1142" s="106">
        <v>173</v>
      </c>
      <c r="O1142" s="106">
        <v>1837</v>
      </c>
      <c r="P1142" s="106">
        <v>3</v>
      </c>
      <c r="Q1142" s="107">
        <v>1.28865979381443</v>
      </c>
      <c r="R1142" s="107">
        <v>0.69513406156901703</v>
      </c>
      <c r="S1142" s="107">
        <v>2.3853211009174302</v>
      </c>
      <c r="T1142" s="107">
        <v>8.6021505376344098</v>
      </c>
      <c r="U1142" s="107">
        <v>1.2396694214876001</v>
      </c>
      <c r="V1142" s="107">
        <v>0.48134777376654603</v>
      </c>
      <c r="W1142" s="107">
        <v>1.3888888888888899</v>
      </c>
      <c r="X1142" s="107">
        <v>1.2911555842478999</v>
      </c>
      <c r="Y1142" s="107">
        <v>0</v>
      </c>
      <c r="Z1142" s="106">
        <v>2141</v>
      </c>
      <c r="AA1142" s="106">
        <v>1285</v>
      </c>
      <c r="AB1142" s="106">
        <v>856</v>
      </c>
      <c r="AC1142" s="106">
        <v>80</v>
      </c>
      <c r="AD1142" s="106">
        <v>643</v>
      </c>
      <c r="AE1142" s="106">
        <v>1152</v>
      </c>
      <c r="AF1142" s="106">
        <v>266</v>
      </c>
      <c r="AG1142" s="106">
        <v>799</v>
      </c>
      <c r="AH1142" s="106">
        <v>1281</v>
      </c>
      <c r="AI1142" s="106">
        <v>61</v>
      </c>
      <c r="AJ1142" s="106">
        <v>1996</v>
      </c>
      <c r="AK1142" s="106">
        <v>125</v>
      </c>
      <c r="AL1142" s="106">
        <v>20</v>
      </c>
      <c r="AM1142" s="106">
        <v>94</v>
      </c>
      <c r="AN1142" s="106">
        <v>2015</v>
      </c>
      <c r="AO1142" s="106">
        <v>32</v>
      </c>
      <c r="AP1142" s="107">
        <v>3.6077235772357699</v>
      </c>
      <c r="AQ1142" s="107">
        <v>1.6597510373444</v>
      </c>
      <c r="AR1142" s="107">
        <v>6.6841415465268703</v>
      </c>
      <c r="AS1142" s="107">
        <v>8.3333333333333304</v>
      </c>
      <c r="AT1142" s="107">
        <v>3.0981067125645398</v>
      </c>
      <c r="AU1142" s="107">
        <v>4.0299906279287701</v>
      </c>
      <c r="AV1142" s="107">
        <v>1.61290322580645</v>
      </c>
      <c r="AW1142" s="107">
        <v>2.7662517289073301</v>
      </c>
      <c r="AX1142" s="107">
        <v>4.1245791245791201</v>
      </c>
      <c r="AY1142" s="107">
        <v>3.5087719298245599</v>
      </c>
      <c r="AZ1142" s="107">
        <v>3.8105606967882402</v>
      </c>
      <c r="BA1142" s="107">
        <v>0</v>
      </c>
      <c r="BB1142" s="107">
        <v>5.2631578947368398</v>
      </c>
      <c r="BC1142" s="107">
        <v>2.38095238095238</v>
      </c>
      <c r="BD1142" s="107">
        <v>3.7176724137931001</v>
      </c>
      <c r="BE1142" s="107">
        <v>0</v>
      </c>
    </row>
    <row r="1143" spans="2:57" ht="15" customHeight="1" x14ac:dyDescent="0.25">
      <c r="B1143" s="91">
        <v>1133</v>
      </c>
      <c r="C1143" s="92" t="s">
        <v>504</v>
      </c>
      <c r="D1143" s="92" t="s">
        <v>85</v>
      </c>
      <c r="E1143" s="92" t="s">
        <v>417</v>
      </c>
      <c r="F1143" s="92" t="s">
        <v>53</v>
      </c>
      <c r="G1143" s="101" t="s">
        <v>501</v>
      </c>
      <c r="H1143" s="94">
        <v>1297</v>
      </c>
      <c r="I1143" s="94">
        <v>794</v>
      </c>
      <c r="J1143" s="94">
        <v>503</v>
      </c>
      <c r="K1143" s="94">
        <v>64</v>
      </c>
      <c r="L1143" s="94">
        <v>405</v>
      </c>
      <c r="M1143" s="94">
        <v>695</v>
      </c>
      <c r="N1143" s="94">
        <v>133</v>
      </c>
      <c r="O1143" s="94">
        <v>1294</v>
      </c>
      <c r="P1143" s="94">
        <v>3</v>
      </c>
      <c r="Q1143" s="95">
        <v>1.4558689717925399</v>
      </c>
      <c r="R1143" s="95">
        <v>0.77399380804953599</v>
      </c>
      <c r="S1143" s="95">
        <v>2.4282560706401801</v>
      </c>
      <c r="T1143" s="95">
        <v>12.962962962962999</v>
      </c>
      <c r="U1143" s="95">
        <v>1.47058823529412</v>
      </c>
      <c r="V1143" s="95">
        <v>0.336700336700337</v>
      </c>
      <c r="W1143" s="95">
        <v>1.8018018018018001</v>
      </c>
      <c r="X1143" s="95">
        <v>1.4598540145985399</v>
      </c>
      <c r="Y1143" s="95">
        <v>0</v>
      </c>
      <c r="Z1143" s="94">
        <v>1487</v>
      </c>
      <c r="AA1143" s="94">
        <v>851</v>
      </c>
      <c r="AB1143" s="94">
        <v>636</v>
      </c>
      <c r="AC1143" s="94">
        <v>57</v>
      </c>
      <c r="AD1143" s="94">
        <v>400</v>
      </c>
      <c r="AE1143" s="94">
        <v>838</v>
      </c>
      <c r="AF1143" s="94">
        <v>192</v>
      </c>
      <c r="AG1143" s="94">
        <v>543</v>
      </c>
      <c r="AH1143" s="94">
        <v>928</v>
      </c>
      <c r="AI1143" s="94">
        <v>16</v>
      </c>
      <c r="AJ1143" s="94">
        <v>1475</v>
      </c>
      <c r="AK1143" s="94">
        <v>6</v>
      </c>
      <c r="AL1143" s="94">
        <v>6</v>
      </c>
      <c r="AM1143" s="94">
        <v>81</v>
      </c>
      <c r="AN1143" s="94">
        <v>1391</v>
      </c>
      <c r="AO1143" s="94">
        <v>15</v>
      </c>
      <c r="AP1143" s="95">
        <v>5.1449275362318803</v>
      </c>
      <c r="AQ1143" s="95">
        <v>2.5510204081632701</v>
      </c>
      <c r="AR1143" s="95">
        <v>8.5570469798657705</v>
      </c>
      <c r="AS1143" s="95">
        <v>11.1111111111111</v>
      </c>
      <c r="AT1143" s="95">
        <v>5.0139275766016702</v>
      </c>
      <c r="AU1143" s="95">
        <v>5.4637865311308804</v>
      </c>
      <c r="AV1143" s="95">
        <v>2.2222222222222201</v>
      </c>
      <c r="AW1143" s="95">
        <v>4.1067761806981498</v>
      </c>
      <c r="AX1143" s="95">
        <v>5.58086560364465</v>
      </c>
      <c r="AY1143" s="95">
        <v>13.3333333333333</v>
      </c>
      <c r="AZ1143" s="95">
        <v>5.1132213294375504</v>
      </c>
      <c r="BA1143" s="95">
        <v>0</v>
      </c>
      <c r="BB1143" s="95">
        <v>20</v>
      </c>
      <c r="BC1143" s="95">
        <v>2.7777777777777799</v>
      </c>
      <c r="BD1143" s="95">
        <v>5.3199691595990704</v>
      </c>
      <c r="BE1143" s="95">
        <v>0</v>
      </c>
    </row>
    <row r="1144" spans="2:57" ht="15" customHeight="1" x14ac:dyDescent="0.25">
      <c r="B1144" s="91">
        <v>1134</v>
      </c>
      <c r="C1144" s="92" t="s">
        <v>504</v>
      </c>
      <c r="D1144" s="92" t="s">
        <v>85</v>
      </c>
      <c r="E1144" s="92" t="s">
        <v>417</v>
      </c>
      <c r="F1144" s="92" t="s">
        <v>53</v>
      </c>
      <c r="G1144" s="101" t="s">
        <v>502</v>
      </c>
      <c r="H1144" s="94">
        <v>543</v>
      </c>
      <c r="I1144" s="94">
        <v>429</v>
      </c>
      <c r="J1144" s="94">
        <v>114</v>
      </c>
      <c r="K1144" s="94">
        <v>49</v>
      </c>
      <c r="L1144" s="94">
        <v>185</v>
      </c>
      <c r="M1144" s="94">
        <v>269</v>
      </c>
      <c r="N1144" s="94">
        <v>40</v>
      </c>
      <c r="O1144" s="94">
        <v>543</v>
      </c>
      <c r="P1144" s="94">
        <v>0</v>
      </c>
      <c r="Q1144" s="95">
        <v>0.88300220750551905</v>
      </c>
      <c r="R1144" s="95">
        <v>0.554016620498615</v>
      </c>
      <c r="S1144" s="95">
        <v>2.1739130434782599</v>
      </c>
      <c r="T1144" s="95">
        <v>2.5641025641025599</v>
      </c>
      <c r="U1144" s="95">
        <v>0.69444444444444398</v>
      </c>
      <c r="V1144" s="95">
        <v>0.84388185654008396</v>
      </c>
      <c r="W1144" s="95">
        <v>0</v>
      </c>
      <c r="X1144" s="95">
        <v>0.88300220750551905</v>
      </c>
      <c r="Y1144" s="95">
        <v>0</v>
      </c>
      <c r="Z1144" s="94">
        <v>654</v>
      </c>
      <c r="AA1144" s="94">
        <v>434</v>
      </c>
      <c r="AB1144" s="94">
        <v>220</v>
      </c>
      <c r="AC1144" s="94">
        <v>23</v>
      </c>
      <c r="AD1144" s="94">
        <v>243</v>
      </c>
      <c r="AE1144" s="94">
        <v>314</v>
      </c>
      <c r="AF1144" s="94">
        <v>74</v>
      </c>
      <c r="AG1144" s="94">
        <v>256</v>
      </c>
      <c r="AH1144" s="94">
        <v>353</v>
      </c>
      <c r="AI1144" s="94">
        <v>45</v>
      </c>
      <c r="AJ1144" s="94">
        <v>521</v>
      </c>
      <c r="AK1144" s="94">
        <v>119</v>
      </c>
      <c r="AL1144" s="94">
        <v>14</v>
      </c>
      <c r="AM1144" s="94">
        <v>13</v>
      </c>
      <c r="AN1144" s="94">
        <v>624</v>
      </c>
      <c r="AO1144" s="94">
        <v>17</v>
      </c>
      <c r="AP1144" s="95">
        <v>0</v>
      </c>
      <c r="AQ1144" s="95">
        <v>0</v>
      </c>
      <c r="AR1144" s="95">
        <v>0</v>
      </c>
      <c r="AS1144" s="95">
        <v>0</v>
      </c>
      <c r="AT1144" s="95">
        <v>0</v>
      </c>
      <c r="AU1144" s="95">
        <v>0</v>
      </c>
      <c r="AV1144" s="95">
        <v>0</v>
      </c>
      <c r="AW1144" s="95">
        <v>0</v>
      </c>
      <c r="AX1144" s="95">
        <v>0</v>
      </c>
      <c r="AY1144" s="95">
        <v>0</v>
      </c>
      <c r="AZ1144" s="95">
        <v>0</v>
      </c>
      <c r="BA1144" s="95">
        <v>0</v>
      </c>
      <c r="BB1144" s="95">
        <v>0</v>
      </c>
      <c r="BC1144" s="95">
        <v>0</v>
      </c>
      <c r="BD1144" s="95">
        <v>0</v>
      </c>
      <c r="BE1144" s="95">
        <v>0</v>
      </c>
    </row>
    <row r="1145" spans="2:57" ht="15" customHeight="1" x14ac:dyDescent="0.25">
      <c r="B1145" s="86">
        <v>1135</v>
      </c>
      <c r="C1145" s="87" t="s">
        <v>503</v>
      </c>
      <c r="D1145" s="103" t="s">
        <v>85</v>
      </c>
      <c r="E1145" s="103" t="s">
        <v>512</v>
      </c>
      <c r="F1145" s="103"/>
      <c r="G1145" s="88" t="s">
        <v>512</v>
      </c>
      <c r="H1145" s="89">
        <v>13767</v>
      </c>
      <c r="I1145" s="89">
        <v>8560</v>
      </c>
      <c r="J1145" s="89">
        <v>5207</v>
      </c>
      <c r="K1145" s="89">
        <v>920</v>
      </c>
      <c r="L1145" s="89">
        <v>3347</v>
      </c>
      <c r="M1145" s="89">
        <v>7210</v>
      </c>
      <c r="N1145" s="89">
        <v>2290</v>
      </c>
      <c r="O1145" s="89">
        <v>13708</v>
      </c>
      <c r="P1145" s="89">
        <v>59</v>
      </c>
      <c r="Q1145" s="90">
        <v>0.70200347057895596</v>
      </c>
      <c r="R1145" s="90">
        <v>0.38949616786028401</v>
      </c>
      <c r="S1145" s="90">
        <v>1.2290739563466799</v>
      </c>
      <c r="T1145" s="90">
        <v>2.0987654320987699</v>
      </c>
      <c r="U1145" s="90">
        <v>0.75558475689881699</v>
      </c>
      <c r="V1145" s="90">
        <v>0.64284646434444603</v>
      </c>
      <c r="W1145" s="90">
        <v>0.28103044496487101</v>
      </c>
      <c r="X1145" s="90">
        <v>0.65737367337240604</v>
      </c>
      <c r="Y1145" s="90">
        <v>11.538461538461499</v>
      </c>
      <c r="Z1145" s="89">
        <v>14925</v>
      </c>
      <c r="AA1145" s="89">
        <v>8549</v>
      </c>
      <c r="AB1145" s="89">
        <v>6376</v>
      </c>
      <c r="AC1145" s="89">
        <v>516</v>
      </c>
      <c r="AD1145" s="89">
        <v>3049</v>
      </c>
      <c r="AE1145" s="89">
        <v>8381</v>
      </c>
      <c r="AF1145" s="89">
        <v>2979</v>
      </c>
      <c r="AG1145" s="89">
        <v>756</v>
      </c>
      <c r="AH1145" s="89">
        <v>13752</v>
      </c>
      <c r="AI1145" s="89">
        <v>417</v>
      </c>
      <c r="AJ1145" s="89">
        <v>14824</v>
      </c>
      <c r="AK1145" s="89">
        <v>46</v>
      </c>
      <c r="AL1145" s="89">
        <v>55</v>
      </c>
      <c r="AM1145" s="89">
        <v>1129</v>
      </c>
      <c r="AN1145" s="89">
        <v>13571</v>
      </c>
      <c r="AO1145" s="89">
        <v>225</v>
      </c>
      <c r="AP1145" s="90">
        <v>2.67148526077098</v>
      </c>
      <c r="AQ1145" s="90">
        <v>1.03889828460981</v>
      </c>
      <c r="AR1145" s="90">
        <v>4.9880013712718503</v>
      </c>
      <c r="AS1145" s="90">
        <v>7.7244258872651397</v>
      </c>
      <c r="AT1145" s="90">
        <v>3.57894736842105</v>
      </c>
      <c r="AU1145" s="90">
        <v>2.5463254758603302</v>
      </c>
      <c r="AV1145" s="90">
        <v>1.26315789473684</v>
      </c>
      <c r="AW1145" s="90">
        <v>1.9178082191780801</v>
      </c>
      <c r="AX1145" s="90">
        <v>2.7619633789813798</v>
      </c>
      <c r="AY1145" s="90">
        <v>1.0416666666666701</v>
      </c>
      <c r="AZ1145" s="90">
        <v>2.6687598116169502</v>
      </c>
      <c r="BA1145" s="90">
        <v>2.2727272727272698</v>
      </c>
      <c r="BB1145" s="90">
        <v>3.7037037037037002</v>
      </c>
      <c r="BC1145" s="90">
        <v>1.8501387604070301</v>
      </c>
      <c r="BD1145" s="90">
        <v>2.7779945376511899</v>
      </c>
      <c r="BE1145" s="90">
        <v>0.46296296296296302</v>
      </c>
    </row>
    <row r="1146" spans="2:57" ht="15" customHeight="1" x14ac:dyDescent="0.25">
      <c r="B1146" s="91">
        <v>1136</v>
      </c>
      <c r="C1146" s="92" t="s">
        <v>503</v>
      </c>
      <c r="D1146" s="92" t="s">
        <v>85</v>
      </c>
      <c r="E1146" s="92" t="s">
        <v>512</v>
      </c>
      <c r="F1146" s="92"/>
      <c r="G1146" s="93" t="s">
        <v>501</v>
      </c>
      <c r="H1146" s="94">
        <v>4659</v>
      </c>
      <c r="I1146" s="94">
        <v>2609</v>
      </c>
      <c r="J1146" s="94">
        <v>2050</v>
      </c>
      <c r="K1146" s="94">
        <v>358</v>
      </c>
      <c r="L1146" s="94">
        <v>1305</v>
      </c>
      <c r="M1146" s="94">
        <v>2370</v>
      </c>
      <c r="N1146" s="94">
        <v>626</v>
      </c>
      <c r="O1146" s="94">
        <v>4623</v>
      </c>
      <c r="P1146" s="94">
        <v>36</v>
      </c>
      <c r="Q1146" s="95">
        <v>1.68674698795181</v>
      </c>
      <c r="R1146" s="95">
        <v>1.0230179028133</v>
      </c>
      <c r="S1146" s="95">
        <v>2.5498891352549902</v>
      </c>
      <c r="T1146" s="95">
        <v>4.6511627906976702</v>
      </c>
      <c r="U1146" s="95">
        <v>1.3949433304272001</v>
      </c>
      <c r="V1146" s="95">
        <v>1.5932521087160301</v>
      </c>
      <c r="W1146" s="95">
        <v>1.05633802816901</v>
      </c>
      <c r="X1146" s="95">
        <v>1.6763848396501499</v>
      </c>
      <c r="Y1146" s="95">
        <v>2.9411764705882399</v>
      </c>
      <c r="Z1146" s="94">
        <v>5595</v>
      </c>
      <c r="AA1146" s="94">
        <v>2916</v>
      </c>
      <c r="AB1146" s="94">
        <v>2679</v>
      </c>
      <c r="AC1146" s="94">
        <v>225</v>
      </c>
      <c r="AD1146" s="94">
        <v>1383</v>
      </c>
      <c r="AE1146" s="94">
        <v>3122</v>
      </c>
      <c r="AF1146" s="94">
        <v>865</v>
      </c>
      <c r="AG1146" s="94">
        <v>278</v>
      </c>
      <c r="AH1146" s="94">
        <v>5222</v>
      </c>
      <c r="AI1146" s="94">
        <v>95</v>
      </c>
      <c r="AJ1146" s="94">
        <v>5558</v>
      </c>
      <c r="AK1146" s="94">
        <v>21</v>
      </c>
      <c r="AL1146" s="94">
        <v>16</v>
      </c>
      <c r="AM1146" s="94">
        <v>357</v>
      </c>
      <c r="AN1146" s="94">
        <v>5195</v>
      </c>
      <c r="AO1146" s="94">
        <v>43</v>
      </c>
      <c r="AP1146" s="95">
        <v>5.08635414689694</v>
      </c>
      <c r="AQ1146" s="95">
        <v>2.18794835007174</v>
      </c>
      <c r="AR1146" s="95">
        <v>8.3434099153567107</v>
      </c>
      <c r="AS1146" s="95">
        <v>14.084507042253501</v>
      </c>
      <c r="AT1146" s="95">
        <v>6.3862928348909698</v>
      </c>
      <c r="AU1146" s="95">
        <v>4.50542005420054</v>
      </c>
      <c r="AV1146" s="95">
        <v>2.8048780487804899</v>
      </c>
      <c r="AW1146" s="95">
        <v>4.4776119402985097</v>
      </c>
      <c r="AX1146" s="95">
        <v>5.1892551892551904</v>
      </c>
      <c r="AY1146" s="95">
        <v>1.14942528735632</v>
      </c>
      <c r="AZ1146" s="95">
        <v>5.0649847094801199</v>
      </c>
      <c r="BA1146" s="95">
        <v>4.7619047619047601</v>
      </c>
      <c r="BB1146" s="95">
        <v>12.5</v>
      </c>
      <c r="BC1146" s="95">
        <v>4.0816326530612201</v>
      </c>
      <c r="BD1146" s="95">
        <v>5.1759410801963996</v>
      </c>
      <c r="BE1146" s="95">
        <v>2.6315789473684199</v>
      </c>
    </row>
    <row r="1147" spans="2:57" ht="15" customHeight="1" x14ac:dyDescent="0.25">
      <c r="B1147" s="91">
        <v>1137</v>
      </c>
      <c r="C1147" s="92" t="s">
        <v>503</v>
      </c>
      <c r="D1147" s="92" t="s">
        <v>85</v>
      </c>
      <c r="E1147" s="92" t="s">
        <v>512</v>
      </c>
      <c r="F1147" s="92"/>
      <c r="G1147" s="93" t="s">
        <v>502</v>
      </c>
      <c r="H1147" s="94">
        <v>9108</v>
      </c>
      <c r="I1147" s="94">
        <v>5951</v>
      </c>
      <c r="J1147" s="94">
        <v>3157</v>
      </c>
      <c r="K1147" s="94">
        <v>562</v>
      </c>
      <c r="L1147" s="94">
        <v>2042</v>
      </c>
      <c r="M1147" s="94">
        <v>4840</v>
      </c>
      <c r="N1147" s="94">
        <v>1664</v>
      </c>
      <c r="O1147" s="94">
        <v>9085</v>
      </c>
      <c r="P1147" s="94">
        <v>23</v>
      </c>
      <c r="Q1147" s="95">
        <v>0.22279549718574099</v>
      </c>
      <c r="R1147" s="95">
        <v>0.12471049349723901</v>
      </c>
      <c r="S1147" s="95">
        <v>0.411663807890223</v>
      </c>
      <c r="T1147" s="95">
        <v>0.58939096267190605</v>
      </c>
      <c r="U1147" s="95">
        <v>0.36900369003689998</v>
      </c>
      <c r="V1147" s="95">
        <v>0.19758507135016501</v>
      </c>
      <c r="W1147" s="95">
        <v>0</v>
      </c>
      <c r="X1147" s="95">
        <v>0.16451233842538199</v>
      </c>
      <c r="Y1147" s="95">
        <v>27.7777777777778</v>
      </c>
      <c r="Z1147" s="94">
        <v>9330</v>
      </c>
      <c r="AA1147" s="94">
        <v>5633</v>
      </c>
      <c r="AB1147" s="94">
        <v>3697</v>
      </c>
      <c r="AC1147" s="94">
        <v>291</v>
      </c>
      <c r="AD1147" s="94">
        <v>1666</v>
      </c>
      <c r="AE1147" s="94">
        <v>5259</v>
      </c>
      <c r="AF1147" s="94">
        <v>2114</v>
      </c>
      <c r="AG1147" s="94">
        <v>478</v>
      </c>
      <c r="AH1147" s="94">
        <v>8530</v>
      </c>
      <c r="AI1147" s="94">
        <v>322</v>
      </c>
      <c r="AJ1147" s="94">
        <v>9266</v>
      </c>
      <c r="AK1147" s="94">
        <v>25</v>
      </c>
      <c r="AL1147" s="94">
        <v>39</v>
      </c>
      <c r="AM1147" s="94">
        <v>772</v>
      </c>
      <c r="AN1147" s="94">
        <v>8376</v>
      </c>
      <c r="AO1147" s="94">
        <v>182</v>
      </c>
      <c r="AP1147" s="95">
        <v>1.23261336650458</v>
      </c>
      <c r="AQ1147" s="95">
        <v>0.45537340619307798</v>
      </c>
      <c r="AR1147" s="95">
        <v>2.5052192066805801</v>
      </c>
      <c r="AS1147" s="95">
        <v>2.6315789473684199</v>
      </c>
      <c r="AT1147" s="95">
        <v>1.2771392081736901</v>
      </c>
      <c r="AU1147" s="95">
        <v>1.3852640032122101</v>
      </c>
      <c r="AV1147" s="95">
        <v>0.64039408866995096</v>
      </c>
      <c r="AW1147" s="95">
        <v>0.43290043290043301</v>
      </c>
      <c r="AX1147" s="95">
        <v>1.28649183572489</v>
      </c>
      <c r="AY1147" s="95">
        <v>1.0101010101010099</v>
      </c>
      <c r="AZ1147" s="95">
        <v>1.2411751309496699</v>
      </c>
      <c r="BA1147" s="95">
        <v>0</v>
      </c>
      <c r="BB1147" s="95">
        <v>0</v>
      </c>
      <c r="BC1147" s="95">
        <v>0.81300813008130102</v>
      </c>
      <c r="BD1147" s="95">
        <v>1.2993566292418299</v>
      </c>
      <c r="BE1147" s="95">
        <v>0</v>
      </c>
    </row>
    <row r="1148" spans="2:57" ht="15" customHeight="1" x14ac:dyDescent="0.25">
      <c r="B1148" s="96">
        <v>1138</v>
      </c>
      <c r="C1148" s="97" t="s">
        <v>504</v>
      </c>
      <c r="D1148" s="104" t="s">
        <v>85</v>
      </c>
      <c r="E1148" s="104" t="s">
        <v>512</v>
      </c>
      <c r="F1148" s="104" t="s">
        <v>257</v>
      </c>
      <c r="G1148" s="105" t="s">
        <v>257</v>
      </c>
      <c r="H1148" s="106">
        <v>8766</v>
      </c>
      <c r="I1148" s="106">
        <v>5372</v>
      </c>
      <c r="J1148" s="106">
        <v>3394</v>
      </c>
      <c r="K1148" s="106">
        <v>601</v>
      </c>
      <c r="L1148" s="106">
        <v>2122</v>
      </c>
      <c r="M1148" s="106">
        <v>4556</v>
      </c>
      <c r="N1148" s="106">
        <v>1487</v>
      </c>
      <c r="O1148" s="106">
        <v>8719</v>
      </c>
      <c r="P1148" s="106">
        <v>47</v>
      </c>
      <c r="Q1148" s="107">
        <v>0.91227193201699597</v>
      </c>
      <c r="R1148" s="107">
        <v>0.50423557886244497</v>
      </c>
      <c r="S1148" s="107">
        <v>1.57687253613666</v>
      </c>
      <c r="T1148" s="107">
        <v>2.6819923371647501</v>
      </c>
      <c r="U1148" s="107">
        <v>0.89473684210526305</v>
      </c>
      <c r="V1148" s="107">
        <v>0.85673488814850096</v>
      </c>
      <c r="W1148" s="107">
        <v>0.43541364296081297</v>
      </c>
      <c r="X1148" s="107">
        <v>0.90474993717014296</v>
      </c>
      <c r="Y1148" s="107">
        <v>2.2727272727272698</v>
      </c>
      <c r="Z1148" s="106">
        <v>9668</v>
      </c>
      <c r="AA1148" s="106">
        <v>5443</v>
      </c>
      <c r="AB1148" s="106">
        <v>4225</v>
      </c>
      <c r="AC1148" s="106">
        <v>340</v>
      </c>
      <c r="AD1148" s="106">
        <v>2018</v>
      </c>
      <c r="AE1148" s="106">
        <v>5381</v>
      </c>
      <c r="AF1148" s="106">
        <v>1929</v>
      </c>
      <c r="AG1148" s="106">
        <v>513</v>
      </c>
      <c r="AH1148" s="106">
        <v>8878</v>
      </c>
      <c r="AI1148" s="106">
        <v>277</v>
      </c>
      <c r="AJ1148" s="106">
        <v>9605</v>
      </c>
      <c r="AK1148" s="106">
        <v>27</v>
      </c>
      <c r="AL1148" s="106">
        <v>36</v>
      </c>
      <c r="AM1148" s="106">
        <v>757</v>
      </c>
      <c r="AN1148" s="106">
        <v>8786</v>
      </c>
      <c r="AO1148" s="106">
        <v>125</v>
      </c>
      <c r="AP1148" s="107">
        <v>3.2829940906106398</v>
      </c>
      <c r="AQ1148" s="107">
        <v>1.2355065576886499</v>
      </c>
      <c r="AR1148" s="107">
        <v>6.06138767087955</v>
      </c>
      <c r="AS1148" s="107">
        <v>9.81012658227848</v>
      </c>
      <c r="AT1148" s="107">
        <v>4.64247598719317</v>
      </c>
      <c r="AU1148" s="107">
        <v>2.9988239905919198</v>
      </c>
      <c r="AV1148" s="107">
        <v>1.57096424702058</v>
      </c>
      <c r="AW1148" s="107">
        <v>2.6262626262626299</v>
      </c>
      <c r="AX1148" s="107">
        <v>3.3865967088003801</v>
      </c>
      <c r="AY1148" s="107">
        <v>1.1673151750972799</v>
      </c>
      <c r="AZ1148" s="107">
        <v>3.2723666813574299</v>
      </c>
      <c r="BA1148" s="107">
        <v>3.7037037037037002</v>
      </c>
      <c r="BB1148" s="107">
        <v>5.71428571428571</v>
      </c>
      <c r="BC1148" s="107">
        <v>2.3351648351648402</v>
      </c>
      <c r="BD1148" s="107">
        <v>3.4012784947533499</v>
      </c>
      <c r="BE1148" s="107">
        <v>0.84033613445378197</v>
      </c>
    </row>
    <row r="1149" spans="2:57" ht="15" customHeight="1" x14ac:dyDescent="0.25">
      <c r="B1149" s="91">
        <v>1139</v>
      </c>
      <c r="C1149" s="92" t="s">
        <v>504</v>
      </c>
      <c r="D1149" s="92" t="s">
        <v>85</v>
      </c>
      <c r="E1149" s="92" t="s">
        <v>512</v>
      </c>
      <c r="F1149" s="92" t="s">
        <v>257</v>
      </c>
      <c r="G1149" s="101" t="s">
        <v>501</v>
      </c>
      <c r="H1149" s="94">
        <v>4659</v>
      </c>
      <c r="I1149" s="94">
        <v>2609</v>
      </c>
      <c r="J1149" s="94">
        <v>2050</v>
      </c>
      <c r="K1149" s="94">
        <v>358</v>
      </c>
      <c r="L1149" s="94">
        <v>1305</v>
      </c>
      <c r="M1149" s="94">
        <v>2370</v>
      </c>
      <c r="N1149" s="94">
        <v>626</v>
      </c>
      <c r="O1149" s="94">
        <v>4623</v>
      </c>
      <c r="P1149" s="94">
        <v>36</v>
      </c>
      <c r="Q1149" s="95">
        <v>1.68674698795181</v>
      </c>
      <c r="R1149" s="95">
        <v>1.0230179028133</v>
      </c>
      <c r="S1149" s="95">
        <v>2.5498891352549902</v>
      </c>
      <c r="T1149" s="95">
        <v>4.6511627906976702</v>
      </c>
      <c r="U1149" s="95">
        <v>1.3949433304272001</v>
      </c>
      <c r="V1149" s="95">
        <v>1.5932521087160301</v>
      </c>
      <c r="W1149" s="95">
        <v>1.05633802816901</v>
      </c>
      <c r="X1149" s="95">
        <v>1.6763848396501499</v>
      </c>
      <c r="Y1149" s="95">
        <v>2.9411764705882399</v>
      </c>
      <c r="Z1149" s="94">
        <v>5595</v>
      </c>
      <c r="AA1149" s="94">
        <v>2916</v>
      </c>
      <c r="AB1149" s="94">
        <v>2679</v>
      </c>
      <c r="AC1149" s="94">
        <v>225</v>
      </c>
      <c r="AD1149" s="94">
        <v>1383</v>
      </c>
      <c r="AE1149" s="94">
        <v>3122</v>
      </c>
      <c r="AF1149" s="94">
        <v>865</v>
      </c>
      <c r="AG1149" s="94">
        <v>278</v>
      </c>
      <c r="AH1149" s="94">
        <v>5222</v>
      </c>
      <c r="AI1149" s="94">
        <v>95</v>
      </c>
      <c r="AJ1149" s="94">
        <v>5558</v>
      </c>
      <c r="AK1149" s="94">
        <v>21</v>
      </c>
      <c r="AL1149" s="94">
        <v>16</v>
      </c>
      <c r="AM1149" s="94">
        <v>357</v>
      </c>
      <c r="AN1149" s="94">
        <v>5195</v>
      </c>
      <c r="AO1149" s="94">
        <v>43</v>
      </c>
      <c r="AP1149" s="95">
        <v>5.08635414689694</v>
      </c>
      <c r="AQ1149" s="95">
        <v>2.18794835007174</v>
      </c>
      <c r="AR1149" s="95">
        <v>8.3434099153567107</v>
      </c>
      <c r="AS1149" s="95">
        <v>14.084507042253501</v>
      </c>
      <c r="AT1149" s="95">
        <v>6.3862928348909698</v>
      </c>
      <c r="AU1149" s="95">
        <v>4.50542005420054</v>
      </c>
      <c r="AV1149" s="95">
        <v>2.8048780487804899</v>
      </c>
      <c r="AW1149" s="95">
        <v>4.4776119402985097</v>
      </c>
      <c r="AX1149" s="95">
        <v>5.1892551892551904</v>
      </c>
      <c r="AY1149" s="95">
        <v>1.14942528735632</v>
      </c>
      <c r="AZ1149" s="95">
        <v>5.0649847094801199</v>
      </c>
      <c r="BA1149" s="95">
        <v>4.7619047619047601</v>
      </c>
      <c r="BB1149" s="95">
        <v>12.5</v>
      </c>
      <c r="BC1149" s="95">
        <v>4.0816326530612201</v>
      </c>
      <c r="BD1149" s="95">
        <v>5.1759410801963996</v>
      </c>
      <c r="BE1149" s="95">
        <v>2.6315789473684199</v>
      </c>
    </row>
    <row r="1150" spans="2:57" ht="15" customHeight="1" x14ac:dyDescent="0.25">
      <c r="B1150" s="91">
        <v>1140</v>
      </c>
      <c r="C1150" s="92" t="s">
        <v>504</v>
      </c>
      <c r="D1150" s="92" t="s">
        <v>85</v>
      </c>
      <c r="E1150" s="92" t="s">
        <v>512</v>
      </c>
      <c r="F1150" s="92" t="s">
        <v>257</v>
      </c>
      <c r="G1150" s="101" t="s">
        <v>502</v>
      </c>
      <c r="H1150" s="94">
        <v>4107</v>
      </c>
      <c r="I1150" s="94">
        <v>2763</v>
      </c>
      <c r="J1150" s="94">
        <v>1344</v>
      </c>
      <c r="K1150" s="94">
        <v>243</v>
      </c>
      <c r="L1150" s="94">
        <v>817</v>
      </c>
      <c r="M1150" s="94">
        <v>2186</v>
      </c>
      <c r="N1150" s="94">
        <v>861</v>
      </c>
      <c r="O1150" s="94">
        <v>4096</v>
      </c>
      <c r="P1150" s="94">
        <v>11</v>
      </c>
      <c r="Q1150" s="95">
        <v>7.7881619937694699E-2</v>
      </c>
      <c r="R1150" s="95">
        <v>3.82848392036753E-2</v>
      </c>
      <c r="S1150" s="95">
        <v>0.16129032258064499</v>
      </c>
      <c r="T1150" s="95">
        <v>0</v>
      </c>
      <c r="U1150" s="95">
        <v>0.132802124833997</v>
      </c>
      <c r="V1150" s="95">
        <v>9.6711798839458393E-2</v>
      </c>
      <c r="W1150" s="95">
        <v>0</v>
      </c>
      <c r="X1150" s="95">
        <v>7.8084331077563796E-2</v>
      </c>
      <c r="Y1150" s="95">
        <v>0</v>
      </c>
      <c r="Z1150" s="94">
        <v>4073</v>
      </c>
      <c r="AA1150" s="94">
        <v>2527</v>
      </c>
      <c r="AB1150" s="94">
        <v>1546</v>
      </c>
      <c r="AC1150" s="94">
        <v>115</v>
      </c>
      <c r="AD1150" s="94">
        <v>635</v>
      </c>
      <c r="AE1150" s="94">
        <v>2259</v>
      </c>
      <c r="AF1150" s="94">
        <v>1064</v>
      </c>
      <c r="AG1150" s="94">
        <v>235</v>
      </c>
      <c r="AH1150" s="94">
        <v>3656</v>
      </c>
      <c r="AI1150" s="94">
        <v>182</v>
      </c>
      <c r="AJ1150" s="94">
        <v>4047</v>
      </c>
      <c r="AK1150" s="94">
        <v>6</v>
      </c>
      <c r="AL1150" s="94">
        <v>20</v>
      </c>
      <c r="AM1150" s="94">
        <v>400</v>
      </c>
      <c r="AN1150" s="94">
        <v>3591</v>
      </c>
      <c r="AO1150" s="94">
        <v>82</v>
      </c>
      <c r="AP1150" s="95">
        <v>0.82708710261049401</v>
      </c>
      <c r="AQ1150" s="95">
        <v>0.16174686615446801</v>
      </c>
      <c r="AR1150" s="95">
        <v>2.0057306590257902</v>
      </c>
      <c r="AS1150" s="95">
        <v>0.970873786407767</v>
      </c>
      <c r="AT1150" s="95">
        <v>0.84745762711864403</v>
      </c>
      <c r="AU1150" s="95">
        <v>0.93023255813953498</v>
      </c>
      <c r="AV1150" s="95">
        <v>0.58479532163742698</v>
      </c>
      <c r="AW1150" s="95">
        <v>0.44052863436123402</v>
      </c>
      <c r="AX1150" s="95">
        <v>0.83525345622119795</v>
      </c>
      <c r="AY1150" s="95">
        <v>1.1764705882352899</v>
      </c>
      <c r="AZ1150" s="95">
        <v>0.83246618106139403</v>
      </c>
      <c r="BA1150" s="95">
        <v>0</v>
      </c>
      <c r="BB1150" s="95">
        <v>0</v>
      </c>
      <c r="BC1150" s="95">
        <v>0.77922077922077904</v>
      </c>
      <c r="BD1150" s="95">
        <v>0.85218924478401403</v>
      </c>
      <c r="BE1150" s="95">
        <v>0</v>
      </c>
    </row>
    <row r="1151" spans="2:57" ht="15" customHeight="1" x14ac:dyDescent="0.25">
      <c r="B1151" s="96">
        <v>1141</v>
      </c>
      <c r="C1151" s="97" t="s">
        <v>504</v>
      </c>
      <c r="D1151" s="104" t="s">
        <v>85</v>
      </c>
      <c r="E1151" s="104" t="s">
        <v>512</v>
      </c>
      <c r="F1151" s="104" t="s">
        <v>10</v>
      </c>
      <c r="G1151" s="105" t="s">
        <v>10</v>
      </c>
      <c r="H1151" s="106">
        <v>1089</v>
      </c>
      <c r="I1151" s="106">
        <v>738</v>
      </c>
      <c r="J1151" s="106">
        <v>351</v>
      </c>
      <c r="K1151" s="106">
        <v>64</v>
      </c>
      <c r="L1151" s="106">
        <v>275</v>
      </c>
      <c r="M1151" s="106">
        <v>568</v>
      </c>
      <c r="N1151" s="106">
        <v>182</v>
      </c>
      <c r="O1151" s="106">
        <v>1088</v>
      </c>
      <c r="P1151" s="106">
        <v>1</v>
      </c>
      <c r="Q1151" s="107">
        <v>0.299102691924227</v>
      </c>
      <c r="R1151" s="107">
        <v>0</v>
      </c>
      <c r="S1151" s="107">
        <v>0.92592592592592604</v>
      </c>
      <c r="T1151" s="107">
        <v>1.9607843137254899</v>
      </c>
      <c r="U1151" s="107">
        <v>0.39525691699604698</v>
      </c>
      <c r="V1151" s="107">
        <v>0.189393939393939</v>
      </c>
      <c r="W1151" s="107">
        <v>0</v>
      </c>
      <c r="X1151" s="107">
        <v>0.29940119760479</v>
      </c>
      <c r="Y1151" s="107">
        <v>0</v>
      </c>
      <c r="Z1151" s="106">
        <v>1325</v>
      </c>
      <c r="AA1151" s="106">
        <v>768</v>
      </c>
      <c r="AB1151" s="106">
        <v>557</v>
      </c>
      <c r="AC1151" s="106">
        <v>36</v>
      </c>
      <c r="AD1151" s="106">
        <v>259</v>
      </c>
      <c r="AE1151" s="106">
        <v>778</v>
      </c>
      <c r="AF1151" s="106">
        <v>252</v>
      </c>
      <c r="AG1151" s="106">
        <v>44</v>
      </c>
      <c r="AH1151" s="106">
        <v>1260</v>
      </c>
      <c r="AI1151" s="106">
        <v>21</v>
      </c>
      <c r="AJ1151" s="106">
        <v>1317</v>
      </c>
      <c r="AK1151" s="106">
        <v>7</v>
      </c>
      <c r="AL1151" s="106">
        <v>1</v>
      </c>
      <c r="AM1151" s="106">
        <v>47</v>
      </c>
      <c r="AN1151" s="106">
        <v>1222</v>
      </c>
      <c r="AO1151" s="106">
        <v>56</v>
      </c>
      <c r="AP1151" s="107">
        <v>1.6064257028112401</v>
      </c>
      <c r="AQ1151" s="107">
        <v>0.54127198917455999</v>
      </c>
      <c r="AR1151" s="107">
        <v>3.1620553359683798</v>
      </c>
      <c r="AS1151" s="107">
        <v>0</v>
      </c>
      <c r="AT1151" s="107">
        <v>1.6460905349794199</v>
      </c>
      <c r="AU1151" s="107">
        <v>1.7808219178082201</v>
      </c>
      <c r="AV1151" s="107">
        <v>1.2396694214876001</v>
      </c>
      <c r="AW1151" s="107">
        <v>0</v>
      </c>
      <c r="AX1151" s="107">
        <v>1.6920473773265701</v>
      </c>
      <c r="AY1151" s="107">
        <v>0</v>
      </c>
      <c r="AZ1151" s="107">
        <v>1.6155088852988699</v>
      </c>
      <c r="BA1151" s="107">
        <v>0</v>
      </c>
      <c r="BB1151" s="107">
        <v>0</v>
      </c>
      <c r="BC1151" s="107">
        <v>2.2727272727272698</v>
      </c>
      <c r="BD1151" s="107">
        <v>1.6564952048823001</v>
      </c>
      <c r="BE1151" s="107">
        <v>0</v>
      </c>
    </row>
    <row r="1152" spans="2:57" ht="15" customHeight="1" x14ac:dyDescent="0.25">
      <c r="B1152" s="91">
        <v>1142</v>
      </c>
      <c r="C1152" s="92" t="s">
        <v>504</v>
      </c>
      <c r="D1152" s="92" t="s">
        <v>85</v>
      </c>
      <c r="E1152" s="92" t="s">
        <v>512</v>
      </c>
      <c r="F1152" s="92" t="s">
        <v>10</v>
      </c>
      <c r="G1152" s="101" t="s">
        <v>501</v>
      </c>
      <c r="H1152" s="94">
        <v>0</v>
      </c>
      <c r="I1152" s="94">
        <v>0</v>
      </c>
      <c r="J1152" s="94">
        <v>0</v>
      </c>
      <c r="K1152" s="94">
        <v>0</v>
      </c>
      <c r="L1152" s="94">
        <v>0</v>
      </c>
      <c r="M1152" s="94">
        <v>0</v>
      </c>
      <c r="N1152" s="94">
        <v>0</v>
      </c>
      <c r="O1152" s="94">
        <v>0</v>
      </c>
      <c r="P1152" s="94">
        <v>0</v>
      </c>
      <c r="Q1152" s="95">
        <v>0</v>
      </c>
      <c r="R1152" s="95">
        <v>0</v>
      </c>
      <c r="S1152" s="95">
        <v>0</v>
      </c>
      <c r="T1152" s="95">
        <v>0</v>
      </c>
      <c r="U1152" s="95">
        <v>0</v>
      </c>
      <c r="V1152" s="95">
        <v>0</v>
      </c>
      <c r="W1152" s="95">
        <v>0</v>
      </c>
      <c r="X1152" s="95">
        <v>0</v>
      </c>
      <c r="Y1152" s="95">
        <v>0</v>
      </c>
      <c r="Z1152" s="94">
        <v>0</v>
      </c>
      <c r="AA1152" s="94">
        <v>0</v>
      </c>
      <c r="AB1152" s="94">
        <v>0</v>
      </c>
      <c r="AC1152" s="94">
        <v>0</v>
      </c>
      <c r="AD1152" s="94">
        <v>0</v>
      </c>
      <c r="AE1152" s="94">
        <v>0</v>
      </c>
      <c r="AF1152" s="94">
        <v>0</v>
      </c>
      <c r="AG1152" s="94">
        <v>0</v>
      </c>
      <c r="AH1152" s="94">
        <v>0</v>
      </c>
      <c r="AI1152" s="94">
        <v>0</v>
      </c>
      <c r="AJ1152" s="94">
        <v>0</v>
      </c>
      <c r="AK1152" s="94">
        <v>0</v>
      </c>
      <c r="AL1152" s="94">
        <v>0</v>
      </c>
      <c r="AM1152" s="94">
        <v>0</v>
      </c>
      <c r="AN1152" s="94">
        <v>0</v>
      </c>
      <c r="AO1152" s="94">
        <v>0</v>
      </c>
      <c r="AP1152" s="95">
        <v>0</v>
      </c>
      <c r="AQ1152" s="95">
        <v>0</v>
      </c>
      <c r="AR1152" s="95">
        <v>0</v>
      </c>
      <c r="AS1152" s="95">
        <v>0</v>
      </c>
      <c r="AT1152" s="95">
        <v>0</v>
      </c>
      <c r="AU1152" s="95">
        <v>0</v>
      </c>
      <c r="AV1152" s="95">
        <v>0</v>
      </c>
      <c r="AW1152" s="95">
        <v>0</v>
      </c>
      <c r="AX1152" s="95">
        <v>0</v>
      </c>
      <c r="AY1152" s="95">
        <v>0</v>
      </c>
      <c r="AZ1152" s="95">
        <v>0</v>
      </c>
      <c r="BA1152" s="95">
        <v>0</v>
      </c>
      <c r="BB1152" s="95">
        <v>0</v>
      </c>
      <c r="BC1152" s="95">
        <v>0</v>
      </c>
      <c r="BD1152" s="95">
        <v>0</v>
      </c>
      <c r="BE1152" s="95">
        <v>0</v>
      </c>
    </row>
    <row r="1153" spans="2:57" ht="15" customHeight="1" x14ac:dyDescent="0.25">
      <c r="B1153" s="91">
        <v>1143</v>
      </c>
      <c r="C1153" s="92" t="s">
        <v>504</v>
      </c>
      <c r="D1153" s="92" t="s">
        <v>85</v>
      </c>
      <c r="E1153" s="92" t="s">
        <v>512</v>
      </c>
      <c r="F1153" s="92" t="s">
        <v>10</v>
      </c>
      <c r="G1153" s="101" t="s">
        <v>502</v>
      </c>
      <c r="H1153" s="94">
        <v>1089</v>
      </c>
      <c r="I1153" s="94">
        <v>738</v>
      </c>
      <c r="J1153" s="94">
        <v>351</v>
      </c>
      <c r="K1153" s="94">
        <v>64</v>
      </c>
      <c r="L1153" s="94">
        <v>275</v>
      </c>
      <c r="M1153" s="94">
        <v>568</v>
      </c>
      <c r="N1153" s="94">
        <v>182</v>
      </c>
      <c r="O1153" s="94">
        <v>1088</v>
      </c>
      <c r="P1153" s="94">
        <v>1</v>
      </c>
      <c r="Q1153" s="95">
        <v>0.299102691924227</v>
      </c>
      <c r="R1153" s="95">
        <v>0</v>
      </c>
      <c r="S1153" s="95">
        <v>0.92592592592592604</v>
      </c>
      <c r="T1153" s="95">
        <v>1.9607843137254899</v>
      </c>
      <c r="U1153" s="95">
        <v>0.39525691699604698</v>
      </c>
      <c r="V1153" s="95">
        <v>0.189393939393939</v>
      </c>
      <c r="W1153" s="95">
        <v>0</v>
      </c>
      <c r="X1153" s="95">
        <v>0.29940119760479</v>
      </c>
      <c r="Y1153" s="95">
        <v>0</v>
      </c>
      <c r="Z1153" s="94">
        <v>1325</v>
      </c>
      <c r="AA1153" s="94">
        <v>768</v>
      </c>
      <c r="AB1153" s="94">
        <v>557</v>
      </c>
      <c r="AC1153" s="94">
        <v>36</v>
      </c>
      <c r="AD1153" s="94">
        <v>259</v>
      </c>
      <c r="AE1153" s="94">
        <v>778</v>
      </c>
      <c r="AF1153" s="94">
        <v>252</v>
      </c>
      <c r="AG1153" s="94">
        <v>44</v>
      </c>
      <c r="AH1153" s="94">
        <v>1260</v>
      </c>
      <c r="AI1153" s="94">
        <v>21</v>
      </c>
      <c r="AJ1153" s="94">
        <v>1317</v>
      </c>
      <c r="AK1153" s="94">
        <v>7</v>
      </c>
      <c r="AL1153" s="94">
        <v>1</v>
      </c>
      <c r="AM1153" s="94">
        <v>47</v>
      </c>
      <c r="AN1153" s="94">
        <v>1222</v>
      </c>
      <c r="AO1153" s="94">
        <v>56</v>
      </c>
      <c r="AP1153" s="95">
        <v>1.6064257028112401</v>
      </c>
      <c r="AQ1153" s="95">
        <v>0.54127198917455999</v>
      </c>
      <c r="AR1153" s="95">
        <v>3.1620553359683798</v>
      </c>
      <c r="AS1153" s="95">
        <v>0</v>
      </c>
      <c r="AT1153" s="95">
        <v>1.6460905349794199</v>
      </c>
      <c r="AU1153" s="95">
        <v>1.7808219178082201</v>
      </c>
      <c r="AV1153" s="95">
        <v>1.2396694214876001</v>
      </c>
      <c r="AW1153" s="95">
        <v>0</v>
      </c>
      <c r="AX1153" s="95">
        <v>1.6920473773265701</v>
      </c>
      <c r="AY1153" s="95">
        <v>0</v>
      </c>
      <c r="AZ1153" s="95">
        <v>1.6155088852988699</v>
      </c>
      <c r="BA1153" s="95">
        <v>0</v>
      </c>
      <c r="BB1153" s="95">
        <v>0</v>
      </c>
      <c r="BC1153" s="95">
        <v>2.2727272727272698</v>
      </c>
      <c r="BD1153" s="95">
        <v>1.6564952048823001</v>
      </c>
      <c r="BE1153" s="95">
        <v>0</v>
      </c>
    </row>
    <row r="1154" spans="2:57" ht="15" customHeight="1" x14ac:dyDescent="0.25">
      <c r="B1154" s="96">
        <v>1144</v>
      </c>
      <c r="C1154" s="97" t="s">
        <v>504</v>
      </c>
      <c r="D1154" s="104" t="s">
        <v>85</v>
      </c>
      <c r="E1154" s="104" t="s">
        <v>512</v>
      </c>
      <c r="F1154" s="104" t="s">
        <v>484</v>
      </c>
      <c r="G1154" s="105" t="s">
        <v>484</v>
      </c>
      <c r="H1154" s="106">
        <v>1575</v>
      </c>
      <c r="I1154" s="106">
        <v>954</v>
      </c>
      <c r="J1154" s="106">
        <v>621</v>
      </c>
      <c r="K1154" s="106">
        <v>112</v>
      </c>
      <c r="L1154" s="106">
        <v>392</v>
      </c>
      <c r="M1154" s="106">
        <v>785</v>
      </c>
      <c r="N1154" s="106">
        <v>286</v>
      </c>
      <c r="O1154" s="106">
        <v>1575</v>
      </c>
      <c r="P1154" s="106">
        <v>0</v>
      </c>
      <c r="Q1154" s="107">
        <v>0.13468013468013501</v>
      </c>
      <c r="R1154" s="107">
        <v>0.10989010989011</v>
      </c>
      <c r="S1154" s="107">
        <v>0.173913043478261</v>
      </c>
      <c r="T1154" s="107">
        <v>1.92307692307692</v>
      </c>
      <c r="U1154" s="107">
        <v>0</v>
      </c>
      <c r="V1154" s="107">
        <v>0</v>
      </c>
      <c r="W1154" s="107">
        <v>0</v>
      </c>
      <c r="X1154" s="107">
        <v>0.13468013468013501</v>
      </c>
      <c r="Y1154" s="107">
        <v>0</v>
      </c>
      <c r="Z1154" s="106">
        <v>1723</v>
      </c>
      <c r="AA1154" s="106">
        <v>989</v>
      </c>
      <c r="AB1154" s="106">
        <v>734</v>
      </c>
      <c r="AC1154" s="106">
        <v>68</v>
      </c>
      <c r="AD1154" s="106">
        <v>379</v>
      </c>
      <c r="AE1154" s="106">
        <v>941</v>
      </c>
      <c r="AF1154" s="106">
        <v>335</v>
      </c>
      <c r="AG1154" s="106">
        <v>110</v>
      </c>
      <c r="AH1154" s="106">
        <v>1544</v>
      </c>
      <c r="AI1154" s="106">
        <v>69</v>
      </c>
      <c r="AJ1154" s="106">
        <v>1713</v>
      </c>
      <c r="AK1154" s="106">
        <v>5</v>
      </c>
      <c r="AL1154" s="106">
        <v>5</v>
      </c>
      <c r="AM1154" s="106">
        <v>148</v>
      </c>
      <c r="AN1154" s="106">
        <v>1551</v>
      </c>
      <c r="AO1154" s="106">
        <v>24</v>
      </c>
      <c r="AP1154" s="107">
        <v>0.90744101633393803</v>
      </c>
      <c r="AQ1154" s="107">
        <v>0.61349693251533699</v>
      </c>
      <c r="AR1154" s="107">
        <v>1.3333333333333299</v>
      </c>
      <c r="AS1154" s="107">
        <v>1.4925373134328399</v>
      </c>
      <c r="AT1154" s="107">
        <v>0.55096418732782404</v>
      </c>
      <c r="AU1154" s="107">
        <v>1</v>
      </c>
      <c r="AV1154" s="107">
        <v>0.92879256965944301</v>
      </c>
      <c r="AW1154" s="107">
        <v>0</v>
      </c>
      <c r="AX1154" s="107">
        <v>0.93959731543624203</v>
      </c>
      <c r="AY1154" s="107">
        <v>1.72413793103448</v>
      </c>
      <c r="AZ1154" s="107">
        <v>0.91296409007912405</v>
      </c>
      <c r="BA1154" s="107">
        <v>0</v>
      </c>
      <c r="BB1154" s="107">
        <v>0</v>
      </c>
      <c r="BC1154" s="107">
        <v>0.70422535211267601</v>
      </c>
      <c r="BD1154" s="107">
        <v>0.94149293880295903</v>
      </c>
      <c r="BE1154" s="107">
        <v>0</v>
      </c>
    </row>
    <row r="1155" spans="2:57" ht="15" customHeight="1" x14ac:dyDescent="0.25">
      <c r="B1155" s="91">
        <v>1145</v>
      </c>
      <c r="C1155" s="92" t="s">
        <v>504</v>
      </c>
      <c r="D1155" s="92" t="s">
        <v>85</v>
      </c>
      <c r="E1155" s="92" t="s">
        <v>512</v>
      </c>
      <c r="F1155" s="92" t="s">
        <v>484</v>
      </c>
      <c r="G1155" s="101" t="s">
        <v>501</v>
      </c>
      <c r="H1155" s="94">
        <v>0</v>
      </c>
      <c r="I1155" s="94">
        <v>0</v>
      </c>
      <c r="J1155" s="94">
        <v>0</v>
      </c>
      <c r="K1155" s="94">
        <v>0</v>
      </c>
      <c r="L1155" s="94">
        <v>0</v>
      </c>
      <c r="M1155" s="94">
        <v>0</v>
      </c>
      <c r="N1155" s="94">
        <v>0</v>
      </c>
      <c r="O1155" s="94">
        <v>0</v>
      </c>
      <c r="P1155" s="94">
        <v>0</v>
      </c>
      <c r="Q1155" s="95">
        <v>0</v>
      </c>
      <c r="R1155" s="95">
        <v>0</v>
      </c>
      <c r="S1155" s="95">
        <v>0</v>
      </c>
      <c r="T1155" s="95">
        <v>0</v>
      </c>
      <c r="U1155" s="95">
        <v>0</v>
      </c>
      <c r="V1155" s="95">
        <v>0</v>
      </c>
      <c r="W1155" s="95">
        <v>0</v>
      </c>
      <c r="X1155" s="95">
        <v>0</v>
      </c>
      <c r="Y1155" s="95">
        <v>0</v>
      </c>
      <c r="Z1155" s="94">
        <v>0</v>
      </c>
      <c r="AA1155" s="94">
        <v>0</v>
      </c>
      <c r="AB1155" s="94">
        <v>0</v>
      </c>
      <c r="AC1155" s="94">
        <v>0</v>
      </c>
      <c r="AD1155" s="94">
        <v>0</v>
      </c>
      <c r="AE1155" s="94">
        <v>0</v>
      </c>
      <c r="AF1155" s="94">
        <v>0</v>
      </c>
      <c r="AG1155" s="94">
        <v>0</v>
      </c>
      <c r="AH1155" s="94">
        <v>0</v>
      </c>
      <c r="AI1155" s="94">
        <v>0</v>
      </c>
      <c r="AJ1155" s="94">
        <v>0</v>
      </c>
      <c r="AK1155" s="94">
        <v>0</v>
      </c>
      <c r="AL1155" s="94">
        <v>0</v>
      </c>
      <c r="AM1155" s="94">
        <v>0</v>
      </c>
      <c r="AN1155" s="94">
        <v>0</v>
      </c>
      <c r="AO1155" s="94">
        <v>0</v>
      </c>
      <c r="AP1155" s="95">
        <v>0</v>
      </c>
      <c r="AQ1155" s="95">
        <v>0</v>
      </c>
      <c r="AR1155" s="95">
        <v>0</v>
      </c>
      <c r="AS1155" s="95">
        <v>0</v>
      </c>
      <c r="AT1155" s="95">
        <v>0</v>
      </c>
      <c r="AU1155" s="95">
        <v>0</v>
      </c>
      <c r="AV1155" s="95">
        <v>0</v>
      </c>
      <c r="AW1155" s="95">
        <v>0</v>
      </c>
      <c r="AX1155" s="95">
        <v>0</v>
      </c>
      <c r="AY1155" s="95">
        <v>0</v>
      </c>
      <c r="AZ1155" s="95">
        <v>0</v>
      </c>
      <c r="BA1155" s="95">
        <v>0</v>
      </c>
      <c r="BB1155" s="95">
        <v>0</v>
      </c>
      <c r="BC1155" s="95">
        <v>0</v>
      </c>
      <c r="BD1155" s="95">
        <v>0</v>
      </c>
      <c r="BE1155" s="95">
        <v>0</v>
      </c>
    </row>
    <row r="1156" spans="2:57" ht="15" customHeight="1" x14ac:dyDescent="0.25">
      <c r="B1156" s="91">
        <v>1146</v>
      </c>
      <c r="C1156" s="92" t="s">
        <v>504</v>
      </c>
      <c r="D1156" s="92" t="s">
        <v>85</v>
      </c>
      <c r="E1156" s="92" t="s">
        <v>512</v>
      </c>
      <c r="F1156" s="92" t="s">
        <v>484</v>
      </c>
      <c r="G1156" s="101" t="s">
        <v>502</v>
      </c>
      <c r="H1156" s="94">
        <v>1575</v>
      </c>
      <c r="I1156" s="94">
        <v>954</v>
      </c>
      <c r="J1156" s="94">
        <v>621</v>
      </c>
      <c r="K1156" s="94">
        <v>112</v>
      </c>
      <c r="L1156" s="94">
        <v>392</v>
      </c>
      <c r="M1156" s="94">
        <v>785</v>
      </c>
      <c r="N1156" s="94">
        <v>286</v>
      </c>
      <c r="O1156" s="94">
        <v>1575</v>
      </c>
      <c r="P1156" s="94">
        <v>0</v>
      </c>
      <c r="Q1156" s="95">
        <v>0.13468013468013501</v>
      </c>
      <c r="R1156" s="95">
        <v>0.10989010989011</v>
      </c>
      <c r="S1156" s="95">
        <v>0.173913043478261</v>
      </c>
      <c r="T1156" s="95">
        <v>1.92307692307692</v>
      </c>
      <c r="U1156" s="95">
        <v>0</v>
      </c>
      <c r="V1156" s="95">
        <v>0</v>
      </c>
      <c r="W1156" s="95">
        <v>0</v>
      </c>
      <c r="X1156" s="95">
        <v>0.13468013468013501</v>
      </c>
      <c r="Y1156" s="95">
        <v>0</v>
      </c>
      <c r="Z1156" s="94">
        <v>1723</v>
      </c>
      <c r="AA1156" s="94">
        <v>989</v>
      </c>
      <c r="AB1156" s="94">
        <v>734</v>
      </c>
      <c r="AC1156" s="94">
        <v>68</v>
      </c>
      <c r="AD1156" s="94">
        <v>379</v>
      </c>
      <c r="AE1156" s="94">
        <v>941</v>
      </c>
      <c r="AF1156" s="94">
        <v>335</v>
      </c>
      <c r="AG1156" s="94">
        <v>110</v>
      </c>
      <c r="AH1156" s="94">
        <v>1544</v>
      </c>
      <c r="AI1156" s="94">
        <v>69</v>
      </c>
      <c r="AJ1156" s="94">
        <v>1713</v>
      </c>
      <c r="AK1156" s="94">
        <v>5</v>
      </c>
      <c r="AL1156" s="94">
        <v>5</v>
      </c>
      <c r="AM1156" s="94">
        <v>148</v>
      </c>
      <c r="AN1156" s="94">
        <v>1551</v>
      </c>
      <c r="AO1156" s="94">
        <v>24</v>
      </c>
      <c r="AP1156" s="95">
        <v>0.90744101633393803</v>
      </c>
      <c r="AQ1156" s="95">
        <v>0.61349693251533699</v>
      </c>
      <c r="AR1156" s="95">
        <v>1.3333333333333299</v>
      </c>
      <c r="AS1156" s="95">
        <v>1.4925373134328399</v>
      </c>
      <c r="AT1156" s="95">
        <v>0.55096418732782404</v>
      </c>
      <c r="AU1156" s="95">
        <v>1</v>
      </c>
      <c r="AV1156" s="95">
        <v>0.92879256965944301</v>
      </c>
      <c r="AW1156" s="95">
        <v>0</v>
      </c>
      <c r="AX1156" s="95">
        <v>0.93959731543624203</v>
      </c>
      <c r="AY1156" s="95">
        <v>1.72413793103448</v>
      </c>
      <c r="AZ1156" s="95">
        <v>0.91296409007912405</v>
      </c>
      <c r="BA1156" s="95">
        <v>0</v>
      </c>
      <c r="BB1156" s="95">
        <v>0</v>
      </c>
      <c r="BC1156" s="95">
        <v>0.70422535211267601</v>
      </c>
      <c r="BD1156" s="95">
        <v>0.94149293880295903</v>
      </c>
      <c r="BE1156" s="95">
        <v>0</v>
      </c>
    </row>
    <row r="1157" spans="2:57" ht="15" customHeight="1" x14ac:dyDescent="0.25">
      <c r="B1157" s="96">
        <v>1147</v>
      </c>
      <c r="C1157" s="97" t="s">
        <v>504</v>
      </c>
      <c r="D1157" s="104" t="s">
        <v>85</v>
      </c>
      <c r="E1157" s="104" t="s">
        <v>512</v>
      </c>
      <c r="F1157" s="104" t="s">
        <v>330</v>
      </c>
      <c r="G1157" s="105" t="s">
        <v>330</v>
      </c>
      <c r="H1157" s="106">
        <v>1243</v>
      </c>
      <c r="I1157" s="106">
        <v>826</v>
      </c>
      <c r="J1157" s="106">
        <v>417</v>
      </c>
      <c r="K1157" s="106">
        <v>58</v>
      </c>
      <c r="L1157" s="106">
        <v>321</v>
      </c>
      <c r="M1157" s="106">
        <v>692</v>
      </c>
      <c r="N1157" s="106">
        <v>172</v>
      </c>
      <c r="O1157" s="106">
        <v>1241</v>
      </c>
      <c r="P1157" s="106">
        <v>2</v>
      </c>
      <c r="Q1157" s="107">
        <v>0.16806722689075601</v>
      </c>
      <c r="R1157" s="107">
        <v>0.12562814070351799</v>
      </c>
      <c r="S1157" s="107">
        <v>0.25380710659898498</v>
      </c>
      <c r="T1157" s="107">
        <v>0</v>
      </c>
      <c r="U1157" s="107">
        <v>0.33003300330032997</v>
      </c>
      <c r="V1157" s="107">
        <v>0.14947683109118101</v>
      </c>
      <c r="W1157" s="107">
        <v>0</v>
      </c>
      <c r="X1157" s="107">
        <v>0.16806722689075601</v>
      </c>
      <c r="Y1157" s="107">
        <v>0</v>
      </c>
      <c r="Z1157" s="106">
        <v>1034</v>
      </c>
      <c r="AA1157" s="106">
        <v>617</v>
      </c>
      <c r="AB1157" s="106">
        <v>417</v>
      </c>
      <c r="AC1157" s="106">
        <v>42</v>
      </c>
      <c r="AD1157" s="106">
        <v>182</v>
      </c>
      <c r="AE1157" s="106">
        <v>580</v>
      </c>
      <c r="AF1157" s="106">
        <v>230</v>
      </c>
      <c r="AG1157" s="106">
        <v>51</v>
      </c>
      <c r="AH1157" s="106">
        <v>954</v>
      </c>
      <c r="AI1157" s="106">
        <v>29</v>
      </c>
      <c r="AJ1157" s="106">
        <v>1018</v>
      </c>
      <c r="AK1157" s="106">
        <v>6</v>
      </c>
      <c r="AL1157" s="106">
        <v>10</v>
      </c>
      <c r="AM1157" s="106">
        <v>90</v>
      </c>
      <c r="AN1157" s="106">
        <v>931</v>
      </c>
      <c r="AO1157" s="106">
        <v>13</v>
      </c>
      <c r="AP1157" s="107">
        <v>2.0703933747412</v>
      </c>
      <c r="AQ1157" s="107">
        <v>0.504201680672269</v>
      </c>
      <c r="AR1157" s="107">
        <v>4.5822102425875997</v>
      </c>
      <c r="AS1157" s="107">
        <v>7.6923076923076898</v>
      </c>
      <c r="AT1157" s="107">
        <v>2.32558139534884</v>
      </c>
      <c r="AU1157" s="107">
        <v>2.2263450834879399</v>
      </c>
      <c r="AV1157" s="107">
        <v>0.46296296296296302</v>
      </c>
      <c r="AW1157" s="107">
        <v>2</v>
      </c>
      <c r="AX1157" s="107">
        <v>2.1420518602029301</v>
      </c>
      <c r="AY1157" s="107">
        <v>0</v>
      </c>
      <c r="AZ1157" s="107">
        <v>2.1030494216614102</v>
      </c>
      <c r="BA1157" s="107">
        <v>0</v>
      </c>
      <c r="BB1157" s="107">
        <v>0</v>
      </c>
      <c r="BC1157" s="107">
        <v>0</v>
      </c>
      <c r="BD1157" s="107">
        <v>2.30414746543779</v>
      </c>
      <c r="BE1157" s="107">
        <v>0</v>
      </c>
    </row>
    <row r="1158" spans="2:57" ht="15" customHeight="1" x14ac:dyDescent="0.25">
      <c r="B1158" s="91">
        <v>1148</v>
      </c>
      <c r="C1158" s="92" t="s">
        <v>504</v>
      </c>
      <c r="D1158" s="92" t="s">
        <v>85</v>
      </c>
      <c r="E1158" s="92" t="s">
        <v>512</v>
      </c>
      <c r="F1158" s="92" t="s">
        <v>330</v>
      </c>
      <c r="G1158" s="101" t="s">
        <v>501</v>
      </c>
      <c r="H1158" s="94">
        <v>0</v>
      </c>
      <c r="I1158" s="94">
        <v>0</v>
      </c>
      <c r="J1158" s="94">
        <v>0</v>
      </c>
      <c r="K1158" s="94">
        <v>0</v>
      </c>
      <c r="L1158" s="94">
        <v>0</v>
      </c>
      <c r="M1158" s="94">
        <v>0</v>
      </c>
      <c r="N1158" s="94">
        <v>0</v>
      </c>
      <c r="O1158" s="94">
        <v>0</v>
      </c>
      <c r="P1158" s="94">
        <v>0</v>
      </c>
      <c r="Q1158" s="95">
        <v>0</v>
      </c>
      <c r="R1158" s="95">
        <v>0</v>
      </c>
      <c r="S1158" s="95">
        <v>0</v>
      </c>
      <c r="T1158" s="95">
        <v>0</v>
      </c>
      <c r="U1158" s="95">
        <v>0</v>
      </c>
      <c r="V1158" s="95">
        <v>0</v>
      </c>
      <c r="W1158" s="95">
        <v>0</v>
      </c>
      <c r="X1158" s="95">
        <v>0</v>
      </c>
      <c r="Y1158" s="95">
        <v>0</v>
      </c>
      <c r="Z1158" s="94">
        <v>0</v>
      </c>
      <c r="AA1158" s="94">
        <v>0</v>
      </c>
      <c r="AB1158" s="94">
        <v>0</v>
      </c>
      <c r="AC1158" s="94">
        <v>0</v>
      </c>
      <c r="AD1158" s="94">
        <v>0</v>
      </c>
      <c r="AE1158" s="94">
        <v>0</v>
      </c>
      <c r="AF1158" s="94">
        <v>0</v>
      </c>
      <c r="AG1158" s="94">
        <v>0</v>
      </c>
      <c r="AH1158" s="94">
        <v>0</v>
      </c>
      <c r="AI1158" s="94">
        <v>0</v>
      </c>
      <c r="AJ1158" s="94">
        <v>0</v>
      </c>
      <c r="AK1158" s="94">
        <v>0</v>
      </c>
      <c r="AL1158" s="94">
        <v>0</v>
      </c>
      <c r="AM1158" s="94">
        <v>0</v>
      </c>
      <c r="AN1158" s="94">
        <v>0</v>
      </c>
      <c r="AO1158" s="94">
        <v>0</v>
      </c>
      <c r="AP1158" s="95">
        <v>0</v>
      </c>
      <c r="AQ1158" s="95">
        <v>0</v>
      </c>
      <c r="AR1158" s="95">
        <v>0</v>
      </c>
      <c r="AS1158" s="95">
        <v>0</v>
      </c>
      <c r="AT1158" s="95">
        <v>0</v>
      </c>
      <c r="AU1158" s="95">
        <v>0</v>
      </c>
      <c r="AV1158" s="95">
        <v>0</v>
      </c>
      <c r="AW1158" s="95">
        <v>0</v>
      </c>
      <c r="AX1158" s="95">
        <v>0</v>
      </c>
      <c r="AY1158" s="95">
        <v>0</v>
      </c>
      <c r="AZ1158" s="95">
        <v>0</v>
      </c>
      <c r="BA1158" s="95">
        <v>0</v>
      </c>
      <c r="BB1158" s="95">
        <v>0</v>
      </c>
      <c r="BC1158" s="95">
        <v>0</v>
      </c>
      <c r="BD1158" s="95">
        <v>0</v>
      </c>
      <c r="BE1158" s="95">
        <v>0</v>
      </c>
    </row>
    <row r="1159" spans="2:57" ht="15" customHeight="1" x14ac:dyDescent="0.25">
      <c r="B1159" s="91">
        <v>1149</v>
      </c>
      <c r="C1159" s="92" t="s">
        <v>504</v>
      </c>
      <c r="D1159" s="92" t="s">
        <v>85</v>
      </c>
      <c r="E1159" s="92" t="s">
        <v>512</v>
      </c>
      <c r="F1159" s="92" t="s">
        <v>330</v>
      </c>
      <c r="G1159" s="101" t="s">
        <v>502</v>
      </c>
      <c r="H1159" s="94">
        <v>1243</v>
      </c>
      <c r="I1159" s="94">
        <v>826</v>
      </c>
      <c r="J1159" s="94">
        <v>417</v>
      </c>
      <c r="K1159" s="94">
        <v>58</v>
      </c>
      <c r="L1159" s="94">
        <v>321</v>
      </c>
      <c r="M1159" s="94">
        <v>692</v>
      </c>
      <c r="N1159" s="94">
        <v>172</v>
      </c>
      <c r="O1159" s="94">
        <v>1241</v>
      </c>
      <c r="P1159" s="94">
        <v>2</v>
      </c>
      <c r="Q1159" s="95">
        <v>0.16806722689075601</v>
      </c>
      <c r="R1159" s="95">
        <v>0.12562814070351799</v>
      </c>
      <c r="S1159" s="95">
        <v>0.25380710659898498</v>
      </c>
      <c r="T1159" s="95">
        <v>0</v>
      </c>
      <c r="U1159" s="95">
        <v>0.33003300330032997</v>
      </c>
      <c r="V1159" s="95">
        <v>0.14947683109118101</v>
      </c>
      <c r="W1159" s="95">
        <v>0</v>
      </c>
      <c r="X1159" s="95">
        <v>0.16806722689075601</v>
      </c>
      <c r="Y1159" s="95">
        <v>0</v>
      </c>
      <c r="Z1159" s="94">
        <v>1034</v>
      </c>
      <c r="AA1159" s="94">
        <v>617</v>
      </c>
      <c r="AB1159" s="94">
        <v>417</v>
      </c>
      <c r="AC1159" s="94">
        <v>42</v>
      </c>
      <c r="AD1159" s="94">
        <v>182</v>
      </c>
      <c r="AE1159" s="94">
        <v>580</v>
      </c>
      <c r="AF1159" s="94">
        <v>230</v>
      </c>
      <c r="AG1159" s="94">
        <v>51</v>
      </c>
      <c r="AH1159" s="94">
        <v>954</v>
      </c>
      <c r="AI1159" s="94">
        <v>29</v>
      </c>
      <c r="AJ1159" s="94">
        <v>1018</v>
      </c>
      <c r="AK1159" s="94">
        <v>6</v>
      </c>
      <c r="AL1159" s="94">
        <v>10</v>
      </c>
      <c r="AM1159" s="94">
        <v>90</v>
      </c>
      <c r="AN1159" s="94">
        <v>931</v>
      </c>
      <c r="AO1159" s="94">
        <v>13</v>
      </c>
      <c r="AP1159" s="95">
        <v>2.0703933747412</v>
      </c>
      <c r="AQ1159" s="95">
        <v>0.504201680672269</v>
      </c>
      <c r="AR1159" s="95">
        <v>4.5822102425875997</v>
      </c>
      <c r="AS1159" s="95">
        <v>7.6923076923076898</v>
      </c>
      <c r="AT1159" s="95">
        <v>2.32558139534884</v>
      </c>
      <c r="AU1159" s="95">
        <v>2.2263450834879399</v>
      </c>
      <c r="AV1159" s="95">
        <v>0.46296296296296302</v>
      </c>
      <c r="AW1159" s="95">
        <v>2</v>
      </c>
      <c r="AX1159" s="95">
        <v>2.1420518602029301</v>
      </c>
      <c r="AY1159" s="95">
        <v>0</v>
      </c>
      <c r="AZ1159" s="95">
        <v>2.1030494216614102</v>
      </c>
      <c r="BA1159" s="95">
        <v>0</v>
      </c>
      <c r="BB1159" s="95">
        <v>0</v>
      </c>
      <c r="BC1159" s="95">
        <v>0</v>
      </c>
      <c r="BD1159" s="95">
        <v>2.30414746543779</v>
      </c>
      <c r="BE1159" s="95">
        <v>0</v>
      </c>
    </row>
    <row r="1160" spans="2:57" ht="15" customHeight="1" x14ac:dyDescent="0.25">
      <c r="B1160" s="96">
        <v>1150</v>
      </c>
      <c r="C1160" s="97" t="s">
        <v>504</v>
      </c>
      <c r="D1160" s="104" t="s">
        <v>85</v>
      </c>
      <c r="E1160" s="104" t="s">
        <v>512</v>
      </c>
      <c r="F1160" s="104" t="s">
        <v>331</v>
      </c>
      <c r="G1160" s="105" t="s">
        <v>331</v>
      </c>
      <c r="H1160" s="106">
        <v>1094</v>
      </c>
      <c r="I1160" s="106">
        <v>670</v>
      </c>
      <c r="J1160" s="106">
        <v>424</v>
      </c>
      <c r="K1160" s="106">
        <v>85</v>
      </c>
      <c r="L1160" s="106">
        <v>237</v>
      </c>
      <c r="M1160" s="106">
        <v>609</v>
      </c>
      <c r="N1160" s="106">
        <v>163</v>
      </c>
      <c r="O1160" s="106">
        <v>1085</v>
      </c>
      <c r="P1160" s="106">
        <v>9</v>
      </c>
      <c r="Q1160" s="107">
        <v>0.90180360721442898</v>
      </c>
      <c r="R1160" s="107">
        <v>0.64935064935064901</v>
      </c>
      <c r="S1160" s="107">
        <v>1.30890052356021</v>
      </c>
      <c r="T1160" s="107">
        <v>0</v>
      </c>
      <c r="U1160" s="107">
        <v>1.86046511627907</v>
      </c>
      <c r="V1160" s="107">
        <v>0.90415913200723297</v>
      </c>
      <c r="W1160" s="107">
        <v>0</v>
      </c>
      <c r="X1160" s="107">
        <v>0.403632694248234</v>
      </c>
      <c r="Y1160" s="107">
        <v>71.428571428571402</v>
      </c>
      <c r="Z1160" s="106">
        <v>1175</v>
      </c>
      <c r="AA1160" s="106">
        <v>732</v>
      </c>
      <c r="AB1160" s="106">
        <v>443</v>
      </c>
      <c r="AC1160" s="106">
        <v>30</v>
      </c>
      <c r="AD1160" s="106">
        <v>211</v>
      </c>
      <c r="AE1160" s="106">
        <v>701</v>
      </c>
      <c r="AF1160" s="106">
        <v>233</v>
      </c>
      <c r="AG1160" s="106">
        <v>38</v>
      </c>
      <c r="AH1160" s="106">
        <v>1116</v>
      </c>
      <c r="AI1160" s="106">
        <v>21</v>
      </c>
      <c r="AJ1160" s="106">
        <v>1171</v>
      </c>
      <c r="AK1160" s="106">
        <v>1</v>
      </c>
      <c r="AL1160" s="106">
        <v>3</v>
      </c>
      <c r="AM1160" s="106">
        <v>87</v>
      </c>
      <c r="AN1160" s="106">
        <v>1081</v>
      </c>
      <c r="AO1160" s="106">
        <v>7</v>
      </c>
      <c r="AP1160" s="107">
        <v>1.9819819819819799</v>
      </c>
      <c r="AQ1160" s="107">
        <v>1.1347517730496499</v>
      </c>
      <c r="AR1160" s="107">
        <v>3.4567901234567899</v>
      </c>
      <c r="AS1160" s="107">
        <v>7.4074074074074101</v>
      </c>
      <c r="AT1160" s="107">
        <v>2.52525252525253</v>
      </c>
      <c r="AU1160" s="107">
        <v>2.2658610271903301</v>
      </c>
      <c r="AV1160" s="107">
        <v>0</v>
      </c>
      <c r="AW1160" s="107">
        <v>0</v>
      </c>
      <c r="AX1160" s="107">
        <v>2.0892687559354202</v>
      </c>
      <c r="AY1160" s="107">
        <v>0</v>
      </c>
      <c r="AZ1160" s="107">
        <v>1.9891500904159101</v>
      </c>
      <c r="BA1160" s="107">
        <v>0</v>
      </c>
      <c r="BB1160" s="107">
        <v>0</v>
      </c>
      <c r="BC1160" s="107">
        <v>1.2195121951219501</v>
      </c>
      <c r="BD1160" s="107">
        <v>2.0547945205479401</v>
      </c>
      <c r="BE1160" s="107">
        <v>0</v>
      </c>
    </row>
    <row r="1161" spans="2:57" ht="15" customHeight="1" x14ac:dyDescent="0.25">
      <c r="B1161" s="91">
        <v>1151</v>
      </c>
      <c r="C1161" s="92" t="s">
        <v>504</v>
      </c>
      <c r="D1161" s="92" t="s">
        <v>85</v>
      </c>
      <c r="E1161" s="92" t="s">
        <v>512</v>
      </c>
      <c r="F1161" s="92" t="s">
        <v>331</v>
      </c>
      <c r="G1161" s="101" t="s">
        <v>501</v>
      </c>
      <c r="H1161" s="94">
        <v>0</v>
      </c>
      <c r="I1161" s="94">
        <v>0</v>
      </c>
      <c r="J1161" s="94">
        <v>0</v>
      </c>
      <c r="K1161" s="94">
        <v>0</v>
      </c>
      <c r="L1161" s="94">
        <v>0</v>
      </c>
      <c r="M1161" s="94">
        <v>0</v>
      </c>
      <c r="N1161" s="94">
        <v>0</v>
      </c>
      <c r="O1161" s="94">
        <v>0</v>
      </c>
      <c r="P1161" s="94">
        <v>0</v>
      </c>
      <c r="Q1161" s="95">
        <v>0</v>
      </c>
      <c r="R1161" s="95">
        <v>0</v>
      </c>
      <c r="S1161" s="95">
        <v>0</v>
      </c>
      <c r="T1161" s="95">
        <v>0</v>
      </c>
      <c r="U1161" s="95">
        <v>0</v>
      </c>
      <c r="V1161" s="95">
        <v>0</v>
      </c>
      <c r="W1161" s="95">
        <v>0</v>
      </c>
      <c r="X1161" s="95">
        <v>0</v>
      </c>
      <c r="Y1161" s="95">
        <v>0</v>
      </c>
      <c r="Z1161" s="94">
        <v>0</v>
      </c>
      <c r="AA1161" s="94">
        <v>0</v>
      </c>
      <c r="AB1161" s="94">
        <v>0</v>
      </c>
      <c r="AC1161" s="94">
        <v>0</v>
      </c>
      <c r="AD1161" s="94">
        <v>0</v>
      </c>
      <c r="AE1161" s="94">
        <v>0</v>
      </c>
      <c r="AF1161" s="94">
        <v>0</v>
      </c>
      <c r="AG1161" s="94">
        <v>0</v>
      </c>
      <c r="AH1161" s="94">
        <v>0</v>
      </c>
      <c r="AI1161" s="94">
        <v>0</v>
      </c>
      <c r="AJ1161" s="94">
        <v>0</v>
      </c>
      <c r="AK1161" s="94">
        <v>0</v>
      </c>
      <c r="AL1161" s="94">
        <v>0</v>
      </c>
      <c r="AM1161" s="94">
        <v>0</v>
      </c>
      <c r="AN1161" s="94">
        <v>0</v>
      </c>
      <c r="AO1161" s="94">
        <v>0</v>
      </c>
      <c r="AP1161" s="95">
        <v>0</v>
      </c>
      <c r="AQ1161" s="95">
        <v>0</v>
      </c>
      <c r="AR1161" s="95">
        <v>0</v>
      </c>
      <c r="AS1161" s="95">
        <v>0</v>
      </c>
      <c r="AT1161" s="95">
        <v>0</v>
      </c>
      <c r="AU1161" s="95">
        <v>0</v>
      </c>
      <c r="AV1161" s="95">
        <v>0</v>
      </c>
      <c r="AW1161" s="95">
        <v>0</v>
      </c>
      <c r="AX1161" s="95">
        <v>0</v>
      </c>
      <c r="AY1161" s="95">
        <v>0</v>
      </c>
      <c r="AZ1161" s="95">
        <v>0</v>
      </c>
      <c r="BA1161" s="95">
        <v>0</v>
      </c>
      <c r="BB1161" s="95">
        <v>0</v>
      </c>
      <c r="BC1161" s="95">
        <v>0</v>
      </c>
      <c r="BD1161" s="95">
        <v>0</v>
      </c>
      <c r="BE1161" s="95">
        <v>0</v>
      </c>
    </row>
    <row r="1162" spans="2:57" ht="15" customHeight="1" x14ac:dyDescent="0.25">
      <c r="B1162" s="91">
        <v>1152</v>
      </c>
      <c r="C1162" s="92" t="s">
        <v>504</v>
      </c>
      <c r="D1162" s="92" t="s">
        <v>85</v>
      </c>
      <c r="E1162" s="92" t="s">
        <v>512</v>
      </c>
      <c r="F1162" s="92" t="s">
        <v>331</v>
      </c>
      <c r="G1162" s="101" t="s">
        <v>502</v>
      </c>
      <c r="H1162" s="94">
        <v>1094</v>
      </c>
      <c r="I1162" s="94">
        <v>670</v>
      </c>
      <c r="J1162" s="94">
        <v>424</v>
      </c>
      <c r="K1162" s="94">
        <v>85</v>
      </c>
      <c r="L1162" s="94">
        <v>237</v>
      </c>
      <c r="M1162" s="94">
        <v>609</v>
      </c>
      <c r="N1162" s="94">
        <v>163</v>
      </c>
      <c r="O1162" s="94">
        <v>1085</v>
      </c>
      <c r="P1162" s="94">
        <v>9</v>
      </c>
      <c r="Q1162" s="95">
        <v>0.90180360721442898</v>
      </c>
      <c r="R1162" s="95">
        <v>0.64935064935064901</v>
      </c>
      <c r="S1162" s="95">
        <v>1.30890052356021</v>
      </c>
      <c r="T1162" s="95">
        <v>0</v>
      </c>
      <c r="U1162" s="95">
        <v>1.86046511627907</v>
      </c>
      <c r="V1162" s="95">
        <v>0.90415913200723297</v>
      </c>
      <c r="W1162" s="95">
        <v>0</v>
      </c>
      <c r="X1162" s="95">
        <v>0.403632694248234</v>
      </c>
      <c r="Y1162" s="95">
        <v>71.428571428571402</v>
      </c>
      <c r="Z1162" s="94">
        <v>1175</v>
      </c>
      <c r="AA1162" s="94">
        <v>732</v>
      </c>
      <c r="AB1162" s="94">
        <v>443</v>
      </c>
      <c r="AC1162" s="94">
        <v>30</v>
      </c>
      <c r="AD1162" s="94">
        <v>211</v>
      </c>
      <c r="AE1162" s="94">
        <v>701</v>
      </c>
      <c r="AF1162" s="94">
        <v>233</v>
      </c>
      <c r="AG1162" s="94">
        <v>38</v>
      </c>
      <c r="AH1162" s="94">
        <v>1116</v>
      </c>
      <c r="AI1162" s="94">
        <v>21</v>
      </c>
      <c r="AJ1162" s="94">
        <v>1171</v>
      </c>
      <c r="AK1162" s="94">
        <v>1</v>
      </c>
      <c r="AL1162" s="94">
        <v>3</v>
      </c>
      <c r="AM1162" s="94">
        <v>87</v>
      </c>
      <c r="AN1162" s="94">
        <v>1081</v>
      </c>
      <c r="AO1162" s="94">
        <v>7</v>
      </c>
      <c r="AP1162" s="95">
        <v>1.9819819819819799</v>
      </c>
      <c r="AQ1162" s="95">
        <v>1.1347517730496499</v>
      </c>
      <c r="AR1162" s="95">
        <v>3.4567901234567899</v>
      </c>
      <c r="AS1162" s="95">
        <v>7.4074074074074101</v>
      </c>
      <c r="AT1162" s="95">
        <v>2.52525252525253</v>
      </c>
      <c r="AU1162" s="95">
        <v>2.2658610271903301</v>
      </c>
      <c r="AV1162" s="95">
        <v>0</v>
      </c>
      <c r="AW1162" s="95">
        <v>0</v>
      </c>
      <c r="AX1162" s="95">
        <v>2.0892687559354202</v>
      </c>
      <c r="AY1162" s="95">
        <v>0</v>
      </c>
      <c r="AZ1162" s="95">
        <v>1.9891500904159101</v>
      </c>
      <c r="BA1162" s="95">
        <v>0</v>
      </c>
      <c r="BB1162" s="95">
        <v>0</v>
      </c>
      <c r="BC1162" s="95">
        <v>1.2195121951219501</v>
      </c>
      <c r="BD1162" s="95">
        <v>2.0547945205479401</v>
      </c>
      <c r="BE1162" s="95">
        <v>0</v>
      </c>
    </row>
    <row r="1163" spans="2:57" ht="15" customHeight="1" x14ac:dyDescent="0.25">
      <c r="B1163" s="86">
        <v>1153</v>
      </c>
      <c r="C1163" s="87" t="s">
        <v>503</v>
      </c>
      <c r="D1163" s="103" t="s">
        <v>85</v>
      </c>
      <c r="E1163" s="103" t="s">
        <v>418</v>
      </c>
      <c r="F1163" s="103"/>
      <c r="G1163" s="88" t="s">
        <v>418</v>
      </c>
      <c r="H1163" s="89">
        <v>16137</v>
      </c>
      <c r="I1163" s="89">
        <v>10308</v>
      </c>
      <c r="J1163" s="89">
        <v>5829</v>
      </c>
      <c r="K1163" s="89">
        <v>1210</v>
      </c>
      <c r="L1163" s="89">
        <v>4248</v>
      </c>
      <c r="M1163" s="89">
        <v>8679</v>
      </c>
      <c r="N1163" s="89">
        <v>2000</v>
      </c>
      <c r="O1163" s="89">
        <v>15995</v>
      </c>
      <c r="P1163" s="89">
        <v>142</v>
      </c>
      <c r="Q1163" s="90">
        <v>1.2144650247642299</v>
      </c>
      <c r="R1163" s="90">
        <v>0.62039957939011603</v>
      </c>
      <c r="S1163" s="90">
        <v>2.2948938611589198</v>
      </c>
      <c r="T1163" s="90">
        <v>1.94444444444444</v>
      </c>
      <c r="U1163" s="90">
        <v>1.3986013986014001</v>
      </c>
      <c r="V1163" s="90">
        <v>1.1034482758620701</v>
      </c>
      <c r="W1163" s="90">
        <v>0.87767416346681304</v>
      </c>
      <c r="X1163" s="90">
        <v>1.1292088694223901</v>
      </c>
      <c r="Y1163" s="90">
        <v>11.0236220472441</v>
      </c>
      <c r="Z1163" s="89">
        <v>20111</v>
      </c>
      <c r="AA1163" s="89">
        <v>11917</v>
      </c>
      <c r="AB1163" s="89">
        <v>8194</v>
      </c>
      <c r="AC1163" s="89">
        <v>1126</v>
      </c>
      <c r="AD1163" s="89">
        <v>5047</v>
      </c>
      <c r="AE1163" s="89">
        <v>11132</v>
      </c>
      <c r="AF1163" s="89">
        <v>2806</v>
      </c>
      <c r="AG1163" s="89">
        <v>4530</v>
      </c>
      <c r="AH1163" s="89">
        <v>15261</v>
      </c>
      <c r="AI1163" s="89">
        <v>320</v>
      </c>
      <c r="AJ1163" s="89">
        <v>19698</v>
      </c>
      <c r="AK1163" s="89">
        <v>351</v>
      </c>
      <c r="AL1163" s="89">
        <v>62</v>
      </c>
      <c r="AM1163" s="89">
        <v>1034</v>
      </c>
      <c r="AN1163" s="89">
        <v>18894</v>
      </c>
      <c r="AO1163" s="89">
        <v>183</v>
      </c>
      <c r="AP1163" s="90">
        <v>4.2166162827061404</v>
      </c>
      <c r="AQ1163" s="90">
        <v>1.6743298343020701</v>
      </c>
      <c r="AR1163" s="90">
        <v>8.0428254341297798</v>
      </c>
      <c r="AS1163" s="90">
        <v>7.1227741330834098</v>
      </c>
      <c r="AT1163" s="90">
        <v>4.68815403934701</v>
      </c>
      <c r="AU1163" s="90">
        <v>4.1623602367753501</v>
      </c>
      <c r="AV1163" s="90">
        <v>2.4462564862861398</v>
      </c>
      <c r="AW1163" s="90">
        <v>3.2745591939546599</v>
      </c>
      <c r="AX1163" s="90">
        <v>4.5407565630813798</v>
      </c>
      <c r="AY1163" s="90">
        <v>2.28758169934641</v>
      </c>
      <c r="AZ1163" s="90">
        <v>4.0835858988674403</v>
      </c>
      <c r="BA1163" s="90">
        <v>11.838006230529601</v>
      </c>
      <c r="BB1163" s="90">
        <v>5.1724137931034502</v>
      </c>
      <c r="BC1163" s="90">
        <v>3.2128514056224899</v>
      </c>
      <c r="BD1163" s="90">
        <v>4.2732671069426704</v>
      </c>
      <c r="BE1163" s="90">
        <v>4.0935672514619901</v>
      </c>
    </row>
    <row r="1164" spans="2:57" ht="15" customHeight="1" x14ac:dyDescent="0.25">
      <c r="B1164" s="91">
        <v>1154</v>
      </c>
      <c r="C1164" s="92" t="s">
        <v>503</v>
      </c>
      <c r="D1164" s="92" t="s">
        <v>85</v>
      </c>
      <c r="E1164" s="92" t="s">
        <v>418</v>
      </c>
      <c r="F1164" s="92"/>
      <c r="G1164" s="93" t="s">
        <v>501</v>
      </c>
      <c r="H1164" s="94">
        <v>6973</v>
      </c>
      <c r="I1164" s="94">
        <v>4222</v>
      </c>
      <c r="J1164" s="94">
        <v>2751</v>
      </c>
      <c r="K1164" s="94">
        <v>540</v>
      </c>
      <c r="L1164" s="94">
        <v>1947</v>
      </c>
      <c r="M1164" s="94">
        <v>3791</v>
      </c>
      <c r="N1164" s="94">
        <v>695</v>
      </c>
      <c r="O1164" s="94">
        <v>6883</v>
      </c>
      <c r="P1164" s="94">
        <v>90</v>
      </c>
      <c r="Q1164" s="95">
        <v>2.2537431048069299</v>
      </c>
      <c r="R1164" s="95">
        <v>1.1422637590861899</v>
      </c>
      <c r="S1164" s="95">
        <v>3.9711191335740099</v>
      </c>
      <c r="T1164" s="95">
        <v>3.3126293995859202</v>
      </c>
      <c r="U1164" s="95">
        <v>2.2586109542631299</v>
      </c>
      <c r="V1164" s="95">
        <v>2.1043528394350002</v>
      </c>
      <c r="W1164" s="95">
        <v>2.2508038585209</v>
      </c>
      <c r="X1164" s="95">
        <v>2.05905826017558</v>
      </c>
      <c r="Y1164" s="95">
        <v>17.5</v>
      </c>
      <c r="Z1164" s="94">
        <v>8978</v>
      </c>
      <c r="AA1164" s="94">
        <v>5027</v>
      </c>
      <c r="AB1164" s="94">
        <v>3951</v>
      </c>
      <c r="AC1164" s="94">
        <v>543</v>
      </c>
      <c r="AD1164" s="94">
        <v>2381</v>
      </c>
      <c r="AE1164" s="94">
        <v>4971</v>
      </c>
      <c r="AF1164" s="94">
        <v>1083</v>
      </c>
      <c r="AG1164" s="94">
        <v>2055</v>
      </c>
      <c r="AH1164" s="94">
        <v>6821</v>
      </c>
      <c r="AI1164" s="94">
        <v>102</v>
      </c>
      <c r="AJ1164" s="94">
        <v>8732</v>
      </c>
      <c r="AK1164" s="94">
        <v>222</v>
      </c>
      <c r="AL1164" s="94">
        <v>24</v>
      </c>
      <c r="AM1164" s="94">
        <v>447</v>
      </c>
      <c r="AN1164" s="94">
        <v>8467</v>
      </c>
      <c r="AO1164" s="94">
        <v>64</v>
      </c>
      <c r="AP1164" s="95">
        <v>6.7211201866977799</v>
      </c>
      <c r="AQ1164" s="95">
        <v>2.6446280991735498</v>
      </c>
      <c r="AR1164" s="95">
        <v>12.010723860589801</v>
      </c>
      <c r="AS1164" s="95">
        <v>9.9221789883268503</v>
      </c>
      <c r="AT1164" s="95">
        <v>7.6684397163120597</v>
      </c>
      <c r="AU1164" s="95">
        <v>6.4035271887465903</v>
      </c>
      <c r="AV1164" s="95">
        <v>4.5323047251687596</v>
      </c>
      <c r="AW1164" s="95">
        <v>5.8022199798183696</v>
      </c>
      <c r="AX1164" s="95">
        <v>7.0272769301895499</v>
      </c>
      <c r="AY1164" s="95">
        <v>5.0505050505050502</v>
      </c>
      <c r="AZ1164" s="95">
        <v>6.55560882070949</v>
      </c>
      <c r="BA1164" s="95">
        <v>13.235294117647101</v>
      </c>
      <c r="BB1164" s="95">
        <v>9.0909090909090899</v>
      </c>
      <c r="BC1164" s="95">
        <v>4.9180327868852496</v>
      </c>
      <c r="BD1164" s="95">
        <v>6.78951273806579</v>
      </c>
      <c r="BE1164" s="95">
        <v>10.526315789473699</v>
      </c>
    </row>
    <row r="1165" spans="2:57" ht="15" customHeight="1" x14ac:dyDescent="0.25">
      <c r="B1165" s="91">
        <v>1155</v>
      </c>
      <c r="C1165" s="92" t="s">
        <v>503</v>
      </c>
      <c r="D1165" s="92" t="s">
        <v>85</v>
      </c>
      <c r="E1165" s="92" t="s">
        <v>418</v>
      </c>
      <c r="F1165" s="92"/>
      <c r="G1165" s="93" t="s">
        <v>502</v>
      </c>
      <c r="H1165" s="94">
        <v>9164</v>
      </c>
      <c r="I1165" s="94">
        <v>6086</v>
      </c>
      <c r="J1165" s="94">
        <v>3078</v>
      </c>
      <c r="K1165" s="94">
        <v>670</v>
      </c>
      <c r="L1165" s="94">
        <v>2301</v>
      </c>
      <c r="M1165" s="94">
        <v>4888</v>
      </c>
      <c r="N1165" s="94">
        <v>1305</v>
      </c>
      <c r="O1165" s="94">
        <v>9112</v>
      </c>
      <c r="P1165" s="94">
        <v>52</v>
      </c>
      <c r="Q1165" s="95">
        <v>0.428877769835597</v>
      </c>
      <c r="R1165" s="95">
        <v>0.26511134676564202</v>
      </c>
      <c r="S1165" s="95">
        <v>0.76754385964912297</v>
      </c>
      <c r="T1165" s="95">
        <v>0.83752093802345096</v>
      </c>
      <c r="U1165" s="95">
        <v>0.66985645933014404</v>
      </c>
      <c r="V1165" s="95">
        <v>0.33288948069240998</v>
      </c>
      <c r="W1165" s="95">
        <v>0.16652789342214799</v>
      </c>
      <c r="X1165" s="95">
        <v>0.43129268000479198</v>
      </c>
      <c r="Y1165" s="95">
        <v>0</v>
      </c>
      <c r="Z1165" s="94">
        <v>11133</v>
      </c>
      <c r="AA1165" s="94">
        <v>6890</v>
      </c>
      <c r="AB1165" s="94">
        <v>4243</v>
      </c>
      <c r="AC1165" s="94">
        <v>583</v>
      </c>
      <c r="AD1165" s="94">
        <v>2666</v>
      </c>
      <c r="AE1165" s="94">
        <v>6161</v>
      </c>
      <c r="AF1165" s="94">
        <v>1723</v>
      </c>
      <c r="AG1165" s="94">
        <v>2475</v>
      </c>
      <c r="AH1165" s="94">
        <v>8440</v>
      </c>
      <c r="AI1165" s="94">
        <v>218</v>
      </c>
      <c r="AJ1165" s="94">
        <v>10966</v>
      </c>
      <c r="AK1165" s="94">
        <v>129</v>
      </c>
      <c r="AL1165" s="94">
        <v>38</v>
      </c>
      <c r="AM1165" s="94">
        <v>587</v>
      </c>
      <c r="AN1165" s="94">
        <v>10427</v>
      </c>
      <c r="AO1165" s="94">
        <v>119</v>
      </c>
      <c r="AP1165" s="95">
        <v>2.1948003014317998</v>
      </c>
      <c r="AQ1165" s="95">
        <v>0.97203529235830699</v>
      </c>
      <c r="AR1165" s="95">
        <v>4.2758971748536503</v>
      </c>
      <c r="AS1165" s="95">
        <v>4.5207956600361703</v>
      </c>
      <c r="AT1165" s="95">
        <v>2.0222045995241902</v>
      </c>
      <c r="AU1165" s="95">
        <v>2.3469387755101998</v>
      </c>
      <c r="AV1165" s="95">
        <v>1.14388922335942</v>
      </c>
      <c r="AW1165" s="95">
        <v>1.1740041928721201</v>
      </c>
      <c r="AX1165" s="95">
        <v>2.52991026919242</v>
      </c>
      <c r="AY1165" s="95">
        <v>0.96618357487922701</v>
      </c>
      <c r="AZ1165" s="95">
        <v>2.1122049125489801</v>
      </c>
      <c r="BA1165" s="95">
        <v>9.4017094017094003</v>
      </c>
      <c r="BB1165" s="95">
        <v>2.7777777777777799</v>
      </c>
      <c r="BC1165" s="95">
        <v>1.9332161687170499</v>
      </c>
      <c r="BD1165" s="95">
        <v>2.22490687606967</v>
      </c>
      <c r="BE1165" s="95">
        <v>0.87719298245613997</v>
      </c>
    </row>
    <row r="1166" spans="2:57" ht="15" customHeight="1" x14ac:dyDescent="0.25">
      <c r="B1166" s="96">
        <v>1156</v>
      </c>
      <c r="C1166" s="97" t="s">
        <v>504</v>
      </c>
      <c r="D1166" s="104" t="s">
        <v>85</v>
      </c>
      <c r="E1166" s="104" t="s">
        <v>418</v>
      </c>
      <c r="F1166" s="104" t="s">
        <v>192</v>
      </c>
      <c r="G1166" s="105" t="s">
        <v>192</v>
      </c>
      <c r="H1166" s="106">
        <v>5320</v>
      </c>
      <c r="I1166" s="106">
        <v>3386</v>
      </c>
      <c r="J1166" s="106">
        <v>1934</v>
      </c>
      <c r="K1166" s="106">
        <v>363</v>
      </c>
      <c r="L1166" s="106">
        <v>1279</v>
      </c>
      <c r="M1166" s="106">
        <v>2896</v>
      </c>
      <c r="N1166" s="106">
        <v>782</v>
      </c>
      <c r="O1166" s="106">
        <v>5197</v>
      </c>
      <c r="P1166" s="106">
        <v>123</v>
      </c>
      <c r="Q1166" s="107">
        <v>2.6085141903172002</v>
      </c>
      <c r="R1166" s="107">
        <v>1.39474537787869</v>
      </c>
      <c r="S1166" s="107">
        <v>4.7981275599765896</v>
      </c>
      <c r="T1166" s="107">
        <v>3.4810126582278502</v>
      </c>
      <c r="U1166" s="107">
        <v>3.40314136125654</v>
      </c>
      <c r="V1166" s="107">
        <v>2.3691249522353801</v>
      </c>
      <c r="W1166" s="107">
        <v>1.8232819074333799</v>
      </c>
      <c r="X1166" s="107">
        <v>2.3702754644458701</v>
      </c>
      <c r="Y1166" s="107">
        <v>12.8440366972477</v>
      </c>
      <c r="Z1166" s="106">
        <v>6659</v>
      </c>
      <c r="AA1166" s="106">
        <v>3960</v>
      </c>
      <c r="AB1166" s="106">
        <v>2699</v>
      </c>
      <c r="AC1166" s="106">
        <v>334</v>
      </c>
      <c r="AD1166" s="106">
        <v>1462</v>
      </c>
      <c r="AE1166" s="106">
        <v>3746</v>
      </c>
      <c r="AF1166" s="106">
        <v>1117</v>
      </c>
      <c r="AG1166" s="106">
        <v>1247</v>
      </c>
      <c r="AH1166" s="106">
        <v>5291</v>
      </c>
      <c r="AI1166" s="106">
        <v>121</v>
      </c>
      <c r="AJ1166" s="106">
        <v>6377</v>
      </c>
      <c r="AK1166" s="106">
        <v>262</v>
      </c>
      <c r="AL1166" s="106">
        <v>20</v>
      </c>
      <c r="AM1166" s="106">
        <v>385</v>
      </c>
      <c r="AN1166" s="106">
        <v>6214</v>
      </c>
      <c r="AO1166" s="106">
        <v>60</v>
      </c>
      <c r="AP1166" s="107">
        <v>5.9933407325194201</v>
      </c>
      <c r="AQ1166" s="107">
        <v>2.84285338246907</v>
      </c>
      <c r="AR1166" s="107">
        <v>10.7655502392345</v>
      </c>
      <c r="AS1166" s="107">
        <v>6.6666666666666696</v>
      </c>
      <c r="AT1166" s="107">
        <v>8.0116533139111397</v>
      </c>
      <c r="AU1166" s="107">
        <v>5.9436619718309904</v>
      </c>
      <c r="AV1166" s="107">
        <v>3.3676333021515399</v>
      </c>
      <c r="AW1166" s="107">
        <v>5.1969823973176901</v>
      </c>
      <c r="AX1166" s="107">
        <v>6.2612522504500898</v>
      </c>
      <c r="AY1166" s="107">
        <v>2.60869565217391</v>
      </c>
      <c r="AZ1166" s="107">
        <v>5.6878306878306901</v>
      </c>
      <c r="BA1166" s="107">
        <v>14.1666666666667</v>
      </c>
      <c r="BB1166" s="107">
        <v>0</v>
      </c>
      <c r="BC1166" s="107">
        <v>4.6195652173913002</v>
      </c>
      <c r="BD1166" s="107">
        <v>6.1023287438381804</v>
      </c>
      <c r="BE1166" s="107">
        <v>3.5714285714285698</v>
      </c>
    </row>
    <row r="1167" spans="2:57" ht="15" customHeight="1" x14ac:dyDescent="0.25">
      <c r="B1167" s="91">
        <v>1157</v>
      </c>
      <c r="C1167" s="92" t="s">
        <v>504</v>
      </c>
      <c r="D1167" s="92" t="s">
        <v>85</v>
      </c>
      <c r="E1167" s="92" t="s">
        <v>418</v>
      </c>
      <c r="F1167" s="92" t="s">
        <v>192</v>
      </c>
      <c r="G1167" s="101" t="s">
        <v>501</v>
      </c>
      <c r="H1167" s="94">
        <v>2144</v>
      </c>
      <c r="I1167" s="94">
        <v>1243</v>
      </c>
      <c r="J1167" s="94">
        <v>901</v>
      </c>
      <c r="K1167" s="94">
        <v>148</v>
      </c>
      <c r="L1167" s="94">
        <v>539</v>
      </c>
      <c r="M1167" s="94">
        <v>1193</v>
      </c>
      <c r="N1167" s="94">
        <v>264</v>
      </c>
      <c r="O1167" s="94">
        <v>2065</v>
      </c>
      <c r="P1167" s="94">
        <v>79</v>
      </c>
      <c r="Q1167" s="95">
        <v>5.4223149113660103</v>
      </c>
      <c r="R1167" s="95">
        <v>2.9676258992805802</v>
      </c>
      <c r="S1167" s="95">
        <v>8.8089330024813908</v>
      </c>
      <c r="T1167" s="95">
        <v>7.0866141732283499</v>
      </c>
      <c r="U1167" s="95">
        <v>5.8091286307053904</v>
      </c>
      <c r="V1167" s="95">
        <v>5.0561797752809001</v>
      </c>
      <c r="W1167" s="95">
        <v>5.3941908713692897</v>
      </c>
      <c r="X1167" s="95">
        <v>4.8701298701298699</v>
      </c>
      <c r="Y1167" s="95">
        <v>20</v>
      </c>
      <c r="Z1167" s="94">
        <v>2806</v>
      </c>
      <c r="AA1167" s="94">
        <v>1555</v>
      </c>
      <c r="AB1167" s="94">
        <v>1251</v>
      </c>
      <c r="AC1167" s="94">
        <v>133</v>
      </c>
      <c r="AD1167" s="94">
        <v>691</v>
      </c>
      <c r="AE1167" s="94">
        <v>1598</v>
      </c>
      <c r="AF1167" s="94">
        <v>384</v>
      </c>
      <c r="AG1167" s="94">
        <v>487</v>
      </c>
      <c r="AH1167" s="94">
        <v>2273</v>
      </c>
      <c r="AI1167" s="94">
        <v>46</v>
      </c>
      <c r="AJ1167" s="94">
        <v>2629</v>
      </c>
      <c r="AK1167" s="94">
        <v>172</v>
      </c>
      <c r="AL1167" s="94">
        <v>5</v>
      </c>
      <c r="AM1167" s="94">
        <v>149</v>
      </c>
      <c r="AN1167" s="94">
        <v>2631</v>
      </c>
      <c r="AO1167" s="94">
        <v>26</v>
      </c>
      <c r="AP1167" s="95">
        <v>10.5402342274273</v>
      </c>
      <c r="AQ1167" s="95">
        <v>5.1630434782608701</v>
      </c>
      <c r="AR1167" s="95">
        <v>17.2765957446809</v>
      </c>
      <c r="AS1167" s="95">
        <v>12.1951219512195</v>
      </c>
      <c r="AT1167" s="95">
        <v>13.129770992366399</v>
      </c>
      <c r="AU1167" s="95">
        <v>10.026560424966799</v>
      </c>
      <c r="AV1167" s="95">
        <v>7.4380165289256199</v>
      </c>
      <c r="AW1167" s="95">
        <v>11.0151187904968</v>
      </c>
      <c r="AX1167" s="95">
        <v>10.5091078935077</v>
      </c>
      <c r="AY1167" s="95">
        <v>6.9767441860465098</v>
      </c>
      <c r="AZ1167" s="95">
        <v>10.305958132045101</v>
      </c>
      <c r="BA1167" s="95">
        <v>14.5569620253165</v>
      </c>
      <c r="BB1167" s="95">
        <v>0</v>
      </c>
      <c r="BC1167" s="95">
        <v>9.1549295774647899</v>
      </c>
      <c r="BD1167" s="95">
        <v>10.632299637535199</v>
      </c>
      <c r="BE1167" s="95">
        <v>9.0909090909090899</v>
      </c>
    </row>
    <row r="1168" spans="2:57" ht="15" customHeight="1" x14ac:dyDescent="0.25">
      <c r="B1168" s="91">
        <v>1158</v>
      </c>
      <c r="C1168" s="92" t="s">
        <v>504</v>
      </c>
      <c r="D1168" s="92" t="s">
        <v>85</v>
      </c>
      <c r="E1168" s="92" t="s">
        <v>418</v>
      </c>
      <c r="F1168" s="92" t="s">
        <v>192</v>
      </c>
      <c r="G1168" s="101" t="s">
        <v>502</v>
      </c>
      <c r="H1168" s="94">
        <v>3176</v>
      </c>
      <c r="I1168" s="94">
        <v>2143</v>
      </c>
      <c r="J1168" s="94">
        <v>1033</v>
      </c>
      <c r="K1168" s="94">
        <v>215</v>
      </c>
      <c r="L1168" s="94">
        <v>740</v>
      </c>
      <c r="M1168" s="94">
        <v>1703</v>
      </c>
      <c r="N1168" s="94">
        <v>518</v>
      </c>
      <c r="O1168" s="94">
        <v>3132</v>
      </c>
      <c r="P1168" s="94">
        <v>44</v>
      </c>
      <c r="Q1168" s="95">
        <v>0.73068893528183698</v>
      </c>
      <c r="R1168" s="95">
        <v>0.50735667174023302</v>
      </c>
      <c r="S1168" s="95">
        <v>1.21816168327796</v>
      </c>
      <c r="T1168" s="95">
        <v>1.0582010582010599</v>
      </c>
      <c r="U1168" s="95">
        <v>1.6566265060241001</v>
      </c>
      <c r="V1168" s="95">
        <v>0.516462233699161</v>
      </c>
      <c r="W1168" s="95">
        <v>0</v>
      </c>
      <c r="X1168" s="95">
        <v>0.74074074074074103</v>
      </c>
      <c r="Y1168" s="95">
        <v>0</v>
      </c>
      <c r="Z1168" s="94">
        <v>3853</v>
      </c>
      <c r="AA1168" s="94">
        <v>2405</v>
      </c>
      <c r="AB1168" s="94">
        <v>1448</v>
      </c>
      <c r="AC1168" s="94">
        <v>201</v>
      </c>
      <c r="AD1168" s="94">
        <v>771</v>
      </c>
      <c r="AE1168" s="94">
        <v>2148</v>
      </c>
      <c r="AF1168" s="94">
        <v>733</v>
      </c>
      <c r="AG1168" s="94">
        <v>760</v>
      </c>
      <c r="AH1168" s="94">
        <v>3018</v>
      </c>
      <c r="AI1168" s="94">
        <v>75</v>
      </c>
      <c r="AJ1168" s="94">
        <v>3748</v>
      </c>
      <c r="AK1168" s="94">
        <v>90</v>
      </c>
      <c r="AL1168" s="94">
        <v>15</v>
      </c>
      <c r="AM1168" s="94">
        <v>236</v>
      </c>
      <c r="AN1168" s="94">
        <v>3583</v>
      </c>
      <c r="AO1168" s="94">
        <v>34</v>
      </c>
      <c r="AP1168" s="95">
        <v>2.7049180327868898</v>
      </c>
      <c r="AQ1168" s="95">
        <v>1.37516115169746</v>
      </c>
      <c r="AR1168" s="95">
        <v>5.0262565641410397</v>
      </c>
      <c r="AS1168" s="95">
        <v>3.125</v>
      </c>
      <c r="AT1168" s="95">
        <v>3.3426183844011099</v>
      </c>
      <c r="AU1168" s="95">
        <v>2.93542074363992</v>
      </c>
      <c r="AV1168" s="95">
        <v>1.2747875354107601</v>
      </c>
      <c r="AW1168" s="95">
        <v>1.5068493150684901</v>
      </c>
      <c r="AX1168" s="95">
        <v>3.0790762771168598</v>
      </c>
      <c r="AY1168" s="95">
        <v>0</v>
      </c>
      <c r="AZ1168" s="95">
        <v>2.4691358024691401</v>
      </c>
      <c r="BA1168" s="95">
        <v>13.4146341463415</v>
      </c>
      <c r="BB1168" s="95">
        <v>0</v>
      </c>
      <c r="BC1168" s="95">
        <v>1.76991150442478</v>
      </c>
      <c r="BD1168" s="95">
        <v>2.7941176470588198</v>
      </c>
      <c r="BE1168" s="95">
        <v>0</v>
      </c>
    </row>
    <row r="1169" spans="2:57" ht="15" customHeight="1" x14ac:dyDescent="0.25">
      <c r="B1169" s="96">
        <v>1159</v>
      </c>
      <c r="C1169" s="97" t="s">
        <v>504</v>
      </c>
      <c r="D1169" s="104" t="s">
        <v>85</v>
      </c>
      <c r="E1169" s="104" t="s">
        <v>418</v>
      </c>
      <c r="F1169" s="104" t="s">
        <v>485</v>
      </c>
      <c r="G1169" s="105" t="s">
        <v>485</v>
      </c>
      <c r="H1169" s="106">
        <v>4477</v>
      </c>
      <c r="I1169" s="106">
        <v>2859</v>
      </c>
      <c r="J1169" s="106">
        <v>1618</v>
      </c>
      <c r="K1169" s="106">
        <v>365</v>
      </c>
      <c r="L1169" s="106">
        <v>1181</v>
      </c>
      <c r="M1169" s="106">
        <v>2398</v>
      </c>
      <c r="N1169" s="106">
        <v>533</v>
      </c>
      <c r="O1169" s="106">
        <v>4473</v>
      </c>
      <c r="P1169" s="106">
        <v>4</v>
      </c>
      <c r="Q1169" s="107">
        <v>0.39263803680981602</v>
      </c>
      <c r="R1169" s="107">
        <v>0.15220700152207001</v>
      </c>
      <c r="S1169" s="107">
        <v>0.82930200414651001</v>
      </c>
      <c r="T1169" s="107">
        <v>0.62111801242235998</v>
      </c>
      <c r="U1169" s="107">
        <v>0.46860356138706599</v>
      </c>
      <c r="V1169" s="107">
        <v>0.36413290851160701</v>
      </c>
      <c r="W1169" s="107">
        <v>0.20449897750511301</v>
      </c>
      <c r="X1169" s="107">
        <v>0.392927308447937</v>
      </c>
      <c r="Y1169" s="107">
        <v>0</v>
      </c>
      <c r="Z1169" s="106">
        <v>5108</v>
      </c>
      <c r="AA1169" s="106">
        <v>3000</v>
      </c>
      <c r="AB1169" s="106">
        <v>2108</v>
      </c>
      <c r="AC1169" s="106">
        <v>336</v>
      </c>
      <c r="AD1169" s="106">
        <v>1300</v>
      </c>
      <c r="AE1169" s="106">
        <v>2794</v>
      </c>
      <c r="AF1169" s="106">
        <v>678</v>
      </c>
      <c r="AG1169" s="106">
        <v>1421</v>
      </c>
      <c r="AH1169" s="106">
        <v>3618</v>
      </c>
      <c r="AI1169" s="106">
        <v>69</v>
      </c>
      <c r="AJ1169" s="106">
        <v>5060</v>
      </c>
      <c r="AK1169" s="106">
        <v>33</v>
      </c>
      <c r="AL1169" s="106">
        <v>15</v>
      </c>
      <c r="AM1169" s="106">
        <v>278</v>
      </c>
      <c r="AN1169" s="106">
        <v>4793</v>
      </c>
      <c r="AO1169" s="106">
        <v>37</v>
      </c>
      <c r="AP1169" s="107">
        <v>3.5780382479950599</v>
      </c>
      <c r="AQ1169" s="107">
        <v>1.3406668958404999</v>
      </c>
      <c r="AR1169" s="107">
        <v>6.9089048106448301</v>
      </c>
      <c r="AS1169" s="107">
        <v>8.8607594936708907</v>
      </c>
      <c r="AT1169" s="107">
        <v>2.4311183144246402</v>
      </c>
      <c r="AU1169" s="107">
        <v>4.0464593480704396</v>
      </c>
      <c r="AV1169" s="107">
        <v>1.24223602484472</v>
      </c>
      <c r="AW1169" s="107">
        <v>1.97947214076246</v>
      </c>
      <c r="AX1169" s="107">
        <v>4.25407925407925</v>
      </c>
      <c r="AY1169" s="107">
        <v>1.4925373134328399</v>
      </c>
      <c r="AZ1169" s="107">
        <v>3.56920522930068</v>
      </c>
      <c r="BA1169" s="107">
        <v>3.3333333333333299</v>
      </c>
      <c r="BB1169" s="107">
        <v>7.1428571428571397</v>
      </c>
      <c r="BC1169" s="107">
        <v>2.2140221402214002</v>
      </c>
      <c r="BD1169" s="107">
        <v>3.6850186444395701</v>
      </c>
      <c r="BE1169" s="107">
        <v>0</v>
      </c>
    </row>
    <row r="1170" spans="2:57" ht="15" customHeight="1" x14ac:dyDescent="0.25">
      <c r="B1170" s="91">
        <v>1160</v>
      </c>
      <c r="C1170" s="92" t="s">
        <v>504</v>
      </c>
      <c r="D1170" s="92" t="s">
        <v>85</v>
      </c>
      <c r="E1170" s="92" t="s">
        <v>418</v>
      </c>
      <c r="F1170" s="92" t="s">
        <v>485</v>
      </c>
      <c r="G1170" s="101" t="s">
        <v>501</v>
      </c>
      <c r="H1170" s="94">
        <v>1631</v>
      </c>
      <c r="I1170" s="94">
        <v>1020</v>
      </c>
      <c r="J1170" s="94">
        <v>611</v>
      </c>
      <c r="K1170" s="94">
        <v>133</v>
      </c>
      <c r="L1170" s="94">
        <v>460</v>
      </c>
      <c r="M1170" s="94">
        <v>901</v>
      </c>
      <c r="N1170" s="94">
        <v>137</v>
      </c>
      <c r="O1170" s="94">
        <v>1628</v>
      </c>
      <c r="P1170" s="94">
        <v>3</v>
      </c>
      <c r="Q1170" s="95">
        <v>0.60281312793034203</v>
      </c>
      <c r="R1170" s="95">
        <v>0.31779661016949201</v>
      </c>
      <c r="S1170" s="95">
        <v>1.0928961748633901</v>
      </c>
      <c r="T1170" s="95">
        <v>0</v>
      </c>
      <c r="U1170" s="95">
        <v>0.94339622641509402</v>
      </c>
      <c r="V1170" s="95">
        <v>0.48484848484848497</v>
      </c>
      <c r="W1170" s="95">
        <v>0.81967213114754101</v>
      </c>
      <c r="X1170" s="95">
        <v>0.60362173038229405</v>
      </c>
      <c r="Y1170" s="95">
        <v>0</v>
      </c>
      <c r="Z1170" s="94">
        <v>2094</v>
      </c>
      <c r="AA1170" s="94">
        <v>1167</v>
      </c>
      <c r="AB1170" s="94">
        <v>927</v>
      </c>
      <c r="AC1170" s="94">
        <v>160</v>
      </c>
      <c r="AD1170" s="94">
        <v>523</v>
      </c>
      <c r="AE1170" s="94">
        <v>1190</v>
      </c>
      <c r="AF1170" s="94">
        <v>221</v>
      </c>
      <c r="AG1170" s="94">
        <v>664</v>
      </c>
      <c r="AH1170" s="94">
        <v>1409</v>
      </c>
      <c r="AI1170" s="94">
        <v>21</v>
      </c>
      <c r="AJ1170" s="94">
        <v>2067</v>
      </c>
      <c r="AK1170" s="94">
        <v>19</v>
      </c>
      <c r="AL1170" s="94">
        <v>8</v>
      </c>
      <c r="AM1170" s="94">
        <v>119</v>
      </c>
      <c r="AN1170" s="94">
        <v>1964</v>
      </c>
      <c r="AO1170" s="94">
        <v>11</v>
      </c>
      <c r="AP1170" s="95">
        <v>5.2605459057072004</v>
      </c>
      <c r="AQ1170" s="95">
        <v>1.6754850088183399</v>
      </c>
      <c r="AR1170" s="95">
        <v>9.8751418842224705</v>
      </c>
      <c r="AS1170" s="95">
        <v>12</v>
      </c>
      <c r="AT1170" s="95">
        <v>4.7904191616766498</v>
      </c>
      <c r="AU1170" s="95">
        <v>5.2859618717504304</v>
      </c>
      <c r="AV1170" s="95">
        <v>1.4285714285714299</v>
      </c>
      <c r="AW1170" s="95">
        <v>2.9595015576324002</v>
      </c>
      <c r="AX1170" s="95">
        <v>6.3609467455621296</v>
      </c>
      <c r="AY1170" s="95">
        <v>4.7619047619047601</v>
      </c>
      <c r="AZ1170" s="95">
        <v>5.2790346907994001</v>
      </c>
      <c r="BA1170" s="95">
        <v>5.5555555555555598</v>
      </c>
      <c r="BB1170" s="95">
        <v>0</v>
      </c>
      <c r="BC1170" s="95">
        <v>1.70940170940171</v>
      </c>
      <c r="BD1170" s="95">
        <v>5.5084745762711904</v>
      </c>
      <c r="BE1170" s="95">
        <v>0</v>
      </c>
    </row>
    <row r="1171" spans="2:57" ht="15" customHeight="1" x14ac:dyDescent="0.25">
      <c r="B1171" s="91">
        <v>1161</v>
      </c>
      <c r="C1171" s="92" t="s">
        <v>504</v>
      </c>
      <c r="D1171" s="92" t="s">
        <v>85</v>
      </c>
      <c r="E1171" s="92" t="s">
        <v>418</v>
      </c>
      <c r="F1171" s="92" t="s">
        <v>485</v>
      </c>
      <c r="G1171" s="101" t="s">
        <v>502</v>
      </c>
      <c r="H1171" s="94">
        <v>2846</v>
      </c>
      <c r="I1171" s="94">
        <v>1839</v>
      </c>
      <c r="J1171" s="94">
        <v>1007</v>
      </c>
      <c r="K1171" s="94">
        <v>232</v>
      </c>
      <c r="L1171" s="94">
        <v>721</v>
      </c>
      <c r="M1171" s="94">
        <v>1497</v>
      </c>
      <c r="N1171" s="94">
        <v>396</v>
      </c>
      <c r="O1171" s="94">
        <v>2845</v>
      </c>
      <c r="P1171" s="94">
        <v>1</v>
      </c>
      <c r="Q1171" s="95">
        <v>0.27110766847405099</v>
      </c>
      <c r="R1171" s="95">
        <v>5.9382422802850401E-2</v>
      </c>
      <c r="S1171" s="95">
        <v>0.66815144766147005</v>
      </c>
      <c r="T1171" s="95">
        <v>1</v>
      </c>
      <c r="U1171" s="95">
        <v>0.15552099533437</v>
      </c>
      <c r="V1171" s="95">
        <v>0.29154518950437303</v>
      </c>
      <c r="W1171" s="95">
        <v>0</v>
      </c>
      <c r="X1171" s="95">
        <v>0.27121270825261501</v>
      </c>
      <c r="Y1171" s="95">
        <v>0</v>
      </c>
      <c r="Z1171" s="94">
        <v>3014</v>
      </c>
      <c r="AA1171" s="94">
        <v>1833</v>
      </c>
      <c r="AB1171" s="94">
        <v>1181</v>
      </c>
      <c r="AC1171" s="94">
        <v>176</v>
      </c>
      <c r="AD1171" s="94">
        <v>777</v>
      </c>
      <c r="AE1171" s="94">
        <v>1604</v>
      </c>
      <c r="AF1171" s="94">
        <v>457</v>
      </c>
      <c r="AG1171" s="94">
        <v>757</v>
      </c>
      <c r="AH1171" s="94">
        <v>2209</v>
      </c>
      <c r="AI1171" s="94">
        <v>48</v>
      </c>
      <c r="AJ1171" s="94">
        <v>2993</v>
      </c>
      <c r="AK1171" s="94">
        <v>14</v>
      </c>
      <c r="AL1171" s="94">
        <v>7</v>
      </c>
      <c r="AM1171" s="94">
        <v>159</v>
      </c>
      <c r="AN1171" s="94">
        <v>2829</v>
      </c>
      <c r="AO1171" s="94">
        <v>26</v>
      </c>
      <c r="AP1171" s="95">
        <v>2.3876404494382002</v>
      </c>
      <c r="AQ1171" s="95">
        <v>1.12676056338028</v>
      </c>
      <c r="AR1171" s="95">
        <v>4.4734389561975796</v>
      </c>
      <c r="AS1171" s="95">
        <v>6.0240963855421699</v>
      </c>
      <c r="AT1171" s="95">
        <v>0.81855388813096897</v>
      </c>
      <c r="AU1171" s="95">
        <v>3.1023102310230999</v>
      </c>
      <c r="AV1171" s="95">
        <v>1.1520737327188899</v>
      </c>
      <c r="AW1171" s="95">
        <v>1.10803324099723</v>
      </c>
      <c r="AX1171" s="95">
        <v>2.8846153846153801</v>
      </c>
      <c r="AY1171" s="95">
        <v>0</v>
      </c>
      <c r="AZ1171" s="95">
        <v>2.3674911660777398</v>
      </c>
      <c r="BA1171" s="95">
        <v>0</v>
      </c>
      <c r="BB1171" s="95">
        <v>16.6666666666667</v>
      </c>
      <c r="BC1171" s="95">
        <v>2.5974025974026</v>
      </c>
      <c r="BD1171" s="95">
        <v>2.3961063272182699</v>
      </c>
      <c r="BE1171" s="95">
        <v>0</v>
      </c>
    </row>
    <row r="1172" spans="2:57" ht="15" customHeight="1" x14ac:dyDescent="0.25">
      <c r="B1172" s="96">
        <v>1162</v>
      </c>
      <c r="C1172" s="97" t="s">
        <v>504</v>
      </c>
      <c r="D1172" s="104" t="s">
        <v>85</v>
      </c>
      <c r="E1172" s="104" t="s">
        <v>418</v>
      </c>
      <c r="F1172" s="104" t="s">
        <v>122</v>
      </c>
      <c r="G1172" s="105" t="s">
        <v>122</v>
      </c>
      <c r="H1172" s="106">
        <v>4822</v>
      </c>
      <c r="I1172" s="106">
        <v>3101</v>
      </c>
      <c r="J1172" s="106">
        <v>1721</v>
      </c>
      <c r="K1172" s="106">
        <v>391</v>
      </c>
      <c r="L1172" s="106">
        <v>1357</v>
      </c>
      <c r="M1172" s="106">
        <v>2571</v>
      </c>
      <c r="N1172" s="106">
        <v>503</v>
      </c>
      <c r="O1172" s="106">
        <v>4810</v>
      </c>
      <c r="P1172" s="106">
        <v>12</v>
      </c>
      <c r="Q1172" s="107">
        <v>0.76662908680946995</v>
      </c>
      <c r="R1172" s="107">
        <v>0.312066574202497</v>
      </c>
      <c r="S1172" s="107">
        <v>1.6118633139909699</v>
      </c>
      <c r="T1172" s="107">
        <v>2.2408963585434201</v>
      </c>
      <c r="U1172" s="107">
        <v>0.80645161290322598</v>
      </c>
      <c r="V1172" s="107">
        <v>0.67001675041876096</v>
      </c>
      <c r="W1172" s="107">
        <v>0</v>
      </c>
      <c r="X1172" s="107">
        <v>0.768709021026453</v>
      </c>
      <c r="Y1172" s="107">
        <v>0</v>
      </c>
      <c r="Z1172" s="106">
        <v>6620</v>
      </c>
      <c r="AA1172" s="106">
        <v>3947</v>
      </c>
      <c r="AB1172" s="106">
        <v>2673</v>
      </c>
      <c r="AC1172" s="106">
        <v>413</v>
      </c>
      <c r="AD1172" s="106">
        <v>1874</v>
      </c>
      <c r="AE1172" s="106">
        <v>3539</v>
      </c>
      <c r="AF1172" s="106">
        <v>794</v>
      </c>
      <c r="AG1172" s="106">
        <v>1775</v>
      </c>
      <c r="AH1172" s="106">
        <v>4767</v>
      </c>
      <c r="AI1172" s="106">
        <v>78</v>
      </c>
      <c r="AJ1172" s="106">
        <v>6565</v>
      </c>
      <c r="AK1172" s="106">
        <v>38</v>
      </c>
      <c r="AL1172" s="106">
        <v>17</v>
      </c>
      <c r="AM1172" s="106">
        <v>307</v>
      </c>
      <c r="AN1172" s="106">
        <v>6246</v>
      </c>
      <c r="AO1172" s="106">
        <v>67</v>
      </c>
      <c r="AP1172" s="107">
        <v>3.5742279354130702</v>
      </c>
      <c r="AQ1172" s="107">
        <v>0.98984110445428497</v>
      </c>
      <c r="AR1172" s="107">
        <v>7.4803149606299204</v>
      </c>
      <c r="AS1172" s="107">
        <v>6.5656565656565702</v>
      </c>
      <c r="AT1172" s="107">
        <v>4.32098765432099</v>
      </c>
      <c r="AU1172" s="107">
        <v>3.0656934306569301</v>
      </c>
      <c r="AV1172" s="107">
        <v>2.5773195876288701</v>
      </c>
      <c r="AW1172" s="107">
        <v>2.9548088064889901</v>
      </c>
      <c r="AX1172" s="107">
        <v>3.84363398121861</v>
      </c>
      <c r="AY1172" s="107">
        <v>1.35135135135135</v>
      </c>
      <c r="AZ1172" s="107">
        <v>3.5223503395988001</v>
      </c>
      <c r="BA1172" s="107">
        <v>9.0909090909090899</v>
      </c>
      <c r="BB1172" s="107">
        <v>13.3333333333333</v>
      </c>
      <c r="BC1172" s="107">
        <v>2.71186440677966</v>
      </c>
      <c r="BD1172" s="107">
        <v>3.5708354094004302</v>
      </c>
      <c r="BE1172" s="107">
        <v>7.9365079365079403</v>
      </c>
    </row>
    <row r="1173" spans="2:57" ht="15" customHeight="1" x14ac:dyDescent="0.25">
      <c r="B1173" s="91">
        <v>1163</v>
      </c>
      <c r="C1173" s="92" t="s">
        <v>504</v>
      </c>
      <c r="D1173" s="92" t="s">
        <v>85</v>
      </c>
      <c r="E1173" s="92" t="s">
        <v>418</v>
      </c>
      <c r="F1173" s="92" t="s">
        <v>122</v>
      </c>
      <c r="G1173" s="101" t="s">
        <v>501</v>
      </c>
      <c r="H1173" s="94">
        <v>3198</v>
      </c>
      <c r="I1173" s="94">
        <v>1959</v>
      </c>
      <c r="J1173" s="94">
        <v>1239</v>
      </c>
      <c r="K1173" s="94">
        <v>259</v>
      </c>
      <c r="L1173" s="94">
        <v>948</v>
      </c>
      <c r="M1173" s="94">
        <v>1697</v>
      </c>
      <c r="N1173" s="94">
        <v>294</v>
      </c>
      <c r="O1173" s="94">
        <v>3190</v>
      </c>
      <c r="P1173" s="94">
        <v>8</v>
      </c>
      <c r="Q1173" s="95">
        <v>1.0224948875255599</v>
      </c>
      <c r="R1173" s="95">
        <v>0.44543429844097998</v>
      </c>
      <c r="S1173" s="95">
        <v>1.9332161687170499</v>
      </c>
      <c r="T1173" s="95">
        <v>2.9914529914529902</v>
      </c>
      <c r="U1173" s="95">
        <v>0.92485549132947997</v>
      </c>
      <c r="V1173" s="95">
        <v>0.95177664974619303</v>
      </c>
      <c r="W1173" s="95">
        <v>0</v>
      </c>
      <c r="X1173" s="95">
        <v>1.02529049897471</v>
      </c>
      <c r="Y1173" s="95">
        <v>0</v>
      </c>
      <c r="Z1173" s="94">
        <v>4078</v>
      </c>
      <c r="AA1173" s="94">
        <v>2305</v>
      </c>
      <c r="AB1173" s="94">
        <v>1773</v>
      </c>
      <c r="AC1173" s="94">
        <v>250</v>
      </c>
      <c r="AD1173" s="94">
        <v>1167</v>
      </c>
      <c r="AE1173" s="94">
        <v>2183</v>
      </c>
      <c r="AF1173" s="94">
        <v>478</v>
      </c>
      <c r="AG1173" s="94">
        <v>904</v>
      </c>
      <c r="AH1173" s="94">
        <v>3139</v>
      </c>
      <c r="AI1173" s="94">
        <v>35</v>
      </c>
      <c r="AJ1173" s="94">
        <v>4036</v>
      </c>
      <c r="AK1173" s="94">
        <v>31</v>
      </c>
      <c r="AL1173" s="94">
        <v>11</v>
      </c>
      <c r="AM1173" s="94">
        <v>179</v>
      </c>
      <c r="AN1173" s="94">
        <v>3872</v>
      </c>
      <c r="AO1173" s="94">
        <v>27</v>
      </c>
      <c r="AP1173" s="95">
        <v>4.88741044012282</v>
      </c>
      <c r="AQ1173" s="95">
        <v>1.47717099373321</v>
      </c>
      <c r="AR1173" s="95">
        <v>9.4384707287933107</v>
      </c>
      <c r="AS1173" s="95">
        <v>7.46887966804979</v>
      </c>
      <c r="AT1173" s="95">
        <v>5.7272727272727302</v>
      </c>
      <c r="AU1173" s="95">
        <v>4.4222539229671902</v>
      </c>
      <c r="AV1173" s="95">
        <v>3.6637931034482798</v>
      </c>
      <c r="AW1173" s="95">
        <v>5.1311288483466404</v>
      </c>
      <c r="AX1173" s="95">
        <v>4.83978638184246</v>
      </c>
      <c r="AY1173" s="95">
        <v>2.8571428571428599</v>
      </c>
      <c r="AZ1173" s="95">
        <v>4.80495995866701</v>
      </c>
      <c r="BA1173" s="95">
        <v>10.714285714285699</v>
      </c>
      <c r="BB1173" s="95">
        <v>22.2222222222222</v>
      </c>
      <c r="BC1173" s="95">
        <v>3.5714285714285698</v>
      </c>
      <c r="BD1173" s="95">
        <v>4.8721399730821</v>
      </c>
      <c r="BE1173" s="95">
        <v>16</v>
      </c>
    </row>
    <row r="1174" spans="2:57" ht="15" customHeight="1" x14ac:dyDescent="0.25">
      <c r="B1174" s="91">
        <v>1164</v>
      </c>
      <c r="C1174" s="92" t="s">
        <v>504</v>
      </c>
      <c r="D1174" s="92" t="s">
        <v>85</v>
      </c>
      <c r="E1174" s="92" t="s">
        <v>418</v>
      </c>
      <c r="F1174" s="92" t="s">
        <v>122</v>
      </c>
      <c r="G1174" s="101" t="s">
        <v>502</v>
      </c>
      <c r="H1174" s="94">
        <v>1624</v>
      </c>
      <c r="I1174" s="94">
        <v>1142</v>
      </c>
      <c r="J1174" s="94">
        <v>482</v>
      </c>
      <c r="K1174" s="94">
        <v>132</v>
      </c>
      <c r="L1174" s="94">
        <v>409</v>
      </c>
      <c r="M1174" s="94">
        <v>874</v>
      </c>
      <c r="N1174" s="94">
        <v>209</v>
      </c>
      <c r="O1174" s="94">
        <v>1620</v>
      </c>
      <c r="P1174" s="94">
        <v>4</v>
      </c>
      <c r="Q1174" s="95">
        <v>0.26648900732844799</v>
      </c>
      <c r="R1174" s="95">
        <v>9.1911764705882304E-2</v>
      </c>
      <c r="S1174" s="95">
        <v>0.72639225181598099</v>
      </c>
      <c r="T1174" s="95">
        <v>0.81300813008130102</v>
      </c>
      <c r="U1174" s="95">
        <v>0.53333333333333299</v>
      </c>
      <c r="V1174" s="95">
        <v>0.123152709359606</v>
      </c>
      <c r="W1174" s="95">
        <v>0</v>
      </c>
      <c r="X1174" s="95">
        <v>0.26720106880427502</v>
      </c>
      <c r="Y1174" s="95">
        <v>0</v>
      </c>
      <c r="Z1174" s="94">
        <v>2542</v>
      </c>
      <c r="AA1174" s="94">
        <v>1642</v>
      </c>
      <c r="AB1174" s="94">
        <v>900</v>
      </c>
      <c r="AC1174" s="94">
        <v>163</v>
      </c>
      <c r="AD1174" s="94">
        <v>707</v>
      </c>
      <c r="AE1174" s="94">
        <v>1356</v>
      </c>
      <c r="AF1174" s="94">
        <v>316</v>
      </c>
      <c r="AG1174" s="94">
        <v>871</v>
      </c>
      <c r="AH1174" s="94">
        <v>1628</v>
      </c>
      <c r="AI1174" s="94">
        <v>43</v>
      </c>
      <c r="AJ1174" s="94">
        <v>2529</v>
      </c>
      <c r="AK1174" s="94">
        <v>7</v>
      </c>
      <c r="AL1174" s="94">
        <v>6</v>
      </c>
      <c r="AM1174" s="94">
        <v>128</v>
      </c>
      <c r="AN1174" s="94">
        <v>2374</v>
      </c>
      <c r="AO1174" s="94">
        <v>40</v>
      </c>
      <c r="AP1174" s="95">
        <v>1.49736948603804</v>
      </c>
      <c r="AQ1174" s="95">
        <v>0.31152647975077902</v>
      </c>
      <c r="AR1174" s="95">
        <v>3.6951501154734401</v>
      </c>
      <c r="AS1174" s="95">
        <v>5.1612903225806503</v>
      </c>
      <c r="AT1174" s="95">
        <v>2.0527859237536701</v>
      </c>
      <c r="AU1174" s="95">
        <v>0.90771558245083195</v>
      </c>
      <c r="AV1174" s="95">
        <v>0.96153846153846201</v>
      </c>
      <c r="AW1174" s="95">
        <v>0.70671378091872805</v>
      </c>
      <c r="AX1174" s="95">
        <v>1.9583070120025301</v>
      </c>
      <c r="AY1174" s="95">
        <v>0</v>
      </c>
      <c r="AZ1174" s="95">
        <v>1.5040650406504099</v>
      </c>
      <c r="BA1174" s="95">
        <v>0</v>
      </c>
      <c r="BB1174" s="95">
        <v>0</v>
      </c>
      <c r="BC1174" s="95">
        <v>1.5748031496063</v>
      </c>
      <c r="BD1174" s="95">
        <v>1.4744145706851699</v>
      </c>
      <c r="BE1174" s="95">
        <v>2.6315789473684199</v>
      </c>
    </row>
    <row r="1175" spans="2:57" ht="15" customHeight="1" x14ac:dyDescent="0.25">
      <c r="B1175" s="96">
        <v>1165</v>
      </c>
      <c r="C1175" s="97" t="s">
        <v>504</v>
      </c>
      <c r="D1175" s="104" t="s">
        <v>85</v>
      </c>
      <c r="E1175" s="104" t="s">
        <v>418</v>
      </c>
      <c r="F1175" s="104" t="s">
        <v>20</v>
      </c>
      <c r="G1175" s="105" t="s">
        <v>20</v>
      </c>
      <c r="H1175" s="106">
        <v>1518</v>
      </c>
      <c r="I1175" s="106">
        <v>962</v>
      </c>
      <c r="J1175" s="106">
        <v>556</v>
      </c>
      <c r="K1175" s="106">
        <v>91</v>
      </c>
      <c r="L1175" s="106">
        <v>431</v>
      </c>
      <c r="M1175" s="106">
        <v>814</v>
      </c>
      <c r="N1175" s="106">
        <v>182</v>
      </c>
      <c r="O1175" s="106">
        <v>1515</v>
      </c>
      <c r="P1175" s="106">
        <v>3</v>
      </c>
      <c r="Q1175" s="107">
        <v>0.27835768963117602</v>
      </c>
      <c r="R1175" s="107">
        <v>0.32786885245901598</v>
      </c>
      <c r="S1175" s="107">
        <v>0.19157088122605401</v>
      </c>
      <c r="T1175" s="107">
        <v>0</v>
      </c>
      <c r="U1175" s="107">
        <v>0</v>
      </c>
      <c r="V1175" s="107">
        <v>0.25873221216041398</v>
      </c>
      <c r="W1175" s="107">
        <v>1.16959064327485</v>
      </c>
      <c r="X1175" s="107">
        <v>0.27894002789400302</v>
      </c>
      <c r="Y1175" s="107">
        <v>0</v>
      </c>
      <c r="Z1175" s="106">
        <v>1724</v>
      </c>
      <c r="AA1175" s="106">
        <v>1010</v>
      </c>
      <c r="AB1175" s="106">
        <v>714</v>
      </c>
      <c r="AC1175" s="106">
        <v>43</v>
      </c>
      <c r="AD1175" s="106">
        <v>411</v>
      </c>
      <c r="AE1175" s="106">
        <v>1053</v>
      </c>
      <c r="AF1175" s="106">
        <v>217</v>
      </c>
      <c r="AG1175" s="106">
        <v>87</v>
      </c>
      <c r="AH1175" s="106">
        <v>1585</v>
      </c>
      <c r="AI1175" s="106">
        <v>52</v>
      </c>
      <c r="AJ1175" s="106">
        <v>1696</v>
      </c>
      <c r="AK1175" s="106">
        <v>18</v>
      </c>
      <c r="AL1175" s="106">
        <v>10</v>
      </c>
      <c r="AM1175" s="106">
        <v>64</v>
      </c>
      <c r="AN1175" s="106">
        <v>1641</v>
      </c>
      <c r="AO1175" s="106">
        <v>19</v>
      </c>
      <c r="AP1175" s="107">
        <v>1.77153329260843</v>
      </c>
      <c r="AQ1175" s="107">
        <v>0.81632653061224503</v>
      </c>
      <c r="AR1175" s="107">
        <v>3.1963470319634699</v>
      </c>
      <c r="AS1175" s="107">
        <v>2.5</v>
      </c>
      <c r="AT1175" s="107">
        <v>1.79948586118252</v>
      </c>
      <c r="AU1175" s="107">
        <v>1.9019019019018999</v>
      </c>
      <c r="AV1175" s="107">
        <v>0.95693779904306198</v>
      </c>
      <c r="AW1175" s="107">
        <v>3.5714285714285698</v>
      </c>
      <c r="AX1175" s="107">
        <v>1.59680638722555</v>
      </c>
      <c r="AY1175" s="107">
        <v>4</v>
      </c>
      <c r="AZ1175" s="107">
        <v>1.80236171535115</v>
      </c>
      <c r="BA1175" s="107">
        <v>0</v>
      </c>
      <c r="BB1175" s="107">
        <v>0</v>
      </c>
      <c r="BC1175" s="107">
        <v>1.61290322580645</v>
      </c>
      <c r="BD1175" s="107">
        <v>1.79948586118252</v>
      </c>
      <c r="BE1175" s="107">
        <v>0</v>
      </c>
    </row>
    <row r="1176" spans="2:57" ht="15" customHeight="1" x14ac:dyDescent="0.25">
      <c r="B1176" s="91">
        <v>1166</v>
      </c>
      <c r="C1176" s="92" t="s">
        <v>504</v>
      </c>
      <c r="D1176" s="92" t="s">
        <v>85</v>
      </c>
      <c r="E1176" s="92" t="s">
        <v>418</v>
      </c>
      <c r="F1176" s="92" t="s">
        <v>20</v>
      </c>
      <c r="G1176" s="101" t="s">
        <v>501</v>
      </c>
      <c r="H1176" s="94">
        <v>0</v>
      </c>
      <c r="I1176" s="94">
        <v>0</v>
      </c>
      <c r="J1176" s="94">
        <v>0</v>
      </c>
      <c r="K1176" s="94">
        <v>0</v>
      </c>
      <c r="L1176" s="94">
        <v>0</v>
      </c>
      <c r="M1176" s="94">
        <v>0</v>
      </c>
      <c r="N1176" s="94">
        <v>0</v>
      </c>
      <c r="O1176" s="94">
        <v>0</v>
      </c>
      <c r="P1176" s="94">
        <v>0</v>
      </c>
      <c r="Q1176" s="95">
        <v>0</v>
      </c>
      <c r="R1176" s="95">
        <v>0</v>
      </c>
      <c r="S1176" s="95">
        <v>0</v>
      </c>
      <c r="T1176" s="95">
        <v>0</v>
      </c>
      <c r="U1176" s="95">
        <v>0</v>
      </c>
      <c r="V1176" s="95">
        <v>0</v>
      </c>
      <c r="W1176" s="95">
        <v>0</v>
      </c>
      <c r="X1176" s="95">
        <v>0</v>
      </c>
      <c r="Y1176" s="95">
        <v>0</v>
      </c>
      <c r="Z1176" s="94">
        <v>0</v>
      </c>
      <c r="AA1176" s="94">
        <v>0</v>
      </c>
      <c r="AB1176" s="94">
        <v>0</v>
      </c>
      <c r="AC1176" s="94">
        <v>0</v>
      </c>
      <c r="AD1176" s="94">
        <v>0</v>
      </c>
      <c r="AE1176" s="94">
        <v>0</v>
      </c>
      <c r="AF1176" s="94">
        <v>0</v>
      </c>
      <c r="AG1176" s="94">
        <v>0</v>
      </c>
      <c r="AH1176" s="94">
        <v>0</v>
      </c>
      <c r="AI1176" s="94">
        <v>0</v>
      </c>
      <c r="AJ1176" s="94">
        <v>0</v>
      </c>
      <c r="AK1176" s="94">
        <v>0</v>
      </c>
      <c r="AL1176" s="94">
        <v>0</v>
      </c>
      <c r="AM1176" s="94">
        <v>0</v>
      </c>
      <c r="AN1176" s="94">
        <v>0</v>
      </c>
      <c r="AO1176" s="94">
        <v>0</v>
      </c>
      <c r="AP1176" s="95">
        <v>0</v>
      </c>
      <c r="AQ1176" s="95">
        <v>0</v>
      </c>
      <c r="AR1176" s="95">
        <v>0</v>
      </c>
      <c r="AS1176" s="95">
        <v>0</v>
      </c>
      <c r="AT1176" s="95">
        <v>0</v>
      </c>
      <c r="AU1176" s="95">
        <v>0</v>
      </c>
      <c r="AV1176" s="95">
        <v>0</v>
      </c>
      <c r="AW1176" s="95">
        <v>0</v>
      </c>
      <c r="AX1176" s="95">
        <v>0</v>
      </c>
      <c r="AY1176" s="95">
        <v>0</v>
      </c>
      <c r="AZ1176" s="95">
        <v>0</v>
      </c>
      <c r="BA1176" s="95">
        <v>0</v>
      </c>
      <c r="BB1176" s="95">
        <v>0</v>
      </c>
      <c r="BC1176" s="95">
        <v>0</v>
      </c>
      <c r="BD1176" s="95">
        <v>0</v>
      </c>
      <c r="BE1176" s="95">
        <v>0</v>
      </c>
    </row>
    <row r="1177" spans="2:57" ht="15" customHeight="1" x14ac:dyDescent="0.25">
      <c r="B1177" s="91">
        <v>1167</v>
      </c>
      <c r="C1177" s="92" t="s">
        <v>504</v>
      </c>
      <c r="D1177" s="92" t="s">
        <v>85</v>
      </c>
      <c r="E1177" s="92" t="s">
        <v>418</v>
      </c>
      <c r="F1177" s="92" t="s">
        <v>20</v>
      </c>
      <c r="G1177" s="101" t="s">
        <v>502</v>
      </c>
      <c r="H1177" s="94">
        <v>1518</v>
      </c>
      <c r="I1177" s="94">
        <v>962</v>
      </c>
      <c r="J1177" s="94">
        <v>556</v>
      </c>
      <c r="K1177" s="94">
        <v>91</v>
      </c>
      <c r="L1177" s="94">
        <v>431</v>
      </c>
      <c r="M1177" s="94">
        <v>814</v>
      </c>
      <c r="N1177" s="94">
        <v>182</v>
      </c>
      <c r="O1177" s="94">
        <v>1515</v>
      </c>
      <c r="P1177" s="94">
        <v>3</v>
      </c>
      <c r="Q1177" s="95">
        <v>0.27835768963117602</v>
      </c>
      <c r="R1177" s="95">
        <v>0.32786885245901598</v>
      </c>
      <c r="S1177" s="95">
        <v>0.19157088122605401</v>
      </c>
      <c r="T1177" s="95">
        <v>0</v>
      </c>
      <c r="U1177" s="95">
        <v>0</v>
      </c>
      <c r="V1177" s="95">
        <v>0.25873221216041398</v>
      </c>
      <c r="W1177" s="95">
        <v>1.16959064327485</v>
      </c>
      <c r="X1177" s="95">
        <v>0.27894002789400302</v>
      </c>
      <c r="Y1177" s="95">
        <v>0</v>
      </c>
      <c r="Z1177" s="94">
        <v>1724</v>
      </c>
      <c r="AA1177" s="94">
        <v>1010</v>
      </c>
      <c r="AB1177" s="94">
        <v>714</v>
      </c>
      <c r="AC1177" s="94">
        <v>43</v>
      </c>
      <c r="AD1177" s="94">
        <v>411</v>
      </c>
      <c r="AE1177" s="94">
        <v>1053</v>
      </c>
      <c r="AF1177" s="94">
        <v>217</v>
      </c>
      <c r="AG1177" s="94">
        <v>87</v>
      </c>
      <c r="AH1177" s="94">
        <v>1585</v>
      </c>
      <c r="AI1177" s="94">
        <v>52</v>
      </c>
      <c r="AJ1177" s="94">
        <v>1696</v>
      </c>
      <c r="AK1177" s="94">
        <v>18</v>
      </c>
      <c r="AL1177" s="94">
        <v>10</v>
      </c>
      <c r="AM1177" s="94">
        <v>64</v>
      </c>
      <c r="AN1177" s="94">
        <v>1641</v>
      </c>
      <c r="AO1177" s="94">
        <v>19</v>
      </c>
      <c r="AP1177" s="95">
        <v>1.77153329260843</v>
      </c>
      <c r="AQ1177" s="95">
        <v>0.81632653061224503</v>
      </c>
      <c r="AR1177" s="95">
        <v>3.1963470319634699</v>
      </c>
      <c r="AS1177" s="95">
        <v>2.5</v>
      </c>
      <c r="AT1177" s="95">
        <v>1.79948586118252</v>
      </c>
      <c r="AU1177" s="95">
        <v>1.9019019019018999</v>
      </c>
      <c r="AV1177" s="95">
        <v>0.95693779904306198</v>
      </c>
      <c r="AW1177" s="95">
        <v>3.5714285714285698</v>
      </c>
      <c r="AX1177" s="95">
        <v>1.59680638722555</v>
      </c>
      <c r="AY1177" s="95">
        <v>4</v>
      </c>
      <c r="AZ1177" s="95">
        <v>1.80236171535115</v>
      </c>
      <c r="BA1177" s="95">
        <v>0</v>
      </c>
      <c r="BB1177" s="95">
        <v>0</v>
      </c>
      <c r="BC1177" s="95">
        <v>1.61290322580645</v>
      </c>
      <c r="BD1177" s="95">
        <v>1.79948586118252</v>
      </c>
      <c r="BE1177" s="95">
        <v>0</v>
      </c>
    </row>
    <row r="1178" spans="2:57" ht="15" customHeight="1" x14ac:dyDescent="0.25">
      <c r="B1178" s="86">
        <v>1168</v>
      </c>
      <c r="C1178" s="87" t="s">
        <v>503</v>
      </c>
      <c r="D1178" s="103" t="s">
        <v>85</v>
      </c>
      <c r="E1178" s="103" t="s">
        <v>513</v>
      </c>
      <c r="F1178" s="103"/>
      <c r="G1178" s="88" t="s">
        <v>513</v>
      </c>
      <c r="H1178" s="89">
        <v>76487</v>
      </c>
      <c r="I1178" s="89">
        <v>50117</v>
      </c>
      <c r="J1178" s="89">
        <v>26370</v>
      </c>
      <c r="K1178" s="89">
        <v>4459</v>
      </c>
      <c r="L1178" s="89">
        <v>25901</v>
      </c>
      <c r="M1178" s="89">
        <v>40136</v>
      </c>
      <c r="N1178" s="89">
        <v>5991</v>
      </c>
      <c r="O1178" s="89">
        <v>75912</v>
      </c>
      <c r="P1178" s="89">
        <v>575</v>
      </c>
      <c r="Q1178" s="90">
        <v>1.1924890985138401</v>
      </c>
      <c r="R1178" s="90">
        <v>0.61959264599855801</v>
      </c>
      <c r="S1178" s="90">
        <v>2.2962062679052</v>
      </c>
      <c r="T1178" s="90">
        <v>2.7785128340830898</v>
      </c>
      <c r="U1178" s="90">
        <v>1.29847029526859</v>
      </c>
      <c r="V1178" s="90">
        <v>1.0034843205574899</v>
      </c>
      <c r="W1178" s="90">
        <v>0.89015151515151503</v>
      </c>
      <c r="X1178" s="90">
        <v>1.1835911230665801</v>
      </c>
      <c r="Y1178" s="90">
        <v>2.3668639053254399</v>
      </c>
      <c r="Z1178" s="89">
        <v>89776</v>
      </c>
      <c r="AA1178" s="89">
        <v>53476</v>
      </c>
      <c r="AB1178" s="89">
        <v>36300</v>
      </c>
      <c r="AC1178" s="89">
        <v>3595</v>
      </c>
      <c r="AD1178" s="89">
        <v>26815</v>
      </c>
      <c r="AE1178" s="89">
        <v>50612</v>
      </c>
      <c r="AF1178" s="89">
        <v>8754</v>
      </c>
      <c r="AG1178" s="89">
        <v>17356</v>
      </c>
      <c r="AH1178" s="89">
        <v>70500</v>
      </c>
      <c r="AI1178" s="89">
        <v>1920</v>
      </c>
      <c r="AJ1178" s="89">
        <v>88623</v>
      </c>
      <c r="AK1178" s="89">
        <v>864</v>
      </c>
      <c r="AL1178" s="89">
        <v>289</v>
      </c>
      <c r="AM1178" s="89">
        <v>4746</v>
      </c>
      <c r="AN1178" s="89">
        <v>84081</v>
      </c>
      <c r="AO1178" s="89">
        <v>949</v>
      </c>
      <c r="AP1178" s="90">
        <v>5.4687312447485299</v>
      </c>
      <c r="AQ1178" s="90">
        <v>2.02442159383033</v>
      </c>
      <c r="AR1178" s="90">
        <v>10.5853571215466</v>
      </c>
      <c r="AS1178" s="90">
        <v>10.582639714625399</v>
      </c>
      <c r="AT1178" s="90">
        <v>6.4509539567757503</v>
      </c>
      <c r="AU1178" s="90">
        <v>4.8663656980564198</v>
      </c>
      <c r="AV1178" s="90">
        <v>3.9213320463320498</v>
      </c>
      <c r="AW1178" s="90">
        <v>4.7494367655117804</v>
      </c>
      <c r="AX1178" s="90">
        <v>5.7148995595660104</v>
      </c>
      <c r="AY1178" s="90">
        <v>3.0162412993039398</v>
      </c>
      <c r="AZ1178" s="90">
        <v>5.4535729047630603</v>
      </c>
      <c r="BA1178" s="90">
        <v>7.2864321608040203</v>
      </c>
      <c r="BB1178" s="90">
        <v>4.6875</v>
      </c>
      <c r="BC1178" s="90">
        <v>5.2011558124027601</v>
      </c>
      <c r="BD1178" s="90">
        <v>5.50189211724713</v>
      </c>
      <c r="BE1178" s="90">
        <v>3.8551401869158899</v>
      </c>
    </row>
    <row r="1179" spans="2:57" ht="15" customHeight="1" x14ac:dyDescent="0.25">
      <c r="B1179" s="91">
        <v>1169</v>
      </c>
      <c r="C1179" s="92" t="s">
        <v>503</v>
      </c>
      <c r="D1179" s="92" t="s">
        <v>85</v>
      </c>
      <c r="E1179" s="92" t="s">
        <v>513</v>
      </c>
      <c r="F1179" s="92"/>
      <c r="G1179" s="93" t="s">
        <v>501</v>
      </c>
      <c r="H1179" s="94">
        <v>61179</v>
      </c>
      <c r="I1179" s="94">
        <v>38061</v>
      </c>
      <c r="J1179" s="94">
        <v>23118</v>
      </c>
      <c r="K1179" s="94">
        <v>3476</v>
      </c>
      <c r="L1179" s="94">
        <v>20509</v>
      </c>
      <c r="M1179" s="94">
        <v>32361</v>
      </c>
      <c r="N1179" s="94">
        <v>4833</v>
      </c>
      <c r="O1179" s="94">
        <v>60739</v>
      </c>
      <c r="P1179" s="94">
        <v>440</v>
      </c>
      <c r="Q1179" s="95">
        <v>1.39592500832008</v>
      </c>
      <c r="R1179" s="95">
        <v>0.762118571470771</v>
      </c>
      <c r="S1179" s="95">
        <v>2.4563831364602402</v>
      </c>
      <c r="T1179" s="95">
        <v>3.4214092140921402</v>
      </c>
      <c r="U1179" s="95">
        <v>1.5426039154092099</v>
      </c>
      <c r="V1179" s="95">
        <v>1.1495835341089</v>
      </c>
      <c r="W1179" s="95">
        <v>1.05807665177522</v>
      </c>
      <c r="X1179" s="95">
        <v>1.3873887295616201</v>
      </c>
      <c r="Y1179" s="95">
        <v>2.5773195876288701</v>
      </c>
      <c r="Z1179" s="94">
        <v>77457</v>
      </c>
      <c r="AA1179" s="94">
        <v>44758</v>
      </c>
      <c r="AB1179" s="94">
        <v>32699</v>
      </c>
      <c r="AC1179" s="94">
        <v>3025</v>
      </c>
      <c r="AD1179" s="94">
        <v>23127</v>
      </c>
      <c r="AE1179" s="94">
        <v>43764</v>
      </c>
      <c r="AF1179" s="94">
        <v>7541</v>
      </c>
      <c r="AG1179" s="94">
        <v>13528</v>
      </c>
      <c r="AH1179" s="94">
        <v>62307</v>
      </c>
      <c r="AI1179" s="94">
        <v>1622</v>
      </c>
      <c r="AJ1179" s="94">
        <v>76431</v>
      </c>
      <c r="AK1179" s="94">
        <v>774</v>
      </c>
      <c r="AL1179" s="94">
        <v>252</v>
      </c>
      <c r="AM1179" s="94">
        <v>4213</v>
      </c>
      <c r="AN1179" s="94">
        <v>72450</v>
      </c>
      <c r="AO1179" s="94">
        <v>794</v>
      </c>
      <c r="AP1179" s="95">
        <v>5.9297840043449801</v>
      </c>
      <c r="AQ1179" s="95">
        <v>2.3138470410149199</v>
      </c>
      <c r="AR1179" s="95">
        <v>10.9149330859944</v>
      </c>
      <c r="AS1179" s="95">
        <v>11.719298245614</v>
      </c>
      <c r="AT1179" s="95">
        <v>6.9354838709677402</v>
      </c>
      <c r="AU1179" s="95">
        <v>5.2811111929127099</v>
      </c>
      <c r="AV1179" s="95">
        <v>4.3490460157126796</v>
      </c>
      <c r="AW1179" s="95">
        <v>5.3295932678821902</v>
      </c>
      <c r="AX1179" s="95">
        <v>6.1278770600097303</v>
      </c>
      <c r="AY1179" s="95">
        <v>3.3816425120772902</v>
      </c>
      <c r="AZ1179" s="95">
        <v>5.9133943814993</v>
      </c>
      <c r="BA1179" s="95">
        <v>8.1575246132208203</v>
      </c>
      <c r="BB1179" s="95">
        <v>4.03587443946188</v>
      </c>
      <c r="BC1179" s="95">
        <v>5.6292219164373298</v>
      </c>
      <c r="BD1179" s="95">
        <v>5.9691482226693502</v>
      </c>
      <c r="BE1179" s="95">
        <v>3.9160839160839198</v>
      </c>
    </row>
    <row r="1180" spans="2:57" ht="15" customHeight="1" x14ac:dyDescent="0.25">
      <c r="B1180" s="91">
        <v>1170</v>
      </c>
      <c r="C1180" s="92" t="s">
        <v>503</v>
      </c>
      <c r="D1180" s="92" t="s">
        <v>85</v>
      </c>
      <c r="E1180" s="92" t="s">
        <v>513</v>
      </c>
      <c r="F1180" s="92"/>
      <c r="G1180" s="93" t="s">
        <v>502</v>
      </c>
      <c r="H1180" s="94">
        <v>15308</v>
      </c>
      <c r="I1180" s="94">
        <v>12056</v>
      </c>
      <c r="J1180" s="94">
        <v>3252</v>
      </c>
      <c r="K1180" s="94">
        <v>983</v>
      </c>
      <c r="L1180" s="94">
        <v>5392</v>
      </c>
      <c r="M1180" s="94">
        <v>7775</v>
      </c>
      <c r="N1180" s="94">
        <v>1158</v>
      </c>
      <c r="O1180" s="94">
        <v>15173</v>
      </c>
      <c r="P1180" s="94">
        <v>135</v>
      </c>
      <c r="Q1180" s="95">
        <v>0.367426514697061</v>
      </c>
      <c r="R1180" s="95">
        <v>0.16142816446681199</v>
      </c>
      <c r="S1180" s="95">
        <v>1.1408199643493799</v>
      </c>
      <c r="T1180" s="95">
        <v>0.48367593712212797</v>
      </c>
      <c r="U1180" s="95">
        <v>0.36472859901308702</v>
      </c>
      <c r="V1180" s="95">
        <v>0.38117578067732</v>
      </c>
      <c r="W1180" s="95">
        <v>0.194741966893866</v>
      </c>
      <c r="X1180" s="95">
        <v>0.35560263297268702</v>
      </c>
      <c r="Y1180" s="95">
        <v>1.6806722689075599</v>
      </c>
      <c r="Z1180" s="94">
        <v>12319</v>
      </c>
      <c r="AA1180" s="94">
        <v>8718</v>
      </c>
      <c r="AB1180" s="94">
        <v>3601</v>
      </c>
      <c r="AC1180" s="94">
        <v>570</v>
      </c>
      <c r="AD1180" s="94">
        <v>3688</v>
      </c>
      <c r="AE1180" s="94">
        <v>6848</v>
      </c>
      <c r="AF1180" s="94">
        <v>1213</v>
      </c>
      <c r="AG1180" s="94">
        <v>3828</v>
      </c>
      <c r="AH1180" s="94">
        <v>8193</v>
      </c>
      <c r="AI1180" s="94">
        <v>298</v>
      </c>
      <c r="AJ1180" s="94">
        <v>12192</v>
      </c>
      <c r="AK1180" s="94">
        <v>90</v>
      </c>
      <c r="AL1180" s="94">
        <v>37</v>
      </c>
      <c r="AM1180" s="94">
        <v>533</v>
      </c>
      <c r="AN1180" s="94">
        <v>11631</v>
      </c>
      <c r="AO1180" s="94">
        <v>155</v>
      </c>
      <c r="AP1180" s="95">
        <v>2.5906285316873898</v>
      </c>
      <c r="AQ1180" s="95">
        <v>0.55059341734981004</v>
      </c>
      <c r="AR1180" s="95">
        <v>7.5975975975976002</v>
      </c>
      <c r="AS1180" s="95">
        <v>4.2801556420233497</v>
      </c>
      <c r="AT1180" s="95">
        <v>3.4442154842508099</v>
      </c>
      <c r="AU1180" s="95">
        <v>2.23880597014925</v>
      </c>
      <c r="AV1180" s="95">
        <v>1.2931034482758601</v>
      </c>
      <c r="AW1180" s="95">
        <v>2.67483978824185</v>
      </c>
      <c r="AX1180" s="95">
        <v>2.6050530174106599</v>
      </c>
      <c r="AY1180" s="95">
        <v>1.0909090909090899</v>
      </c>
      <c r="AZ1180" s="95">
        <v>2.5911286780851999</v>
      </c>
      <c r="BA1180" s="95">
        <v>0</v>
      </c>
      <c r="BB1180" s="95">
        <v>9.0909090909090899</v>
      </c>
      <c r="BC1180" s="95">
        <v>1.7928286852589601</v>
      </c>
      <c r="BD1180" s="95">
        <v>2.6151012891344401</v>
      </c>
      <c r="BE1180" s="95">
        <v>3.5460992907801399</v>
      </c>
    </row>
    <row r="1181" spans="2:57" ht="15" customHeight="1" x14ac:dyDescent="0.25">
      <c r="B1181" s="96">
        <v>1171</v>
      </c>
      <c r="C1181" s="97" t="s">
        <v>504</v>
      </c>
      <c r="D1181" s="104" t="s">
        <v>85</v>
      </c>
      <c r="E1181" s="104" t="s">
        <v>513</v>
      </c>
      <c r="F1181" s="104" t="s">
        <v>300</v>
      </c>
      <c r="G1181" s="105" t="s">
        <v>300</v>
      </c>
      <c r="H1181" s="106">
        <v>46699</v>
      </c>
      <c r="I1181" s="106">
        <v>28366</v>
      </c>
      <c r="J1181" s="106">
        <v>18333</v>
      </c>
      <c r="K1181" s="106">
        <v>2687</v>
      </c>
      <c r="L1181" s="106">
        <v>15848</v>
      </c>
      <c r="M1181" s="106">
        <v>24604</v>
      </c>
      <c r="N1181" s="106">
        <v>3560</v>
      </c>
      <c r="O1181" s="106">
        <v>46351</v>
      </c>
      <c r="P1181" s="106">
        <v>348</v>
      </c>
      <c r="Q1181" s="107">
        <v>1.56745079212674</v>
      </c>
      <c r="R1181" s="107">
        <v>0.91055378939518805</v>
      </c>
      <c r="S1181" s="107">
        <v>2.6018169458006302</v>
      </c>
      <c r="T1181" s="107">
        <v>3.82276281494353</v>
      </c>
      <c r="U1181" s="107">
        <v>1.66079516859587</v>
      </c>
      <c r="V1181" s="107">
        <v>1.31903629593073</v>
      </c>
      <c r="W1181" s="107">
        <v>1.26582278481013</v>
      </c>
      <c r="X1181" s="107">
        <v>1.5572105619498999</v>
      </c>
      <c r="Y1181" s="107">
        <v>2.9605263157894699</v>
      </c>
      <c r="Z1181" s="106">
        <v>57802</v>
      </c>
      <c r="AA1181" s="106">
        <v>32836</v>
      </c>
      <c r="AB1181" s="106">
        <v>24966</v>
      </c>
      <c r="AC1181" s="106">
        <v>2160</v>
      </c>
      <c r="AD1181" s="106">
        <v>17332</v>
      </c>
      <c r="AE1181" s="106">
        <v>32848</v>
      </c>
      <c r="AF1181" s="106">
        <v>5462</v>
      </c>
      <c r="AG1181" s="106">
        <v>9319</v>
      </c>
      <c r="AH1181" s="106">
        <v>47357</v>
      </c>
      <c r="AI1181" s="106">
        <v>1126</v>
      </c>
      <c r="AJ1181" s="106">
        <v>56983</v>
      </c>
      <c r="AK1181" s="106">
        <v>650</v>
      </c>
      <c r="AL1181" s="106">
        <v>169</v>
      </c>
      <c r="AM1181" s="106">
        <v>3153</v>
      </c>
      <c r="AN1181" s="106">
        <v>54071</v>
      </c>
      <c r="AO1181" s="106">
        <v>578</v>
      </c>
      <c r="AP1181" s="107">
        <v>6.3997917557592503</v>
      </c>
      <c r="AQ1181" s="107">
        <v>2.71942680345221</v>
      </c>
      <c r="AR1181" s="107">
        <v>11.2964728312679</v>
      </c>
      <c r="AS1181" s="107">
        <v>12.566975158304899</v>
      </c>
      <c r="AT1181" s="107">
        <v>7.4452646854691196</v>
      </c>
      <c r="AU1181" s="107">
        <v>5.6843338976429196</v>
      </c>
      <c r="AV1181" s="107">
        <v>4.9951597289448202</v>
      </c>
      <c r="AW1181" s="107">
        <v>5.9903164058101597</v>
      </c>
      <c r="AX1181" s="107">
        <v>6.5369454760874</v>
      </c>
      <c r="AY1181" s="107">
        <v>4.04738400789733</v>
      </c>
      <c r="AZ1181" s="107">
        <v>6.3798891110021501</v>
      </c>
      <c r="BA1181" s="107">
        <v>8.5950413223140494</v>
      </c>
      <c r="BB1181" s="107">
        <v>4.6052631578947398</v>
      </c>
      <c r="BC1181" s="107">
        <v>6.40213404468156</v>
      </c>
      <c r="BD1181" s="107">
        <v>6.4199741370735097</v>
      </c>
      <c r="BE1181" s="107">
        <v>4.43159922928709</v>
      </c>
    </row>
    <row r="1182" spans="2:57" ht="15" customHeight="1" x14ac:dyDescent="0.25">
      <c r="B1182" s="91">
        <v>1172</v>
      </c>
      <c r="C1182" s="92" t="s">
        <v>504</v>
      </c>
      <c r="D1182" s="92" t="s">
        <v>85</v>
      </c>
      <c r="E1182" s="92" t="s">
        <v>513</v>
      </c>
      <c r="F1182" s="92" t="s">
        <v>300</v>
      </c>
      <c r="G1182" s="101" t="s">
        <v>501</v>
      </c>
      <c r="H1182" s="94">
        <v>45787</v>
      </c>
      <c r="I1182" s="94">
        <v>27647</v>
      </c>
      <c r="J1182" s="94">
        <v>18140</v>
      </c>
      <c r="K1182" s="94">
        <v>2611</v>
      </c>
      <c r="L1182" s="94">
        <v>15547</v>
      </c>
      <c r="M1182" s="94">
        <v>24150</v>
      </c>
      <c r="N1182" s="94">
        <v>3479</v>
      </c>
      <c r="O1182" s="94">
        <v>45444</v>
      </c>
      <c r="P1182" s="94">
        <v>343</v>
      </c>
      <c r="Q1182" s="95">
        <v>1.5857478465152699</v>
      </c>
      <c r="R1182" s="95">
        <v>0.93375191177654304</v>
      </c>
      <c r="S1182" s="95">
        <v>2.5970782869272102</v>
      </c>
      <c r="T1182" s="95">
        <v>3.8943598925693799</v>
      </c>
      <c r="U1182" s="95">
        <v>1.6844880621063401</v>
      </c>
      <c r="V1182" s="95">
        <v>1.3296171068262801</v>
      </c>
      <c r="W1182" s="95">
        <v>1.2944983818770199</v>
      </c>
      <c r="X1182" s="95">
        <v>1.5753661062077799</v>
      </c>
      <c r="Y1182" s="95">
        <v>2.9801324503311299</v>
      </c>
      <c r="Z1182" s="94">
        <v>57421</v>
      </c>
      <c r="AA1182" s="94">
        <v>32574</v>
      </c>
      <c r="AB1182" s="94">
        <v>24847</v>
      </c>
      <c r="AC1182" s="94">
        <v>2141</v>
      </c>
      <c r="AD1182" s="94">
        <v>17225</v>
      </c>
      <c r="AE1182" s="94">
        <v>32635</v>
      </c>
      <c r="AF1182" s="94">
        <v>5420</v>
      </c>
      <c r="AG1182" s="94">
        <v>9225</v>
      </c>
      <c r="AH1182" s="94">
        <v>47087</v>
      </c>
      <c r="AI1182" s="94">
        <v>1109</v>
      </c>
      <c r="AJ1182" s="94">
        <v>56603</v>
      </c>
      <c r="AK1182" s="94">
        <v>649</v>
      </c>
      <c r="AL1182" s="94">
        <v>169</v>
      </c>
      <c r="AM1182" s="94">
        <v>3131</v>
      </c>
      <c r="AN1182" s="94">
        <v>53715</v>
      </c>
      <c r="AO1182" s="94">
        <v>575</v>
      </c>
      <c r="AP1182" s="95">
        <v>6.4216062438001797</v>
      </c>
      <c r="AQ1182" s="95">
        <v>2.7374778441541401</v>
      </c>
      <c r="AR1182" s="95">
        <v>11.3094978879066</v>
      </c>
      <c r="AS1182" s="95">
        <v>12.5798525798526</v>
      </c>
      <c r="AT1182" s="95">
        <v>7.4744395757922204</v>
      </c>
      <c r="AU1182" s="95">
        <v>5.7006192051895299</v>
      </c>
      <c r="AV1182" s="95">
        <v>5.0351288056206096</v>
      </c>
      <c r="AW1182" s="95">
        <v>6.0423304506144699</v>
      </c>
      <c r="AX1182" s="95">
        <v>6.5531700387232803</v>
      </c>
      <c r="AY1182" s="95">
        <v>4.0080160320641296</v>
      </c>
      <c r="AZ1182" s="95">
        <v>6.4017618134528096</v>
      </c>
      <c r="BA1182" s="95">
        <v>8.6092715231788102</v>
      </c>
      <c r="BB1182" s="95">
        <v>4.6052631578947398</v>
      </c>
      <c r="BC1182" s="95">
        <v>6.4137004701141702</v>
      </c>
      <c r="BD1182" s="95">
        <v>6.4423750876139003</v>
      </c>
      <c r="BE1182" s="95">
        <v>4.4573643410852704</v>
      </c>
    </row>
    <row r="1183" spans="2:57" ht="15" customHeight="1" x14ac:dyDescent="0.25">
      <c r="B1183" s="91">
        <v>1173</v>
      </c>
      <c r="C1183" s="92" t="s">
        <v>504</v>
      </c>
      <c r="D1183" s="92" t="s">
        <v>85</v>
      </c>
      <c r="E1183" s="92" t="s">
        <v>513</v>
      </c>
      <c r="F1183" s="92" t="s">
        <v>300</v>
      </c>
      <c r="G1183" s="101" t="s">
        <v>502</v>
      </c>
      <c r="H1183" s="94">
        <v>912</v>
      </c>
      <c r="I1183" s="94">
        <v>719</v>
      </c>
      <c r="J1183" s="94">
        <v>193</v>
      </c>
      <c r="K1183" s="94">
        <v>76</v>
      </c>
      <c r="L1183" s="94">
        <v>301</v>
      </c>
      <c r="M1183" s="94">
        <v>454</v>
      </c>
      <c r="N1183" s="94">
        <v>81</v>
      </c>
      <c r="O1183" s="94">
        <v>907</v>
      </c>
      <c r="P1183" s="94">
        <v>5</v>
      </c>
      <c r="Q1183" s="95">
        <v>0.62814070351758799</v>
      </c>
      <c r="R1183" s="95">
        <v>0</v>
      </c>
      <c r="S1183" s="95">
        <v>3.0674846625766898</v>
      </c>
      <c r="T1183" s="95">
        <v>1.47058823529412</v>
      </c>
      <c r="U1183" s="95">
        <v>0.39215686274509798</v>
      </c>
      <c r="V1183" s="95">
        <v>0.74441687344913199</v>
      </c>
      <c r="W1183" s="95">
        <v>0</v>
      </c>
      <c r="X1183" s="95">
        <v>0.62972292191435797</v>
      </c>
      <c r="Y1183" s="95">
        <v>0</v>
      </c>
      <c r="Z1183" s="94">
        <v>381</v>
      </c>
      <c r="AA1183" s="94">
        <v>262</v>
      </c>
      <c r="AB1183" s="94">
        <v>119</v>
      </c>
      <c r="AC1183" s="94">
        <v>19</v>
      </c>
      <c r="AD1183" s="94">
        <v>107</v>
      </c>
      <c r="AE1183" s="94">
        <v>213</v>
      </c>
      <c r="AF1183" s="94">
        <v>42</v>
      </c>
      <c r="AG1183" s="94">
        <v>94</v>
      </c>
      <c r="AH1183" s="94">
        <v>270</v>
      </c>
      <c r="AI1183" s="94">
        <v>17</v>
      </c>
      <c r="AJ1183" s="94">
        <v>380</v>
      </c>
      <c r="AK1183" s="94">
        <v>1</v>
      </c>
      <c r="AL1183" s="94">
        <v>0</v>
      </c>
      <c r="AM1183" s="94">
        <v>22</v>
      </c>
      <c r="AN1183" s="94">
        <v>356</v>
      </c>
      <c r="AO1183" s="94">
        <v>3</v>
      </c>
      <c r="AP1183" s="95">
        <v>3.1073446327683598</v>
      </c>
      <c r="AQ1183" s="95">
        <v>0.418410041841004</v>
      </c>
      <c r="AR1183" s="95">
        <v>8.6956521739130395</v>
      </c>
      <c r="AS1183" s="95">
        <v>11.1111111111111</v>
      </c>
      <c r="AT1183" s="95">
        <v>2.9411764705882399</v>
      </c>
      <c r="AU1183" s="95">
        <v>3.1088082901554399</v>
      </c>
      <c r="AV1183" s="95">
        <v>0</v>
      </c>
      <c r="AW1183" s="95">
        <v>1.0752688172042999</v>
      </c>
      <c r="AX1183" s="95">
        <v>3.6585365853658498</v>
      </c>
      <c r="AY1183" s="95">
        <v>6.6666666666666696</v>
      </c>
      <c r="AZ1183" s="95">
        <v>3.1161473087818701</v>
      </c>
      <c r="BA1183" s="95">
        <v>0</v>
      </c>
      <c r="BB1183" s="95">
        <v>0</v>
      </c>
      <c r="BC1183" s="95">
        <v>4.7619047619047601</v>
      </c>
      <c r="BD1183" s="95">
        <v>3.0303030303030298</v>
      </c>
      <c r="BE1183" s="95">
        <v>0</v>
      </c>
    </row>
    <row r="1184" spans="2:57" ht="15" customHeight="1" x14ac:dyDescent="0.25">
      <c r="B1184" s="96">
        <v>1174</v>
      </c>
      <c r="C1184" s="97" t="s">
        <v>504</v>
      </c>
      <c r="D1184" s="104" t="s">
        <v>85</v>
      </c>
      <c r="E1184" s="104" t="s">
        <v>513</v>
      </c>
      <c r="F1184" s="104" t="s">
        <v>332</v>
      </c>
      <c r="G1184" s="105" t="s">
        <v>332</v>
      </c>
      <c r="H1184" s="106">
        <v>5398</v>
      </c>
      <c r="I1184" s="106">
        <v>3940</v>
      </c>
      <c r="J1184" s="106">
        <v>1458</v>
      </c>
      <c r="K1184" s="106">
        <v>326</v>
      </c>
      <c r="L1184" s="106">
        <v>1735</v>
      </c>
      <c r="M1184" s="106">
        <v>2792</v>
      </c>
      <c r="N1184" s="106">
        <v>545</v>
      </c>
      <c r="O1184" s="106">
        <v>5380</v>
      </c>
      <c r="P1184" s="106">
        <v>18</v>
      </c>
      <c r="Q1184" s="107">
        <v>0.44900577293136601</v>
      </c>
      <c r="R1184" s="107">
        <v>0.201787258575959</v>
      </c>
      <c r="S1184" s="107">
        <v>1.15894039735099</v>
      </c>
      <c r="T1184" s="107">
        <v>0.74349442379182196</v>
      </c>
      <c r="U1184" s="107">
        <v>0.40133779264213998</v>
      </c>
      <c r="V1184" s="107">
        <v>0.48999591670069398</v>
      </c>
      <c r="W1184" s="107">
        <v>0.21551724137931</v>
      </c>
      <c r="X1184" s="107">
        <v>0.407550407550408</v>
      </c>
      <c r="Y1184" s="107">
        <v>13.3333333333333</v>
      </c>
      <c r="Z1184" s="106">
        <v>6858</v>
      </c>
      <c r="AA1184" s="106">
        <v>4439</v>
      </c>
      <c r="AB1184" s="106">
        <v>2419</v>
      </c>
      <c r="AC1184" s="106">
        <v>322</v>
      </c>
      <c r="AD1184" s="106">
        <v>2071</v>
      </c>
      <c r="AE1184" s="106">
        <v>3586</v>
      </c>
      <c r="AF1184" s="106">
        <v>879</v>
      </c>
      <c r="AG1184" s="106">
        <v>1777</v>
      </c>
      <c r="AH1184" s="106">
        <v>4910</v>
      </c>
      <c r="AI1184" s="106">
        <v>171</v>
      </c>
      <c r="AJ1184" s="106">
        <v>6792</v>
      </c>
      <c r="AK1184" s="106">
        <v>23</v>
      </c>
      <c r="AL1184" s="106">
        <v>43</v>
      </c>
      <c r="AM1184" s="106">
        <v>389</v>
      </c>
      <c r="AN1184" s="106">
        <v>6382</v>
      </c>
      <c r="AO1184" s="106">
        <v>87</v>
      </c>
      <c r="AP1184" s="107">
        <v>2.86259541984733</v>
      </c>
      <c r="AQ1184" s="107">
        <v>0.857002938295788</v>
      </c>
      <c r="AR1184" s="107">
        <v>6.5789473684210504</v>
      </c>
      <c r="AS1184" s="107">
        <v>5.1724137931034502</v>
      </c>
      <c r="AT1184" s="107">
        <v>3.8891848694725599</v>
      </c>
      <c r="AU1184" s="107">
        <v>2.49240121580547</v>
      </c>
      <c r="AV1184" s="107">
        <v>1.2033694344163699</v>
      </c>
      <c r="AW1184" s="107">
        <v>2.3142509135200999</v>
      </c>
      <c r="AX1184" s="107">
        <v>3.1361209964412802</v>
      </c>
      <c r="AY1184" s="107">
        <v>0.66666666666666696</v>
      </c>
      <c r="AZ1184" s="107">
        <v>2.8887818969667798</v>
      </c>
      <c r="BA1184" s="107">
        <v>0</v>
      </c>
      <c r="BB1184" s="107">
        <v>0</v>
      </c>
      <c r="BC1184" s="107">
        <v>1.8970189701897</v>
      </c>
      <c r="BD1184" s="107">
        <v>2.9079712624016398</v>
      </c>
      <c r="BE1184" s="107">
        <v>4.10958904109589</v>
      </c>
    </row>
    <row r="1185" spans="2:57" ht="15" customHeight="1" x14ac:dyDescent="0.25">
      <c r="B1185" s="91">
        <v>1175</v>
      </c>
      <c r="C1185" s="92" t="s">
        <v>504</v>
      </c>
      <c r="D1185" s="92" t="s">
        <v>85</v>
      </c>
      <c r="E1185" s="92" t="s">
        <v>513</v>
      </c>
      <c r="F1185" s="92" t="s">
        <v>332</v>
      </c>
      <c r="G1185" s="101" t="s">
        <v>501</v>
      </c>
      <c r="H1185" s="94">
        <v>2068</v>
      </c>
      <c r="I1185" s="94">
        <v>1382</v>
      </c>
      <c r="J1185" s="94">
        <v>686</v>
      </c>
      <c r="K1185" s="94">
        <v>84</v>
      </c>
      <c r="L1185" s="94">
        <v>639</v>
      </c>
      <c r="M1185" s="94">
        <v>1145</v>
      </c>
      <c r="N1185" s="94">
        <v>200</v>
      </c>
      <c r="O1185" s="94">
        <v>2055</v>
      </c>
      <c r="P1185" s="94">
        <v>13</v>
      </c>
      <c r="Q1185" s="95">
        <v>0.62535531552018198</v>
      </c>
      <c r="R1185" s="95">
        <v>0.16877637130801701</v>
      </c>
      <c r="S1185" s="95">
        <v>1.5679442508710799</v>
      </c>
      <c r="T1185" s="95">
        <v>1.61290322580645</v>
      </c>
      <c r="U1185" s="95">
        <v>0.183150183150183</v>
      </c>
      <c r="V1185" s="95">
        <v>0.91001011122345798</v>
      </c>
      <c r="W1185" s="95">
        <v>0</v>
      </c>
      <c r="X1185" s="95">
        <v>0.62893081761006298</v>
      </c>
      <c r="Y1185" s="95">
        <v>0</v>
      </c>
      <c r="Z1185" s="94">
        <v>3161</v>
      </c>
      <c r="AA1185" s="94">
        <v>1945</v>
      </c>
      <c r="AB1185" s="94">
        <v>1216</v>
      </c>
      <c r="AC1185" s="94">
        <v>111</v>
      </c>
      <c r="AD1185" s="94">
        <v>974</v>
      </c>
      <c r="AE1185" s="94">
        <v>1710</v>
      </c>
      <c r="AF1185" s="94">
        <v>366</v>
      </c>
      <c r="AG1185" s="94">
        <v>406</v>
      </c>
      <c r="AH1185" s="94">
        <v>2661</v>
      </c>
      <c r="AI1185" s="94">
        <v>94</v>
      </c>
      <c r="AJ1185" s="94">
        <v>3123</v>
      </c>
      <c r="AK1185" s="94">
        <v>14</v>
      </c>
      <c r="AL1185" s="94">
        <v>24</v>
      </c>
      <c r="AM1185" s="94">
        <v>177</v>
      </c>
      <c r="AN1185" s="94">
        <v>2943</v>
      </c>
      <c r="AO1185" s="94">
        <v>41</v>
      </c>
      <c r="AP1185" s="95">
        <v>3.17460317460317</v>
      </c>
      <c r="AQ1185" s="95">
        <v>0.89585666293393096</v>
      </c>
      <c r="AR1185" s="95">
        <v>6.8345323741007196</v>
      </c>
      <c r="AS1185" s="95">
        <v>5.8823529411764701</v>
      </c>
      <c r="AT1185" s="95">
        <v>3.73303167420814</v>
      </c>
      <c r="AU1185" s="95">
        <v>2.99744897959184</v>
      </c>
      <c r="AV1185" s="95">
        <v>1.7441860465116299</v>
      </c>
      <c r="AW1185" s="95">
        <v>1.3020833333333299</v>
      </c>
      <c r="AX1185" s="95">
        <v>3.5347307850390499</v>
      </c>
      <c r="AY1185" s="95">
        <v>1.2345679012345701</v>
      </c>
      <c r="AZ1185" s="95">
        <v>3.2100488485694298</v>
      </c>
      <c r="BA1185" s="95">
        <v>0</v>
      </c>
      <c r="BB1185" s="95">
        <v>0</v>
      </c>
      <c r="BC1185" s="95">
        <v>3.52941176470588</v>
      </c>
      <c r="BD1185" s="95">
        <v>3.1551596139569398</v>
      </c>
      <c r="BE1185" s="95">
        <v>2.9411764705882399</v>
      </c>
    </row>
    <row r="1186" spans="2:57" ht="15" customHeight="1" x14ac:dyDescent="0.25">
      <c r="B1186" s="91">
        <v>1176</v>
      </c>
      <c r="C1186" s="92" t="s">
        <v>504</v>
      </c>
      <c r="D1186" s="92" t="s">
        <v>85</v>
      </c>
      <c r="E1186" s="92" t="s">
        <v>513</v>
      </c>
      <c r="F1186" s="92" t="s">
        <v>332</v>
      </c>
      <c r="G1186" s="101" t="s">
        <v>502</v>
      </c>
      <c r="H1186" s="94">
        <v>3330</v>
      </c>
      <c r="I1186" s="94">
        <v>2558</v>
      </c>
      <c r="J1186" s="94">
        <v>772</v>
      </c>
      <c r="K1186" s="94">
        <v>242</v>
      </c>
      <c r="L1186" s="94">
        <v>1096</v>
      </c>
      <c r="M1186" s="94">
        <v>1647</v>
      </c>
      <c r="N1186" s="94">
        <v>345</v>
      </c>
      <c r="O1186" s="94">
        <v>3325</v>
      </c>
      <c r="P1186" s="94">
        <v>5</v>
      </c>
      <c r="Q1186" s="95">
        <v>0.34270047978067197</v>
      </c>
      <c r="R1186" s="95">
        <v>0.21891418563922899</v>
      </c>
      <c r="S1186" s="95">
        <v>0.78864353312302804</v>
      </c>
      <c r="T1186" s="95">
        <v>0.48309178743961401</v>
      </c>
      <c r="U1186" s="95">
        <v>0.52687038988408896</v>
      </c>
      <c r="V1186" s="95">
        <v>0.20547945205479501</v>
      </c>
      <c r="W1186" s="95">
        <v>0.33112582781457001</v>
      </c>
      <c r="X1186" s="95">
        <v>0.27463096464126302</v>
      </c>
      <c r="Y1186" s="95">
        <v>40</v>
      </c>
      <c r="Z1186" s="94">
        <v>3697</v>
      </c>
      <c r="AA1186" s="94">
        <v>2494</v>
      </c>
      <c r="AB1186" s="94">
        <v>1203</v>
      </c>
      <c r="AC1186" s="94">
        <v>211</v>
      </c>
      <c r="AD1186" s="94">
        <v>1097</v>
      </c>
      <c r="AE1186" s="94">
        <v>1876</v>
      </c>
      <c r="AF1186" s="94">
        <v>513</v>
      </c>
      <c r="AG1186" s="94">
        <v>1371</v>
      </c>
      <c r="AH1186" s="94">
        <v>2249</v>
      </c>
      <c r="AI1186" s="94">
        <v>77</v>
      </c>
      <c r="AJ1186" s="94">
        <v>3669</v>
      </c>
      <c r="AK1186" s="94">
        <v>9</v>
      </c>
      <c r="AL1186" s="94">
        <v>19</v>
      </c>
      <c r="AM1186" s="94">
        <v>212</v>
      </c>
      <c r="AN1186" s="94">
        <v>3439</v>
      </c>
      <c r="AO1186" s="94">
        <v>46</v>
      </c>
      <c r="AP1186" s="95">
        <v>2.5958702064896801</v>
      </c>
      <c r="AQ1186" s="95">
        <v>0.82680591818973004</v>
      </c>
      <c r="AR1186" s="95">
        <v>6.3186813186813202</v>
      </c>
      <c r="AS1186" s="95">
        <v>4.7872340425531901</v>
      </c>
      <c r="AT1186" s="95">
        <v>4.0281973816717001</v>
      </c>
      <c r="AU1186" s="95">
        <v>2.03252032520325</v>
      </c>
      <c r="AV1186" s="95">
        <v>0.82135523613963002</v>
      </c>
      <c r="AW1186" s="95">
        <v>2.6232114467408598</v>
      </c>
      <c r="AX1186" s="95">
        <v>2.6660203587009201</v>
      </c>
      <c r="AY1186" s="95">
        <v>0</v>
      </c>
      <c r="AZ1186" s="95">
        <v>2.6151560178306101</v>
      </c>
      <c r="BA1186" s="95">
        <v>0</v>
      </c>
      <c r="BB1186" s="95">
        <v>0</v>
      </c>
      <c r="BC1186" s="95">
        <v>0.50251256281406997</v>
      </c>
      <c r="BD1186" s="95">
        <v>2.6967005076142101</v>
      </c>
      <c r="BE1186" s="95">
        <v>5.1282051282051304</v>
      </c>
    </row>
    <row r="1187" spans="2:57" ht="15" customHeight="1" x14ac:dyDescent="0.25">
      <c r="B1187" s="96">
        <v>1177</v>
      </c>
      <c r="C1187" s="97" t="s">
        <v>504</v>
      </c>
      <c r="D1187" s="104" t="s">
        <v>85</v>
      </c>
      <c r="E1187" s="104" t="s">
        <v>513</v>
      </c>
      <c r="F1187" s="104" t="s">
        <v>230</v>
      </c>
      <c r="G1187" s="105" t="s">
        <v>230</v>
      </c>
      <c r="H1187" s="106">
        <v>9202</v>
      </c>
      <c r="I1187" s="106">
        <v>6383</v>
      </c>
      <c r="J1187" s="106">
        <v>2819</v>
      </c>
      <c r="K1187" s="106">
        <v>605</v>
      </c>
      <c r="L1187" s="106">
        <v>3096</v>
      </c>
      <c r="M1187" s="106">
        <v>4737</v>
      </c>
      <c r="N1187" s="106">
        <v>764</v>
      </c>
      <c r="O1187" s="106">
        <v>9146</v>
      </c>
      <c r="P1187" s="106">
        <v>56</v>
      </c>
      <c r="Q1187" s="107">
        <v>0.81653483031385599</v>
      </c>
      <c r="R1187" s="107">
        <v>0.33015407190022</v>
      </c>
      <c r="S1187" s="107">
        <v>1.9279128248113999</v>
      </c>
      <c r="T1187" s="107">
        <v>0.96339113680154098</v>
      </c>
      <c r="U1187" s="107">
        <v>1.2048192771084301</v>
      </c>
      <c r="V1187" s="107">
        <v>0.61244487996080399</v>
      </c>
      <c r="W1187" s="107">
        <v>0.451807228915663</v>
      </c>
      <c r="X1187" s="107">
        <v>0.80893682588597804</v>
      </c>
      <c r="Y1187" s="107">
        <v>2</v>
      </c>
      <c r="Z1187" s="106">
        <v>9624</v>
      </c>
      <c r="AA1187" s="106">
        <v>5908</v>
      </c>
      <c r="AB1187" s="106">
        <v>3716</v>
      </c>
      <c r="AC1187" s="106">
        <v>450</v>
      </c>
      <c r="AD1187" s="106">
        <v>2760</v>
      </c>
      <c r="AE1187" s="106">
        <v>5382</v>
      </c>
      <c r="AF1187" s="106">
        <v>1032</v>
      </c>
      <c r="AG1187" s="106">
        <v>1615</v>
      </c>
      <c r="AH1187" s="106">
        <v>7757</v>
      </c>
      <c r="AI1187" s="106">
        <v>252</v>
      </c>
      <c r="AJ1187" s="106">
        <v>9524</v>
      </c>
      <c r="AK1187" s="106">
        <v>68</v>
      </c>
      <c r="AL1187" s="106">
        <v>32</v>
      </c>
      <c r="AM1187" s="106">
        <v>549</v>
      </c>
      <c r="AN1187" s="106">
        <v>8960</v>
      </c>
      <c r="AO1187" s="106">
        <v>115</v>
      </c>
      <c r="AP1187" s="107">
        <v>4.7136910788615101</v>
      </c>
      <c r="AQ1187" s="107">
        <v>1.3570511644966099</v>
      </c>
      <c r="AR1187" s="107">
        <v>10.0407450523865</v>
      </c>
      <c r="AS1187" s="107">
        <v>10.714285714285699</v>
      </c>
      <c r="AT1187" s="107">
        <v>5.5621301775147902</v>
      </c>
      <c r="AU1187" s="107">
        <v>4.0766902119071604</v>
      </c>
      <c r="AV1187" s="107">
        <v>3.1664964249233898</v>
      </c>
      <c r="AW1187" s="107">
        <v>4.1042345276873</v>
      </c>
      <c r="AX1187" s="107">
        <v>4.9256244737580701</v>
      </c>
      <c r="AY1187" s="107">
        <v>2.1929824561403501</v>
      </c>
      <c r="AZ1187" s="107">
        <v>4.7132311186825699</v>
      </c>
      <c r="BA1187" s="107">
        <v>5</v>
      </c>
      <c r="BB1187" s="107">
        <v>4.1666666666666696</v>
      </c>
      <c r="BC1187" s="107">
        <v>3.8910505836575902</v>
      </c>
      <c r="BD1187" s="107">
        <v>4.7883917775090703</v>
      </c>
      <c r="BE1187" s="107">
        <v>2.8571428571428599</v>
      </c>
    </row>
    <row r="1188" spans="2:57" ht="15" customHeight="1" x14ac:dyDescent="0.25">
      <c r="B1188" s="91">
        <v>1178</v>
      </c>
      <c r="C1188" s="92" t="s">
        <v>504</v>
      </c>
      <c r="D1188" s="92" t="s">
        <v>85</v>
      </c>
      <c r="E1188" s="92" t="s">
        <v>513</v>
      </c>
      <c r="F1188" s="92" t="s">
        <v>230</v>
      </c>
      <c r="G1188" s="101" t="s">
        <v>501</v>
      </c>
      <c r="H1188" s="94">
        <v>7129</v>
      </c>
      <c r="I1188" s="94">
        <v>4780</v>
      </c>
      <c r="J1188" s="94">
        <v>2349</v>
      </c>
      <c r="K1188" s="94">
        <v>437</v>
      </c>
      <c r="L1188" s="94">
        <v>2354</v>
      </c>
      <c r="M1188" s="94">
        <v>3752</v>
      </c>
      <c r="N1188" s="94">
        <v>586</v>
      </c>
      <c r="O1188" s="94">
        <v>7077</v>
      </c>
      <c r="P1188" s="94">
        <v>52</v>
      </c>
      <c r="Q1188" s="95">
        <v>0.93333333333333302</v>
      </c>
      <c r="R1188" s="95">
        <v>0.37267080745341602</v>
      </c>
      <c r="S1188" s="95">
        <v>2.0759493670886102</v>
      </c>
      <c r="T1188" s="95">
        <v>1.33689839572193</v>
      </c>
      <c r="U1188" s="95">
        <v>1.3555787278414999</v>
      </c>
      <c r="V1188" s="95">
        <v>0.68621334996880801</v>
      </c>
      <c r="W1188" s="95">
        <v>0.59760956175298796</v>
      </c>
      <c r="X1188" s="95">
        <v>0.92374874034262699</v>
      </c>
      <c r="Y1188" s="95">
        <v>2.1739130434782599</v>
      </c>
      <c r="Z1188" s="94">
        <v>7694</v>
      </c>
      <c r="AA1188" s="94">
        <v>4642</v>
      </c>
      <c r="AB1188" s="94">
        <v>3052</v>
      </c>
      <c r="AC1188" s="94">
        <v>339</v>
      </c>
      <c r="AD1188" s="94">
        <v>2219</v>
      </c>
      <c r="AE1188" s="94">
        <v>4354</v>
      </c>
      <c r="AF1188" s="94">
        <v>782</v>
      </c>
      <c r="AG1188" s="94">
        <v>957</v>
      </c>
      <c r="AH1188" s="94">
        <v>6538</v>
      </c>
      <c r="AI1188" s="94">
        <v>199</v>
      </c>
      <c r="AJ1188" s="94">
        <v>7606</v>
      </c>
      <c r="AK1188" s="94">
        <v>62</v>
      </c>
      <c r="AL1188" s="94">
        <v>26</v>
      </c>
      <c r="AM1188" s="94">
        <v>438</v>
      </c>
      <c r="AN1188" s="94">
        <v>7168</v>
      </c>
      <c r="AO1188" s="94">
        <v>88</v>
      </c>
      <c r="AP1188" s="95">
        <v>5.49512643028676</v>
      </c>
      <c r="AQ1188" s="95">
        <v>1.57461809635723</v>
      </c>
      <c r="AR1188" s="95">
        <v>11.4022662889518</v>
      </c>
      <c r="AS1188" s="95">
        <v>13.664596273291901</v>
      </c>
      <c r="AT1188" s="95">
        <v>6.3390663390663402</v>
      </c>
      <c r="AU1188" s="95">
        <v>4.7404063205417604</v>
      </c>
      <c r="AV1188" s="95">
        <v>3.6734693877550999</v>
      </c>
      <c r="AW1188" s="95">
        <v>5.8050383351588204</v>
      </c>
      <c r="AX1188" s="95">
        <v>5.5277221108884396</v>
      </c>
      <c r="AY1188" s="95">
        <v>2.80898876404494</v>
      </c>
      <c r="AZ1188" s="95">
        <v>5.5087769373483697</v>
      </c>
      <c r="BA1188" s="95">
        <v>5.5555555555555598</v>
      </c>
      <c r="BB1188" s="95">
        <v>0</v>
      </c>
      <c r="BC1188" s="95">
        <v>4.4117647058823497</v>
      </c>
      <c r="BD1188" s="95">
        <v>5.58337126384464</v>
      </c>
      <c r="BE1188" s="95">
        <v>3.75</v>
      </c>
    </row>
    <row r="1189" spans="2:57" ht="15" customHeight="1" x14ac:dyDescent="0.25">
      <c r="B1189" s="91">
        <v>1179</v>
      </c>
      <c r="C1189" s="92" t="s">
        <v>504</v>
      </c>
      <c r="D1189" s="92" t="s">
        <v>85</v>
      </c>
      <c r="E1189" s="92" t="s">
        <v>513</v>
      </c>
      <c r="F1189" s="92" t="s">
        <v>230</v>
      </c>
      <c r="G1189" s="101" t="s">
        <v>502</v>
      </c>
      <c r="H1189" s="94">
        <v>2073</v>
      </c>
      <c r="I1189" s="94">
        <v>1603</v>
      </c>
      <c r="J1189" s="94">
        <v>470</v>
      </c>
      <c r="K1189" s="94">
        <v>168</v>
      </c>
      <c r="L1189" s="94">
        <v>742</v>
      </c>
      <c r="M1189" s="94">
        <v>985</v>
      </c>
      <c r="N1189" s="94">
        <v>178</v>
      </c>
      <c r="O1189" s="94">
        <v>2069</v>
      </c>
      <c r="P1189" s="94">
        <v>4</v>
      </c>
      <c r="Q1189" s="95">
        <v>0.43525571273122998</v>
      </c>
      <c r="R1189" s="95">
        <v>0.21023125437981799</v>
      </c>
      <c r="S1189" s="95">
        <v>1.21654501216545</v>
      </c>
      <c r="T1189" s="95">
        <v>0</v>
      </c>
      <c r="U1189" s="95">
        <v>0.76335877862595403</v>
      </c>
      <c r="V1189" s="95">
        <v>0.34246575342465801</v>
      </c>
      <c r="W1189" s="95">
        <v>0</v>
      </c>
      <c r="X1189" s="95">
        <v>0.43620501635768799</v>
      </c>
      <c r="Y1189" s="95">
        <v>0</v>
      </c>
      <c r="Z1189" s="94">
        <v>1930</v>
      </c>
      <c r="AA1189" s="94">
        <v>1266</v>
      </c>
      <c r="AB1189" s="94">
        <v>664</v>
      </c>
      <c r="AC1189" s="94">
        <v>111</v>
      </c>
      <c r="AD1189" s="94">
        <v>541</v>
      </c>
      <c r="AE1189" s="94">
        <v>1028</v>
      </c>
      <c r="AF1189" s="94">
        <v>250</v>
      </c>
      <c r="AG1189" s="94">
        <v>658</v>
      </c>
      <c r="AH1189" s="94">
        <v>1219</v>
      </c>
      <c r="AI1189" s="94">
        <v>53</v>
      </c>
      <c r="AJ1189" s="94">
        <v>1918</v>
      </c>
      <c r="AK1189" s="94">
        <v>6</v>
      </c>
      <c r="AL1189" s="94">
        <v>6</v>
      </c>
      <c r="AM1189" s="94">
        <v>111</v>
      </c>
      <c r="AN1189" s="94">
        <v>1792</v>
      </c>
      <c r="AO1189" s="94">
        <v>27</v>
      </c>
      <c r="AP1189" s="95">
        <v>1.65745856353591</v>
      </c>
      <c r="AQ1189" s="95">
        <v>0.58430717863105197</v>
      </c>
      <c r="AR1189" s="95">
        <v>3.7581699346405202</v>
      </c>
      <c r="AS1189" s="95">
        <v>1.0204081632653099</v>
      </c>
      <c r="AT1189" s="95">
        <v>2.4</v>
      </c>
      <c r="AU1189" s="95">
        <v>1.3429752066115701</v>
      </c>
      <c r="AV1189" s="95">
        <v>1.63934426229508</v>
      </c>
      <c r="AW1189" s="95">
        <v>1.6077170418006399</v>
      </c>
      <c r="AX1189" s="95">
        <v>1.75746924428823</v>
      </c>
      <c r="AY1189" s="95">
        <v>0</v>
      </c>
      <c r="AZ1189" s="95">
        <v>1.61290322580645</v>
      </c>
      <c r="BA1189" s="95">
        <v>0</v>
      </c>
      <c r="BB1189" s="95">
        <v>16.6666666666667</v>
      </c>
      <c r="BC1189" s="95">
        <v>1.88679245283019</v>
      </c>
      <c r="BD1189" s="95">
        <v>1.6676593210244199</v>
      </c>
      <c r="BE1189" s="95">
        <v>0</v>
      </c>
    </row>
    <row r="1190" spans="2:57" ht="15" customHeight="1" x14ac:dyDescent="0.25">
      <c r="B1190" s="96">
        <v>1180</v>
      </c>
      <c r="C1190" s="97" t="s">
        <v>504</v>
      </c>
      <c r="D1190" s="104" t="s">
        <v>85</v>
      </c>
      <c r="E1190" s="104" t="s">
        <v>513</v>
      </c>
      <c r="F1190" s="104" t="s">
        <v>161</v>
      </c>
      <c r="G1190" s="105" t="s">
        <v>161</v>
      </c>
      <c r="H1190" s="106">
        <v>6389</v>
      </c>
      <c r="I1190" s="106">
        <v>4803</v>
      </c>
      <c r="J1190" s="106">
        <v>1586</v>
      </c>
      <c r="K1190" s="106">
        <v>363</v>
      </c>
      <c r="L1190" s="106">
        <v>2223</v>
      </c>
      <c r="M1190" s="106">
        <v>3297</v>
      </c>
      <c r="N1190" s="106">
        <v>506</v>
      </c>
      <c r="O1190" s="106">
        <v>6332</v>
      </c>
      <c r="P1190" s="106">
        <v>57</v>
      </c>
      <c r="Q1190" s="107">
        <v>0.61173083843109</v>
      </c>
      <c r="R1190" s="107">
        <v>0.16658733936220799</v>
      </c>
      <c r="S1190" s="107">
        <v>1.9911504424778801</v>
      </c>
      <c r="T1190" s="107">
        <v>2.3102310231023102</v>
      </c>
      <c r="U1190" s="107">
        <v>0.62663185378590103</v>
      </c>
      <c r="V1190" s="107">
        <v>0.51831375259156898</v>
      </c>
      <c r="W1190" s="107">
        <v>0</v>
      </c>
      <c r="X1190" s="107">
        <v>0.61717190052641102</v>
      </c>
      <c r="Y1190" s="107">
        <v>0</v>
      </c>
      <c r="Z1190" s="106">
        <v>7711</v>
      </c>
      <c r="AA1190" s="106">
        <v>5235</v>
      </c>
      <c r="AB1190" s="106">
        <v>2476</v>
      </c>
      <c r="AC1190" s="106">
        <v>351</v>
      </c>
      <c r="AD1190" s="106">
        <v>2287</v>
      </c>
      <c r="AE1190" s="106">
        <v>4420</v>
      </c>
      <c r="AF1190" s="106">
        <v>653</v>
      </c>
      <c r="AG1190" s="106">
        <v>2700</v>
      </c>
      <c r="AH1190" s="106">
        <v>4875</v>
      </c>
      <c r="AI1190" s="106">
        <v>136</v>
      </c>
      <c r="AJ1190" s="106">
        <v>7650</v>
      </c>
      <c r="AK1190" s="106">
        <v>43</v>
      </c>
      <c r="AL1190" s="106">
        <v>18</v>
      </c>
      <c r="AM1190" s="106">
        <v>320</v>
      </c>
      <c r="AN1190" s="106">
        <v>7318</v>
      </c>
      <c r="AO1190" s="106">
        <v>73</v>
      </c>
      <c r="AP1190" s="107">
        <v>3.27664869348818</v>
      </c>
      <c r="AQ1190" s="107">
        <v>0.445885691122821</v>
      </c>
      <c r="AR1190" s="107">
        <v>9.3518921270117392</v>
      </c>
      <c r="AS1190" s="107">
        <v>5.71428571428571</v>
      </c>
      <c r="AT1190" s="107">
        <v>4.2220113851992398</v>
      </c>
      <c r="AU1190" s="107">
        <v>2.8892072588347699</v>
      </c>
      <c r="AV1190" s="107">
        <v>1.4469453376205801</v>
      </c>
      <c r="AW1190" s="107">
        <v>3.48882791062328</v>
      </c>
      <c r="AX1190" s="107">
        <v>3.205268935236</v>
      </c>
      <c r="AY1190" s="107">
        <v>1.5748031496063</v>
      </c>
      <c r="AZ1190" s="107">
        <v>3.2469342251950901</v>
      </c>
      <c r="BA1190" s="107">
        <v>2.4390243902439002</v>
      </c>
      <c r="BB1190" s="107">
        <v>18.75</v>
      </c>
      <c r="BC1190" s="107">
        <v>1.9672131147541001</v>
      </c>
      <c r="BD1190" s="107">
        <v>3.3522810085993302</v>
      </c>
      <c r="BE1190" s="107">
        <v>1.4925373134328399</v>
      </c>
    </row>
    <row r="1191" spans="2:57" ht="15" customHeight="1" x14ac:dyDescent="0.25">
      <c r="B1191" s="91">
        <v>1181</v>
      </c>
      <c r="C1191" s="92" t="s">
        <v>504</v>
      </c>
      <c r="D1191" s="92" t="s">
        <v>85</v>
      </c>
      <c r="E1191" s="92" t="s">
        <v>513</v>
      </c>
      <c r="F1191" s="92" t="s">
        <v>161</v>
      </c>
      <c r="G1191" s="101" t="s">
        <v>501</v>
      </c>
      <c r="H1191" s="94">
        <v>3421</v>
      </c>
      <c r="I1191" s="94">
        <v>2323</v>
      </c>
      <c r="J1191" s="94">
        <v>1098</v>
      </c>
      <c r="K1191" s="94">
        <v>208</v>
      </c>
      <c r="L1191" s="94">
        <v>1040</v>
      </c>
      <c r="M1191" s="94">
        <v>1845</v>
      </c>
      <c r="N1191" s="94">
        <v>328</v>
      </c>
      <c r="O1191" s="94">
        <v>3409</v>
      </c>
      <c r="P1191" s="94">
        <v>12</v>
      </c>
      <c r="Q1191" s="95">
        <v>0.87512622012790298</v>
      </c>
      <c r="R1191" s="95">
        <v>0.19627085377821399</v>
      </c>
      <c r="S1191" s="95">
        <v>2.3579849946409399</v>
      </c>
      <c r="T1191" s="95">
        <v>4.1176470588235299</v>
      </c>
      <c r="U1191" s="95">
        <v>1.12485939257593</v>
      </c>
      <c r="V1191" s="95">
        <v>0.55316533497234199</v>
      </c>
      <c r="W1191" s="95">
        <v>0</v>
      </c>
      <c r="X1191" s="95">
        <v>0.87808172914555904</v>
      </c>
      <c r="Y1191" s="95">
        <v>0</v>
      </c>
      <c r="Z1191" s="94">
        <v>4928</v>
      </c>
      <c r="AA1191" s="94">
        <v>2948</v>
      </c>
      <c r="AB1191" s="94">
        <v>1980</v>
      </c>
      <c r="AC1191" s="94">
        <v>271</v>
      </c>
      <c r="AD1191" s="94">
        <v>1445</v>
      </c>
      <c r="AE1191" s="94">
        <v>2674</v>
      </c>
      <c r="AF1191" s="94">
        <v>538</v>
      </c>
      <c r="AG1191" s="94">
        <v>1872</v>
      </c>
      <c r="AH1191" s="94">
        <v>2988</v>
      </c>
      <c r="AI1191" s="94">
        <v>68</v>
      </c>
      <c r="AJ1191" s="94">
        <v>4896</v>
      </c>
      <c r="AK1191" s="94">
        <v>19</v>
      </c>
      <c r="AL1191" s="94">
        <v>13</v>
      </c>
      <c r="AM1191" s="94">
        <v>280</v>
      </c>
      <c r="AN1191" s="94">
        <v>4600</v>
      </c>
      <c r="AO1191" s="94">
        <v>48</v>
      </c>
      <c r="AP1191" s="95">
        <v>3.6550667542131801</v>
      </c>
      <c r="AQ1191" s="95">
        <v>0.65837600585223099</v>
      </c>
      <c r="AR1191" s="95">
        <v>8.11989100817439</v>
      </c>
      <c r="AS1191" s="95">
        <v>6.1728395061728403</v>
      </c>
      <c r="AT1191" s="95">
        <v>4.7148288973383998</v>
      </c>
      <c r="AU1191" s="95">
        <v>3.2839407288746498</v>
      </c>
      <c r="AV1191" s="95">
        <v>1.5564202334630399</v>
      </c>
      <c r="AW1191" s="95">
        <v>3.4580498866213101</v>
      </c>
      <c r="AX1191" s="95">
        <v>3.8307187157971501</v>
      </c>
      <c r="AY1191" s="95">
        <v>1.5625</v>
      </c>
      <c r="AZ1191" s="95">
        <v>3.6123348017621102</v>
      </c>
      <c r="BA1191" s="95">
        <v>5.8823529411764701</v>
      </c>
      <c r="BB1191" s="95">
        <v>16.6666666666667</v>
      </c>
      <c r="BC1191" s="95">
        <v>2.23880597014925</v>
      </c>
      <c r="BD1191" s="95">
        <v>3.7828947368421102</v>
      </c>
      <c r="BE1191" s="95">
        <v>0</v>
      </c>
    </row>
    <row r="1192" spans="2:57" ht="15" customHeight="1" x14ac:dyDescent="0.25">
      <c r="B1192" s="91">
        <v>1182</v>
      </c>
      <c r="C1192" s="92" t="s">
        <v>504</v>
      </c>
      <c r="D1192" s="92" t="s">
        <v>85</v>
      </c>
      <c r="E1192" s="92" t="s">
        <v>513</v>
      </c>
      <c r="F1192" s="92" t="s">
        <v>161</v>
      </c>
      <c r="G1192" s="101" t="s">
        <v>502</v>
      </c>
      <c r="H1192" s="94">
        <v>2968</v>
      </c>
      <c r="I1192" s="94">
        <v>2480</v>
      </c>
      <c r="J1192" s="94">
        <v>488</v>
      </c>
      <c r="K1192" s="94">
        <v>155</v>
      </c>
      <c r="L1192" s="94">
        <v>1183</v>
      </c>
      <c r="M1192" s="94">
        <v>1452</v>
      </c>
      <c r="N1192" s="94">
        <v>178</v>
      </c>
      <c r="O1192" s="94">
        <v>2923</v>
      </c>
      <c r="P1192" s="94">
        <v>45</v>
      </c>
      <c r="Q1192" s="95">
        <v>0.30923850019327398</v>
      </c>
      <c r="R1192" s="95">
        <v>0.138632162661738</v>
      </c>
      <c r="S1192" s="95">
        <v>1.1820330969267101</v>
      </c>
      <c r="T1192" s="95">
        <v>0</v>
      </c>
      <c r="U1192" s="95">
        <v>0.19493177387914201</v>
      </c>
      <c r="V1192" s="95">
        <v>0.47355958958168898</v>
      </c>
      <c r="W1192" s="95">
        <v>0</v>
      </c>
      <c r="X1192" s="95">
        <v>0.31397174254317101</v>
      </c>
      <c r="Y1192" s="95">
        <v>0</v>
      </c>
      <c r="Z1192" s="94">
        <v>2783</v>
      </c>
      <c r="AA1192" s="94">
        <v>2287</v>
      </c>
      <c r="AB1192" s="94">
        <v>496</v>
      </c>
      <c r="AC1192" s="94">
        <v>80</v>
      </c>
      <c r="AD1192" s="94">
        <v>842</v>
      </c>
      <c r="AE1192" s="94">
        <v>1746</v>
      </c>
      <c r="AF1192" s="94">
        <v>115</v>
      </c>
      <c r="AG1192" s="94">
        <v>828</v>
      </c>
      <c r="AH1192" s="94">
        <v>1887</v>
      </c>
      <c r="AI1192" s="94">
        <v>68</v>
      </c>
      <c r="AJ1192" s="94">
        <v>2754</v>
      </c>
      <c r="AK1192" s="94">
        <v>24</v>
      </c>
      <c r="AL1192" s="94">
        <v>5</v>
      </c>
      <c r="AM1192" s="94">
        <v>40</v>
      </c>
      <c r="AN1192" s="94">
        <v>2718</v>
      </c>
      <c r="AO1192" s="94">
        <v>25</v>
      </c>
      <c r="AP1192" s="95">
        <v>2.6276276276276298</v>
      </c>
      <c r="AQ1192" s="95">
        <v>0.18181818181818199</v>
      </c>
      <c r="AR1192" s="95">
        <v>14.2241379310345</v>
      </c>
      <c r="AS1192" s="95">
        <v>4.1666666666666696</v>
      </c>
      <c r="AT1192" s="95">
        <v>3.4047919293820899</v>
      </c>
      <c r="AU1192" s="95">
        <v>2.3063276167948001</v>
      </c>
      <c r="AV1192" s="95">
        <v>0.92592592592592604</v>
      </c>
      <c r="AW1192" s="95">
        <v>3.5578144853875502</v>
      </c>
      <c r="AX1192" s="95">
        <v>2.2601984564498299</v>
      </c>
      <c r="AY1192" s="95">
        <v>1.5873015873015901</v>
      </c>
      <c r="AZ1192" s="95">
        <v>2.6176024279210899</v>
      </c>
      <c r="BA1192" s="95">
        <v>0</v>
      </c>
      <c r="BB1192" s="95">
        <v>25</v>
      </c>
      <c r="BC1192" s="95">
        <v>0</v>
      </c>
      <c r="BD1192" s="95">
        <v>2.6487523992322499</v>
      </c>
      <c r="BE1192" s="95">
        <v>4.5454545454545503</v>
      </c>
    </row>
    <row r="1193" spans="2:57" ht="15" customHeight="1" x14ac:dyDescent="0.25">
      <c r="B1193" s="96">
        <v>1183</v>
      </c>
      <c r="C1193" s="97" t="s">
        <v>504</v>
      </c>
      <c r="D1193" s="104" t="s">
        <v>85</v>
      </c>
      <c r="E1193" s="104" t="s">
        <v>513</v>
      </c>
      <c r="F1193" s="104" t="s">
        <v>9</v>
      </c>
      <c r="G1193" s="105" t="s">
        <v>9</v>
      </c>
      <c r="H1193" s="106">
        <v>8799</v>
      </c>
      <c r="I1193" s="106">
        <v>6625</v>
      </c>
      <c r="J1193" s="106">
        <v>2174</v>
      </c>
      <c r="K1193" s="106">
        <v>478</v>
      </c>
      <c r="L1193" s="106">
        <v>2999</v>
      </c>
      <c r="M1193" s="106">
        <v>4706</v>
      </c>
      <c r="N1193" s="106">
        <v>616</v>
      </c>
      <c r="O1193" s="106">
        <v>8703</v>
      </c>
      <c r="P1193" s="106">
        <v>96</v>
      </c>
      <c r="Q1193" s="107">
        <v>0.41617895695148899</v>
      </c>
      <c r="R1193" s="107">
        <v>0.19024558976132799</v>
      </c>
      <c r="S1193" s="107">
        <v>1.10120608285265</v>
      </c>
      <c r="T1193" s="107">
        <v>0.77720207253885998</v>
      </c>
      <c r="U1193" s="107">
        <v>0.46224961479198801</v>
      </c>
      <c r="V1193" s="107">
        <v>0.336457582311944</v>
      </c>
      <c r="W1193" s="107">
        <v>0.54945054945054905</v>
      </c>
      <c r="X1193" s="107">
        <v>0.42105263157894701</v>
      </c>
      <c r="Y1193" s="107">
        <v>0</v>
      </c>
      <c r="Z1193" s="106">
        <v>7781</v>
      </c>
      <c r="AA1193" s="106">
        <v>5058</v>
      </c>
      <c r="AB1193" s="106">
        <v>2723</v>
      </c>
      <c r="AC1193" s="106">
        <v>312</v>
      </c>
      <c r="AD1193" s="106">
        <v>2365</v>
      </c>
      <c r="AE1193" s="106">
        <v>4376</v>
      </c>
      <c r="AF1193" s="106">
        <v>728</v>
      </c>
      <c r="AG1193" s="106">
        <v>1945</v>
      </c>
      <c r="AH1193" s="106">
        <v>5601</v>
      </c>
      <c r="AI1193" s="106">
        <v>235</v>
      </c>
      <c r="AJ1193" s="106">
        <v>7674</v>
      </c>
      <c r="AK1193" s="106">
        <v>80</v>
      </c>
      <c r="AL1193" s="106">
        <v>27</v>
      </c>
      <c r="AM1193" s="106">
        <v>335</v>
      </c>
      <c r="AN1193" s="106">
        <v>7350</v>
      </c>
      <c r="AO1193" s="106">
        <v>96</v>
      </c>
      <c r="AP1193" s="107">
        <v>3.9061402276239998</v>
      </c>
      <c r="AQ1193" s="107">
        <v>0.90987868284228801</v>
      </c>
      <c r="AR1193" s="107">
        <v>9.4362255097960794</v>
      </c>
      <c r="AS1193" s="107">
        <v>6.9930069930069898</v>
      </c>
      <c r="AT1193" s="107">
        <v>4.5540796963946901</v>
      </c>
      <c r="AU1193" s="107">
        <v>3.5962301587301599</v>
      </c>
      <c r="AV1193" s="107">
        <v>2.46020260492041</v>
      </c>
      <c r="AW1193" s="107">
        <v>3.19735391400221</v>
      </c>
      <c r="AX1193" s="107">
        <v>4.2574063174416299</v>
      </c>
      <c r="AY1193" s="107">
        <v>1.4563106796116501</v>
      </c>
      <c r="AZ1193" s="107">
        <v>3.9173789173789202</v>
      </c>
      <c r="BA1193" s="107">
        <v>2.7777777777777799</v>
      </c>
      <c r="BB1193" s="107">
        <v>4</v>
      </c>
      <c r="BC1193" s="107">
        <v>2.8846153846153801</v>
      </c>
      <c r="BD1193" s="107">
        <v>3.9624608967674702</v>
      </c>
      <c r="BE1193" s="107">
        <v>3.2608695652173898</v>
      </c>
    </row>
    <row r="1194" spans="2:57" ht="15" customHeight="1" x14ac:dyDescent="0.25">
      <c r="B1194" s="91">
        <v>1184</v>
      </c>
      <c r="C1194" s="92" t="s">
        <v>504</v>
      </c>
      <c r="D1194" s="92" t="s">
        <v>85</v>
      </c>
      <c r="E1194" s="92" t="s">
        <v>513</v>
      </c>
      <c r="F1194" s="92" t="s">
        <v>9</v>
      </c>
      <c r="G1194" s="101" t="s">
        <v>501</v>
      </c>
      <c r="H1194" s="94">
        <v>2774</v>
      </c>
      <c r="I1194" s="94">
        <v>1929</v>
      </c>
      <c r="J1194" s="94">
        <v>845</v>
      </c>
      <c r="K1194" s="94">
        <v>136</v>
      </c>
      <c r="L1194" s="94">
        <v>929</v>
      </c>
      <c r="M1194" s="94">
        <v>1469</v>
      </c>
      <c r="N1194" s="94">
        <v>240</v>
      </c>
      <c r="O1194" s="94">
        <v>2754</v>
      </c>
      <c r="P1194" s="94">
        <v>20</v>
      </c>
      <c r="Q1194" s="95">
        <v>0.56179775280898903</v>
      </c>
      <c r="R1194" s="95">
        <v>0.28425241614553698</v>
      </c>
      <c r="S1194" s="95">
        <v>1.22783083219645</v>
      </c>
      <c r="T1194" s="95">
        <v>0.89285714285714302</v>
      </c>
      <c r="U1194" s="95">
        <v>0.97560975609756095</v>
      </c>
      <c r="V1194" s="95">
        <v>0.22288261515601801</v>
      </c>
      <c r="W1194" s="95">
        <v>0.934579439252336</v>
      </c>
      <c r="X1194" s="95">
        <v>0.56634304207119701</v>
      </c>
      <c r="Y1194" s="95">
        <v>0</v>
      </c>
      <c r="Z1194" s="94">
        <v>4253</v>
      </c>
      <c r="AA1194" s="94">
        <v>2649</v>
      </c>
      <c r="AB1194" s="94">
        <v>1604</v>
      </c>
      <c r="AC1194" s="94">
        <v>163</v>
      </c>
      <c r="AD1194" s="94">
        <v>1264</v>
      </c>
      <c r="AE1194" s="94">
        <v>2391</v>
      </c>
      <c r="AF1194" s="94">
        <v>435</v>
      </c>
      <c r="AG1194" s="94">
        <v>1068</v>
      </c>
      <c r="AH1194" s="94">
        <v>3033</v>
      </c>
      <c r="AI1194" s="94">
        <v>152</v>
      </c>
      <c r="AJ1194" s="94">
        <v>4203</v>
      </c>
      <c r="AK1194" s="94">
        <v>30</v>
      </c>
      <c r="AL1194" s="94">
        <v>20</v>
      </c>
      <c r="AM1194" s="94">
        <v>187</v>
      </c>
      <c r="AN1194" s="94">
        <v>4024</v>
      </c>
      <c r="AO1194" s="94">
        <v>42</v>
      </c>
      <c r="AP1194" s="95">
        <v>4.6711899791231701</v>
      </c>
      <c r="AQ1194" s="95">
        <v>1.1774600504625701</v>
      </c>
      <c r="AR1194" s="95">
        <v>10.385144429160899</v>
      </c>
      <c r="AS1194" s="95">
        <v>8.7837837837837807</v>
      </c>
      <c r="AT1194" s="95">
        <v>5.5505004549590504</v>
      </c>
      <c r="AU1194" s="95">
        <v>4.3238270469181197</v>
      </c>
      <c r="AV1194" s="95">
        <v>2.6763990267639901</v>
      </c>
      <c r="AW1194" s="95">
        <v>3.4517766497461899</v>
      </c>
      <c r="AX1194" s="95">
        <v>5.2592865023905802</v>
      </c>
      <c r="AY1194" s="95">
        <v>1.5625</v>
      </c>
      <c r="AZ1194" s="95">
        <v>4.6738843411671498</v>
      </c>
      <c r="BA1194" s="95">
        <v>7.4074074074074101</v>
      </c>
      <c r="BB1194" s="95">
        <v>0</v>
      </c>
      <c r="BC1194" s="95">
        <v>2.3121387283237</v>
      </c>
      <c r="BD1194" s="95">
        <v>4.8079579994473596</v>
      </c>
      <c r="BE1194" s="95">
        <v>2.5</v>
      </c>
    </row>
    <row r="1195" spans="2:57" ht="15" customHeight="1" x14ac:dyDescent="0.25">
      <c r="B1195" s="91">
        <v>1185</v>
      </c>
      <c r="C1195" s="92" t="s">
        <v>504</v>
      </c>
      <c r="D1195" s="92" t="s">
        <v>85</v>
      </c>
      <c r="E1195" s="92" t="s">
        <v>513</v>
      </c>
      <c r="F1195" s="92" t="s">
        <v>9</v>
      </c>
      <c r="G1195" s="101" t="s">
        <v>502</v>
      </c>
      <c r="H1195" s="94">
        <v>6025</v>
      </c>
      <c r="I1195" s="94">
        <v>4696</v>
      </c>
      <c r="J1195" s="94">
        <v>1329</v>
      </c>
      <c r="K1195" s="94">
        <v>342</v>
      </c>
      <c r="L1195" s="94">
        <v>2070</v>
      </c>
      <c r="M1195" s="94">
        <v>3237</v>
      </c>
      <c r="N1195" s="94">
        <v>376</v>
      </c>
      <c r="O1195" s="94">
        <v>5949</v>
      </c>
      <c r="P1195" s="94">
        <v>76</v>
      </c>
      <c r="Q1195" s="95">
        <v>0.34635366557629399</v>
      </c>
      <c r="R1195" s="95">
        <v>0.149142431021626</v>
      </c>
      <c r="S1195" s="95">
        <v>1.0221465076661</v>
      </c>
      <c r="T1195" s="95">
        <v>0.72992700729926996</v>
      </c>
      <c r="U1195" s="95">
        <v>0.22522522522522501</v>
      </c>
      <c r="V1195" s="95">
        <v>0.39076376554174103</v>
      </c>
      <c r="W1195" s="95">
        <v>0.30120481927710802</v>
      </c>
      <c r="X1195" s="95">
        <v>0.351014040561622</v>
      </c>
      <c r="Y1195" s="95">
        <v>0</v>
      </c>
      <c r="Z1195" s="94">
        <v>3528</v>
      </c>
      <c r="AA1195" s="94">
        <v>2409</v>
      </c>
      <c r="AB1195" s="94">
        <v>1119</v>
      </c>
      <c r="AC1195" s="94">
        <v>149</v>
      </c>
      <c r="AD1195" s="94">
        <v>1101</v>
      </c>
      <c r="AE1195" s="94">
        <v>1985</v>
      </c>
      <c r="AF1195" s="94">
        <v>293</v>
      </c>
      <c r="AG1195" s="94">
        <v>877</v>
      </c>
      <c r="AH1195" s="94">
        <v>2568</v>
      </c>
      <c r="AI1195" s="94">
        <v>83</v>
      </c>
      <c r="AJ1195" s="94">
        <v>3471</v>
      </c>
      <c r="AK1195" s="94">
        <v>50</v>
      </c>
      <c r="AL1195" s="94">
        <v>7</v>
      </c>
      <c r="AM1195" s="94">
        <v>148</v>
      </c>
      <c r="AN1195" s="94">
        <v>3326</v>
      </c>
      <c r="AO1195" s="94">
        <v>54</v>
      </c>
      <c r="AP1195" s="95">
        <v>3.0136986301369899</v>
      </c>
      <c r="AQ1195" s="95">
        <v>0.62555853440571896</v>
      </c>
      <c r="AR1195" s="95">
        <v>8.1184336198662805</v>
      </c>
      <c r="AS1195" s="95">
        <v>5.0724637681159397</v>
      </c>
      <c r="AT1195" s="95">
        <v>3.4687809712586701</v>
      </c>
      <c r="AU1195" s="95">
        <v>2.7448869752422</v>
      </c>
      <c r="AV1195" s="95">
        <v>2.1428571428571401</v>
      </c>
      <c r="AW1195" s="95">
        <v>2.89505428226779</v>
      </c>
      <c r="AX1195" s="95">
        <v>3.1118587047939399</v>
      </c>
      <c r="AY1195" s="95">
        <v>1.2820512820512799</v>
      </c>
      <c r="AZ1195" s="95">
        <v>3.03124033405506</v>
      </c>
      <c r="BA1195" s="95">
        <v>0</v>
      </c>
      <c r="BB1195" s="95">
        <v>14.285714285714301</v>
      </c>
      <c r="BC1195" s="95">
        <v>3.5971223021582701</v>
      </c>
      <c r="BD1195" s="95">
        <v>2.9734970911441501</v>
      </c>
      <c r="BE1195" s="95">
        <v>3.8461538461538498</v>
      </c>
    </row>
    <row r="1196" spans="2:57" ht="15" customHeight="1" x14ac:dyDescent="0.25">
      <c r="B1196" s="86">
        <v>1186</v>
      </c>
      <c r="C1196" s="87" t="s">
        <v>503</v>
      </c>
      <c r="D1196" s="103" t="s">
        <v>85</v>
      </c>
      <c r="E1196" s="103" t="s">
        <v>514</v>
      </c>
      <c r="F1196" s="103"/>
      <c r="G1196" s="88" t="s">
        <v>514</v>
      </c>
      <c r="H1196" s="89">
        <v>47763</v>
      </c>
      <c r="I1196" s="89">
        <v>32914</v>
      </c>
      <c r="J1196" s="89">
        <v>14849</v>
      </c>
      <c r="K1196" s="89">
        <v>3667</v>
      </c>
      <c r="L1196" s="89">
        <v>15442</v>
      </c>
      <c r="M1196" s="89">
        <v>24834</v>
      </c>
      <c r="N1196" s="89">
        <v>3820</v>
      </c>
      <c r="O1196" s="89">
        <v>46461</v>
      </c>
      <c r="P1196" s="89">
        <v>1302</v>
      </c>
      <c r="Q1196" s="90">
        <v>0.90662462030746405</v>
      </c>
      <c r="R1196" s="90">
        <v>0.33058403178949503</v>
      </c>
      <c r="S1196" s="90">
        <v>2.2154779969651002</v>
      </c>
      <c r="T1196" s="90">
        <v>1.5634971282705801</v>
      </c>
      <c r="U1196" s="90">
        <v>0.95839686342844699</v>
      </c>
      <c r="V1196" s="90">
        <v>0.790791670327739</v>
      </c>
      <c r="W1196" s="90">
        <v>0.86755349913244695</v>
      </c>
      <c r="X1196" s="90">
        <v>0.91561553685114105</v>
      </c>
      <c r="Y1196" s="90">
        <v>0.58922558922558899</v>
      </c>
      <c r="Z1196" s="89">
        <v>60050</v>
      </c>
      <c r="AA1196" s="89">
        <v>37561</v>
      </c>
      <c r="AB1196" s="89">
        <v>22489</v>
      </c>
      <c r="AC1196" s="89">
        <v>3294</v>
      </c>
      <c r="AD1196" s="89">
        <v>18323</v>
      </c>
      <c r="AE1196" s="89">
        <v>32217</v>
      </c>
      <c r="AF1196" s="89">
        <v>6216</v>
      </c>
      <c r="AG1196" s="89">
        <v>28291</v>
      </c>
      <c r="AH1196" s="89">
        <v>30868</v>
      </c>
      <c r="AI1196" s="89">
        <v>891</v>
      </c>
      <c r="AJ1196" s="89">
        <v>58438</v>
      </c>
      <c r="AK1196" s="89">
        <v>1424</v>
      </c>
      <c r="AL1196" s="89">
        <v>188</v>
      </c>
      <c r="AM1196" s="89">
        <v>2660</v>
      </c>
      <c r="AN1196" s="89">
        <v>56723</v>
      </c>
      <c r="AO1196" s="89">
        <v>667</v>
      </c>
      <c r="AP1196" s="90">
        <v>4.1645180219428504</v>
      </c>
      <c r="AQ1196" s="90">
        <v>1.1965233096286301</v>
      </c>
      <c r="AR1196" s="90">
        <v>9.2207105427623706</v>
      </c>
      <c r="AS1196" s="90">
        <v>6.2376887721602099</v>
      </c>
      <c r="AT1196" s="90">
        <v>5.2231327005836201</v>
      </c>
      <c r="AU1196" s="90">
        <v>3.76044108422199</v>
      </c>
      <c r="AV1196" s="90">
        <v>2.13840713924903</v>
      </c>
      <c r="AW1196" s="90">
        <v>3.8690142424582299</v>
      </c>
      <c r="AX1196" s="90">
        <v>4.4782366071428603</v>
      </c>
      <c r="AY1196" s="90">
        <v>2.8255528255528302</v>
      </c>
      <c r="AZ1196" s="90">
        <v>4.1933658287237296</v>
      </c>
      <c r="BA1196" s="90">
        <v>2.7906976744185998</v>
      </c>
      <c r="BB1196" s="90">
        <v>5.2941176470588198</v>
      </c>
      <c r="BC1196" s="90">
        <v>3.1274742676167899</v>
      </c>
      <c r="BD1196" s="90">
        <v>4.2231766124171202</v>
      </c>
      <c r="BE1196" s="90">
        <v>3.3707865168539302</v>
      </c>
    </row>
    <row r="1197" spans="2:57" ht="15" customHeight="1" x14ac:dyDescent="0.25">
      <c r="B1197" s="91">
        <v>1187</v>
      </c>
      <c r="C1197" s="92" t="s">
        <v>503</v>
      </c>
      <c r="D1197" s="92" t="s">
        <v>85</v>
      </c>
      <c r="E1197" s="92" t="s">
        <v>514</v>
      </c>
      <c r="F1197" s="92"/>
      <c r="G1197" s="93" t="s">
        <v>501</v>
      </c>
      <c r="H1197" s="94">
        <v>19711</v>
      </c>
      <c r="I1197" s="94">
        <v>12303</v>
      </c>
      <c r="J1197" s="94">
        <v>7408</v>
      </c>
      <c r="K1197" s="94">
        <v>1471</v>
      </c>
      <c r="L1197" s="94">
        <v>6558</v>
      </c>
      <c r="M1197" s="94">
        <v>10327</v>
      </c>
      <c r="N1197" s="94">
        <v>1355</v>
      </c>
      <c r="O1197" s="94">
        <v>19528</v>
      </c>
      <c r="P1197" s="94">
        <v>183</v>
      </c>
      <c r="Q1197" s="95">
        <v>1.7293190451890901</v>
      </c>
      <c r="R1197" s="95">
        <v>0.75187969924812004</v>
      </c>
      <c r="S1197" s="95">
        <v>3.3646559563504099</v>
      </c>
      <c r="T1197" s="95">
        <v>2.7178257394084699</v>
      </c>
      <c r="U1197" s="95">
        <v>1.6750129511310701</v>
      </c>
      <c r="V1197" s="95">
        <v>1.5546800127781899</v>
      </c>
      <c r="W1197" s="95">
        <v>2.32558139534884</v>
      </c>
      <c r="X1197" s="95">
        <v>1.71091783016709</v>
      </c>
      <c r="Y1197" s="95">
        <v>3.7267080745341601</v>
      </c>
      <c r="Z1197" s="94">
        <v>28284</v>
      </c>
      <c r="AA1197" s="94">
        <v>16173</v>
      </c>
      <c r="AB1197" s="94">
        <v>12111</v>
      </c>
      <c r="AC1197" s="94">
        <v>1582</v>
      </c>
      <c r="AD1197" s="94">
        <v>9186</v>
      </c>
      <c r="AE1197" s="94">
        <v>15168</v>
      </c>
      <c r="AF1197" s="94">
        <v>2348</v>
      </c>
      <c r="AG1197" s="94">
        <v>11949</v>
      </c>
      <c r="AH1197" s="94">
        <v>16005</v>
      </c>
      <c r="AI1197" s="94">
        <v>330</v>
      </c>
      <c r="AJ1197" s="94">
        <v>27838</v>
      </c>
      <c r="AK1197" s="94">
        <v>366</v>
      </c>
      <c r="AL1197" s="94">
        <v>80</v>
      </c>
      <c r="AM1197" s="94">
        <v>1257</v>
      </c>
      <c r="AN1197" s="94">
        <v>26765</v>
      </c>
      <c r="AO1197" s="94">
        <v>262</v>
      </c>
      <c r="AP1197" s="95">
        <v>6.3365886895298704</v>
      </c>
      <c r="AQ1197" s="95">
        <v>2.1122112211221098</v>
      </c>
      <c r="AR1197" s="95">
        <v>12.01632942847</v>
      </c>
      <c r="AS1197" s="95">
        <v>9.6140825998645898</v>
      </c>
      <c r="AT1197" s="95">
        <v>7.2337417530631498</v>
      </c>
      <c r="AU1197" s="95">
        <v>5.7963886742078303</v>
      </c>
      <c r="AV1197" s="95">
        <v>4.1891891891891904</v>
      </c>
      <c r="AW1197" s="95">
        <v>5.9414746953660096</v>
      </c>
      <c r="AX1197" s="95">
        <v>6.6527787111081196</v>
      </c>
      <c r="AY1197" s="95">
        <v>5.4421768707483</v>
      </c>
      <c r="AZ1197" s="95">
        <v>6.3031188708995103</v>
      </c>
      <c r="BA1197" s="95">
        <v>8.4795321637426895</v>
      </c>
      <c r="BB1197" s="95">
        <v>8.2191780821917799</v>
      </c>
      <c r="BC1197" s="95">
        <v>5.3209459459459501</v>
      </c>
      <c r="BD1197" s="95">
        <v>6.3860435339308603</v>
      </c>
      <c r="BE1197" s="95">
        <v>6.1983471074380203</v>
      </c>
    </row>
    <row r="1198" spans="2:57" ht="15" customHeight="1" x14ac:dyDescent="0.25">
      <c r="B1198" s="91">
        <v>1188</v>
      </c>
      <c r="C1198" s="92" t="s">
        <v>503</v>
      </c>
      <c r="D1198" s="92" t="s">
        <v>85</v>
      </c>
      <c r="E1198" s="92" t="s">
        <v>514</v>
      </c>
      <c r="F1198" s="92"/>
      <c r="G1198" s="93" t="s">
        <v>502</v>
      </c>
      <c r="H1198" s="94">
        <v>28052</v>
      </c>
      <c r="I1198" s="94">
        <v>20611</v>
      </c>
      <c r="J1198" s="94">
        <v>7441</v>
      </c>
      <c r="K1198" s="94">
        <v>2196</v>
      </c>
      <c r="L1198" s="94">
        <v>8884</v>
      </c>
      <c r="M1198" s="94">
        <v>14507</v>
      </c>
      <c r="N1198" s="94">
        <v>2465</v>
      </c>
      <c r="O1198" s="94">
        <v>26933</v>
      </c>
      <c r="P1198" s="94">
        <v>1119</v>
      </c>
      <c r="Q1198" s="95">
        <v>0.33738721067085098</v>
      </c>
      <c r="R1198" s="95">
        <v>8.4620266553839599E-2</v>
      </c>
      <c r="S1198" s="95">
        <v>1.0635065329686999</v>
      </c>
      <c r="T1198" s="95">
        <v>0.79660116834838002</v>
      </c>
      <c r="U1198" s="95">
        <v>0.43848659483838598</v>
      </c>
      <c r="V1198" s="95">
        <v>0.25428165432652799</v>
      </c>
      <c r="W1198" s="95">
        <v>8.8731144631765693E-2</v>
      </c>
      <c r="X1198" s="95">
        <v>0.34746351633078498</v>
      </c>
      <c r="Y1198" s="95">
        <v>9.7370983446932804E-2</v>
      </c>
      <c r="Z1198" s="94">
        <v>31766</v>
      </c>
      <c r="AA1198" s="94">
        <v>21388</v>
      </c>
      <c r="AB1198" s="94">
        <v>10378</v>
      </c>
      <c r="AC1198" s="94">
        <v>1712</v>
      </c>
      <c r="AD1198" s="94">
        <v>9137</v>
      </c>
      <c r="AE1198" s="94">
        <v>17049</v>
      </c>
      <c r="AF1198" s="94">
        <v>3868</v>
      </c>
      <c r="AG1198" s="94">
        <v>16342</v>
      </c>
      <c r="AH1198" s="94">
        <v>14863</v>
      </c>
      <c r="AI1198" s="94">
        <v>561</v>
      </c>
      <c r="AJ1198" s="94">
        <v>30600</v>
      </c>
      <c r="AK1198" s="94">
        <v>1058</v>
      </c>
      <c r="AL1198" s="94">
        <v>108</v>
      </c>
      <c r="AM1198" s="94">
        <v>1403</v>
      </c>
      <c r="AN1198" s="94">
        <v>29958</v>
      </c>
      <c r="AO1198" s="94">
        <v>405</v>
      </c>
      <c r="AP1198" s="95">
        <v>2.2401824340185801</v>
      </c>
      <c r="AQ1198" s="95">
        <v>0.51266883565020205</v>
      </c>
      <c r="AR1198" s="95">
        <v>5.9162907793978796</v>
      </c>
      <c r="AS1198" s="95">
        <v>3.0592734225621401</v>
      </c>
      <c r="AT1198" s="95">
        <v>3.2094395280236001</v>
      </c>
      <c r="AU1198" s="95">
        <v>1.95565520677628</v>
      </c>
      <c r="AV1198" s="95">
        <v>0.91422425383167505</v>
      </c>
      <c r="AW1198" s="95">
        <v>2.3665205055455201</v>
      </c>
      <c r="AX1198" s="95">
        <v>2.1318251033282598</v>
      </c>
      <c r="AY1198" s="95">
        <v>1.34615384615385</v>
      </c>
      <c r="AZ1198" s="95">
        <v>2.2867866824216301</v>
      </c>
      <c r="BA1198" s="95">
        <v>0.73839662447257404</v>
      </c>
      <c r="BB1198" s="95">
        <v>3.0927835051546402</v>
      </c>
      <c r="BC1198" s="95">
        <v>1.1922503725782401</v>
      </c>
      <c r="BD1198" s="95">
        <v>2.2992596810933899</v>
      </c>
      <c r="BE1198" s="95">
        <v>1.5748031496063</v>
      </c>
    </row>
    <row r="1199" spans="2:57" ht="15" customHeight="1" x14ac:dyDescent="0.25">
      <c r="B1199" s="96">
        <v>1189</v>
      </c>
      <c r="C1199" s="97" t="s">
        <v>504</v>
      </c>
      <c r="D1199" s="104" t="s">
        <v>85</v>
      </c>
      <c r="E1199" s="104" t="s">
        <v>514</v>
      </c>
      <c r="F1199" s="104" t="s">
        <v>248</v>
      </c>
      <c r="G1199" s="105" t="s">
        <v>248</v>
      </c>
      <c r="H1199" s="106">
        <v>7649</v>
      </c>
      <c r="I1199" s="106">
        <v>5215</v>
      </c>
      <c r="J1199" s="106">
        <v>2434</v>
      </c>
      <c r="K1199" s="106">
        <v>487</v>
      </c>
      <c r="L1199" s="106">
        <v>2266</v>
      </c>
      <c r="M1199" s="106">
        <v>4151</v>
      </c>
      <c r="N1199" s="106">
        <v>745</v>
      </c>
      <c r="O1199" s="106">
        <v>7560</v>
      </c>
      <c r="P1199" s="106">
        <v>89</v>
      </c>
      <c r="Q1199" s="107">
        <v>1.12937812723374</v>
      </c>
      <c r="R1199" s="107">
        <v>0.62669730520158795</v>
      </c>
      <c r="S1199" s="107">
        <v>2.2192028985507202</v>
      </c>
      <c r="T1199" s="107">
        <v>2.3474178403755901</v>
      </c>
      <c r="U1199" s="107">
        <v>0.927734375</v>
      </c>
      <c r="V1199" s="107">
        <v>0.96504955659885205</v>
      </c>
      <c r="W1199" s="107">
        <v>1.8922852983988401</v>
      </c>
      <c r="X1199" s="107">
        <v>1.0998552821997101</v>
      </c>
      <c r="Y1199" s="107">
        <v>3.52941176470588</v>
      </c>
      <c r="Z1199" s="106">
        <v>14303</v>
      </c>
      <c r="AA1199" s="106">
        <v>9348</v>
      </c>
      <c r="AB1199" s="106">
        <v>4955</v>
      </c>
      <c r="AC1199" s="106">
        <v>701</v>
      </c>
      <c r="AD1199" s="106">
        <v>4259</v>
      </c>
      <c r="AE1199" s="106">
        <v>7978</v>
      </c>
      <c r="AF1199" s="106">
        <v>1365</v>
      </c>
      <c r="AG1199" s="106">
        <v>8739</v>
      </c>
      <c r="AH1199" s="106">
        <v>5400</v>
      </c>
      <c r="AI1199" s="106">
        <v>164</v>
      </c>
      <c r="AJ1199" s="106">
        <v>14042</v>
      </c>
      <c r="AK1199" s="106">
        <v>225</v>
      </c>
      <c r="AL1199" s="106">
        <v>36</v>
      </c>
      <c r="AM1199" s="106">
        <v>607</v>
      </c>
      <c r="AN1199" s="106">
        <v>13525</v>
      </c>
      <c r="AO1199" s="106">
        <v>171</v>
      </c>
      <c r="AP1199" s="107">
        <v>4.3106015485407996</v>
      </c>
      <c r="AQ1199" s="107">
        <v>1.34951236107961</v>
      </c>
      <c r="AR1199" s="107">
        <v>9.9696575639358507</v>
      </c>
      <c r="AS1199" s="107">
        <v>8.7289433384379809</v>
      </c>
      <c r="AT1199" s="107">
        <v>5.2765093860984296</v>
      </c>
      <c r="AU1199" s="107">
        <v>3.6771538563653299</v>
      </c>
      <c r="AV1199" s="107">
        <v>2.8374233128834399</v>
      </c>
      <c r="AW1199" s="107">
        <v>3.8377459315035201</v>
      </c>
      <c r="AX1199" s="107">
        <v>5.0931430836305998</v>
      </c>
      <c r="AY1199" s="107">
        <v>3.9473684210526301</v>
      </c>
      <c r="AZ1199" s="107">
        <v>4.31452835911435</v>
      </c>
      <c r="BA1199" s="107">
        <v>4.2253521126760596</v>
      </c>
      <c r="BB1199" s="107">
        <v>3.2258064516128999</v>
      </c>
      <c r="BC1199" s="107">
        <v>3.1578947368421102</v>
      </c>
      <c r="BD1199" s="107">
        <v>4.3854814581529</v>
      </c>
      <c r="BE1199" s="107">
        <v>2.4844720496894399</v>
      </c>
    </row>
    <row r="1200" spans="2:57" ht="15" customHeight="1" x14ac:dyDescent="0.25">
      <c r="B1200" s="91">
        <v>1190</v>
      </c>
      <c r="C1200" s="92" t="s">
        <v>504</v>
      </c>
      <c r="D1200" s="92" t="s">
        <v>85</v>
      </c>
      <c r="E1200" s="92" t="s">
        <v>514</v>
      </c>
      <c r="F1200" s="92" t="s">
        <v>248</v>
      </c>
      <c r="G1200" s="101" t="s">
        <v>501</v>
      </c>
      <c r="H1200" s="94">
        <v>3907</v>
      </c>
      <c r="I1200" s="94">
        <v>2543</v>
      </c>
      <c r="J1200" s="94">
        <v>1364</v>
      </c>
      <c r="K1200" s="94">
        <v>241</v>
      </c>
      <c r="L1200" s="94">
        <v>1160</v>
      </c>
      <c r="M1200" s="94">
        <v>2177</v>
      </c>
      <c r="N1200" s="94">
        <v>329</v>
      </c>
      <c r="O1200" s="94">
        <v>3867</v>
      </c>
      <c r="P1200" s="94">
        <v>40</v>
      </c>
      <c r="Q1200" s="95">
        <v>2.0256776034236799</v>
      </c>
      <c r="R1200" s="95">
        <v>1.22968818620993</v>
      </c>
      <c r="S1200" s="95">
        <v>3.5016286644951098</v>
      </c>
      <c r="T1200" s="95">
        <v>4.7619047619047601</v>
      </c>
      <c r="U1200" s="95">
        <v>1.46484375</v>
      </c>
      <c r="V1200" s="95">
        <v>1.7197774405665101</v>
      </c>
      <c r="W1200" s="95">
        <v>4.0816326530612201</v>
      </c>
      <c r="X1200" s="95">
        <v>1.96134987020479</v>
      </c>
      <c r="Y1200" s="95">
        <v>7.8947368421052602</v>
      </c>
      <c r="Z1200" s="94">
        <v>6453</v>
      </c>
      <c r="AA1200" s="94">
        <v>3940</v>
      </c>
      <c r="AB1200" s="94">
        <v>2513</v>
      </c>
      <c r="AC1200" s="94">
        <v>341</v>
      </c>
      <c r="AD1200" s="94">
        <v>2028</v>
      </c>
      <c r="AE1200" s="94">
        <v>3522</v>
      </c>
      <c r="AF1200" s="94">
        <v>562</v>
      </c>
      <c r="AG1200" s="94">
        <v>3372</v>
      </c>
      <c r="AH1200" s="94">
        <v>3018</v>
      </c>
      <c r="AI1200" s="94">
        <v>63</v>
      </c>
      <c r="AJ1200" s="94">
        <v>6343</v>
      </c>
      <c r="AK1200" s="94">
        <v>93</v>
      </c>
      <c r="AL1200" s="94">
        <v>17</v>
      </c>
      <c r="AM1200" s="94">
        <v>269</v>
      </c>
      <c r="AN1200" s="94">
        <v>6114</v>
      </c>
      <c r="AO1200" s="94">
        <v>70</v>
      </c>
      <c r="AP1200" s="95">
        <v>7.3382254836557701</v>
      </c>
      <c r="AQ1200" s="95">
        <v>2.8142076502732198</v>
      </c>
      <c r="AR1200" s="95">
        <v>14.426369863013701</v>
      </c>
      <c r="AS1200" s="95">
        <v>15</v>
      </c>
      <c r="AT1200" s="95">
        <v>8.4544964997307499</v>
      </c>
      <c r="AU1200" s="95">
        <v>6.3241106719367597</v>
      </c>
      <c r="AV1200" s="95">
        <v>5.0943396226415096</v>
      </c>
      <c r="AW1200" s="95">
        <v>6.9086278255332703</v>
      </c>
      <c r="AX1200" s="95">
        <v>7.7912794853466796</v>
      </c>
      <c r="AY1200" s="95">
        <v>8.7719298245614006</v>
      </c>
      <c r="AZ1200" s="95">
        <v>7.3150033944331296</v>
      </c>
      <c r="BA1200" s="95">
        <v>10</v>
      </c>
      <c r="BB1200" s="95">
        <v>0</v>
      </c>
      <c r="BC1200" s="95">
        <v>5.6224899598393598</v>
      </c>
      <c r="BD1200" s="95">
        <v>7.4295774647887303</v>
      </c>
      <c r="BE1200" s="95">
        <v>5.9701492537313401</v>
      </c>
    </row>
    <row r="1201" spans="2:57" ht="15" customHeight="1" x14ac:dyDescent="0.25">
      <c r="B1201" s="91">
        <v>1191</v>
      </c>
      <c r="C1201" s="92" t="s">
        <v>504</v>
      </c>
      <c r="D1201" s="92" t="s">
        <v>85</v>
      </c>
      <c r="E1201" s="92" t="s">
        <v>514</v>
      </c>
      <c r="F1201" s="92" t="s">
        <v>248</v>
      </c>
      <c r="G1201" s="101" t="s">
        <v>502</v>
      </c>
      <c r="H1201" s="94">
        <v>3742</v>
      </c>
      <c r="I1201" s="94">
        <v>2672</v>
      </c>
      <c r="J1201" s="94">
        <v>1070</v>
      </c>
      <c r="K1201" s="94">
        <v>246</v>
      </c>
      <c r="L1201" s="94">
        <v>1106</v>
      </c>
      <c r="M1201" s="94">
        <v>1974</v>
      </c>
      <c r="N1201" s="94">
        <v>416</v>
      </c>
      <c r="O1201" s="94">
        <v>3693</v>
      </c>
      <c r="P1201" s="94">
        <v>49</v>
      </c>
      <c r="Q1201" s="95">
        <v>0.229226361031519</v>
      </c>
      <c r="R1201" s="95">
        <v>7.9681274900398405E-2</v>
      </c>
      <c r="S1201" s="95">
        <v>0.61224489795918402</v>
      </c>
      <c r="T1201" s="95">
        <v>0</v>
      </c>
      <c r="U1201" s="95">
        <v>0.390625</v>
      </c>
      <c r="V1201" s="95">
        <v>0.161550888529887</v>
      </c>
      <c r="W1201" s="95">
        <v>0.25445292620865101</v>
      </c>
      <c r="X1201" s="95">
        <v>0.23235550392099899</v>
      </c>
      <c r="Y1201" s="95">
        <v>0</v>
      </c>
      <c r="Z1201" s="94">
        <v>7850</v>
      </c>
      <c r="AA1201" s="94">
        <v>5408</v>
      </c>
      <c r="AB1201" s="94">
        <v>2442</v>
      </c>
      <c r="AC1201" s="94">
        <v>360</v>
      </c>
      <c r="AD1201" s="94">
        <v>2231</v>
      </c>
      <c r="AE1201" s="94">
        <v>4456</v>
      </c>
      <c r="AF1201" s="94">
        <v>803</v>
      </c>
      <c r="AG1201" s="94">
        <v>5367</v>
      </c>
      <c r="AH1201" s="94">
        <v>2382</v>
      </c>
      <c r="AI1201" s="94">
        <v>101</v>
      </c>
      <c r="AJ1201" s="94">
        <v>7699</v>
      </c>
      <c r="AK1201" s="94">
        <v>132</v>
      </c>
      <c r="AL1201" s="94">
        <v>19</v>
      </c>
      <c r="AM1201" s="94">
        <v>338</v>
      </c>
      <c r="AN1201" s="94">
        <v>7411</v>
      </c>
      <c r="AO1201" s="94">
        <v>101</v>
      </c>
      <c r="AP1201" s="95">
        <v>1.86928456159225</v>
      </c>
      <c r="AQ1201" s="95">
        <v>0.31019775106630498</v>
      </c>
      <c r="AR1201" s="95">
        <v>5.3994732221246702</v>
      </c>
      <c r="AS1201" s="95">
        <v>2.7027027027027</v>
      </c>
      <c r="AT1201" s="95">
        <v>2.4460431654676298</v>
      </c>
      <c r="AU1201" s="95">
        <v>1.6258246936852001</v>
      </c>
      <c r="AV1201" s="95">
        <v>1.29198966408269</v>
      </c>
      <c r="AW1201" s="95">
        <v>1.9438444924406</v>
      </c>
      <c r="AX1201" s="95">
        <v>1.73487544483986</v>
      </c>
      <c r="AY1201" s="95">
        <v>1.0526315789473699</v>
      </c>
      <c r="AZ1201" s="95">
        <v>1.89144736842105</v>
      </c>
      <c r="BA1201" s="95">
        <v>0</v>
      </c>
      <c r="BB1201" s="95">
        <v>5.8823529411764701</v>
      </c>
      <c r="BC1201" s="95">
        <v>1.2461059190031201</v>
      </c>
      <c r="BD1201" s="95">
        <v>1.92280301951289</v>
      </c>
      <c r="BE1201" s="95">
        <v>0</v>
      </c>
    </row>
    <row r="1202" spans="2:57" ht="15" customHeight="1" x14ac:dyDescent="0.25">
      <c r="B1202" s="96">
        <v>1192</v>
      </c>
      <c r="C1202" s="97" t="s">
        <v>504</v>
      </c>
      <c r="D1202" s="104" t="s">
        <v>85</v>
      </c>
      <c r="E1202" s="104" t="s">
        <v>514</v>
      </c>
      <c r="F1202" s="104" t="s">
        <v>75</v>
      </c>
      <c r="G1202" s="105" t="s">
        <v>75</v>
      </c>
      <c r="H1202" s="106">
        <v>5881</v>
      </c>
      <c r="I1202" s="106">
        <v>4015</v>
      </c>
      <c r="J1202" s="106">
        <v>1866</v>
      </c>
      <c r="K1202" s="106">
        <v>429</v>
      </c>
      <c r="L1202" s="106">
        <v>1784</v>
      </c>
      <c r="M1202" s="106">
        <v>3181</v>
      </c>
      <c r="N1202" s="106">
        <v>487</v>
      </c>
      <c r="O1202" s="106">
        <v>5853</v>
      </c>
      <c r="P1202" s="106">
        <v>28</v>
      </c>
      <c r="Q1202" s="107">
        <v>1.10436223081171</v>
      </c>
      <c r="R1202" s="107">
        <v>0.34815211569362597</v>
      </c>
      <c r="S1202" s="107">
        <v>2.7663331371394899</v>
      </c>
      <c r="T1202" s="107">
        <v>1.0309278350515501</v>
      </c>
      <c r="U1202" s="107">
        <v>0.84797092671108398</v>
      </c>
      <c r="V1202" s="107">
        <v>1.2521150592216601</v>
      </c>
      <c r="W1202" s="107">
        <v>1.13895216400911</v>
      </c>
      <c r="X1202" s="107">
        <v>1.1090573012939</v>
      </c>
      <c r="Y1202" s="107">
        <v>0</v>
      </c>
      <c r="Z1202" s="106">
        <v>6358</v>
      </c>
      <c r="AA1202" s="106">
        <v>3984</v>
      </c>
      <c r="AB1202" s="106">
        <v>2374</v>
      </c>
      <c r="AC1202" s="106">
        <v>295</v>
      </c>
      <c r="AD1202" s="106">
        <v>1738</v>
      </c>
      <c r="AE1202" s="106">
        <v>3625</v>
      </c>
      <c r="AF1202" s="106">
        <v>700</v>
      </c>
      <c r="AG1202" s="106">
        <v>3032</v>
      </c>
      <c r="AH1202" s="106">
        <v>3183</v>
      </c>
      <c r="AI1202" s="106">
        <v>143</v>
      </c>
      <c r="AJ1202" s="106">
        <v>6273</v>
      </c>
      <c r="AK1202" s="106">
        <v>71</v>
      </c>
      <c r="AL1202" s="106">
        <v>14</v>
      </c>
      <c r="AM1202" s="106">
        <v>287</v>
      </c>
      <c r="AN1202" s="106">
        <v>5912</v>
      </c>
      <c r="AO1202" s="106">
        <v>159</v>
      </c>
      <c r="AP1202" s="107">
        <v>4.28738904706079</v>
      </c>
      <c r="AQ1202" s="107">
        <v>1.05318588730911</v>
      </c>
      <c r="AR1202" s="107">
        <v>9.9401748734468498</v>
      </c>
      <c r="AS1202" s="107">
        <v>4.8689138576779003</v>
      </c>
      <c r="AT1202" s="107">
        <v>4.7764849969381498</v>
      </c>
      <c r="AU1202" s="107">
        <v>4.3171806167400897</v>
      </c>
      <c r="AV1202" s="107">
        <v>2.7027027027027</v>
      </c>
      <c r="AW1202" s="107">
        <v>4.4189283228949199</v>
      </c>
      <c r="AX1202" s="107">
        <v>4.2073375967687596</v>
      </c>
      <c r="AY1202" s="107">
        <v>3.17460317460317</v>
      </c>
      <c r="AZ1202" s="107">
        <v>4.2585680352901303</v>
      </c>
      <c r="BA1202" s="107">
        <v>6.1538461538461497</v>
      </c>
      <c r="BB1202" s="107">
        <v>8.3333333333333304</v>
      </c>
      <c r="BC1202" s="107">
        <v>3.4090909090909101</v>
      </c>
      <c r="BD1202" s="107">
        <v>4.38533429187635</v>
      </c>
      <c r="BE1202" s="107">
        <v>2.0979020979021001</v>
      </c>
    </row>
    <row r="1203" spans="2:57" ht="15" customHeight="1" x14ac:dyDescent="0.25">
      <c r="B1203" s="91">
        <v>1193</v>
      </c>
      <c r="C1203" s="92" t="s">
        <v>504</v>
      </c>
      <c r="D1203" s="92" t="s">
        <v>85</v>
      </c>
      <c r="E1203" s="92" t="s">
        <v>514</v>
      </c>
      <c r="F1203" s="92" t="s">
        <v>75</v>
      </c>
      <c r="G1203" s="101" t="s">
        <v>501</v>
      </c>
      <c r="H1203" s="94">
        <v>2814</v>
      </c>
      <c r="I1203" s="94">
        <v>1652</v>
      </c>
      <c r="J1203" s="94">
        <v>1162</v>
      </c>
      <c r="K1203" s="94">
        <v>203</v>
      </c>
      <c r="L1203" s="94">
        <v>792</v>
      </c>
      <c r="M1203" s="94">
        <v>1571</v>
      </c>
      <c r="N1203" s="94">
        <v>248</v>
      </c>
      <c r="O1203" s="94">
        <v>2796</v>
      </c>
      <c r="P1203" s="94">
        <v>18</v>
      </c>
      <c r="Q1203" s="95">
        <v>1.9937451133698201</v>
      </c>
      <c r="R1203" s="95">
        <v>0.8</v>
      </c>
      <c r="S1203" s="95">
        <v>3.6862003780718302</v>
      </c>
      <c r="T1203" s="95">
        <v>1.6666666666666701</v>
      </c>
      <c r="U1203" s="95">
        <v>1.3831258644536699</v>
      </c>
      <c r="V1203" s="95">
        <v>2.3076923076923102</v>
      </c>
      <c r="W1203" s="95">
        <v>2.2222222222222201</v>
      </c>
      <c r="X1203" s="95">
        <v>2.0047169811320802</v>
      </c>
      <c r="Y1203" s="95">
        <v>0</v>
      </c>
      <c r="Z1203" s="94">
        <v>3263</v>
      </c>
      <c r="AA1203" s="94">
        <v>1840</v>
      </c>
      <c r="AB1203" s="94">
        <v>1423</v>
      </c>
      <c r="AC1203" s="94">
        <v>168</v>
      </c>
      <c r="AD1203" s="94">
        <v>862</v>
      </c>
      <c r="AE1203" s="94">
        <v>1875</v>
      </c>
      <c r="AF1203" s="94">
        <v>358</v>
      </c>
      <c r="AG1203" s="94">
        <v>1345</v>
      </c>
      <c r="AH1203" s="94">
        <v>1894</v>
      </c>
      <c r="AI1203" s="94">
        <v>24</v>
      </c>
      <c r="AJ1203" s="94">
        <v>3221</v>
      </c>
      <c r="AK1203" s="94">
        <v>38</v>
      </c>
      <c r="AL1203" s="94">
        <v>4</v>
      </c>
      <c r="AM1203" s="94">
        <v>159</v>
      </c>
      <c r="AN1203" s="94">
        <v>3069</v>
      </c>
      <c r="AO1203" s="94">
        <v>35</v>
      </c>
      <c r="AP1203" s="95">
        <v>6.0046189376443397</v>
      </c>
      <c r="AQ1203" s="95">
        <v>1.77548682703322</v>
      </c>
      <c r="AR1203" s="95">
        <v>11.750972762645899</v>
      </c>
      <c r="AS1203" s="95">
        <v>7.2847682119205297</v>
      </c>
      <c r="AT1203" s="95">
        <v>6.5756823821339898</v>
      </c>
      <c r="AU1203" s="95">
        <v>5.8654399079930997</v>
      </c>
      <c r="AV1203" s="95">
        <v>4.7761194029850804</v>
      </c>
      <c r="AW1203" s="95">
        <v>6.6508313539192399</v>
      </c>
      <c r="AX1203" s="95">
        <v>5.5555555555555598</v>
      </c>
      <c r="AY1203" s="95">
        <v>4.5454545454545503</v>
      </c>
      <c r="AZ1203" s="95">
        <v>5.9531772575250796</v>
      </c>
      <c r="BA1203" s="95">
        <v>8.1081081081081106</v>
      </c>
      <c r="BB1203" s="95">
        <v>25</v>
      </c>
      <c r="BC1203" s="95">
        <v>6.0810810810810798</v>
      </c>
      <c r="BD1203" s="95">
        <v>5.9523809523809499</v>
      </c>
      <c r="BE1203" s="95">
        <v>11.1111111111111</v>
      </c>
    </row>
    <row r="1204" spans="2:57" ht="15" customHeight="1" x14ac:dyDescent="0.25">
      <c r="B1204" s="91">
        <v>1194</v>
      </c>
      <c r="C1204" s="92" t="s">
        <v>504</v>
      </c>
      <c r="D1204" s="92" t="s">
        <v>85</v>
      </c>
      <c r="E1204" s="92" t="s">
        <v>514</v>
      </c>
      <c r="F1204" s="92" t="s">
        <v>75</v>
      </c>
      <c r="G1204" s="101" t="s">
        <v>502</v>
      </c>
      <c r="H1204" s="94">
        <v>3067</v>
      </c>
      <c r="I1204" s="94">
        <v>2363</v>
      </c>
      <c r="J1204" s="94">
        <v>704</v>
      </c>
      <c r="K1204" s="94">
        <v>226</v>
      </c>
      <c r="L1204" s="94">
        <v>992</v>
      </c>
      <c r="M1204" s="94">
        <v>1610</v>
      </c>
      <c r="N1204" s="94">
        <v>239</v>
      </c>
      <c r="O1204" s="94">
        <v>3057</v>
      </c>
      <c r="P1204" s="94">
        <v>10</v>
      </c>
      <c r="Q1204" s="95">
        <v>0.31304347826086998</v>
      </c>
      <c r="R1204" s="95">
        <v>4.4762757385855001E-2</v>
      </c>
      <c r="S1204" s="95">
        <v>1.2480499219968799</v>
      </c>
      <c r="T1204" s="95">
        <v>0.480769230769231</v>
      </c>
      <c r="U1204" s="95">
        <v>0.431034482758621</v>
      </c>
      <c r="V1204" s="95">
        <v>0.26229508196721302</v>
      </c>
      <c r="W1204" s="95">
        <v>0</v>
      </c>
      <c r="X1204" s="95">
        <v>0.31402651779483598</v>
      </c>
      <c r="Y1204" s="95">
        <v>0</v>
      </c>
      <c r="Z1204" s="94">
        <v>3095</v>
      </c>
      <c r="AA1204" s="94">
        <v>2144</v>
      </c>
      <c r="AB1204" s="94">
        <v>951</v>
      </c>
      <c r="AC1204" s="94">
        <v>127</v>
      </c>
      <c r="AD1204" s="94">
        <v>876</v>
      </c>
      <c r="AE1204" s="94">
        <v>1750</v>
      </c>
      <c r="AF1204" s="94">
        <v>342</v>
      </c>
      <c r="AG1204" s="94">
        <v>1687</v>
      </c>
      <c r="AH1204" s="94">
        <v>1289</v>
      </c>
      <c r="AI1204" s="94">
        <v>119</v>
      </c>
      <c r="AJ1204" s="94">
        <v>3052</v>
      </c>
      <c r="AK1204" s="94">
        <v>33</v>
      </c>
      <c r="AL1204" s="94">
        <v>10</v>
      </c>
      <c r="AM1204" s="94">
        <v>128</v>
      </c>
      <c r="AN1204" s="94">
        <v>2843</v>
      </c>
      <c r="AO1204" s="94">
        <v>124</v>
      </c>
      <c r="AP1204" s="95">
        <v>2.5170068027210899</v>
      </c>
      <c r="AQ1204" s="95">
        <v>0.43859649122806998</v>
      </c>
      <c r="AR1204" s="95">
        <v>7.3198198198198199</v>
      </c>
      <c r="AS1204" s="95">
        <v>1.72413793103448</v>
      </c>
      <c r="AT1204" s="95">
        <v>3.0229746070133001</v>
      </c>
      <c r="AU1204" s="95">
        <v>2.7010804321728701</v>
      </c>
      <c r="AV1204" s="95">
        <v>0.60422960725075503</v>
      </c>
      <c r="AW1204" s="95">
        <v>2.6691495965239</v>
      </c>
      <c r="AX1204" s="95">
        <v>2.28571428571429</v>
      </c>
      <c r="AY1204" s="95">
        <v>2.8846153846153801</v>
      </c>
      <c r="AZ1204" s="95">
        <v>2.5137741046832001</v>
      </c>
      <c r="BA1204" s="95">
        <v>3.5714285714285698</v>
      </c>
      <c r="BB1204" s="95">
        <v>0</v>
      </c>
      <c r="BC1204" s="95">
        <v>0</v>
      </c>
      <c r="BD1204" s="95">
        <v>2.73264401772526</v>
      </c>
      <c r="BE1204" s="95">
        <v>0</v>
      </c>
    </row>
    <row r="1205" spans="2:57" ht="15" customHeight="1" x14ac:dyDescent="0.25">
      <c r="B1205" s="96">
        <v>1195</v>
      </c>
      <c r="C1205" s="97" t="s">
        <v>504</v>
      </c>
      <c r="D1205" s="104" t="s">
        <v>85</v>
      </c>
      <c r="E1205" s="104" t="s">
        <v>514</v>
      </c>
      <c r="F1205" s="104" t="s">
        <v>285</v>
      </c>
      <c r="G1205" s="105" t="s">
        <v>285</v>
      </c>
      <c r="H1205" s="106">
        <v>19157</v>
      </c>
      <c r="I1205" s="106">
        <v>13213</v>
      </c>
      <c r="J1205" s="106">
        <v>5944</v>
      </c>
      <c r="K1205" s="106">
        <v>1514</v>
      </c>
      <c r="L1205" s="106">
        <v>6239</v>
      </c>
      <c r="M1205" s="106">
        <v>9909</v>
      </c>
      <c r="N1205" s="106">
        <v>1495</v>
      </c>
      <c r="O1205" s="106">
        <v>18865</v>
      </c>
      <c r="P1205" s="106">
        <v>292</v>
      </c>
      <c r="Q1205" s="107">
        <v>0.61623334702740795</v>
      </c>
      <c r="R1205" s="107">
        <v>0.201579035780279</v>
      </c>
      <c r="S1205" s="107">
        <v>1.5780245470485099</v>
      </c>
      <c r="T1205" s="107">
        <v>1.3854930725346399</v>
      </c>
      <c r="U1205" s="107">
        <v>0.82357247437774495</v>
      </c>
      <c r="V1205" s="107">
        <v>0.45484801420013299</v>
      </c>
      <c r="W1205" s="107">
        <v>0.14992503748125899</v>
      </c>
      <c r="X1205" s="107">
        <v>0.62593144560357705</v>
      </c>
      <c r="Y1205" s="107">
        <v>0</v>
      </c>
      <c r="Z1205" s="106">
        <v>21377</v>
      </c>
      <c r="AA1205" s="106">
        <v>12768</v>
      </c>
      <c r="AB1205" s="106">
        <v>8609</v>
      </c>
      <c r="AC1205" s="106">
        <v>1236</v>
      </c>
      <c r="AD1205" s="106">
        <v>6689</v>
      </c>
      <c r="AE1205" s="106">
        <v>11061</v>
      </c>
      <c r="AF1205" s="106">
        <v>2391</v>
      </c>
      <c r="AG1205" s="106">
        <v>9747</v>
      </c>
      <c r="AH1205" s="106">
        <v>11300</v>
      </c>
      <c r="AI1205" s="106">
        <v>330</v>
      </c>
      <c r="AJ1205" s="106">
        <v>20944</v>
      </c>
      <c r="AK1205" s="106">
        <v>348</v>
      </c>
      <c r="AL1205" s="106">
        <v>85</v>
      </c>
      <c r="AM1205" s="106">
        <v>918</v>
      </c>
      <c r="AN1205" s="106">
        <v>20293</v>
      </c>
      <c r="AO1205" s="106">
        <v>166</v>
      </c>
      <c r="AP1205" s="107">
        <v>4.1225848110068002</v>
      </c>
      <c r="AQ1205" s="107">
        <v>1.2146752602875599</v>
      </c>
      <c r="AR1205" s="107">
        <v>8.5045448885568398</v>
      </c>
      <c r="AS1205" s="107">
        <v>6</v>
      </c>
      <c r="AT1205" s="107">
        <v>5.3373938131110803</v>
      </c>
      <c r="AU1205" s="107">
        <v>3.7001625394397202</v>
      </c>
      <c r="AV1205" s="107">
        <v>1.79431072210066</v>
      </c>
      <c r="AW1205" s="107">
        <v>3.7478336221837099</v>
      </c>
      <c r="AX1205" s="107">
        <v>4.5132659805495203</v>
      </c>
      <c r="AY1205" s="107">
        <v>1.93548387096774</v>
      </c>
      <c r="AZ1205" s="107">
        <v>4.11833240464009</v>
      </c>
      <c r="BA1205" s="107">
        <v>3.87096774193548</v>
      </c>
      <c r="BB1205" s="107">
        <v>6.0975609756097597</v>
      </c>
      <c r="BC1205" s="107">
        <v>2.9411764705882399</v>
      </c>
      <c r="BD1205" s="107">
        <v>4.1583743584372099</v>
      </c>
      <c r="BE1205" s="107">
        <v>6.4516129032258096</v>
      </c>
    </row>
    <row r="1206" spans="2:57" ht="15" customHeight="1" x14ac:dyDescent="0.25">
      <c r="B1206" s="91">
        <v>1196</v>
      </c>
      <c r="C1206" s="92" t="s">
        <v>504</v>
      </c>
      <c r="D1206" s="92" t="s">
        <v>85</v>
      </c>
      <c r="E1206" s="92" t="s">
        <v>514</v>
      </c>
      <c r="F1206" s="92" t="s">
        <v>285</v>
      </c>
      <c r="G1206" s="101" t="s">
        <v>501</v>
      </c>
      <c r="H1206" s="94">
        <v>7349</v>
      </c>
      <c r="I1206" s="94">
        <v>4497</v>
      </c>
      <c r="J1206" s="94">
        <v>2852</v>
      </c>
      <c r="K1206" s="94">
        <v>636</v>
      </c>
      <c r="L1206" s="94">
        <v>2734</v>
      </c>
      <c r="M1206" s="94">
        <v>3563</v>
      </c>
      <c r="N1206" s="94">
        <v>416</v>
      </c>
      <c r="O1206" s="94">
        <v>7276</v>
      </c>
      <c r="P1206" s="94">
        <v>73</v>
      </c>
      <c r="Q1206" s="95">
        <v>1.11076828139463</v>
      </c>
      <c r="R1206" s="95">
        <v>0.39890301670406397</v>
      </c>
      <c r="S1206" s="95">
        <v>2.2662889518413598</v>
      </c>
      <c r="T1206" s="95">
        <v>1.7408123791102501</v>
      </c>
      <c r="U1206" s="95">
        <v>1.42737195633921</v>
      </c>
      <c r="V1206" s="95">
        <v>0.837209302325581</v>
      </c>
      <c r="W1206" s="95">
        <v>0.55865921787709505</v>
      </c>
      <c r="X1206" s="95">
        <v>1.1214953271028001</v>
      </c>
      <c r="Y1206" s="95">
        <v>0</v>
      </c>
      <c r="Z1206" s="94">
        <v>10643</v>
      </c>
      <c r="AA1206" s="94">
        <v>5729</v>
      </c>
      <c r="AB1206" s="94">
        <v>4914</v>
      </c>
      <c r="AC1206" s="94">
        <v>683</v>
      </c>
      <c r="AD1206" s="94">
        <v>3676</v>
      </c>
      <c r="AE1206" s="94">
        <v>5466</v>
      </c>
      <c r="AF1206" s="94">
        <v>818</v>
      </c>
      <c r="AG1206" s="94">
        <v>4849</v>
      </c>
      <c r="AH1206" s="94">
        <v>5683</v>
      </c>
      <c r="AI1206" s="94">
        <v>111</v>
      </c>
      <c r="AJ1206" s="94">
        <v>10501</v>
      </c>
      <c r="AK1206" s="94">
        <v>106</v>
      </c>
      <c r="AL1206" s="94">
        <v>36</v>
      </c>
      <c r="AM1206" s="94">
        <v>432</v>
      </c>
      <c r="AN1206" s="94">
        <v>10143</v>
      </c>
      <c r="AO1206" s="94">
        <v>68</v>
      </c>
      <c r="AP1206" s="95">
        <v>5.9568948313709802</v>
      </c>
      <c r="AQ1206" s="95">
        <v>1.9778188539741199</v>
      </c>
      <c r="AR1206" s="95">
        <v>10.624457935819599</v>
      </c>
      <c r="AS1206" s="95">
        <v>8.1504702194357392</v>
      </c>
      <c r="AT1206" s="95">
        <v>6.8461088355763602</v>
      </c>
      <c r="AU1206" s="95">
        <v>5.4527938342967204</v>
      </c>
      <c r="AV1206" s="95">
        <v>3.6082474226804102</v>
      </c>
      <c r="AW1206" s="95">
        <v>5.1679023113824698</v>
      </c>
      <c r="AX1206" s="95">
        <v>6.6754172135758498</v>
      </c>
      <c r="AY1206" s="95">
        <v>3.8834951456310698</v>
      </c>
      <c r="AZ1206" s="95">
        <v>5.9037606146380899</v>
      </c>
      <c r="BA1206" s="95">
        <v>10.4166666666667</v>
      </c>
      <c r="BB1206" s="95">
        <v>8.8235294117647101</v>
      </c>
      <c r="BC1206" s="95">
        <v>4.5893719806763302</v>
      </c>
      <c r="BD1206" s="95">
        <v>6.0142497904442598</v>
      </c>
      <c r="BE1206" s="95">
        <v>6.25</v>
      </c>
    </row>
    <row r="1207" spans="2:57" ht="15" customHeight="1" x14ac:dyDescent="0.25">
      <c r="B1207" s="91">
        <v>1197</v>
      </c>
      <c r="C1207" s="92" t="s">
        <v>504</v>
      </c>
      <c r="D1207" s="92" t="s">
        <v>85</v>
      </c>
      <c r="E1207" s="92" t="s">
        <v>514</v>
      </c>
      <c r="F1207" s="92" t="s">
        <v>285</v>
      </c>
      <c r="G1207" s="101" t="s">
        <v>502</v>
      </c>
      <c r="H1207" s="94">
        <v>11808</v>
      </c>
      <c r="I1207" s="94">
        <v>8716</v>
      </c>
      <c r="J1207" s="94">
        <v>3092</v>
      </c>
      <c r="K1207" s="94">
        <v>878</v>
      </c>
      <c r="L1207" s="94">
        <v>3505</v>
      </c>
      <c r="M1207" s="94">
        <v>6346</v>
      </c>
      <c r="N1207" s="94">
        <v>1079</v>
      </c>
      <c r="O1207" s="94">
        <v>11589</v>
      </c>
      <c r="P1207" s="94">
        <v>219</v>
      </c>
      <c r="Q1207" s="95">
        <v>0.31258880363739699</v>
      </c>
      <c r="R1207" s="95">
        <v>0.101329955668144</v>
      </c>
      <c r="S1207" s="95">
        <v>0.93914350112697198</v>
      </c>
      <c r="T1207" s="95">
        <v>1.12676056338028</v>
      </c>
      <c r="U1207" s="95">
        <v>0.356911096690461</v>
      </c>
      <c r="V1207" s="95">
        <v>0.24183796856106399</v>
      </c>
      <c r="W1207" s="95">
        <v>0</v>
      </c>
      <c r="X1207" s="95">
        <v>0.31868662481892801</v>
      </c>
      <c r="Y1207" s="95">
        <v>0</v>
      </c>
      <c r="Z1207" s="94">
        <v>10734</v>
      </c>
      <c r="AA1207" s="94">
        <v>7039</v>
      </c>
      <c r="AB1207" s="94">
        <v>3695</v>
      </c>
      <c r="AC1207" s="94">
        <v>553</v>
      </c>
      <c r="AD1207" s="94">
        <v>3013</v>
      </c>
      <c r="AE1207" s="94">
        <v>5595</v>
      </c>
      <c r="AF1207" s="94">
        <v>1573</v>
      </c>
      <c r="AG1207" s="94">
        <v>4898</v>
      </c>
      <c r="AH1207" s="94">
        <v>5617</v>
      </c>
      <c r="AI1207" s="94">
        <v>219</v>
      </c>
      <c r="AJ1207" s="94">
        <v>10443</v>
      </c>
      <c r="AK1207" s="94">
        <v>242</v>
      </c>
      <c r="AL1207" s="94">
        <v>49</v>
      </c>
      <c r="AM1207" s="94">
        <v>486</v>
      </c>
      <c r="AN1207" s="94">
        <v>10150</v>
      </c>
      <c r="AO1207" s="94">
        <v>98</v>
      </c>
      <c r="AP1207" s="95">
        <v>2.3044209277025001</v>
      </c>
      <c r="AQ1207" s="95">
        <v>0.59772863120143505</v>
      </c>
      <c r="AR1207" s="95">
        <v>5.6449254167885297</v>
      </c>
      <c r="AS1207" s="95">
        <v>3.3203125</v>
      </c>
      <c r="AT1207" s="95">
        <v>3.5093938319744802</v>
      </c>
      <c r="AU1207" s="95">
        <v>1.97380907193016</v>
      </c>
      <c r="AV1207" s="95">
        <v>0.861497680583168</v>
      </c>
      <c r="AW1207" s="95">
        <v>2.3461041756349501</v>
      </c>
      <c r="AX1207" s="95">
        <v>2.3202738683910198</v>
      </c>
      <c r="AY1207" s="95">
        <v>0.96618357487922701</v>
      </c>
      <c r="AZ1207" s="95">
        <v>2.3251091481368702</v>
      </c>
      <c r="BA1207" s="95">
        <v>0.934579439252336</v>
      </c>
      <c r="BB1207" s="95">
        <v>4.1666666666666696</v>
      </c>
      <c r="BC1207" s="95">
        <v>1.4893617021276599</v>
      </c>
      <c r="BD1207" s="95">
        <v>2.3036649214659701</v>
      </c>
      <c r="BE1207" s="95">
        <v>6.5934065934065904</v>
      </c>
    </row>
    <row r="1208" spans="2:57" ht="15" customHeight="1" x14ac:dyDescent="0.25">
      <c r="B1208" s="96">
        <v>1198</v>
      </c>
      <c r="C1208" s="97" t="s">
        <v>504</v>
      </c>
      <c r="D1208" s="104" t="s">
        <v>85</v>
      </c>
      <c r="E1208" s="104" t="s">
        <v>514</v>
      </c>
      <c r="F1208" s="104" t="s">
        <v>333</v>
      </c>
      <c r="G1208" s="105" t="s">
        <v>333</v>
      </c>
      <c r="H1208" s="106">
        <v>2648</v>
      </c>
      <c r="I1208" s="106">
        <v>1728</v>
      </c>
      <c r="J1208" s="106">
        <v>920</v>
      </c>
      <c r="K1208" s="106">
        <v>206</v>
      </c>
      <c r="L1208" s="106">
        <v>797</v>
      </c>
      <c r="M1208" s="106">
        <v>1378</v>
      </c>
      <c r="N1208" s="106">
        <v>267</v>
      </c>
      <c r="O1208" s="106">
        <v>2644</v>
      </c>
      <c r="P1208" s="106">
        <v>4</v>
      </c>
      <c r="Q1208" s="107">
        <v>0.57923045097227999</v>
      </c>
      <c r="R1208" s="107">
        <v>0.24984384759525299</v>
      </c>
      <c r="S1208" s="107">
        <v>1.2254901960784299</v>
      </c>
      <c r="T1208" s="107">
        <v>1.0526315789473699</v>
      </c>
      <c r="U1208" s="107">
        <v>0.98870056497175196</v>
      </c>
      <c r="V1208" s="107">
        <v>0.31397174254317101</v>
      </c>
      <c r="W1208" s="107">
        <v>0.40816326530612201</v>
      </c>
      <c r="X1208" s="107">
        <v>0.58019063406547899</v>
      </c>
      <c r="Y1208" s="107">
        <v>0</v>
      </c>
      <c r="Z1208" s="106">
        <v>2728</v>
      </c>
      <c r="AA1208" s="106">
        <v>1638</v>
      </c>
      <c r="AB1208" s="106">
        <v>1090</v>
      </c>
      <c r="AC1208" s="106">
        <v>143</v>
      </c>
      <c r="AD1208" s="106">
        <v>692</v>
      </c>
      <c r="AE1208" s="106">
        <v>1504</v>
      </c>
      <c r="AF1208" s="106">
        <v>389</v>
      </c>
      <c r="AG1208" s="106">
        <v>2563</v>
      </c>
      <c r="AH1208" s="106">
        <v>155</v>
      </c>
      <c r="AI1208" s="106">
        <v>10</v>
      </c>
      <c r="AJ1208" s="106">
        <v>2714</v>
      </c>
      <c r="AK1208" s="106">
        <v>4</v>
      </c>
      <c r="AL1208" s="106">
        <v>10</v>
      </c>
      <c r="AM1208" s="106">
        <v>146</v>
      </c>
      <c r="AN1208" s="106">
        <v>2547</v>
      </c>
      <c r="AO1208" s="106">
        <v>35</v>
      </c>
      <c r="AP1208" s="107">
        <v>2.74704311331553</v>
      </c>
      <c r="AQ1208" s="107">
        <v>1.1934673366834201</v>
      </c>
      <c r="AR1208" s="107">
        <v>5.1506316812439303</v>
      </c>
      <c r="AS1208" s="107">
        <v>4.4117647058823497</v>
      </c>
      <c r="AT1208" s="107">
        <v>5.6923076923076898</v>
      </c>
      <c r="AU1208" s="107">
        <v>1.86206896551724</v>
      </c>
      <c r="AV1208" s="107">
        <v>0.51948051948051899</v>
      </c>
      <c r="AW1208" s="107">
        <v>2.8814935064935101</v>
      </c>
      <c r="AX1208" s="107">
        <v>0.68027210884353695</v>
      </c>
      <c r="AY1208" s="107">
        <v>0</v>
      </c>
      <c r="AZ1208" s="107">
        <v>2.7586206896551699</v>
      </c>
      <c r="BA1208" s="107">
        <v>0</v>
      </c>
      <c r="BB1208" s="107">
        <v>0</v>
      </c>
      <c r="BC1208" s="107">
        <v>0.69930069930069905</v>
      </c>
      <c r="BD1208" s="107">
        <v>2.9062627916496102</v>
      </c>
      <c r="BE1208" s="107">
        <v>0</v>
      </c>
    </row>
    <row r="1209" spans="2:57" ht="15" customHeight="1" x14ac:dyDescent="0.25">
      <c r="B1209" s="91">
        <v>1199</v>
      </c>
      <c r="C1209" s="92" t="s">
        <v>504</v>
      </c>
      <c r="D1209" s="92" t="s">
        <v>85</v>
      </c>
      <c r="E1209" s="92" t="s">
        <v>514</v>
      </c>
      <c r="F1209" s="92" t="s">
        <v>333</v>
      </c>
      <c r="G1209" s="101" t="s">
        <v>501</v>
      </c>
      <c r="H1209" s="94">
        <v>0</v>
      </c>
      <c r="I1209" s="94">
        <v>0</v>
      </c>
      <c r="J1209" s="94">
        <v>0</v>
      </c>
      <c r="K1209" s="94">
        <v>0</v>
      </c>
      <c r="L1209" s="94">
        <v>0</v>
      </c>
      <c r="M1209" s="94">
        <v>0</v>
      </c>
      <c r="N1209" s="94">
        <v>0</v>
      </c>
      <c r="O1209" s="94">
        <v>0</v>
      </c>
      <c r="P1209" s="94">
        <v>0</v>
      </c>
      <c r="Q1209" s="95">
        <v>0</v>
      </c>
      <c r="R1209" s="95">
        <v>0</v>
      </c>
      <c r="S1209" s="95">
        <v>0</v>
      </c>
      <c r="T1209" s="95">
        <v>0</v>
      </c>
      <c r="U1209" s="95">
        <v>0</v>
      </c>
      <c r="V1209" s="95">
        <v>0</v>
      </c>
      <c r="W1209" s="95">
        <v>0</v>
      </c>
      <c r="X1209" s="95">
        <v>0</v>
      </c>
      <c r="Y1209" s="95">
        <v>0</v>
      </c>
      <c r="Z1209" s="94">
        <v>0</v>
      </c>
      <c r="AA1209" s="94">
        <v>0</v>
      </c>
      <c r="AB1209" s="94">
        <v>0</v>
      </c>
      <c r="AC1209" s="94">
        <v>0</v>
      </c>
      <c r="AD1209" s="94">
        <v>0</v>
      </c>
      <c r="AE1209" s="94">
        <v>0</v>
      </c>
      <c r="AF1209" s="94">
        <v>0</v>
      </c>
      <c r="AG1209" s="94">
        <v>0</v>
      </c>
      <c r="AH1209" s="94">
        <v>0</v>
      </c>
      <c r="AI1209" s="94">
        <v>0</v>
      </c>
      <c r="AJ1209" s="94">
        <v>0</v>
      </c>
      <c r="AK1209" s="94">
        <v>0</v>
      </c>
      <c r="AL1209" s="94">
        <v>0</v>
      </c>
      <c r="AM1209" s="94">
        <v>0</v>
      </c>
      <c r="AN1209" s="94">
        <v>0</v>
      </c>
      <c r="AO1209" s="94">
        <v>0</v>
      </c>
      <c r="AP1209" s="95">
        <v>0</v>
      </c>
      <c r="AQ1209" s="95">
        <v>0</v>
      </c>
      <c r="AR1209" s="95">
        <v>0</v>
      </c>
      <c r="AS1209" s="95">
        <v>0</v>
      </c>
      <c r="AT1209" s="95">
        <v>0</v>
      </c>
      <c r="AU1209" s="95">
        <v>0</v>
      </c>
      <c r="AV1209" s="95">
        <v>0</v>
      </c>
      <c r="AW1209" s="95">
        <v>0</v>
      </c>
      <c r="AX1209" s="95">
        <v>0</v>
      </c>
      <c r="AY1209" s="95">
        <v>0</v>
      </c>
      <c r="AZ1209" s="95">
        <v>0</v>
      </c>
      <c r="BA1209" s="95">
        <v>0</v>
      </c>
      <c r="BB1209" s="95">
        <v>0</v>
      </c>
      <c r="BC1209" s="95">
        <v>0</v>
      </c>
      <c r="BD1209" s="95">
        <v>0</v>
      </c>
      <c r="BE1209" s="95">
        <v>0</v>
      </c>
    </row>
    <row r="1210" spans="2:57" ht="15" customHeight="1" x14ac:dyDescent="0.25">
      <c r="B1210" s="91">
        <v>1200</v>
      </c>
      <c r="C1210" s="92" t="s">
        <v>504</v>
      </c>
      <c r="D1210" s="92" t="s">
        <v>85</v>
      </c>
      <c r="E1210" s="92" t="s">
        <v>514</v>
      </c>
      <c r="F1210" s="92" t="s">
        <v>333</v>
      </c>
      <c r="G1210" s="101" t="s">
        <v>502</v>
      </c>
      <c r="H1210" s="94">
        <v>2648</v>
      </c>
      <c r="I1210" s="94">
        <v>1728</v>
      </c>
      <c r="J1210" s="94">
        <v>920</v>
      </c>
      <c r="K1210" s="94">
        <v>206</v>
      </c>
      <c r="L1210" s="94">
        <v>797</v>
      </c>
      <c r="M1210" s="94">
        <v>1378</v>
      </c>
      <c r="N1210" s="94">
        <v>267</v>
      </c>
      <c r="O1210" s="94">
        <v>2644</v>
      </c>
      <c r="P1210" s="94">
        <v>4</v>
      </c>
      <c r="Q1210" s="95">
        <v>0.57923045097227999</v>
      </c>
      <c r="R1210" s="95">
        <v>0.24984384759525299</v>
      </c>
      <c r="S1210" s="95">
        <v>1.2254901960784299</v>
      </c>
      <c r="T1210" s="95">
        <v>1.0526315789473699</v>
      </c>
      <c r="U1210" s="95">
        <v>0.98870056497175196</v>
      </c>
      <c r="V1210" s="95">
        <v>0.31397174254317101</v>
      </c>
      <c r="W1210" s="95">
        <v>0.40816326530612201</v>
      </c>
      <c r="X1210" s="95">
        <v>0.58019063406547899</v>
      </c>
      <c r="Y1210" s="95">
        <v>0</v>
      </c>
      <c r="Z1210" s="94">
        <v>2728</v>
      </c>
      <c r="AA1210" s="94">
        <v>1638</v>
      </c>
      <c r="AB1210" s="94">
        <v>1090</v>
      </c>
      <c r="AC1210" s="94">
        <v>143</v>
      </c>
      <c r="AD1210" s="94">
        <v>692</v>
      </c>
      <c r="AE1210" s="94">
        <v>1504</v>
      </c>
      <c r="AF1210" s="94">
        <v>389</v>
      </c>
      <c r="AG1210" s="94">
        <v>2563</v>
      </c>
      <c r="AH1210" s="94">
        <v>155</v>
      </c>
      <c r="AI1210" s="94">
        <v>10</v>
      </c>
      <c r="AJ1210" s="94">
        <v>2714</v>
      </c>
      <c r="AK1210" s="94">
        <v>4</v>
      </c>
      <c r="AL1210" s="94">
        <v>10</v>
      </c>
      <c r="AM1210" s="94">
        <v>146</v>
      </c>
      <c r="AN1210" s="94">
        <v>2547</v>
      </c>
      <c r="AO1210" s="94">
        <v>35</v>
      </c>
      <c r="AP1210" s="95">
        <v>2.74704311331553</v>
      </c>
      <c r="AQ1210" s="95">
        <v>1.1934673366834201</v>
      </c>
      <c r="AR1210" s="95">
        <v>5.1506316812439303</v>
      </c>
      <c r="AS1210" s="95">
        <v>4.4117647058823497</v>
      </c>
      <c r="AT1210" s="95">
        <v>5.6923076923076898</v>
      </c>
      <c r="AU1210" s="95">
        <v>1.86206896551724</v>
      </c>
      <c r="AV1210" s="95">
        <v>0.51948051948051899</v>
      </c>
      <c r="AW1210" s="95">
        <v>2.8814935064935101</v>
      </c>
      <c r="AX1210" s="95">
        <v>0.68027210884353695</v>
      </c>
      <c r="AY1210" s="95">
        <v>0</v>
      </c>
      <c r="AZ1210" s="95">
        <v>2.7586206896551699</v>
      </c>
      <c r="BA1210" s="95">
        <v>0</v>
      </c>
      <c r="BB1210" s="95">
        <v>0</v>
      </c>
      <c r="BC1210" s="95">
        <v>0.69930069930069905</v>
      </c>
      <c r="BD1210" s="95">
        <v>2.9062627916496102</v>
      </c>
      <c r="BE1210" s="95">
        <v>0</v>
      </c>
    </row>
    <row r="1211" spans="2:57" ht="15" customHeight="1" x14ac:dyDescent="0.25">
      <c r="B1211" s="96">
        <v>1201</v>
      </c>
      <c r="C1211" s="97" t="s">
        <v>504</v>
      </c>
      <c r="D1211" s="104" t="s">
        <v>85</v>
      </c>
      <c r="E1211" s="104" t="s">
        <v>514</v>
      </c>
      <c r="F1211" s="104" t="s">
        <v>44</v>
      </c>
      <c r="G1211" s="105" t="s">
        <v>44</v>
      </c>
      <c r="H1211" s="106">
        <v>3126</v>
      </c>
      <c r="I1211" s="106">
        <v>2139</v>
      </c>
      <c r="J1211" s="106">
        <v>987</v>
      </c>
      <c r="K1211" s="106">
        <v>182</v>
      </c>
      <c r="L1211" s="106">
        <v>962</v>
      </c>
      <c r="M1211" s="106">
        <v>1729</v>
      </c>
      <c r="N1211" s="106">
        <v>253</v>
      </c>
      <c r="O1211" s="106">
        <v>3059</v>
      </c>
      <c r="P1211" s="106">
        <v>67</v>
      </c>
      <c r="Q1211" s="107">
        <v>1.5465729349736399</v>
      </c>
      <c r="R1211" s="107">
        <v>0.77041602465331305</v>
      </c>
      <c r="S1211" s="107">
        <v>3.2293986636971099</v>
      </c>
      <c r="T1211" s="107">
        <v>4.6052631578947398</v>
      </c>
      <c r="U1211" s="107">
        <v>1.1723329425556901</v>
      </c>
      <c r="V1211" s="107">
        <v>1.30515848353014</v>
      </c>
      <c r="W1211" s="107">
        <v>2.5974025974026</v>
      </c>
      <c r="X1211" s="107">
        <v>1.4721723518851</v>
      </c>
      <c r="Y1211" s="107">
        <v>5</v>
      </c>
      <c r="Z1211" s="106">
        <v>3711</v>
      </c>
      <c r="AA1211" s="106">
        <v>2367</v>
      </c>
      <c r="AB1211" s="106">
        <v>1344</v>
      </c>
      <c r="AC1211" s="106">
        <v>139</v>
      </c>
      <c r="AD1211" s="106">
        <v>1033</v>
      </c>
      <c r="AE1211" s="106">
        <v>2141</v>
      </c>
      <c r="AF1211" s="106">
        <v>398</v>
      </c>
      <c r="AG1211" s="106">
        <v>908</v>
      </c>
      <c r="AH1211" s="106">
        <v>2708</v>
      </c>
      <c r="AI1211" s="106">
        <v>95</v>
      </c>
      <c r="AJ1211" s="106">
        <v>3605</v>
      </c>
      <c r="AK1211" s="106">
        <v>84</v>
      </c>
      <c r="AL1211" s="106">
        <v>22</v>
      </c>
      <c r="AM1211" s="106">
        <v>214</v>
      </c>
      <c r="AN1211" s="106">
        <v>3459</v>
      </c>
      <c r="AO1211" s="106">
        <v>38</v>
      </c>
      <c r="AP1211" s="107">
        <v>5.1326412918108399</v>
      </c>
      <c r="AQ1211" s="107">
        <v>1.0365029292474099</v>
      </c>
      <c r="AR1211" s="107">
        <v>12.4099279423539</v>
      </c>
      <c r="AS1211" s="107">
        <v>3.7878787878787898</v>
      </c>
      <c r="AT1211" s="107">
        <v>6.0924369747899201</v>
      </c>
      <c r="AU1211" s="107">
        <v>5.2421367948077897</v>
      </c>
      <c r="AV1211" s="107">
        <v>2.6246719160105001</v>
      </c>
      <c r="AW1211" s="107">
        <v>3.5419126328217199</v>
      </c>
      <c r="AX1211" s="107">
        <v>5.6715242221346998</v>
      </c>
      <c r="AY1211" s="107">
        <v>4.8780487804878003</v>
      </c>
      <c r="AZ1211" s="107">
        <v>5.1601423487544498</v>
      </c>
      <c r="BA1211" s="107">
        <v>2.5641025641025599</v>
      </c>
      <c r="BB1211" s="107">
        <v>11.1111111111111</v>
      </c>
      <c r="BC1211" s="107">
        <v>4.9019607843137303</v>
      </c>
      <c r="BD1211" s="107">
        <v>5.17508521846917</v>
      </c>
      <c r="BE1211" s="107">
        <v>2.7027027027027</v>
      </c>
    </row>
    <row r="1212" spans="2:57" ht="15" customHeight="1" x14ac:dyDescent="0.25">
      <c r="B1212" s="91">
        <v>1202</v>
      </c>
      <c r="C1212" s="92" t="s">
        <v>504</v>
      </c>
      <c r="D1212" s="92" t="s">
        <v>85</v>
      </c>
      <c r="E1212" s="92" t="s">
        <v>514</v>
      </c>
      <c r="F1212" s="92" t="s">
        <v>44</v>
      </c>
      <c r="G1212" s="101" t="s">
        <v>501</v>
      </c>
      <c r="H1212" s="94">
        <v>2515</v>
      </c>
      <c r="I1212" s="94">
        <v>1641</v>
      </c>
      <c r="J1212" s="94">
        <v>874</v>
      </c>
      <c r="K1212" s="94">
        <v>154</v>
      </c>
      <c r="L1212" s="94">
        <v>787</v>
      </c>
      <c r="M1212" s="94">
        <v>1367</v>
      </c>
      <c r="N1212" s="94">
        <v>207</v>
      </c>
      <c r="O1212" s="94">
        <v>2474</v>
      </c>
      <c r="P1212" s="94">
        <v>41</v>
      </c>
      <c r="Q1212" s="95">
        <v>1.80855756506396</v>
      </c>
      <c r="R1212" s="95">
        <v>0.95044127630685704</v>
      </c>
      <c r="S1212" s="95">
        <v>3.40050377833753</v>
      </c>
      <c r="T1212" s="95">
        <v>4.7244094488188999</v>
      </c>
      <c r="U1212" s="95">
        <v>1.2987012987013</v>
      </c>
      <c r="V1212" s="95">
        <v>1.5885623510722799</v>
      </c>
      <c r="W1212" s="95">
        <v>3.1914893617021298</v>
      </c>
      <c r="X1212" s="95">
        <v>1.74966352624495</v>
      </c>
      <c r="Y1212" s="95">
        <v>5.2631578947368398</v>
      </c>
      <c r="Z1212" s="94">
        <v>3056</v>
      </c>
      <c r="AA1212" s="94">
        <v>1897</v>
      </c>
      <c r="AB1212" s="94">
        <v>1159</v>
      </c>
      <c r="AC1212" s="94">
        <v>121</v>
      </c>
      <c r="AD1212" s="94">
        <v>900</v>
      </c>
      <c r="AE1212" s="94">
        <v>1746</v>
      </c>
      <c r="AF1212" s="94">
        <v>289</v>
      </c>
      <c r="AG1212" s="94">
        <v>643</v>
      </c>
      <c r="AH1212" s="94">
        <v>2323</v>
      </c>
      <c r="AI1212" s="94">
        <v>90</v>
      </c>
      <c r="AJ1212" s="94">
        <v>2959</v>
      </c>
      <c r="AK1212" s="94">
        <v>84</v>
      </c>
      <c r="AL1212" s="94">
        <v>13</v>
      </c>
      <c r="AM1212" s="94">
        <v>176</v>
      </c>
      <c r="AN1212" s="94">
        <v>2847</v>
      </c>
      <c r="AO1212" s="94">
        <v>33</v>
      </c>
      <c r="AP1212" s="95">
        <v>5.6081317910970903</v>
      </c>
      <c r="AQ1212" s="95">
        <v>1.18778280542986</v>
      </c>
      <c r="AR1212" s="95">
        <v>12.8110599078341</v>
      </c>
      <c r="AS1212" s="95">
        <v>3.5087719298245599</v>
      </c>
      <c r="AT1212" s="95">
        <v>6.1371841155234703</v>
      </c>
      <c r="AU1212" s="95">
        <v>5.8751529987760103</v>
      </c>
      <c r="AV1212" s="95">
        <v>3.28467153284672</v>
      </c>
      <c r="AW1212" s="95">
        <v>4.1322314049586799</v>
      </c>
      <c r="AX1212" s="95">
        <v>6.0340856748042402</v>
      </c>
      <c r="AY1212" s="95">
        <v>5.1948051948051903</v>
      </c>
      <c r="AZ1212" s="95">
        <v>5.6460369163952198</v>
      </c>
      <c r="BA1212" s="95">
        <v>2.5641025641025599</v>
      </c>
      <c r="BB1212" s="95">
        <v>16.6666666666667</v>
      </c>
      <c r="BC1212" s="95">
        <v>5.32544378698225</v>
      </c>
      <c r="BD1212" s="95">
        <v>5.65610859728507</v>
      </c>
      <c r="BE1212" s="95">
        <v>3.125</v>
      </c>
    </row>
    <row r="1213" spans="2:57" ht="15" customHeight="1" x14ac:dyDescent="0.25">
      <c r="B1213" s="91">
        <v>1203</v>
      </c>
      <c r="C1213" s="92" t="s">
        <v>504</v>
      </c>
      <c r="D1213" s="92" t="s">
        <v>85</v>
      </c>
      <c r="E1213" s="92" t="s">
        <v>514</v>
      </c>
      <c r="F1213" s="92" t="s">
        <v>44</v>
      </c>
      <c r="G1213" s="101" t="s">
        <v>502</v>
      </c>
      <c r="H1213" s="94">
        <v>611</v>
      </c>
      <c r="I1213" s="94">
        <v>498</v>
      </c>
      <c r="J1213" s="94">
        <v>113</v>
      </c>
      <c r="K1213" s="94">
        <v>28</v>
      </c>
      <c r="L1213" s="94">
        <v>175</v>
      </c>
      <c r="M1213" s="94">
        <v>362</v>
      </c>
      <c r="N1213" s="94">
        <v>46</v>
      </c>
      <c r="O1213" s="94">
        <v>585</v>
      </c>
      <c r="P1213" s="94">
        <v>26</v>
      </c>
      <c r="Q1213" s="95">
        <v>0.51903114186851196</v>
      </c>
      <c r="R1213" s="95">
        <v>0.21097046413502099</v>
      </c>
      <c r="S1213" s="95">
        <v>1.92307692307692</v>
      </c>
      <c r="T1213" s="95">
        <v>4</v>
      </c>
      <c r="U1213" s="95">
        <v>0.625</v>
      </c>
      <c r="V1213" s="95">
        <v>0.28571428571428598</v>
      </c>
      <c r="W1213" s="95">
        <v>0</v>
      </c>
      <c r="X1213" s="95">
        <v>0.35971223021582699</v>
      </c>
      <c r="Y1213" s="95">
        <v>4.5454545454545503</v>
      </c>
      <c r="Z1213" s="94">
        <v>655</v>
      </c>
      <c r="AA1213" s="94">
        <v>470</v>
      </c>
      <c r="AB1213" s="94">
        <v>185</v>
      </c>
      <c r="AC1213" s="94">
        <v>18</v>
      </c>
      <c r="AD1213" s="94">
        <v>133</v>
      </c>
      <c r="AE1213" s="94">
        <v>395</v>
      </c>
      <c r="AF1213" s="94">
        <v>109</v>
      </c>
      <c r="AG1213" s="94">
        <v>265</v>
      </c>
      <c r="AH1213" s="94">
        <v>385</v>
      </c>
      <c r="AI1213" s="94">
        <v>5</v>
      </c>
      <c r="AJ1213" s="94">
        <v>646</v>
      </c>
      <c r="AK1213" s="94">
        <v>0</v>
      </c>
      <c r="AL1213" s="94">
        <v>9</v>
      </c>
      <c r="AM1213" s="94">
        <v>38</v>
      </c>
      <c r="AN1213" s="94">
        <v>612</v>
      </c>
      <c r="AO1213" s="94">
        <v>5</v>
      </c>
      <c r="AP1213" s="95">
        <v>2.9268292682926802</v>
      </c>
      <c r="AQ1213" s="95">
        <v>0.44345898004434597</v>
      </c>
      <c r="AR1213" s="95">
        <v>9.7560975609756095</v>
      </c>
      <c r="AS1213" s="95">
        <v>5.5555555555555598</v>
      </c>
      <c r="AT1213" s="95">
        <v>5.7851239669421499</v>
      </c>
      <c r="AU1213" s="95">
        <v>2.4390243902439002</v>
      </c>
      <c r="AV1213" s="95">
        <v>0.934579439252336</v>
      </c>
      <c r="AW1213" s="95">
        <v>2.06611570247934</v>
      </c>
      <c r="AX1213" s="95">
        <v>3.5326086956521698</v>
      </c>
      <c r="AY1213" s="95">
        <v>0</v>
      </c>
      <c r="AZ1213" s="95">
        <v>2.95566502463054</v>
      </c>
      <c r="BA1213" s="95">
        <v>0</v>
      </c>
      <c r="BB1213" s="95">
        <v>0</v>
      </c>
      <c r="BC1213" s="95">
        <v>2.8571428571428599</v>
      </c>
      <c r="BD1213" s="95">
        <v>2.9565217391304301</v>
      </c>
      <c r="BE1213" s="95">
        <v>0</v>
      </c>
    </row>
    <row r="1214" spans="2:57" ht="15" customHeight="1" x14ac:dyDescent="0.25">
      <c r="B1214" s="96">
        <v>1204</v>
      </c>
      <c r="C1214" s="97" t="s">
        <v>504</v>
      </c>
      <c r="D1214" s="104" t="s">
        <v>85</v>
      </c>
      <c r="E1214" s="104" t="s">
        <v>514</v>
      </c>
      <c r="F1214" s="104" t="s">
        <v>239</v>
      </c>
      <c r="G1214" s="105" t="s">
        <v>239</v>
      </c>
      <c r="H1214" s="106">
        <v>9302</v>
      </c>
      <c r="I1214" s="106">
        <v>6604</v>
      </c>
      <c r="J1214" s="106">
        <v>2698</v>
      </c>
      <c r="K1214" s="106">
        <v>849</v>
      </c>
      <c r="L1214" s="106">
        <v>3394</v>
      </c>
      <c r="M1214" s="106">
        <v>4486</v>
      </c>
      <c r="N1214" s="106">
        <v>573</v>
      </c>
      <c r="O1214" s="106">
        <v>8480</v>
      </c>
      <c r="P1214" s="106">
        <v>822</v>
      </c>
      <c r="Q1214" s="107">
        <v>1.0597761371755201</v>
      </c>
      <c r="R1214" s="107">
        <v>0.21768251841929001</v>
      </c>
      <c r="S1214" s="107">
        <v>3.1327287716405601</v>
      </c>
      <c r="T1214" s="107">
        <v>1.19840213049268</v>
      </c>
      <c r="U1214" s="107">
        <v>1.2135126270908501</v>
      </c>
      <c r="V1214" s="107">
        <v>0.98135426889107003</v>
      </c>
      <c r="W1214" s="107">
        <v>0.57471264367816099</v>
      </c>
      <c r="X1214" s="107">
        <v>1.1509285901124799</v>
      </c>
      <c r="Y1214" s="107">
        <v>0.13297872340425501</v>
      </c>
      <c r="Z1214" s="106">
        <v>11573</v>
      </c>
      <c r="AA1214" s="106">
        <v>7456</v>
      </c>
      <c r="AB1214" s="106">
        <v>4117</v>
      </c>
      <c r="AC1214" s="106">
        <v>780</v>
      </c>
      <c r="AD1214" s="106">
        <v>3912</v>
      </c>
      <c r="AE1214" s="106">
        <v>5908</v>
      </c>
      <c r="AF1214" s="106">
        <v>973</v>
      </c>
      <c r="AG1214" s="106">
        <v>3302</v>
      </c>
      <c r="AH1214" s="106">
        <v>8122</v>
      </c>
      <c r="AI1214" s="106">
        <v>149</v>
      </c>
      <c r="AJ1214" s="106">
        <v>10860</v>
      </c>
      <c r="AK1214" s="106">
        <v>692</v>
      </c>
      <c r="AL1214" s="106">
        <v>21</v>
      </c>
      <c r="AM1214" s="106">
        <v>488</v>
      </c>
      <c r="AN1214" s="106">
        <v>10987</v>
      </c>
      <c r="AO1214" s="106">
        <v>98</v>
      </c>
      <c r="AP1214" s="107">
        <v>4.0237467018469699</v>
      </c>
      <c r="AQ1214" s="107">
        <v>1.1003329955118</v>
      </c>
      <c r="AR1214" s="107">
        <v>9.4736842105263204</v>
      </c>
      <c r="AS1214" s="107">
        <v>5.6497175141242897</v>
      </c>
      <c r="AT1214" s="107">
        <v>4.8491683112489401</v>
      </c>
      <c r="AU1214" s="107">
        <v>3.6036036036036001</v>
      </c>
      <c r="AV1214" s="107">
        <v>2.0697167755991299</v>
      </c>
      <c r="AW1214" s="107">
        <v>4.67741935483871</v>
      </c>
      <c r="AX1214" s="107">
        <v>3.7815126050420198</v>
      </c>
      <c r="AY1214" s="107">
        <v>2.23880597014925</v>
      </c>
      <c r="AZ1214" s="107">
        <v>4.1917368632170096</v>
      </c>
      <c r="BA1214" s="107">
        <v>1.4469453376205801</v>
      </c>
      <c r="BB1214" s="107">
        <v>0</v>
      </c>
      <c r="BC1214" s="107">
        <v>3.2537960954446898</v>
      </c>
      <c r="BD1214" s="107">
        <v>4.0660105378268199</v>
      </c>
      <c r="BE1214" s="107">
        <v>3.2608695652173898</v>
      </c>
    </row>
    <row r="1215" spans="2:57" ht="15" customHeight="1" x14ac:dyDescent="0.25">
      <c r="B1215" s="91">
        <v>1205</v>
      </c>
      <c r="C1215" s="92" t="s">
        <v>504</v>
      </c>
      <c r="D1215" s="92" t="s">
        <v>85</v>
      </c>
      <c r="E1215" s="92" t="s">
        <v>514</v>
      </c>
      <c r="F1215" s="92" t="s">
        <v>239</v>
      </c>
      <c r="G1215" s="101" t="s">
        <v>501</v>
      </c>
      <c r="H1215" s="94">
        <v>3126</v>
      </c>
      <c r="I1215" s="94">
        <v>1970</v>
      </c>
      <c r="J1215" s="94">
        <v>1156</v>
      </c>
      <c r="K1215" s="94">
        <v>237</v>
      </c>
      <c r="L1215" s="94">
        <v>1085</v>
      </c>
      <c r="M1215" s="94">
        <v>1649</v>
      </c>
      <c r="N1215" s="94">
        <v>155</v>
      </c>
      <c r="O1215" s="94">
        <v>3115</v>
      </c>
      <c r="P1215" s="94">
        <v>11</v>
      </c>
      <c r="Q1215" s="95">
        <v>2.4778761061946901</v>
      </c>
      <c r="R1215" s="95">
        <v>0.73115860517435305</v>
      </c>
      <c r="S1215" s="95">
        <v>5.4441260744985698</v>
      </c>
      <c r="T1215" s="95">
        <v>2.7649769585253501</v>
      </c>
      <c r="U1215" s="95">
        <v>2.9927760577915401</v>
      </c>
      <c r="V1215" s="95">
        <v>2.1333333333333302</v>
      </c>
      <c r="W1215" s="95">
        <v>2.1582733812949599</v>
      </c>
      <c r="X1215" s="95">
        <v>2.4502840909090899</v>
      </c>
      <c r="Y1215" s="95">
        <v>11.1111111111111</v>
      </c>
      <c r="Z1215" s="94">
        <v>4869</v>
      </c>
      <c r="AA1215" s="94">
        <v>2767</v>
      </c>
      <c r="AB1215" s="94">
        <v>2102</v>
      </c>
      <c r="AC1215" s="94">
        <v>269</v>
      </c>
      <c r="AD1215" s="94">
        <v>1720</v>
      </c>
      <c r="AE1215" s="94">
        <v>2559</v>
      </c>
      <c r="AF1215" s="94">
        <v>321</v>
      </c>
      <c r="AG1215" s="94">
        <v>1740</v>
      </c>
      <c r="AH1215" s="94">
        <v>3087</v>
      </c>
      <c r="AI1215" s="94">
        <v>42</v>
      </c>
      <c r="AJ1215" s="94">
        <v>4814</v>
      </c>
      <c r="AK1215" s="94">
        <v>45</v>
      </c>
      <c r="AL1215" s="94">
        <v>10</v>
      </c>
      <c r="AM1215" s="94">
        <v>221</v>
      </c>
      <c r="AN1215" s="94">
        <v>4592</v>
      </c>
      <c r="AO1215" s="94">
        <v>56</v>
      </c>
      <c r="AP1215" s="95">
        <v>6.5323294951284296</v>
      </c>
      <c r="AQ1215" s="95">
        <v>2.2603273577552598</v>
      </c>
      <c r="AR1215" s="95">
        <v>12.153846153846199</v>
      </c>
      <c r="AS1215" s="95">
        <v>10.629921259842501</v>
      </c>
      <c r="AT1215" s="95">
        <v>7.5507614213198</v>
      </c>
      <c r="AU1215" s="95">
        <v>5.7118857622847496</v>
      </c>
      <c r="AV1215" s="95">
        <v>4.2622950819672099</v>
      </c>
      <c r="AW1215" s="95">
        <v>6.3713592233009697</v>
      </c>
      <c r="AX1215" s="95">
        <v>6.6360748323332102</v>
      </c>
      <c r="AY1215" s="95">
        <v>5.71428571428571</v>
      </c>
      <c r="AZ1215" s="95">
        <v>6.4935064935064899</v>
      </c>
      <c r="BA1215" s="95">
        <v>12.1951219512195</v>
      </c>
      <c r="BB1215" s="95">
        <v>0</v>
      </c>
      <c r="BC1215" s="95">
        <v>5.8823529411764701</v>
      </c>
      <c r="BD1215" s="95">
        <v>6.5727699530516404</v>
      </c>
      <c r="BE1215" s="95">
        <v>5.7692307692307701</v>
      </c>
    </row>
    <row r="1216" spans="2:57" ht="15" customHeight="1" x14ac:dyDescent="0.25">
      <c r="B1216" s="91">
        <v>1206</v>
      </c>
      <c r="C1216" s="92" t="s">
        <v>504</v>
      </c>
      <c r="D1216" s="92" t="s">
        <v>85</v>
      </c>
      <c r="E1216" s="92" t="s">
        <v>514</v>
      </c>
      <c r="F1216" s="92" t="s">
        <v>239</v>
      </c>
      <c r="G1216" s="101" t="s">
        <v>502</v>
      </c>
      <c r="H1216" s="94">
        <v>6176</v>
      </c>
      <c r="I1216" s="94">
        <v>4634</v>
      </c>
      <c r="J1216" s="94">
        <v>1542</v>
      </c>
      <c r="K1216" s="94">
        <v>612</v>
      </c>
      <c r="L1216" s="94">
        <v>2309</v>
      </c>
      <c r="M1216" s="94">
        <v>2837</v>
      </c>
      <c r="N1216" s="94">
        <v>418</v>
      </c>
      <c r="O1216" s="94">
        <v>5365</v>
      </c>
      <c r="P1216" s="94">
        <v>811</v>
      </c>
      <c r="Q1216" s="95">
        <v>0.34092948142831497</v>
      </c>
      <c r="R1216" s="95">
        <v>0</v>
      </c>
      <c r="S1216" s="95">
        <v>1.3778100072516299</v>
      </c>
      <c r="T1216" s="95">
        <v>0.56179775280898903</v>
      </c>
      <c r="U1216" s="95">
        <v>0.38461538461538503</v>
      </c>
      <c r="V1216" s="95">
        <v>0.31055900621117999</v>
      </c>
      <c r="W1216" s="95">
        <v>0</v>
      </c>
      <c r="X1216" s="95">
        <v>0.39337474120082799</v>
      </c>
      <c r="Y1216" s="95">
        <v>0</v>
      </c>
      <c r="Z1216" s="94">
        <v>6704</v>
      </c>
      <c r="AA1216" s="94">
        <v>4689</v>
      </c>
      <c r="AB1216" s="94">
        <v>2015</v>
      </c>
      <c r="AC1216" s="94">
        <v>511</v>
      </c>
      <c r="AD1216" s="94">
        <v>2192</v>
      </c>
      <c r="AE1216" s="94">
        <v>3349</v>
      </c>
      <c r="AF1216" s="94">
        <v>652</v>
      </c>
      <c r="AG1216" s="94">
        <v>1562</v>
      </c>
      <c r="AH1216" s="94">
        <v>5035</v>
      </c>
      <c r="AI1216" s="94">
        <v>107</v>
      </c>
      <c r="AJ1216" s="94">
        <v>6046</v>
      </c>
      <c r="AK1216" s="94">
        <v>647</v>
      </c>
      <c r="AL1216" s="94">
        <v>11</v>
      </c>
      <c r="AM1216" s="94">
        <v>267</v>
      </c>
      <c r="AN1216" s="94">
        <v>6395</v>
      </c>
      <c r="AO1216" s="94">
        <v>42</v>
      </c>
      <c r="AP1216" s="95">
        <v>2.1653543307086598</v>
      </c>
      <c r="AQ1216" s="95">
        <v>0.414651002073255</v>
      </c>
      <c r="AR1216" s="95">
        <v>6.4957264957265002</v>
      </c>
      <c r="AS1216" s="95">
        <v>2.8634361233480199</v>
      </c>
      <c r="AT1216" s="95">
        <v>2.6889903602232401</v>
      </c>
      <c r="AU1216" s="95">
        <v>1.9620667102681499</v>
      </c>
      <c r="AV1216" s="95">
        <v>0.97879282218597097</v>
      </c>
      <c r="AW1216" s="95">
        <v>2.7548209366391201</v>
      </c>
      <c r="AX1216" s="95">
        <v>2.0022002200219999</v>
      </c>
      <c r="AY1216" s="95">
        <v>1.0101010101010099</v>
      </c>
      <c r="AZ1216" s="95">
        <v>2.3247366509262601</v>
      </c>
      <c r="BA1216" s="95">
        <v>0.68846815834767605</v>
      </c>
      <c r="BB1216" s="95">
        <v>0</v>
      </c>
      <c r="BC1216" s="95">
        <v>1.1673151750972799</v>
      </c>
      <c r="BD1216" s="95">
        <v>2.2245214692188302</v>
      </c>
      <c r="BE1216" s="95">
        <v>0</v>
      </c>
    </row>
    <row r="1217" spans="2:57" ht="15" customHeight="1" x14ac:dyDescent="0.25">
      <c r="B1217" s="86">
        <v>1207</v>
      </c>
      <c r="C1217" s="87" t="s">
        <v>503</v>
      </c>
      <c r="D1217" s="103" t="s">
        <v>85</v>
      </c>
      <c r="E1217" s="103" t="s">
        <v>515</v>
      </c>
      <c r="F1217" s="103"/>
      <c r="G1217" s="88" t="s">
        <v>515</v>
      </c>
      <c r="H1217" s="89">
        <v>5606</v>
      </c>
      <c r="I1217" s="89">
        <v>3881</v>
      </c>
      <c r="J1217" s="89">
        <v>1725</v>
      </c>
      <c r="K1217" s="89">
        <v>413</v>
      </c>
      <c r="L1217" s="89">
        <v>1633</v>
      </c>
      <c r="M1217" s="89">
        <v>2999</v>
      </c>
      <c r="N1217" s="89">
        <v>561</v>
      </c>
      <c r="O1217" s="89">
        <v>5420</v>
      </c>
      <c r="P1217" s="89">
        <v>186</v>
      </c>
      <c r="Q1217" s="90">
        <v>1.0448061080972499</v>
      </c>
      <c r="R1217" s="90">
        <v>0.74519919747778696</v>
      </c>
      <c r="S1217" s="90">
        <v>1.7473118279569899</v>
      </c>
      <c r="T1217" s="90">
        <v>0.88757396449704096</v>
      </c>
      <c r="U1217" s="90">
        <v>1.2596221133659899</v>
      </c>
      <c r="V1217" s="90">
        <v>1.0669610007358401</v>
      </c>
      <c r="W1217" s="90">
        <v>0.40650406504065001</v>
      </c>
      <c r="X1217" s="90">
        <v>1.08243130724396</v>
      </c>
      <c r="Y1217" s="90">
        <v>0</v>
      </c>
      <c r="Z1217" s="89">
        <v>6378</v>
      </c>
      <c r="AA1217" s="89">
        <v>3955</v>
      </c>
      <c r="AB1217" s="89">
        <v>2423</v>
      </c>
      <c r="AC1217" s="89">
        <v>307</v>
      </c>
      <c r="AD1217" s="89">
        <v>1694</v>
      </c>
      <c r="AE1217" s="89">
        <v>3576</v>
      </c>
      <c r="AF1217" s="89">
        <v>801</v>
      </c>
      <c r="AG1217" s="89">
        <v>2886</v>
      </c>
      <c r="AH1217" s="89">
        <v>3329</v>
      </c>
      <c r="AI1217" s="89">
        <v>163</v>
      </c>
      <c r="AJ1217" s="89">
        <v>6090</v>
      </c>
      <c r="AK1217" s="89">
        <v>263</v>
      </c>
      <c r="AL1217" s="89">
        <v>25</v>
      </c>
      <c r="AM1217" s="89">
        <v>302</v>
      </c>
      <c r="AN1217" s="89">
        <v>5983</v>
      </c>
      <c r="AO1217" s="89">
        <v>93</v>
      </c>
      <c r="AP1217" s="90">
        <v>2.7031593174522701</v>
      </c>
      <c r="AQ1217" s="90">
        <v>1.26344086021505</v>
      </c>
      <c r="AR1217" s="90">
        <v>5.1386994088221902</v>
      </c>
      <c r="AS1217" s="90">
        <v>4.0955631399317403</v>
      </c>
      <c r="AT1217" s="90">
        <v>2.7272727272727302</v>
      </c>
      <c r="AU1217" s="90">
        <v>2.8485757121439299</v>
      </c>
      <c r="AV1217" s="90">
        <v>1.4647137150466001</v>
      </c>
      <c r="AW1217" s="90">
        <v>1.9490254872563699</v>
      </c>
      <c r="AX1217" s="90">
        <v>3.4083601286173599</v>
      </c>
      <c r="AY1217" s="90">
        <v>1.4184397163120599</v>
      </c>
      <c r="AZ1217" s="90">
        <v>2.6735127478753502</v>
      </c>
      <c r="BA1217" s="90">
        <v>3.6144578313253</v>
      </c>
      <c r="BB1217" s="90">
        <v>0</v>
      </c>
      <c r="BC1217" s="90">
        <v>2.7681660899653999</v>
      </c>
      <c r="BD1217" s="90">
        <v>2.7397260273972601</v>
      </c>
      <c r="BE1217" s="90">
        <v>0</v>
      </c>
    </row>
    <row r="1218" spans="2:57" ht="15" customHeight="1" x14ac:dyDescent="0.25">
      <c r="B1218" s="91">
        <v>1208</v>
      </c>
      <c r="C1218" s="92" t="s">
        <v>503</v>
      </c>
      <c r="D1218" s="92" t="s">
        <v>85</v>
      </c>
      <c r="E1218" s="92" t="s">
        <v>515</v>
      </c>
      <c r="F1218" s="92"/>
      <c r="G1218" s="93" t="s">
        <v>501</v>
      </c>
      <c r="H1218" s="94">
        <v>2533</v>
      </c>
      <c r="I1218" s="94">
        <v>1597</v>
      </c>
      <c r="J1218" s="94">
        <v>936</v>
      </c>
      <c r="K1218" s="94">
        <v>145</v>
      </c>
      <c r="L1218" s="94">
        <v>739</v>
      </c>
      <c r="M1218" s="94">
        <v>1456</v>
      </c>
      <c r="N1218" s="94">
        <v>193</v>
      </c>
      <c r="O1218" s="94">
        <v>2445</v>
      </c>
      <c r="P1218" s="94">
        <v>88</v>
      </c>
      <c r="Q1218" s="95">
        <v>1.7120280948200199</v>
      </c>
      <c r="R1218" s="95">
        <v>1.3013698630137001</v>
      </c>
      <c r="S1218" s="95">
        <v>2.44498777506112</v>
      </c>
      <c r="T1218" s="95">
        <v>1.70940170940171</v>
      </c>
      <c r="U1218" s="95">
        <v>1.98170731707317</v>
      </c>
      <c r="V1218" s="95">
        <v>1.6417910447761199</v>
      </c>
      <c r="W1218" s="95">
        <v>1.2121212121212099</v>
      </c>
      <c r="X1218" s="95">
        <v>1.77272727272727</v>
      </c>
      <c r="Y1218" s="95">
        <v>0</v>
      </c>
      <c r="Z1218" s="94">
        <v>3306</v>
      </c>
      <c r="AA1218" s="94">
        <v>1959</v>
      </c>
      <c r="AB1218" s="94">
        <v>1347</v>
      </c>
      <c r="AC1218" s="94">
        <v>130</v>
      </c>
      <c r="AD1218" s="94">
        <v>841</v>
      </c>
      <c r="AE1218" s="94">
        <v>1929</v>
      </c>
      <c r="AF1218" s="94">
        <v>406</v>
      </c>
      <c r="AG1218" s="94">
        <v>1048</v>
      </c>
      <c r="AH1218" s="94">
        <v>2196</v>
      </c>
      <c r="AI1218" s="94">
        <v>62</v>
      </c>
      <c r="AJ1218" s="94">
        <v>3174</v>
      </c>
      <c r="AK1218" s="94">
        <v>120</v>
      </c>
      <c r="AL1218" s="94">
        <v>12</v>
      </c>
      <c r="AM1218" s="94">
        <v>159</v>
      </c>
      <c r="AN1218" s="94">
        <v>3098</v>
      </c>
      <c r="AO1218" s="94">
        <v>49</v>
      </c>
      <c r="AP1218" s="95">
        <v>4.2331488114620601</v>
      </c>
      <c r="AQ1218" s="95">
        <v>2.1069692058346798</v>
      </c>
      <c r="AR1218" s="95">
        <v>7.4590163934426199</v>
      </c>
      <c r="AS1218" s="95">
        <v>8.8000000000000007</v>
      </c>
      <c r="AT1218" s="95">
        <v>4.6936114732724903</v>
      </c>
      <c r="AU1218" s="95">
        <v>4.12716118237591</v>
      </c>
      <c r="AV1218" s="95">
        <v>2.3316062176165802</v>
      </c>
      <c r="AW1218" s="95">
        <v>3.9877300613496902</v>
      </c>
      <c r="AX1218" s="95">
        <v>4.4585987261146496</v>
      </c>
      <c r="AY1218" s="95">
        <v>0</v>
      </c>
      <c r="AZ1218" s="95">
        <v>4.1779891304347796</v>
      </c>
      <c r="BA1218" s="95">
        <v>5.9829059829059803</v>
      </c>
      <c r="BB1218" s="95">
        <v>0</v>
      </c>
      <c r="BC1218" s="95">
        <v>4.6666666666666696</v>
      </c>
      <c r="BD1218" s="95">
        <v>4.2678695350451097</v>
      </c>
      <c r="BE1218" s="95">
        <v>0</v>
      </c>
    </row>
    <row r="1219" spans="2:57" ht="15" customHeight="1" x14ac:dyDescent="0.25">
      <c r="B1219" s="91">
        <v>1209</v>
      </c>
      <c r="C1219" s="92" t="s">
        <v>503</v>
      </c>
      <c r="D1219" s="92" t="s">
        <v>85</v>
      </c>
      <c r="E1219" s="92" t="s">
        <v>515</v>
      </c>
      <c r="F1219" s="92"/>
      <c r="G1219" s="93" t="s">
        <v>502</v>
      </c>
      <c r="H1219" s="94">
        <v>3073</v>
      </c>
      <c r="I1219" s="94">
        <v>2284</v>
      </c>
      <c r="J1219" s="94">
        <v>789</v>
      </c>
      <c r="K1219" s="94">
        <v>268</v>
      </c>
      <c r="L1219" s="94">
        <v>894</v>
      </c>
      <c r="M1219" s="94">
        <v>1543</v>
      </c>
      <c r="N1219" s="94">
        <v>368</v>
      </c>
      <c r="O1219" s="94">
        <v>2975</v>
      </c>
      <c r="P1219" s="94">
        <v>98</v>
      </c>
      <c r="Q1219" s="95">
        <v>0.481659874027418</v>
      </c>
      <c r="R1219" s="95">
        <v>0.34499753573188802</v>
      </c>
      <c r="S1219" s="95">
        <v>0.89552238805970197</v>
      </c>
      <c r="T1219" s="95">
        <v>0.45248868778280499</v>
      </c>
      <c r="U1219" s="95">
        <v>0.646830530401035</v>
      </c>
      <c r="V1219" s="95">
        <v>0.50798258345428204</v>
      </c>
      <c r="W1219" s="95">
        <v>0</v>
      </c>
      <c r="X1219" s="95">
        <v>0.499231950844854</v>
      </c>
      <c r="Y1219" s="95">
        <v>0</v>
      </c>
      <c r="Z1219" s="94">
        <v>3072</v>
      </c>
      <c r="AA1219" s="94">
        <v>1996</v>
      </c>
      <c r="AB1219" s="94">
        <v>1076</v>
      </c>
      <c r="AC1219" s="94">
        <v>177</v>
      </c>
      <c r="AD1219" s="94">
        <v>853</v>
      </c>
      <c r="AE1219" s="94">
        <v>1647</v>
      </c>
      <c r="AF1219" s="94">
        <v>395</v>
      </c>
      <c r="AG1219" s="94">
        <v>1838</v>
      </c>
      <c r="AH1219" s="94">
        <v>1133</v>
      </c>
      <c r="AI1219" s="94">
        <v>101</v>
      </c>
      <c r="AJ1219" s="94">
        <v>2916</v>
      </c>
      <c r="AK1219" s="94">
        <v>143</v>
      </c>
      <c r="AL1219" s="94">
        <v>13</v>
      </c>
      <c r="AM1219" s="94">
        <v>143</v>
      </c>
      <c r="AN1219" s="94">
        <v>2885</v>
      </c>
      <c r="AO1219" s="94">
        <v>44</v>
      </c>
      <c r="AP1219" s="95">
        <v>1.05337078651685</v>
      </c>
      <c r="AQ1219" s="95">
        <v>0.42803638309256298</v>
      </c>
      <c r="AR1219" s="95">
        <v>2.2471910112359601</v>
      </c>
      <c r="AS1219" s="95">
        <v>0.59523809523809501</v>
      </c>
      <c r="AT1219" s="95">
        <v>0.77619663648124204</v>
      </c>
      <c r="AU1219" s="95">
        <v>1.3618677042801599</v>
      </c>
      <c r="AV1219" s="95">
        <v>0.54794520547945202</v>
      </c>
      <c r="AW1219" s="95">
        <v>0.76923076923076905</v>
      </c>
      <c r="AX1219" s="95">
        <v>1.4031805425631401</v>
      </c>
      <c r="AY1219" s="95">
        <v>2.2471910112359601</v>
      </c>
      <c r="AZ1219" s="95">
        <v>1.0355029585798801</v>
      </c>
      <c r="BA1219" s="95">
        <v>1.51515151515152</v>
      </c>
      <c r="BB1219" s="95">
        <v>0</v>
      </c>
      <c r="BC1219" s="95">
        <v>0.71942446043165498</v>
      </c>
      <c r="BD1219" s="95">
        <v>1.08777194298575</v>
      </c>
      <c r="BE1219" s="95">
        <v>0</v>
      </c>
    </row>
    <row r="1220" spans="2:57" ht="15" customHeight="1" x14ac:dyDescent="0.25">
      <c r="B1220" s="96">
        <v>1210</v>
      </c>
      <c r="C1220" s="97" t="s">
        <v>504</v>
      </c>
      <c r="D1220" s="104" t="s">
        <v>85</v>
      </c>
      <c r="E1220" s="104" t="s">
        <v>515</v>
      </c>
      <c r="F1220" s="104" t="s">
        <v>212</v>
      </c>
      <c r="G1220" s="105" t="s">
        <v>212</v>
      </c>
      <c r="H1220" s="106">
        <v>5606</v>
      </c>
      <c r="I1220" s="106">
        <v>3881</v>
      </c>
      <c r="J1220" s="106">
        <v>1725</v>
      </c>
      <c r="K1220" s="106">
        <v>413</v>
      </c>
      <c r="L1220" s="106">
        <v>1633</v>
      </c>
      <c r="M1220" s="106">
        <v>2999</v>
      </c>
      <c r="N1220" s="106">
        <v>561</v>
      </c>
      <c r="O1220" s="106">
        <v>5420</v>
      </c>
      <c r="P1220" s="106">
        <v>186</v>
      </c>
      <c r="Q1220" s="107">
        <v>1.0448061080972499</v>
      </c>
      <c r="R1220" s="107">
        <v>0.74519919747778696</v>
      </c>
      <c r="S1220" s="107">
        <v>1.7473118279569899</v>
      </c>
      <c r="T1220" s="107">
        <v>0.88757396449704096</v>
      </c>
      <c r="U1220" s="107">
        <v>1.2596221133659899</v>
      </c>
      <c r="V1220" s="107">
        <v>1.0669610007358401</v>
      </c>
      <c r="W1220" s="107">
        <v>0.40650406504065001</v>
      </c>
      <c r="X1220" s="107">
        <v>1.08243130724396</v>
      </c>
      <c r="Y1220" s="107">
        <v>0</v>
      </c>
      <c r="Z1220" s="106">
        <v>6378</v>
      </c>
      <c r="AA1220" s="106">
        <v>3955</v>
      </c>
      <c r="AB1220" s="106">
        <v>2423</v>
      </c>
      <c r="AC1220" s="106">
        <v>307</v>
      </c>
      <c r="AD1220" s="106">
        <v>1694</v>
      </c>
      <c r="AE1220" s="106">
        <v>3576</v>
      </c>
      <c r="AF1220" s="106">
        <v>801</v>
      </c>
      <c r="AG1220" s="106">
        <v>2886</v>
      </c>
      <c r="AH1220" s="106">
        <v>3329</v>
      </c>
      <c r="AI1220" s="106">
        <v>163</v>
      </c>
      <c r="AJ1220" s="106">
        <v>6090</v>
      </c>
      <c r="AK1220" s="106">
        <v>263</v>
      </c>
      <c r="AL1220" s="106">
        <v>25</v>
      </c>
      <c r="AM1220" s="106">
        <v>302</v>
      </c>
      <c r="AN1220" s="106">
        <v>5983</v>
      </c>
      <c r="AO1220" s="106">
        <v>93</v>
      </c>
      <c r="AP1220" s="107">
        <v>2.7031593174522701</v>
      </c>
      <c r="AQ1220" s="107">
        <v>1.26344086021505</v>
      </c>
      <c r="AR1220" s="107">
        <v>5.1386994088221902</v>
      </c>
      <c r="AS1220" s="107">
        <v>4.0955631399317403</v>
      </c>
      <c r="AT1220" s="107">
        <v>2.7272727272727302</v>
      </c>
      <c r="AU1220" s="107">
        <v>2.8485757121439299</v>
      </c>
      <c r="AV1220" s="107">
        <v>1.4647137150466001</v>
      </c>
      <c r="AW1220" s="107">
        <v>1.9490254872563699</v>
      </c>
      <c r="AX1220" s="107">
        <v>3.4083601286173599</v>
      </c>
      <c r="AY1220" s="107">
        <v>1.4184397163120599</v>
      </c>
      <c r="AZ1220" s="107">
        <v>2.6735127478753502</v>
      </c>
      <c r="BA1220" s="107">
        <v>3.6144578313253</v>
      </c>
      <c r="BB1220" s="107">
        <v>0</v>
      </c>
      <c r="BC1220" s="107">
        <v>2.7681660899653999</v>
      </c>
      <c r="BD1220" s="107">
        <v>2.7397260273972601</v>
      </c>
      <c r="BE1220" s="107">
        <v>0</v>
      </c>
    </row>
    <row r="1221" spans="2:57" ht="15" customHeight="1" x14ac:dyDescent="0.25">
      <c r="B1221" s="91">
        <v>1211</v>
      </c>
      <c r="C1221" s="92" t="s">
        <v>504</v>
      </c>
      <c r="D1221" s="92" t="s">
        <v>85</v>
      </c>
      <c r="E1221" s="92" t="s">
        <v>515</v>
      </c>
      <c r="F1221" s="92" t="s">
        <v>212</v>
      </c>
      <c r="G1221" s="101" t="s">
        <v>501</v>
      </c>
      <c r="H1221" s="94">
        <v>2533</v>
      </c>
      <c r="I1221" s="94">
        <v>1597</v>
      </c>
      <c r="J1221" s="94">
        <v>936</v>
      </c>
      <c r="K1221" s="94">
        <v>145</v>
      </c>
      <c r="L1221" s="94">
        <v>739</v>
      </c>
      <c r="M1221" s="94">
        <v>1456</v>
      </c>
      <c r="N1221" s="94">
        <v>193</v>
      </c>
      <c r="O1221" s="94">
        <v>2445</v>
      </c>
      <c r="P1221" s="94">
        <v>88</v>
      </c>
      <c r="Q1221" s="95">
        <v>1.7120280948200199</v>
      </c>
      <c r="R1221" s="95">
        <v>1.3013698630137001</v>
      </c>
      <c r="S1221" s="95">
        <v>2.44498777506112</v>
      </c>
      <c r="T1221" s="95">
        <v>1.70940170940171</v>
      </c>
      <c r="U1221" s="95">
        <v>1.98170731707317</v>
      </c>
      <c r="V1221" s="95">
        <v>1.6417910447761199</v>
      </c>
      <c r="W1221" s="95">
        <v>1.2121212121212099</v>
      </c>
      <c r="X1221" s="95">
        <v>1.77272727272727</v>
      </c>
      <c r="Y1221" s="95">
        <v>0</v>
      </c>
      <c r="Z1221" s="94">
        <v>3306</v>
      </c>
      <c r="AA1221" s="94">
        <v>1959</v>
      </c>
      <c r="AB1221" s="94">
        <v>1347</v>
      </c>
      <c r="AC1221" s="94">
        <v>130</v>
      </c>
      <c r="AD1221" s="94">
        <v>841</v>
      </c>
      <c r="AE1221" s="94">
        <v>1929</v>
      </c>
      <c r="AF1221" s="94">
        <v>406</v>
      </c>
      <c r="AG1221" s="94">
        <v>1048</v>
      </c>
      <c r="AH1221" s="94">
        <v>2196</v>
      </c>
      <c r="AI1221" s="94">
        <v>62</v>
      </c>
      <c r="AJ1221" s="94">
        <v>3174</v>
      </c>
      <c r="AK1221" s="94">
        <v>120</v>
      </c>
      <c r="AL1221" s="94">
        <v>12</v>
      </c>
      <c r="AM1221" s="94">
        <v>159</v>
      </c>
      <c r="AN1221" s="94">
        <v>3098</v>
      </c>
      <c r="AO1221" s="94">
        <v>49</v>
      </c>
      <c r="AP1221" s="95">
        <v>4.2331488114620601</v>
      </c>
      <c r="AQ1221" s="95">
        <v>2.1069692058346798</v>
      </c>
      <c r="AR1221" s="95">
        <v>7.4590163934426199</v>
      </c>
      <c r="AS1221" s="95">
        <v>8.8000000000000007</v>
      </c>
      <c r="AT1221" s="95">
        <v>4.6936114732724903</v>
      </c>
      <c r="AU1221" s="95">
        <v>4.12716118237591</v>
      </c>
      <c r="AV1221" s="95">
        <v>2.3316062176165802</v>
      </c>
      <c r="AW1221" s="95">
        <v>3.9877300613496902</v>
      </c>
      <c r="AX1221" s="95">
        <v>4.4585987261146496</v>
      </c>
      <c r="AY1221" s="95">
        <v>0</v>
      </c>
      <c r="AZ1221" s="95">
        <v>4.1779891304347796</v>
      </c>
      <c r="BA1221" s="95">
        <v>5.9829059829059803</v>
      </c>
      <c r="BB1221" s="95">
        <v>0</v>
      </c>
      <c r="BC1221" s="95">
        <v>4.6666666666666696</v>
      </c>
      <c r="BD1221" s="95">
        <v>4.2678695350451097</v>
      </c>
      <c r="BE1221" s="95">
        <v>0</v>
      </c>
    </row>
    <row r="1222" spans="2:57" ht="15" customHeight="1" x14ac:dyDescent="0.25">
      <c r="B1222" s="91">
        <v>1212</v>
      </c>
      <c r="C1222" s="92" t="s">
        <v>504</v>
      </c>
      <c r="D1222" s="92" t="s">
        <v>85</v>
      </c>
      <c r="E1222" s="92" t="s">
        <v>515</v>
      </c>
      <c r="F1222" s="92" t="s">
        <v>212</v>
      </c>
      <c r="G1222" s="101" t="s">
        <v>502</v>
      </c>
      <c r="H1222" s="94">
        <v>3073</v>
      </c>
      <c r="I1222" s="94">
        <v>2284</v>
      </c>
      <c r="J1222" s="94">
        <v>789</v>
      </c>
      <c r="K1222" s="94">
        <v>268</v>
      </c>
      <c r="L1222" s="94">
        <v>894</v>
      </c>
      <c r="M1222" s="94">
        <v>1543</v>
      </c>
      <c r="N1222" s="94">
        <v>368</v>
      </c>
      <c r="O1222" s="94">
        <v>2975</v>
      </c>
      <c r="P1222" s="94">
        <v>98</v>
      </c>
      <c r="Q1222" s="95">
        <v>0.481659874027418</v>
      </c>
      <c r="R1222" s="95">
        <v>0.34499753573188802</v>
      </c>
      <c r="S1222" s="95">
        <v>0.89552238805970197</v>
      </c>
      <c r="T1222" s="95">
        <v>0.45248868778280499</v>
      </c>
      <c r="U1222" s="95">
        <v>0.646830530401035</v>
      </c>
      <c r="V1222" s="95">
        <v>0.50798258345428204</v>
      </c>
      <c r="W1222" s="95">
        <v>0</v>
      </c>
      <c r="X1222" s="95">
        <v>0.499231950844854</v>
      </c>
      <c r="Y1222" s="95">
        <v>0</v>
      </c>
      <c r="Z1222" s="94">
        <v>3072</v>
      </c>
      <c r="AA1222" s="94">
        <v>1996</v>
      </c>
      <c r="AB1222" s="94">
        <v>1076</v>
      </c>
      <c r="AC1222" s="94">
        <v>177</v>
      </c>
      <c r="AD1222" s="94">
        <v>853</v>
      </c>
      <c r="AE1222" s="94">
        <v>1647</v>
      </c>
      <c r="AF1222" s="94">
        <v>395</v>
      </c>
      <c r="AG1222" s="94">
        <v>1838</v>
      </c>
      <c r="AH1222" s="94">
        <v>1133</v>
      </c>
      <c r="AI1222" s="94">
        <v>101</v>
      </c>
      <c r="AJ1222" s="94">
        <v>2916</v>
      </c>
      <c r="AK1222" s="94">
        <v>143</v>
      </c>
      <c r="AL1222" s="94">
        <v>13</v>
      </c>
      <c r="AM1222" s="94">
        <v>143</v>
      </c>
      <c r="AN1222" s="94">
        <v>2885</v>
      </c>
      <c r="AO1222" s="94">
        <v>44</v>
      </c>
      <c r="AP1222" s="95">
        <v>1.05337078651685</v>
      </c>
      <c r="AQ1222" s="95">
        <v>0.42803638309256298</v>
      </c>
      <c r="AR1222" s="95">
        <v>2.2471910112359601</v>
      </c>
      <c r="AS1222" s="95">
        <v>0.59523809523809501</v>
      </c>
      <c r="AT1222" s="95">
        <v>0.77619663648124204</v>
      </c>
      <c r="AU1222" s="95">
        <v>1.3618677042801599</v>
      </c>
      <c r="AV1222" s="95">
        <v>0.54794520547945202</v>
      </c>
      <c r="AW1222" s="95">
        <v>0.76923076923076905</v>
      </c>
      <c r="AX1222" s="95">
        <v>1.4031805425631401</v>
      </c>
      <c r="AY1222" s="95">
        <v>2.2471910112359601</v>
      </c>
      <c r="AZ1222" s="95">
        <v>1.0355029585798801</v>
      </c>
      <c r="BA1222" s="95">
        <v>1.51515151515152</v>
      </c>
      <c r="BB1222" s="95">
        <v>0</v>
      </c>
      <c r="BC1222" s="95">
        <v>0.71942446043165498</v>
      </c>
      <c r="BD1222" s="95">
        <v>1.08777194298575</v>
      </c>
      <c r="BE1222" s="95">
        <v>0</v>
      </c>
    </row>
    <row r="1223" spans="2:57" ht="15" customHeight="1" x14ac:dyDescent="0.25">
      <c r="B1223" s="86">
        <v>1213</v>
      </c>
      <c r="C1223" s="87" t="s">
        <v>503</v>
      </c>
      <c r="D1223" s="103" t="s">
        <v>85</v>
      </c>
      <c r="E1223" s="103" t="s">
        <v>422</v>
      </c>
      <c r="F1223" s="103"/>
      <c r="G1223" s="88" t="s">
        <v>422</v>
      </c>
      <c r="H1223" s="89">
        <v>10889</v>
      </c>
      <c r="I1223" s="89">
        <v>6654</v>
      </c>
      <c r="J1223" s="89">
        <v>4235</v>
      </c>
      <c r="K1223" s="89">
        <v>1006</v>
      </c>
      <c r="L1223" s="89">
        <v>3094</v>
      </c>
      <c r="M1223" s="89">
        <v>5610</v>
      </c>
      <c r="N1223" s="89">
        <v>1179</v>
      </c>
      <c r="O1223" s="89">
        <v>10861</v>
      </c>
      <c r="P1223" s="89">
        <v>28</v>
      </c>
      <c r="Q1223" s="90">
        <v>0.71971211515393796</v>
      </c>
      <c r="R1223" s="90">
        <v>0.32372936225315602</v>
      </c>
      <c r="S1223" s="90">
        <v>1.35912179822269</v>
      </c>
      <c r="T1223" s="90">
        <v>1.35135135135135</v>
      </c>
      <c r="U1223" s="90">
        <v>0.78683834048640899</v>
      </c>
      <c r="V1223" s="90">
        <v>0.59341500765696797</v>
      </c>
      <c r="W1223" s="90">
        <v>0.63868613138686103</v>
      </c>
      <c r="X1223" s="90">
        <v>0.71142284569138303</v>
      </c>
      <c r="Y1223" s="90">
        <v>4.1666666666666696</v>
      </c>
      <c r="Z1223" s="89">
        <v>12657</v>
      </c>
      <c r="AA1223" s="89">
        <v>7152</v>
      </c>
      <c r="AB1223" s="89">
        <v>5505</v>
      </c>
      <c r="AC1223" s="89">
        <v>785</v>
      </c>
      <c r="AD1223" s="89">
        <v>3253</v>
      </c>
      <c r="AE1223" s="89">
        <v>6940</v>
      </c>
      <c r="AF1223" s="89">
        <v>1679</v>
      </c>
      <c r="AG1223" s="89">
        <v>3698</v>
      </c>
      <c r="AH1223" s="89">
        <v>8682</v>
      </c>
      <c r="AI1223" s="89">
        <v>277</v>
      </c>
      <c r="AJ1223" s="89">
        <v>12585</v>
      </c>
      <c r="AK1223" s="89">
        <v>35</v>
      </c>
      <c r="AL1223" s="89">
        <v>37</v>
      </c>
      <c r="AM1223" s="89">
        <v>649</v>
      </c>
      <c r="AN1223" s="89">
        <v>11892</v>
      </c>
      <c r="AO1223" s="89">
        <v>116</v>
      </c>
      <c r="AP1223" s="90">
        <v>2.6143248402357</v>
      </c>
      <c r="AQ1223" s="90">
        <v>0.937004468790543</v>
      </c>
      <c r="AR1223" s="90">
        <v>4.8904538341158101</v>
      </c>
      <c r="AS1223" s="90">
        <v>3.4626038781163402</v>
      </c>
      <c r="AT1223" s="90">
        <v>3.2467532467532498</v>
      </c>
      <c r="AU1223" s="90">
        <v>2.3971053821800101</v>
      </c>
      <c r="AV1223" s="90">
        <v>1.92069392812887</v>
      </c>
      <c r="AW1223" s="90">
        <v>1.7917133258678599</v>
      </c>
      <c r="AX1223" s="90">
        <v>2.9204185933317102</v>
      </c>
      <c r="AY1223" s="90">
        <v>4.2471042471042502</v>
      </c>
      <c r="AZ1223" s="90">
        <v>2.6045579764587998</v>
      </c>
      <c r="BA1223" s="90">
        <v>3.0303030303030298</v>
      </c>
      <c r="BB1223" s="90">
        <v>5.4054054054054097</v>
      </c>
      <c r="BC1223" s="90">
        <v>1.76</v>
      </c>
      <c r="BD1223" s="90">
        <v>2.6780979317659499</v>
      </c>
      <c r="BE1223" s="90">
        <v>0.90909090909090895</v>
      </c>
    </row>
    <row r="1224" spans="2:57" ht="15" customHeight="1" x14ac:dyDescent="0.25">
      <c r="B1224" s="91">
        <v>1214</v>
      </c>
      <c r="C1224" s="92" t="s">
        <v>503</v>
      </c>
      <c r="D1224" s="92" t="s">
        <v>85</v>
      </c>
      <c r="E1224" s="92" t="s">
        <v>422</v>
      </c>
      <c r="F1224" s="92"/>
      <c r="G1224" s="93" t="s">
        <v>501</v>
      </c>
      <c r="H1224" s="94">
        <v>4167</v>
      </c>
      <c r="I1224" s="94">
        <v>2412</v>
      </c>
      <c r="J1224" s="94">
        <v>1755</v>
      </c>
      <c r="K1224" s="94">
        <v>386</v>
      </c>
      <c r="L1224" s="94">
        <v>1279</v>
      </c>
      <c r="M1224" s="94">
        <v>2097</v>
      </c>
      <c r="N1224" s="94">
        <v>405</v>
      </c>
      <c r="O1224" s="94">
        <v>4146</v>
      </c>
      <c r="P1224" s="94">
        <v>21</v>
      </c>
      <c r="Q1224" s="95">
        <v>1.4678409394181999</v>
      </c>
      <c r="R1224" s="95">
        <v>0.63781321184510298</v>
      </c>
      <c r="S1224" s="95">
        <v>2.6417525773195898</v>
      </c>
      <c r="T1224" s="95">
        <v>2.39520958083832</v>
      </c>
      <c r="U1224" s="95">
        <v>1.6994633273702999</v>
      </c>
      <c r="V1224" s="95">
        <v>1.1422637590861899</v>
      </c>
      <c r="W1224" s="95">
        <v>1.6260162601626</v>
      </c>
      <c r="X1224" s="95">
        <v>1.44849785407725</v>
      </c>
      <c r="Y1224" s="95">
        <v>5.2631578947368398</v>
      </c>
      <c r="Z1224" s="94">
        <v>5162</v>
      </c>
      <c r="AA1224" s="94">
        <v>2837</v>
      </c>
      <c r="AB1224" s="94">
        <v>2325</v>
      </c>
      <c r="AC1224" s="94">
        <v>334</v>
      </c>
      <c r="AD1224" s="94">
        <v>1403</v>
      </c>
      <c r="AE1224" s="94">
        <v>2852</v>
      </c>
      <c r="AF1224" s="94">
        <v>573</v>
      </c>
      <c r="AG1224" s="94">
        <v>1231</v>
      </c>
      <c r="AH1224" s="94">
        <v>3844</v>
      </c>
      <c r="AI1224" s="94">
        <v>87</v>
      </c>
      <c r="AJ1224" s="94">
        <v>5131</v>
      </c>
      <c r="AK1224" s="94">
        <v>20</v>
      </c>
      <c r="AL1224" s="94">
        <v>11</v>
      </c>
      <c r="AM1224" s="94">
        <v>231</v>
      </c>
      <c r="AN1224" s="94">
        <v>4877</v>
      </c>
      <c r="AO1224" s="94">
        <v>54</v>
      </c>
      <c r="AP1224" s="95">
        <v>3.9689034369885401</v>
      </c>
      <c r="AQ1224" s="95">
        <v>1.67883211678832</v>
      </c>
      <c r="AR1224" s="95">
        <v>6.8901303538174998</v>
      </c>
      <c r="AS1224" s="95">
        <v>5.5555555555555598</v>
      </c>
      <c r="AT1224" s="95">
        <v>4.4798785117691704</v>
      </c>
      <c r="AU1224" s="95">
        <v>3.7200736648250499</v>
      </c>
      <c r="AV1224" s="95">
        <v>3.0909090909090899</v>
      </c>
      <c r="AW1224" s="95">
        <v>2.8813559322033901</v>
      </c>
      <c r="AX1224" s="95">
        <v>4.2746828461114204</v>
      </c>
      <c r="AY1224" s="95">
        <v>6.0975609756097597</v>
      </c>
      <c r="AZ1224" s="95">
        <v>3.9736462837142299</v>
      </c>
      <c r="BA1224" s="95">
        <v>0</v>
      </c>
      <c r="BB1224" s="95">
        <v>9.0909090909090899</v>
      </c>
      <c r="BC1224" s="95">
        <v>3.6697247706421998</v>
      </c>
      <c r="BD1224" s="95">
        <v>4.0251027916035502</v>
      </c>
      <c r="BE1224" s="95">
        <v>0</v>
      </c>
    </row>
    <row r="1225" spans="2:57" ht="15" customHeight="1" x14ac:dyDescent="0.25">
      <c r="B1225" s="91">
        <v>1215</v>
      </c>
      <c r="C1225" s="92" t="s">
        <v>503</v>
      </c>
      <c r="D1225" s="92" t="s">
        <v>85</v>
      </c>
      <c r="E1225" s="92" t="s">
        <v>422</v>
      </c>
      <c r="F1225" s="92"/>
      <c r="G1225" s="93" t="s">
        <v>502</v>
      </c>
      <c r="H1225" s="94">
        <v>6722</v>
      </c>
      <c r="I1225" s="94">
        <v>4242</v>
      </c>
      <c r="J1225" s="94">
        <v>2480</v>
      </c>
      <c r="K1225" s="94">
        <v>620</v>
      </c>
      <c r="L1225" s="94">
        <v>1815</v>
      </c>
      <c r="M1225" s="94">
        <v>3513</v>
      </c>
      <c r="N1225" s="94">
        <v>774</v>
      </c>
      <c r="O1225" s="94">
        <v>6715</v>
      </c>
      <c r="P1225" s="94">
        <v>7</v>
      </c>
      <c r="Q1225" s="95">
        <v>0.27169570081508698</v>
      </c>
      <c r="R1225" s="95">
        <v>0.15064022093899099</v>
      </c>
      <c r="S1225" s="95">
        <v>0.48372911169744898</v>
      </c>
      <c r="T1225" s="95">
        <v>0.72202166064981999</v>
      </c>
      <c r="U1225" s="95">
        <v>0.178784266984505</v>
      </c>
      <c r="V1225" s="95">
        <v>0.27289266221952702</v>
      </c>
      <c r="W1225" s="95">
        <v>0.137551581843191</v>
      </c>
      <c r="X1225" s="95">
        <v>0.27191298784389001</v>
      </c>
      <c r="Y1225" s="95">
        <v>0</v>
      </c>
      <c r="Z1225" s="94">
        <v>7495</v>
      </c>
      <c r="AA1225" s="94">
        <v>4315</v>
      </c>
      <c r="AB1225" s="94">
        <v>3180</v>
      </c>
      <c r="AC1225" s="94">
        <v>451</v>
      </c>
      <c r="AD1225" s="94">
        <v>1850</v>
      </c>
      <c r="AE1225" s="94">
        <v>4088</v>
      </c>
      <c r="AF1225" s="94">
        <v>1106</v>
      </c>
      <c r="AG1225" s="94">
        <v>2467</v>
      </c>
      <c r="AH1225" s="94">
        <v>4838</v>
      </c>
      <c r="AI1225" s="94">
        <v>190</v>
      </c>
      <c r="AJ1225" s="94">
        <v>7454</v>
      </c>
      <c r="AK1225" s="94">
        <v>15</v>
      </c>
      <c r="AL1225" s="94">
        <v>26</v>
      </c>
      <c r="AM1225" s="94">
        <v>418</v>
      </c>
      <c r="AN1225" s="94">
        <v>7015</v>
      </c>
      <c r="AO1225" s="94">
        <v>62</v>
      </c>
      <c r="AP1225" s="95">
        <v>1.68970814132104</v>
      </c>
      <c r="AQ1225" s="95">
        <v>0.45270431260424099</v>
      </c>
      <c r="AR1225" s="95">
        <v>3.4412955465586998</v>
      </c>
      <c r="AS1225" s="95">
        <v>1.92307692307692</v>
      </c>
      <c r="AT1225" s="95">
        <v>2.32558139534884</v>
      </c>
      <c r="AU1225" s="95">
        <v>1.48034711587545</v>
      </c>
      <c r="AV1225" s="95">
        <v>1.31578947368421</v>
      </c>
      <c r="AW1225" s="95">
        <v>1.2541806020066899</v>
      </c>
      <c r="AX1225" s="95">
        <v>1.8510452961672501</v>
      </c>
      <c r="AY1225" s="95">
        <v>3.3898305084745801</v>
      </c>
      <c r="AZ1225" s="95">
        <v>1.67087896658242</v>
      </c>
      <c r="BA1225" s="95">
        <v>7.6923076923076898</v>
      </c>
      <c r="BB1225" s="95">
        <v>3.8461538461538498</v>
      </c>
      <c r="BC1225" s="95">
        <v>0.73710073710073698</v>
      </c>
      <c r="BD1225" s="95">
        <v>1.7480950246526199</v>
      </c>
      <c r="BE1225" s="95">
        <v>1.63934426229508</v>
      </c>
    </row>
    <row r="1226" spans="2:57" ht="15" customHeight="1" x14ac:dyDescent="0.25">
      <c r="B1226" s="96">
        <v>1216</v>
      </c>
      <c r="C1226" s="97" t="s">
        <v>504</v>
      </c>
      <c r="D1226" s="104" t="s">
        <v>85</v>
      </c>
      <c r="E1226" s="104" t="s">
        <v>422</v>
      </c>
      <c r="F1226" s="104" t="s">
        <v>209</v>
      </c>
      <c r="G1226" s="105" t="s">
        <v>209</v>
      </c>
      <c r="H1226" s="106">
        <v>7530</v>
      </c>
      <c r="I1226" s="106">
        <v>4501</v>
      </c>
      <c r="J1226" s="106">
        <v>3029</v>
      </c>
      <c r="K1226" s="106">
        <v>704</v>
      </c>
      <c r="L1226" s="106">
        <v>2082</v>
      </c>
      <c r="M1226" s="106">
        <v>3914</v>
      </c>
      <c r="N1226" s="106">
        <v>830</v>
      </c>
      <c r="O1226" s="106">
        <v>7520</v>
      </c>
      <c r="P1226" s="106">
        <v>10</v>
      </c>
      <c r="Q1226" s="107">
        <v>0.76846449409420803</v>
      </c>
      <c r="R1226" s="107">
        <v>0.28436018957345999</v>
      </c>
      <c r="S1226" s="107">
        <v>1.4962593516209499</v>
      </c>
      <c r="T1226" s="107">
        <v>1.40405616224649</v>
      </c>
      <c r="U1226" s="107">
        <v>0.83333333333333304</v>
      </c>
      <c r="V1226" s="107">
        <v>0.65111231687466098</v>
      </c>
      <c r="W1226" s="107">
        <v>0.64102564102564097</v>
      </c>
      <c r="X1226" s="107">
        <v>0.76944998575092605</v>
      </c>
      <c r="Y1226" s="107">
        <v>0</v>
      </c>
      <c r="Z1226" s="106">
        <v>9409</v>
      </c>
      <c r="AA1226" s="106">
        <v>5266</v>
      </c>
      <c r="AB1226" s="106">
        <v>4143</v>
      </c>
      <c r="AC1226" s="106">
        <v>586</v>
      </c>
      <c r="AD1226" s="106">
        <v>2412</v>
      </c>
      <c r="AE1226" s="106">
        <v>5135</v>
      </c>
      <c r="AF1226" s="106">
        <v>1276</v>
      </c>
      <c r="AG1226" s="106">
        <v>2898</v>
      </c>
      <c r="AH1226" s="106">
        <v>6307</v>
      </c>
      <c r="AI1226" s="106">
        <v>204</v>
      </c>
      <c r="AJ1226" s="106">
        <v>9347</v>
      </c>
      <c r="AK1226" s="106">
        <v>31</v>
      </c>
      <c r="AL1226" s="106">
        <v>31</v>
      </c>
      <c r="AM1226" s="106">
        <v>495</v>
      </c>
      <c r="AN1226" s="106">
        <v>8837</v>
      </c>
      <c r="AO1226" s="106">
        <v>77</v>
      </c>
      <c r="AP1226" s="107">
        <v>2.4016979445933901</v>
      </c>
      <c r="AQ1226" s="107">
        <v>0.86325289385913295</v>
      </c>
      <c r="AR1226" s="107">
        <v>4.43579766536965</v>
      </c>
      <c r="AS1226" s="107">
        <v>3.3088235294117601</v>
      </c>
      <c r="AT1226" s="107">
        <v>2.9010989010989001</v>
      </c>
      <c r="AU1226" s="107">
        <v>2.1986970684039102</v>
      </c>
      <c r="AV1226" s="107">
        <v>1.88370188370188</v>
      </c>
      <c r="AW1226" s="107">
        <v>1.5368120085775601</v>
      </c>
      <c r="AX1226" s="107">
        <v>2.7829002514668901</v>
      </c>
      <c r="AY1226" s="107">
        <v>3.17460317460317</v>
      </c>
      <c r="AZ1226" s="107">
        <v>2.39541160593792</v>
      </c>
      <c r="BA1226" s="107">
        <v>0</v>
      </c>
      <c r="BB1226" s="107">
        <v>6.4516129032258096</v>
      </c>
      <c r="BC1226" s="107">
        <v>2.1008403361344499</v>
      </c>
      <c r="BD1226" s="107">
        <v>2.4279933349202598</v>
      </c>
      <c r="BE1226" s="107">
        <v>1.35135135135135</v>
      </c>
    </row>
    <row r="1227" spans="2:57" ht="15" customHeight="1" x14ac:dyDescent="0.25">
      <c r="B1227" s="91">
        <v>1217</v>
      </c>
      <c r="C1227" s="92" t="s">
        <v>504</v>
      </c>
      <c r="D1227" s="92" t="s">
        <v>85</v>
      </c>
      <c r="E1227" s="92" t="s">
        <v>422</v>
      </c>
      <c r="F1227" s="92" t="s">
        <v>209</v>
      </c>
      <c r="G1227" s="101" t="s">
        <v>501</v>
      </c>
      <c r="H1227" s="94">
        <v>2390</v>
      </c>
      <c r="I1227" s="94">
        <v>1279</v>
      </c>
      <c r="J1227" s="94">
        <v>1111</v>
      </c>
      <c r="K1227" s="94">
        <v>231</v>
      </c>
      <c r="L1227" s="94">
        <v>701</v>
      </c>
      <c r="M1227" s="94">
        <v>1220</v>
      </c>
      <c r="N1227" s="94">
        <v>238</v>
      </c>
      <c r="O1227" s="94">
        <v>2383</v>
      </c>
      <c r="P1227" s="94">
        <v>7</v>
      </c>
      <c r="Q1227" s="95">
        <v>2.0994979461433099</v>
      </c>
      <c r="R1227" s="95">
        <v>0.851788756388416</v>
      </c>
      <c r="S1227" s="95">
        <v>3.5398230088495599</v>
      </c>
      <c r="T1227" s="95">
        <v>3.3018867924528301</v>
      </c>
      <c r="U1227" s="95">
        <v>2.5356576862123599</v>
      </c>
      <c r="V1227" s="95">
        <v>1.6829052258635999</v>
      </c>
      <c r="W1227" s="95">
        <v>1.8264840182648401</v>
      </c>
      <c r="X1227" s="95">
        <v>2.1062271062271098</v>
      </c>
      <c r="Y1227" s="95">
        <v>0</v>
      </c>
      <c r="Z1227" s="94">
        <v>3245</v>
      </c>
      <c r="AA1227" s="94">
        <v>1735</v>
      </c>
      <c r="AB1227" s="94">
        <v>1510</v>
      </c>
      <c r="AC1227" s="94">
        <v>210</v>
      </c>
      <c r="AD1227" s="94">
        <v>892</v>
      </c>
      <c r="AE1227" s="94">
        <v>1784</v>
      </c>
      <c r="AF1227" s="94">
        <v>359</v>
      </c>
      <c r="AG1227" s="94">
        <v>705</v>
      </c>
      <c r="AH1227" s="94">
        <v>2500</v>
      </c>
      <c r="AI1227" s="94">
        <v>40</v>
      </c>
      <c r="AJ1227" s="94">
        <v>3220</v>
      </c>
      <c r="AK1227" s="94">
        <v>18</v>
      </c>
      <c r="AL1227" s="94">
        <v>7</v>
      </c>
      <c r="AM1227" s="94">
        <v>144</v>
      </c>
      <c r="AN1227" s="94">
        <v>3070</v>
      </c>
      <c r="AO1227" s="94">
        <v>31</v>
      </c>
      <c r="AP1227" s="95">
        <v>4.1912246234446604</v>
      </c>
      <c r="AQ1227" s="95">
        <v>1.74804098854732</v>
      </c>
      <c r="AR1227" s="95">
        <v>7.0967741935483897</v>
      </c>
      <c r="AS1227" s="95">
        <v>6.1855670103092804</v>
      </c>
      <c r="AT1227" s="95">
        <v>4.48484848484848</v>
      </c>
      <c r="AU1227" s="95">
        <v>3.8393384524512699</v>
      </c>
      <c r="AV1227" s="95">
        <v>4.0935672514619901</v>
      </c>
      <c r="AW1227" s="95">
        <v>2.6825633383010401</v>
      </c>
      <c r="AX1227" s="95">
        <v>4.6462063086103997</v>
      </c>
      <c r="AY1227" s="95">
        <v>2.7027027027027</v>
      </c>
      <c r="AZ1227" s="95">
        <v>4.1928029052492599</v>
      </c>
      <c r="BA1227" s="95">
        <v>0</v>
      </c>
      <c r="BB1227" s="95">
        <v>14.285714285714301</v>
      </c>
      <c r="BC1227" s="95">
        <v>5.92592592592593</v>
      </c>
      <c r="BD1227" s="95">
        <v>4.1522491349481001</v>
      </c>
      <c r="BE1227" s="95">
        <v>0</v>
      </c>
    </row>
    <row r="1228" spans="2:57" ht="15" customHeight="1" x14ac:dyDescent="0.25">
      <c r="B1228" s="91">
        <v>1218</v>
      </c>
      <c r="C1228" s="92" t="s">
        <v>504</v>
      </c>
      <c r="D1228" s="92" t="s">
        <v>85</v>
      </c>
      <c r="E1228" s="92" t="s">
        <v>422</v>
      </c>
      <c r="F1228" s="92" t="s">
        <v>209</v>
      </c>
      <c r="G1228" s="101" t="s">
        <v>502</v>
      </c>
      <c r="H1228" s="94">
        <v>5140</v>
      </c>
      <c r="I1228" s="94">
        <v>3222</v>
      </c>
      <c r="J1228" s="94">
        <v>1918</v>
      </c>
      <c r="K1228" s="94">
        <v>473</v>
      </c>
      <c r="L1228" s="94">
        <v>1381</v>
      </c>
      <c r="M1228" s="94">
        <v>2694</v>
      </c>
      <c r="N1228" s="94">
        <v>592</v>
      </c>
      <c r="O1228" s="94">
        <v>5137</v>
      </c>
      <c r="P1228" s="94">
        <v>3</v>
      </c>
      <c r="Q1228" s="95">
        <v>0.16542597187758501</v>
      </c>
      <c r="R1228" s="95">
        <v>6.5659881812212703E-2</v>
      </c>
      <c r="S1228" s="95">
        <v>0.33519553072625702</v>
      </c>
      <c r="T1228" s="95">
        <v>0.46620046620046601</v>
      </c>
      <c r="U1228" s="95">
        <v>0</v>
      </c>
      <c r="V1228" s="95">
        <v>0.19554165037152901</v>
      </c>
      <c r="W1228" s="95">
        <v>0.17825311942958999</v>
      </c>
      <c r="X1228" s="95">
        <v>0.165494414563508</v>
      </c>
      <c r="Y1228" s="95">
        <v>0</v>
      </c>
      <c r="Z1228" s="94">
        <v>6164</v>
      </c>
      <c r="AA1228" s="94">
        <v>3531</v>
      </c>
      <c r="AB1228" s="94">
        <v>2633</v>
      </c>
      <c r="AC1228" s="94">
        <v>376</v>
      </c>
      <c r="AD1228" s="94">
        <v>1520</v>
      </c>
      <c r="AE1228" s="94">
        <v>3351</v>
      </c>
      <c r="AF1228" s="94">
        <v>917</v>
      </c>
      <c r="AG1228" s="94">
        <v>2193</v>
      </c>
      <c r="AH1228" s="94">
        <v>3807</v>
      </c>
      <c r="AI1228" s="94">
        <v>164</v>
      </c>
      <c r="AJ1228" s="94">
        <v>6127</v>
      </c>
      <c r="AK1228" s="94">
        <v>13</v>
      </c>
      <c r="AL1228" s="94">
        <v>24</v>
      </c>
      <c r="AM1228" s="94">
        <v>351</v>
      </c>
      <c r="AN1228" s="94">
        <v>5767</v>
      </c>
      <c r="AO1228" s="94">
        <v>46</v>
      </c>
      <c r="AP1228" s="95">
        <v>1.4750762970498501</v>
      </c>
      <c r="AQ1228" s="95">
        <v>0.43630017452007003</v>
      </c>
      <c r="AR1228" s="95">
        <v>2.9268292682926802</v>
      </c>
      <c r="AS1228" s="95">
        <v>1.71428571428571</v>
      </c>
      <c r="AT1228" s="95">
        <v>2</v>
      </c>
      <c r="AU1228" s="95">
        <v>1.3358185771978901</v>
      </c>
      <c r="AV1228" s="95">
        <v>1.0238907849829399</v>
      </c>
      <c r="AW1228" s="95">
        <v>1.1753643629525199</v>
      </c>
      <c r="AX1228" s="95">
        <v>1.5750207239568901</v>
      </c>
      <c r="AY1228" s="95">
        <v>3.2894736842105301</v>
      </c>
      <c r="AZ1228" s="95">
        <v>1.4668258570697601</v>
      </c>
      <c r="BA1228" s="95">
        <v>0</v>
      </c>
      <c r="BB1228" s="95">
        <v>4.1666666666666696</v>
      </c>
      <c r="BC1228" s="95">
        <v>0.58651026392961902</v>
      </c>
      <c r="BD1228" s="95">
        <v>1.52394775036284</v>
      </c>
      <c r="BE1228" s="95">
        <v>2.2222222222222201</v>
      </c>
    </row>
    <row r="1229" spans="2:57" ht="15" customHeight="1" x14ac:dyDescent="0.25">
      <c r="B1229" s="96">
        <v>1219</v>
      </c>
      <c r="C1229" s="97" t="s">
        <v>504</v>
      </c>
      <c r="D1229" s="104" t="s">
        <v>85</v>
      </c>
      <c r="E1229" s="104" t="s">
        <v>422</v>
      </c>
      <c r="F1229" s="104" t="s">
        <v>58</v>
      </c>
      <c r="G1229" s="105" t="s">
        <v>58</v>
      </c>
      <c r="H1229" s="106">
        <v>3359</v>
      </c>
      <c r="I1229" s="106">
        <v>2153</v>
      </c>
      <c r="J1229" s="106">
        <v>1206</v>
      </c>
      <c r="K1229" s="106">
        <v>302</v>
      </c>
      <c r="L1229" s="106">
        <v>1012</v>
      </c>
      <c r="M1229" s="106">
        <v>1696</v>
      </c>
      <c r="N1229" s="106">
        <v>349</v>
      </c>
      <c r="O1229" s="106">
        <v>3341</v>
      </c>
      <c r="P1229" s="106">
        <v>18</v>
      </c>
      <c r="Q1229" s="107">
        <v>0.60463553913335599</v>
      </c>
      <c r="R1229" s="107">
        <v>0.40858018386108302</v>
      </c>
      <c r="S1229" s="107">
        <v>0.98135426889107003</v>
      </c>
      <c r="T1229" s="107">
        <v>1.2145748987854299</v>
      </c>
      <c r="U1229" s="107">
        <v>0.68493150684931503</v>
      </c>
      <c r="V1229" s="107">
        <v>0.455136540962289</v>
      </c>
      <c r="W1229" s="107">
        <v>0.632911392405063</v>
      </c>
      <c r="X1229" s="107">
        <v>0.57393652937204598</v>
      </c>
      <c r="Y1229" s="107">
        <v>6.6666666666666696</v>
      </c>
      <c r="Z1229" s="106">
        <v>3248</v>
      </c>
      <c r="AA1229" s="106">
        <v>1886</v>
      </c>
      <c r="AB1229" s="106">
        <v>1362</v>
      </c>
      <c r="AC1229" s="106">
        <v>199</v>
      </c>
      <c r="AD1229" s="106">
        <v>841</v>
      </c>
      <c r="AE1229" s="106">
        <v>1805</v>
      </c>
      <c r="AF1229" s="106">
        <v>403</v>
      </c>
      <c r="AG1229" s="106">
        <v>800</v>
      </c>
      <c r="AH1229" s="106">
        <v>2375</v>
      </c>
      <c r="AI1229" s="106">
        <v>73</v>
      </c>
      <c r="AJ1229" s="106">
        <v>3238</v>
      </c>
      <c r="AK1229" s="106">
        <v>4</v>
      </c>
      <c r="AL1229" s="106">
        <v>6</v>
      </c>
      <c r="AM1229" s="106">
        <v>154</v>
      </c>
      <c r="AN1229" s="106">
        <v>3055</v>
      </c>
      <c r="AO1229" s="106">
        <v>39</v>
      </c>
      <c r="AP1229" s="107">
        <v>3.2289312237649299</v>
      </c>
      <c r="AQ1229" s="107">
        <v>1.14130434782609</v>
      </c>
      <c r="AR1229" s="107">
        <v>6.2848050914876703</v>
      </c>
      <c r="AS1229" s="107">
        <v>3.9325842696629199</v>
      </c>
      <c r="AT1229" s="107">
        <v>4.2236024844720497</v>
      </c>
      <c r="AU1229" s="107">
        <v>2.9633933759442201</v>
      </c>
      <c r="AV1229" s="107">
        <v>2.0356234096692098</v>
      </c>
      <c r="AW1229" s="107">
        <v>2.7131782945736398</v>
      </c>
      <c r="AX1229" s="107">
        <v>3.2845095428317799</v>
      </c>
      <c r="AY1229" s="107">
        <v>7.1428571428571397</v>
      </c>
      <c r="AZ1229" s="107">
        <v>3.2069970845481</v>
      </c>
      <c r="BA1229" s="107">
        <v>25</v>
      </c>
      <c r="BB1229" s="107">
        <v>0</v>
      </c>
      <c r="BC1229" s="107">
        <v>0.67114093959731502</v>
      </c>
      <c r="BD1229" s="107">
        <v>3.3997252747252702</v>
      </c>
      <c r="BE1229" s="107">
        <v>0</v>
      </c>
    </row>
    <row r="1230" spans="2:57" ht="15" customHeight="1" x14ac:dyDescent="0.25">
      <c r="B1230" s="91">
        <v>1220</v>
      </c>
      <c r="C1230" s="92" t="s">
        <v>504</v>
      </c>
      <c r="D1230" s="92" t="s">
        <v>85</v>
      </c>
      <c r="E1230" s="92" t="s">
        <v>422</v>
      </c>
      <c r="F1230" s="92" t="s">
        <v>58</v>
      </c>
      <c r="G1230" s="101" t="s">
        <v>501</v>
      </c>
      <c r="H1230" s="94">
        <v>1777</v>
      </c>
      <c r="I1230" s="94">
        <v>1133</v>
      </c>
      <c r="J1230" s="94">
        <v>644</v>
      </c>
      <c r="K1230" s="94">
        <v>155</v>
      </c>
      <c r="L1230" s="94">
        <v>578</v>
      </c>
      <c r="M1230" s="94">
        <v>877</v>
      </c>
      <c r="N1230" s="94">
        <v>167</v>
      </c>
      <c r="O1230" s="94">
        <v>1763</v>
      </c>
      <c r="P1230" s="94">
        <v>14</v>
      </c>
      <c r="Q1230" s="95">
        <v>0.57840616966581004</v>
      </c>
      <c r="R1230" s="95">
        <v>0.39177277179235998</v>
      </c>
      <c r="S1230" s="95">
        <v>0.934579439252336</v>
      </c>
      <c r="T1230" s="95">
        <v>0.81967213114754101</v>
      </c>
      <c r="U1230" s="95">
        <v>0.61601642710472304</v>
      </c>
      <c r="V1230" s="95">
        <v>0.37641154328732701</v>
      </c>
      <c r="W1230" s="95">
        <v>1.3333333333333299</v>
      </c>
      <c r="X1230" s="95">
        <v>0.51813471502590702</v>
      </c>
      <c r="Y1230" s="95">
        <v>8.3333333333333304</v>
      </c>
      <c r="Z1230" s="94">
        <v>1917</v>
      </c>
      <c r="AA1230" s="94">
        <v>1102</v>
      </c>
      <c r="AB1230" s="94">
        <v>815</v>
      </c>
      <c r="AC1230" s="94">
        <v>124</v>
      </c>
      <c r="AD1230" s="94">
        <v>511</v>
      </c>
      <c r="AE1230" s="94">
        <v>1068</v>
      </c>
      <c r="AF1230" s="94">
        <v>214</v>
      </c>
      <c r="AG1230" s="94">
        <v>526</v>
      </c>
      <c r="AH1230" s="94">
        <v>1344</v>
      </c>
      <c r="AI1230" s="94">
        <v>47</v>
      </c>
      <c r="AJ1230" s="94">
        <v>1911</v>
      </c>
      <c r="AK1230" s="94">
        <v>2</v>
      </c>
      <c r="AL1230" s="94">
        <v>4</v>
      </c>
      <c r="AM1230" s="94">
        <v>87</v>
      </c>
      <c r="AN1230" s="94">
        <v>1807</v>
      </c>
      <c r="AO1230" s="94">
        <v>23</v>
      </c>
      <c r="AP1230" s="95">
        <v>3.5986913849509299</v>
      </c>
      <c r="AQ1230" s="95">
        <v>1.57261794634598</v>
      </c>
      <c r="AR1230" s="95">
        <v>6.5073041168658703</v>
      </c>
      <c r="AS1230" s="95">
        <v>4.46428571428571</v>
      </c>
      <c r="AT1230" s="95">
        <v>4.4715447154471502</v>
      </c>
      <c r="AU1230" s="95">
        <v>3.5225048923679099</v>
      </c>
      <c r="AV1230" s="95">
        <v>1.4423076923076901</v>
      </c>
      <c r="AW1230" s="95">
        <v>3.1434184675835</v>
      </c>
      <c r="AX1230" s="95">
        <v>3.59375</v>
      </c>
      <c r="AY1230" s="95">
        <v>8.8888888888888893</v>
      </c>
      <c r="AZ1230" s="95">
        <v>3.6105032822757099</v>
      </c>
      <c r="BA1230" s="95">
        <v>0</v>
      </c>
      <c r="BB1230" s="95">
        <v>0</v>
      </c>
      <c r="BC1230" s="95">
        <v>0</v>
      </c>
      <c r="BD1230" s="95">
        <v>3.8128249566724399</v>
      </c>
      <c r="BE1230" s="95">
        <v>0</v>
      </c>
    </row>
    <row r="1231" spans="2:57" ht="15" customHeight="1" x14ac:dyDescent="0.25">
      <c r="B1231" s="91">
        <v>1221</v>
      </c>
      <c r="C1231" s="92" t="s">
        <v>504</v>
      </c>
      <c r="D1231" s="92" t="s">
        <v>85</v>
      </c>
      <c r="E1231" s="92" t="s">
        <v>422</v>
      </c>
      <c r="F1231" s="92" t="s">
        <v>58</v>
      </c>
      <c r="G1231" s="101" t="s">
        <v>502</v>
      </c>
      <c r="H1231" s="94">
        <v>1582</v>
      </c>
      <c r="I1231" s="94">
        <v>1020</v>
      </c>
      <c r="J1231" s="94">
        <v>562</v>
      </c>
      <c r="K1231" s="94">
        <v>147</v>
      </c>
      <c r="L1231" s="94">
        <v>434</v>
      </c>
      <c r="M1231" s="94">
        <v>819</v>
      </c>
      <c r="N1231" s="94">
        <v>182</v>
      </c>
      <c r="O1231" s="94">
        <v>1578</v>
      </c>
      <c r="P1231" s="94">
        <v>4</v>
      </c>
      <c r="Q1231" s="95">
        <v>0.63335679099225894</v>
      </c>
      <c r="R1231" s="95">
        <v>0.42689434364994699</v>
      </c>
      <c r="S1231" s="95">
        <v>1.03305785123967</v>
      </c>
      <c r="T1231" s="95">
        <v>1.6</v>
      </c>
      <c r="U1231" s="95">
        <v>0.77120822622107998</v>
      </c>
      <c r="V1231" s="95">
        <v>0.53981106612685603</v>
      </c>
      <c r="W1231" s="95">
        <v>0</v>
      </c>
      <c r="X1231" s="95">
        <v>0.63469675599435804</v>
      </c>
      <c r="Y1231" s="95">
        <v>0</v>
      </c>
      <c r="Z1231" s="94">
        <v>1331</v>
      </c>
      <c r="AA1231" s="94">
        <v>784</v>
      </c>
      <c r="AB1231" s="94">
        <v>547</v>
      </c>
      <c r="AC1231" s="94">
        <v>75</v>
      </c>
      <c r="AD1231" s="94">
        <v>330</v>
      </c>
      <c r="AE1231" s="94">
        <v>737</v>
      </c>
      <c r="AF1231" s="94">
        <v>189</v>
      </c>
      <c r="AG1231" s="94">
        <v>274</v>
      </c>
      <c r="AH1231" s="94">
        <v>1031</v>
      </c>
      <c r="AI1231" s="94">
        <v>26</v>
      </c>
      <c r="AJ1231" s="94">
        <v>1327</v>
      </c>
      <c r="AK1231" s="94">
        <v>2</v>
      </c>
      <c r="AL1231" s="94">
        <v>2</v>
      </c>
      <c r="AM1231" s="94">
        <v>67</v>
      </c>
      <c r="AN1231" s="94">
        <v>1248</v>
      </c>
      <c r="AO1231" s="94">
        <v>16</v>
      </c>
      <c r="AP1231" s="95">
        <v>2.6920031670625502</v>
      </c>
      <c r="AQ1231" s="95">
        <v>0.52700922266139705</v>
      </c>
      <c r="AR1231" s="95">
        <v>5.9523809523809499</v>
      </c>
      <c r="AS1231" s="95">
        <v>3.0303030303030298</v>
      </c>
      <c r="AT1231" s="95">
        <v>3.8338658146964901</v>
      </c>
      <c r="AU1231" s="95">
        <v>2.1459227467811202</v>
      </c>
      <c r="AV1231" s="95">
        <v>2.7027027027027</v>
      </c>
      <c r="AW1231" s="95">
        <v>1.88679245283019</v>
      </c>
      <c r="AX1231" s="95">
        <v>2.8776978417266199</v>
      </c>
      <c r="AY1231" s="95">
        <v>4</v>
      </c>
      <c r="AZ1231" s="95">
        <v>2.6211278792692601</v>
      </c>
      <c r="BA1231" s="95">
        <v>50</v>
      </c>
      <c r="BB1231" s="95">
        <v>0</v>
      </c>
      <c r="BC1231" s="95">
        <v>1.51515151515152</v>
      </c>
      <c r="BD1231" s="95">
        <v>2.7942421676545299</v>
      </c>
      <c r="BE1231" s="95">
        <v>0</v>
      </c>
    </row>
    <row r="1232" spans="2:57" ht="15" customHeight="1" x14ac:dyDescent="0.25">
      <c r="B1232" s="86">
        <v>1222</v>
      </c>
      <c r="C1232" s="87" t="s">
        <v>503</v>
      </c>
      <c r="D1232" s="103" t="s">
        <v>85</v>
      </c>
      <c r="E1232" s="103" t="s">
        <v>423</v>
      </c>
      <c r="F1232" s="103"/>
      <c r="G1232" s="88" t="s">
        <v>423</v>
      </c>
      <c r="H1232" s="89">
        <v>19380</v>
      </c>
      <c r="I1232" s="89">
        <v>12318</v>
      </c>
      <c r="J1232" s="89">
        <v>7062</v>
      </c>
      <c r="K1232" s="89">
        <v>950</v>
      </c>
      <c r="L1232" s="89">
        <v>6134</v>
      </c>
      <c r="M1232" s="89">
        <v>10901</v>
      </c>
      <c r="N1232" s="89">
        <v>1395</v>
      </c>
      <c r="O1232" s="89">
        <v>18971</v>
      </c>
      <c r="P1232" s="89">
        <v>409</v>
      </c>
      <c r="Q1232" s="90">
        <v>2.00566304860783</v>
      </c>
      <c r="R1232" s="90">
        <v>1.5087396504139801</v>
      </c>
      <c r="S1232" s="90">
        <v>2.8937849391647501</v>
      </c>
      <c r="T1232" s="90">
        <v>3.125</v>
      </c>
      <c r="U1232" s="90">
        <v>2.2847432024169199</v>
      </c>
      <c r="V1232" s="90">
        <v>1.73236514522822</v>
      </c>
      <c r="W1232" s="90">
        <v>2.2203947368421102</v>
      </c>
      <c r="X1232" s="90">
        <v>1.9957793186614401</v>
      </c>
      <c r="Y1232" s="90">
        <v>2.4523160762942799</v>
      </c>
      <c r="Z1232" s="89">
        <v>20790</v>
      </c>
      <c r="AA1232" s="89">
        <v>12806</v>
      </c>
      <c r="AB1232" s="89">
        <v>7984</v>
      </c>
      <c r="AC1232" s="89">
        <v>817</v>
      </c>
      <c r="AD1232" s="89">
        <v>5537</v>
      </c>
      <c r="AE1232" s="89">
        <v>12228</v>
      </c>
      <c r="AF1232" s="89">
        <v>2208</v>
      </c>
      <c r="AG1232" s="89">
        <v>4723</v>
      </c>
      <c r="AH1232" s="89">
        <v>15546</v>
      </c>
      <c r="AI1232" s="89">
        <v>521</v>
      </c>
      <c r="AJ1232" s="89">
        <v>19875</v>
      </c>
      <c r="AK1232" s="89">
        <v>833</v>
      </c>
      <c r="AL1232" s="89">
        <v>82</v>
      </c>
      <c r="AM1232" s="89">
        <v>1012</v>
      </c>
      <c r="AN1232" s="89">
        <v>19473</v>
      </c>
      <c r="AO1232" s="89">
        <v>305</v>
      </c>
      <c r="AP1232" s="90">
        <v>6.2483577697198998</v>
      </c>
      <c r="AQ1232" s="90">
        <v>2.8736609420166599</v>
      </c>
      <c r="AR1232" s="90">
        <v>11.7104719966974</v>
      </c>
      <c r="AS1232" s="90">
        <v>11.605937921727399</v>
      </c>
      <c r="AT1232" s="90">
        <v>7.0168404170008003</v>
      </c>
      <c r="AU1232" s="90">
        <v>5.87554526840559</v>
      </c>
      <c r="AV1232" s="90">
        <v>4.4992743105950597</v>
      </c>
      <c r="AW1232" s="90">
        <v>4.7920433996383398</v>
      </c>
      <c r="AX1232" s="90">
        <v>6.7887702425571002</v>
      </c>
      <c r="AY1232" s="90">
        <v>3.6637931034482798</v>
      </c>
      <c r="AZ1232" s="90">
        <v>6.2970079604721398</v>
      </c>
      <c r="BA1232" s="90">
        <v>5.3835800807537</v>
      </c>
      <c r="BB1232" s="90">
        <v>2.8169014084507</v>
      </c>
      <c r="BC1232" s="90">
        <v>5.2687038988408901</v>
      </c>
      <c r="BD1232" s="90">
        <v>6.3240662735186701</v>
      </c>
      <c r="BE1232" s="90">
        <v>4.7272727272727302</v>
      </c>
    </row>
    <row r="1233" spans="2:57" ht="15" customHeight="1" x14ac:dyDescent="0.25">
      <c r="B1233" s="91">
        <v>1223</v>
      </c>
      <c r="C1233" s="92" t="s">
        <v>503</v>
      </c>
      <c r="D1233" s="92" t="s">
        <v>85</v>
      </c>
      <c r="E1233" s="92" t="s">
        <v>423</v>
      </c>
      <c r="F1233" s="92"/>
      <c r="G1233" s="93" t="s">
        <v>501</v>
      </c>
      <c r="H1233" s="94">
        <v>16050</v>
      </c>
      <c r="I1233" s="94">
        <v>9823</v>
      </c>
      <c r="J1233" s="94">
        <v>6227</v>
      </c>
      <c r="K1233" s="94">
        <v>743</v>
      </c>
      <c r="L1233" s="94">
        <v>5045</v>
      </c>
      <c r="M1233" s="94">
        <v>9178</v>
      </c>
      <c r="N1233" s="94">
        <v>1084</v>
      </c>
      <c r="O1233" s="94">
        <v>15738</v>
      </c>
      <c r="P1233" s="94">
        <v>312</v>
      </c>
      <c r="Q1233" s="95">
        <v>2.2623465600913502</v>
      </c>
      <c r="R1233" s="95">
        <v>1.8217683917382199</v>
      </c>
      <c r="S1233" s="95">
        <v>2.9662588060808299</v>
      </c>
      <c r="T1233" s="95">
        <v>3.72771474878444</v>
      </c>
      <c r="U1233" s="95">
        <v>2.5988960441582298</v>
      </c>
      <c r="V1233" s="95">
        <v>1.89842209072978</v>
      </c>
      <c r="W1233" s="95">
        <v>2.8877005347593601</v>
      </c>
      <c r="X1233" s="95">
        <v>2.24939943219043</v>
      </c>
      <c r="Y1233" s="95">
        <v>2.9090909090909101</v>
      </c>
      <c r="Z1233" s="94">
        <v>15249</v>
      </c>
      <c r="AA1233" s="94">
        <v>8964</v>
      </c>
      <c r="AB1233" s="94">
        <v>6285</v>
      </c>
      <c r="AC1233" s="94">
        <v>604</v>
      </c>
      <c r="AD1233" s="94">
        <v>4011</v>
      </c>
      <c r="AE1233" s="94">
        <v>9019</v>
      </c>
      <c r="AF1233" s="94">
        <v>1615</v>
      </c>
      <c r="AG1233" s="94">
        <v>2507</v>
      </c>
      <c r="AH1233" s="94">
        <v>12370</v>
      </c>
      <c r="AI1233" s="94">
        <v>372</v>
      </c>
      <c r="AJ1233" s="94">
        <v>14811</v>
      </c>
      <c r="AK1233" s="94">
        <v>377</v>
      </c>
      <c r="AL1233" s="94">
        <v>61</v>
      </c>
      <c r="AM1233" s="94">
        <v>798</v>
      </c>
      <c r="AN1233" s="94">
        <v>14245</v>
      </c>
      <c r="AO1233" s="94">
        <v>206</v>
      </c>
      <c r="AP1233" s="95">
        <v>7.7204301075268802</v>
      </c>
      <c r="AQ1233" s="95">
        <v>3.8063966922047898</v>
      </c>
      <c r="AR1233" s="95">
        <v>13.340317792910801</v>
      </c>
      <c r="AS1233" s="95">
        <v>15.5515370705244</v>
      </c>
      <c r="AT1233" s="95">
        <v>8.7884668699750499</v>
      </c>
      <c r="AU1233" s="95">
        <v>7.0937386898299</v>
      </c>
      <c r="AV1233" s="95">
        <v>5.7295136575616299</v>
      </c>
      <c r="AW1233" s="95">
        <v>7.4601121172919402</v>
      </c>
      <c r="AX1233" s="95">
        <v>7.8754092558180702</v>
      </c>
      <c r="AY1233" s="95">
        <v>4.2424242424242404</v>
      </c>
      <c r="AZ1233" s="95">
        <v>7.6582558654271802</v>
      </c>
      <c r="BA1233" s="95">
        <v>10.755813953488399</v>
      </c>
      <c r="BB1233" s="95">
        <v>3.8461538461538498</v>
      </c>
      <c r="BC1233" s="95">
        <v>6.1827956989247301</v>
      </c>
      <c r="BD1233" s="95">
        <v>7.8157389635316701</v>
      </c>
      <c r="BE1233" s="95">
        <v>7.1823204419889501</v>
      </c>
    </row>
    <row r="1234" spans="2:57" ht="15" customHeight="1" x14ac:dyDescent="0.25">
      <c r="B1234" s="91">
        <v>1224</v>
      </c>
      <c r="C1234" s="92" t="s">
        <v>503</v>
      </c>
      <c r="D1234" s="92" t="s">
        <v>85</v>
      </c>
      <c r="E1234" s="92" t="s">
        <v>423</v>
      </c>
      <c r="F1234" s="92"/>
      <c r="G1234" s="93" t="s">
        <v>502</v>
      </c>
      <c r="H1234" s="94">
        <v>3330</v>
      </c>
      <c r="I1234" s="94">
        <v>2495</v>
      </c>
      <c r="J1234" s="94">
        <v>835</v>
      </c>
      <c r="K1234" s="94">
        <v>207</v>
      </c>
      <c r="L1234" s="94">
        <v>1089</v>
      </c>
      <c r="M1234" s="94">
        <v>1723</v>
      </c>
      <c r="N1234" s="94">
        <v>311</v>
      </c>
      <c r="O1234" s="94">
        <v>3233</v>
      </c>
      <c r="P1234" s="94">
        <v>97</v>
      </c>
      <c r="Q1234" s="95">
        <v>0.78231292517006801</v>
      </c>
      <c r="R1234" s="95">
        <v>0.31083481349911202</v>
      </c>
      <c r="S1234" s="95">
        <v>2.32558139534884</v>
      </c>
      <c r="T1234" s="95">
        <v>1.0928961748633901</v>
      </c>
      <c r="U1234" s="95">
        <v>0.84388185654008396</v>
      </c>
      <c r="V1234" s="95">
        <v>0.850785340314136</v>
      </c>
      <c r="W1234" s="95">
        <v>0</v>
      </c>
      <c r="X1234" s="95">
        <v>0.77247191011235905</v>
      </c>
      <c r="Y1234" s="95">
        <v>1.0869565217391299</v>
      </c>
      <c r="Z1234" s="94">
        <v>5541</v>
      </c>
      <c r="AA1234" s="94">
        <v>3842</v>
      </c>
      <c r="AB1234" s="94">
        <v>1699</v>
      </c>
      <c r="AC1234" s="94">
        <v>213</v>
      </c>
      <c r="AD1234" s="94">
        <v>1526</v>
      </c>
      <c r="AE1234" s="94">
        <v>3209</v>
      </c>
      <c r="AF1234" s="94">
        <v>593</v>
      </c>
      <c r="AG1234" s="94">
        <v>2216</v>
      </c>
      <c r="AH1234" s="94">
        <v>3176</v>
      </c>
      <c r="AI1234" s="94">
        <v>149</v>
      </c>
      <c r="AJ1234" s="94">
        <v>5064</v>
      </c>
      <c r="AK1234" s="94">
        <v>456</v>
      </c>
      <c r="AL1234" s="94">
        <v>21</v>
      </c>
      <c r="AM1234" s="94">
        <v>214</v>
      </c>
      <c r="AN1234" s="94">
        <v>5228</v>
      </c>
      <c r="AO1234" s="94">
        <v>99</v>
      </c>
      <c r="AP1234" s="95">
        <v>2.2051584957668799</v>
      </c>
      <c r="AQ1234" s="95">
        <v>0.70641424131110497</v>
      </c>
      <c r="AR1234" s="95">
        <v>5.6493506493506498</v>
      </c>
      <c r="AS1234" s="95">
        <v>0</v>
      </c>
      <c r="AT1234" s="95">
        <v>2.38957277335264</v>
      </c>
      <c r="AU1234" s="95">
        <v>2.4456521739130399</v>
      </c>
      <c r="AV1234" s="95">
        <v>1.23674911660777</v>
      </c>
      <c r="AW1234" s="95">
        <v>1.85273159144893</v>
      </c>
      <c r="AX1234" s="95">
        <v>2.46478873239437</v>
      </c>
      <c r="AY1234" s="95">
        <v>2.23880597014925</v>
      </c>
      <c r="AZ1234" s="95">
        <v>2.3385539583780299</v>
      </c>
      <c r="BA1234" s="95">
        <v>0.75187969924812004</v>
      </c>
      <c r="BB1234" s="95">
        <v>0</v>
      </c>
      <c r="BC1234" s="95">
        <v>1.9512195121951199</v>
      </c>
      <c r="BD1234" s="95">
        <v>2.2594142259414198</v>
      </c>
      <c r="BE1234" s="95">
        <v>0</v>
      </c>
    </row>
    <row r="1235" spans="2:57" ht="15" customHeight="1" x14ac:dyDescent="0.25">
      <c r="B1235" s="96">
        <v>1225</v>
      </c>
      <c r="C1235" s="97" t="s">
        <v>504</v>
      </c>
      <c r="D1235" s="104" t="s">
        <v>85</v>
      </c>
      <c r="E1235" s="104" t="s">
        <v>423</v>
      </c>
      <c r="F1235" s="104" t="s">
        <v>486</v>
      </c>
      <c r="G1235" s="105" t="s">
        <v>486</v>
      </c>
      <c r="H1235" s="106">
        <v>8877</v>
      </c>
      <c r="I1235" s="106">
        <v>5695</v>
      </c>
      <c r="J1235" s="106">
        <v>3182</v>
      </c>
      <c r="K1235" s="106">
        <v>353</v>
      </c>
      <c r="L1235" s="106">
        <v>2748</v>
      </c>
      <c r="M1235" s="106">
        <v>5102</v>
      </c>
      <c r="N1235" s="106">
        <v>674</v>
      </c>
      <c r="O1235" s="106">
        <v>8720</v>
      </c>
      <c r="P1235" s="106">
        <v>157</v>
      </c>
      <c r="Q1235" s="107">
        <v>1.74106558450059</v>
      </c>
      <c r="R1235" s="107">
        <v>1.28928283642224</v>
      </c>
      <c r="S1235" s="107">
        <v>2.5794392523364502</v>
      </c>
      <c r="T1235" s="107">
        <v>2.1428571428571401</v>
      </c>
      <c r="U1235" s="107">
        <v>2.0284851100561099</v>
      </c>
      <c r="V1235" s="107">
        <v>1.65622202327663</v>
      </c>
      <c r="W1235" s="107">
        <v>1.0452961672473899</v>
      </c>
      <c r="X1235" s="107">
        <v>1.7326402772224401</v>
      </c>
      <c r="Y1235" s="107">
        <v>2.2058823529411802</v>
      </c>
      <c r="Z1235" s="106">
        <v>8266</v>
      </c>
      <c r="AA1235" s="106">
        <v>5152</v>
      </c>
      <c r="AB1235" s="106">
        <v>3114</v>
      </c>
      <c r="AC1235" s="106">
        <v>274</v>
      </c>
      <c r="AD1235" s="106">
        <v>2053</v>
      </c>
      <c r="AE1235" s="106">
        <v>4939</v>
      </c>
      <c r="AF1235" s="106">
        <v>1000</v>
      </c>
      <c r="AG1235" s="106">
        <v>1714</v>
      </c>
      <c r="AH1235" s="106">
        <v>6330</v>
      </c>
      <c r="AI1235" s="106">
        <v>222</v>
      </c>
      <c r="AJ1235" s="106">
        <v>7967</v>
      </c>
      <c r="AK1235" s="106">
        <v>262</v>
      </c>
      <c r="AL1235" s="106">
        <v>37</v>
      </c>
      <c r="AM1235" s="106">
        <v>443</v>
      </c>
      <c r="AN1235" s="106">
        <v>7696</v>
      </c>
      <c r="AO1235" s="106">
        <v>127</v>
      </c>
      <c r="AP1235" s="107">
        <v>5.6524035921817202</v>
      </c>
      <c r="AQ1235" s="107">
        <v>2.40202275600506</v>
      </c>
      <c r="AR1235" s="107">
        <v>11.1111111111111</v>
      </c>
      <c r="AS1235" s="107">
        <v>10.4838709677419</v>
      </c>
      <c r="AT1235" s="107">
        <v>6.1290322580645196</v>
      </c>
      <c r="AU1235" s="107">
        <v>5.5604589585172102</v>
      </c>
      <c r="AV1235" s="107">
        <v>3.8626609442060098</v>
      </c>
      <c r="AW1235" s="107">
        <v>4.3777360850531597</v>
      </c>
      <c r="AX1235" s="107">
        <v>6.0627056989433603</v>
      </c>
      <c r="AY1235" s="107">
        <v>4</v>
      </c>
      <c r="AZ1235" s="107">
        <v>5.7550013702384204</v>
      </c>
      <c r="BA1235" s="107">
        <v>2.8688524590163902</v>
      </c>
      <c r="BB1235" s="107">
        <v>3.3333333333333299</v>
      </c>
      <c r="BC1235" s="107">
        <v>4.3689320388349504</v>
      </c>
      <c r="BD1235" s="107">
        <v>5.72118114707553</v>
      </c>
      <c r="BE1235" s="107">
        <v>6.0344827586206904</v>
      </c>
    </row>
    <row r="1236" spans="2:57" ht="15" customHeight="1" x14ac:dyDescent="0.25">
      <c r="B1236" s="91">
        <v>1226</v>
      </c>
      <c r="C1236" s="92" t="s">
        <v>504</v>
      </c>
      <c r="D1236" s="92" t="s">
        <v>85</v>
      </c>
      <c r="E1236" s="92" t="s">
        <v>423</v>
      </c>
      <c r="F1236" s="92" t="s">
        <v>486</v>
      </c>
      <c r="G1236" s="101" t="s">
        <v>501</v>
      </c>
      <c r="H1236" s="94">
        <v>7291</v>
      </c>
      <c r="I1236" s="94">
        <v>4546</v>
      </c>
      <c r="J1236" s="94">
        <v>2745</v>
      </c>
      <c r="K1236" s="94">
        <v>268</v>
      </c>
      <c r="L1236" s="94">
        <v>2264</v>
      </c>
      <c r="M1236" s="94">
        <v>4242</v>
      </c>
      <c r="N1236" s="94">
        <v>517</v>
      </c>
      <c r="O1236" s="94">
        <v>7165</v>
      </c>
      <c r="P1236" s="94">
        <v>126</v>
      </c>
      <c r="Q1236" s="95">
        <v>1.8825781748564101</v>
      </c>
      <c r="R1236" s="95">
        <v>1.51476899772785</v>
      </c>
      <c r="S1236" s="95">
        <v>2.5140875596012102</v>
      </c>
      <c r="T1236" s="95">
        <v>2.4630541871921201</v>
      </c>
      <c r="U1236" s="95">
        <v>2.2001047668936602</v>
      </c>
      <c r="V1236" s="95">
        <v>1.7482517482517499</v>
      </c>
      <c r="W1236" s="95">
        <v>1.3698630136986301</v>
      </c>
      <c r="X1236" s="95">
        <v>1.8671862315310901</v>
      </c>
      <c r="Y1236" s="95">
        <v>2.75229357798165</v>
      </c>
      <c r="Z1236" s="94">
        <v>5429</v>
      </c>
      <c r="AA1236" s="94">
        <v>3139</v>
      </c>
      <c r="AB1236" s="94">
        <v>2290</v>
      </c>
      <c r="AC1236" s="94">
        <v>199</v>
      </c>
      <c r="AD1236" s="94">
        <v>1285</v>
      </c>
      <c r="AE1236" s="94">
        <v>3238</v>
      </c>
      <c r="AF1236" s="94">
        <v>707</v>
      </c>
      <c r="AG1236" s="94">
        <v>735</v>
      </c>
      <c r="AH1236" s="94">
        <v>4549</v>
      </c>
      <c r="AI1236" s="94">
        <v>145</v>
      </c>
      <c r="AJ1236" s="94">
        <v>5323</v>
      </c>
      <c r="AK1236" s="94">
        <v>82</v>
      </c>
      <c r="AL1236" s="94">
        <v>24</v>
      </c>
      <c r="AM1236" s="94">
        <v>322</v>
      </c>
      <c r="AN1236" s="94">
        <v>5020</v>
      </c>
      <c r="AO1236" s="94">
        <v>87</v>
      </c>
      <c r="AP1236" s="95">
        <v>6.6465863453815297</v>
      </c>
      <c r="AQ1236" s="95">
        <v>3.1550068587105602</v>
      </c>
      <c r="AR1236" s="95">
        <v>11.579457364341099</v>
      </c>
      <c r="AS1236" s="95">
        <v>14.4444444444444</v>
      </c>
      <c r="AT1236" s="95">
        <v>7.1672354948805497</v>
      </c>
      <c r="AU1236" s="95">
        <v>6.4244870501177296</v>
      </c>
      <c r="AV1236" s="95">
        <v>4.5801526717557204</v>
      </c>
      <c r="AW1236" s="95">
        <v>5.84795321637427</v>
      </c>
      <c r="AX1236" s="95">
        <v>6.8601583113456499</v>
      </c>
      <c r="AY1236" s="95">
        <v>3.9370078740157499</v>
      </c>
      <c r="AZ1236" s="95">
        <v>6.6734902763561896</v>
      </c>
      <c r="BA1236" s="95">
        <v>5.2631578947368398</v>
      </c>
      <c r="BB1236" s="95">
        <v>5.2631578947368398</v>
      </c>
      <c r="BC1236" s="95">
        <v>4.6666666666666696</v>
      </c>
      <c r="BD1236" s="95">
        <v>6.7347382142081296</v>
      </c>
      <c r="BE1236" s="95">
        <v>9.0909090909090899</v>
      </c>
    </row>
    <row r="1237" spans="2:57" ht="15" customHeight="1" x14ac:dyDescent="0.25">
      <c r="B1237" s="91">
        <v>1227</v>
      </c>
      <c r="C1237" s="92" t="s">
        <v>504</v>
      </c>
      <c r="D1237" s="92" t="s">
        <v>85</v>
      </c>
      <c r="E1237" s="92" t="s">
        <v>423</v>
      </c>
      <c r="F1237" s="92" t="s">
        <v>486</v>
      </c>
      <c r="G1237" s="101" t="s">
        <v>502</v>
      </c>
      <c r="H1237" s="94">
        <v>1586</v>
      </c>
      <c r="I1237" s="94">
        <v>1149</v>
      </c>
      <c r="J1237" s="94">
        <v>437</v>
      </c>
      <c r="K1237" s="94">
        <v>85</v>
      </c>
      <c r="L1237" s="94">
        <v>484</v>
      </c>
      <c r="M1237" s="94">
        <v>860</v>
      </c>
      <c r="N1237" s="94">
        <v>157</v>
      </c>
      <c r="O1237" s="94">
        <v>1555</v>
      </c>
      <c r="P1237" s="94">
        <v>31</v>
      </c>
      <c r="Q1237" s="95">
        <v>1.0940919037199099</v>
      </c>
      <c r="R1237" s="95">
        <v>0.39880358923230302</v>
      </c>
      <c r="S1237" s="95">
        <v>2.9891304347826102</v>
      </c>
      <c r="T1237" s="95">
        <v>1.2987012987013</v>
      </c>
      <c r="U1237" s="95">
        <v>1.2254901960784299</v>
      </c>
      <c r="V1237" s="95">
        <v>1.2</v>
      </c>
      <c r="W1237" s="95">
        <v>0</v>
      </c>
      <c r="X1237" s="95">
        <v>1.1160714285714299</v>
      </c>
      <c r="Y1237" s="95">
        <v>0</v>
      </c>
      <c r="Z1237" s="94">
        <v>2837</v>
      </c>
      <c r="AA1237" s="94">
        <v>2013</v>
      </c>
      <c r="AB1237" s="94">
        <v>824</v>
      </c>
      <c r="AC1237" s="94">
        <v>75</v>
      </c>
      <c r="AD1237" s="94">
        <v>768</v>
      </c>
      <c r="AE1237" s="94">
        <v>1701</v>
      </c>
      <c r="AF1237" s="94">
        <v>293</v>
      </c>
      <c r="AG1237" s="94">
        <v>979</v>
      </c>
      <c r="AH1237" s="94">
        <v>1781</v>
      </c>
      <c r="AI1237" s="94">
        <v>77</v>
      </c>
      <c r="AJ1237" s="94">
        <v>2644</v>
      </c>
      <c r="AK1237" s="94">
        <v>180</v>
      </c>
      <c r="AL1237" s="94">
        <v>13</v>
      </c>
      <c r="AM1237" s="94">
        <v>121</v>
      </c>
      <c r="AN1237" s="94">
        <v>2676</v>
      </c>
      <c r="AO1237" s="94">
        <v>40</v>
      </c>
      <c r="AP1237" s="95">
        <v>3.74228395061728</v>
      </c>
      <c r="AQ1237" s="95">
        <v>1.2021857923497301</v>
      </c>
      <c r="AR1237" s="95">
        <v>9.8425196850393704</v>
      </c>
      <c r="AS1237" s="95">
        <v>0</v>
      </c>
      <c r="AT1237" s="95">
        <v>4.3604651162790704</v>
      </c>
      <c r="AU1237" s="95">
        <v>3.91276459268762</v>
      </c>
      <c r="AV1237" s="95">
        <v>2.16606498194946</v>
      </c>
      <c r="AW1237" s="95">
        <v>3.27868852459016</v>
      </c>
      <c r="AX1237" s="95">
        <v>3.9900249376558601</v>
      </c>
      <c r="AY1237" s="95">
        <v>4.10958904109589</v>
      </c>
      <c r="AZ1237" s="95">
        <v>3.8955656858682102</v>
      </c>
      <c r="BA1237" s="95">
        <v>1.78571428571429</v>
      </c>
      <c r="BB1237" s="95">
        <v>0</v>
      </c>
      <c r="BC1237" s="95">
        <v>3.5714285714285698</v>
      </c>
      <c r="BD1237" s="95">
        <v>3.8099139696845601</v>
      </c>
      <c r="BE1237" s="95">
        <v>0</v>
      </c>
    </row>
    <row r="1238" spans="2:57" ht="15" customHeight="1" x14ac:dyDescent="0.25">
      <c r="B1238" s="96">
        <v>1228</v>
      </c>
      <c r="C1238" s="97" t="s">
        <v>504</v>
      </c>
      <c r="D1238" s="104" t="s">
        <v>85</v>
      </c>
      <c r="E1238" s="104" t="s">
        <v>423</v>
      </c>
      <c r="F1238" s="104" t="s">
        <v>165</v>
      </c>
      <c r="G1238" s="105" t="s">
        <v>165</v>
      </c>
      <c r="H1238" s="106">
        <v>7880</v>
      </c>
      <c r="I1238" s="106">
        <v>4737</v>
      </c>
      <c r="J1238" s="106">
        <v>3143</v>
      </c>
      <c r="K1238" s="106">
        <v>435</v>
      </c>
      <c r="L1238" s="106">
        <v>2581</v>
      </c>
      <c r="M1238" s="106">
        <v>4385</v>
      </c>
      <c r="N1238" s="106">
        <v>479</v>
      </c>
      <c r="O1238" s="106">
        <v>7717</v>
      </c>
      <c r="P1238" s="106">
        <v>163</v>
      </c>
      <c r="Q1238" s="107">
        <v>2.6076934159343002</v>
      </c>
      <c r="R1238" s="107">
        <v>2.1404521404521399</v>
      </c>
      <c r="S1238" s="107">
        <v>3.30578512396694</v>
      </c>
      <c r="T1238" s="107">
        <v>4.2105263157894699</v>
      </c>
      <c r="U1238" s="107">
        <v>2.9711751662971202</v>
      </c>
      <c r="V1238" s="107">
        <v>2.05655526992288</v>
      </c>
      <c r="W1238" s="107">
        <v>4.3269230769230802</v>
      </c>
      <c r="X1238" s="107">
        <v>2.5897586815774001</v>
      </c>
      <c r="Y1238" s="107">
        <v>3.4482758620689702</v>
      </c>
      <c r="Z1238" s="106">
        <v>8386</v>
      </c>
      <c r="AA1238" s="106">
        <v>5006</v>
      </c>
      <c r="AB1238" s="106">
        <v>3380</v>
      </c>
      <c r="AC1238" s="106">
        <v>344</v>
      </c>
      <c r="AD1238" s="106">
        <v>2360</v>
      </c>
      <c r="AE1238" s="106">
        <v>4949</v>
      </c>
      <c r="AF1238" s="106">
        <v>733</v>
      </c>
      <c r="AG1238" s="106">
        <v>1452</v>
      </c>
      <c r="AH1238" s="106">
        <v>6766</v>
      </c>
      <c r="AI1238" s="106">
        <v>168</v>
      </c>
      <c r="AJ1238" s="106">
        <v>8099</v>
      </c>
      <c r="AK1238" s="106">
        <v>255</v>
      </c>
      <c r="AL1238" s="106">
        <v>32</v>
      </c>
      <c r="AM1238" s="106">
        <v>414</v>
      </c>
      <c r="AN1238" s="106">
        <v>7872</v>
      </c>
      <c r="AO1238" s="106">
        <v>100</v>
      </c>
      <c r="AP1238" s="107">
        <v>8.7007565875293498</v>
      </c>
      <c r="AQ1238" s="107">
        <v>4.63227222832053</v>
      </c>
      <c r="AR1238" s="107">
        <v>14.6576663452266</v>
      </c>
      <c r="AS1238" s="107">
        <v>17.6100628930818</v>
      </c>
      <c r="AT1238" s="107">
        <v>9.9809885931558906</v>
      </c>
      <c r="AU1238" s="107">
        <v>7.6585472898836997</v>
      </c>
      <c r="AV1238" s="107">
        <v>7.5691411935953399</v>
      </c>
      <c r="AW1238" s="107">
        <v>8.2897684839432397</v>
      </c>
      <c r="AX1238" s="107">
        <v>8.8525651399902898</v>
      </c>
      <c r="AY1238" s="107">
        <v>6.0810810810810798</v>
      </c>
      <c r="AZ1238" s="107">
        <v>8.5606265190386193</v>
      </c>
      <c r="BA1238" s="107">
        <v>13.7931034482759</v>
      </c>
      <c r="BB1238" s="107">
        <v>3.5714285714285698</v>
      </c>
      <c r="BC1238" s="107">
        <v>8.0103359173126591</v>
      </c>
      <c r="BD1238" s="107">
        <v>8.7724176282496895</v>
      </c>
      <c r="BE1238" s="107">
        <v>5.81395348837209</v>
      </c>
    </row>
    <row r="1239" spans="2:57" ht="15" customHeight="1" x14ac:dyDescent="0.25">
      <c r="B1239" s="91">
        <v>1229</v>
      </c>
      <c r="C1239" s="92" t="s">
        <v>504</v>
      </c>
      <c r="D1239" s="92" t="s">
        <v>85</v>
      </c>
      <c r="E1239" s="92" t="s">
        <v>423</v>
      </c>
      <c r="F1239" s="92" t="s">
        <v>165</v>
      </c>
      <c r="G1239" s="101" t="s">
        <v>501</v>
      </c>
      <c r="H1239" s="94">
        <v>7724</v>
      </c>
      <c r="I1239" s="94">
        <v>4623</v>
      </c>
      <c r="J1239" s="94">
        <v>3101</v>
      </c>
      <c r="K1239" s="94">
        <v>430</v>
      </c>
      <c r="L1239" s="94">
        <v>2538</v>
      </c>
      <c r="M1239" s="94">
        <v>4305</v>
      </c>
      <c r="N1239" s="94">
        <v>451</v>
      </c>
      <c r="O1239" s="94">
        <v>7561</v>
      </c>
      <c r="P1239" s="94">
        <v>163</v>
      </c>
      <c r="Q1239" s="95">
        <v>2.6621561994410898</v>
      </c>
      <c r="R1239" s="95">
        <v>2.1948212083847101</v>
      </c>
      <c r="S1239" s="95">
        <v>3.3527696793002901</v>
      </c>
      <c r="T1239" s="95">
        <v>4.2553191489361701</v>
      </c>
      <c r="U1239" s="95">
        <v>3.0234657039711199</v>
      </c>
      <c r="V1239" s="95">
        <v>2.09588682211161</v>
      </c>
      <c r="W1239" s="95">
        <v>4.6153846153846203</v>
      </c>
      <c r="X1239" s="95">
        <v>2.6450255485422298</v>
      </c>
      <c r="Y1239" s="95">
        <v>3.4482758620689702</v>
      </c>
      <c r="Z1239" s="94">
        <v>8236</v>
      </c>
      <c r="AA1239" s="94">
        <v>4891</v>
      </c>
      <c r="AB1239" s="94">
        <v>3345</v>
      </c>
      <c r="AC1239" s="94">
        <v>343</v>
      </c>
      <c r="AD1239" s="94">
        <v>2328</v>
      </c>
      <c r="AE1239" s="94">
        <v>4852</v>
      </c>
      <c r="AF1239" s="94">
        <v>713</v>
      </c>
      <c r="AG1239" s="94">
        <v>1412</v>
      </c>
      <c r="AH1239" s="94">
        <v>6662</v>
      </c>
      <c r="AI1239" s="94">
        <v>162</v>
      </c>
      <c r="AJ1239" s="94">
        <v>7953</v>
      </c>
      <c r="AK1239" s="94">
        <v>251</v>
      </c>
      <c r="AL1239" s="94">
        <v>32</v>
      </c>
      <c r="AM1239" s="94">
        <v>402</v>
      </c>
      <c r="AN1239" s="94">
        <v>7734</v>
      </c>
      <c r="AO1239" s="94">
        <v>100</v>
      </c>
      <c r="AP1239" s="95">
        <v>8.8531988319617696</v>
      </c>
      <c r="AQ1239" s="95">
        <v>4.7394429469901196</v>
      </c>
      <c r="AR1239" s="95">
        <v>14.7955872809864</v>
      </c>
      <c r="AS1239" s="95">
        <v>17.665615141955801</v>
      </c>
      <c r="AT1239" s="95">
        <v>10.1302460202605</v>
      </c>
      <c r="AU1239" s="95">
        <v>7.7988826815642502</v>
      </c>
      <c r="AV1239" s="95">
        <v>7.7727952167414003</v>
      </c>
      <c r="AW1239" s="95">
        <v>8.5253456221198203</v>
      </c>
      <c r="AX1239" s="95">
        <v>8.9819376026272604</v>
      </c>
      <c r="AY1239" s="95">
        <v>6.3380281690140796</v>
      </c>
      <c r="AZ1239" s="95">
        <v>8.7147766323023994</v>
      </c>
      <c r="BA1239" s="95">
        <v>13.852813852813901</v>
      </c>
      <c r="BB1239" s="95">
        <v>3.5714285714285698</v>
      </c>
      <c r="BC1239" s="95">
        <v>8.2666666666666693</v>
      </c>
      <c r="BD1239" s="95">
        <v>8.9212498232715998</v>
      </c>
      <c r="BE1239" s="95">
        <v>5.81395348837209</v>
      </c>
    </row>
    <row r="1240" spans="2:57" ht="15" customHeight="1" x14ac:dyDescent="0.25">
      <c r="B1240" s="91">
        <v>1230</v>
      </c>
      <c r="C1240" s="92" t="s">
        <v>504</v>
      </c>
      <c r="D1240" s="92" t="s">
        <v>85</v>
      </c>
      <c r="E1240" s="92" t="s">
        <v>423</v>
      </c>
      <c r="F1240" s="92" t="s">
        <v>165</v>
      </c>
      <c r="G1240" s="101" t="s">
        <v>502</v>
      </c>
      <c r="H1240" s="94">
        <v>156</v>
      </c>
      <c r="I1240" s="94">
        <v>114</v>
      </c>
      <c r="J1240" s="94">
        <v>42</v>
      </c>
      <c r="K1240" s="94">
        <v>5</v>
      </c>
      <c r="L1240" s="94">
        <v>43</v>
      </c>
      <c r="M1240" s="94">
        <v>80</v>
      </c>
      <c r="N1240" s="94">
        <v>28</v>
      </c>
      <c r="O1240" s="94">
        <v>156</v>
      </c>
      <c r="P1240" s="94">
        <v>0</v>
      </c>
      <c r="Q1240" s="95">
        <v>0</v>
      </c>
      <c r="R1240" s="95">
        <v>0</v>
      </c>
      <c r="S1240" s="95">
        <v>0</v>
      </c>
      <c r="T1240" s="95">
        <v>0</v>
      </c>
      <c r="U1240" s="95">
        <v>0</v>
      </c>
      <c r="V1240" s="95">
        <v>0</v>
      </c>
      <c r="W1240" s="95">
        <v>0</v>
      </c>
      <c r="X1240" s="95">
        <v>0</v>
      </c>
      <c r="Y1240" s="95">
        <v>0</v>
      </c>
      <c r="Z1240" s="94">
        <v>150</v>
      </c>
      <c r="AA1240" s="94">
        <v>115</v>
      </c>
      <c r="AB1240" s="94">
        <v>35</v>
      </c>
      <c r="AC1240" s="94">
        <v>1</v>
      </c>
      <c r="AD1240" s="94">
        <v>32</v>
      </c>
      <c r="AE1240" s="94">
        <v>97</v>
      </c>
      <c r="AF1240" s="94">
        <v>20</v>
      </c>
      <c r="AG1240" s="94">
        <v>40</v>
      </c>
      <c r="AH1240" s="94">
        <v>104</v>
      </c>
      <c r="AI1240" s="94">
        <v>6</v>
      </c>
      <c r="AJ1240" s="94">
        <v>146</v>
      </c>
      <c r="AK1240" s="94">
        <v>4</v>
      </c>
      <c r="AL1240" s="94">
        <v>0</v>
      </c>
      <c r="AM1240" s="94">
        <v>12</v>
      </c>
      <c r="AN1240" s="94">
        <v>138</v>
      </c>
      <c r="AO1240" s="94">
        <v>0</v>
      </c>
      <c r="AP1240" s="95">
        <v>0</v>
      </c>
      <c r="AQ1240" s="95">
        <v>0</v>
      </c>
      <c r="AR1240" s="95">
        <v>0</v>
      </c>
      <c r="AS1240" s="95">
        <v>0</v>
      </c>
      <c r="AT1240" s="95">
        <v>0</v>
      </c>
      <c r="AU1240" s="95">
        <v>0</v>
      </c>
      <c r="AV1240" s="95">
        <v>0</v>
      </c>
      <c r="AW1240" s="95">
        <v>0</v>
      </c>
      <c r="AX1240" s="95">
        <v>0</v>
      </c>
      <c r="AY1240" s="95">
        <v>0</v>
      </c>
      <c r="AZ1240" s="95">
        <v>0</v>
      </c>
      <c r="BA1240" s="95">
        <v>0</v>
      </c>
      <c r="BB1240" s="95">
        <v>0</v>
      </c>
      <c r="BC1240" s="95">
        <v>0</v>
      </c>
      <c r="BD1240" s="95">
        <v>0</v>
      </c>
      <c r="BE1240" s="95">
        <v>0</v>
      </c>
    </row>
    <row r="1241" spans="2:57" ht="15" customHeight="1" x14ac:dyDescent="0.25">
      <c r="B1241" s="96">
        <v>1231</v>
      </c>
      <c r="C1241" s="97" t="s">
        <v>504</v>
      </c>
      <c r="D1241" s="104" t="s">
        <v>85</v>
      </c>
      <c r="E1241" s="104" t="s">
        <v>423</v>
      </c>
      <c r="F1241" s="104" t="s">
        <v>334</v>
      </c>
      <c r="G1241" s="105" t="s">
        <v>334</v>
      </c>
      <c r="H1241" s="106">
        <v>2623</v>
      </c>
      <c r="I1241" s="106">
        <v>1886</v>
      </c>
      <c r="J1241" s="106">
        <v>737</v>
      </c>
      <c r="K1241" s="106">
        <v>162</v>
      </c>
      <c r="L1241" s="106">
        <v>805</v>
      </c>
      <c r="M1241" s="106">
        <v>1414</v>
      </c>
      <c r="N1241" s="106">
        <v>242</v>
      </c>
      <c r="O1241" s="106">
        <v>2534</v>
      </c>
      <c r="P1241" s="106">
        <v>89</v>
      </c>
      <c r="Q1241" s="107">
        <v>1.0961214165261399</v>
      </c>
      <c r="R1241" s="107">
        <v>0.62929061784897</v>
      </c>
      <c r="S1241" s="107">
        <v>2.4038461538461502</v>
      </c>
      <c r="T1241" s="107">
        <v>2.1428571428571401</v>
      </c>
      <c r="U1241" s="107">
        <v>0.96685082872928196</v>
      </c>
      <c r="V1241" s="107">
        <v>1.0140405616224699</v>
      </c>
      <c r="W1241" s="107">
        <v>1.3274336283185799</v>
      </c>
      <c r="X1241" s="107">
        <v>1.09361329833771</v>
      </c>
      <c r="Y1241" s="107">
        <v>1.16279069767442</v>
      </c>
      <c r="Z1241" s="106">
        <v>4138</v>
      </c>
      <c r="AA1241" s="106">
        <v>2648</v>
      </c>
      <c r="AB1241" s="106">
        <v>1490</v>
      </c>
      <c r="AC1241" s="106">
        <v>199</v>
      </c>
      <c r="AD1241" s="106">
        <v>1124</v>
      </c>
      <c r="AE1241" s="106">
        <v>2340</v>
      </c>
      <c r="AF1241" s="106">
        <v>475</v>
      </c>
      <c r="AG1241" s="106">
        <v>1557</v>
      </c>
      <c r="AH1241" s="106">
        <v>2450</v>
      </c>
      <c r="AI1241" s="106">
        <v>131</v>
      </c>
      <c r="AJ1241" s="106">
        <v>3809</v>
      </c>
      <c r="AK1241" s="106">
        <v>316</v>
      </c>
      <c r="AL1241" s="106">
        <v>13</v>
      </c>
      <c r="AM1241" s="106">
        <v>155</v>
      </c>
      <c r="AN1241" s="106">
        <v>3905</v>
      </c>
      <c r="AO1241" s="106">
        <v>78</v>
      </c>
      <c r="AP1241" s="107">
        <v>2.47955684515959</v>
      </c>
      <c r="AQ1241" s="107">
        <v>0.52824055262088598</v>
      </c>
      <c r="AR1241" s="107">
        <v>6.0902255639097698</v>
      </c>
      <c r="AS1241" s="107">
        <v>2.28571428571429</v>
      </c>
      <c r="AT1241" s="107">
        <v>2.5390625</v>
      </c>
      <c r="AU1241" s="107">
        <v>2.7518656716417902</v>
      </c>
      <c r="AV1241" s="107">
        <v>1.1160714285714299</v>
      </c>
      <c r="AW1241" s="107">
        <v>2.0861372812920602</v>
      </c>
      <c r="AX1241" s="107">
        <v>2.8780264961169499</v>
      </c>
      <c r="AY1241" s="107">
        <v>0</v>
      </c>
      <c r="AZ1241" s="107">
        <v>2.6488180005696398</v>
      </c>
      <c r="BA1241" s="107">
        <v>0.37453183520599298</v>
      </c>
      <c r="BB1241" s="107">
        <v>0</v>
      </c>
      <c r="BC1241" s="107">
        <v>0.66666666666666696</v>
      </c>
      <c r="BD1241" s="107">
        <v>2.5784753363228701</v>
      </c>
      <c r="BE1241" s="107">
        <v>1.3698630136986301</v>
      </c>
    </row>
    <row r="1242" spans="2:57" ht="15" customHeight="1" x14ac:dyDescent="0.25">
      <c r="B1242" s="91">
        <v>1232</v>
      </c>
      <c r="C1242" s="92" t="s">
        <v>504</v>
      </c>
      <c r="D1242" s="92" t="s">
        <v>85</v>
      </c>
      <c r="E1242" s="92" t="s">
        <v>423</v>
      </c>
      <c r="F1242" s="92" t="s">
        <v>334</v>
      </c>
      <c r="G1242" s="101" t="s">
        <v>501</v>
      </c>
      <c r="H1242" s="94">
        <v>1035</v>
      </c>
      <c r="I1242" s="94">
        <v>654</v>
      </c>
      <c r="J1242" s="94">
        <v>381</v>
      </c>
      <c r="K1242" s="94">
        <v>45</v>
      </c>
      <c r="L1242" s="94">
        <v>243</v>
      </c>
      <c r="M1242" s="94">
        <v>631</v>
      </c>
      <c r="N1242" s="94">
        <v>116</v>
      </c>
      <c r="O1242" s="94">
        <v>1012</v>
      </c>
      <c r="P1242" s="94">
        <v>23</v>
      </c>
      <c r="Q1242" s="95">
        <v>1.9047619047619</v>
      </c>
      <c r="R1242" s="95">
        <v>1.3289036544850501</v>
      </c>
      <c r="S1242" s="95">
        <v>2.9154518950437298</v>
      </c>
      <c r="T1242" s="95">
        <v>5.2631578947368398</v>
      </c>
      <c r="U1242" s="95">
        <v>1.79372197309417</v>
      </c>
      <c r="V1242" s="95">
        <v>1.55979202772964</v>
      </c>
      <c r="W1242" s="95">
        <v>2.8037383177570101</v>
      </c>
      <c r="X1242" s="95">
        <v>1.94805194805195</v>
      </c>
      <c r="Y1242" s="95">
        <v>0</v>
      </c>
      <c r="Z1242" s="94">
        <v>1584</v>
      </c>
      <c r="AA1242" s="94">
        <v>934</v>
      </c>
      <c r="AB1242" s="94">
        <v>650</v>
      </c>
      <c r="AC1242" s="94">
        <v>62</v>
      </c>
      <c r="AD1242" s="94">
        <v>398</v>
      </c>
      <c r="AE1242" s="94">
        <v>929</v>
      </c>
      <c r="AF1242" s="94">
        <v>195</v>
      </c>
      <c r="AG1242" s="94">
        <v>360</v>
      </c>
      <c r="AH1242" s="94">
        <v>1159</v>
      </c>
      <c r="AI1242" s="94">
        <v>65</v>
      </c>
      <c r="AJ1242" s="94">
        <v>1535</v>
      </c>
      <c r="AK1242" s="94">
        <v>44</v>
      </c>
      <c r="AL1242" s="94">
        <v>5</v>
      </c>
      <c r="AM1242" s="94">
        <v>74</v>
      </c>
      <c r="AN1242" s="94">
        <v>1491</v>
      </c>
      <c r="AO1242" s="94">
        <v>19</v>
      </c>
      <c r="AP1242" s="95">
        <v>5.5013927576601702</v>
      </c>
      <c r="AQ1242" s="95">
        <v>1.16959064327485</v>
      </c>
      <c r="AR1242" s="95">
        <v>11.8760757314974</v>
      </c>
      <c r="AS1242" s="95">
        <v>7.1428571428571397</v>
      </c>
      <c r="AT1242" s="95">
        <v>6.3535911602209998</v>
      </c>
      <c r="AU1242" s="95">
        <v>5.7074910820451796</v>
      </c>
      <c r="AV1242" s="95">
        <v>2.2598870056497198</v>
      </c>
      <c r="AW1242" s="95">
        <v>6.6066066066066096</v>
      </c>
      <c r="AX1242" s="95">
        <v>5.4702495201535504</v>
      </c>
      <c r="AY1242" s="95">
        <v>0</v>
      </c>
      <c r="AZ1242" s="95">
        <v>5.59540889526542</v>
      </c>
      <c r="BA1242" s="95">
        <v>2.7027027027027</v>
      </c>
      <c r="BB1242" s="95">
        <v>0</v>
      </c>
      <c r="BC1242" s="95">
        <v>1.4492753623188399</v>
      </c>
      <c r="BD1242" s="95">
        <v>5.7079318013343201</v>
      </c>
      <c r="BE1242" s="95">
        <v>5.5555555555555598</v>
      </c>
    </row>
    <row r="1243" spans="2:57" ht="15" customHeight="1" x14ac:dyDescent="0.25">
      <c r="B1243" s="91">
        <v>1233</v>
      </c>
      <c r="C1243" s="92" t="s">
        <v>504</v>
      </c>
      <c r="D1243" s="92" t="s">
        <v>85</v>
      </c>
      <c r="E1243" s="92" t="s">
        <v>423</v>
      </c>
      <c r="F1243" s="92" t="s">
        <v>334</v>
      </c>
      <c r="G1243" s="101" t="s">
        <v>502</v>
      </c>
      <c r="H1243" s="94">
        <v>1588</v>
      </c>
      <c r="I1243" s="94">
        <v>1232</v>
      </c>
      <c r="J1243" s="94">
        <v>356</v>
      </c>
      <c r="K1243" s="94">
        <v>117</v>
      </c>
      <c r="L1243" s="94">
        <v>562</v>
      </c>
      <c r="M1243" s="94">
        <v>783</v>
      </c>
      <c r="N1243" s="94">
        <v>126</v>
      </c>
      <c r="O1243" s="94">
        <v>1522</v>
      </c>
      <c r="P1243" s="94">
        <v>66</v>
      </c>
      <c r="Q1243" s="95">
        <v>0.56061667834618101</v>
      </c>
      <c r="R1243" s="95">
        <v>0.26178010471204199</v>
      </c>
      <c r="S1243" s="95">
        <v>1.77935943060498</v>
      </c>
      <c r="T1243" s="95">
        <v>0.98039215686274495</v>
      </c>
      <c r="U1243" s="95">
        <v>0.59880239520958101</v>
      </c>
      <c r="V1243" s="95">
        <v>0.56737588652482296</v>
      </c>
      <c r="W1243" s="95">
        <v>0</v>
      </c>
      <c r="X1243" s="95">
        <v>0.51395007342143895</v>
      </c>
      <c r="Y1243" s="95">
        <v>1.5384615384615401</v>
      </c>
      <c r="Z1243" s="94">
        <v>2554</v>
      </c>
      <c r="AA1243" s="94">
        <v>1714</v>
      </c>
      <c r="AB1243" s="94">
        <v>840</v>
      </c>
      <c r="AC1243" s="94">
        <v>137</v>
      </c>
      <c r="AD1243" s="94">
        <v>726</v>
      </c>
      <c r="AE1243" s="94">
        <v>1411</v>
      </c>
      <c r="AF1243" s="94">
        <v>280</v>
      </c>
      <c r="AG1243" s="94">
        <v>1197</v>
      </c>
      <c r="AH1243" s="94">
        <v>1291</v>
      </c>
      <c r="AI1243" s="94">
        <v>66</v>
      </c>
      <c r="AJ1243" s="94">
        <v>2274</v>
      </c>
      <c r="AK1243" s="94">
        <v>272</v>
      </c>
      <c r="AL1243" s="94">
        <v>8</v>
      </c>
      <c r="AM1243" s="94">
        <v>81</v>
      </c>
      <c r="AN1243" s="94">
        <v>2414</v>
      </c>
      <c r="AO1243" s="94">
        <v>59</v>
      </c>
      <c r="AP1243" s="95">
        <v>0.63694267515923597</v>
      </c>
      <c r="AQ1243" s="95">
        <v>0.18679950186799499</v>
      </c>
      <c r="AR1243" s="95">
        <v>1.60213618157543</v>
      </c>
      <c r="AS1243" s="95">
        <v>0</v>
      </c>
      <c r="AT1243" s="95">
        <v>0.45317220543806702</v>
      </c>
      <c r="AU1243" s="95">
        <v>0.84420567920184197</v>
      </c>
      <c r="AV1243" s="95">
        <v>0.36900369003689998</v>
      </c>
      <c r="AW1243" s="95">
        <v>0.78057241977450098</v>
      </c>
      <c r="AX1243" s="95">
        <v>0.52310374891020095</v>
      </c>
      <c r="AY1243" s="95">
        <v>0</v>
      </c>
      <c r="AZ1243" s="95">
        <v>0.70854983467170496</v>
      </c>
      <c r="BA1243" s="95">
        <v>0</v>
      </c>
      <c r="BB1243" s="95">
        <v>0</v>
      </c>
      <c r="BC1243" s="95">
        <v>0</v>
      </c>
      <c r="BD1243" s="95">
        <v>0.67598017124831</v>
      </c>
      <c r="BE1243" s="95">
        <v>0</v>
      </c>
    </row>
    <row r="1244" spans="2:57" ht="15" customHeight="1" x14ac:dyDescent="0.25">
      <c r="B1244" s="86">
        <v>1234</v>
      </c>
      <c r="C1244" s="87" t="s">
        <v>503</v>
      </c>
      <c r="D1244" s="103" t="s">
        <v>85</v>
      </c>
      <c r="E1244" s="103" t="s">
        <v>424</v>
      </c>
      <c r="F1244" s="103"/>
      <c r="G1244" s="88" t="s">
        <v>424</v>
      </c>
      <c r="H1244" s="89">
        <v>19757</v>
      </c>
      <c r="I1244" s="89">
        <v>13512</v>
      </c>
      <c r="J1244" s="89">
        <v>6245</v>
      </c>
      <c r="K1244" s="89">
        <v>1500</v>
      </c>
      <c r="L1244" s="89">
        <v>6042</v>
      </c>
      <c r="M1244" s="89">
        <v>10495</v>
      </c>
      <c r="N1244" s="89">
        <v>1720</v>
      </c>
      <c r="O1244" s="89">
        <v>19532</v>
      </c>
      <c r="P1244" s="89">
        <v>225</v>
      </c>
      <c r="Q1244" s="90">
        <v>0.76914179967615104</v>
      </c>
      <c r="R1244" s="90">
        <v>0.32562411288302601</v>
      </c>
      <c r="S1244" s="90">
        <v>1.7685794920037601</v>
      </c>
      <c r="T1244" s="90">
        <v>1.4876033057851199</v>
      </c>
      <c r="U1244" s="90">
        <v>0.87057457922228698</v>
      </c>
      <c r="V1244" s="90">
        <v>0.68237551977822797</v>
      </c>
      <c r="W1244" s="90">
        <v>0.39113428943937401</v>
      </c>
      <c r="X1244" s="90">
        <v>0.77864293659621797</v>
      </c>
      <c r="Y1244" s="90">
        <v>0</v>
      </c>
      <c r="Z1244" s="89">
        <v>28305</v>
      </c>
      <c r="AA1244" s="89">
        <v>18280</v>
      </c>
      <c r="AB1244" s="89">
        <v>10025</v>
      </c>
      <c r="AC1244" s="89">
        <v>1486</v>
      </c>
      <c r="AD1244" s="89">
        <v>7893</v>
      </c>
      <c r="AE1244" s="89">
        <v>16082</v>
      </c>
      <c r="AF1244" s="89">
        <v>2844</v>
      </c>
      <c r="AG1244" s="89">
        <v>15507</v>
      </c>
      <c r="AH1244" s="89">
        <v>12414</v>
      </c>
      <c r="AI1244" s="89">
        <v>384</v>
      </c>
      <c r="AJ1244" s="89">
        <v>27843</v>
      </c>
      <c r="AK1244" s="89">
        <v>353</v>
      </c>
      <c r="AL1244" s="89">
        <v>109</v>
      </c>
      <c r="AM1244" s="89">
        <v>1296</v>
      </c>
      <c r="AN1244" s="89">
        <v>26616</v>
      </c>
      <c r="AO1244" s="89">
        <v>393</v>
      </c>
      <c r="AP1244" s="90">
        <v>3.64254675987153</v>
      </c>
      <c r="AQ1244" s="90">
        <v>0.98964060420163202</v>
      </c>
      <c r="AR1244" s="90">
        <v>8.6327019377313299</v>
      </c>
      <c r="AS1244" s="90">
        <v>5.8605341246290799</v>
      </c>
      <c r="AT1244" s="90">
        <v>4.4739362429881</v>
      </c>
      <c r="AU1244" s="90">
        <v>3.3794977138691902</v>
      </c>
      <c r="AV1244" s="90">
        <v>1.76665439823335</v>
      </c>
      <c r="AW1244" s="90">
        <v>3.4631737758880798</v>
      </c>
      <c r="AX1244" s="90">
        <v>3.8654879528514501</v>
      </c>
      <c r="AY1244" s="90">
        <v>3.7681159420289898</v>
      </c>
      <c r="AZ1244" s="90">
        <v>3.67525634624986</v>
      </c>
      <c r="BA1244" s="90">
        <v>1.24223602484472</v>
      </c>
      <c r="BB1244" s="90">
        <v>2.8846153846153801</v>
      </c>
      <c r="BC1244" s="90">
        <v>3.1173092698933602</v>
      </c>
      <c r="BD1244" s="90">
        <v>3.6757321335315098</v>
      </c>
      <c r="BE1244" s="90">
        <v>3.1161473087818701</v>
      </c>
    </row>
    <row r="1245" spans="2:57" ht="15" customHeight="1" x14ac:dyDescent="0.25">
      <c r="B1245" s="91">
        <v>1235</v>
      </c>
      <c r="C1245" s="92" t="s">
        <v>503</v>
      </c>
      <c r="D1245" s="92" t="s">
        <v>85</v>
      </c>
      <c r="E1245" s="92" t="s">
        <v>424</v>
      </c>
      <c r="F1245" s="92"/>
      <c r="G1245" s="93" t="s">
        <v>501</v>
      </c>
      <c r="H1245" s="94">
        <v>11565</v>
      </c>
      <c r="I1245" s="94">
        <v>7323</v>
      </c>
      <c r="J1245" s="94">
        <v>4242</v>
      </c>
      <c r="K1245" s="94">
        <v>873</v>
      </c>
      <c r="L1245" s="94">
        <v>3642</v>
      </c>
      <c r="M1245" s="94">
        <v>5981</v>
      </c>
      <c r="N1245" s="94">
        <v>1069</v>
      </c>
      <c r="O1245" s="94">
        <v>11496</v>
      </c>
      <c r="P1245" s="94">
        <v>69</v>
      </c>
      <c r="Q1245" s="95">
        <v>1.06736481723895</v>
      </c>
      <c r="R1245" s="95">
        <v>0.5359394703657</v>
      </c>
      <c r="S1245" s="95">
        <v>2.0072483969891302</v>
      </c>
      <c r="T1245" s="95">
        <v>1.92592592592593</v>
      </c>
      <c r="U1245" s="95">
        <v>1.21152586771447</v>
      </c>
      <c r="V1245" s="95">
        <v>0.94840667678300405</v>
      </c>
      <c r="W1245" s="95">
        <v>0.64516129032258096</v>
      </c>
      <c r="X1245" s="95">
        <v>1.0739614994934099</v>
      </c>
      <c r="Y1245" s="95">
        <v>0</v>
      </c>
      <c r="Z1245" s="94">
        <v>13125</v>
      </c>
      <c r="AA1245" s="94">
        <v>7978</v>
      </c>
      <c r="AB1245" s="94">
        <v>5147</v>
      </c>
      <c r="AC1245" s="94">
        <v>710</v>
      </c>
      <c r="AD1245" s="94">
        <v>3619</v>
      </c>
      <c r="AE1245" s="94">
        <v>7429</v>
      </c>
      <c r="AF1245" s="94">
        <v>1367</v>
      </c>
      <c r="AG1245" s="94">
        <v>7179</v>
      </c>
      <c r="AH1245" s="94">
        <v>5769</v>
      </c>
      <c r="AI1245" s="94">
        <v>177</v>
      </c>
      <c r="AJ1245" s="94">
        <v>12989</v>
      </c>
      <c r="AK1245" s="94">
        <v>86</v>
      </c>
      <c r="AL1245" s="94">
        <v>50</v>
      </c>
      <c r="AM1245" s="94">
        <v>725</v>
      </c>
      <c r="AN1245" s="94">
        <v>12214</v>
      </c>
      <c r="AO1245" s="94">
        <v>186</v>
      </c>
      <c r="AP1245" s="95">
        <v>5.6208609271523198</v>
      </c>
      <c r="AQ1245" s="95">
        <v>1.7709882384750599</v>
      </c>
      <c r="AR1245" s="95">
        <v>11.701900491138201</v>
      </c>
      <c r="AS1245" s="95">
        <v>9.5238095238095202</v>
      </c>
      <c r="AT1245" s="95">
        <v>6.94910088387687</v>
      </c>
      <c r="AU1245" s="95">
        <v>5.0619985412107997</v>
      </c>
      <c r="AV1245" s="95">
        <v>3.2482598607888602</v>
      </c>
      <c r="AW1245" s="95">
        <v>5.2134831460674196</v>
      </c>
      <c r="AX1245" s="95">
        <v>6.1488673139158596</v>
      </c>
      <c r="AY1245" s="95">
        <v>5.2631578947368398</v>
      </c>
      <c r="AZ1245" s="95">
        <v>5.6475903614457801</v>
      </c>
      <c r="BA1245" s="95">
        <v>2.4390243902439002</v>
      </c>
      <c r="BB1245" s="95">
        <v>4.3478260869565197</v>
      </c>
      <c r="BC1245" s="95">
        <v>4.6130952380952399</v>
      </c>
      <c r="BD1245" s="95">
        <v>5.6850533807829198</v>
      </c>
      <c r="BE1245" s="95">
        <v>5.3571428571428603</v>
      </c>
    </row>
    <row r="1246" spans="2:57" ht="15" customHeight="1" x14ac:dyDescent="0.25">
      <c r="B1246" s="91">
        <v>1236</v>
      </c>
      <c r="C1246" s="92" t="s">
        <v>503</v>
      </c>
      <c r="D1246" s="92" t="s">
        <v>85</v>
      </c>
      <c r="E1246" s="92" t="s">
        <v>424</v>
      </c>
      <c r="F1246" s="92"/>
      <c r="G1246" s="93" t="s">
        <v>502</v>
      </c>
      <c r="H1246" s="94">
        <v>8192</v>
      </c>
      <c r="I1246" s="94">
        <v>6189</v>
      </c>
      <c r="J1246" s="94">
        <v>2003</v>
      </c>
      <c r="K1246" s="94">
        <v>627</v>
      </c>
      <c r="L1246" s="94">
        <v>2400</v>
      </c>
      <c r="M1246" s="94">
        <v>4514</v>
      </c>
      <c r="N1246" s="94">
        <v>651</v>
      </c>
      <c r="O1246" s="94">
        <v>8036</v>
      </c>
      <c r="P1246" s="94">
        <v>156</v>
      </c>
      <c r="Q1246" s="95">
        <v>0.36679798940361402</v>
      </c>
      <c r="R1246" s="95">
        <v>8.8762648677436495E-2</v>
      </c>
      <c r="S1246" s="95">
        <v>1.2731481481481499</v>
      </c>
      <c r="T1246" s="95">
        <v>0.934579439252336</v>
      </c>
      <c r="U1246" s="95">
        <v>0.37825059101654801</v>
      </c>
      <c r="V1246" s="95">
        <v>0.34088142196250298</v>
      </c>
      <c r="W1246" s="95">
        <v>0</v>
      </c>
      <c r="X1246" s="95">
        <v>0.37442795728747702</v>
      </c>
      <c r="Y1246" s="95">
        <v>0</v>
      </c>
      <c r="Z1246" s="94">
        <v>15180</v>
      </c>
      <c r="AA1246" s="94">
        <v>10302</v>
      </c>
      <c r="AB1246" s="94">
        <v>4878</v>
      </c>
      <c r="AC1246" s="94">
        <v>776</v>
      </c>
      <c r="AD1246" s="94">
        <v>4274</v>
      </c>
      <c r="AE1246" s="94">
        <v>8653</v>
      </c>
      <c r="AF1246" s="94">
        <v>1477</v>
      </c>
      <c r="AG1246" s="94">
        <v>8328</v>
      </c>
      <c r="AH1246" s="94">
        <v>6645</v>
      </c>
      <c r="AI1246" s="94">
        <v>207</v>
      </c>
      <c r="AJ1246" s="94">
        <v>14854</v>
      </c>
      <c r="AK1246" s="94">
        <v>267</v>
      </c>
      <c r="AL1246" s="94">
        <v>59</v>
      </c>
      <c r="AM1246" s="94">
        <v>571</v>
      </c>
      <c r="AN1246" s="94">
        <v>14402</v>
      </c>
      <c r="AO1246" s="94">
        <v>207</v>
      </c>
      <c r="AP1246" s="95">
        <v>1.98123044838373</v>
      </c>
      <c r="AQ1246" s="95">
        <v>0.40477636106051401</v>
      </c>
      <c r="AR1246" s="95">
        <v>5.4408172329558102</v>
      </c>
      <c r="AS1246" s="95">
        <v>2.4390243902439002</v>
      </c>
      <c r="AT1246" s="95">
        <v>2.4577954319761699</v>
      </c>
      <c r="AU1246" s="95">
        <v>1.97911607576493</v>
      </c>
      <c r="AV1246" s="95">
        <v>0.42134831460674199</v>
      </c>
      <c r="AW1246" s="95">
        <v>1.9855823953459</v>
      </c>
      <c r="AX1246" s="95">
        <v>1.9570405727923601</v>
      </c>
      <c r="AY1246" s="95">
        <v>2.59067357512953</v>
      </c>
      <c r="AZ1246" s="95">
        <v>2.0018456733158199</v>
      </c>
      <c r="BA1246" s="95">
        <v>0.83333333333333304</v>
      </c>
      <c r="BB1246" s="95">
        <v>1.72413793103448</v>
      </c>
      <c r="BC1246" s="95">
        <v>1.2797074954296199</v>
      </c>
      <c r="BD1246" s="95">
        <v>2.0215337288508</v>
      </c>
      <c r="BE1246" s="95">
        <v>1.08108108108108</v>
      </c>
    </row>
    <row r="1247" spans="2:57" ht="15" customHeight="1" x14ac:dyDescent="0.25">
      <c r="B1247" s="96">
        <v>1237</v>
      </c>
      <c r="C1247" s="97" t="s">
        <v>504</v>
      </c>
      <c r="D1247" s="104" t="s">
        <v>85</v>
      </c>
      <c r="E1247" s="104" t="s">
        <v>424</v>
      </c>
      <c r="F1247" s="104" t="s">
        <v>335</v>
      </c>
      <c r="G1247" s="105" t="s">
        <v>335</v>
      </c>
      <c r="H1247" s="106">
        <v>10849</v>
      </c>
      <c r="I1247" s="106">
        <v>7122</v>
      </c>
      <c r="J1247" s="106">
        <v>3727</v>
      </c>
      <c r="K1247" s="106">
        <v>897</v>
      </c>
      <c r="L1247" s="106">
        <v>3457</v>
      </c>
      <c r="M1247" s="106">
        <v>5551</v>
      </c>
      <c r="N1247" s="106">
        <v>944</v>
      </c>
      <c r="O1247" s="106">
        <v>10725</v>
      </c>
      <c r="P1247" s="106">
        <v>124</v>
      </c>
      <c r="Q1247" s="107">
        <v>1.06963311584127</v>
      </c>
      <c r="R1247" s="107">
        <v>0.51637889301274797</v>
      </c>
      <c r="S1247" s="107">
        <v>2.15736040609137</v>
      </c>
      <c r="T1247" s="107">
        <v>2.08044382801664</v>
      </c>
      <c r="U1247" s="107">
        <v>1.1076497057805501</v>
      </c>
      <c r="V1247" s="107">
        <v>0.95801059926620502</v>
      </c>
      <c r="W1247" s="107">
        <v>0.72028811524609804</v>
      </c>
      <c r="X1247" s="107">
        <v>1.0831889081455801</v>
      </c>
      <c r="Y1247" s="107">
        <v>0</v>
      </c>
      <c r="Z1247" s="106">
        <v>16165</v>
      </c>
      <c r="AA1247" s="106">
        <v>10297</v>
      </c>
      <c r="AB1247" s="106">
        <v>5868</v>
      </c>
      <c r="AC1247" s="106">
        <v>890</v>
      </c>
      <c r="AD1247" s="106">
        <v>4689</v>
      </c>
      <c r="AE1247" s="106">
        <v>9101</v>
      </c>
      <c r="AF1247" s="106">
        <v>1485</v>
      </c>
      <c r="AG1247" s="106">
        <v>8604</v>
      </c>
      <c r="AH1247" s="106">
        <v>7274</v>
      </c>
      <c r="AI1247" s="106">
        <v>287</v>
      </c>
      <c r="AJ1247" s="106">
        <v>15893</v>
      </c>
      <c r="AK1247" s="106">
        <v>217</v>
      </c>
      <c r="AL1247" s="106">
        <v>55</v>
      </c>
      <c r="AM1247" s="106">
        <v>756</v>
      </c>
      <c r="AN1247" s="106">
        <v>15148</v>
      </c>
      <c r="AO1247" s="106">
        <v>261</v>
      </c>
      <c r="AP1247" s="107">
        <v>4.5372535917140002</v>
      </c>
      <c r="AQ1247" s="107">
        <v>1.3194805194805199</v>
      </c>
      <c r="AR1247" s="107">
        <v>10.337078651685401</v>
      </c>
      <c r="AS1247" s="107">
        <v>7.24094881398252</v>
      </c>
      <c r="AT1247" s="107">
        <v>5.4609101516919498</v>
      </c>
      <c r="AU1247" s="107">
        <v>4.1401273885350296</v>
      </c>
      <c r="AV1247" s="107">
        <v>2.5695931477516099</v>
      </c>
      <c r="AW1247" s="107">
        <v>4.4394562913081401</v>
      </c>
      <c r="AX1247" s="107">
        <v>4.7057066029280001</v>
      </c>
      <c r="AY1247" s="107">
        <v>3.17460317460317</v>
      </c>
      <c r="AZ1247" s="107">
        <v>4.5797377182849797</v>
      </c>
      <c r="BA1247" s="107">
        <v>1.5228426395939101</v>
      </c>
      <c r="BB1247" s="107">
        <v>3.9215686274509798</v>
      </c>
      <c r="BC1247" s="107">
        <v>3.8406827880512102</v>
      </c>
      <c r="BD1247" s="107">
        <v>4.5765611633875096</v>
      </c>
      <c r="BE1247" s="107">
        <v>4.2735042735042699</v>
      </c>
    </row>
    <row r="1248" spans="2:57" ht="15" customHeight="1" x14ac:dyDescent="0.25">
      <c r="B1248" s="91">
        <v>1238</v>
      </c>
      <c r="C1248" s="92" t="s">
        <v>504</v>
      </c>
      <c r="D1248" s="92" t="s">
        <v>85</v>
      </c>
      <c r="E1248" s="92" t="s">
        <v>424</v>
      </c>
      <c r="F1248" s="92" t="s">
        <v>335</v>
      </c>
      <c r="G1248" s="101" t="s">
        <v>501</v>
      </c>
      <c r="H1248" s="94">
        <v>7746</v>
      </c>
      <c r="I1248" s="94">
        <v>4894</v>
      </c>
      <c r="J1248" s="94">
        <v>2852</v>
      </c>
      <c r="K1248" s="94">
        <v>622</v>
      </c>
      <c r="L1248" s="94">
        <v>2531</v>
      </c>
      <c r="M1248" s="94">
        <v>3929</v>
      </c>
      <c r="N1248" s="94">
        <v>664</v>
      </c>
      <c r="O1248" s="94">
        <v>7691</v>
      </c>
      <c r="P1248" s="94">
        <v>55</v>
      </c>
      <c r="Q1248" s="95">
        <v>1.29479072568503</v>
      </c>
      <c r="R1248" s="95">
        <v>0.68541715906405098</v>
      </c>
      <c r="S1248" s="95">
        <v>2.3641642472003301</v>
      </c>
      <c r="T1248" s="95">
        <v>2.4390243902439002</v>
      </c>
      <c r="U1248" s="95">
        <v>1.3789824060865401</v>
      </c>
      <c r="V1248" s="95">
        <v>1.1226252158894601</v>
      </c>
      <c r="W1248" s="95">
        <v>1.04712041884817</v>
      </c>
      <c r="X1248" s="95">
        <v>1.3046116504854399</v>
      </c>
      <c r="Y1248" s="95">
        <v>0</v>
      </c>
      <c r="Z1248" s="94">
        <v>9813</v>
      </c>
      <c r="AA1248" s="94">
        <v>5980</v>
      </c>
      <c r="AB1248" s="94">
        <v>3833</v>
      </c>
      <c r="AC1248" s="94">
        <v>566</v>
      </c>
      <c r="AD1248" s="94">
        <v>2830</v>
      </c>
      <c r="AE1248" s="94">
        <v>5480</v>
      </c>
      <c r="AF1248" s="94">
        <v>937</v>
      </c>
      <c r="AG1248" s="94">
        <v>4881</v>
      </c>
      <c r="AH1248" s="94">
        <v>4777</v>
      </c>
      <c r="AI1248" s="94">
        <v>155</v>
      </c>
      <c r="AJ1248" s="94">
        <v>9715</v>
      </c>
      <c r="AK1248" s="94">
        <v>70</v>
      </c>
      <c r="AL1248" s="94">
        <v>28</v>
      </c>
      <c r="AM1248" s="94">
        <v>532</v>
      </c>
      <c r="AN1248" s="94">
        <v>9133</v>
      </c>
      <c r="AO1248" s="94">
        <v>148</v>
      </c>
      <c r="AP1248" s="95">
        <v>6.3815569662545899</v>
      </c>
      <c r="AQ1248" s="95">
        <v>2.09052899472823</v>
      </c>
      <c r="AR1248" s="95">
        <v>13.168487636572699</v>
      </c>
      <c r="AS1248" s="95">
        <v>10.444874274661499</v>
      </c>
      <c r="AT1248" s="95">
        <v>7.5019638648860996</v>
      </c>
      <c r="AU1248" s="95">
        <v>5.8344909704306396</v>
      </c>
      <c r="AV1248" s="95">
        <v>3.8768529076396798</v>
      </c>
      <c r="AW1248" s="95">
        <v>6.4816870144284104</v>
      </c>
      <c r="AX1248" s="95">
        <v>6.33202855169238</v>
      </c>
      <c r="AY1248" s="95">
        <v>4.5801526717557204</v>
      </c>
      <c r="AZ1248" s="95">
        <v>6.4145847400405103</v>
      </c>
      <c r="BA1248" s="95">
        <v>2.9411764705882399</v>
      </c>
      <c r="BB1248" s="95">
        <v>4</v>
      </c>
      <c r="BC1248" s="95">
        <v>4.7034764826175897</v>
      </c>
      <c r="BD1248" s="95">
        <v>6.4736149335886104</v>
      </c>
      <c r="BE1248" s="95">
        <v>6.7669172932330799</v>
      </c>
    </row>
    <row r="1249" spans="2:57" ht="15" customHeight="1" x14ac:dyDescent="0.25">
      <c r="B1249" s="91">
        <v>1239</v>
      </c>
      <c r="C1249" s="92" t="s">
        <v>504</v>
      </c>
      <c r="D1249" s="92" t="s">
        <v>85</v>
      </c>
      <c r="E1249" s="92" t="s">
        <v>424</v>
      </c>
      <c r="F1249" s="92" t="s">
        <v>335</v>
      </c>
      <c r="G1249" s="101" t="s">
        <v>502</v>
      </c>
      <c r="H1249" s="94">
        <v>3103</v>
      </c>
      <c r="I1249" s="94">
        <v>2228</v>
      </c>
      <c r="J1249" s="94">
        <v>875</v>
      </c>
      <c r="K1249" s="94">
        <v>275</v>
      </c>
      <c r="L1249" s="94">
        <v>926</v>
      </c>
      <c r="M1249" s="94">
        <v>1622</v>
      </c>
      <c r="N1249" s="94">
        <v>280</v>
      </c>
      <c r="O1249" s="94">
        <v>3034</v>
      </c>
      <c r="P1249" s="94">
        <v>69</v>
      </c>
      <c r="Q1249" s="95">
        <v>0.51717768747691195</v>
      </c>
      <c r="R1249" s="95">
        <v>0.152594099694812</v>
      </c>
      <c r="S1249" s="95">
        <v>1.48448043184885</v>
      </c>
      <c r="T1249" s="95">
        <v>1.31004366812227</v>
      </c>
      <c r="U1249" s="95">
        <v>0.38167938931297701</v>
      </c>
      <c r="V1249" s="95">
        <v>0.55865921787709505</v>
      </c>
      <c r="W1249" s="95">
        <v>0</v>
      </c>
      <c r="X1249" s="95">
        <v>0.53030303030303005</v>
      </c>
      <c r="Y1249" s="95">
        <v>0</v>
      </c>
      <c r="Z1249" s="94">
        <v>6352</v>
      </c>
      <c r="AA1249" s="94">
        <v>4317</v>
      </c>
      <c r="AB1249" s="94">
        <v>2035</v>
      </c>
      <c r="AC1249" s="94">
        <v>324</v>
      </c>
      <c r="AD1249" s="94">
        <v>1859</v>
      </c>
      <c r="AE1249" s="94">
        <v>3621</v>
      </c>
      <c r="AF1249" s="94">
        <v>548</v>
      </c>
      <c r="AG1249" s="94">
        <v>3723</v>
      </c>
      <c r="AH1249" s="94">
        <v>2497</v>
      </c>
      <c r="AI1249" s="94">
        <v>132</v>
      </c>
      <c r="AJ1249" s="94">
        <v>6178</v>
      </c>
      <c r="AK1249" s="94">
        <v>147</v>
      </c>
      <c r="AL1249" s="94">
        <v>27</v>
      </c>
      <c r="AM1249" s="94">
        <v>224</v>
      </c>
      <c r="AN1249" s="94">
        <v>6015</v>
      </c>
      <c r="AO1249" s="94">
        <v>113</v>
      </c>
      <c r="AP1249" s="95">
        <v>1.7707985299031099</v>
      </c>
      <c r="AQ1249" s="95">
        <v>0.29097963142580002</v>
      </c>
      <c r="AR1249" s="95">
        <v>5.0483351235230902</v>
      </c>
      <c r="AS1249" s="95">
        <v>1.40845070422535</v>
      </c>
      <c r="AT1249" s="95">
        <v>2.4726854514088599</v>
      </c>
      <c r="AU1249" s="95">
        <v>1.65745856353591</v>
      </c>
      <c r="AV1249" s="95">
        <v>0.38167938931297701</v>
      </c>
      <c r="AW1249" s="95">
        <v>1.82128628343768</v>
      </c>
      <c r="AX1249" s="95">
        <v>1.70140365801786</v>
      </c>
      <c r="AY1249" s="95">
        <v>1.65289256198347</v>
      </c>
      <c r="AZ1249" s="95">
        <v>1.78357057108558</v>
      </c>
      <c r="BA1249" s="95">
        <v>0.775193798449612</v>
      </c>
      <c r="BB1249" s="95">
        <v>3.8461538461538498</v>
      </c>
      <c r="BC1249" s="95">
        <v>1.86915887850467</v>
      </c>
      <c r="BD1249" s="95">
        <v>1.78099100687709</v>
      </c>
      <c r="BE1249" s="95">
        <v>0.99009900990098998</v>
      </c>
    </row>
    <row r="1250" spans="2:57" ht="15" customHeight="1" x14ac:dyDescent="0.25">
      <c r="B1250" s="96">
        <v>1240</v>
      </c>
      <c r="C1250" s="97" t="s">
        <v>504</v>
      </c>
      <c r="D1250" s="104" t="s">
        <v>85</v>
      </c>
      <c r="E1250" s="104" t="s">
        <v>424</v>
      </c>
      <c r="F1250" s="104" t="s">
        <v>77</v>
      </c>
      <c r="G1250" s="105" t="s">
        <v>77</v>
      </c>
      <c r="H1250" s="106">
        <v>2534</v>
      </c>
      <c r="I1250" s="106">
        <v>1624</v>
      </c>
      <c r="J1250" s="106">
        <v>910</v>
      </c>
      <c r="K1250" s="106">
        <v>166</v>
      </c>
      <c r="L1250" s="106">
        <v>743</v>
      </c>
      <c r="M1250" s="106">
        <v>1364</v>
      </c>
      <c r="N1250" s="106">
        <v>261</v>
      </c>
      <c r="O1250" s="106">
        <v>2530</v>
      </c>
      <c r="P1250" s="106">
        <v>4</v>
      </c>
      <c r="Q1250" s="107">
        <v>0.60046189376443404</v>
      </c>
      <c r="R1250" s="107">
        <v>0.213827512473272</v>
      </c>
      <c r="S1250" s="107">
        <v>1.31233595800525</v>
      </c>
      <c r="T1250" s="107">
        <v>0</v>
      </c>
      <c r="U1250" s="107">
        <v>1.13268608414239</v>
      </c>
      <c r="V1250" s="107">
        <v>0.50251256281406997</v>
      </c>
      <c r="W1250" s="107">
        <v>0</v>
      </c>
      <c r="X1250" s="107">
        <v>0.60073937153419599</v>
      </c>
      <c r="Y1250" s="107">
        <v>0</v>
      </c>
      <c r="Z1250" s="106">
        <v>2674</v>
      </c>
      <c r="AA1250" s="106">
        <v>1653</v>
      </c>
      <c r="AB1250" s="106">
        <v>1021</v>
      </c>
      <c r="AC1250" s="106">
        <v>104</v>
      </c>
      <c r="AD1250" s="106">
        <v>653</v>
      </c>
      <c r="AE1250" s="106">
        <v>1592</v>
      </c>
      <c r="AF1250" s="106">
        <v>325</v>
      </c>
      <c r="AG1250" s="106">
        <v>2445</v>
      </c>
      <c r="AH1250" s="106">
        <v>219</v>
      </c>
      <c r="AI1250" s="106">
        <v>10</v>
      </c>
      <c r="AJ1250" s="106">
        <v>2640</v>
      </c>
      <c r="AK1250" s="106">
        <v>11</v>
      </c>
      <c r="AL1250" s="106">
        <v>23</v>
      </c>
      <c r="AM1250" s="106">
        <v>142</v>
      </c>
      <c r="AN1250" s="106">
        <v>2485</v>
      </c>
      <c r="AO1250" s="106">
        <v>47</v>
      </c>
      <c r="AP1250" s="107">
        <v>1.7828843106180701</v>
      </c>
      <c r="AQ1250" s="107">
        <v>0.56890012642224996</v>
      </c>
      <c r="AR1250" s="107">
        <v>3.8216560509554101</v>
      </c>
      <c r="AS1250" s="107">
        <v>2</v>
      </c>
      <c r="AT1250" s="107">
        <v>2.9654036243822102</v>
      </c>
      <c r="AU1250" s="107">
        <v>1.60106737825217</v>
      </c>
      <c r="AV1250" s="107">
        <v>0.31446540880503099</v>
      </c>
      <c r="AW1250" s="107">
        <v>1.85825410544512</v>
      </c>
      <c r="AX1250" s="107">
        <v>0.99502487562189101</v>
      </c>
      <c r="AY1250" s="107">
        <v>0</v>
      </c>
      <c r="AZ1250" s="107">
        <v>1.76565008025682</v>
      </c>
      <c r="BA1250" s="107">
        <v>0</v>
      </c>
      <c r="BB1250" s="107">
        <v>4.5454545454545503</v>
      </c>
      <c r="BC1250" s="107">
        <v>1.4492753623188399</v>
      </c>
      <c r="BD1250" s="107">
        <v>1.8352539479300001</v>
      </c>
      <c r="BE1250" s="107">
        <v>0</v>
      </c>
    </row>
    <row r="1251" spans="2:57" ht="15" customHeight="1" x14ac:dyDescent="0.25">
      <c r="B1251" s="91">
        <v>1241</v>
      </c>
      <c r="C1251" s="92" t="s">
        <v>504</v>
      </c>
      <c r="D1251" s="92" t="s">
        <v>85</v>
      </c>
      <c r="E1251" s="92" t="s">
        <v>424</v>
      </c>
      <c r="F1251" s="92" t="s">
        <v>77</v>
      </c>
      <c r="G1251" s="101" t="s">
        <v>501</v>
      </c>
      <c r="H1251" s="94">
        <v>2214</v>
      </c>
      <c r="I1251" s="94">
        <v>1374</v>
      </c>
      <c r="J1251" s="94">
        <v>840</v>
      </c>
      <c r="K1251" s="94">
        <v>148</v>
      </c>
      <c r="L1251" s="94">
        <v>648</v>
      </c>
      <c r="M1251" s="94">
        <v>1184</v>
      </c>
      <c r="N1251" s="94">
        <v>234</v>
      </c>
      <c r="O1251" s="94">
        <v>2210</v>
      </c>
      <c r="P1251" s="94">
        <v>4</v>
      </c>
      <c r="Q1251" s="95">
        <v>0.42060988433228202</v>
      </c>
      <c r="R1251" s="95">
        <v>0.25167785234899298</v>
      </c>
      <c r="S1251" s="95">
        <v>0.70422535211267601</v>
      </c>
      <c r="T1251" s="95">
        <v>0</v>
      </c>
      <c r="U1251" s="95">
        <v>0.91911764705882404</v>
      </c>
      <c r="V1251" s="95">
        <v>0.28680688336520099</v>
      </c>
      <c r="W1251" s="95">
        <v>0</v>
      </c>
      <c r="X1251" s="95">
        <v>0.42083114150447098</v>
      </c>
      <c r="Y1251" s="95">
        <v>0</v>
      </c>
      <c r="Z1251" s="94">
        <v>2131</v>
      </c>
      <c r="AA1251" s="94">
        <v>1280</v>
      </c>
      <c r="AB1251" s="94">
        <v>851</v>
      </c>
      <c r="AC1251" s="94">
        <v>85</v>
      </c>
      <c r="AD1251" s="94">
        <v>486</v>
      </c>
      <c r="AE1251" s="94">
        <v>1278</v>
      </c>
      <c r="AF1251" s="94">
        <v>282</v>
      </c>
      <c r="AG1251" s="94">
        <v>2009</v>
      </c>
      <c r="AH1251" s="94">
        <v>115</v>
      </c>
      <c r="AI1251" s="94">
        <v>7</v>
      </c>
      <c r="AJ1251" s="94">
        <v>2105</v>
      </c>
      <c r="AK1251" s="94">
        <v>6</v>
      </c>
      <c r="AL1251" s="94">
        <v>20</v>
      </c>
      <c r="AM1251" s="94">
        <v>126</v>
      </c>
      <c r="AN1251" s="94">
        <v>1972</v>
      </c>
      <c r="AO1251" s="94">
        <v>33</v>
      </c>
      <c r="AP1251" s="95">
        <v>1.8453865336658399</v>
      </c>
      <c r="AQ1251" s="95">
        <v>0.49140049140049102</v>
      </c>
      <c r="AR1251" s="95">
        <v>3.9540816326530601</v>
      </c>
      <c r="AS1251" s="95">
        <v>2.4390243902439002</v>
      </c>
      <c r="AT1251" s="95">
        <v>2.8888888888888902</v>
      </c>
      <c r="AU1251" s="95">
        <v>1.7543859649122799</v>
      </c>
      <c r="AV1251" s="95">
        <v>0.36231884057970998</v>
      </c>
      <c r="AW1251" s="95">
        <v>1.8450184501844999</v>
      </c>
      <c r="AX1251" s="95">
        <v>1.9607843137254899</v>
      </c>
      <c r="AY1251" s="95">
        <v>0</v>
      </c>
      <c r="AZ1251" s="95">
        <v>1.8172640080767299</v>
      </c>
      <c r="BA1251" s="95">
        <v>0</v>
      </c>
      <c r="BB1251" s="95">
        <v>5.2631578947368398</v>
      </c>
      <c r="BC1251" s="95">
        <v>0.81967213114754101</v>
      </c>
      <c r="BD1251" s="95">
        <v>1.9438444924406</v>
      </c>
      <c r="BE1251" s="95">
        <v>0</v>
      </c>
    </row>
    <row r="1252" spans="2:57" ht="15" customHeight="1" x14ac:dyDescent="0.25">
      <c r="B1252" s="91">
        <v>1242</v>
      </c>
      <c r="C1252" s="92" t="s">
        <v>504</v>
      </c>
      <c r="D1252" s="92" t="s">
        <v>85</v>
      </c>
      <c r="E1252" s="92" t="s">
        <v>424</v>
      </c>
      <c r="F1252" s="92" t="s">
        <v>77</v>
      </c>
      <c r="G1252" s="101" t="s">
        <v>502</v>
      </c>
      <c r="H1252" s="94">
        <v>320</v>
      </c>
      <c r="I1252" s="94">
        <v>250</v>
      </c>
      <c r="J1252" s="94">
        <v>70</v>
      </c>
      <c r="K1252" s="94">
        <v>18</v>
      </c>
      <c r="L1252" s="94">
        <v>95</v>
      </c>
      <c r="M1252" s="94">
        <v>180</v>
      </c>
      <c r="N1252" s="94">
        <v>27</v>
      </c>
      <c r="O1252" s="94">
        <v>320</v>
      </c>
      <c r="P1252" s="94">
        <v>0</v>
      </c>
      <c r="Q1252" s="95">
        <v>1.90114068441065</v>
      </c>
      <c r="R1252" s="95">
        <v>0</v>
      </c>
      <c r="S1252" s="95">
        <v>9.6153846153846203</v>
      </c>
      <c r="T1252" s="95">
        <v>0</v>
      </c>
      <c r="U1252" s="95">
        <v>2.7027027027027</v>
      </c>
      <c r="V1252" s="95">
        <v>2.0270270270270299</v>
      </c>
      <c r="W1252" s="95">
        <v>0</v>
      </c>
      <c r="X1252" s="95">
        <v>1.90114068441065</v>
      </c>
      <c r="Y1252" s="95">
        <v>0</v>
      </c>
      <c r="Z1252" s="94">
        <v>543</v>
      </c>
      <c r="AA1252" s="94">
        <v>373</v>
      </c>
      <c r="AB1252" s="94">
        <v>170</v>
      </c>
      <c r="AC1252" s="94">
        <v>19</v>
      </c>
      <c r="AD1252" s="94">
        <v>167</v>
      </c>
      <c r="AE1252" s="94">
        <v>314</v>
      </c>
      <c r="AF1252" s="94">
        <v>43</v>
      </c>
      <c r="AG1252" s="94">
        <v>436</v>
      </c>
      <c r="AH1252" s="94">
        <v>104</v>
      </c>
      <c r="AI1252" s="94">
        <v>3</v>
      </c>
      <c r="AJ1252" s="94">
        <v>535</v>
      </c>
      <c r="AK1252" s="94">
        <v>5</v>
      </c>
      <c r="AL1252" s="94">
        <v>3</v>
      </c>
      <c r="AM1252" s="94">
        <v>16</v>
      </c>
      <c r="AN1252" s="94">
        <v>513</v>
      </c>
      <c r="AO1252" s="94">
        <v>14</v>
      </c>
      <c r="AP1252" s="95">
        <v>1.5414258188824701</v>
      </c>
      <c r="AQ1252" s="95">
        <v>0.83102493074792205</v>
      </c>
      <c r="AR1252" s="95">
        <v>3.16455696202532</v>
      </c>
      <c r="AS1252" s="95">
        <v>0</v>
      </c>
      <c r="AT1252" s="95">
        <v>3.1847133757961799</v>
      </c>
      <c r="AU1252" s="95">
        <v>0.99337748344370902</v>
      </c>
      <c r="AV1252" s="95">
        <v>0</v>
      </c>
      <c r="AW1252" s="95">
        <v>1.9184652278177501</v>
      </c>
      <c r="AX1252" s="95">
        <v>0</v>
      </c>
      <c r="AY1252" s="95">
        <v>0</v>
      </c>
      <c r="AZ1252" s="95">
        <v>1.5655577299412899</v>
      </c>
      <c r="BA1252" s="95">
        <v>0</v>
      </c>
      <c r="BB1252" s="95">
        <v>0</v>
      </c>
      <c r="BC1252" s="95">
        <v>6.25</v>
      </c>
      <c r="BD1252" s="95">
        <v>1.42566191446029</v>
      </c>
      <c r="BE1252" s="95">
        <v>0</v>
      </c>
    </row>
    <row r="1253" spans="2:57" ht="15" customHeight="1" x14ac:dyDescent="0.25">
      <c r="B1253" s="96">
        <v>1243</v>
      </c>
      <c r="C1253" s="97" t="s">
        <v>504</v>
      </c>
      <c r="D1253" s="104" t="s">
        <v>85</v>
      </c>
      <c r="E1253" s="104" t="s">
        <v>424</v>
      </c>
      <c r="F1253" s="104" t="s">
        <v>88</v>
      </c>
      <c r="G1253" s="105" t="s">
        <v>88</v>
      </c>
      <c r="H1253" s="106">
        <v>6374</v>
      </c>
      <c r="I1253" s="106">
        <v>4766</v>
      </c>
      <c r="J1253" s="106">
        <v>1608</v>
      </c>
      <c r="K1253" s="106">
        <v>437</v>
      </c>
      <c r="L1253" s="106">
        <v>1842</v>
      </c>
      <c r="M1253" s="106">
        <v>3580</v>
      </c>
      <c r="N1253" s="106">
        <v>515</v>
      </c>
      <c r="O1253" s="106">
        <v>6277</v>
      </c>
      <c r="P1253" s="106">
        <v>97</v>
      </c>
      <c r="Q1253" s="107">
        <v>0.34614053305642101</v>
      </c>
      <c r="R1253" s="107">
        <v>9.1386794608179098E-2</v>
      </c>
      <c r="S1253" s="107">
        <v>1.1420413990007099</v>
      </c>
      <c r="T1253" s="107">
        <v>0.81967213114754101</v>
      </c>
      <c r="U1253" s="107">
        <v>0.36101083032490999</v>
      </c>
      <c r="V1253" s="107">
        <v>0.33546813052759999</v>
      </c>
      <c r="W1253" s="107">
        <v>0</v>
      </c>
      <c r="X1253" s="107">
        <v>0.35180299032541801</v>
      </c>
      <c r="Y1253" s="107">
        <v>0</v>
      </c>
      <c r="Z1253" s="106">
        <v>9466</v>
      </c>
      <c r="AA1253" s="106">
        <v>6330</v>
      </c>
      <c r="AB1253" s="106">
        <v>3136</v>
      </c>
      <c r="AC1253" s="106">
        <v>492</v>
      </c>
      <c r="AD1253" s="106">
        <v>2551</v>
      </c>
      <c r="AE1253" s="106">
        <v>5389</v>
      </c>
      <c r="AF1253" s="106">
        <v>1034</v>
      </c>
      <c r="AG1253" s="106">
        <v>4458</v>
      </c>
      <c r="AH1253" s="106">
        <v>4921</v>
      </c>
      <c r="AI1253" s="106">
        <v>87</v>
      </c>
      <c r="AJ1253" s="106">
        <v>9310</v>
      </c>
      <c r="AK1253" s="106">
        <v>125</v>
      </c>
      <c r="AL1253" s="106">
        <v>31</v>
      </c>
      <c r="AM1253" s="106">
        <v>398</v>
      </c>
      <c r="AN1253" s="106">
        <v>8983</v>
      </c>
      <c r="AO1253" s="106">
        <v>85</v>
      </c>
      <c r="AP1253" s="107">
        <v>2.6737967914438499</v>
      </c>
      <c r="AQ1253" s="107">
        <v>0.57641633728590203</v>
      </c>
      <c r="AR1253" s="107">
        <v>7.0592286501377401</v>
      </c>
      <c r="AS1253" s="107">
        <v>4.2505592841163304</v>
      </c>
      <c r="AT1253" s="107">
        <v>3.1030202730657801</v>
      </c>
      <c r="AU1253" s="107">
        <v>2.6398122800156401</v>
      </c>
      <c r="AV1253" s="107">
        <v>1.1022044088176399</v>
      </c>
      <c r="AW1253" s="107">
        <v>2.49470463638503</v>
      </c>
      <c r="AX1253" s="107">
        <v>2.7783760499676902</v>
      </c>
      <c r="AY1253" s="107">
        <v>5.9523809523809499</v>
      </c>
      <c r="AZ1253" s="107">
        <v>2.7066817667044201</v>
      </c>
      <c r="BA1253" s="107">
        <v>0.86956521739130399</v>
      </c>
      <c r="BB1253" s="107">
        <v>0</v>
      </c>
      <c r="BC1253" s="107">
        <v>2.38095238095238</v>
      </c>
      <c r="BD1253" s="107">
        <v>2.6988969725416601</v>
      </c>
      <c r="BE1253" s="107">
        <v>1.31578947368421</v>
      </c>
    </row>
    <row r="1254" spans="2:57" ht="15" customHeight="1" x14ac:dyDescent="0.25">
      <c r="B1254" s="91">
        <v>1244</v>
      </c>
      <c r="C1254" s="92" t="s">
        <v>504</v>
      </c>
      <c r="D1254" s="92" t="s">
        <v>85</v>
      </c>
      <c r="E1254" s="92" t="s">
        <v>424</v>
      </c>
      <c r="F1254" s="92" t="s">
        <v>88</v>
      </c>
      <c r="G1254" s="101" t="s">
        <v>501</v>
      </c>
      <c r="H1254" s="94">
        <v>1605</v>
      </c>
      <c r="I1254" s="94">
        <v>1055</v>
      </c>
      <c r="J1254" s="94">
        <v>550</v>
      </c>
      <c r="K1254" s="94">
        <v>103</v>
      </c>
      <c r="L1254" s="94">
        <v>463</v>
      </c>
      <c r="M1254" s="94">
        <v>868</v>
      </c>
      <c r="N1254" s="94">
        <v>171</v>
      </c>
      <c r="O1254" s="94">
        <v>1595</v>
      </c>
      <c r="P1254" s="94">
        <v>10</v>
      </c>
      <c r="Q1254" s="95">
        <v>0.86517664023071394</v>
      </c>
      <c r="R1254" s="95">
        <v>0.21715526601520099</v>
      </c>
      <c r="S1254" s="95">
        <v>2.1459227467811202</v>
      </c>
      <c r="T1254" s="95">
        <v>1.2987012987013</v>
      </c>
      <c r="U1254" s="95">
        <v>0.73710073710073698</v>
      </c>
      <c r="V1254" s="95">
        <v>1.0638297872340401</v>
      </c>
      <c r="W1254" s="95">
        <v>0</v>
      </c>
      <c r="X1254" s="95">
        <v>0.87145969498910703</v>
      </c>
      <c r="Y1254" s="95">
        <v>0</v>
      </c>
      <c r="Z1254" s="94">
        <v>1181</v>
      </c>
      <c r="AA1254" s="94">
        <v>718</v>
      </c>
      <c r="AB1254" s="94">
        <v>463</v>
      </c>
      <c r="AC1254" s="94">
        <v>59</v>
      </c>
      <c r="AD1254" s="94">
        <v>303</v>
      </c>
      <c r="AE1254" s="94">
        <v>671</v>
      </c>
      <c r="AF1254" s="94">
        <v>148</v>
      </c>
      <c r="AG1254" s="94">
        <v>289</v>
      </c>
      <c r="AH1254" s="94">
        <v>877</v>
      </c>
      <c r="AI1254" s="94">
        <v>15</v>
      </c>
      <c r="AJ1254" s="94">
        <v>1169</v>
      </c>
      <c r="AK1254" s="94">
        <v>10</v>
      </c>
      <c r="AL1254" s="94">
        <v>2</v>
      </c>
      <c r="AM1254" s="94">
        <v>67</v>
      </c>
      <c r="AN1254" s="94">
        <v>1109</v>
      </c>
      <c r="AO1254" s="94">
        <v>5</v>
      </c>
      <c r="AP1254" s="95">
        <v>6.2956204379562104</v>
      </c>
      <c r="AQ1254" s="95">
        <v>1.4814814814814801</v>
      </c>
      <c r="AR1254" s="95">
        <v>14.0142517814727</v>
      </c>
      <c r="AS1254" s="95">
        <v>11.538461538461499</v>
      </c>
      <c r="AT1254" s="95">
        <v>8.4210526315789505</v>
      </c>
      <c r="AU1254" s="95">
        <v>5.1696284329563804</v>
      </c>
      <c r="AV1254" s="95">
        <v>5</v>
      </c>
      <c r="AW1254" s="95">
        <v>7.6923076923076898</v>
      </c>
      <c r="AX1254" s="95">
        <v>5.6930693069306901</v>
      </c>
      <c r="AY1254" s="95">
        <v>13.3333333333333</v>
      </c>
      <c r="AZ1254" s="95">
        <v>6.35944700460829</v>
      </c>
      <c r="BA1254" s="95">
        <v>0</v>
      </c>
      <c r="BB1254" s="95">
        <v>0</v>
      </c>
      <c r="BC1254" s="95">
        <v>11.4754098360656</v>
      </c>
      <c r="BD1254" s="95">
        <v>6.0135790494665402</v>
      </c>
      <c r="BE1254" s="95">
        <v>0</v>
      </c>
    </row>
    <row r="1255" spans="2:57" ht="15" customHeight="1" x14ac:dyDescent="0.25">
      <c r="B1255" s="91">
        <v>1245</v>
      </c>
      <c r="C1255" s="92" t="s">
        <v>504</v>
      </c>
      <c r="D1255" s="92" t="s">
        <v>85</v>
      </c>
      <c r="E1255" s="92" t="s">
        <v>424</v>
      </c>
      <c r="F1255" s="92" t="s">
        <v>88</v>
      </c>
      <c r="G1255" s="101" t="s">
        <v>502</v>
      </c>
      <c r="H1255" s="94">
        <v>4769</v>
      </c>
      <c r="I1255" s="94">
        <v>3711</v>
      </c>
      <c r="J1255" s="94">
        <v>1058</v>
      </c>
      <c r="K1255" s="94">
        <v>334</v>
      </c>
      <c r="L1255" s="94">
        <v>1379</v>
      </c>
      <c r="M1255" s="94">
        <v>2712</v>
      </c>
      <c r="N1255" s="94">
        <v>344</v>
      </c>
      <c r="O1255" s="94">
        <v>4682</v>
      </c>
      <c r="P1255" s="94">
        <v>87</v>
      </c>
      <c r="Q1255" s="95">
        <v>0.182190844910043</v>
      </c>
      <c r="R1255" s="95">
        <v>5.7870370370370398E-2</v>
      </c>
      <c r="S1255" s="95">
        <v>0.64171122994652396</v>
      </c>
      <c r="T1255" s="95">
        <v>0.69204152249134998</v>
      </c>
      <c r="U1255" s="95">
        <v>0.23904382470119501</v>
      </c>
      <c r="V1255" s="95">
        <v>0.118717847249703</v>
      </c>
      <c r="W1255" s="95">
        <v>0</v>
      </c>
      <c r="X1255" s="95">
        <v>0.185701021355617</v>
      </c>
      <c r="Y1255" s="95">
        <v>0</v>
      </c>
      <c r="Z1255" s="94">
        <v>8285</v>
      </c>
      <c r="AA1255" s="94">
        <v>5612</v>
      </c>
      <c r="AB1255" s="94">
        <v>2673</v>
      </c>
      <c r="AC1255" s="94">
        <v>433</v>
      </c>
      <c r="AD1255" s="94">
        <v>2248</v>
      </c>
      <c r="AE1255" s="94">
        <v>4718</v>
      </c>
      <c r="AF1255" s="94">
        <v>886</v>
      </c>
      <c r="AG1255" s="94">
        <v>4169</v>
      </c>
      <c r="AH1255" s="94">
        <v>4044</v>
      </c>
      <c r="AI1255" s="94">
        <v>72</v>
      </c>
      <c r="AJ1255" s="94">
        <v>8141</v>
      </c>
      <c r="AK1255" s="94">
        <v>115</v>
      </c>
      <c r="AL1255" s="94">
        <v>29</v>
      </c>
      <c r="AM1255" s="94">
        <v>331</v>
      </c>
      <c r="AN1255" s="94">
        <v>7874</v>
      </c>
      <c r="AO1255" s="94">
        <v>80</v>
      </c>
      <c r="AP1255" s="95">
        <v>2.17005076142132</v>
      </c>
      <c r="AQ1255" s="95">
        <v>0.46322030757828397</v>
      </c>
      <c r="AR1255" s="95">
        <v>5.8799838904550903</v>
      </c>
      <c r="AS1255" s="95">
        <v>3.2911392405063302</v>
      </c>
      <c r="AT1255" s="95">
        <v>2.3921200750469001</v>
      </c>
      <c r="AU1255" s="95">
        <v>2.2914349276974399</v>
      </c>
      <c r="AV1255" s="95">
        <v>0.46620046620046601</v>
      </c>
      <c r="AW1255" s="95">
        <v>2.13782696177062</v>
      </c>
      <c r="AX1255" s="95">
        <v>2.1642764015645399</v>
      </c>
      <c r="AY1255" s="95">
        <v>4.3478260869565197</v>
      </c>
      <c r="AZ1255" s="95">
        <v>2.1949644932214301</v>
      </c>
      <c r="BA1255" s="95">
        <v>0.94339622641509402</v>
      </c>
      <c r="BB1255" s="95">
        <v>0</v>
      </c>
      <c r="BC1255" s="95">
        <v>0.63091482649842301</v>
      </c>
      <c r="BD1255" s="95">
        <v>2.24269122947537</v>
      </c>
      <c r="BE1255" s="95">
        <v>1.3888888888888899</v>
      </c>
    </row>
    <row r="1256" spans="2:57" ht="15" customHeight="1" x14ac:dyDescent="0.25">
      <c r="B1256" s="76">
        <v>1246</v>
      </c>
      <c r="C1256" s="77" t="s">
        <v>3</v>
      </c>
      <c r="D1256" s="77" t="s">
        <v>92</v>
      </c>
      <c r="E1256" s="77"/>
      <c r="F1256" s="77"/>
      <c r="G1256" s="78" t="s">
        <v>92</v>
      </c>
      <c r="H1256" s="79">
        <v>178943</v>
      </c>
      <c r="I1256" s="79">
        <v>112089</v>
      </c>
      <c r="J1256" s="79">
        <v>66854</v>
      </c>
      <c r="K1256" s="79">
        <v>13174</v>
      </c>
      <c r="L1256" s="79">
        <v>57720</v>
      </c>
      <c r="M1256" s="79">
        <v>92632</v>
      </c>
      <c r="N1256" s="79">
        <v>15417</v>
      </c>
      <c r="O1256" s="79">
        <v>177522</v>
      </c>
      <c r="P1256" s="79">
        <v>1421</v>
      </c>
      <c r="Q1256" s="80">
        <v>1.6742900997697601</v>
      </c>
      <c r="R1256" s="80">
        <v>1.19925034715142</v>
      </c>
      <c r="S1256" s="80">
        <v>2.4910675526763999</v>
      </c>
      <c r="T1256" s="80">
        <v>1.92903892524974</v>
      </c>
      <c r="U1256" s="80">
        <v>1.82408795602199</v>
      </c>
      <c r="V1256" s="80">
        <v>1.60144434805036</v>
      </c>
      <c r="W1256" s="80">
        <v>1.3487337685630201</v>
      </c>
      <c r="X1256" s="80">
        <v>1.66118919855667</v>
      </c>
      <c r="Y1256" s="80">
        <v>3.2975460122699398</v>
      </c>
      <c r="Z1256" s="79">
        <v>213649</v>
      </c>
      <c r="AA1256" s="79">
        <v>125542</v>
      </c>
      <c r="AB1256" s="79">
        <v>88107</v>
      </c>
      <c r="AC1256" s="79">
        <v>11206</v>
      </c>
      <c r="AD1256" s="79">
        <v>60481</v>
      </c>
      <c r="AE1256" s="79">
        <v>119420</v>
      </c>
      <c r="AF1256" s="79">
        <v>22542</v>
      </c>
      <c r="AG1256" s="79">
        <v>68926</v>
      </c>
      <c r="AH1256" s="79">
        <v>139774</v>
      </c>
      <c r="AI1256" s="79">
        <v>4949</v>
      </c>
      <c r="AJ1256" s="79">
        <v>211009</v>
      </c>
      <c r="AK1256" s="79">
        <v>1840</v>
      </c>
      <c r="AL1256" s="79">
        <v>800</v>
      </c>
      <c r="AM1256" s="79">
        <v>11889</v>
      </c>
      <c r="AN1256" s="79">
        <v>197762</v>
      </c>
      <c r="AO1256" s="79">
        <v>3998</v>
      </c>
      <c r="AP1256" s="80">
        <v>5.9701343405124803</v>
      </c>
      <c r="AQ1256" s="80">
        <v>2.8028070293961198</v>
      </c>
      <c r="AR1256" s="80">
        <v>10.5583147799281</v>
      </c>
      <c r="AS1256" s="80">
        <v>8.8937505945020394</v>
      </c>
      <c r="AT1256" s="80">
        <v>7.0549850235344502</v>
      </c>
      <c r="AU1256" s="80">
        <v>5.49045835562689</v>
      </c>
      <c r="AV1256" s="80">
        <v>4.2059564933246198</v>
      </c>
      <c r="AW1256" s="80">
        <v>3.7165873306481099</v>
      </c>
      <c r="AX1256" s="80">
        <v>7.1224458442156999</v>
      </c>
      <c r="AY1256" s="80">
        <v>5.4516783059247604</v>
      </c>
      <c r="AZ1256" s="80">
        <v>5.9671375036033396</v>
      </c>
      <c r="BA1256" s="80">
        <v>6.6037735849056602</v>
      </c>
      <c r="BB1256" s="80">
        <v>5.3133514986375996</v>
      </c>
      <c r="BC1256" s="80">
        <v>5.7340058401911298</v>
      </c>
      <c r="BD1256" s="80">
        <v>6.0172383997234897</v>
      </c>
      <c r="BE1256" s="80">
        <v>4.33134813210612</v>
      </c>
    </row>
    <row r="1257" spans="2:57" ht="15" customHeight="1" x14ac:dyDescent="0.25">
      <c r="B1257" s="81">
        <v>1247</v>
      </c>
      <c r="C1257" s="82" t="s">
        <v>3</v>
      </c>
      <c r="D1257" s="102" t="s">
        <v>92</v>
      </c>
      <c r="E1257" s="102"/>
      <c r="F1257" s="102"/>
      <c r="G1257" s="83" t="s">
        <v>501</v>
      </c>
      <c r="H1257" s="84">
        <v>128371</v>
      </c>
      <c r="I1257" s="84">
        <v>76729</v>
      </c>
      <c r="J1257" s="84">
        <v>51642</v>
      </c>
      <c r="K1257" s="84">
        <v>8452</v>
      </c>
      <c r="L1257" s="84">
        <v>41679</v>
      </c>
      <c r="M1257" s="84">
        <v>67944</v>
      </c>
      <c r="N1257" s="84">
        <v>10296</v>
      </c>
      <c r="O1257" s="84">
        <v>127322</v>
      </c>
      <c r="P1257" s="84">
        <v>1049</v>
      </c>
      <c r="Q1257" s="85">
        <v>2.16815266832961</v>
      </c>
      <c r="R1257" s="85">
        <v>1.5816392315296299</v>
      </c>
      <c r="S1257" s="85">
        <v>3.0570150679577899</v>
      </c>
      <c r="T1257" s="85">
        <v>2.8586839266450901</v>
      </c>
      <c r="U1257" s="85">
        <v>2.35616880497055</v>
      </c>
      <c r="V1257" s="85">
        <v>2.0242523793420002</v>
      </c>
      <c r="W1257" s="85">
        <v>1.82175193629323</v>
      </c>
      <c r="X1257" s="85">
        <v>2.15641398275217</v>
      </c>
      <c r="Y1257" s="85">
        <v>3.5940803382663802</v>
      </c>
      <c r="Z1257" s="84">
        <v>153714</v>
      </c>
      <c r="AA1257" s="84">
        <v>86766</v>
      </c>
      <c r="AB1257" s="84">
        <v>66948</v>
      </c>
      <c r="AC1257" s="84">
        <v>7112</v>
      </c>
      <c r="AD1257" s="84">
        <v>42926</v>
      </c>
      <c r="AE1257" s="84">
        <v>87874</v>
      </c>
      <c r="AF1257" s="84">
        <v>15802</v>
      </c>
      <c r="AG1257" s="84">
        <v>30305</v>
      </c>
      <c r="AH1257" s="84">
        <v>119800</v>
      </c>
      <c r="AI1257" s="84">
        <v>3609</v>
      </c>
      <c r="AJ1257" s="84">
        <v>151815</v>
      </c>
      <c r="AK1257" s="84">
        <v>1374</v>
      </c>
      <c r="AL1257" s="84">
        <v>525</v>
      </c>
      <c r="AM1257" s="84">
        <v>9049</v>
      </c>
      <c r="AN1257" s="84">
        <v>142268</v>
      </c>
      <c r="AO1257" s="84">
        <v>2397</v>
      </c>
      <c r="AP1257" s="85">
        <v>7.5249491226720604</v>
      </c>
      <c r="AQ1257" s="85">
        <v>3.70498315916746</v>
      </c>
      <c r="AR1257" s="85">
        <v>12.5238141367174</v>
      </c>
      <c r="AS1257" s="85">
        <v>12.975256487628201</v>
      </c>
      <c r="AT1257" s="85">
        <v>9.0096477678458395</v>
      </c>
      <c r="AU1257" s="85">
        <v>6.7219613343904401</v>
      </c>
      <c r="AV1257" s="85">
        <v>5.5820514542889796</v>
      </c>
      <c r="AW1257" s="85">
        <v>6.5370032298834397</v>
      </c>
      <c r="AX1257" s="85">
        <v>7.8101828966880902</v>
      </c>
      <c r="AY1257" s="85">
        <v>6.4157927205428704</v>
      </c>
      <c r="AZ1257" s="85">
        <v>7.5233267730471303</v>
      </c>
      <c r="BA1257" s="85">
        <v>7.6679841897233203</v>
      </c>
      <c r="BB1257" s="85">
        <v>7.6271186440678003</v>
      </c>
      <c r="BC1257" s="85">
        <v>7.0977549111318998</v>
      </c>
      <c r="BD1257" s="85">
        <v>7.5696518353305899</v>
      </c>
      <c r="BE1257" s="85">
        <v>6.4857405703771898</v>
      </c>
    </row>
    <row r="1258" spans="2:57" ht="15" customHeight="1" x14ac:dyDescent="0.25">
      <c r="B1258" s="81">
        <v>1248</v>
      </c>
      <c r="C1258" s="82" t="s">
        <v>3</v>
      </c>
      <c r="D1258" s="102" t="s">
        <v>92</v>
      </c>
      <c r="E1258" s="102"/>
      <c r="F1258" s="102"/>
      <c r="G1258" s="83" t="s">
        <v>502</v>
      </c>
      <c r="H1258" s="84">
        <v>50572</v>
      </c>
      <c r="I1258" s="84">
        <v>35360</v>
      </c>
      <c r="J1258" s="84">
        <v>15212</v>
      </c>
      <c r="K1258" s="84">
        <v>4722</v>
      </c>
      <c r="L1258" s="84">
        <v>16041</v>
      </c>
      <c r="M1258" s="84">
        <v>24688</v>
      </c>
      <c r="N1258" s="84">
        <v>5121</v>
      </c>
      <c r="O1258" s="84">
        <v>50200</v>
      </c>
      <c r="P1258" s="84">
        <v>372</v>
      </c>
      <c r="Q1258" s="85">
        <v>0.457291134932789</v>
      </c>
      <c r="R1258" s="85">
        <v>0.39481615430982497</v>
      </c>
      <c r="S1258" s="85">
        <v>0.60711188204683397</v>
      </c>
      <c r="T1258" s="85">
        <v>0.28598665395614897</v>
      </c>
      <c r="U1258" s="85">
        <v>0.49168182124334903</v>
      </c>
      <c r="V1258" s="85">
        <v>0.46980733589069401</v>
      </c>
      <c r="W1258" s="85">
        <v>0.44006705783738498</v>
      </c>
      <c r="X1258" s="85">
        <v>0.44151056624801699</v>
      </c>
      <c r="Y1258" s="85">
        <v>2.5139664804469302</v>
      </c>
      <c r="Z1258" s="84">
        <v>59935</v>
      </c>
      <c r="AA1258" s="84">
        <v>38776</v>
      </c>
      <c r="AB1258" s="84">
        <v>21159</v>
      </c>
      <c r="AC1258" s="84">
        <v>4094</v>
      </c>
      <c r="AD1258" s="84">
        <v>17555</v>
      </c>
      <c r="AE1258" s="84">
        <v>31546</v>
      </c>
      <c r="AF1258" s="84">
        <v>6740</v>
      </c>
      <c r="AG1258" s="84">
        <v>38621</v>
      </c>
      <c r="AH1258" s="84">
        <v>19974</v>
      </c>
      <c r="AI1258" s="84">
        <v>1340</v>
      </c>
      <c r="AJ1258" s="84">
        <v>59194</v>
      </c>
      <c r="AK1258" s="84">
        <v>466</v>
      </c>
      <c r="AL1258" s="84">
        <v>275</v>
      </c>
      <c r="AM1258" s="84">
        <v>2840</v>
      </c>
      <c r="AN1258" s="84">
        <v>55494</v>
      </c>
      <c r="AO1258" s="84">
        <v>1601</v>
      </c>
      <c r="AP1258" s="85">
        <v>2.0814384663821501</v>
      </c>
      <c r="AQ1258" s="85">
        <v>0.84573386147093499</v>
      </c>
      <c r="AR1258" s="85">
        <v>4.4123586429725403</v>
      </c>
      <c r="AS1258" s="85">
        <v>1.93050193050193</v>
      </c>
      <c r="AT1258" s="85">
        <v>2.4040489245044299</v>
      </c>
      <c r="AU1258" s="85">
        <v>2.1422649643508498</v>
      </c>
      <c r="AV1258" s="85">
        <v>1.07115531752104</v>
      </c>
      <c r="AW1258" s="85">
        <v>1.54883971937399</v>
      </c>
      <c r="AX1258" s="85">
        <v>3.0769230769230802</v>
      </c>
      <c r="AY1258" s="85">
        <v>2.8404344193817899</v>
      </c>
      <c r="AZ1258" s="85">
        <v>2.0751075621027302</v>
      </c>
      <c r="BA1258" s="85">
        <v>3.4802784222737801</v>
      </c>
      <c r="BB1258" s="85">
        <v>1.1450381679389301</v>
      </c>
      <c r="BC1258" s="85">
        <v>1.49145143688614</v>
      </c>
      <c r="BD1258" s="85">
        <v>2.1359847267640801</v>
      </c>
      <c r="BE1258" s="85">
        <v>1.25</v>
      </c>
    </row>
    <row r="1259" spans="2:57" ht="15" customHeight="1" x14ac:dyDescent="0.25">
      <c r="B1259" s="86">
        <v>1249</v>
      </c>
      <c r="C1259" s="87" t="s">
        <v>503</v>
      </c>
      <c r="D1259" s="103" t="s">
        <v>92</v>
      </c>
      <c r="E1259" s="103" t="s">
        <v>367</v>
      </c>
      <c r="F1259" s="103"/>
      <c r="G1259" s="88" t="s">
        <v>367</v>
      </c>
      <c r="H1259" s="89">
        <v>49306</v>
      </c>
      <c r="I1259" s="89">
        <v>28950</v>
      </c>
      <c r="J1259" s="89">
        <v>20356</v>
      </c>
      <c r="K1259" s="89">
        <v>3024</v>
      </c>
      <c r="L1259" s="89">
        <v>16563</v>
      </c>
      <c r="M1259" s="89">
        <v>25959</v>
      </c>
      <c r="N1259" s="89">
        <v>3760</v>
      </c>
      <c r="O1259" s="89">
        <v>48934</v>
      </c>
      <c r="P1259" s="89">
        <v>372</v>
      </c>
      <c r="Q1259" s="90">
        <v>2.2949406989137602</v>
      </c>
      <c r="R1259" s="90">
        <v>1.7767271618117999</v>
      </c>
      <c r="S1259" s="90">
        <v>3.0555711007890798</v>
      </c>
      <c r="T1259" s="90">
        <v>3.5577658760520299</v>
      </c>
      <c r="U1259" s="90">
        <v>2.6205952788231301</v>
      </c>
      <c r="V1259" s="90">
        <v>2.0482746897841202</v>
      </c>
      <c r="W1259" s="90">
        <v>1.6187050359712201</v>
      </c>
      <c r="X1259" s="90">
        <v>2.3018195117491098</v>
      </c>
      <c r="Y1259" s="90">
        <v>1.4326647564469901</v>
      </c>
      <c r="Z1259" s="89">
        <v>61733</v>
      </c>
      <c r="AA1259" s="89">
        <v>34968</v>
      </c>
      <c r="AB1259" s="89">
        <v>26765</v>
      </c>
      <c r="AC1259" s="89">
        <v>2498</v>
      </c>
      <c r="AD1259" s="89">
        <v>17668</v>
      </c>
      <c r="AE1259" s="89">
        <v>35753</v>
      </c>
      <c r="AF1259" s="89">
        <v>5814</v>
      </c>
      <c r="AG1259" s="89">
        <v>13480</v>
      </c>
      <c r="AH1259" s="89">
        <v>47198</v>
      </c>
      <c r="AI1259" s="89">
        <v>1055</v>
      </c>
      <c r="AJ1259" s="89">
        <v>61081</v>
      </c>
      <c r="AK1259" s="89">
        <v>502</v>
      </c>
      <c r="AL1259" s="89">
        <v>150</v>
      </c>
      <c r="AM1259" s="89">
        <v>3217</v>
      </c>
      <c r="AN1259" s="89">
        <v>57590</v>
      </c>
      <c r="AO1259" s="89">
        <v>926</v>
      </c>
      <c r="AP1259" s="90">
        <v>7.7559715044000601</v>
      </c>
      <c r="AQ1259" s="90">
        <v>3.8479185146667501</v>
      </c>
      <c r="AR1259" s="90">
        <v>12.9541478497905</v>
      </c>
      <c r="AS1259" s="90">
        <v>14.218616567036699</v>
      </c>
      <c r="AT1259" s="90">
        <v>9.7363208715028495</v>
      </c>
      <c r="AU1259" s="90">
        <v>6.7064933505448696</v>
      </c>
      <c r="AV1259" s="90">
        <v>5.5280981145890502</v>
      </c>
      <c r="AW1259" s="90">
        <v>6.3633471205854297</v>
      </c>
      <c r="AX1259" s="90">
        <v>8.1637785195007098</v>
      </c>
      <c r="AY1259" s="90">
        <v>7.4112734864300602</v>
      </c>
      <c r="AZ1259" s="90">
        <v>7.75623268698061</v>
      </c>
      <c r="BA1259" s="90">
        <v>7.8091106290672396</v>
      </c>
      <c r="BB1259" s="90">
        <v>7.4626865671641802</v>
      </c>
      <c r="BC1259" s="90">
        <v>6.8954140547674001</v>
      </c>
      <c r="BD1259" s="90">
        <v>7.8173273166438904</v>
      </c>
      <c r="BE1259" s="90">
        <v>6.9544364508393297</v>
      </c>
    </row>
    <row r="1260" spans="2:57" ht="15" customHeight="1" x14ac:dyDescent="0.25">
      <c r="B1260" s="91">
        <v>1250</v>
      </c>
      <c r="C1260" s="92" t="s">
        <v>503</v>
      </c>
      <c r="D1260" s="92" t="s">
        <v>92</v>
      </c>
      <c r="E1260" s="92" t="s">
        <v>367</v>
      </c>
      <c r="F1260" s="92"/>
      <c r="G1260" s="93" t="s">
        <v>501</v>
      </c>
      <c r="H1260" s="94">
        <v>44747</v>
      </c>
      <c r="I1260" s="94">
        <v>25749</v>
      </c>
      <c r="J1260" s="94">
        <v>18998</v>
      </c>
      <c r="K1260" s="94">
        <v>2626</v>
      </c>
      <c r="L1260" s="94">
        <v>15209</v>
      </c>
      <c r="M1260" s="94">
        <v>23645</v>
      </c>
      <c r="N1260" s="94">
        <v>3267</v>
      </c>
      <c r="O1260" s="94">
        <v>44460</v>
      </c>
      <c r="P1260" s="94">
        <v>287</v>
      </c>
      <c r="Q1260" s="95">
        <v>2.37469001277523</v>
      </c>
      <c r="R1260" s="95">
        <v>1.7977721388327399</v>
      </c>
      <c r="S1260" s="95">
        <v>3.1793641271745701</v>
      </c>
      <c r="T1260" s="95">
        <v>3.8915609969392202</v>
      </c>
      <c r="U1260" s="95">
        <v>2.72672941879576</v>
      </c>
      <c r="V1260" s="95">
        <v>2.0917173607861499</v>
      </c>
      <c r="W1260" s="95">
        <v>1.6330785267546899</v>
      </c>
      <c r="X1260" s="95">
        <v>2.3780103391753902</v>
      </c>
      <c r="Y1260" s="95">
        <v>1.8796992481203001</v>
      </c>
      <c r="Z1260" s="94">
        <v>55640</v>
      </c>
      <c r="AA1260" s="94">
        <v>30948</v>
      </c>
      <c r="AB1260" s="94">
        <v>24692</v>
      </c>
      <c r="AC1260" s="94">
        <v>2203</v>
      </c>
      <c r="AD1260" s="94">
        <v>15899</v>
      </c>
      <c r="AE1260" s="94">
        <v>32375</v>
      </c>
      <c r="AF1260" s="94">
        <v>5163</v>
      </c>
      <c r="AG1260" s="94">
        <v>10303</v>
      </c>
      <c r="AH1260" s="94">
        <v>44378</v>
      </c>
      <c r="AI1260" s="94">
        <v>959</v>
      </c>
      <c r="AJ1260" s="94">
        <v>55106</v>
      </c>
      <c r="AK1260" s="94">
        <v>408</v>
      </c>
      <c r="AL1260" s="94">
        <v>126</v>
      </c>
      <c r="AM1260" s="94">
        <v>2988</v>
      </c>
      <c r="AN1260" s="94">
        <v>51847</v>
      </c>
      <c r="AO1260" s="94">
        <v>805</v>
      </c>
      <c r="AP1260" s="95">
        <v>8.0774223548330806</v>
      </c>
      <c r="AQ1260" s="95">
        <v>4.1034697693746098</v>
      </c>
      <c r="AR1260" s="95">
        <v>13.1251374532659</v>
      </c>
      <c r="AS1260" s="95">
        <v>14.978187106156099</v>
      </c>
      <c r="AT1260" s="95">
        <v>10.1872813336077</v>
      </c>
      <c r="AU1260" s="95">
        <v>6.9349968477287103</v>
      </c>
      <c r="AV1260" s="95">
        <v>5.89330024813896</v>
      </c>
      <c r="AW1260" s="95">
        <v>7.09028713589717</v>
      </c>
      <c r="AX1260" s="95">
        <v>8.3126490485228999</v>
      </c>
      <c r="AY1260" s="95">
        <v>7.9128440366972503</v>
      </c>
      <c r="AZ1260" s="95">
        <v>8.0746435068364502</v>
      </c>
      <c r="BA1260" s="95">
        <v>8.4880636604774509</v>
      </c>
      <c r="BB1260" s="95">
        <v>7.9646017699114999</v>
      </c>
      <c r="BC1260" s="95">
        <v>7.1123755334281702</v>
      </c>
      <c r="BD1260" s="95">
        <v>8.1454363923787305</v>
      </c>
      <c r="BE1260" s="95">
        <v>7.31034482758621</v>
      </c>
    </row>
    <row r="1261" spans="2:57" ht="15" customHeight="1" x14ac:dyDescent="0.25">
      <c r="B1261" s="91">
        <v>1251</v>
      </c>
      <c r="C1261" s="92" t="s">
        <v>503</v>
      </c>
      <c r="D1261" s="92" t="s">
        <v>92</v>
      </c>
      <c r="E1261" s="92" t="s">
        <v>367</v>
      </c>
      <c r="F1261" s="92"/>
      <c r="G1261" s="93" t="s">
        <v>502</v>
      </c>
      <c r="H1261" s="94">
        <v>4559</v>
      </c>
      <c r="I1261" s="94">
        <v>3201</v>
      </c>
      <c r="J1261" s="94">
        <v>1358</v>
      </c>
      <c r="K1261" s="94">
        <v>398</v>
      </c>
      <c r="L1261" s="94">
        <v>1354</v>
      </c>
      <c r="M1261" s="94">
        <v>2314</v>
      </c>
      <c r="N1261" s="94">
        <v>493</v>
      </c>
      <c r="O1261" s="94">
        <v>4474</v>
      </c>
      <c r="P1261" s="94">
        <v>85</v>
      </c>
      <c r="Q1261" s="95">
        <v>1.5325670498084301</v>
      </c>
      <c r="R1261" s="95">
        <v>1.6123614376889499</v>
      </c>
      <c r="S1261" s="95">
        <v>1.3344453711426201</v>
      </c>
      <c r="T1261" s="95">
        <v>1.2232415902140701</v>
      </c>
      <c r="U1261" s="95">
        <v>1.46460537021969</v>
      </c>
      <c r="V1261" s="95">
        <v>1.6188714153561501</v>
      </c>
      <c r="W1261" s="95">
        <v>1.5283842794759801</v>
      </c>
      <c r="X1261" s="95">
        <v>1.5636452479843601</v>
      </c>
      <c r="Y1261" s="95">
        <v>0</v>
      </c>
      <c r="Z1261" s="94">
        <v>6093</v>
      </c>
      <c r="AA1261" s="94">
        <v>4020</v>
      </c>
      <c r="AB1261" s="94">
        <v>2073</v>
      </c>
      <c r="AC1261" s="94">
        <v>295</v>
      </c>
      <c r="AD1261" s="94">
        <v>1769</v>
      </c>
      <c r="AE1261" s="94">
        <v>3378</v>
      </c>
      <c r="AF1261" s="94">
        <v>651</v>
      </c>
      <c r="AG1261" s="94">
        <v>3177</v>
      </c>
      <c r="AH1261" s="94">
        <v>2820</v>
      </c>
      <c r="AI1261" s="94">
        <v>96</v>
      </c>
      <c r="AJ1261" s="94">
        <v>5975</v>
      </c>
      <c r="AK1261" s="94">
        <v>94</v>
      </c>
      <c r="AL1261" s="94">
        <v>24</v>
      </c>
      <c r="AM1261" s="94">
        <v>229</v>
      </c>
      <c r="AN1261" s="94">
        <v>5743</v>
      </c>
      <c r="AO1261" s="94">
        <v>121</v>
      </c>
      <c r="AP1261" s="95">
        <v>4.82417388231136</v>
      </c>
      <c r="AQ1261" s="95">
        <v>1.9134993446920101</v>
      </c>
      <c r="AR1261" s="95">
        <v>10.8459869848156</v>
      </c>
      <c r="AS1261" s="95">
        <v>8.6021505376344098</v>
      </c>
      <c r="AT1261" s="95">
        <v>5.5731475617479402</v>
      </c>
      <c r="AU1261" s="95">
        <v>4.5368620037807199</v>
      </c>
      <c r="AV1261" s="95">
        <v>2.71132376395534</v>
      </c>
      <c r="AW1261" s="95">
        <v>3.9658119658119699</v>
      </c>
      <c r="AX1261" s="95">
        <v>5.8534743202416903</v>
      </c>
      <c r="AY1261" s="95">
        <v>2.32558139534884</v>
      </c>
      <c r="AZ1261" s="95">
        <v>4.8253510983075296</v>
      </c>
      <c r="BA1261" s="95">
        <v>4.7619047619047601</v>
      </c>
      <c r="BB1261" s="95">
        <v>4.7619047619047601</v>
      </c>
      <c r="BC1261" s="95">
        <v>4.10958904109589</v>
      </c>
      <c r="BD1261" s="95">
        <v>4.8583755392984402</v>
      </c>
      <c r="BE1261" s="95">
        <v>4.5871559633027497</v>
      </c>
    </row>
    <row r="1262" spans="2:57" ht="15" customHeight="1" x14ac:dyDescent="0.25">
      <c r="B1262" s="96">
        <v>1252</v>
      </c>
      <c r="C1262" s="97" t="s">
        <v>504</v>
      </c>
      <c r="D1262" s="104" t="s">
        <v>92</v>
      </c>
      <c r="E1262" s="104" t="s">
        <v>367</v>
      </c>
      <c r="F1262" s="104" t="s">
        <v>301</v>
      </c>
      <c r="G1262" s="105" t="s">
        <v>301</v>
      </c>
      <c r="H1262" s="106">
        <v>46791</v>
      </c>
      <c r="I1262" s="106">
        <v>27139</v>
      </c>
      <c r="J1262" s="106">
        <v>19652</v>
      </c>
      <c r="K1262" s="106">
        <v>2801</v>
      </c>
      <c r="L1262" s="106">
        <v>15795</v>
      </c>
      <c r="M1262" s="106">
        <v>24695</v>
      </c>
      <c r="N1262" s="106">
        <v>3500</v>
      </c>
      <c r="O1262" s="106">
        <v>46497</v>
      </c>
      <c r="P1262" s="106">
        <v>294</v>
      </c>
      <c r="Q1262" s="107">
        <v>2.4081388390185499</v>
      </c>
      <c r="R1262" s="107">
        <v>1.8798678791338701</v>
      </c>
      <c r="S1262" s="107">
        <v>3.1590540227220001</v>
      </c>
      <c r="T1262" s="107">
        <v>3.8177339901477798</v>
      </c>
      <c r="U1262" s="107">
        <v>2.7540087725605802</v>
      </c>
      <c r="V1262" s="107">
        <v>2.13946826604601</v>
      </c>
      <c r="W1262" s="107">
        <v>1.6828478964401301</v>
      </c>
      <c r="X1262" s="107">
        <v>2.4119319550865002</v>
      </c>
      <c r="Y1262" s="107">
        <v>1.8315018315018301</v>
      </c>
      <c r="Z1262" s="106">
        <v>57977</v>
      </c>
      <c r="AA1262" s="106">
        <v>32470</v>
      </c>
      <c r="AB1262" s="106">
        <v>25507</v>
      </c>
      <c r="AC1262" s="106">
        <v>2339</v>
      </c>
      <c r="AD1262" s="106">
        <v>16583</v>
      </c>
      <c r="AE1262" s="106">
        <v>33621</v>
      </c>
      <c r="AF1262" s="106">
        <v>5434</v>
      </c>
      <c r="AG1262" s="106">
        <v>11271</v>
      </c>
      <c r="AH1262" s="106">
        <v>45710</v>
      </c>
      <c r="AI1262" s="106">
        <v>996</v>
      </c>
      <c r="AJ1262" s="106">
        <v>57426</v>
      </c>
      <c r="AK1262" s="106">
        <v>416</v>
      </c>
      <c r="AL1262" s="106">
        <v>135</v>
      </c>
      <c r="AM1262" s="106">
        <v>3093</v>
      </c>
      <c r="AN1262" s="106">
        <v>54025</v>
      </c>
      <c r="AO1262" s="106">
        <v>859</v>
      </c>
      <c r="AP1262" s="107">
        <v>8.1277213352685092</v>
      </c>
      <c r="AQ1262" s="107">
        <v>4.1099511034756198</v>
      </c>
      <c r="AR1262" s="107">
        <v>13.308341143392701</v>
      </c>
      <c r="AS1262" s="107">
        <v>14.9383280036546</v>
      </c>
      <c r="AT1262" s="107">
        <v>10.2137767220903</v>
      </c>
      <c r="AU1262" s="107">
        <v>7.0070613796849504</v>
      </c>
      <c r="AV1262" s="107">
        <v>5.8823529411764701</v>
      </c>
      <c r="AW1262" s="107">
        <v>7.1903495440729497</v>
      </c>
      <c r="AX1262" s="107">
        <v>8.3668163554715207</v>
      </c>
      <c r="AY1262" s="107">
        <v>7.8539823008849599</v>
      </c>
      <c r="AZ1262" s="107">
        <v>8.1240490636211593</v>
      </c>
      <c r="BA1262" s="107">
        <v>8.8311688311688297</v>
      </c>
      <c r="BB1262" s="107">
        <v>7.5</v>
      </c>
      <c r="BC1262" s="107">
        <v>7.1330589849108401</v>
      </c>
      <c r="BD1262" s="107">
        <v>8.1951492388220704</v>
      </c>
      <c r="BE1262" s="107">
        <v>7.5129533678756504</v>
      </c>
    </row>
    <row r="1263" spans="2:57" ht="15" customHeight="1" x14ac:dyDescent="0.25">
      <c r="B1263" s="91">
        <v>1253</v>
      </c>
      <c r="C1263" s="92" t="s">
        <v>504</v>
      </c>
      <c r="D1263" s="92" t="s">
        <v>92</v>
      </c>
      <c r="E1263" s="92" t="s">
        <v>367</v>
      </c>
      <c r="F1263" s="92" t="s">
        <v>301</v>
      </c>
      <c r="G1263" s="101" t="s">
        <v>501</v>
      </c>
      <c r="H1263" s="94">
        <v>44747</v>
      </c>
      <c r="I1263" s="94">
        <v>25749</v>
      </c>
      <c r="J1263" s="94">
        <v>18998</v>
      </c>
      <c r="K1263" s="94">
        <v>2626</v>
      </c>
      <c r="L1263" s="94">
        <v>15209</v>
      </c>
      <c r="M1263" s="94">
        <v>23645</v>
      </c>
      <c r="N1263" s="94">
        <v>3267</v>
      </c>
      <c r="O1263" s="94">
        <v>44460</v>
      </c>
      <c r="P1263" s="94">
        <v>287</v>
      </c>
      <c r="Q1263" s="95">
        <v>2.37469001277523</v>
      </c>
      <c r="R1263" s="95">
        <v>1.7977721388327399</v>
      </c>
      <c r="S1263" s="95">
        <v>3.1793641271745701</v>
      </c>
      <c r="T1263" s="95">
        <v>3.8915609969392202</v>
      </c>
      <c r="U1263" s="95">
        <v>2.72672941879576</v>
      </c>
      <c r="V1263" s="95">
        <v>2.0917173607861499</v>
      </c>
      <c r="W1263" s="95">
        <v>1.6330785267546899</v>
      </c>
      <c r="X1263" s="95">
        <v>2.3780103391753902</v>
      </c>
      <c r="Y1263" s="95">
        <v>1.8796992481203001</v>
      </c>
      <c r="Z1263" s="94">
        <v>55640</v>
      </c>
      <c r="AA1263" s="94">
        <v>30948</v>
      </c>
      <c r="AB1263" s="94">
        <v>24692</v>
      </c>
      <c r="AC1263" s="94">
        <v>2203</v>
      </c>
      <c r="AD1263" s="94">
        <v>15899</v>
      </c>
      <c r="AE1263" s="94">
        <v>32375</v>
      </c>
      <c r="AF1263" s="94">
        <v>5163</v>
      </c>
      <c r="AG1263" s="94">
        <v>10303</v>
      </c>
      <c r="AH1263" s="94">
        <v>44378</v>
      </c>
      <c r="AI1263" s="94">
        <v>959</v>
      </c>
      <c r="AJ1263" s="94">
        <v>55106</v>
      </c>
      <c r="AK1263" s="94">
        <v>408</v>
      </c>
      <c r="AL1263" s="94">
        <v>126</v>
      </c>
      <c r="AM1263" s="94">
        <v>2988</v>
      </c>
      <c r="AN1263" s="94">
        <v>51847</v>
      </c>
      <c r="AO1263" s="94">
        <v>805</v>
      </c>
      <c r="AP1263" s="95">
        <v>8.0774223548330806</v>
      </c>
      <c r="AQ1263" s="95">
        <v>4.1034697693746098</v>
      </c>
      <c r="AR1263" s="95">
        <v>13.1251374532659</v>
      </c>
      <c r="AS1263" s="95">
        <v>14.978187106156099</v>
      </c>
      <c r="AT1263" s="95">
        <v>10.1872813336077</v>
      </c>
      <c r="AU1263" s="95">
        <v>6.9349968477287103</v>
      </c>
      <c r="AV1263" s="95">
        <v>5.89330024813896</v>
      </c>
      <c r="AW1263" s="95">
        <v>7.09028713589717</v>
      </c>
      <c r="AX1263" s="95">
        <v>8.3126490485228999</v>
      </c>
      <c r="AY1263" s="95">
        <v>7.9128440366972503</v>
      </c>
      <c r="AZ1263" s="95">
        <v>8.0746435068364502</v>
      </c>
      <c r="BA1263" s="95">
        <v>8.4880636604774509</v>
      </c>
      <c r="BB1263" s="95">
        <v>7.9646017699114999</v>
      </c>
      <c r="BC1263" s="95">
        <v>7.1123755334281702</v>
      </c>
      <c r="BD1263" s="95">
        <v>8.1454363923787305</v>
      </c>
      <c r="BE1263" s="95">
        <v>7.31034482758621</v>
      </c>
    </row>
    <row r="1264" spans="2:57" ht="15" customHeight="1" x14ac:dyDescent="0.25">
      <c r="B1264" s="91">
        <v>1254</v>
      </c>
      <c r="C1264" s="92" t="s">
        <v>504</v>
      </c>
      <c r="D1264" s="92" t="s">
        <v>92</v>
      </c>
      <c r="E1264" s="92" t="s">
        <v>367</v>
      </c>
      <c r="F1264" s="92" t="s">
        <v>301</v>
      </c>
      <c r="G1264" s="101" t="s">
        <v>502</v>
      </c>
      <c r="H1264" s="94">
        <v>2044</v>
      </c>
      <c r="I1264" s="94">
        <v>1390</v>
      </c>
      <c r="J1264" s="94">
        <v>654</v>
      </c>
      <c r="K1264" s="94">
        <v>175</v>
      </c>
      <c r="L1264" s="94">
        <v>586</v>
      </c>
      <c r="M1264" s="94">
        <v>1050</v>
      </c>
      <c r="N1264" s="94">
        <v>233</v>
      </c>
      <c r="O1264" s="94">
        <v>2037</v>
      </c>
      <c r="P1264" s="94">
        <v>7</v>
      </c>
      <c r="Q1264" s="95">
        <v>3.1283710895361398</v>
      </c>
      <c r="R1264" s="95">
        <v>3.3805031446540901</v>
      </c>
      <c r="S1264" s="95">
        <v>2.5773195876288701</v>
      </c>
      <c r="T1264" s="95">
        <v>2.6845637583892601</v>
      </c>
      <c r="U1264" s="95">
        <v>3.45489443378119</v>
      </c>
      <c r="V1264" s="95">
        <v>3.18930041152263</v>
      </c>
      <c r="W1264" s="95">
        <v>2.35849056603774</v>
      </c>
      <c r="X1264" s="95">
        <v>3.14022739577694</v>
      </c>
      <c r="Y1264" s="95">
        <v>0</v>
      </c>
      <c r="Z1264" s="94">
        <v>2337</v>
      </c>
      <c r="AA1264" s="94">
        <v>1522</v>
      </c>
      <c r="AB1264" s="94">
        <v>815</v>
      </c>
      <c r="AC1264" s="94">
        <v>136</v>
      </c>
      <c r="AD1264" s="94">
        <v>684</v>
      </c>
      <c r="AE1264" s="94">
        <v>1246</v>
      </c>
      <c r="AF1264" s="94">
        <v>271</v>
      </c>
      <c r="AG1264" s="94">
        <v>968</v>
      </c>
      <c r="AH1264" s="94">
        <v>1332</v>
      </c>
      <c r="AI1264" s="94">
        <v>37</v>
      </c>
      <c r="AJ1264" s="94">
        <v>2320</v>
      </c>
      <c r="AK1264" s="94">
        <v>8</v>
      </c>
      <c r="AL1264" s="94">
        <v>9</v>
      </c>
      <c r="AM1264" s="94">
        <v>105</v>
      </c>
      <c r="AN1264" s="94">
        <v>2178</v>
      </c>
      <c r="AO1264" s="94">
        <v>54</v>
      </c>
      <c r="AP1264" s="95">
        <v>9.3471113198684801</v>
      </c>
      <c r="AQ1264" s="95">
        <v>4.2446043165467602</v>
      </c>
      <c r="AR1264" s="95">
        <v>18.944519621109599</v>
      </c>
      <c r="AS1264" s="95">
        <v>14.285714285714301</v>
      </c>
      <c r="AT1264" s="95">
        <v>10.880829015544</v>
      </c>
      <c r="AU1264" s="95">
        <v>8.8793103448275907</v>
      </c>
      <c r="AV1264" s="95">
        <v>5.6818181818181799</v>
      </c>
      <c r="AW1264" s="95">
        <v>8.2860385925085094</v>
      </c>
      <c r="AX1264" s="95">
        <v>10.1973684210526</v>
      </c>
      <c r="AY1264" s="95">
        <v>6.25</v>
      </c>
      <c r="AZ1264" s="95">
        <v>9.3188268684957407</v>
      </c>
      <c r="BA1264" s="95">
        <v>25</v>
      </c>
      <c r="BB1264" s="95">
        <v>0</v>
      </c>
      <c r="BC1264" s="95">
        <v>7.6923076923076898</v>
      </c>
      <c r="BD1264" s="95">
        <v>9.4034378159757299</v>
      </c>
      <c r="BE1264" s="95">
        <v>10.6382978723404</v>
      </c>
    </row>
    <row r="1265" spans="2:57" ht="15" customHeight="1" x14ac:dyDescent="0.25">
      <c r="B1265" s="96">
        <v>1255</v>
      </c>
      <c r="C1265" s="97" t="s">
        <v>504</v>
      </c>
      <c r="D1265" s="104" t="s">
        <v>92</v>
      </c>
      <c r="E1265" s="104" t="s">
        <v>367</v>
      </c>
      <c r="F1265" s="104" t="s">
        <v>75</v>
      </c>
      <c r="G1265" s="105" t="s">
        <v>75</v>
      </c>
      <c r="H1265" s="106">
        <v>2515</v>
      </c>
      <c r="I1265" s="106">
        <v>1811</v>
      </c>
      <c r="J1265" s="106">
        <v>704</v>
      </c>
      <c r="K1265" s="106">
        <v>223</v>
      </c>
      <c r="L1265" s="106">
        <v>768</v>
      </c>
      <c r="M1265" s="106">
        <v>1264</v>
      </c>
      <c r="N1265" s="106">
        <v>260</v>
      </c>
      <c r="O1265" s="106">
        <v>2437</v>
      </c>
      <c r="P1265" s="106">
        <v>78</v>
      </c>
      <c r="Q1265" s="107">
        <v>0.258397932816538</v>
      </c>
      <c r="R1265" s="107">
        <v>0.29325513196480901</v>
      </c>
      <c r="S1265" s="107">
        <v>0.162074554294976</v>
      </c>
      <c r="T1265" s="107">
        <v>0</v>
      </c>
      <c r="U1265" s="107">
        <v>0</v>
      </c>
      <c r="V1265" s="107">
        <v>0.33613445378151302</v>
      </c>
      <c r="W1265" s="107">
        <v>0.81300813008130102</v>
      </c>
      <c r="X1265" s="107">
        <v>0.26714158504007102</v>
      </c>
      <c r="Y1265" s="107">
        <v>0</v>
      </c>
      <c r="Z1265" s="106">
        <v>3756</v>
      </c>
      <c r="AA1265" s="106">
        <v>2498</v>
      </c>
      <c r="AB1265" s="106">
        <v>1258</v>
      </c>
      <c r="AC1265" s="106">
        <v>159</v>
      </c>
      <c r="AD1265" s="106">
        <v>1085</v>
      </c>
      <c r="AE1265" s="106">
        <v>2132</v>
      </c>
      <c r="AF1265" s="106">
        <v>380</v>
      </c>
      <c r="AG1265" s="106">
        <v>2209</v>
      </c>
      <c r="AH1265" s="106">
        <v>1488</v>
      </c>
      <c r="AI1265" s="106">
        <v>59</v>
      </c>
      <c r="AJ1265" s="106">
        <v>3655</v>
      </c>
      <c r="AK1265" s="106">
        <v>86</v>
      </c>
      <c r="AL1265" s="106">
        <v>15</v>
      </c>
      <c r="AM1265" s="106">
        <v>124</v>
      </c>
      <c r="AN1265" s="106">
        <v>3565</v>
      </c>
      <c r="AO1265" s="106">
        <v>67</v>
      </c>
      <c r="AP1265" s="107">
        <v>2.0963172804532602</v>
      </c>
      <c r="AQ1265" s="107">
        <v>0.57731958762886604</v>
      </c>
      <c r="AR1265" s="107">
        <v>5.4298642533936698</v>
      </c>
      <c r="AS1265" s="107">
        <v>3.9215686274509798</v>
      </c>
      <c r="AT1265" s="107">
        <v>2.5</v>
      </c>
      <c r="AU1265" s="107">
        <v>2.03574975173784</v>
      </c>
      <c r="AV1265" s="107">
        <v>0.55096418732782404</v>
      </c>
      <c r="AW1265" s="107">
        <v>2.1037181996086098</v>
      </c>
      <c r="AX1265" s="107">
        <v>2.16480446927374</v>
      </c>
      <c r="AY1265" s="107">
        <v>0</v>
      </c>
      <c r="AZ1265" s="107">
        <v>2.06395348837209</v>
      </c>
      <c r="BA1265" s="107">
        <v>2.6315789473684199</v>
      </c>
      <c r="BB1265" s="107">
        <v>7.1428571428571397</v>
      </c>
      <c r="BC1265" s="107">
        <v>0.86956521739130399</v>
      </c>
      <c r="BD1265" s="107">
        <v>2.17715478675813</v>
      </c>
      <c r="BE1265" s="107">
        <v>0</v>
      </c>
    </row>
    <row r="1266" spans="2:57" ht="15" customHeight="1" x14ac:dyDescent="0.25">
      <c r="B1266" s="91">
        <v>1256</v>
      </c>
      <c r="C1266" s="92" t="s">
        <v>504</v>
      </c>
      <c r="D1266" s="92" t="s">
        <v>92</v>
      </c>
      <c r="E1266" s="92" t="s">
        <v>367</v>
      </c>
      <c r="F1266" s="92" t="s">
        <v>75</v>
      </c>
      <c r="G1266" s="101" t="s">
        <v>501</v>
      </c>
      <c r="H1266" s="94">
        <v>0</v>
      </c>
      <c r="I1266" s="94">
        <v>0</v>
      </c>
      <c r="J1266" s="94">
        <v>0</v>
      </c>
      <c r="K1266" s="94">
        <v>0</v>
      </c>
      <c r="L1266" s="94">
        <v>0</v>
      </c>
      <c r="M1266" s="94">
        <v>0</v>
      </c>
      <c r="N1266" s="94">
        <v>0</v>
      </c>
      <c r="O1266" s="94">
        <v>0</v>
      </c>
      <c r="P1266" s="94">
        <v>0</v>
      </c>
      <c r="Q1266" s="95">
        <v>0</v>
      </c>
      <c r="R1266" s="95">
        <v>0</v>
      </c>
      <c r="S1266" s="95">
        <v>0</v>
      </c>
      <c r="T1266" s="95">
        <v>0</v>
      </c>
      <c r="U1266" s="95">
        <v>0</v>
      </c>
      <c r="V1266" s="95">
        <v>0</v>
      </c>
      <c r="W1266" s="95">
        <v>0</v>
      </c>
      <c r="X1266" s="95">
        <v>0</v>
      </c>
      <c r="Y1266" s="95">
        <v>0</v>
      </c>
      <c r="Z1266" s="94">
        <v>0</v>
      </c>
      <c r="AA1266" s="94">
        <v>0</v>
      </c>
      <c r="AB1266" s="94">
        <v>0</v>
      </c>
      <c r="AC1266" s="94">
        <v>0</v>
      </c>
      <c r="AD1266" s="94">
        <v>0</v>
      </c>
      <c r="AE1266" s="94">
        <v>0</v>
      </c>
      <c r="AF1266" s="94">
        <v>0</v>
      </c>
      <c r="AG1266" s="94">
        <v>0</v>
      </c>
      <c r="AH1266" s="94">
        <v>0</v>
      </c>
      <c r="AI1266" s="94">
        <v>0</v>
      </c>
      <c r="AJ1266" s="94">
        <v>0</v>
      </c>
      <c r="AK1266" s="94">
        <v>0</v>
      </c>
      <c r="AL1266" s="94">
        <v>0</v>
      </c>
      <c r="AM1266" s="94">
        <v>0</v>
      </c>
      <c r="AN1266" s="94">
        <v>0</v>
      </c>
      <c r="AO1266" s="94">
        <v>0</v>
      </c>
      <c r="AP1266" s="95">
        <v>0</v>
      </c>
      <c r="AQ1266" s="95">
        <v>0</v>
      </c>
      <c r="AR1266" s="95">
        <v>0</v>
      </c>
      <c r="AS1266" s="95">
        <v>0</v>
      </c>
      <c r="AT1266" s="95">
        <v>0</v>
      </c>
      <c r="AU1266" s="95">
        <v>0</v>
      </c>
      <c r="AV1266" s="95">
        <v>0</v>
      </c>
      <c r="AW1266" s="95">
        <v>0</v>
      </c>
      <c r="AX1266" s="95">
        <v>0</v>
      </c>
      <c r="AY1266" s="95">
        <v>0</v>
      </c>
      <c r="AZ1266" s="95">
        <v>0</v>
      </c>
      <c r="BA1266" s="95">
        <v>0</v>
      </c>
      <c r="BB1266" s="95">
        <v>0</v>
      </c>
      <c r="BC1266" s="95">
        <v>0</v>
      </c>
      <c r="BD1266" s="95">
        <v>0</v>
      </c>
      <c r="BE1266" s="95">
        <v>0</v>
      </c>
    </row>
    <row r="1267" spans="2:57" ht="15" customHeight="1" x14ac:dyDescent="0.25">
      <c r="B1267" s="91">
        <v>1257</v>
      </c>
      <c r="C1267" s="92" t="s">
        <v>504</v>
      </c>
      <c r="D1267" s="92" t="s">
        <v>92</v>
      </c>
      <c r="E1267" s="92" t="s">
        <v>367</v>
      </c>
      <c r="F1267" s="92" t="s">
        <v>75</v>
      </c>
      <c r="G1267" s="101" t="s">
        <v>502</v>
      </c>
      <c r="H1267" s="94">
        <v>2515</v>
      </c>
      <c r="I1267" s="94">
        <v>1811</v>
      </c>
      <c r="J1267" s="94">
        <v>704</v>
      </c>
      <c r="K1267" s="94">
        <v>223</v>
      </c>
      <c r="L1267" s="94">
        <v>768</v>
      </c>
      <c r="M1267" s="94">
        <v>1264</v>
      </c>
      <c r="N1267" s="94">
        <v>260</v>
      </c>
      <c r="O1267" s="94">
        <v>2437</v>
      </c>
      <c r="P1267" s="94">
        <v>78</v>
      </c>
      <c r="Q1267" s="95">
        <v>0.258397932816538</v>
      </c>
      <c r="R1267" s="95">
        <v>0.29325513196480901</v>
      </c>
      <c r="S1267" s="95">
        <v>0.162074554294976</v>
      </c>
      <c r="T1267" s="95">
        <v>0</v>
      </c>
      <c r="U1267" s="95">
        <v>0</v>
      </c>
      <c r="V1267" s="95">
        <v>0.33613445378151302</v>
      </c>
      <c r="W1267" s="95">
        <v>0.81300813008130102</v>
      </c>
      <c r="X1267" s="95">
        <v>0.26714158504007102</v>
      </c>
      <c r="Y1267" s="95">
        <v>0</v>
      </c>
      <c r="Z1267" s="94">
        <v>3756</v>
      </c>
      <c r="AA1267" s="94">
        <v>2498</v>
      </c>
      <c r="AB1267" s="94">
        <v>1258</v>
      </c>
      <c r="AC1267" s="94">
        <v>159</v>
      </c>
      <c r="AD1267" s="94">
        <v>1085</v>
      </c>
      <c r="AE1267" s="94">
        <v>2132</v>
      </c>
      <c r="AF1267" s="94">
        <v>380</v>
      </c>
      <c r="AG1267" s="94">
        <v>2209</v>
      </c>
      <c r="AH1267" s="94">
        <v>1488</v>
      </c>
      <c r="AI1267" s="94">
        <v>59</v>
      </c>
      <c r="AJ1267" s="94">
        <v>3655</v>
      </c>
      <c r="AK1267" s="94">
        <v>86</v>
      </c>
      <c r="AL1267" s="94">
        <v>15</v>
      </c>
      <c r="AM1267" s="94">
        <v>124</v>
      </c>
      <c r="AN1267" s="94">
        <v>3565</v>
      </c>
      <c r="AO1267" s="94">
        <v>67</v>
      </c>
      <c r="AP1267" s="95">
        <v>2.0963172804532602</v>
      </c>
      <c r="AQ1267" s="95">
        <v>0.57731958762886604</v>
      </c>
      <c r="AR1267" s="95">
        <v>5.4298642533936698</v>
      </c>
      <c r="AS1267" s="95">
        <v>3.9215686274509798</v>
      </c>
      <c r="AT1267" s="95">
        <v>2.5</v>
      </c>
      <c r="AU1267" s="95">
        <v>2.03574975173784</v>
      </c>
      <c r="AV1267" s="95">
        <v>0.55096418732782404</v>
      </c>
      <c r="AW1267" s="95">
        <v>2.1037181996086098</v>
      </c>
      <c r="AX1267" s="95">
        <v>2.16480446927374</v>
      </c>
      <c r="AY1267" s="95">
        <v>0</v>
      </c>
      <c r="AZ1267" s="95">
        <v>2.06395348837209</v>
      </c>
      <c r="BA1267" s="95">
        <v>2.6315789473684199</v>
      </c>
      <c r="BB1267" s="95">
        <v>7.1428571428571397</v>
      </c>
      <c r="BC1267" s="95">
        <v>0.86956521739130399</v>
      </c>
      <c r="BD1267" s="95">
        <v>2.17715478675813</v>
      </c>
      <c r="BE1267" s="95">
        <v>0</v>
      </c>
    </row>
    <row r="1268" spans="2:57" ht="15" customHeight="1" x14ac:dyDescent="0.25">
      <c r="B1268" s="86">
        <v>1258</v>
      </c>
      <c r="C1268" s="87" t="s">
        <v>503</v>
      </c>
      <c r="D1268" s="103" t="s">
        <v>92</v>
      </c>
      <c r="E1268" s="103" t="s">
        <v>425</v>
      </c>
      <c r="F1268" s="103"/>
      <c r="G1268" s="88" t="s">
        <v>425</v>
      </c>
      <c r="H1268" s="89">
        <v>53943</v>
      </c>
      <c r="I1268" s="89">
        <v>33340</v>
      </c>
      <c r="J1268" s="89">
        <v>20603</v>
      </c>
      <c r="K1268" s="89">
        <v>4075</v>
      </c>
      <c r="L1268" s="89">
        <v>17805</v>
      </c>
      <c r="M1268" s="89">
        <v>27714</v>
      </c>
      <c r="N1268" s="89">
        <v>4349</v>
      </c>
      <c r="O1268" s="89">
        <v>53365</v>
      </c>
      <c r="P1268" s="89">
        <v>578</v>
      </c>
      <c r="Q1268" s="90">
        <v>1.55542753682824</v>
      </c>
      <c r="R1268" s="90">
        <v>1.18082889557768</v>
      </c>
      <c r="S1268" s="90">
        <v>2.1719013662838198</v>
      </c>
      <c r="T1268" s="90">
        <v>1.5414798206278</v>
      </c>
      <c r="U1268" s="90">
        <v>1.5899949723479101</v>
      </c>
      <c r="V1268" s="90">
        <v>1.55167636464395</v>
      </c>
      <c r="W1268" s="90">
        <v>1.45040145040145</v>
      </c>
      <c r="X1268" s="90">
        <v>1.5407006965381</v>
      </c>
      <c r="Y1268" s="90">
        <v>2.9469548133595298</v>
      </c>
      <c r="Z1268" s="89">
        <v>64004</v>
      </c>
      <c r="AA1268" s="89">
        <v>36526</v>
      </c>
      <c r="AB1268" s="89">
        <v>27478</v>
      </c>
      <c r="AC1268" s="89">
        <v>3206</v>
      </c>
      <c r="AD1268" s="89">
        <v>18256</v>
      </c>
      <c r="AE1268" s="89">
        <v>35911</v>
      </c>
      <c r="AF1268" s="89">
        <v>6631</v>
      </c>
      <c r="AG1268" s="89">
        <v>9502</v>
      </c>
      <c r="AH1268" s="89">
        <v>52374</v>
      </c>
      <c r="AI1268" s="89">
        <v>2128</v>
      </c>
      <c r="AJ1268" s="89">
        <v>62985</v>
      </c>
      <c r="AK1268" s="89">
        <v>736</v>
      </c>
      <c r="AL1268" s="89">
        <v>283</v>
      </c>
      <c r="AM1268" s="89">
        <v>4150</v>
      </c>
      <c r="AN1268" s="89">
        <v>58528</v>
      </c>
      <c r="AO1268" s="89">
        <v>1326</v>
      </c>
      <c r="AP1268" s="90">
        <v>6.5978794325053203</v>
      </c>
      <c r="AQ1268" s="90">
        <v>3.4452374658560201</v>
      </c>
      <c r="AR1268" s="90">
        <v>10.7819443361659</v>
      </c>
      <c r="AS1268" s="90">
        <v>10.7</v>
      </c>
      <c r="AT1268" s="90">
        <v>7.8009973877938696</v>
      </c>
      <c r="AU1268" s="90">
        <v>5.9319257913701202</v>
      </c>
      <c r="AV1268" s="90">
        <v>4.9713193116634802</v>
      </c>
      <c r="AW1268" s="90">
        <v>3.9928817706595501</v>
      </c>
      <c r="AX1268" s="90">
        <v>7.12456201463025</v>
      </c>
      <c r="AY1268" s="90">
        <v>5.4011536444677501</v>
      </c>
      <c r="AZ1268" s="90">
        <v>6.6007555389170598</v>
      </c>
      <c r="BA1268" s="90">
        <v>6.2773722627737198</v>
      </c>
      <c r="BB1268" s="90">
        <v>6.8</v>
      </c>
      <c r="BC1268" s="90">
        <v>6.52781305562611</v>
      </c>
      <c r="BD1268" s="90">
        <v>6.6313629200718296</v>
      </c>
      <c r="BE1268" s="90">
        <v>5.2941176470588198</v>
      </c>
    </row>
    <row r="1269" spans="2:57" ht="15" customHeight="1" x14ac:dyDescent="0.25">
      <c r="B1269" s="91">
        <v>1259</v>
      </c>
      <c r="C1269" s="92" t="s">
        <v>503</v>
      </c>
      <c r="D1269" s="92" t="s">
        <v>92</v>
      </c>
      <c r="E1269" s="92" t="s">
        <v>425</v>
      </c>
      <c r="F1269" s="92"/>
      <c r="G1269" s="93" t="s">
        <v>501</v>
      </c>
      <c r="H1269" s="94">
        <v>46760</v>
      </c>
      <c r="I1269" s="94">
        <v>28294</v>
      </c>
      <c r="J1269" s="94">
        <v>18466</v>
      </c>
      <c r="K1269" s="94">
        <v>3297</v>
      </c>
      <c r="L1269" s="94">
        <v>15646</v>
      </c>
      <c r="M1269" s="94">
        <v>24306</v>
      </c>
      <c r="N1269" s="94">
        <v>3511</v>
      </c>
      <c r="O1269" s="94">
        <v>46244</v>
      </c>
      <c r="P1269" s="94">
        <v>516</v>
      </c>
      <c r="Q1269" s="95">
        <v>1.7617789205532901</v>
      </c>
      <c r="R1269" s="95">
        <v>1.35500293714509</v>
      </c>
      <c r="S1269" s="95">
        <v>2.3925188243866899</v>
      </c>
      <c r="T1269" s="95">
        <v>1.8711018711018701</v>
      </c>
      <c r="U1269" s="95">
        <v>1.7930144158359</v>
      </c>
      <c r="V1269" s="95">
        <v>1.73794976238968</v>
      </c>
      <c r="W1269" s="95">
        <v>1.6888600194868499</v>
      </c>
      <c r="X1269" s="95">
        <v>1.7472083172891799</v>
      </c>
      <c r="Y1269" s="95">
        <v>3.1042128603104202</v>
      </c>
      <c r="Z1269" s="94">
        <v>56277</v>
      </c>
      <c r="AA1269" s="94">
        <v>31545</v>
      </c>
      <c r="AB1269" s="94">
        <v>24732</v>
      </c>
      <c r="AC1269" s="94">
        <v>2704</v>
      </c>
      <c r="AD1269" s="94">
        <v>16257</v>
      </c>
      <c r="AE1269" s="94">
        <v>31751</v>
      </c>
      <c r="AF1269" s="94">
        <v>5565</v>
      </c>
      <c r="AG1269" s="94">
        <v>5319</v>
      </c>
      <c r="AH1269" s="94">
        <v>49133</v>
      </c>
      <c r="AI1269" s="94">
        <v>1825</v>
      </c>
      <c r="AJ1269" s="94">
        <v>55382</v>
      </c>
      <c r="AK1269" s="94">
        <v>655</v>
      </c>
      <c r="AL1269" s="94">
        <v>240</v>
      </c>
      <c r="AM1269" s="94">
        <v>3538</v>
      </c>
      <c r="AN1269" s="94">
        <v>51690</v>
      </c>
      <c r="AO1269" s="94">
        <v>1049</v>
      </c>
      <c r="AP1269" s="95">
        <v>7.2325301435040998</v>
      </c>
      <c r="AQ1269" s="95">
        <v>3.8758366343395698</v>
      </c>
      <c r="AR1269" s="95">
        <v>11.497244999783099</v>
      </c>
      <c r="AS1269" s="95">
        <v>12.296707655692201</v>
      </c>
      <c r="AT1269" s="95">
        <v>8.4520227348712798</v>
      </c>
      <c r="AU1269" s="95">
        <v>6.4494344082390702</v>
      </c>
      <c r="AV1269" s="95">
        <v>5.7420831743609302</v>
      </c>
      <c r="AW1269" s="95">
        <v>5.8953278524162798</v>
      </c>
      <c r="AX1269" s="95">
        <v>7.4347084299400699</v>
      </c>
      <c r="AY1269" s="95">
        <v>5.6511056511056497</v>
      </c>
      <c r="AZ1269" s="95">
        <v>7.2347859846646596</v>
      </c>
      <c r="BA1269" s="95">
        <v>6.7434210526315796</v>
      </c>
      <c r="BB1269" s="95">
        <v>8.0952380952380896</v>
      </c>
      <c r="BC1269" s="95">
        <v>7.4506283662477504</v>
      </c>
      <c r="BD1269" s="95">
        <v>7.2323509823509804</v>
      </c>
      <c r="BE1269" s="95">
        <v>6.4687168610816501</v>
      </c>
    </row>
    <row r="1270" spans="2:57" ht="15" customHeight="1" x14ac:dyDescent="0.25">
      <c r="B1270" s="91">
        <v>1260</v>
      </c>
      <c r="C1270" s="92" t="s">
        <v>503</v>
      </c>
      <c r="D1270" s="92" t="s">
        <v>92</v>
      </c>
      <c r="E1270" s="92" t="s">
        <v>425</v>
      </c>
      <c r="F1270" s="92"/>
      <c r="G1270" s="93" t="s">
        <v>502</v>
      </c>
      <c r="H1270" s="94">
        <v>7183</v>
      </c>
      <c r="I1270" s="94">
        <v>5046</v>
      </c>
      <c r="J1270" s="94">
        <v>2137</v>
      </c>
      <c r="K1270" s="94">
        <v>778</v>
      </c>
      <c r="L1270" s="94">
        <v>2159</v>
      </c>
      <c r="M1270" s="94">
        <v>3408</v>
      </c>
      <c r="N1270" s="94">
        <v>838</v>
      </c>
      <c r="O1270" s="94">
        <v>7121</v>
      </c>
      <c r="P1270" s="94">
        <v>62</v>
      </c>
      <c r="Q1270" s="95">
        <v>0.24238751704287201</v>
      </c>
      <c r="R1270" s="95">
        <v>0.23414218816517701</v>
      </c>
      <c r="S1270" s="95">
        <v>0.26274303730951099</v>
      </c>
      <c r="T1270" s="95">
        <v>0.14662756598240501</v>
      </c>
      <c r="U1270" s="95">
        <v>0.15236160487557099</v>
      </c>
      <c r="V1270" s="95">
        <v>0.25252525252525299</v>
      </c>
      <c r="W1270" s="95">
        <v>0.51150895140664998</v>
      </c>
      <c r="X1270" s="95">
        <v>0.22925263640531901</v>
      </c>
      <c r="Y1270" s="95">
        <v>1.72413793103448</v>
      </c>
      <c r="Z1270" s="94">
        <v>7727</v>
      </c>
      <c r="AA1270" s="94">
        <v>4981</v>
      </c>
      <c r="AB1270" s="94">
        <v>2746</v>
      </c>
      <c r="AC1270" s="94">
        <v>502</v>
      </c>
      <c r="AD1270" s="94">
        <v>1999</v>
      </c>
      <c r="AE1270" s="94">
        <v>4160</v>
      </c>
      <c r="AF1270" s="94">
        <v>1066</v>
      </c>
      <c r="AG1270" s="94">
        <v>4183</v>
      </c>
      <c r="AH1270" s="94">
        <v>3241</v>
      </c>
      <c r="AI1270" s="94">
        <v>303</v>
      </c>
      <c r="AJ1270" s="94">
        <v>7603</v>
      </c>
      <c r="AK1270" s="94">
        <v>81</v>
      </c>
      <c r="AL1270" s="94">
        <v>43</v>
      </c>
      <c r="AM1270" s="94">
        <v>612</v>
      </c>
      <c r="AN1270" s="94">
        <v>6838</v>
      </c>
      <c r="AO1270" s="94">
        <v>277</v>
      </c>
      <c r="AP1270" s="95">
        <v>2.0901194353963102</v>
      </c>
      <c r="AQ1270" s="95">
        <v>0.79781650220449296</v>
      </c>
      <c r="AR1270" s="95">
        <v>4.4529750479846504</v>
      </c>
      <c r="AS1270" s="95">
        <v>2.2964509394572001</v>
      </c>
      <c r="AT1270" s="95">
        <v>2.6469031233456901</v>
      </c>
      <c r="AU1270" s="95">
        <v>2.0675743822491199</v>
      </c>
      <c r="AV1270" s="95">
        <v>1.0638297872340401</v>
      </c>
      <c r="AW1270" s="95">
        <v>1.62337662337662</v>
      </c>
      <c r="AX1270" s="95">
        <v>2.5283630470016201</v>
      </c>
      <c r="AY1270" s="95">
        <v>3.9426523297490998</v>
      </c>
      <c r="AZ1270" s="95">
        <v>2.09626258447111</v>
      </c>
      <c r="BA1270" s="95">
        <v>2.5974025974026</v>
      </c>
      <c r="BB1270" s="95">
        <v>0</v>
      </c>
      <c r="BC1270" s="95">
        <v>1.3445378151260501</v>
      </c>
      <c r="BD1270" s="95">
        <v>2.2065583818571901</v>
      </c>
      <c r="BE1270" s="95">
        <v>0.80971659919028305</v>
      </c>
    </row>
    <row r="1271" spans="2:57" ht="15" customHeight="1" x14ac:dyDescent="0.25">
      <c r="B1271" s="96">
        <v>1261</v>
      </c>
      <c r="C1271" s="97" t="s">
        <v>504</v>
      </c>
      <c r="D1271" s="104" t="s">
        <v>92</v>
      </c>
      <c r="E1271" s="104" t="s">
        <v>425</v>
      </c>
      <c r="F1271" s="104" t="s">
        <v>296</v>
      </c>
      <c r="G1271" s="105" t="s">
        <v>296</v>
      </c>
      <c r="H1271" s="106">
        <v>36078</v>
      </c>
      <c r="I1271" s="106">
        <v>22254</v>
      </c>
      <c r="J1271" s="106">
        <v>13824</v>
      </c>
      <c r="K1271" s="106">
        <v>2854</v>
      </c>
      <c r="L1271" s="106">
        <v>12090</v>
      </c>
      <c r="M1271" s="106">
        <v>18350</v>
      </c>
      <c r="N1271" s="106">
        <v>2784</v>
      </c>
      <c r="O1271" s="106">
        <v>35797</v>
      </c>
      <c r="P1271" s="106">
        <v>281</v>
      </c>
      <c r="Q1271" s="107">
        <v>1.3452914798206299</v>
      </c>
      <c r="R1271" s="107">
        <v>0.92555533319992001</v>
      </c>
      <c r="S1271" s="107">
        <v>2.0247833481817401</v>
      </c>
      <c r="T1271" s="107">
        <v>1.4411529223378701</v>
      </c>
      <c r="U1271" s="107">
        <v>1.4530551415797299</v>
      </c>
      <c r="V1271" s="107">
        <v>1.2842825421592801</v>
      </c>
      <c r="W1271" s="107">
        <v>1.1894995898277301</v>
      </c>
      <c r="X1271" s="107">
        <v>1.34305568539466</v>
      </c>
      <c r="Y1271" s="107">
        <v>1.63934426229508</v>
      </c>
      <c r="Z1271" s="106">
        <v>46218</v>
      </c>
      <c r="AA1271" s="106">
        <v>26064</v>
      </c>
      <c r="AB1271" s="106">
        <v>20154</v>
      </c>
      <c r="AC1271" s="106">
        <v>2438</v>
      </c>
      <c r="AD1271" s="106">
        <v>13661</v>
      </c>
      <c r="AE1271" s="106">
        <v>25659</v>
      </c>
      <c r="AF1271" s="106">
        <v>4460</v>
      </c>
      <c r="AG1271" s="106">
        <v>6969</v>
      </c>
      <c r="AH1271" s="106">
        <v>37814</v>
      </c>
      <c r="AI1271" s="106">
        <v>1435</v>
      </c>
      <c r="AJ1271" s="106">
        <v>45580</v>
      </c>
      <c r="AK1271" s="106">
        <v>425</v>
      </c>
      <c r="AL1271" s="106">
        <v>213</v>
      </c>
      <c r="AM1271" s="106">
        <v>2897</v>
      </c>
      <c r="AN1271" s="106">
        <v>42443</v>
      </c>
      <c r="AO1271" s="106">
        <v>878</v>
      </c>
      <c r="AP1271" s="107">
        <v>6.3734020092341304</v>
      </c>
      <c r="AQ1271" s="107">
        <v>3.2929442795911599</v>
      </c>
      <c r="AR1271" s="107">
        <v>10.3413494717843</v>
      </c>
      <c r="AS1271" s="107">
        <v>10.3115401491882</v>
      </c>
      <c r="AT1271" s="107">
        <v>7.4085825335131297</v>
      </c>
      <c r="AU1271" s="107">
        <v>5.72393379747363</v>
      </c>
      <c r="AV1271" s="107">
        <v>4.8486281929990502</v>
      </c>
      <c r="AW1271" s="107">
        <v>3.9805530233971398</v>
      </c>
      <c r="AX1271" s="107">
        <v>6.8677810256264697</v>
      </c>
      <c r="AY1271" s="107">
        <v>5.0702028081123203</v>
      </c>
      <c r="AZ1271" s="107">
        <v>6.3731715347349596</v>
      </c>
      <c r="BA1271" s="107">
        <v>6.4267352185090001</v>
      </c>
      <c r="BB1271" s="107">
        <v>6.3157894736842097</v>
      </c>
      <c r="BC1271" s="107">
        <v>6.14322064703744</v>
      </c>
      <c r="BD1271" s="107">
        <v>6.4160578405844699</v>
      </c>
      <c r="BE1271" s="107">
        <v>5.0441361916771799</v>
      </c>
    </row>
    <row r="1272" spans="2:57" ht="15" customHeight="1" x14ac:dyDescent="0.25">
      <c r="B1272" s="91">
        <v>1262</v>
      </c>
      <c r="C1272" s="92" t="s">
        <v>504</v>
      </c>
      <c r="D1272" s="92" t="s">
        <v>92</v>
      </c>
      <c r="E1272" s="92" t="s">
        <v>425</v>
      </c>
      <c r="F1272" s="92" t="s">
        <v>296</v>
      </c>
      <c r="G1272" s="101" t="s">
        <v>501</v>
      </c>
      <c r="H1272" s="94">
        <v>31627</v>
      </c>
      <c r="I1272" s="94">
        <v>19182</v>
      </c>
      <c r="J1272" s="94">
        <v>12445</v>
      </c>
      <c r="K1272" s="94">
        <v>2332</v>
      </c>
      <c r="L1272" s="94">
        <v>10726</v>
      </c>
      <c r="M1272" s="94">
        <v>16277</v>
      </c>
      <c r="N1272" s="94">
        <v>2292</v>
      </c>
      <c r="O1272" s="94">
        <v>31359</v>
      </c>
      <c r="P1272" s="94">
        <v>268</v>
      </c>
      <c r="Q1272" s="95">
        <v>1.52960293909849</v>
      </c>
      <c r="R1272" s="95">
        <v>1.07101280558789</v>
      </c>
      <c r="S1272" s="95">
        <v>2.2375988497483799</v>
      </c>
      <c r="T1272" s="95">
        <v>1.7131669114048</v>
      </c>
      <c r="U1272" s="95">
        <v>1.63951655281135</v>
      </c>
      <c r="V1272" s="95">
        <v>1.44279617963828</v>
      </c>
      <c r="W1272" s="95">
        <v>1.45948666331152</v>
      </c>
      <c r="X1272" s="95">
        <v>1.5279954409459999</v>
      </c>
      <c r="Y1272" s="95">
        <v>1.72413793103448</v>
      </c>
      <c r="Z1272" s="94">
        <v>41154</v>
      </c>
      <c r="AA1272" s="94">
        <v>22859</v>
      </c>
      <c r="AB1272" s="94">
        <v>18295</v>
      </c>
      <c r="AC1272" s="94">
        <v>2076</v>
      </c>
      <c r="AD1272" s="94">
        <v>12326</v>
      </c>
      <c r="AE1272" s="94">
        <v>22983</v>
      </c>
      <c r="AF1272" s="94">
        <v>3769</v>
      </c>
      <c r="AG1272" s="94">
        <v>3964</v>
      </c>
      <c r="AH1272" s="94">
        <v>35949</v>
      </c>
      <c r="AI1272" s="94">
        <v>1241</v>
      </c>
      <c r="AJ1272" s="94">
        <v>40585</v>
      </c>
      <c r="AK1272" s="94">
        <v>390</v>
      </c>
      <c r="AL1272" s="94">
        <v>179</v>
      </c>
      <c r="AM1272" s="94">
        <v>2465</v>
      </c>
      <c r="AN1272" s="94">
        <v>37996</v>
      </c>
      <c r="AO1272" s="94">
        <v>693</v>
      </c>
      <c r="AP1272" s="95">
        <v>6.9379429378383302</v>
      </c>
      <c r="AQ1272" s="95">
        <v>3.6589396156933098</v>
      </c>
      <c r="AR1272" s="95">
        <v>11.0094970102005</v>
      </c>
      <c r="AS1272" s="95">
        <v>11.8468701500259</v>
      </c>
      <c r="AT1272" s="95">
        <v>7.9883484861858998</v>
      </c>
      <c r="AU1272" s="95">
        <v>6.16016427104723</v>
      </c>
      <c r="AV1272" s="95">
        <v>5.60721329952099</v>
      </c>
      <c r="AW1272" s="95">
        <v>5.8010300894551401</v>
      </c>
      <c r="AX1272" s="95">
        <v>7.1212891267302503</v>
      </c>
      <c r="AY1272" s="95">
        <v>5.1771117166212504</v>
      </c>
      <c r="AZ1272" s="95">
        <v>6.9393272722453396</v>
      </c>
      <c r="BA1272" s="95">
        <v>6.47887323943662</v>
      </c>
      <c r="BB1272" s="95">
        <v>7.6433121019108299</v>
      </c>
      <c r="BC1272" s="95">
        <v>7.0937231298366301</v>
      </c>
      <c r="BD1272" s="95">
        <v>6.9438539806705801</v>
      </c>
      <c r="BE1272" s="95">
        <v>6.0317460317460299</v>
      </c>
    </row>
    <row r="1273" spans="2:57" ht="15" customHeight="1" x14ac:dyDescent="0.25">
      <c r="B1273" s="91">
        <v>1263</v>
      </c>
      <c r="C1273" s="92" t="s">
        <v>504</v>
      </c>
      <c r="D1273" s="92" t="s">
        <v>92</v>
      </c>
      <c r="E1273" s="92" t="s">
        <v>425</v>
      </c>
      <c r="F1273" s="92" t="s">
        <v>296</v>
      </c>
      <c r="G1273" s="101" t="s">
        <v>502</v>
      </c>
      <c r="H1273" s="94">
        <v>4451</v>
      </c>
      <c r="I1273" s="94">
        <v>3072</v>
      </c>
      <c r="J1273" s="94">
        <v>1379</v>
      </c>
      <c r="K1273" s="94">
        <v>522</v>
      </c>
      <c r="L1273" s="94">
        <v>1364</v>
      </c>
      <c r="M1273" s="94">
        <v>2073</v>
      </c>
      <c r="N1273" s="94">
        <v>492</v>
      </c>
      <c r="O1273" s="94">
        <v>4438</v>
      </c>
      <c r="P1273" s="94">
        <v>13</v>
      </c>
      <c r="Q1273" s="95">
        <v>4.9664762850757403E-2</v>
      </c>
      <c r="R1273" s="95">
        <v>3.5612535612535599E-2</v>
      </c>
      <c r="S1273" s="95">
        <v>8.2034454470877802E-2</v>
      </c>
      <c r="T1273" s="95">
        <v>0.21978021978022</v>
      </c>
      <c r="U1273" s="95">
        <v>0</v>
      </c>
      <c r="V1273" s="95">
        <v>5.2631578947368397E-2</v>
      </c>
      <c r="W1273" s="95">
        <v>0</v>
      </c>
      <c r="X1273" s="95">
        <v>4.9813200498132003E-2</v>
      </c>
      <c r="Y1273" s="95">
        <v>0</v>
      </c>
      <c r="Z1273" s="94">
        <v>5064</v>
      </c>
      <c r="AA1273" s="94">
        <v>3205</v>
      </c>
      <c r="AB1273" s="94">
        <v>1859</v>
      </c>
      <c r="AC1273" s="94">
        <v>362</v>
      </c>
      <c r="AD1273" s="94">
        <v>1335</v>
      </c>
      <c r="AE1273" s="94">
        <v>2676</v>
      </c>
      <c r="AF1273" s="94">
        <v>691</v>
      </c>
      <c r="AG1273" s="94">
        <v>3005</v>
      </c>
      <c r="AH1273" s="94">
        <v>1865</v>
      </c>
      <c r="AI1273" s="94">
        <v>194</v>
      </c>
      <c r="AJ1273" s="94">
        <v>4995</v>
      </c>
      <c r="AK1273" s="94">
        <v>35</v>
      </c>
      <c r="AL1273" s="94">
        <v>34</v>
      </c>
      <c r="AM1273" s="94">
        <v>432</v>
      </c>
      <c r="AN1273" s="94">
        <v>4447</v>
      </c>
      <c r="AO1273" s="94">
        <v>185</v>
      </c>
      <c r="AP1273" s="95">
        <v>1.9333607568901701</v>
      </c>
      <c r="AQ1273" s="95">
        <v>0.77846253649043096</v>
      </c>
      <c r="AR1273" s="95">
        <v>3.9347948285553702</v>
      </c>
      <c r="AS1273" s="95">
        <v>1.7341040462427699</v>
      </c>
      <c r="AT1273" s="95">
        <v>2.2691705790297299</v>
      </c>
      <c r="AU1273" s="95">
        <v>2.0711215318483802</v>
      </c>
      <c r="AV1273" s="95">
        <v>0.88365243004418303</v>
      </c>
      <c r="AW1273" s="95">
        <v>1.65917732457656</v>
      </c>
      <c r="AX1273" s="95">
        <v>2.1252796420581701</v>
      </c>
      <c r="AY1273" s="95">
        <v>4.4198895027624303</v>
      </c>
      <c r="AZ1273" s="95">
        <v>1.91866527632951</v>
      </c>
      <c r="BA1273" s="95">
        <v>5.8823529411764701</v>
      </c>
      <c r="BB1273" s="95">
        <v>0</v>
      </c>
      <c r="BC1273" s="95">
        <v>0.94117647058823495</v>
      </c>
      <c r="BD1273" s="95">
        <v>2.0589611605053801</v>
      </c>
      <c r="BE1273" s="95">
        <v>1.22699386503067</v>
      </c>
    </row>
    <row r="1274" spans="2:57" ht="15" customHeight="1" x14ac:dyDescent="0.25">
      <c r="B1274" s="96">
        <v>1264</v>
      </c>
      <c r="C1274" s="97" t="s">
        <v>504</v>
      </c>
      <c r="D1274" s="104" t="s">
        <v>92</v>
      </c>
      <c r="E1274" s="104" t="s">
        <v>425</v>
      </c>
      <c r="F1274" s="104" t="s">
        <v>287</v>
      </c>
      <c r="G1274" s="105" t="s">
        <v>287</v>
      </c>
      <c r="H1274" s="106">
        <v>17865</v>
      </c>
      <c r="I1274" s="106">
        <v>11086</v>
      </c>
      <c r="J1274" s="106">
        <v>6779</v>
      </c>
      <c r="K1274" s="106">
        <v>1221</v>
      </c>
      <c r="L1274" s="106">
        <v>5715</v>
      </c>
      <c r="M1274" s="106">
        <v>9364</v>
      </c>
      <c r="N1274" s="106">
        <v>1565</v>
      </c>
      <c r="O1274" s="106">
        <v>17568</v>
      </c>
      <c r="P1274" s="106">
        <v>297</v>
      </c>
      <c r="Q1274" s="107">
        <v>1.97307763230684</v>
      </c>
      <c r="R1274" s="107">
        <v>1.6788677403611501</v>
      </c>
      <c r="S1274" s="107">
        <v>2.4734395750332001</v>
      </c>
      <c r="T1274" s="107">
        <v>1.7757009345794399</v>
      </c>
      <c r="U1274" s="107">
        <v>1.8740340030911899</v>
      </c>
      <c r="V1274" s="107">
        <v>2.0697674418604701</v>
      </c>
      <c r="W1274" s="107">
        <v>1.89739985945186</v>
      </c>
      <c r="X1274" s="107">
        <v>1.93701574606348</v>
      </c>
      <c r="Y1274" s="107">
        <v>4.1509433962264204</v>
      </c>
      <c r="Z1274" s="106">
        <v>17786</v>
      </c>
      <c r="AA1274" s="106">
        <v>10462</v>
      </c>
      <c r="AB1274" s="106">
        <v>7324</v>
      </c>
      <c r="AC1274" s="106">
        <v>768</v>
      </c>
      <c r="AD1274" s="106">
        <v>4595</v>
      </c>
      <c r="AE1274" s="106">
        <v>10252</v>
      </c>
      <c r="AF1274" s="106">
        <v>2171</v>
      </c>
      <c r="AG1274" s="106">
        <v>2533</v>
      </c>
      <c r="AH1274" s="106">
        <v>14560</v>
      </c>
      <c r="AI1274" s="106">
        <v>693</v>
      </c>
      <c r="AJ1274" s="106">
        <v>17405</v>
      </c>
      <c r="AK1274" s="106">
        <v>311</v>
      </c>
      <c r="AL1274" s="106">
        <v>70</v>
      </c>
      <c r="AM1274" s="106">
        <v>1253</v>
      </c>
      <c r="AN1274" s="106">
        <v>16085</v>
      </c>
      <c r="AO1274" s="106">
        <v>448</v>
      </c>
      <c r="AP1274" s="107">
        <v>7.18072289156627</v>
      </c>
      <c r="AQ1274" s="107">
        <v>3.8229581927834002</v>
      </c>
      <c r="AR1274" s="107">
        <v>11.9994132316268</v>
      </c>
      <c r="AS1274" s="107">
        <v>11.9278779472954</v>
      </c>
      <c r="AT1274" s="107">
        <v>8.9686098654708495</v>
      </c>
      <c r="AU1274" s="107">
        <v>6.4519491348759601</v>
      </c>
      <c r="AV1274" s="107">
        <v>5.224609375</v>
      </c>
      <c r="AW1274" s="107">
        <v>4.0265670402656699</v>
      </c>
      <c r="AX1274" s="107">
        <v>7.7915376676986599</v>
      </c>
      <c r="AY1274" s="107">
        <v>6.08</v>
      </c>
      <c r="AZ1274" s="107">
        <v>7.1965033243043601</v>
      </c>
      <c r="BA1274" s="107">
        <v>6.0810810810810798</v>
      </c>
      <c r="BB1274" s="107">
        <v>8.3333333333333304</v>
      </c>
      <c r="BC1274" s="107">
        <v>7.4198988195615501</v>
      </c>
      <c r="BD1274" s="107">
        <v>7.1985083571951796</v>
      </c>
      <c r="BE1274" s="107">
        <v>5.79345088161209</v>
      </c>
    </row>
    <row r="1275" spans="2:57" ht="15" customHeight="1" x14ac:dyDescent="0.25">
      <c r="B1275" s="91">
        <v>1265</v>
      </c>
      <c r="C1275" s="92" t="s">
        <v>504</v>
      </c>
      <c r="D1275" s="92" t="s">
        <v>92</v>
      </c>
      <c r="E1275" s="92" t="s">
        <v>425</v>
      </c>
      <c r="F1275" s="92" t="s">
        <v>287</v>
      </c>
      <c r="G1275" s="101" t="s">
        <v>501</v>
      </c>
      <c r="H1275" s="94">
        <v>15133</v>
      </c>
      <c r="I1275" s="94">
        <v>9112</v>
      </c>
      <c r="J1275" s="94">
        <v>6021</v>
      </c>
      <c r="K1275" s="94">
        <v>965</v>
      </c>
      <c r="L1275" s="94">
        <v>4920</v>
      </c>
      <c r="M1275" s="94">
        <v>8029</v>
      </c>
      <c r="N1275" s="94">
        <v>1219</v>
      </c>
      <c r="O1275" s="94">
        <v>14885</v>
      </c>
      <c r="P1275" s="94">
        <v>248</v>
      </c>
      <c r="Q1275" s="95">
        <v>2.2416940489229602</v>
      </c>
      <c r="R1275" s="95">
        <v>1.9389587073608601</v>
      </c>
      <c r="S1275" s="95">
        <v>2.7153558052434499</v>
      </c>
      <c r="T1275" s="95">
        <v>2.2538552787663102</v>
      </c>
      <c r="U1275" s="95">
        <v>2.1228545618789498</v>
      </c>
      <c r="V1275" s="95">
        <v>2.3322422258592499</v>
      </c>
      <c r="W1275" s="95">
        <v>2.1062271062271098</v>
      </c>
      <c r="X1275" s="95">
        <v>2.2039180765805901</v>
      </c>
      <c r="Y1275" s="95">
        <v>4.5662100456620998</v>
      </c>
      <c r="Z1275" s="94">
        <v>15123</v>
      </c>
      <c r="AA1275" s="94">
        <v>8686</v>
      </c>
      <c r="AB1275" s="94">
        <v>6437</v>
      </c>
      <c r="AC1275" s="94">
        <v>628</v>
      </c>
      <c r="AD1275" s="94">
        <v>3931</v>
      </c>
      <c r="AE1275" s="94">
        <v>8768</v>
      </c>
      <c r="AF1275" s="94">
        <v>1796</v>
      </c>
      <c r="AG1275" s="94">
        <v>1355</v>
      </c>
      <c r="AH1275" s="94">
        <v>13184</v>
      </c>
      <c r="AI1275" s="94">
        <v>584</v>
      </c>
      <c r="AJ1275" s="94">
        <v>14797</v>
      </c>
      <c r="AK1275" s="94">
        <v>265</v>
      </c>
      <c r="AL1275" s="94">
        <v>61</v>
      </c>
      <c r="AM1275" s="94">
        <v>1073</v>
      </c>
      <c r="AN1275" s="94">
        <v>13694</v>
      </c>
      <c r="AO1275" s="94">
        <v>356</v>
      </c>
      <c r="AP1275" s="95">
        <v>8.0317865758478799</v>
      </c>
      <c r="AQ1275" s="95">
        <v>4.4427989633469096</v>
      </c>
      <c r="AR1275" s="95">
        <v>12.885995660156899</v>
      </c>
      <c r="AS1275" s="95">
        <v>13.7755102040816</v>
      </c>
      <c r="AT1275" s="95">
        <v>9.9007170435741898</v>
      </c>
      <c r="AU1275" s="95">
        <v>7.2065469647001397</v>
      </c>
      <c r="AV1275" s="95">
        <v>6.0248080330773801</v>
      </c>
      <c r="AW1275" s="95">
        <v>6.1633281972264999</v>
      </c>
      <c r="AX1275" s="95">
        <v>8.2891841225853806</v>
      </c>
      <c r="AY1275" s="95">
        <v>6.6413662239089204</v>
      </c>
      <c r="AZ1275" s="95">
        <v>8.0432259936176393</v>
      </c>
      <c r="BA1275" s="95">
        <v>7.11462450592885</v>
      </c>
      <c r="BB1275" s="95">
        <v>9.4339622641509404</v>
      </c>
      <c r="BC1275" s="95">
        <v>8.2677165354330704</v>
      </c>
      <c r="BD1275" s="95">
        <v>8.0297688993341207</v>
      </c>
      <c r="BE1275" s="95">
        <v>7.3482428115016001</v>
      </c>
    </row>
    <row r="1276" spans="2:57" ht="15" customHeight="1" x14ac:dyDescent="0.25">
      <c r="B1276" s="91">
        <v>1266</v>
      </c>
      <c r="C1276" s="92" t="s">
        <v>504</v>
      </c>
      <c r="D1276" s="92" t="s">
        <v>92</v>
      </c>
      <c r="E1276" s="92" t="s">
        <v>425</v>
      </c>
      <c r="F1276" s="92" t="s">
        <v>287</v>
      </c>
      <c r="G1276" s="101" t="s">
        <v>502</v>
      </c>
      <c r="H1276" s="94">
        <v>2732</v>
      </c>
      <c r="I1276" s="94">
        <v>1974</v>
      </c>
      <c r="J1276" s="94">
        <v>758</v>
      </c>
      <c r="K1276" s="94">
        <v>256</v>
      </c>
      <c r="L1276" s="94">
        <v>795</v>
      </c>
      <c r="M1276" s="94">
        <v>1335</v>
      </c>
      <c r="N1276" s="94">
        <v>346</v>
      </c>
      <c r="O1276" s="94">
        <v>2683</v>
      </c>
      <c r="P1276" s="94">
        <v>49</v>
      </c>
      <c r="Q1276" s="95">
        <v>0.54390054390054399</v>
      </c>
      <c r="R1276" s="95">
        <v>0.52910052910052896</v>
      </c>
      <c r="S1276" s="95">
        <v>0.58479532163742698</v>
      </c>
      <c r="T1276" s="95">
        <v>0</v>
      </c>
      <c r="U1276" s="95">
        <v>0.40106951871657798</v>
      </c>
      <c r="V1276" s="95">
        <v>0.55205047318611999</v>
      </c>
      <c r="W1276" s="95">
        <v>1.2084592145015101</v>
      </c>
      <c r="X1276" s="95">
        <v>0.514240506329114</v>
      </c>
      <c r="Y1276" s="95">
        <v>2.1739130434782599</v>
      </c>
      <c r="Z1276" s="94">
        <v>2663</v>
      </c>
      <c r="AA1276" s="94">
        <v>1776</v>
      </c>
      <c r="AB1276" s="94">
        <v>887</v>
      </c>
      <c r="AC1276" s="94">
        <v>140</v>
      </c>
      <c r="AD1276" s="94">
        <v>664</v>
      </c>
      <c r="AE1276" s="94">
        <v>1484</v>
      </c>
      <c r="AF1276" s="94">
        <v>375</v>
      </c>
      <c r="AG1276" s="94">
        <v>1178</v>
      </c>
      <c r="AH1276" s="94">
        <v>1376</v>
      </c>
      <c r="AI1276" s="94">
        <v>109</v>
      </c>
      <c r="AJ1276" s="94">
        <v>2608</v>
      </c>
      <c r="AK1276" s="94">
        <v>46</v>
      </c>
      <c r="AL1276" s="94">
        <v>9</v>
      </c>
      <c r="AM1276" s="94">
        <v>180</v>
      </c>
      <c r="AN1276" s="94">
        <v>2391</v>
      </c>
      <c r="AO1276" s="94">
        <v>92</v>
      </c>
      <c r="AP1276" s="95">
        <v>2.39425379090184</v>
      </c>
      <c r="AQ1276" s="95">
        <v>0.83333333333333304</v>
      </c>
      <c r="AR1276" s="95">
        <v>5.5690072639225203</v>
      </c>
      <c r="AS1276" s="95">
        <v>3.7593984962406002</v>
      </c>
      <c r="AT1276" s="95">
        <v>3.4369885433715202</v>
      </c>
      <c r="AU1276" s="95">
        <v>2.06112295664534</v>
      </c>
      <c r="AV1276" s="95">
        <v>1.40845070422535</v>
      </c>
      <c r="AW1276" s="95">
        <v>1.5301530153015299</v>
      </c>
      <c r="AX1276" s="95">
        <v>3.0840400925211999</v>
      </c>
      <c r="AY1276" s="95">
        <v>3.06122448979592</v>
      </c>
      <c r="AZ1276" s="95">
        <v>2.44299674267101</v>
      </c>
      <c r="BA1276" s="95">
        <v>0</v>
      </c>
      <c r="BB1276" s="95">
        <v>0</v>
      </c>
      <c r="BC1276" s="95">
        <v>2.3529411764705901</v>
      </c>
      <c r="BD1276" s="95">
        <v>2.4866785079929001</v>
      </c>
      <c r="BE1276" s="95">
        <v>0</v>
      </c>
    </row>
    <row r="1277" spans="2:57" ht="15" customHeight="1" x14ac:dyDescent="0.25">
      <c r="B1277" s="86">
        <v>1267</v>
      </c>
      <c r="C1277" s="87" t="s">
        <v>503</v>
      </c>
      <c r="D1277" s="103" t="s">
        <v>92</v>
      </c>
      <c r="E1277" s="103" t="s">
        <v>426</v>
      </c>
      <c r="F1277" s="103"/>
      <c r="G1277" s="88" t="s">
        <v>426</v>
      </c>
      <c r="H1277" s="89">
        <v>34546</v>
      </c>
      <c r="I1277" s="89">
        <v>21949</v>
      </c>
      <c r="J1277" s="89">
        <v>12597</v>
      </c>
      <c r="K1277" s="89">
        <v>2791</v>
      </c>
      <c r="L1277" s="89">
        <v>10654</v>
      </c>
      <c r="M1277" s="89">
        <v>17794</v>
      </c>
      <c r="N1277" s="89">
        <v>3307</v>
      </c>
      <c r="O1277" s="89">
        <v>34366</v>
      </c>
      <c r="P1277" s="89">
        <v>180</v>
      </c>
      <c r="Q1277" s="90">
        <v>1.8863186968393999</v>
      </c>
      <c r="R1277" s="90">
        <v>1.11923813263954</v>
      </c>
      <c r="S1277" s="90">
        <v>3.2463011314186199</v>
      </c>
      <c r="T1277" s="90">
        <v>1.9459888800635401</v>
      </c>
      <c r="U1277" s="90">
        <v>2.0299364363338102</v>
      </c>
      <c r="V1277" s="90">
        <v>1.8936195875045201</v>
      </c>
      <c r="W1277" s="90">
        <v>1.33022946458264</v>
      </c>
      <c r="X1277" s="90">
        <v>1.8618448041907301</v>
      </c>
      <c r="Y1277" s="90">
        <v>6.3953488372093004</v>
      </c>
      <c r="Z1277" s="89">
        <v>40016</v>
      </c>
      <c r="AA1277" s="89">
        <v>23686</v>
      </c>
      <c r="AB1277" s="89">
        <v>16330</v>
      </c>
      <c r="AC1277" s="89">
        <v>2871</v>
      </c>
      <c r="AD1277" s="89">
        <v>11479</v>
      </c>
      <c r="AE1277" s="89">
        <v>21127</v>
      </c>
      <c r="AF1277" s="89">
        <v>4539</v>
      </c>
      <c r="AG1277" s="89">
        <v>20386</v>
      </c>
      <c r="AH1277" s="89">
        <v>19059</v>
      </c>
      <c r="AI1277" s="89">
        <v>571</v>
      </c>
      <c r="AJ1277" s="89">
        <v>39621</v>
      </c>
      <c r="AK1277" s="89">
        <v>241</v>
      </c>
      <c r="AL1277" s="89">
        <v>154</v>
      </c>
      <c r="AM1277" s="89">
        <v>2187</v>
      </c>
      <c r="AN1277" s="89">
        <v>36872</v>
      </c>
      <c r="AO1277" s="89">
        <v>957</v>
      </c>
      <c r="AP1277" s="90">
        <v>4.58930830873049</v>
      </c>
      <c r="AQ1277" s="90">
        <v>1.9529693104822601</v>
      </c>
      <c r="AR1277" s="90">
        <v>8.4662976229241291</v>
      </c>
      <c r="AS1277" s="90">
        <v>5.1348356113779099</v>
      </c>
      <c r="AT1277" s="90">
        <v>4.5669291338582703</v>
      </c>
      <c r="AU1277" s="90">
        <v>4.8542237727386004</v>
      </c>
      <c r="AV1277" s="90">
        <v>3.08995193408103</v>
      </c>
      <c r="AW1277" s="90">
        <v>2.3085528322993998</v>
      </c>
      <c r="AX1277" s="90">
        <v>7.0318657808805298</v>
      </c>
      <c r="AY1277" s="90">
        <v>7.4803149606299204</v>
      </c>
      <c r="AZ1277" s="90">
        <v>4.5801729873586199</v>
      </c>
      <c r="BA1277" s="90">
        <v>7.8703703703703702</v>
      </c>
      <c r="BB1277" s="90">
        <v>2.0689655172413799</v>
      </c>
      <c r="BC1277" s="90">
        <v>5.0734945471787603</v>
      </c>
      <c r="BD1277" s="90">
        <v>4.6560270479355896</v>
      </c>
      <c r="BE1277" s="90">
        <v>0.97192224622030199</v>
      </c>
    </row>
    <row r="1278" spans="2:57" ht="15" customHeight="1" x14ac:dyDescent="0.25">
      <c r="B1278" s="91">
        <v>1268</v>
      </c>
      <c r="C1278" s="92" t="s">
        <v>503</v>
      </c>
      <c r="D1278" s="92" t="s">
        <v>92</v>
      </c>
      <c r="E1278" s="92" t="s">
        <v>426</v>
      </c>
      <c r="F1278" s="92"/>
      <c r="G1278" s="93" t="s">
        <v>501</v>
      </c>
      <c r="H1278" s="94">
        <v>18932</v>
      </c>
      <c r="I1278" s="94">
        <v>11690</v>
      </c>
      <c r="J1278" s="94">
        <v>7242</v>
      </c>
      <c r="K1278" s="94">
        <v>1161</v>
      </c>
      <c r="L1278" s="94">
        <v>5652</v>
      </c>
      <c r="M1278" s="94">
        <v>10458</v>
      </c>
      <c r="N1278" s="94">
        <v>1661</v>
      </c>
      <c r="O1278" s="94">
        <v>18789</v>
      </c>
      <c r="P1278" s="94">
        <v>143</v>
      </c>
      <c r="Q1278" s="95">
        <v>3.26929753500752</v>
      </c>
      <c r="R1278" s="95">
        <v>2.02161356437488</v>
      </c>
      <c r="S1278" s="95">
        <v>5.3145998778252901</v>
      </c>
      <c r="T1278" s="95">
        <v>4.5542635658914703</v>
      </c>
      <c r="U1278" s="95">
        <v>3.6106750392464702</v>
      </c>
      <c r="V1278" s="95">
        <v>3.08137731361803</v>
      </c>
      <c r="W1278" s="95">
        <v>2.4275118004045901</v>
      </c>
      <c r="X1278" s="95">
        <v>3.23088586924827</v>
      </c>
      <c r="Y1278" s="95">
        <v>8.1481481481481506</v>
      </c>
      <c r="Z1278" s="94">
        <v>21559</v>
      </c>
      <c r="AA1278" s="94">
        <v>12323</v>
      </c>
      <c r="AB1278" s="94">
        <v>9236</v>
      </c>
      <c r="AC1278" s="94">
        <v>1176</v>
      </c>
      <c r="AD1278" s="94">
        <v>5624</v>
      </c>
      <c r="AE1278" s="94">
        <v>12279</v>
      </c>
      <c r="AF1278" s="94">
        <v>2480</v>
      </c>
      <c r="AG1278" s="94">
        <v>5803</v>
      </c>
      <c r="AH1278" s="94">
        <v>15370</v>
      </c>
      <c r="AI1278" s="94">
        <v>386</v>
      </c>
      <c r="AJ1278" s="94">
        <v>21321</v>
      </c>
      <c r="AK1278" s="94">
        <v>179</v>
      </c>
      <c r="AL1278" s="94">
        <v>59</v>
      </c>
      <c r="AM1278" s="94">
        <v>1307</v>
      </c>
      <c r="AN1278" s="94">
        <v>20001</v>
      </c>
      <c r="AO1278" s="94">
        <v>251</v>
      </c>
      <c r="AP1278" s="95">
        <v>7.8116453682064497</v>
      </c>
      <c r="AQ1278" s="95">
        <v>3.4381224560491899</v>
      </c>
      <c r="AR1278" s="95">
        <v>13.7085474077534</v>
      </c>
      <c r="AS1278" s="95">
        <v>11.974405850091401</v>
      </c>
      <c r="AT1278" s="95">
        <v>8.4834398605461896</v>
      </c>
      <c r="AU1278" s="95">
        <v>7.62608695652174</v>
      </c>
      <c r="AV1278" s="95">
        <v>5.3101104502973699</v>
      </c>
      <c r="AW1278" s="95">
        <v>6.5209471766848797</v>
      </c>
      <c r="AX1278" s="95">
        <v>8.2720459480282997</v>
      </c>
      <c r="AY1278" s="95">
        <v>9.3023255813953494</v>
      </c>
      <c r="AZ1278" s="95">
        <v>7.8094376601839297</v>
      </c>
      <c r="BA1278" s="95">
        <v>9.3167701863354004</v>
      </c>
      <c r="BB1278" s="95">
        <v>3.9215686274509798</v>
      </c>
      <c r="BC1278" s="95">
        <v>7.5320512820512802</v>
      </c>
      <c r="BD1278" s="95">
        <v>7.8814560292064897</v>
      </c>
      <c r="BE1278" s="95">
        <v>3.79746835443038</v>
      </c>
    </row>
    <row r="1279" spans="2:57" ht="15" customHeight="1" x14ac:dyDescent="0.25">
      <c r="B1279" s="91">
        <v>1269</v>
      </c>
      <c r="C1279" s="92" t="s">
        <v>503</v>
      </c>
      <c r="D1279" s="92" t="s">
        <v>92</v>
      </c>
      <c r="E1279" s="92" t="s">
        <v>426</v>
      </c>
      <c r="F1279" s="92"/>
      <c r="G1279" s="93" t="s">
        <v>502</v>
      </c>
      <c r="H1279" s="94">
        <v>15614</v>
      </c>
      <c r="I1279" s="94">
        <v>10259</v>
      </c>
      <c r="J1279" s="94">
        <v>5355</v>
      </c>
      <c r="K1279" s="94">
        <v>1630</v>
      </c>
      <c r="L1279" s="94">
        <v>5002</v>
      </c>
      <c r="M1279" s="94">
        <v>7336</v>
      </c>
      <c r="N1279" s="94">
        <v>1646</v>
      </c>
      <c r="O1279" s="94">
        <v>15577</v>
      </c>
      <c r="P1279" s="94">
        <v>37</v>
      </c>
      <c r="Q1279" s="95">
        <v>0.24693051649632999</v>
      </c>
      <c r="R1279" s="95">
        <v>0.11414340562415699</v>
      </c>
      <c r="S1279" s="95">
        <v>0.50586806960744601</v>
      </c>
      <c r="T1279" s="95">
        <v>0.13458950201884301</v>
      </c>
      <c r="U1279" s="95">
        <v>0.30055817947616997</v>
      </c>
      <c r="V1279" s="95">
        <v>0.23151497612501801</v>
      </c>
      <c r="W1279" s="95">
        <v>0.26246719160104998</v>
      </c>
      <c r="X1279" s="95">
        <v>0.24755879521386301</v>
      </c>
      <c r="Y1279" s="95">
        <v>0</v>
      </c>
      <c r="Z1279" s="94">
        <v>18457</v>
      </c>
      <c r="AA1279" s="94">
        <v>11363</v>
      </c>
      <c r="AB1279" s="94">
        <v>7094</v>
      </c>
      <c r="AC1279" s="94">
        <v>1695</v>
      </c>
      <c r="AD1279" s="94">
        <v>5855</v>
      </c>
      <c r="AE1279" s="94">
        <v>8848</v>
      </c>
      <c r="AF1279" s="94">
        <v>2059</v>
      </c>
      <c r="AG1279" s="94">
        <v>14583</v>
      </c>
      <c r="AH1279" s="94">
        <v>3689</v>
      </c>
      <c r="AI1279" s="94">
        <v>185</v>
      </c>
      <c r="AJ1279" s="94">
        <v>18300</v>
      </c>
      <c r="AK1279" s="94">
        <v>62</v>
      </c>
      <c r="AL1279" s="94">
        <v>95</v>
      </c>
      <c r="AM1279" s="94">
        <v>880</v>
      </c>
      <c r="AN1279" s="94">
        <v>16871</v>
      </c>
      <c r="AO1279" s="94">
        <v>706</v>
      </c>
      <c r="AP1279" s="95">
        <v>0.95371669004207604</v>
      </c>
      <c r="AQ1279" s="95">
        <v>0.39876744607576597</v>
      </c>
      <c r="AR1279" s="95">
        <v>1.85539684877043</v>
      </c>
      <c r="AS1279" s="95">
        <v>0.49597024178549298</v>
      </c>
      <c r="AT1279" s="95">
        <v>0.9765625</v>
      </c>
      <c r="AU1279" s="95">
        <v>1.1325160537069501</v>
      </c>
      <c r="AV1279" s="95">
        <v>0.49627791563275397</v>
      </c>
      <c r="AW1279" s="95">
        <v>0.67720090293453705</v>
      </c>
      <c r="AX1279" s="95">
        <v>1.9512195121951199</v>
      </c>
      <c r="AY1279" s="95">
        <v>3.6585365853658498</v>
      </c>
      <c r="AZ1279" s="95">
        <v>0.94478388775741096</v>
      </c>
      <c r="BA1279" s="95">
        <v>3.6363636363636398</v>
      </c>
      <c r="BB1279" s="95">
        <v>1.0638297872340401</v>
      </c>
      <c r="BC1279" s="95">
        <v>1.50987224157956</v>
      </c>
      <c r="BD1279" s="95">
        <v>0.964669738863287</v>
      </c>
      <c r="BE1279" s="95">
        <v>0</v>
      </c>
    </row>
    <row r="1280" spans="2:57" ht="15" customHeight="1" x14ac:dyDescent="0.25">
      <c r="B1280" s="96">
        <v>1270</v>
      </c>
      <c r="C1280" s="97" t="s">
        <v>504</v>
      </c>
      <c r="D1280" s="104" t="s">
        <v>92</v>
      </c>
      <c r="E1280" s="104" t="s">
        <v>426</v>
      </c>
      <c r="F1280" s="104" t="s">
        <v>216</v>
      </c>
      <c r="G1280" s="105" t="s">
        <v>216</v>
      </c>
      <c r="H1280" s="106">
        <v>5444</v>
      </c>
      <c r="I1280" s="106">
        <v>3579</v>
      </c>
      <c r="J1280" s="106">
        <v>1865</v>
      </c>
      <c r="K1280" s="106">
        <v>421</v>
      </c>
      <c r="L1280" s="106">
        <v>1666</v>
      </c>
      <c r="M1280" s="106">
        <v>2819</v>
      </c>
      <c r="N1280" s="106">
        <v>538</v>
      </c>
      <c r="O1280" s="106">
        <v>5417</v>
      </c>
      <c r="P1280" s="106">
        <v>27</v>
      </c>
      <c r="Q1280" s="107">
        <v>0.95313741064336799</v>
      </c>
      <c r="R1280" s="107">
        <v>0.47832585949177903</v>
      </c>
      <c r="S1280" s="107">
        <v>1.8923713778829101</v>
      </c>
      <c r="T1280" s="107">
        <v>0.80428954423592502</v>
      </c>
      <c r="U1280" s="107">
        <v>0.71521456436931097</v>
      </c>
      <c r="V1280" s="107">
        <v>1.13808801213961</v>
      </c>
      <c r="W1280" s="107">
        <v>0.81799591002045002</v>
      </c>
      <c r="X1280" s="107">
        <v>0.95827510481134004</v>
      </c>
      <c r="Y1280" s="107">
        <v>0</v>
      </c>
      <c r="Z1280" s="106">
        <v>4920</v>
      </c>
      <c r="AA1280" s="106">
        <v>3000</v>
      </c>
      <c r="AB1280" s="106">
        <v>1920</v>
      </c>
      <c r="AC1280" s="106">
        <v>306</v>
      </c>
      <c r="AD1280" s="106">
        <v>1310</v>
      </c>
      <c r="AE1280" s="106">
        <v>2692</v>
      </c>
      <c r="AF1280" s="106">
        <v>612</v>
      </c>
      <c r="AG1280" s="106">
        <v>2661</v>
      </c>
      <c r="AH1280" s="106">
        <v>2195</v>
      </c>
      <c r="AI1280" s="106">
        <v>64</v>
      </c>
      <c r="AJ1280" s="106">
        <v>4865</v>
      </c>
      <c r="AK1280" s="106">
        <v>36</v>
      </c>
      <c r="AL1280" s="106">
        <v>19</v>
      </c>
      <c r="AM1280" s="106">
        <v>296</v>
      </c>
      <c r="AN1280" s="106">
        <v>4550</v>
      </c>
      <c r="AO1280" s="106">
        <v>74</v>
      </c>
      <c r="AP1280" s="107">
        <v>4.1331303023711099</v>
      </c>
      <c r="AQ1280" s="107">
        <v>1.0903974674639501</v>
      </c>
      <c r="AR1280" s="107">
        <v>9.0649942987457202</v>
      </c>
      <c r="AS1280" s="107">
        <v>6.04982206405694</v>
      </c>
      <c r="AT1280" s="107">
        <v>4.0133779264214002</v>
      </c>
      <c r="AU1280" s="107">
        <v>4.2225730071033896</v>
      </c>
      <c r="AV1280" s="107">
        <v>3.0716723549488099</v>
      </c>
      <c r="AW1280" s="107">
        <v>3.0689517736149901</v>
      </c>
      <c r="AX1280" s="107">
        <v>5.4706752094627902</v>
      </c>
      <c r="AY1280" s="107">
        <v>3.3898305084745801</v>
      </c>
      <c r="AZ1280" s="107">
        <v>4.1575010998680204</v>
      </c>
      <c r="BA1280" s="107">
        <v>2.9411764705882399</v>
      </c>
      <c r="BB1280" s="107">
        <v>0</v>
      </c>
      <c r="BC1280" s="107">
        <v>5.6737588652482298</v>
      </c>
      <c r="BD1280" s="107">
        <v>4.0979745642958099</v>
      </c>
      <c r="BE1280" s="107">
        <v>0</v>
      </c>
    </row>
    <row r="1281" spans="2:57" ht="15" customHeight="1" x14ac:dyDescent="0.25">
      <c r="B1281" s="91">
        <v>1271</v>
      </c>
      <c r="C1281" s="92" t="s">
        <v>504</v>
      </c>
      <c r="D1281" s="92" t="s">
        <v>92</v>
      </c>
      <c r="E1281" s="92" t="s">
        <v>426</v>
      </c>
      <c r="F1281" s="92" t="s">
        <v>216</v>
      </c>
      <c r="G1281" s="101" t="s">
        <v>501</v>
      </c>
      <c r="H1281" s="94">
        <v>2847</v>
      </c>
      <c r="I1281" s="94">
        <v>1802</v>
      </c>
      <c r="J1281" s="94">
        <v>1045</v>
      </c>
      <c r="K1281" s="94">
        <v>171</v>
      </c>
      <c r="L1281" s="94">
        <v>839</v>
      </c>
      <c r="M1281" s="94">
        <v>1570</v>
      </c>
      <c r="N1281" s="94">
        <v>267</v>
      </c>
      <c r="O1281" s="94">
        <v>2829</v>
      </c>
      <c r="P1281" s="94">
        <v>18</v>
      </c>
      <c r="Q1281" s="95">
        <v>1.6424751718869399</v>
      </c>
      <c r="R1281" s="95">
        <v>0.77937649880095905</v>
      </c>
      <c r="S1281" s="95">
        <v>3.1578947368421102</v>
      </c>
      <c r="T1281" s="95">
        <v>1.93548387096774</v>
      </c>
      <c r="U1281" s="95">
        <v>1.03626943005181</v>
      </c>
      <c r="V1281" s="95">
        <v>1.92704748795595</v>
      </c>
      <c r="W1281" s="95">
        <v>1.6806722689075599</v>
      </c>
      <c r="X1281" s="95">
        <v>1.65384615384615</v>
      </c>
      <c r="Y1281" s="95">
        <v>0</v>
      </c>
      <c r="Z1281" s="94">
        <v>2814</v>
      </c>
      <c r="AA1281" s="94">
        <v>1618</v>
      </c>
      <c r="AB1281" s="94">
        <v>1196</v>
      </c>
      <c r="AC1281" s="94">
        <v>131</v>
      </c>
      <c r="AD1281" s="94">
        <v>691</v>
      </c>
      <c r="AE1281" s="94">
        <v>1640</v>
      </c>
      <c r="AF1281" s="94">
        <v>352</v>
      </c>
      <c r="AG1281" s="94">
        <v>897</v>
      </c>
      <c r="AH1281" s="94">
        <v>1881</v>
      </c>
      <c r="AI1281" s="94">
        <v>36</v>
      </c>
      <c r="AJ1281" s="94">
        <v>2774</v>
      </c>
      <c r="AK1281" s="94">
        <v>31</v>
      </c>
      <c r="AL1281" s="94">
        <v>9</v>
      </c>
      <c r="AM1281" s="94">
        <v>166</v>
      </c>
      <c r="AN1281" s="94">
        <v>2619</v>
      </c>
      <c r="AO1281" s="94">
        <v>29</v>
      </c>
      <c r="AP1281" s="95">
        <v>6.6820276497695898</v>
      </c>
      <c r="AQ1281" s="95">
        <v>1.84940554821664</v>
      </c>
      <c r="AR1281" s="95">
        <v>13.394495412844</v>
      </c>
      <c r="AS1281" s="95">
        <v>13.821138211382101</v>
      </c>
      <c r="AT1281" s="95">
        <v>6.6235864297253597</v>
      </c>
      <c r="AU1281" s="95">
        <v>6.4178127046496396</v>
      </c>
      <c r="AV1281" s="95">
        <v>5.3731343283582103</v>
      </c>
      <c r="AW1281" s="95">
        <v>7.3317307692307701</v>
      </c>
      <c r="AX1281" s="95">
        <v>6.3829787234042596</v>
      </c>
      <c r="AY1281" s="95">
        <v>6.0606060606060597</v>
      </c>
      <c r="AZ1281" s="95">
        <v>6.7367601246105897</v>
      </c>
      <c r="BA1281" s="95">
        <v>3.4482758620689702</v>
      </c>
      <c r="BB1281" s="95">
        <v>0</v>
      </c>
      <c r="BC1281" s="95">
        <v>9.4339622641509404</v>
      </c>
      <c r="BD1281" s="95">
        <v>6.5784029788994598</v>
      </c>
      <c r="BE1281" s="95">
        <v>0</v>
      </c>
    </row>
    <row r="1282" spans="2:57" ht="15" customHeight="1" x14ac:dyDescent="0.25">
      <c r="B1282" s="91">
        <v>1272</v>
      </c>
      <c r="C1282" s="92" t="s">
        <v>504</v>
      </c>
      <c r="D1282" s="92" t="s">
        <v>92</v>
      </c>
      <c r="E1282" s="92" t="s">
        <v>426</v>
      </c>
      <c r="F1282" s="92" t="s">
        <v>216</v>
      </c>
      <c r="G1282" s="101" t="s">
        <v>502</v>
      </c>
      <c r="H1282" s="94">
        <v>2597</v>
      </c>
      <c r="I1282" s="94">
        <v>1777</v>
      </c>
      <c r="J1282" s="94">
        <v>820</v>
      </c>
      <c r="K1282" s="94">
        <v>250</v>
      </c>
      <c r="L1282" s="94">
        <v>827</v>
      </c>
      <c r="M1282" s="94">
        <v>1249</v>
      </c>
      <c r="N1282" s="94">
        <v>271</v>
      </c>
      <c r="O1282" s="94">
        <v>2588</v>
      </c>
      <c r="P1282" s="94">
        <v>9</v>
      </c>
      <c r="Q1282" s="95">
        <v>0.20678246484698101</v>
      </c>
      <c r="R1282" s="95">
        <v>0.17889087656529501</v>
      </c>
      <c r="S1282" s="95">
        <v>0.26990553306342802</v>
      </c>
      <c r="T1282" s="95">
        <v>0</v>
      </c>
      <c r="U1282" s="95">
        <v>0.391644908616188</v>
      </c>
      <c r="V1282" s="95">
        <v>0.16906170752324601</v>
      </c>
      <c r="W1282" s="95">
        <v>0</v>
      </c>
      <c r="X1282" s="95">
        <v>0.20755500207555</v>
      </c>
      <c r="Y1282" s="95">
        <v>0</v>
      </c>
      <c r="Z1282" s="94">
        <v>2106</v>
      </c>
      <c r="AA1282" s="94">
        <v>1382</v>
      </c>
      <c r="AB1282" s="94">
        <v>724</v>
      </c>
      <c r="AC1282" s="94">
        <v>175</v>
      </c>
      <c r="AD1282" s="94">
        <v>619</v>
      </c>
      <c r="AE1282" s="94">
        <v>1052</v>
      </c>
      <c r="AF1282" s="94">
        <v>260</v>
      </c>
      <c r="AG1282" s="94">
        <v>1764</v>
      </c>
      <c r="AH1282" s="94">
        <v>314</v>
      </c>
      <c r="AI1282" s="94">
        <v>28</v>
      </c>
      <c r="AJ1282" s="94">
        <v>2091</v>
      </c>
      <c r="AK1282" s="94">
        <v>5</v>
      </c>
      <c r="AL1282" s="94">
        <v>10</v>
      </c>
      <c r="AM1282" s="94">
        <v>130</v>
      </c>
      <c r="AN1282" s="94">
        <v>1931</v>
      </c>
      <c r="AO1282" s="94">
        <v>45</v>
      </c>
      <c r="AP1282" s="95">
        <v>0.80280983442047205</v>
      </c>
      <c r="AQ1282" s="95">
        <v>0.225733634311512</v>
      </c>
      <c r="AR1282" s="95">
        <v>1.9578313253012001</v>
      </c>
      <c r="AS1282" s="95">
        <v>0</v>
      </c>
      <c r="AT1282" s="95">
        <v>1.21317157712305</v>
      </c>
      <c r="AU1282" s="95">
        <v>0.89374379344587895</v>
      </c>
      <c r="AV1282" s="95">
        <v>0</v>
      </c>
      <c r="AW1282" s="95">
        <v>0.95408467501490801</v>
      </c>
      <c r="AX1282" s="95">
        <v>0</v>
      </c>
      <c r="AY1282" s="95">
        <v>0</v>
      </c>
      <c r="AZ1282" s="95">
        <v>0.808897876643074</v>
      </c>
      <c r="BA1282" s="95">
        <v>0</v>
      </c>
      <c r="BB1282" s="95">
        <v>0</v>
      </c>
      <c r="BC1282" s="95">
        <v>0.81300813008130102</v>
      </c>
      <c r="BD1282" s="95">
        <v>0.82012028430836503</v>
      </c>
      <c r="BE1282" s="95">
        <v>0</v>
      </c>
    </row>
    <row r="1283" spans="2:57" ht="15" customHeight="1" x14ac:dyDescent="0.25">
      <c r="B1283" s="96">
        <v>1273</v>
      </c>
      <c r="C1283" s="97" t="s">
        <v>504</v>
      </c>
      <c r="D1283" s="104" t="s">
        <v>92</v>
      </c>
      <c r="E1283" s="104" t="s">
        <v>426</v>
      </c>
      <c r="F1283" s="104" t="s">
        <v>276</v>
      </c>
      <c r="G1283" s="105" t="s">
        <v>276</v>
      </c>
      <c r="H1283" s="106">
        <v>17060</v>
      </c>
      <c r="I1283" s="106">
        <v>10582</v>
      </c>
      <c r="J1283" s="106">
        <v>6478</v>
      </c>
      <c r="K1283" s="106">
        <v>1526</v>
      </c>
      <c r="L1283" s="106">
        <v>5234</v>
      </c>
      <c r="M1283" s="106">
        <v>8550</v>
      </c>
      <c r="N1283" s="106">
        <v>1750</v>
      </c>
      <c r="O1283" s="106">
        <v>17010</v>
      </c>
      <c r="P1283" s="106">
        <v>50</v>
      </c>
      <c r="Q1283" s="107">
        <v>1.42245720040282</v>
      </c>
      <c r="R1283" s="107">
        <v>0.69577493193506101</v>
      </c>
      <c r="S1283" s="107">
        <v>2.62937531401775</v>
      </c>
      <c r="T1283" s="107">
        <v>2.1428571428571401</v>
      </c>
      <c r="U1283" s="107">
        <v>1.5079529022929099</v>
      </c>
      <c r="V1283" s="107">
        <v>1.3310113198158999</v>
      </c>
      <c r="W1283" s="107">
        <v>0.99502487562189101</v>
      </c>
      <c r="X1283" s="107">
        <v>1.42676767676768</v>
      </c>
      <c r="Y1283" s="107">
        <v>0</v>
      </c>
      <c r="Z1283" s="106">
        <v>20328</v>
      </c>
      <c r="AA1283" s="106">
        <v>11958</v>
      </c>
      <c r="AB1283" s="106">
        <v>8370</v>
      </c>
      <c r="AC1283" s="106">
        <v>1615</v>
      </c>
      <c r="AD1283" s="106">
        <v>6077</v>
      </c>
      <c r="AE1283" s="106">
        <v>10306</v>
      </c>
      <c r="AF1283" s="106">
        <v>2330</v>
      </c>
      <c r="AG1283" s="106">
        <v>12344</v>
      </c>
      <c r="AH1283" s="106">
        <v>7752</v>
      </c>
      <c r="AI1283" s="106">
        <v>232</v>
      </c>
      <c r="AJ1283" s="106">
        <v>20139</v>
      </c>
      <c r="AK1283" s="106">
        <v>89</v>
      </c>
      <c r="AL1283" s="106">
        <v>100</v>
      </c>
      <c r="AM1283" s="106">
        <v>965</v>
      </c>
      <c r="AN1283" s="106">
        <v>18646</v>
      </c>
      <c r="AO1283" s="106">
        <v>717</v>
      </c>
      <c r="AP1283" s="107">
        <v>3.2271304704735502</v>
      </c>
      <c r="AQ1283" s="107">
        <v>1.2417506078499501</v>
      </c>
      <c r="AR1283" s="107">
        <v>6.0940438871473397</v>
      </c>
      <c r="AS1283" s="107">
        <v>3.4906270200387799</v>
      </c>
      <c r="AT1283" s="107">
        <v>3.2346868547832099</v>
      </c>
      <c r="AU1283" s="107">
        <v>3.3630470016207501</v>
      </c>
      <c r="AV1283" s="107">
        <v>2.4336283185840699</v>
      </c>
      <c r="AW1283" s="107">
        <v>1.4839516465193801</v>
      </c>
      <c r="AX1283" s="107">
        <v>6.10057708161583</v>
      </c>
      <c r="AY1283" s="107">
        <v>3.21100917431193</v>
      </c>
      <c r="AZ1283" s="107">
        <v>3.2299808478699701</v>
      </c>
      <c r="BA1283" s="107">
        <v>3.8961038961039001</v>
      </c>
      <c r="BB1283" s="107">
        <v>2.1052631578947398</v>
      </c>
      <c r="BC1283" s="107">
        <v>3.5218783351120599</v>
      </c>
      <c r="BD1283" s="107">
        <v>3.31578357790971</v>
      </c>
      <c r="BE1283" s="107">
        <v>0.57142857142857095</v>
      </c>
    </row>
    <row r="1284" spans="2:57" ht="15" customHeight="1" x14ac:dyDescent="0.25">
      <c r="B1284" s="91">
        <v>1274</v>
      </c>
      <c r="C1284" s="92" t="s">
        <v>504</v>
      </c>
      <c r="D1284" s="92" t="s">
        <v>92</v>
      </c>
      <c r="E1284" s="92" t="s">
        <v>426</v>
      </c>
      <c r="F1284" s="92" t="s">
        <v>276</v>
      </c>
      <c r="G1284" s="101" t="s">
        <v>501</v>
      </c>
      <c r="H1284" s="94">
        <v>8732</v>
      </c>
      <c r="I1284" s="94">
        <v>5309</v>
      </c>
      <c r="J1284" s="94">
        <v>3423</v>
      </c>
      <c r="K1284" s="94">
        <v>549</v>
      </c>
      <c r="L1284" s="94">
        <v>2494</v>
      </c>
      <c r="M1284" s="94">
        <v>4865</v>
      </c>
      <c r="N1284" s="94">
        <v>824</v>
      </c>
      <c r="O1284" s="94">
        <v>8690</v>
      </c>
      <c r="P1284" s="94">
        <v>42</v>
      </c>
      <c r="Q1284" s="95">
        <v>2.6915887850467302</v>
      </c>
      <c r="R1284" s="95">
        <v>1.40586797066015</v>
      </c>
      <c r="S1284" s="95">
        <v>4.7160731472569797</v>
      </c>
      <c r="T1284" s="95">
        <v>5.9304703476482601</v>
      </c>
      <c r="U1284" s="95">
        <v>3.0530973451327399</v>
      </c>
      <c r="V1284" s="95">
        <v>2.2707231040564402</v>
      </c>
      <c r="W1284" s="95">
        <v>2.0270270270270299</v>
      </c>
      <c r="X1284" s="95">
        <v>2.7050720100187902</v>
      </c>
      <c r="Y1284" s="95">
        <v>0</v>
      </c>
      <c r="Z1284" s="94">
        <v>9759</v>
      </c>
      <c r="AA1284" s="94">
        <v>5585</v>
      </c>
      <c r="AB1284" s="94">
        <v>4174</v>
      </c>
      <c r="AC1284" s="94">
        <v>558</v>
      </c>
      <c r="AD1284" s="94">
        <v>2540</v>
      </c>
      <c r="AE1284" s="94">
        <v>5476</v>
      </c>
      <c r="AF1284" s="94">
        <v>1185</v>
      </c>
      <c r="AG1284" s="94">
        <v>2754</v>
      </c>
      <c r="AH1284" s="94">
        <v>6842</v>
      </c>
      <c r="AI1284" s="94">
        <v>163</v>
      </c>
      <c r="AJ1284" s="94">
        <v>9669</v>
      </c>
      <c r="AK1284" s="94">
        <v>63</v>
      </c>
      <c r="AL1284" s="94">
        <v>27</v>
      </c>
      <c r="AM1284" s="94">
        <v>559</v>
      </c>
      <c r="AN1284" s="94">
        <v>9072</v>
      </c>
      <c r="AO1284" s="94">
        <v>128</v>
      </c>
      <c r="AP1284" s="95">
        <v>6.26563689763951</v>
      </c>
      <c r="AQ1284" s="95">
        <v>2.5</v>
      </c>
      <c r="AR1284" s="95">
        <v>11.3467927421416</v>
      </c>
      <c r="AS1284" s="95">
        <v>9.6226415094339597</v>
      </c>
      <c r="AT1284" s="95">
        <v>7.0613107822410104</v>
      </c>
      <c r="AU1284" s="95">
        <v>5.9210526315789496</v>
      </c>
      <c r="AV1284" s="95">
        <v>4.6017699115044204</v>
      </c>
      <c r="AW1284" s="95">
        <v>5.2111068847470499</v>
      </c>
      <c r="AX1284" s="95">
        <v>6.7405211421438596</v>
      </c>
      <c r="AY1284" s="95">
        <v>4.5161290322580596</v>
      </c>
      <c r="AZ1284" s="95">
        <v>6.28565160157964</v>
      </c>
      <c r="BA1284" s="95">
        <v>3.7037037037037002</v>
      </c>
      <c r="BB1284" s="95">
        <v>4.3478260869565197</v>
      </c>
      <c r="BC1284" s="95">
        <v>5.9479553903345703</v>
      </c>
      <c r="BD1284" s="95">
        <v>6.3268892794376104</v>
      </c>
      <c r="BE1284" s="95">
        <v>3.3333333333333299</v>
      </c>
    </row>
    <row r="1285" spans="2:57" ht="15" customHeight="1" x14ac:dyDescent="0.25">
      <c r="B1285" s="91">
        <v>1275</v>
      </c>
      <c r="C1285" s="92" t="s">
        <v>504</v>
      </c>
      <c r="D1285" s="92" t="s">
        <v>92</v>
      </c>
      <c r="E1285" s="92" t="s">
        <v>426</v>
      </c>
      <c r="F1285" s="92" t="s">
        <v>276</v>
      </c>
      <c r="G1285" s="101" t="s">
        <v>502</v>
      </c>
      <c r="H1285" s="94">
        <v>8328</v>
      </c>
      <c r="I1285" s="94">
        <v>5273</v>
      </c>
      <c r="J1285" s="94">
        <v>3055</v>
      </c>
      <c r="K1285" s="94">
        <v>977</v>
      </c>
      <c r="L1285" s="94">
        <v>2740</v>
      </c>
      <c r="M1285" s="94">
        <v>3685</v>
      </c>
      <c r="N1285" s="94">
        <v>926</v>
      </c>
      <c r="O1285" s="94">
        <v>8320</v>
      </c>
      <c r="P1285" s="94">
        <v>8</v>
      </c>
      <c r="Q1285" s="95">
        <v>0.12717792191275601</v>
      </c>
      <c r="R1285" s="95">
        <v>0</v>
      </c>
      <c r="S1285" s="95">
        <v>0.35038542396636302</v>
      </c>
      <c r="T1285" s="95">
        <v>0.109769484083425</v>
      </c>
      <c r="U1285" s="95">
        <v>0.15497869043006601</v>
      </c>
      <c r="V1285" s="95">
        <v>0.11418783899514701</v>
      </c>
      <c r="W1285" s="95">
        <v>0.115207373271889</v>
      </c>
      <c r="X1285" s="95">
        <v>0.12730744748567799</v>
      </c>
      <c r="Y1285" s="95">
        <v>0</v>
      </c>
      <c r="Z1285" s="94">
        <v>10569</v>
      </c>
      <c r="AA1285" s="94">
        <v>6373</v>
      </c>
      <c r="AB1285" s="94">
        <v>4196</v>
      </c>
      <c r="AC1285" s="94">
        <v>1057</v>
      </c>
      <c r="AD1285" s="94">
        <v>3537</v>
      </c>
      <c r="AE1285" s="94">
        <v>4830</v>
      </c>
      <c r="AF1285" s="94">
        <v>1145</v>
      </c>
      <c r="AG1285" s="94">
        <v>9590</v>
      </c>
      <c r="AH1285" s="94">
        <v>910</v>
      </c>
      <c r="AI1285" s="94">
        <v>69</v>
      </c>
      <c r="AJ1285" s="94">
        <v>10470</v>
      </c>
      <c r="AK1285" s="94">
        <v>26</v>
      </c>
      <c r="AL1285" s="94">
        <v>73</v>
      </c>
      <c r="AM1285" s="94">
        <v>406</v>
      </c>
      <c r="AN1285" s="94">
        <v>9574</v>
      </c>
      <c r="AO1285" s="94">
        <v>589</v>
      </c>
      <c r="AP1285" s="95">
        <v>0.51466304136725605</v>
      </c>
      <c r="AQ1285" s="95">
        <v>0.17639512508017999</v>
      </c>
      <c r="AR1285" s="95">
        <v>1.0339734121122599</v>
      </c>
      <c r="AS1285" s="95">
        <v>0.29498525073746301</v>
      </c>
      <c r="AT1285" s="95">
        <v>0.60922541340295899</v>
      </c>
      <c r="AU1285" s="95">
        <v>0.55272108843537404</v>
      </c>
      <c r="AV1285" s="95">
        <v>0.265486725663717</v>
      </c>
      <c r="AW1285" s="95">
        <v>0.43775357676702997</v>
      </c>
      <c r="AX1285" s="95">
        <v>1.3808975834292301</v>
      </c>
      <c r="AY1285" s="95">
        <v>0</v>
      </c>
      <c r="AZ1285" s="95">
        <v>0.49985298441634801</v>
      </c>
      <c r="BA1285" s="95">
        <v>4.3478260869565197</v>
      </c>
      <c r="BB1285" s="95">
        <v>1.3888888888888899</v>
      </c>
      <c r="BC1285" s="95">
        <v>0.25062656641603998</v>
      </c>
      <c r="BD1285" s="95">
        <v>0.55799978538469797</v>
      </c>
      <c r="BE1285" s="95">
        <v>0</v>
      </c>
    </row>
    <row r="1286" spans="2:57" ht="15" customHeight="1" x14ac:dyDescent="0.25">
      <c r="B1286" s="96">
        <v>1276</v>
      </c>
      <c r="C1286" s="97" t="s">
        <v>504</v>
      </c>
      <c r="D1286" s="104" t="s">
        <v>92</v>
      </c>
      <c r="E1286" s="104" t="s">
        <v>426</v>
      </c>
      <c r="F1286" s="104" t="s">
        <v>35</v>
      </c>
      <c r="G1286" s="105" t="s">
        <v>35</v>
      </c>
      <c r="H1286" s="106">
        <v>3710</v>
      </c>
      <c r="I1286" s="106">
        <v>2530</v>
      </c>
      <c r="J1286" s="106">
        <v>1180</v>
      </c>
      <c r="K1286" s="106">
        <v>264</v>
      </c>
      <c r="L1286" s="106">
        <v>1149</v>
      </c>
      <c r="M1286" s="106">
        <v>1954</v>
      </c>
      <c r="N1286" s="106">
        <v>343</v>
      </c>
      <c r="O1286" s="106">
        <v>3700</v>
      </c>
      <c r="P1286" s="106">
        <v>10</v>
      </c>
      <c r="Q1286" s="107">
        <v>1.5743263699667001</v>
      </c>
      <c r="R1286" s="107">
        <v>0.70609002647837604</v>
      </c>
      <c r="S1286" s="107">
        <v>3.4715525554484099</v>
      </c>
      <c r="T1286" s="107">
        <v>0.89686098654708502</v>
      </c>
      <c r="U1286" s="107">
        <v>2.0648967551622399</v>
      </c>
      <c r="V1286" s="107">
        <v>1.4180374361883199</v>
      </c>
      <c r="W1286" s="107">
        <v>1.3333333333333299</v>
      </c>
      <c r="X1286" s="107">
        <v>1.5791071970847299</v>
      </c>
      <c r="Y1286" s="107">
        <v>0</v>
      </c>
      <c r="Z1286" s="106">
        <v>4390</v>
      </c>
      <c r="AA1286" s="106">
        <v>2754</v>
      </c>
      <c r="AB1286" s="106">
        <v>1636</v>
      </c>
      <c r="AC1286" s="106">
        <v>272</v>
      </c>
      <c r="AD1286" s="106">
        <v>1165</v>
      </c>
      <c r="AE1286" s="106">
        <v>2491</v>
      </c>
      <c r="AF1286" s="106">
        <v>462</v>
      </c>
      <c r="AG1286" s="106">
        <v>625</v>
      </c>
      <c r="AH1286" s="106">
        <v>3622</v>
      </c>
      <c r="AI1286" s="106">
        <v>143</v>
      </c>
      <c r="AJ1286" s="106">
        <v>4357</v>
      </c>
      <c r="AK1286" s="106">
        <v>26</v>
      </c>
      <c r="AL1286" s="106">
        <v>7</v>
      </c>
      <c r="AM1286" s="106">
        <v>238</v>
      </c>
      <c r="AN1286" s="106">
        <v>4096</v>
      </c>
      <c r="AO1286" s="106">
        <v>56</v>
      </c>
      <c r="AP1286" s="107">
        <v>5.0822489565430899</v>
      </c>
      <c r="AQ1286" s="107">
        <v>1.82241178751454</v>
      </c>
      <c r="AR1286" s="107">
        <v>10.7095046854083</v>
      </c>
      <c r="AS1286" s="107">
        <v>6.3492063492063497</v>
      </c>
      <c r="AT1286" s="107">
        <v>4.5581395348837201</v>
      </c>
      <c r="AU1286" s="107">
        <v>5.5291576673866096</v>
      </c>
      <c r="AV1286" s="107">
        <v>3.2482598607888602</v>
      </c>
      <c r="AW1286" s="107">
        <v>2.4875621890547301</v>
      </c>
      <c r="AX1286" s="107">
        <v>5.36512667660209</v>
      </c>
      <c r="AY1286" s="107">
        <v>10.4347826086957</v>
      </c>
      <c r="AZ1286" s="107">
        <v>5.0964868876793696</v>
      </c>
      <c r="BA1286" s="107">
        <v>4</v>
      </c>
      <c r="BB1286" s="107">
        <v>0</v>
      </c>
      <c r="BC1286" s="107">
        <v>6.5502183406113499</v>
      </c>
      <c r="BD1286" s="107">
        <v>5.0382484832497996</v>
      </c>
      <c r="BE1286" s="107">
        <v>1.88679245283019</v>
      </c>
    </row>
    <row r="1287" spans="2:57" ht="15" customHeight="1" x14ac:dyDescent="0.25">
      <c r="B1287" s="91">
        <v>1277</v>
      </c>
      <c r="C1287" s="92" t="s">
        <v>504</v>
      </c>
      <c r="D1287" s="92" t="s">
        <v>92</v>
      </c>
      <c r="E1287" s="92" t="s">
        <v>426</v>
      </c>
      <c r="F1287" s="92" t="s">
        <v>35</v>
      </c>
      <c r="G1287" s="101" t="s">
        <v>501</v>
      </c>
      <c r="H1287" s="94">
        <v>1716</v>
      </c>
      <c r="I1287" s="94">
        <v>1093</v>
      </c>
      <c r="J1287" s="94">
        <v>623</v>
      </c>
      <c r="K1287" s="94">
        <v>87</v>
      </c>
      <c r="L1287" s="94">
        <v>528</v>
      </c>
      <c r="M1287" s="94">
        <v>956</v>
      </c>
      <c r="N1287" s="94">
        <v>145</v>
      </c>
      <c r="O1287" s="94">
        <v>1709</v>
      </c>
      <c r="P1287" s="94">
        <v>7</v>
      </c>
      <c r="Q1287" s="95">
        <v>2.8205128205128198</v>
      </c>
      <c r="R1287" s="95">
        <v>1.4112903225806499</v>
      </c>
      <c r="S1287" s="95">
        <v>5.28169014084507</v>
      </c>
      <c r="T1287" s="95">
        <v>1.2987012987013</v>
      </c>
      <c r="U1287" s="95">
        <v>4.0339702760084899</v>
      </c>
      <c r="V1287" s="95">
        <v>2.3836549375709399</v>
      </c>
      <c r="W1287" s="95">
        <v>2.2900763358778602</v>
      </c>
      <c r="X1287" s="95">
        <v>2.8332260141661298</v>
      </c>
      <c r="Y1287" s="95">
        <v>0</v>
      </c>
      <c r="Z1287" s="94">
        <v>2295</v>
      </c>
      <c r="AA1287" s="94">
        <v>1345</v>
      </c>
      <c r="AB1287" s="94">
        <v>950</v>
      </c>
      <c r="AC1287" s="94">
        <v>122</v>
      </c>
      <c r="AD1287" s="94">
        <v>595</v>
      </c>
      <c r="AE1287" s="94">
        <v>1312</v>
      </c>
      <c r="AF1287" s="94">
        <v>266</v>
      </c>
      <c r="AG1287" s="94">
        <v>210</v>
      </c>
      <c r="AH1287" s="94">
        <v>2012</v>
      </c>
      <c r="AI1287" s="94">
        <v>73</v>
      </c>
      <c r="AJ1287" s="94">
        <v>2276</v>
      </c>
      <c r="AK1287" s="94">
        <v>16</v>
      </c>
      <c r="AL1287" s="94">
        <v>3</v>
      </c>
      <c r="AM1287" s="94">
        <v>125</v>
      </c>
      <c r="AN1287" s="94">
        <v>2150</v>
      </c>
      <c r="AO1287" s="94">
        <v>20</v>
      </c>
      <c r="AP1287" s="95">
        <v>7.5570342205323202</v>
      </c>
      <c r="AQ1287" s="95">
        <v>2.9576338928856898</v>
      </c>
      <c r="AR1287" s="95">
        <v>14.3024618991794</v>
      </c>
      <c r="AS1287" s="95">
        <v>10.909090909090899</v>
      </c>
      <c r="AT1287" s="95">
        <v>6.8139963167587503</v>
      </c>
      <c r="AU1287" s="95">
        <v>8.15307820299501</v>
      </c>
      <c r="AV1287" s="95">
        <v>4.8192771084337398</v>
      </c>
      <c r="AW1287" s="95">
        <v>5.9405940594059397</v>
      </c>
      <c r="AX1287" s="95">
        <v>7.6381365113759498</v>
      </c>
      <c r="AY1287" s="95">
        <v>10.714285714285699</v>
      </c>
      <c r="AZ1287" s="95">
        <v>7.5706756109247699</v>
      </c>
      <c r="BA1287" s="95">
        <v>6.6666666666666696</v>
      </c>
      <c r="BB1287" s="95">
        <v>0</v>
      </c>
      <c r="BC1287" s="95">
        <v>8.4033613445378208</v>
      </c>
      <c r="BD1287" s="95">
        <v>7.5318066157760803</v>
      </c>
      <c r="BE1287" s="95">
        <v>5</v>
      </c>
    </row>
    <row r="1288" spans="2:57" ht="15" customHeight="1" x14ac:dyDescent="0.25">
      <c r="B1288" s="91">
        <v>1278</v>
      </c>
      <c r="C1288" s="92" t="s">
        <v>504</v>
      </c>
      <c r="D1288" s="92" t="s">
        <v>92</v>
      </c>
      <c r="E1288" s="92" t="s">
        <v>426</v>
      </c>
      <c r="F1288" s="92" t="s">
        <v>35</v>
      </c>
      <c r="G1288" s="101" t="s">
        <v>502</v>
      </c>
      <c r="H1288" s="94">
        <v>1994</v>
      </c>
      <c r="I1288" s="94">
        <v>1437</v>
      </c>
      <c r="J1288" s="94">
        <v>557</v>
      </c>
      <c r="K1288" s="94">
        <v>177</v>
      </c>
      <c r="L1288" s="94">
        <v>621</v>
      </c>
      <c r="M1288" s="94">
        <v>998</v>
      </c>
      <c r="N1288" s="94">
        <v>198</v>
      </c>
      <c r="O1288" s="94">
        <v>1991</v>
      </c>
      <c r="P1288" s="94">
        <v>3</v>
      </c>
      <c r="Q1288" s="95">
        <v>0.45897877223178402</v>
      </c>
      <c r="R1288" s="95">
        <v>0.156985871271586</v>
      </c>
      <c r="S1288" s="95">
        <v>1.2793176972281499</v>
      </c>
      <c r="T1288" s="95">
        <v>0.68493150684931503</v>
      </c>
      <c r="U1288" s="95">
        <v>0.366300366300366</v>
      </c>
      <c r="V1288" s="95">
        <v>0.45351473922902502</v>
      </c>
      <c r="W1288" s="95">
        <v>0.59171597633136097</v>
      </c>
      <c r="X1288" s="95">
        <v>0.45977011494252901</v>
      </c>
      <c r="Y1288" s="95">
        <v>0</v>
      </c>
      <c r="Z1288" s="94">
        <v>2095</v>
      </c>
      <c r="AA1288" s="94">
        <v>1409</v>
      </c>
      <c r="AB1288" s="94">
        <v>686</v>
      </c>
      <c r="AC1288" s="94">
        <v>150</v>
      </c>
      <c r="AD1288" s="94">
        <v>570</v>
      </c>
      <c r="AE1288" s="94">
        <v>1179</v>
      </c>
      <c r="AF1288" s="94">
        <v>196</v>
      </c>
      <c r="AG1288" s="94">
        <v>415</v>
      </c>
      <c r="AH1288" s="94">
        <v>1610</v>
      </c>
      <c r="AI1288" s="94">
        <v>70</v>
      </c>
      <c r="AJ1288" s="94">
        <v>2081</v>
      </c>
      <c r="AK1288" s="94">
        <v>10</v>
      </c>
      <c r="AL1288" s="94">
        <v>4</v>
      </c>
      <c r="AM1288" s="94">
        <v>113</v>
      </c>
      <c r="AN1288" s="94">
        <v>1946</v>
      </c>
      <c r="AO1288" s="94">
        <v>36</v>
      </c>
      <c r="AP1288" s="95">
        <v>2.4377856780091398</v>
      </c>
      <c r="AQ1288" s="95">
        <v>0.75301204819277101</v>
      </c>
      <c r="AR1288" s="95">
        <v>5.9282371294851801</v>
      </c>
      <c r="AS1288" s="95">
        <v>2.8169014084507</v>
      </c>
      <c r="AT1288" s="95">
        <v>2.2556390977443601</v>
      </c>
      <c r="AU1288" s="95">
        <v>2.6954177897574101</v>
      </c>
      <c r="AV1288" s="95">
        <v>1.0989010989011001</v>
      </c>
      <c r="AW1288" s="95">
        <v>0.74812967581047396</v>
      </c>
      <c r="AX1288" s="95">
        <v>2.5844930417495</v>
      </c>
      <c r="AY1288" s="95">
        <v>10.1694915254237</v>
      </c>
      <c r="AZ1288" s="95">
        <v>2.45524296675192</v>
      </c>
      <c r="BA1288" s="95">
        <v>0</v>
      </c>
      <c r="BB1288" s="95">
        <v>0</v>
      </c>
      <c r="BC1288" s="95">
        <v>4.5454545454545503</v>
      </c>
      <c r="BD1288" s="95">
        <v>2.3548740416210299</v>
      </c>
      <c r="BE1288" s="95">
        <v>0</v>
      </c>
    </row>
    <row r="1289" spans="2:57" ht="15" customHeight="1" x14ac:dyDescent="0.25">
      <c r="B1289" s="96">
        <v>1279</v>
      </c>
      <c r="C1289" s="97" t="s">
        <v>504</v>
      </c>
      <c r="D1289" s="104" t="s">
        <v>92</v>
      </c>
      <c r="E1289" s="104" t="s">
        <v>426</v>
      </c>
      <c r="F1289" s="104" t="s">
        <v>487</v>
      </c>
      <c r="G1289" s="105" t="s">
        <v>487</v>
      </c>
      <c r="H1289" s="106">
        <v>8332</v>
      </c>
      <c r="I1289" s="106">
        <v>5258</v>
      </c>
      <c r="J1289" s="106">
        <v>3074</v>
      </c>
      <c r="K1289" s="106">
        <v>580</v>
      </c>
      <c r="L1289" s="106">
        <v>2605</v>
      </c>
      <c r="M1289" s="106">
        <v>4471</v>
      </c>
      <c r="N1289" s="106">
        <v>676</v>
      </c>
      <c r="O1289" s="106">
        <v>8239</v>
      </c>
      <c r="P1289" s="106">
        <v>93</v>
      </c>
      <c r="Q1289" s="107">
        <v>3.6023054755043198</v>
      </c>
      <c r="R1289" s="107">
        <v>2.6223415238488501</v>
      </c>
      <c r="S1289" s="107">
        <v>5.3027588677893203</v>
      </c>
      <c r="T1289" s="107">
        <v>2.6819923371647501</v>
      </c>
      <c r="U1289" s="107">
        <v>3.9440203562341001</v>
      </c>
      <c r="V1289" s="107">
        <v>3.6679536679536699</v>
      </c>
      <c r="W1289" s="107">
        <v>2.6229508196721301</v>
      </c>
      <c r="X1289" s="107">
        <v>3.4980787067709</v>
      </c>
      <c r="Y1289" s="107">
        <v>12.643678160919499</v>
      </c>
      <c r="Z1289" s="106">
        <v>10378</v>
      </c>
      <c r="AA1289" s="106">
        <v>5974</v>
      </c>
      <c r="AB1289" s="106">
        <v>4404</v>
      </c>
      <c r="AC1289" s="106">
        <v>678</v>
      </c>
      <c r="AD1289" s="106">
        <v>2927</v>
      </c>
      <c r="AE1289" s="106">
        <v>5638</v>
      </c>
      <c r="AF1289" s="106">
        <v>1135</v>
      </c>
      <c r="AG1289" s="106">
        <v>4756</v>
      </c>
      <c r="AH1289" s="106">
        <v>5490</v>
      </c>
      <c r="AI1289" s="106">
        <v>132</v>
      </c>
      <c r="AJ1289" s="106">
        <v>10260</v>
      </c>
      <c r="AK1289" s="106">
        <v>90</v>
      </c>
      <c r="AL1289" s="106">
        <v>28</v>
      </c>
      <c r="AM1289" s="106">
        <v>688</v>
      </c>
      <c r="AN1289" s="106">
        <v>9580</v>
      </c>
      <c r="AO1289" s="106">
        <v>110</v>
      </c>
      <c r="AP1289" s="107">
        <v>7.3145780051150897</v>
      </c>
      <c r="AQ1289" s="107">
        <v>3.8986354775828498</v>
      </c>
      <c r="AR1289" s="107">
        <v>11.9796708615682</v>
      </c>
      <c r="AS1289" s="107">
        <v>8.2934609250398701</v>
      </c>
      <c r="AT1289" s="107">
        <v>7.6696165191740402</v>
      </c>
      <c r="AU1289" s="107">
        <v>7.6160179640718599</v>
      </c>
      <c r="AV1289" s="107">
        <v>4.3956043956044004</v>
      </c>
      <c r="AW1289" s="107">
        <v>4.0359728010528597</v>
      </c>
      <c r="AX1289" s="107">
        <v>10.078431372549</v>
      </c>
      <c r="AY1289" s="107">
        <v>14.6551724137931</v>
      </c>
      <c r="AZ1289" s="107">
        <v>7.2610674389739396</v>
      </c>
      <c r="BA1289" s="107">
        <v>15</v>
      </c>
      <c r="BB1289" s="107">
        <v>3.7037037037037002</v>
      </c>
      <c r="BC1289" s="107">
        <v>6.5052950075642997</v>
      </c>
      <c r="BD1289" s="107">
        <v>7.4139844617092097</v>
      </c>
      <c r="BE1289" s="107">
        <v>3.8461538461538498</v>
      </c>
    </row>
    <row r="1290" spans="2:57" ht="15" customHeight="1" x14ac:dyDescent="0.25">
      <c r="B1290" s="91">
        <v>1280</v>
      </c>
      <c r="C1290" s="92" t="s">
        <v>504</v>
      </c>
      <c r="D1290" s="92" t="s">
        <v>92</v>
      </c>
      <c r="E1290" s="92" t="s">
        <v>426</v>
      </c>
      <c r="F1290" s="92" t="s">
        <v>487</v>
      </c>
      <c r="G1290" s="101" t="s">
        <v>501</v>
      </c>
      <c r="H1290" s="94">
        <v>5637</v>
      </c>
      <c r="I1290" s="94">
        <v>3486</v>
      </c>
      <c r="J1290" s="94">
        <v>2151</v>
      </c>
      <c r="K1290" s="94">
        <v>354</v>
      </c>
      <c r="L1290" s="94">
        <v>1791</v>
      </c>
      <c r="M1290" s="94">
        <v>3067</v>
      </c>
      <c r="N1290" s="94">
        <v>425</v>
      </c>
      <c r="O1290" s="94">
        <v>5561</v>
      </c>
      <c r="P1290" s="94">
        <v>76</v>
      </c>
      <c r="Q1290" s="95">
        <v>5.1584957668832496</v>
      </c>
      <c r="R1290" s="95">
        <v>3.82185723310171</v>
      </c>
      <c r="S1290" s="95">
        <v>7.37062205959226</v>
      </c>
      <c r="T1290" s="95">
        <v>4.5016077170418001</v>
      </c>
      <c r="U1290" s="95">
        <v>5.5241682360326401</v>
      </c>
      <c r="V1290" s="95">
        <v>5.2124241342377697</v>
      </c>
      <c r="W1290" s="95">
        <v>3.7433155080213898</v>
      </c>
      <c r="X1290" s="95">
        <v>5.0109802355759596</v>
      </c>
      <c r="Y1290" s="95">
        <v>15.714285714285699</v>
      </c>
      <c r="Z1290" s="94">
        <v>6691</v>
      </c>
      <c r="AA1290" s="94">
        <v>3775</v>
      </c>
      <c r="AB1290" s="94">
        <v>2916</v>
      </c>
      <c r="AC1290" s="94">
        <v>365</v>
      </c>
      <c r="AD1290" s="94">
        <v>1798</v>
      </c>
      <c r="AE1290" s="94">
        <v>3851</v>
      </c>
      <c r="AF1290" s="94">
        <v>677</v>
      </c>
      <c r="AG1290" s="94">
        <v>1942</v>
      </c>
      <c r="AH1290" s="94">
        <v>4635</v>
      </c>
      <c r="AI1290" s="94">
        <v>114</v>
      </c>
      <c r="AJ1290" s="94">
        <v>6602</v>
      </c>
      <c r="AK1290" s="94">
        <v>69</v>
      </c>
      <c r="AL1290" s="94">
        <v>20</v>
      </c>
      <c r="AM1290" s="94">
        <v>457</v>
      </c>
      <c r="AN1290" s="94">
        <v>6160</v>
      </c>
      <c r="AO1290" s="94">
        <v>74</v>
      </c>
      <c r="AP1290" s="95">
        <v>10.660225442834101</v>
      </c>
      <c r="AQ1290" s="95">
        <v>5.7110222729868596</v>
      </c>
      <c r="AR1290" s="95">
        <v>17.060561299852299</v>
      </c>
      <c r="AS1290" s="95">
        <v>15.4078549848943</v>
      </c>
      <c r="AT1290" s="95">
        <v>11.7970660146699</v>
      </c>
      <c r="AU1290" s="95">
        <v>10.4079933388843</v>
      </c>
      <c r="AV1290" s="95">
        <v>6.71875</v>
      </c>
      <c r="AW1290" s="95">
        <v>8.1007115489874106</v>
      </c>
      <c r="AX1290" s="95">
        <v>11.604015876721901</v>
      </c>
      <c r="AY1290" s="95">
        <v>17</v>
      </c>
      <c r="AZ1290" s="95">
        <v>10.6070496083551</v>
      </c>
      <c r="BA1290" s="95">
        <v>17.460317460317501</v>
      </c>
      <c r="BB1290" s="95">
        <v>5.2631578947368398</v>
      </c>
      <c r="BC1290" s="95">
        <v>8.5648148148148096</v>
      </c>
      <c r="BD1290" s="95">
        <v>10.8775617446138</v>
      </c>
      <c r="BE1290" s="95">
        <v>5.7971014492753596</v>
      </c>
    </row>
    <row r="1291" spans="2:57" ht="15" customHeight="1" x14ac:dyDescent="0.25">
      <c r="B1291" s="91">
        <v>1281</v>
      </c>
      <c r="C1291" s="92" t="s">
        <v>504</v>
      </c>
      <c r="D1291" s="92" t="s">
        <v>92</v>
      </c>
      <c r="E1291" s="92" t="s">
        <v>426</v>
      </c>
      <c r="F1291" s="92" t="s">
        <v>487</v>
      </c>
      <c r="G1291" s="101" t="s">
        <v>502</v>
      </c>
      <c r="H1291" s="94">
        <v>2695</v>
      </c>
      <c r="I1291" s="94">
        <v>1772</v>
      </c>
      <c r="J1291" s="94">
        <v>923</v>
      </c>
      <c r="K1291" s="94">
        <v>226</v>
      </c>
      <c r="L1291" s="94">
        <v>814</v>
      </c>
      <c r="M1291" s="94">
        <v>1404</v>
      </c>
      <c r="N1291" s="94">
        <v>251</v>
      </c>
      <c r="O1291" s="94">
        <v>2678</v>
      </c>
      <c r="P1291" s="94">
        <v>17</v>
      </c>
      <c r="Q1291" s="95">
        <v>0.50880626223091996</v>
      </c>
      <c r="R1291" s="95">
        <v>0.35778175313059002</v>
      </c>
      <c r="S1291" s="95">
        <v>0.797266514806378</v>
      </c>
      <c r="T1291" s="95">
        <v>0</v>
      </c>
      <c r="U1291" s="95">
        <v>0.65359477124182996</v>
      </c>
      <c r="V1291" s="95">
        <v>0.44676098287416199</v>
      </c>
      <c r="W1291" s="95">
        <v>0.84745762711864403</v>
      </c>
      <c r="X1291" s="95">
        <v>0.51221434200157601</v>
      </c>
      <c r="Y1291" s="95">
        <v>0</v>
      </c>
      <c r="Z1291" s="94">
        <v>3687</v>
      </c>
      <c r="AA1291" s="94">
        <v>2199</v>
      </c>
      <c r="AB1291" s="94">
        <v>1488</v>
      </c>
      <c r="AC1291" s="94">
        <v>313</v>
      </c>
      <c r="AD1291" s="94">
        <v>1129</v>
      </c>
      <c r="AE1291" s="94">
        <v>1787</v>
      </c>
      <c r="AF1291" s="94">
        <v>458</v>
      </c>
      <c r="AG1291" s="94">
        <v>2814</v>
      </c>
      <c r="AH1291" s="94">
        <v>855</v>
      </c>
      <c r="AI1291" s="94">
        <v>18</v>
      </c>
      <c r="AJ1291" s="94">
        <v>3658</v>
      </c>
      <c r="AK1291" s="94">
        <v>21</v>
      </c>
      <c r="AL1291" s="94">
        <v>8</v>
      </c>
      <c r="AM1291" s="94">
        <v>231</v>
      </c>
      <c r="AN1291" s="94">
        <v>3420</v>
      </c>
      <c r="AO1291" s="94">
        <v>36</v>
      </c>
      <c r="AP1291" s="95">
        <v>1.4866760168302899</v>
      </c>
      <c r="AQ1291" s="95">
        <v>0.93414292386735198</v>
      </c>
      <c r="AR1291" s="95">
        <v>2.3174157303370801</v>
      </c>
      <c r="AS1291" s="95">
        <v>0.337837837837838</v>
      </c>
      <c r="AT1291" s="95">
        <v>1.39405204460967</v>
      </c>
      <c r="AU1291" s="95">
        <v>1.83802412406663</v>
      </c>
      <c r="AV1291" s="95">
        <v>1.10619469026549</v>
      </c>
      <c r="AW1291" s="95">
        <v>1.3177159590043901</v>
      </c>
      <c r="AX1291" s="95">
        <v>2.0807833537331701</v>
      </c>
      <c r="AY1291" s="95">
        <v>0</v>
      </c>
      <c r="AZ1291" s="95">
        <v>1.4689265536723199</v>
      </c>
      <c r="BA1291" s="95">
        <v>5.8823529411764701</v>
      </c>
      <c r="BB1291" s="95">
        <v>0</v>
      </c>
      <c r="BC1291" s="95">
        <v>2.62008733624454</v>
      </c>
      <c r="BD1291" s="95">
        <v>1.4238109663738301</v>
      </c>
      <c r="BE1291" s="95">
        <v>0</v>
      </c>
    </row>
    <row r="1292" spans="2:57" ht="15" customHeight="1" x14ac:dyDescent="0.25">
      <c r="B1292" s="86">
        <v>1282</v>
      </c>
      <c r="C1292" s="87" t="s">
        <v>503</v>
      </c>
      <c r="D1292" s="103" t="s">
        <v>92</v>
      </c>
      <c r="E1292" s="103" t="s">
        <v>427</v>
      </c>
      <c r="F1292" s="103"/>
      <c r="G1292" s="88" t="s">
        <v>427</v>
      </c>
      <c r="H1292" s="89">
        <v>10027</v>
      </c>
      <c r="I1292" s="89">
        <v>6371</v>
      </c>
      <c r="J1292" s="89">
        <v>3656</v>
      </c>
      <c r="K1292" s="89">
        <v>759</v>
      </c>
      <c r="L1292" s="89">
        <v>3217</v>
      </c>
      <c r="M1292" s="89">
        <v>5101</v>
      </c>
      <c r="N1292" s="89">
        <v>950</v>
      </c>
      <c r="O1292" s="89">
        <v>9999</v>
      </c>
      <c r="P1292" s="89">
        <v>28</v>
      </c>
      <c r="Q1292" s="90">
        <v>1.41574220813524</v>
      </c>
      <c r="R1292" s="90">
        <v>1.2024378191401699</v>
      </c>
      <c r="S1292" s="90">
        <v>1.7972893341190299</v>
      </c>
      <c r="T1292" s="90">
        <v>1.5781922525107599</v>
      </c>
      <c r="U1292" s="90">
        <v>1.42762284196547</v>
      </c>
      <c r="V1292" s="90">
        <v>1.33937770451267</v>
      </c>
      <c r="W1292" s="90">
        <v>1.6611295681063101</v>
      </c>
      <c r="X1292" s="90">
        <v>1.4087490731914001</v>
      </c>
      <c r="Y1292" s="90">
        <v>4.1666666666666696</v>
      </c>
      <c r="Z1292" s="89">
        <v>11433</v>
      </c>
      <c r="AA1292" s="89">
        <v>7078</v>
      </c>
      <c r="AB1292" s="89">
        <v>4355</v>
      </c>
      <c r="AC1292" s="89">
        <v>638</v>
      </c>
      <c r="AD1292" s="89">
        <v>3503</v>
      </c>
      <c r="AE1292" s="89">
        <v>6155</v>
      </c>
      <c r="AF1292" s="89">
        <v>1137</v>
      </c>
      <c r="AG1292" s="89">
        <v>5497</v>
      </c>
      <c r="AH1292" s="89">
        <v>5585</v>
      </c>
      <c r="AI1292" s="89">
        <v>351</v>
      </c>
      <c r="AJ1292" s="89">
        <v>11338</v>
      </c>
      <c r="AK1292" s="89">
        <v>63</v>
      </c>
      <c r="AL1292" s="89">
        <v>32</v>
      </c>
      <c r="AM1292" s="89">
        <v>453</v>
      </c>
      <c r="AN1292" s="89">
        <v>10846</v>
      </c>
      <c r="AO1292" s="89">
        <v>134</v>
      </c>
      <c r="AP1292" s="90">
        <v>4.8870108396105101</v>
      </c>
      <c r="AQ1292" s="90">
        <v>1.9171666910581</v>
      </c>
      <c r="AR1292" s="90">
        <v>9.8939057488280309</v>
      </c>
      <c r="AS1292" s="90">
        <v>8.2644628099173598</v>
      </c>
      <c r="AT1292" s="90">
        <v>5.4921968787514999</v>
      </c>
      <c r="AU1292" s="90">
        <v>4.3247863247863201</v>
      </c>
      <c r="AV1292" s="90">
        <v>4.18562329390355</v>
      </c>
      <c r="AW1292" s="90">
        <v>4.4259504444864799</v>
      </c>
      <c r="AX1292" s="90">
        <v>5.47066591209206</v>
      </c>
      <c r="AY1292" s="90">
        <v>2.6845637583892601</v>
      </c>
      <c r="AZ1292" s="90">
        <v>4.8999629492404599</v>
      </c>
      <c r="BA1292" s="90">
        <v>3.4482758620689702</v>
      </c>
      <c r="BB1292" s="90">
        <v>3.125</v>
      </c>
      <c r="BC1292" s="90">
        <v>5.2873563218390798</v>
      </c>
      <c r="BD1292" s="90">
        <v>4.8430840759395597</v>
      </c>
      <c r="BE1292" s="90">
        <v>7.0866141732283499</v>
      </c>
    </row>
    <row r="1293" spans="2:57" ht="15" customHeight="1" x14ac:dyDescent="0.25">
      <c r="B1293" s="91">
        <v>1283</v>
      </c>
      <c r="C1293" s="92" t="s">
        <v>503</v>
      </c>
      <c r="D1293" s="92" t="s">
        <v>92</v>
      </c>
      <c r="E1293" s="92" t="s">
        <v>427</v>
      </c>
      <c r="F1293" s="92"/>
      <c r="G1293" s="93" t="s">
        <v>501</v>
      </c>
      <c r="H1293" s="94">
        <v>4931</v>
      </c>
      <c r="I1293" s="94">
        <v>2773</v>
      </c>
      <c r="J1293" s="94">
        <v>2158</v>
      </c>
      <c r="K1293" s="94">
        <v>351</v>
      </c>
      <c r="L1293" s="94">
        <v>1437</v>
      </c>
      <c r="M1293" s="94">
        <v>2625</v>
      </c>
      <c r="N1293" s="94">
        <v>518</v>
      </c>
      <c r="O1293" s="94">
        <v>4911</v>
      </c>
      <c r="P1293" s="94">
        <v>20</v>
      </c>
      <c r="Q1293" s="95">
        <v>2.2376710840756</v>
      </c>
      <c r="R1293" s="95">
        <v>2.2179732313575502</v>
      </c>
      <c r="S1293" s="95">
        <v>2.2635814889336001</v>
      </c>
      <c r="T1293" s="95">
        <v>2.8037383177570101</v>
      </c>
      <c r="U1293" s="95">
        <v>2.2036474164133701</v>
      </c>
      <c r="V1293" s="95">
        <v>2.1044111695669798</v>
      </c>
      <c r="W1293" s="95">
        <v>2.6262626262626299</v>
      </c>
      <c r="X1293" s="95">
        <v>2.2454763461957699</v>
      </c>
      <c r="Y1293" s="95">
        <v>0</v>
      </c>
      <c r="Z1293" s="94">
        <v>5931</v>
      </c>
      <c r="AA1293" s="94">
        <v>3478</v>
      </c>
      <c r="AB1293" s="94">
        <v>2453</v>
      </c>
      <c r="AC1293" s="94">
        <v>287</v>
      </c>
      <c r="AD1293" s="94">
        <v>1620</v>
      </c>
      <c r="AE1293" s="94">
        <v>3325</v>
      </c>
      <c r="AF1293" s="94">
        <v>699</v>
      </c>
      <c r="AG1293" s="94">
        <v>2951</v>
      </c>
      <c r="AH1293" s="94">
        <v>2906</v>
      </c>
      <c r="AI1293" s="94">
        <v>74</v>
      </c>
      <c r="AJ1293" s="94">
        <v>5882</v>
      </c>
      <c r="AK1293" s="94">
        <v>29</v>
      </c>
      <c r="AL1293" s="94">
        <v>20</v>
      </c>
      <c r="AM1293" s="94">
        <v>303</v>
      </c>
      <c r="AN1293" s="94">
        <v>5558</v>
      </c>
      <c r="AO1293" s="94">
        <v>70</v>
      </c>
      <c r="AP1293" s="95">
        <v>7.4889086069210302</v>
      </c>
      <c r="AQ1293" s="95">
        <v>3.3958891867739101</v>
      </c>
      <c r="AR1293" s="95">
        <v>13.5206321334504</v>
      </c>
      <c r="AS1293" s="95">
        <v>16.236162361623599</v>
      </c>
      <c r="AT1293" s="95">
        <v>8.7126137841352396</v>
      </c>
      <c r="AU1293" s="95">
        <v>6.4025356576862098</v>
      </c>
      <c r="AV1293" s="95">
        <v>6.2593144560357699</v>
      </c>
      <c r="AW1293" s="95">
        <v>7.2805139186295502</v>
      </c>
      <c r="AX1293" s="95">
        <v>7.7813970322113697</v>
      </c>
      <c r="AY1293" s="95">
        <v>4.28571428571429</v>
      </c>
      <c r="AZ1293" s="95">
        <v>7.4968688495258604</v>
      </c>
      <c r="BA1293" s="95">
        <v>7.6923076923076898</v>
      </c>
      <c r="BB1293" s="95">
        <v>5</v>
      </c>
      <c r="BC1293" s="95">
        <v>7.6388888888888902</v>
      </c>
      <c r="BD1293" s="95">
        <v>7.4578837781563498</v>
      </c>
      <c r="BE1293" s="95">
        <v>9.375</v>
      </c>
    </row>
    <row r="1294" spans="2:57" ht="15" customHeight="1" x14ac:dyDescent="0.25">
      <c r="B1294" s="91">
        <v>1284</v>
      </c>
      <c r="C1294" s="92" t="s">
        <v>503</v>
      </c>
      <c r="D1294" s="92" t="s">
        <v>92</v>
      </c>
      <c r="E1294" s="92" t="s">
        <v>427</v>
      </c>
      <c r="F1294" s="92"/>
      <c r="G1294" s="93" t="s">
        <v>502</v>
      </c>
      <c r="H1294" s="94">
        <v>5096</v>
      </c>
      <c r="I1294" s="94">
        <v>3598</v>
      </c>
      <c r="J1294" s="94">
        <v>1498</v>
      </c>
      <c r="K1294" s="94">
        <v>408</v>
      </c>
      <c r="L1294" s="94">
        <v>1780</v>
      </c>
      <c r="M1294" s="94">
        <v>2476</v>
      </c>
      <c r="N1294" s="94">
        <v>432</v>
      </c>
      <c r="O1294" s="94">
        <v>5088</v>
      </c>
      <c r="P1294" s="94">
        <v>8</v>
      </c>
      <c r="Q1294" s="95">
        <v>0.63759769642122599</v>
      </c>
      <c r="R1294" s="95">
        <v>0.43402777777777801</v>
      </c>
      <c r="S1294" s="95">
        <v>1.13798008534851</v>
      </c>
      <c r="T1294" s="95">
        <v>0.53191489361702105</v>
      </c>
      <c r="U1294" s="95">
        <v>0.82547169811320797</v>
      </c>
      <c r="V1294" s="95">
        <v>0.54575986565911005</v>
      </c>
      <c r="W1294" s="95">
        <v>0.49019607843137297</v>
      </c>
      <c r="X1294" s="95">
        <v>0.61804697156983901</v>
      </c>
      <c r="Y1294" s="95">
        <v>12.5</v>
      </c>
      <c r="Z1294" s="94">
        <v>5502</v>
      </c>
      <c r="AA1294" s="94">
        <v>3600</v>
      </c>
      <c r="AB1294" s="94">
        <v>1902</v>
      </c>
      <c r="AC1294" s="94">
        <v>351</v>
      </c>
      <c r="AD1294" s="94">
        <v>1883</v>
      </c>
      <c r="AE1294" s="94">
        <v>2830</v>
      </c>
      <c r="AF1294" s="94">
        <v>438</v>
      </c>
      <c r="AG1294" s="94">
        <v>2546</v>
      </c>
      <c r="AH1294" s="94">
        <v>2679</v>
      </c>
      <c r="AI1294" s="94">
        <v>277</v>
      </c>
      <c r="AJ1294" s="94">
        <v>5456</v>
      </c>
      <c r="AK1294" s="94">
        <v>34</v>
      </c>
      <c r="AL1294" s="94">
        <v>12</v>
      </c>
      <c r="AM1294" s="94">
        <v>150</v>
      </c>
      <c r="AN1294" s="94">
        <v>5288</v>
      </c>
      <c r="AO1294" s="94">
        <v>64</v>
      </c>
      <c r="AP1294" s="95">
        <v>2.0948390782708102</v>
      </c>
      <c r="AQ1294" s="95">
        <v>0.48906789413118501</v>
      </c>
      <c r="AR1294" s="95">
        <v>5.23943661971831</v>
      </c>
      <c r="AS1294" s="95">
        <v>1.79640718562874</v>
      </c>
      <c r="AT1294" s="95">
        <v>2.7313266443701201</v>
      </c>
      <c r="AU1294" s="95">
        <v>1.8923933209647501</v>
      </c>
      <c r="AV1294" s="95">
        <v>0.934579439252336</v>
      </c>
      <c r="AW1294" s="95">
        <v>1.2072434607645901</v>
      </c>
      <c r="AX1294" s="95">
        <v>2.95508274231678</v>
      </c>
      <c r="AY1294" s="95">
        <v>2.1929824561403501</v>
      </c>
      <c r="AZ1294" s="95">
        <v>2.1125408104474701</v>
      </c>
      <c r="BA1294" s="95">
        <v>0</v>
      </c>
      <c r="BB1294" s="95">
        <v>0</v>
      </c>
      <c r="BC1294" s="95">
        <v>0.68027210884353695</v>
      </c>
      <c r="BD1294" s="95">
        <v>2.1027573894068601</v>
      </c>
      <c r="BE1294" s="95">
        <v>4.7619047619047601</v>
      </c>
    </row>
    <row r="1295" spans="2:57" ht="15" customHeight="1" x14ac:dyDescent="0.25">
      <c r="B1295" s="96">
        <v>1285</v>
      </c>
      <c r="C1295" s="97" t="s">
        <v>504</v>
      </c>
      <c r="D1295" s="104" t="s">
        <v>92</v>
      </c>
      <c r="E1295" s="104" t="s">
        <v>427</v>
      </c>
      <c r="F1295" s="104" t="s">
        <v>488</v>
      </c>
      <c r="G1295" s="105" t="s">
        <v>488</v>
      </c>
      <c r="H1295" s="106">
        <v>7320</v>
      </c>
      <c r="I1295" s="106">
        <v>4432</v>
      </c>
      <c r="J1295" s="106">
        <v>2888</v>
      </c>
      <c r="K1295" s="106">
        <v>561</v>
      </c>
      <c r="L1295" s="106">
        <v>2258</v>
      </c>
      <c r="M1295" s="106">
        <v>3766</v>
      </c>
      <c r="N1295" s="106">
        <v>735</v>
      </c>
      <c r="O1295" s="106">
        <v>7299</v>
      </c>
      <c r="P1295" s="106">
        <v>21</v>
      </c>
      <c r="Q1295" s="107">
        <v>1.6307513104251601</v>
      </c>
      <c r="R1295" s="107">
        <v>1.5032211882605599</v>
      </c>
      <c r="S1295" s="107">
        <v>1.8304071722077</v>
      </c>
      <c r="T1295" s="107">
        <v>1.76470588235294</v>
      </c>
      <c r="U1295" s="107">
        <v>1.61904761904762</v>
      </c>
      <c r="V1295" s="107">
        <v>1.5739179314221501</v>
      </c>
      <c r="W1295" s="107">
        <v>1.8571428571428601</v>
      </c>
      <c r="X1295" s="107">
        <v>1.63479783973143</v>
      </c>
      <c r="Y1295" s="107">
        <v>0</v>
      </c>
      <c r="Z1295" s="106">
        <v>7620</v>
      </c>
      <c r="AA1295" s="106">
        <v>4527</v>
      </c>
      <c r="AB1295" s="106">
        <v>3093</v>
      </c>
      <c r="AC1295" s="106">
        <v>467</v>
      </c>
      <c r="AD1295" s="106">
        <v>2067</v>
      </c>
      <c r="AE1295" s="106">
        <v>4203</v>
      </c>
      <c r="AF1295" s="106">
        <v>883</v>
      </c>
      <c r="AG1295" s="106">
        <v>4112</v>
      </c>
      <c r="AH1295" s="106">
        <v>3266</v>
      </c>
      <c r="AI1295" s="106">
        <v>242</v>
      </c>
      <c r="AJ1295" s="106">
        <v>7566</v>
      </c>
      <c r="AK1295" s="106">
        <v>29</v>
      </c>
      <c r="AL1295" s="106">
        <v>25</v>
      </c>
      <c r="AM1295" s="106">
        <v>356</v>
      </c>
      <c r="AN1295" s="106">
        <v>7170</v>
      </c>
      <c r="AO1295" s="106">
        <v>94</v>
      </c>
      <c r="AP1295" s="107">
        <v>5.9903381642512104</v>
      </c>
      <c r="AQ1295" s="107">
        <v>2.6479392125259</v>
      </c>
      <c r="AR1295" s="107">
        <v>10.992419021364601</v>
      </c>
      <c r="AS1295" s="107">
        <v>10.1580135440181</v>
      </c>
      <c r="AT1295" s="107">
        <v>7.4657186389029997</v>
      </c>
      <c r="AU1295" s="107">
        <v>5.1230537418382696</v>
      </c>
      <c r="AV1295" s="107">
        <v>4.4653349001175098</v>
      </c>
      <c r="AW1295" s="107">
        <v>5.1243023845763602</v>
      </c>
      <c r="AX1295" s="107">
        <v>7.2025723472668801</v>
      </c>
      <c r="AY1295" s="107">
        <v>4.14507772020725</v>
      </c>
      <c r="AZ1295" s="107">
        <v>6.0050041701417802</v>
      </c>
      <c r="BA1295" s="107">
        <v>7.6923076923076898</v>
      </c>
      <c r="BB1295" s="107">
        <v>0</v>
      </c>
      <c r="BC1295" s="107">
        <v>5.8823529411764701</v>
      </c>
      <c r="BD1295" s="107">
        <v>5.9712441314553999</v>
      </c>
      <c r="BE1295" s="107">
        <v>7.8651685393258397</v>
      </c>
    </row>
    <row r="1296" spans="2:57" ht="15" customHeight="1" x14ac:dyDescent="0.25">
      <c r="B1296" s="91">
        <v>1286</v>
      </c>
      <c r="C1296" s="92" t="s">
        <v>504</v>
      </c>
      <c r="D1296" s="92" t="s">
        <v>92</v>
      </c>
      <c r="E1296" s="92" t="s">
        <v>427</v>
      </c>
      <c r="F1296" s="92" t="s">
        <v>488</v>
      </c>
      <c r="G1296" s="101" t="s">
        <v>501</v>
      </c>
      <c r="H1296" s="94">
        <v>4931</v>
      </c>
      <c r="I1296" s="94">
        <v>2773</v>
      </c>
      <c r="J1296" s="94">
        <v>2158</v>
      </c>
      <c r="K1296" s="94">
        <v>351</v>
      </c>
      <c r="L1296" s="94">
        <v>1437</v>
      </c>
      <c r="M1296" s="94">
        <v>2625</v>
      </c>
      <c r="N1296" s="94">
        <v>518</v>
      </c>
      <c r="O1296" s="94">
        <v>4911</v>
      </c>
      <c r="P1296" s="94">
        <v>20</v>
      </c>
      <c r="Q1296" s="95">
        <v>2.2376710840756</v>
      </c>
      <c r="R1296" s="95">
        <v>2.2179732313575502</v>
      </c>
      <c r="S1296" s="95">
        <v>2.2635814889336001</v>
      </c>
      <c r="T1296" s="95">
        <v>2.8037383177570101</v>
      </c>
      <c r="U1296" s="95">
        <v>2.2036474164133701</v>
      </c>
      <c r="V1296" s="95">
        <v>2.1044111695669798</v>
      </c>
      <c r="W1296" s="95">
        <v>2.6262626262626299</v>
      </c>
      <c r="X1296" s="95">
        <v>2.2454763461957699</v>
      </c>
      <c r="Y1296" s="95">
        <v>0</v>
      </c>
      <c r="Z1296" s="94">
        <v>5064</v>
      </c>
      <c r="AA1296" s="94">
        <v>2907</v>
      </c>
      <c r="AB1296" s="94">
        <v>2157</v>
      </c>
      <c r="AC1296" s="94">
        <v>266</v>
      </c>
      <c r="AD1296" s="94">
        <v>1301</v>
      </c>
      <c r="AE1296" s="94">
        <v>2869</v>
      </c>
      <c r="AF1296" s="94">
        <v>628</v>
      </c>
      <c r="AG1296" s="94">
        <v>2565</v>
      </c>
      <c r="AH1296" s="94">
        <v>2434</v>
      </c>
      <c r="AI1296" s="94">
        <v>65</v>
      </c>
      <c r="AJ1296" s="94">
        <v>5020</v>
      </c>
      <c r="AK1296" s="94">
        <v>25</v>
      </c>
      <c r="AL1296" s="94">
        <v>19</v>
      </c>
      <c r="AM1296" s="94">
        <v>281</v>
      </c>
      <c r="AN1296" s="94">
        <v>4724</v>
      </c>
      <c r="AO1296" s="94">
        <v>59</v>
      </c>
      <c r="AP1296" s="95">
        <v>7.83659858274281</v>
      </c>
      <c r="AQ1296" s="95">
        <v>3.6838340486409198</v>
      </c>
      <c r="AR1296" s="95">
        <v>13.636363636363599</v>
      </c>
      <c r="AS1296" s="95">
        <v>15.936254980079701</v>
      </c>
      <c r="AT1296" s="95">
        <v>9.6512570965125697</v>
      </c>
      <c r="AU1296" s="95">
        <v>6.5954310980103203</v>
      </c>
      <c r="AV1296" s="95">
        <v>6.3333333333333304</v>
      </c>
      <c r="AW1296" s="95">
        <v>7.5432811211871398</v>
      </c>
      <c r="AX1296" s="95">
        <v>8.2215491129381206</v>
      </c>
      <c r="AY1296" s="95">
        <v>4.9180327868852496</v>
      </c>
      <c r="AZ1296" s="95">
        <v>7.8620979608997299</v>
      </c>
      <c r="BA1296" s="95">
        <v>9.0909090909090899</v>
      </c>
      <c r="BB1296" s="95">
        <v>0</v>
      </c>
      <c r="BC1296" s="95">
        <v>7.5187969924812004</v>
      </c>
      <c r="BD1296" s="95">
        <v>7.8606520768200099</v>
      </c>
      <c r="BE1296" s="95">
        <v>7.4074074074074101</v>
      </c>
    </row>
    <row r="1297" spans="2:57" ht="15" customHeight="1" x14ac:dyDescent="0.25">
      <c r="B1297" s="91">
        <v>1287</v>
      </c>
      <c r="C1297" s="92" t="s">
        <v>504</v>
      </c>
      <c r="D1297" s="92" t="s">
        <v>92</v>
      </c>
      <c r="E1297" s="92" t="s">
        <v>427</v>
      </c>
      <c r="F1297" s="92" t="s">
        <v>488</v>
      </c>
      <c r="G1297" s="101" t="s">
        <v>502</v>
      </c>
      <c r="H1297" s="94">
        <v>2389</v>
      </c>
      <c r="I1297" s="94">
        <v>1659</v>
      </c>
      <c r="J1297" s="94">
        <v>730</v>
      </c>
      <c r="K1297" s="94">
        <v>210</v>
      </c>
      <c r="L1297" s="94">
        <v>821</v>
      </c>
      <c r="M1297" s="94">
        <v>1141</v>
      </c>
      <c r="N1297" s="94">
        <v>217</v>
      </c>
      <c r="O1297" s="94">
        <v>2388</v>
      </c>
      <c r="P1297" s="94">
        <v>1</v>
      </c>
      <c r="Q1297" s="95">
        <v>0.39735099337748297</v>
      </c>
      <c r="R1297" s="95">
        <v>0.31725888324873103</v>
      </c>
      <c r="S1297" s="95">
        <v>0.58055152394775</v>
      </c>
      <c r="T1297" s="95">
        <v>0</v>
      </c>
      <c r="U1297" s="95">
        <v>0.63775510204081598</v>
      </c>
      <c r="V1297" s="95">
        <v>0.367985280588776</v>
      </c>
      <c r="W1297" s="95">
        <v>0</v>
      </c>
      <c r="X1297" s="95">
        <v>0.397526501766784</v>
      </c>
      <c r="Y1297" s="95">
        <v>0</v>
      </c>
      <c r="Z1297" s="94">
        <v>2556</v>
      </c>
      <c r="AA1297" s="94">
        <v>1620</v>
      </c>
      <c r="AB1297" s="94">
        <v>936</v>
      </c>
      <c r="AC1297" s="94">
        <v>201</v>
      </c>
      <c r="AD1297" s="94">
        <v>766</v>
      </c>
      <c r="AE1297" s="94">
        <v>1334</v>
      </c>
      <c r="AF1297" s="94">
        <v>255</v>
      </c>
      <c r="AG1297" s="94">
        <v>1547</v>
      </c>
      <c r="AH1297" s="94">
        <v>832</v>
      </c>
      <c r="AI1297" s="94">
        <v>177</v>
      </c>
      <c r="AJ1297" s="94">
        <v>2546</v>
      </c>
      <c r="AK1297" s="94">
        <v>4</v>
      </c>
      <c r="AL1297" s="94">
        <v>6</v>
      </c>
      <c r="AM1297" s="94">
        <v>75</v>
      </c>
      <c r="AN1297" s="94">
        <v>2446</v>
      </c>
      <c r="AO1297" s="94">
        <v>35</v>
      </c>
      <c r="AP1297" s="95">
        <v>2.3702492848385801</v>
      </c>
      <c r="AQ1297" s="95">
        <v>0.77569489334195196</v>
      </c>
      <c r="AR1297" s="95">
        <v>5.1111111111111098</v>
      </c>
      <c r="AS1297" s="95">
        <v>2.6041666666666701</v>
      </c>
      <c r="AT1297" s="95">
        <v>3.8043478260869601</v>
      </c>
      <c r="AU1297" s="95">
        <v>1.97160883280757</v>
      </c>
      <c r="AV1297" s="95">
        <v>0</v>
      </c>
      <c r="AW1297" s="95">
        <v>1.2532981530342999</v>
      </c>
      <c r="AX1297" s="95">
        <v>4.2553191489361701</v>
      </c>
      <c r="AY1297" s="95">
        <v>3.7878787878787898</v>
      </c>
      <c r="AZ1297" s="95">
        <v>2.3799753795650398</v>
      </c>
      <c r="BA1297" s="95">
        <v>0</v>
      </c>
      <c r="BB1297" s="95">
        <v>0</v>
      </c>
      <c r="BC1297" s="95">
        <v>0</v>
      </c>
      <c r="BD1297" s="95">
        <v>2.3524379811805001</v>
      </c>
      <c r="BE1297" s="95">
        <v>8.5714285714285694</v>
      </c>
    </row>
    <row r="1298" spans="2:57" ht="15" customHeight="1" x14ac:dyDescent="0.25">
      <c r="B1298" s="96">
        <v>1288</v>
      </c>
      <c r="C1298" s="97" t="s">
        <v>504</v>
      </c>
      <c r="D1298" s="104" t="s">
        <v>92</v>
      </c>
      <c r="E1298" s="104" t="s">
        <v>427</v>
      </c>
      <c r="F1298" s="104" t="s">
        <v>98</v>
      </c>
      <c r="G1298" s="105" t="s">
        <v>98</v>
      </c>
      <c r="H1298" s="106">
        <v>2707</v>
      </c>
      <c r="I1298" s="106">
        <v>1939</v>
      </c>
      <c r="J1298" s="106">
        <v>768</v>
      </c>
      <c r="K1298" s="106">
        <v>198</v>
      </c>
      <c r="L1298" s="106">
        <v>959</v>
      </c>
      <c r="M1298" s="106">
        <v>1335</v>
      </c>
      <c r="N1298" s="106">
        <v>215</v>
      </c>
      <c r="O1298" s="106">
        <v>2700</v>
      </c>
      <c r="P1298" s="106">
        <v>7</v>
      </c>
      <c r="Q1298" s="107">
        <v>0.84713130535233006</v>
      </c>
      <c r="R1298" s="107">
        <v>0.53191489361702105</v>
      </c>
      <c r="S1298" s="107">
        <v>1.67364016736402</v>
      </c>
      <c r="T1298" s="107">
        <v>1.0695187165775399</v>
      </c>
      <c r="U1298" s="107">
        <v>0.98684210526315796</v>
      </c>
      <c r="V1298" s="107">
        <v>0.69498069498069504</v>
      </c>
      <c r="W1298" s="107">
        <v>0.98522167487684698</v>
      </c>
      <c r="X1298" s="107">
        <v>0.81081081081081097</v>
      </c>
      <c r="Y1298" s="107">
        <v>14.285714285714301</v>
      </c>
      <c r="Z1298" s="106">
        <v>3813</v>
      </c>
      <c r="AA1298" s="106">
        <v>2551</v>
      </c>
      <c r="AB1298" s="106">
        <v>1262</v>
      </c>
      <c r="AC1298" s="106">
        <v>171</v>
      </c>
      <c r="AD1298" s="106">
        <v>1436</v>
      </c>
      <c r="AE1298" s="106">
        <v>1952</v>
      </c>
      <c r="AF1298" s="106">
        <v>254</v>
      </c>
      <c r="AG1298" s="106">
        <v>1385</v>
      </c>
      <c r="AH1298" s="106">
        <v>2319</v>
      </c>
      <c r="AI1298" s="106">
        <v>109</v>
      </c>
      <c r="AJ1298" s="106">
        <v>3772</v>
      </c>
      <c r="AK1298" s="106">
        <v>34</v>
      </c>
      <c r="AL1298" s="106">
        <v>7</v>
      </c>
      <c r="AM1298" s="106">
        <v>97</v>
      </c>
      <c r="AN1298" s="106">
        <v>3676</v>
      </c>
      <c r="AO1298" s="106">
        <v>40</v>
      </c>
      <c r="AP1298" s="107">
        <v>2.69156825048064</v>
      </c>
      <c r="AQ1298" s="107">
        <v>0.64257028112449799</v>
      </c>
      <c r="AR1298" s="107">
        <v>7.1242397914856603</v>
      </c>
      <c r="AS1298" s="107">
        <v>3.0864197530864201</v>
      </c>
      <c r="AT1298" s="107">
        <v>2.64123257520176</v>
      </c>
      <c r="AU1298" s="107">
        <v>2.6231263383297598</v>
      </c>
      <c r="AV1298" s="107">
        <v>3.2258064516128999</v>
      </c>
      <c r="AW1298" s="107">
        <v>2.37918215613383</v>
      </c>
      <c r="AX1298" s="107">
        <v>3.0123231401186699</v>
      </c>
      <c r="AY1298" s="107">
        <v>0</v>
      </c>
      <c r="AZ1298" s="107">
        <v>2.6929483620211001</v>
      </c>
      <c r="BA1298" s="107">
        <v>0</v>
      </c>
      <c r="BB1298" s="107">
        <v>14.285714285714301</v>
      </c>
      <c r="BC1298" s="107">
        <v>3.1578947368421102</v>
      </c>
      <c r="BD1298" s="107">
        <v>2.6510832383124301</v>
      </c>
      <c r="BE1298" s="107">
        <v>5.2631578947368398</v>
      </c>
    </row>
    <row r="1299" spans="2:57" ht="15" customHeight="1" x14ac:dyDescent="0.25">
      <c r="B1299" s="91">
        <v>1289</v>
      </c>
      <c r="C1299" s="92" t="s">
        <v>504</v>
      </c>
      <c r="D1299" s="92" t="s">
        <v>92</v>
      </c>
      <c r="E1299" s="92" t="s">
        <v>427</v>
      </c>
      <c r="F1299" s="92" t="s">
        <v>98</v>
      </c>
      <c r="G1299" s="101" t="s">
        <v>501</v>
      </c>
      <c r="H1299" s="94">
        <v>0</v>
      </c>
      <c r="I1299" s="94">
        <v>0</v>
      </c>
      <c r="J1299" s="94">
        <v>0</v>
      </c>
      <c r="K1299" s="94">
        <v>0</v>
      </c>
      <c r="L1299" s="94">
        <v>0</v>
      </c>
      <c r="M1299" s="94">
        <v>0</v>
      </c>
      <c r="N1299" s="94">
        <v>0</v>
      </c>
      <c r="O1299" s="94">
        <v>0</v>
      </c>
      <c r="P1299" s="94">
        <v>0</v>
      </c>
      <c r="Q1299" s="95">
        <v>0</v>
      </c>
      <c r="R1299" s="95">
        <v>0</v>
      </c>
      <c r="S1299" s="95">
        <v>0</v>
      </c>
      <c r="T1299" s="95">
        <v>0</v>
      </c>
      <c r="U1299" s="95">
        <v>0</v>
      </c>
      <c r="V1299" s="95">
        <v>0</v>
      </c>
      <c r="W1299" s="95">
        <v>0</v>
      </c>
      <c r="X1299" s="95">
        <v>0</v>
      </c>
      <c r="Y1299" s="95">
        <v>0</v>
      </c>
      <c r="Z1299" s="94">
        <v>867</v>
      </c>
      <c r="AA1299" s="94">
        <v>571</v>
      </c>
      <c r="AB1299" s="94">
        <v>296</v>
      </c>
      <c r="AC1299" s="94">
        <v>21</v>
      </c>
      <c r="AD1299" s="94">
        <v>319</v>
      </c>
      <c r="AE1299" s="94">
        <v>456</v>
      </c>
      <c r="AF1299" s="94">
        <v>71</v>
      </c>
      <c r="AG1299" s="94">
        <v>386</v>
      </c>
      <c r="AH1299" s="94">
        <v>472</v>
      </c>
      <c r="AI1299" s="94">
        <v>9</v>
      </c>
      <c r="AJ1299" s="94">
        <v>862</v>
      </c>
      <c r="AK1299" s="94">
        <v>4</v>
      </c>
      <c r="AL1299" s="94">
        <v>1</v>
      </c>
      <c r="AM1299" s="94">
        <v>22</v>
      </c>
      <c r="AN1299" s="94">
        <v>834</v>
      </c>
      <c r="AO1299" s="94">
        <v>11</v>
      </c>
      <c r="AP1299" s="95">
        <v>5.49581839904421</v>
      </c>
      <c r="AQ1299" s="95">
        <v>1.9607843137254899</v>
      </c>
      <c r="AR1299" s="95">
        <v>12.6811594202899</v>
      </c>
      <c r="AS1299" s="95">
        <v>20</v>
      </c>
      <c r="AT1299" s="95">
        <v>4.9180327868852496</v>
      </c>
      <c r="AU1299" s="95">
        <v>5.2154195011337903</v>
      </c>
      <c r="AV1299" s="95">
        <v>5.6338028169014098</v>
      </c>
      <c r="AW1299" s="95">
        <v>5.5851063829787204</v>
      </c>
      <c r="AX1299" s="95">
        <v>5.53097345132743</v>
      </c>
      <c r="AY1299" s="95">
        <v>0</v>
      </c>
      <c r="AZ1299" s="95">
        <v>5.4086538461538503</v>
      </c>
      <c r="BA1299" s="95">
        <v>0</v>
      </c>
      <c r="BB1299" s="95">
        <v>100</v>
      </c>
      <c r="BC1299" s="95">
        <v>9.0909090909090899</v>
      </c>
      <c r="BD1299" s="95">
        <v>5.2173913043478297</v>
      </c>
      <c r="BE1299" s="95">
        <v>20</v>
      </c>
    </row>
    <row r="1300" spans="2:57" ht="15" customHeight="1" x14ac:dyDescent="0.25">
      <c r="B1300" s="91">
        <v>1290</v>
      </c>
      <c r="C1300" s="92" t="s">
        <v>504</v>
      </c>
      <c r="D1300" s="92" t="s">
        <v>92</v>
      </c>
      <c r="E1300" s="92" t="s">
        <v>427</v>
      </c>
      <c r="F1300" s="92" t="s">
        <v>98</v>
      </c>
      <c r="G1300" s="101" t="s">
        <v>502</v>
      </c>
      <c r="H1300" s="94">
        <v>2707</v>
      </c>
      <c r="I1300" s="94">
        <v>1939</v>
      </c>
      <c r="J1300" s="94">
        <v>768</v>
      </c>
      <c r="K1300" s="94">
        <v>198</v>
      </c>
      <c r="L1300" s="94">
        <v>959</v>
      </c>
      <c r="M1300" s="94">
        <v>1335</v>
      </c>
      <c r="N1300" s="94">
        <v>215</v>
      </c>
      <c r="O1300" s="94">
        <v>2700</v>
      </c>
      <c r="P1300" s="94">
        <v>7</v>
      </c>
      <c r="Q1300" s="95">
        <v>0.84713130535233006</v>
      </c>
      <c r="R1300" s="95">
        <v>0.53191489361702105</v>
      </c>
      <c r="S1300" s="95">
        <v>1.67364016736402</v>
      </c>
      <c r="T1300" s="95">
        <v>1.0695187165775399</v>
      </c>
      <c r="U1300" s="95">
        <v>0.98684210526315796</v>
      </c>
      <c r="V1300" s="95">
        <v>0.69498069498069504</v>
      </c>
      <c r="W1300" s="95">
        <v>0.98522167487684698</v>
      </c>
      <c r="X1300" s="95">
        <v>0.81081081081081097</v>
      </c>
      <c r="Y1300" s="95">
        <v>14.285714285714301</v>
      </c>
      <c r="Z1300" s="94">
        <v>2946</v>
      </c>
      <c r="AA1300" s="94">
        <v>1980</v>
      </c>
      <c r="AB1300" s="94">
        <v>966</v>
      </c>
      <c r="AC1300" s="94">
        <v>150</v>
      </c>
      <c r="AD1300" s="94">
        <v>1117</v>
      </c>
      <c r="AE1300" s="94">
        <v>1496</v>
      </c>
      <c r="AF1300" s="94">
        <v>183</v>
      </c>
      <c r="AG1300" s="94">
        <v>999</v>
      </c>
      <c r="AH1300" s="94">
        <v>1847</v>
      </c>
      <c r="AI1300" s="94">
        <v>100</v>
      </c>
      <c r="AJ1300" s="94">
        <v>2910</v>
      </c>
      <c r="AK1300" s="94">
        <v>30</v>
      </c>
      <c r="AL1300" s="94">
        <v>6</v>
      </c>
      <c r="AM1300" s="94">
        <v>75</v>
      </c>
      <c r="AN1300" s="94">
        <v>2842</v>
      </c>
      <c r="AO1300" s="94">
        <v>29</v>
      </c>
      <c r="AP1300" s="95">
        <v>1.85449358059914</v>
      </c>
      <c r="AQ1300" s="95">
        <v>0.25920165889061703</v>
      </c>
      <c r="AR1300" s="95">
        <v>5.3714285714285701</v>
      </c>
      <c r="AS1300" s="95">
        <v>0.70422535211267601</v>
      </c>
      <c r="AT1300" s="95">
        <v>1.9848771266540599</v>
      </c>
      <c r="AU1300" s="95">
        <v>1.8220042046250899</v>
      </c>
      <c r="AV1300" s="95">
        <v>2.2598870056497198</v>
      </c>
      <c r="AW1300" s="95">
        <v>1.1351909184726501</v>
      </c>
      <c r="AX1300" s="95">
        <v>2.3576768257619301</v>
      </c>
      <c r="AY1300" s="95">
        <v>0</v>
      </c>
      <c r="AZ1300" s="95">
        <v>1.8772563176895301</v>
      </c>
      <c r="BA1300" s="95">
        <v>0</v>
      </c>
      <c r="BB1300" s="95">
        <v>0</v>
      </c>
      <c r="BC1300" s="95">
        <v>1.3698630136986301</v>
      </c>
      <c r="BD1300" s="95">
        <v>1.88679245283019</v>
      </c>
      <c r="BE1300" s="95">
        <v>0</v>
      </c>
    </row>
    <row r="1301" spans="2:57" ht="15" customHeight="1" x14ac:dyDescent="0.25">
      <c r="B1301" s="86">
        <v>1291</v>
      </c>
      <c r="C1301" s="87" t="s">
        <v>503</v>
      </c>
      <c r="D1301" s="103" t="s">
        <v>92</v>
      </c>
      <c r="E1301" s="103" t="s">
        <v>428</v>
      </c>
      <c r="F1301" s="103"/>
      <c r="G1301" s="88" t="s">
        <v>428</v>
      </c>
      <c r="H1301" s="89">
        <v>7927</v>
      </c>
      <c r="I1301" s="89">
        <v>5129</v>
      </c>
      <c r="J1301" s="89">
        <v>2798</v>
      </c>
      <c r="K1301" s="89">
        <v>699</v>
      </c>
      <c r="L1301" s="89">
        <v>2407</v>
      </c>
      <c r="M1301" s="89">
        <v>3979</v>
      </c>
      <c r="N1301" s="89">
        <v>842</v>
      </c>
      <c r="O1301" s="89">
        <v>7894</v>
      </c>
      <c r="P1301" s="89">
        <v>33</v>
      </c>
      <c r="Q1301" s="90">
        <v>0.81311830871391799</v>
      </c>
      <c r="R1301" s="90">
        <v>0.62305295950155803</v>
      </c>
      <c r="S1301" s="90">
        <v>1.17004680187207</v>
      </c>
      <c r="T1301" s="90">
        <v>1.28</v>
      </c>
      <c r="U1301" s="90">
        <v>0.89726334679228303</v>
      </c>
      <c r="V1301" s="90">
        <v>0.61415220293725004</v>
      </c>
      <c r="W1301" s="90">
        <v>1.15384615384615</v>
      </c>
      <c r="X1301" s="90">
        <v>0.80283031704993901</v>
      </c>
      <c r="Y1301" s="90">
        <v>3.3333333333333299</v>
      </c>
      <c r="Z1301" s="89">
        <v>8641</v>
      </c>
      <c r="AA1301" s="89">
        <v>5327</v>
      </c>
      <c r="AB1301" s="89">
        <v>3314</v>
      </c>
      <c r="AC1301" s="89">
        <v>543</v>
      </c>
      <c r="AD1301" s="89">
        <v>2293</v>
      </c>
      <c r="AE1301" s="89">
        <v>4768</v>
      </c>
      <c r="AF1301" s="89">
        <v>1037</v>
      </c>
      <c r="AG1301" s="89">
        <v>6474</v>
      </c>
      <c r="AH1301" s="89">
        <v>2104</v>
      </c>
      <c r="AI1301" s="89">
        <v>63</v>
      </c>
      <c r="AJ1301" s="89">
        <v>8575</v>
      </c>
      <c r="AK1301" s="89">
        <v>25</v>
      </c>
      <c r="AL1301" s="89">
        <v>41</v>
      </c>
      <c r="AM1301" s="89">
        <v>466</v>
      </c>
      <c r="AN1301" s="89">
        <v>8042</v>
      </c>
      <c r="AO1301" s="89">
        <v>133</v>
      </c>
      <c r="AP1301" s="90">
        <v>4.3621700879765397</v>
      </c>
      <c r="AQ1301" s="90">
        <v>2.3674427704950101</v>
      </c>
      <c r="AR1301" s="90">
        <v>7.6797917344614399</v>
      </c>
      <c r="AS1301" s="90">
        <v>6.9498069498069501</v>
      </c>
      <c r="AT1301" s="90">
        <v>5.1388888888888902</v>
      </c>
      <c r="AU1301" s="90">
        <v>4.2072630646589904</v>
      </c>
      <c r="AV1301" s="90">
        <v>2.0202020202020199</v>
      </c>
      <c r="AW1301" s="90">
        <v>3.8573743922204198</v>
      </c>
      <c r="AX1301" s="90">
        <v>5.99078341013825</v>
      </c>
      <c r="AY1301" s="90">
        <v>3.27868852459016</v>
      </c>
      <c r="AZ1301" s="90">
        <v>4.3339079044570301</v>
      </c>
      <c r="BA1301" s="90">
        <v>8.6956521739130395</v>
      </c>
      <c r="BB1301" s="90">
        <v>7.6923076923076898</v>
      </c>
      <c r="BC1301" s="90">
        <v>4.0632054176072199</v>
      </c>
      <c r="BD1301" s="90">
        <v>4.3740969394456801</v>
      </c>
      <c r="BE1301" s="90">
        <v>4.6875</v>
      </c>
    </row>
    <row r="1302" spans="2:57" ht="15" customHeight="1" x14ac:dyDescent="0.25">
      <c r="B1302" s="91">
        <v>1292</v>
      </c>
      <c r="C1302" s="92" t="s">
        <v>503</v>
      </c>
      <c r="D1302" s="92" t="s">
        <v>92</v>
      </c>
      <c r="E1302" s="92" t="s">
        <v>428</v>
      </c>
      <c r="F1302" s="92"/>
      <c r="G1302" s="93" t="s">
        <v>501</v>
      </c>
      <c r="H1302" s="94">
        <v>4073</v>
      </c>
      <c r="I1302" s="94">
        <v>2451</v>
      </c>
      <c r="J1302" s="94">
        <v>1622</v>
      </c>
      <c r="K1302" s="94">
        <v>340</v>
      </c>
      <c r="L1302" s="94">
        <v>1221</v>
      </c>
      <c r="M1302" s="94">
        <v>2089</v>
      </c>
      <c r="N1302" s="94">
        <v>423</v>
      </c>
      <c r="O1302" s="94">
        <v>4050</v>
      </c>
      <c r="P1302" s="94">
        <v>23</v>
      </c>
      <c r="Q1302" s="95">
        <v>1.12653916688499</v>
      </c>
      <c r="R1302" s="95">
        <v>0.69625761531766694</v>
      </c>
      <c r="S1302" s="95">
        <v>1.7774851876234401</v>
      </c>
      <c r="T1302" s="95">
        <v>1.94805194805195</v>
      </c>
      <c r="U1302" s="95">
        <v>1.30662020905923</v>
      </c>
      <c r="V1302" s="95">
        <v>0.76103500761035003</v>
      </c>
      <c r="W1302" s="95">
        <v>1.79487179487179</v>
      </c>
      <c r="X1302" s="95">
        <v>1.10613642349223</v>
      </c>
      <c r="Y1302" s="95">
        <v>5</v>
      </c>
      <c r="Z1302" s="94">
        <v>4197</v>
      </c>
      <c r="AA1302" s="94">
        <v>2420</v>
      </c>
      <c r="AB1302" s="94">
        <v>1777</v>
      </c>
      <c r="AC1302" s="94">
        <v>202</v>
      </c>
      <c r="AD1302" s="94">
        <v>1062</v>
      </c>
      <c r="AE1302" s="94">
        <v>2391</v>
      </c>
      <c r="AF1302" s="94">
        <v>542</v>
      </c>
      <c r="AG1302" s="94">
        <v>2687</v>
      </c>
      <c r="AH1302" s="94">
        <v>1480</v>
      </c>
      <c r="AI1302" s="94">
        <v>30</v>
      </c>
      <c r="AJ1302" s="94">
        <v>4155</v>
      </c>
      <c r="AK1302" s="94">
        <v>24</v>
      </c>
      <c r="AL1302" s="94">
        <v>18</v>
      </c>
      <c r="AM1302" s="94">
        <v>262</v>
      </c>
      <c r="AN1302" s="94">
        <v>3875</v>
      </c>
      <c r="AO1302" s="94">
        <v>60</v>
      </c>
      <c r="AP1302" s="95">
        <v>5.8914329817339803</v>
      </c>
      <c r="AQ1302" s="95">
        <v>2.1595416483032199</v>
      </c>
      <c r="AR1302" s="95">
        <v>11.124845488257099</v>
      </c>
      <c r="AS1302" s="95">
        <v>14.893617021276601</v>
      </c>
      <c r="AT1302" s="95">
        <v>6.5372829417773204</v>
      </c>
      <c r="AU1302" s="95">
        <v>5.5054151624548702</v>
      </c>
      <c r="AV1302" s="95">
        <v>2.9761904761904798</v>
      </c>
      <c r="AW1302" s="95">
        <v>5.6197688322040698</v>
      </c>
      <c r="AX1302" s="95">
        <v>6.3750926612305401</v>
      </c>
      <c r="AY1302" s="95">
        <v>6.8965517241379297</v>
      </c>
      <c r="AZ1302" s="95">
        <v>5.8487132830777204</v>
      </c>
      <c r="BA1302" s="95">
        <v>9.0909090909090899</v>
      </c>
      <c r="BB1302" s="95">
        <v>11.1111111111111</v>
      </c>
      <c r="BC1302" s="95">
        <v>5.3278688524590203</v>
      </c>
      <c r="BD1302" s="95">
        <v>5.8561070831009499</v>
      </c>
      <c r="BE1302" s="95">
        <v>10.526315789473699</v>
      </c>
    </row>
    <row r="1303" spans="2:57" ht="15" customHeight="1" x14ac:dyDescent="0.25">
      <c r="B1303" s="91">
        <v>1293</v>
      </c>
      <c r="C1303" s="92" t="s">
        <v>503</v>
      </c>
      <c r="D1303" s="92" t="s">
        <v>92</v>
      </c>
      <c r="E1303" s="92" t="s">
        <v>428</v>
      </c>
      <c r="F1303" s="92"/>
      <c r="G1303" s="93" t="s">
        <v>502</v>
      </c>
      <c r="H1303" s="94">
        <v>3854</v>
      </c>
      <c r="I1303" s="94">
        <v>2678</v>
      </c>
      <c r="J1303" s="94">
        <v>1176</v>
      </c>
      <c r="K1303" s="94">
        <v>359</v>
      </c>
      <c r="L1303" s="94">
        <v>1186</v>
      </c>
      <c r="M1303" s="94">
        <v>1890</v>
      </c>
      <c r="N1303" s="94">
        <v>419</v>
      </c>
      <c r="O1303" s="94">
        <v>3844</v>
      </c>
      <c r="P1303" s="94">
        <v>10</v>
      </c>
      <c r="Q1303" s="95">
        <v>0.47725996631106099</v>
      </c>
      <c r="R1303" s="95">
        <v>0.55621771950734999</v>
      </c>
      <c r="S1303" s="95">
        <v>0.28708133971291899</v>
      </c>
      <c r="T1303" s="95">
        <v>0.63091482649842301</v>
      </c>
      <c r="U1303" s="95">
        <v>0.46253469010175802</v>
      </c>
      <c r="V1303" s="95">
        <v>0.45095828635851198</v>
      </c>
      <c r="W1303" s="95">
        <v>0.512820512820513</v>
      </c>
      <c r="X1303" s="95">
        <v>0.47860360360360399</v>
      </c>
      <c r="Y1303" s="95">
        <v>0</v>
      </c>
      <c r="Z1303" s="94">
        <v>4444</v>
      </c>
      <c r="AA1303" s="94">
        <v>2907</v>
      </c>
      <c r="AB1303" s="94">
        <v>1537</v>
      </c>
      <c r="AC1303" s="94">
        <v>341</v>
      </c>
      <c r="AD1303" s="94">
        <v>1231</v>
      </c>
      <c r="AE1303" s="94">
        <v>2377</v>
      </c>
      <c r="AF1303" s="94">
        <v>495</v>
      </c>
      <c r="AG1303" s="94">
        <v>3787</v>
      </c>
      <c r="AH1303" s="94">
        <v>624</v>
      </c>
      <c r="AI1303" s="94">
        <v>33</v>
      </c>
      <c r="AJ1303" s="94">
        <v>4420</v>
      </c>
      <c r="AK1303" s="94">
        <v>1</v>
      </c>
      <c r="AL1303" s="94">
        <v>23</v>
      </c>
      <c r="AM1303" s="94">
        <v>204</v>
      </c>
      <c r="AN1303" s="94">
        <v>4167</v>
      </c>
      <c r="AO1303" s="94">
        <v>73</v>
      </c>
      <c r="AP1303" s="95">
        <v>2.9788224342564602</v>
      </c>
      <c r="AQ1303" s="95">
        <v>2.5334271639690402</v>
      </c>
      <c r="AR1303" s="95">
        <v>3.8487972508591102</v>
      </c>
      <c r="AS1303" s="95">
        <v>2.4242424242424199</v>
      </c>
      <c r="AT1303" s="95">
        <v>3.9796782387806902</v>
      </c>
      <c r="AU1303" s="95">
        <v>2.9565217391304301</v>
      </c>
      <c r="AV1303" s="95">
        <v>1.0288065843621399</v>
      </c>
      <c r="AW1303" s="95">
        <v>2.6495493034690001</v>
      </c>
      <c r="AX1303" s="95">
        <v>5.1324503311258303</v>
      </c>
      <c r="AY1303" s="95">
        <v>0</v>
      </c>
      <c r="AZ1303" s="95">
        <v>2.97076023391813</v>
      </c>
      <c r="BA1303" s="95">
        <v>0</v>
      </c>
      <c r="BB1303" s="95">
        <v>4.7619047619047601</v>
      </c>
      <c r="BC1303" s="95">
        <v>2.5125628140703502</v>
      </c>
      <c r="BD1303" s="95">
        <v>3.0543829153215798</v>
      </c>
      <c r="BE1303" s="95">
        <v>0</v>
      </c>
    </row>
    <row r="1304" spans="2:57" ht="15" customHeight="1" x14ac:dyDescent="0.25">
      <c r="B1304" s="96">
        <v>1294</v>
      </c>
      <c r="C1304" s="97" t="s">
        <v>504</v>
      </c>
      <c r="D1304" s="104" t="s">
        <v>92</v>
      </c>
      <c r="E1304" s="104" t="s">
        <v>428</v>
      </c>
      <c r="F1304" s="104" t="s">
        <v>262</v>
      </c>
      <c r="G1304" s="105" t="s">
        <v>262</v>
      </c>
      <c r="H1304" s="106">
        <v>7927</v>
      </c>
      <c r="I1304" s="106">
        <v>5129</v>
      </c>
      <c r="J1304" s="106">
        <v>2798</v>
      </c>
      <c r="K1304" s="106">
        <v>699</v>
      </c>
      <c r="L1304" s="106">
        <v>2407</v>
      </c>
      <c r="M1304" s="106">
        <v>3979</v>
      </c>
      <c r="N1304" s="106">
        <v>842</v>
      </c>
      <c r="O1304" s="106">
        <v>7894</v>
      </c>
      <c r="P1304" s="106">
        <v>33</v>
      </c>
      <c r="Q1304" s="107">
        <v>0.81311830871391799</v>
      </c>
      <c r="R1304" s="107">
        <v>0.62305295950155803</v>
      </c>
      <c r="S1304" s="107">
        <v>1.17004680187207</v>
      </c>
      <c r="T1304" s="107">
        <v>1.28</v>
      </c>
      <c r="U1304" s="107">
        <v>0.89726334679228303</v>
      </c>
      <c r="V1304" s="107">
        <v>0.61415220293725004</v>
      </c>
      <c r="W1304" s="107">
        <v>1.15384615384615</v>
      </c>
      <c r="X1304" s="107">
        <v>0.80283031704993901</v>
      </c>
      <c r="Y1304" s="107">
        <v>3.3333333333333299</v>
      </c>
      <c r="Z1304" s="106">
        <v>8641</v>
      </c>
      <c r="AA1304" s="106">
        <v>5327</v>
      </c>
      <c r="AB1304" s="106">
        <v>3314</v>
      </c>
      <c r="AC1304" s="106">
        <v>543</v>
      </c>
      <c r="AD1304" s="106">
        <v>2293</v>
      </c>
      <c r="AE1304" s="106">
        <v>4768</v>
      </c>
      <c r="AF1304" s="106">
        <v>1037</v>
      </c>
      <c r="AG1304" s="106">
        <v>6474</v>
      </c>
      <c r="AH1304" s="106">
        <v>2104</v>
      </c>
      <c r="AI1304" s="106">
        <v>63</v>
      </c>
      <c r="AJ1304" s="106">
        <v>8575</v>
      </c>
      <c r="AK1304" s="106">
        <v>25</v>
      </c>
      <c r="AL1304" s="106">
        <v>41</v>
      </c>
      <c r="AM1304" s="106">
        <v>466</v>
      </c>
      <c r="AN1304" s="106">
        <v>8042</v>
      </c>
      <c r="AO1304" s="106">
        <v>133</v>
      </c>
      <c r="AP1304" s="107">
        <v>4.3621700879765397</v>
      </c>
      <c r="AQ1304" s="107">
        <v>2.3674427704950101</v>
      </c>
      <c r="AR1304" s="107">
        <v>7.6797917344614399</v>
      </c>
      <c r="AS1304" s="107">
        <v>6.9498069498069501</v>
      </c>
      <c r="AT1304" s="107">
        <v>5.1388888888888902</v>
      </c>
      <c r="AU1304" s="107">
        <v>4.2072630646589904</v>
      </c>
      <c r="AV1304" s="107">
        <v>2.0202020202020199</v>
      </c>
      <c r="AW1304" s="107">
        <v>3.8573743922204198</v>
      </c>
      <c r="AX1304" s="107">
        <v>5.99078341013825</v>
      </c>
      <c r="AY1304" s="107">
        <v>3.27868852459016</v>
      </c>
      <c r="AZ1304" s="107">
        <v>4.3339079044570301</v>
      </c>
      <c r="BA1304" s="107">
        <v>8.6956521739130395</v>
      </c>
      <c r="BB1304" s="107">
        <v>7.6923076923076898</v>
      </c>
      <c r="BC1304" s="107">
        <v>4.0632054176072199</v>
      </c>
      <c r="BD1304" s="107">
        <v>4.3740969394456801</v>
      </c>
      <c r="BE1304" s="107">
        <v>4.6875</v>
      </c>
    </row>
    <row r="1305" spans="2:57" ht="15" customHeight="1" x14ac:dyDescent="0.25">
      <c r="B1305" s="91">
        <v>1295</v>
      </c>
      <c r="C1305" s="92" t="s">
        <v>504</v>
      </c>
      <c r="D1305" s="92" t="s">
        <v>92</v>
      </c>
      <c r="E1305" s="92" t="s">
        <v>428</v>
      </c>
      <c r="F1305" s="92" t="s">
        <v>262</v>
      </c>
      <c r="G1305" s="101" t="s">
        <v>501</v>
      </c>
      <c r="H1305" s="94">
        <v>4073</v>
      </c>
      <c r="I1305" s="94">
        <v>2451</v>
      </c>
      <c r="J1305" s="94">
        <v>1622</v>
      </c>
      <c r="K1305" s="94">
        <v>340</v>
      </c>
      <c r="L1305" s="94">
        <v>1221</v>
      </c>
      <c r="M1305" s="94">
        <v>2089</v>
      </c>
      <c r="N1305" s="94">
        <v>423</v>
      </c>
      <c r="O1305" s="94">
        <v>4050</v>
      </c>
      <c r="P1305" s="94">
        <v>23</v>
      </c>
      <c r="Q1305" s="95">
        <v>1.12653916688499</v>
      </c>
      <c r="R1305" s="95">
        <v>0.69625761531766694</v>
      </c>
      <c r="S1305" s="95">
        <v>1.7774851876234401</v>
      </c>
      <c r="T1305" s="95">
        <v>1.94805194805195</v>
      </c>
      <c r="U1305" s="95">
        <v>1.30662020905923</v>
      </c>
      <c r="V1305" s="95">
        <v>0.76103500761035003</v>
      </c>
      <c r="W1305" s="95">
        <v>1.79487179487179</v>
      </c>
      <c r="X1305" s="95">
        <v>1.10613642349223</v>
      </c>
      <c r="Y1305" s="95">
        <v>5</v>
      </c>
      <c r="Z1305" s="94">
        <v>4197</v>
      </c>
      <c r="AA1305" s="94">
        <v>2420</v>
      </c>
      <c r="AB1305" s="94">
        <v>1777</v>
      </c>
      <c r="AC1305" s="94">
        <v>202</v>
      </c>
      <c r="AD1305" s="94">
        <v>1062</v>
      </c>
      <c r="AE1305" s="94">
        <v>2391</v>
      </c>
      <c r="AF1305" s="94">
        <v>542</v>
      </c>
      <c r="AG1305" s="94">
        <v>2687</v>
      </c>
      <c r="AH1305" s="94">
        <v>1480</v>
      </c>
      <c r="AI1305" s="94">
        <v>30</v>
      </c>
      <c r="AJ1305" s="94">
        <v>4155</v>
      </c>
      <c r="AK1305" s="94">
        <v>24</v>
      </c>
      <c r="AL1305" s="94">
        <v>18</v>
      </c>
      <c r="AM1305" s="94">
        <v>262</v>
      </c>
      <c r="AN1305" s="94">
        <v>3875</v>
      </c>
      <c r="AO1305" s="94">
        <v>60</v>
      </c>
      <c r="AP1305" s="95">
        <v>5.8914329817339803</v>
      </c>
      <c r="AQ1305" s="95">
        <v>2.1595416483032199</v>
      </c>
      <c r="AR1305" s="95">
        <v>11.124845488257099</v>
      </c>
      <c r="AS1305" s="95">
        <v>14.893617021276601</v>
      </c>
      <c r="AT1305" s="95">
        <v>6.5372829417773204</v>
      </c>
      <c r="AU1305" s="95">
        <v>5.5054151624548702</v>
      </c>
      <c r="AV1305" s="95">
        <v>2.9761904761904798</v>
      </c>
      <c r="AW1305" s="95">
        <v>5.6197688322040698</v>
      </c>
      <c r="AX1305" s="95">
        <v>6.3750926612305401</v>
      </c>
      <c r="AY1305" s="95">
        <v>6.8965517241379297</v>
      </c>
      <c r="AZ1305" s="95">
        <v>5.8487132830777204</v>
      </c>
      <c r="BA1305" s="95">
        <v>9.0909090909090899</v>
      </c>
      <c r="BB1305" s="95">
        <v>11.1111111111111</v>
      </c>
      <c r="BC1305" s="95">
        <v>5.3278688524590203</v>
      </c>
      <c r="BD1305" s="95">
        <v>5.8561070831009499</v>
      </c>
      <c r="BE1305" s="95">
        <v>10.526315789473699</v>
      </c>
    </row>
    <row r="1306" spans="2:57" ht="15" customHeight="1" x14ac:dyDescent="0.25">
      <c r="B1306" s="91">
        <v>1296</v>
      </c>
      <c r="C1306" s="92" t="s">
        <v>504</v>
      </c>
      <c r="D1306" s="92" t="s">
        <v>92</v>
      </c>
      <c r="E1306" s="92" t="s">
        <v>428</v>
      </c>
      <c r="F1306" s="92" t="s">
        <v>262</v>
      </c>
      <c r="G1306" s="101" t="s">
        <v>502</v>
      </c>
      <c r="H1306" s="94">
        <v>3854</v>
      </c>
      <c r="I1306" s="94">
        <v>2678</v>
      </c>
      <c r="J1306" s="94">
        <v>1176</v>
      </c>
      <c r="K1306" s="94">
        <v>359</v>
      </c>
      <c r="L1306" s="94">
        <v>1186</v>
      </c>
      <c r="M1306" s="94">
        <v>1890</v>
      </c>
      <c r="N1306" s="94">
        <v>419</v>
      </c>
      <c r="O1306" s="94">
        <v>3844</v>
      </c>
      <c r="P1306" s="94">
        <v>10</v>
      </c>
      <c r="Q1306" s="95">
        <v>0.47725996631106099</v>
      </c>
      <c r="R1306" s="95">
        <v>0.55621771950734999</v>
      </c>
      <c r="S1306" s="95">
        <v>0.28708133971291899</v>
      </c>
      <c r="T1306" s="95">
        <v>0.63091482649842301</v>
      </c>
      <c r="U1306" s="95">
        <v>0.46253469010175802</v>
      </c>
      <c r="V1306" s="95">
        <v>0.45095828635851198</v>
      </c>
      <c r="W1306" s="95">
        <v>0.512820512820513</v>
      </c>
      <c r="X1306" s="95">
        <v>0.47860360360360399</v>
      </c>
      <c r="Y1306" s="95">
        <v>0</v>
      </c>
      <c r="Z1306" s="94">
        <v>4444</v>
      </c>
      <c r="AA1306" s="94">
        <v>2907</v>
      </c>
      <c r="AB1306" s="94">
        <v>1537</v>
      </c>
      <c r="AC1306" s="94">
        <v>341</v>
      </c>
      <c r="AD1306" s="94">
        <v>1231</v>
      </c>
      <c r="AE1306" s="94">
        <v>2377</v>
      </c>
      <c r="AF1306" s="94">
        <v>495</v>
      </c>
      <c r="AG1306" s="94">
        <v>3787</v>
      </c>
      <c r="AH1306" s="94">
        <v>624</v>
      </c>
      <c r="AI1306" s="94">
        <v>33</v>
      </c>
      <c r="AJ1306" s="94">
        <v>4420</v>
      </c>
      <c r="AK1306" s="94">
        <v>1</v>
      </c>
      <c r="AL1306" s="94">
        <v>23</v>
      </c>
      <c r="AM1306" s="94">
        <v>204</v>
      </c>
      <c r="AN1306" s="94">
        <v>4167</v>
      </c>
      <c r="AO1306" s="94">
        <v>73</v>
      </c>
      <c r="AP1306" s="95">
        <v>2.9788224342564602</v>
      </c>
      <c r="AQ1306" s="95">
        <v>2.5334271639690402</v>
      </c>
      <c r="AR1306" s="95">
        <v>3.8487972508591102</v>
      </c>
      <c r="AS1306" s="95">
        <v>2.4242424242424199</v>
      </c>
      <c r="AT1306" s="95">
        <v>3.9796782387806902</v>
      </c>
      <c r="AU1306" s="95">
        <v>2.9565217391304301</v>
      </c>
      <c r="AV1306" s="95">
        <v>1.0288065843621399</v>
      </c>
      <c r="AW1306" s="95">
        <v>2.6495493034690001</v>
      </c>
      <c r="AX1306" s="95">
        <v>5.1324503311258303</v>
      </c>
      <c r="AY1306" s="95">
        <v>0</v>
      </c>
      <c r="AZ1306" s="95">
        <v>2.97076023391813</v>
      </c>
      <c r="BA1306" s="95">
        <v>0</v>
      </c>
      <c r="BB1306" s="95">
        <v>4.7619047619047601</v>
      </c>
      <c r="BC1306" s="95">
        <v>2.5125628140703502</v>
      </c>
      <c r="BD1306" s="95">
        <v>3.0543829153215798</v>
      </c>
      <c r="BE1306" s="95">
        <v>0</v>
      </c>
    </row>
    <row r="1307" spans="2:57" ht="15" customHeight="1" x14ac:dyDescent="0.25">
      <c r="B1307" s="86">
        <v>1297</v>
      </c>
      <c r="C1307" s="87" t="s">
        <v>503</v>
      </c>
      <c r="D1307" s="103" t="s">
        <v>92</v>
      </c>
      <c r="E1307" s="103" t="s">
        <v>429</v>
      </c>
      <c r="F1307" s="103"/>
      <c r="G1307" s="88" t="s">
        <v>429</v>
      </c>
      <c r="H1307" s="89">
        <v>7249</v>
      </c>
      <c r="I1307" s="89">
        <v>5115</v>
      </c>
      <c r="J1307" s="89">
        <v>2134</v>
      </c>
      <c r="K1307" s="89">
        <v>629</v>
      </c>
      <c r="L1307" s="89">
        <v>2208</v>
      </c>
      <c r="M1307" s="89">
        <v>3730</v>
      </c>
      <c r="N1307" s="89">
        <v>682</v>
      </c>
      <c r="O1307" s="89">
        <v>7221</v>
      </c>
      <c r="P1307" s="89">
        <v>28</v>
      </c>
      <c r="Q1307" s="90">
        <v>0.45717768972874101</v>
      </c>
      <c r="R1307" s="90">
        <v>0.23524379811804999</v>
      </c>
      <c r="S1307" s="90">
        <v>1.0074231177094399</v>
      </c>
      <c r="T1307" s="90">
        <v>0.38095238095238099</v>
      </c>
      <c r="U1307" s="90">
        <v>0.352112676056338</v>
      </c>
      <c r="V1307" s="90">
        <v>0.52554744525547403</v>
      </c>
      <c r="W1307" s="90">
        <v>0.480769230769231</v>
      </c>
      <c r="X1307" s="90">
        <v>0.45892611289582402</v>
      </c>
      <c r="Y1307" s="90">
        <v>0</v>
      </c>
      <c r="Z1307" s="89">
        <v>9599</v>
      </c>
      <c r="AA1307" s="89">
        <v>6321</v>
      </c>
      <c r="AB1307" s="89">
        <v>3278</v>
      </c>
      <c r="AC1307" s="89">
        <v>469</v>
      </c>
      <c r="AD1307" s="89">
        <v>2720</v>
      </c>
      <c r="AE1307" s="89">
        <v>5373</v>
      </c>
      <c r="AF1307" s="89">
        <v>1037</v>
      </c>
      <c r="AG1307" s="89">
        <v>5007</v>
      </c>
      <c r="AH1307" s="89">
        <v>4294</v>
      </c>
      <c r="AI1307" s="89">
        <v>298</v>
      </c>
      <c r="AJ1307" s="89">
        <v>9496</v>
      </c>
      <c r="AK1307" s="89">
        <v>48</v>
      </c>
      <c r="AL1307" s="89">
        <v>55</v>
      </c>
      <c r="AM1307" s="89">
        <v>391</v>
      </c>
      <c r="AN1307" s="89">
        <v>8988</v>
      </c>
      <c r="AO1307" s="89">
        <v>220</v>
      </c>
      <c r="AP1307" s="90">
        <v>2.8382838283828402</v>
      </c>
      <c r="AQ1307" s="90">
        <v>0.53067993366500799</v>
      </c>
      <c r="AR1307" s="90">
        <v>7.3856209150326801</v>
      </c>
      <c r="AS1307" s="90">
        <v>2.2779043280182201</v>
      </c>
      <c r="AT1307" s="90">
        <v>3.4792806880375302</v>
      </c>
      <c r="AU1307" s="90">
        <v>2.78158667972576</v>
      </c>
      <c r="AV1307" s="90">
        <v>1.7206477732793499</v>
      </c>
      <c r="AW1307" s="90">
        <v>2.4758707511540101</v>
      </c>
      <c r="AX1307" s="90">
        <v>3.2321736984949401</v>
      </c>
      <c r="AY1307" s="90">
        <v>3.3210332103321001</v>
      </c>
      <c r="AZ1307" s="90">
        <v>2.8358540925266902</v>
      </c>
      <c r="BA1307" s="90">
        <v>0</v>
      </c>
      <c r="BB1307" s="90">
        <v>5.6603773584905701</v>
      </c>
      <c r="BC1307" s="90">
        <v>1.6042780748663099</v>
      </c>
      <c r="BD1307" s="90">
        <v>2.8903771589707401</v>
      </c>
      <c r="BE1307" s="90">
        <v>2.9268292682926802</v>
      </c>
    </row>
    <row r="1308" spans="2:57" ht="15" customHeight="1" x14ac:dyDescent="0.25">
      <c r="B1308" s="91">
        <v>1298</v>
      </c>
      <c r="C1308" s="92" t="s">
        <v>503</v>
      </c>
      <c r="D1308" s="92" t="s">
        <v>92</v>
      </c>
      <c r="E1308" s="92" t="s">
        <v>429</v>
      </c>
      <c r="F1308" s="92"/>
      <c r="G1308" s="93" t="s">
        <v>501</v>
      </c>
      <c r="H1308" s="94">
        <v>970</v>
      </c>
      <c r="I1308" s="94">
        <v>618</v>
      </c>
      <c r="J1308" s="94">
        <v>352</v>
      </c>
      <c r="K1308" s="94">
        <v>89</v>
      </c>
      <c r="L1308" s="94">
        <v>298</v>
      </c>
      <c r="M1308" s="94">
        <v>501</v>
      </c>
      <c r="N1308" s="94">
        <v>82</v>
      </c>
      <c r="O1308" s="94">
        <v>963</v>
      </c>
      <c r="P1308" s="94">
        <v>7</v>
      </c>
      <c r="Q1308" s="95">
        <v>1.48741418764302</v>
      </c>
      <c r="R1308" s="95">
        <v>0.87873462214411302</v>
      </c>
      <c r="S1308" s="95">
        <v>2.6229508196721301</v>
      </c>
      <c r="T1308" s="95">
        <v>1.40845070422535</v>
      </c>
      <c r="U1308" s="95">
        <v>1.13636363636364</v>
      </c>
      <c r="V1308" s="95">
        <v>1.5118790496760299</v>
      </c>
      <c r="W1308" s="95">
        <v>2.6315789473684199</v>
      </c>
      <c r="X1308" s="95">
        <v>1.4994232987312599</v>
      </c>
      <c r="Y1308" s="95">
        <v>0</v>
      </c>
      <c r="Z1308" s="94">
        <v>1051</v>
      </c>
      <c r="AA1308" s="94">
        <v>608</v>
      </c>
      <c r="AB1308" s="94">
        <v>443</v>
      </c>
      <c r="AC1308" s="94">
        <v>71</v>
      </c>
      <c r="AD1308" s="94">
        <v>319</v>
      </c>
      <c r="AE1308" s="94">
        <v>563</v>
      </c>
      <c r="AF1308" s="94">
        <v>98</v>
      </c>
      <c r="AG1308" s="94">
        <v>392</v>
      </c>
      <c r="AH1308" s="94">
        <v>623</v>
      </c>
      <c r="AI1308" s="94">
        <v>36</v>
      </c>
      <c r="AJ1308" s="94">
        <v>1026</v>
      </c>
      <c r="AK1308" s="94">
        <v>7</v>
      </c>
      <c r="AL1308" s="94">
        <v>18</v>
      </c>
      <c r="AM1308" s="94">
        <v>51</v>
      </c>
      <c r="AN1308" s="94">
        <v>983</v>
      </c>
      <c r="AO1308" s="94">
        <v>17</v>
      </c>
      <c r="AP1308" s="95">
        <v>7.2597137014314903</v>
      </c>
      <c r="AQ1308" s="95">
        <v>1.7513134851138401</v>
      </c>
      <c r="AR1308" s="95">
        <v>14.987714987715</v>
      </c>
      <c r="AS1308" s="95">
        <v>7.4626865671641802</v>
      </c>
      <c r="AT1308" s="95">
        <v>9.1216216216216193</v>
      </c>
      <c r="AU1308" s="95">
        <v>6.5009560229445498</v>
      </c>
      <c r="AV1308" s="95">
        <v>5.4347826086956497</v>
      </c>
      <c r="AW1308" s="95">
        <v>6.7385444743935299</v>
      </c>
      <c r="AX1308" s="95">
        <v>7.6788830715532299</v>
      </c>
      <c r="AY1308" s="95">
        <v>5.8823529411764701</v>
      </c>
      <c r="AZ1308" s="95">
        <v>7.12788259958071</v>
      </c>
      <c r="BA1308" s="95">
        <v>0</v>
      </c>
      <c r="BB1308" s="95">
        <v>17.647058823529399</v>
      </c>
      <c r="BC1308" s="95">
        <v>8</v>
      </c>
      <c r="BD1308" s="95">
        <v>7.2210065645514199</v>
      </c>
      <c r="BE1308" s="95">
        <v>7.1428571428571397</v>
      </c>
    </row>
    <row r="1309" spans="2:57" ht="15" customHeight="1" x14ac:dyDescent="0.25">
      <c r="B1309" s="91">
        <v>1299</v>
      </c>
      <c r="C1309" s="92" t="s">
        <v>503</v>
      </c>
      <c r="D1309" s="92" t="s">
        <v>92</v>
      </c>
      <c r="E1309" s="92" t="s">
        <v>429</v>
      </c>
      <c r="F1309" s="92"/>
      <c r="G1309" s="93" t="s">
        <v>502</v>
      </c>
      <c r="H1309" s="94">
        <v>6279</v>
      </c>
      <c r="I1309" s="94">
        <v>4497</v>
      </c>
      <c r="J1309" s="94">
        <v>1782</v>
      </c>
      <c r="K1309" s="94">
        <v>540</v>
      </c>
      <c r="L1309" s="94">
        <v>1910</v>
      </c>
      <c r="M1309" s="94">
        <v>3229</v>
      </c>
      <c r="N1309" s="94">
        <v>600</v>
      </c>
      <c r="O1309" s="94">
        <v>6258</v>
      </c>
      <c r="P1309" s="94">
        <v>21</v>
      </c>
      <c r="Q1309" s="95">
        <v>0.29887482419127998</v>
      </c>
      <c r="R1309" s="95">
        <v>0.14609203798393</v>
      </c>
      <c r="S1309" s="95">
        <v>0.69576217583807698</v>
      </c>
      <c r="T1309" s="95">
        <v>0.22026431718061701</v>
      </c>
      <c r="U1309" s="95">
        <v>0.23201856148491901</v>
      </c>
      <c r="V1309" s="95">
        <v>0.37137069547603002</v>
      </c>
      <c r="W1309" s="95">
        <v>0.18248175182481799</v>
      </c>
      <c r="X1309" s="95">
        <v>0.29982363315696597</v>
      </c>
      <c r="Y1309" s="95">
        <v>0</v>
      </c>
      <c r="Z1309" s="94">
        <v>8548</v>
      </c>
      <c r="AA1309" s="94">
        <v>5713</v>
      </c>
      <c r="AB1309" s="94">
        <v>2835</v>
      </c>
      <c r="AC1309" s="94">
        <v>398</v>
      </c>
      <c r="AD1309" s="94">
        <v>2401</v>
      </c>
      <c r="AE1309" s="94">
        <v>4810</v>
      </c>
      <c r="AF1309" s="94">
        <v>939</v>
      </c>
      <c r="AG1309" s="94">
        <v>4615</v>
      </c>
      <c r="AH1309" s="94">
        <v>3671</v>
      </c>
      <c r="AI1309" s="94">
        <v>262</v>
      </c>
      <c r="AJ1309" s="94">
        <v>8470</v>
      </c>
      <c r="AK1309" s="94">
        <v>41</v>
      </c>
      <c r="AL1309" s="94">
        <v>37</v>
      </c>
      <c r="AM1309" s="94">
        <v>340</v>
      </c>
      <c r="AN1309" s="94">
        <v>8005</v>
      </c>
      <c r="AO1309" s="94">
        <v>203</v>
      </c>
      <c r="AP1309" s="95">
        <v>2.30522682445759</v>
      </c>
      <c r="AQ1309" s="95">
        <v>0.40300421322586599</v>
      </c>
      <c r="AR1309" s="95">
        <v>6.2193742932529199</v>
      </c>
      <c r="AS1309" s="95">
        <v>1.34408602150538</v>
      </c>
      <c r="AT1309" s="95">
        <v>2.7409372236958398</v>
      </c>
      <c r="AU1309" s="95">
        <v>2.3570493234395502</v>
      </c>
      <c r="AV1309" s="95">
        <v>1.33928571428571</v>
      </c>
      <c r="AW1309" s="95">
        <v>2.1160409556314002</v>
      </c>
      <c r="AX1309" s="95">
        <v>2.5</v>
      </c>
      <c r="AY1309" s="95">
        <v>2.9535864978903001</v>
      </c>
      <c r="AZ1309" s="95">
        <v>2.3264493655138101</v>
      </c>
      <c r="BA1309" s="95">
        <v>0</v>
      </c>
      <c r="BB1309" s="95">
        <v>0</v>
      </c>
      <c r="BC1309" s="95">
        <v>0.61728395061728403</v>
      </c>
      <c r="BD1309" s="95">
        <v>2.36935632486508</v>
      </c>
      <c r="BE1309" s="95">
        <v>2.6178010471204201</v>
      </c>
    </row>
    <row r="1310" spans="2:57" ht="15" customHeight="1" x14ac:dyDescent="0.25">
      <c r="B1310" s="96">
        <v>1300</v>
      </c>
      <c r="C1310" s="97" t="s">
        <v>504</v>
      </c>
      <c r="D1310" s="104" t="s">
        <v>92</v>
      </c>
      <c r="E1310" s="104" t="s">
        <v>429</v>
      </c>
      <c r="F1310" s="104" t="s">
        <v>83</v>
      </c>
      <c r="G1310" s="105" t="s">
        <v>83</v>
      </c>
      <c r="H1310" s="106">
        <v>1571</v>
      </c>
      <c r="I1310" s="106">
        <v>1099</v>
      </c>
      <c r="J1310" s="106">
        <v>472</v>
      </c>
      <c r="K1310" s="106">
        <v>122</v>
      </c>
      <c r="L1310" s="106">
        <v>498</v>
      </c>
      <c r="M1310" s="106">
        <v>797</v>
      </c>
      <c r="N1310" s="106">
        <v>154</v>
      </c>
      <c r="O1310" s="106">
        <v>1569</v>
      </c>
      <c r="P1310" s="106">
        <v>2</v>
      </c>
      <c r="Q1310" s="107">
        <v>0.27173913043478298</v>
      </c>
      <c r="R1310" s="107">
        <v>0.28873917228103901</v>
      </c>
      <c r="S1310" s="107">
        <v>0.23094688221709</v>
      </c>
      <c r="T1310" s="107">
        <v>0</v>
      </c>
      <c r="U1310" s="107">
        <v>0.42826552462526801</v>
      </c>
      <c r="V1310" s="107">
        <v>0.133155792276964</v>
      </c>
      <c r="W1310" s="107">
        <v>0.69930069930069905</v>
      </c>
      <c r="X1310" s="107">
        <v>0.27210884353741499</v>
      </c>
      <c r="Y1310" s="107">
        <v>0</v>
      </c>
      <c r="Z1310" s="106">
        <v>1749</v>
      </c>
      <c r="AA1310" s="106">
        <v>1092</v>
      </c>
      <c r="AB1310" s="106">
        <v>657</v>
      </c>
      <c r="AC1310" s="106">
        <v>102</v>
      </c>
      <c r="AD1310" s="106">
        <v>484</v>
      </c>
      <c r="AE1310" s="106">
        <v>934</v>
      </c>
      <c r="AF1310" s="106">
        <v>229</v>
      </c>
      <c r="AG1310" s="106">
        <v>741</v>
      </c>
      <c r="AH1310" s="106">
        <v>983</v>
      </c>
      <c r="AI1310" s="106">
        <v>25</v>
      </c>
      <c r="AJ1310" s="106">
        <v>1735</v>
      </c>
      <c r="AK1310" s="106">
        <v>5</v>
      </c>
      <c r="AL1310" s="106">
        <v>9</v>
      </c>
      <c r="AM1310" s="106">
        <v>107</v>
      </c>
      <c r="AN1310" s="106">
        <v>1604</v>
      </c>
      <c r="AO1310" s="106">
        <v>38</v>
      </c>
      <c r="AP1310" s="107">
        <v>3.0375223347230502</v>
      </c>
      <c r="AQ1310" s="107">
        <v>0.38095238095238099</v>
      </c>
      <c r="AR1310" s="107">
        <v>7.4721780604133503</v>
      </c>
      <c r="AS1310" s="107">
        <v>1.0416666666666701</v>
      </c>
      <c r="AT1310" s="107">
        <v>3.4408602150537599</v>
      </c>
      <c r="AU1310" s="107">
        <v>3.4444444444444402</v>
      </c>
      <c r="AV1310" s="107">
        <v>1.3761467889908301</v>
      </c>
      <c r="AW1310" s="107">
        <v>1.68539325842697</v>
      </c>
      <c r="AX1310" s="107">
        <v>4.02969247083775</v>
      </c>
      <c r="AY1310" s="107">
        <v>4.1666666666666696</v>
      </c>
      <c r="AZ1310" s="107">
        <v>3.0630630630630602</v>
      </c>
      <c r="BA1310" s="107">
        <v>0</v>
      </c>
      <c r="BB1310" s="107">
        <v>0</v>
      </c>
      <c r="BC1310" s="107">
        <v>0</v>
      </c>
      <c r="BD1310" s="107">
        <v>3.31384015594542</v>
      </c>
      <c r="BE1310" s="107">
        <v>0</v>
      </c>
    </row>
    <row r="1311" spans="2:57" ht="15" customHeight="1" x14ac:dyDescent="0.25">
      <c r="B1311" s="91">
        <v>1301</v>
      </c>
      <c r="C1311" s="92" t="s">
        <v>504</v>
      </c>
      <c r="D1311" s="92" t="s">
        <v>92</v>
      </c>
      <c r="E1311" s="92" t="s">
        <v>429</v>
      </c>
      <c r="F1311" s="92" t="s">
        <v>83</v>
      </c>
      <c r="G1311" s="101" t="s">
        <v>501</v>
      </c>
      <c r="H1311" s="94">
        <v>0</v>
      </c>
      <c r="I1311" s="94">
        <v>0</v>
      </c>
      <c r="J1311" s="94">
        <v>0</v>
      </c>
      <c r="K1311" s="94">
        <v>0</v>
      </c>
      <c r="L1311" s="94">
        <v>0</v>
      </c>
      <c r="M1311" s="94">
        <v>0</v>
      </c>
      <c r="N1311" s="94">
        <v>0</v>
      </c>
      <c r="O1311" s="94">
        <v>0</v>
      </c>
      <c r="P1311" s="94">
        <v>0</v>
      </c>
      <c r="Q1311" s="95">
        <v>0</v>
      </c>
      <c r="R1311" s="95">
        <v>0</v>
      </c>
      <c r="S1311" s="95">
        <v>0</v>
      </c>
      <c r="T1311" s="95">
        <v>0</v>
      </c>
      <c r="U1311" s="95">
        <v>0</v>
      </c>
      <c r="V1311" s="95">
        <v>0</v>
      </c>
      <c r="W1311" s="95">
        <v>0</v>
      </c>
      <c r="X1311" s="95">
        <v>0</v>
      </c>
      <c r="Y1311" s="95">
        <v>0</v>
      </c>
      <c r="Z1311" s="94">
        <v>0</v>
      </c>
      <c r="AA1311" s="94">
        <v>0</v>
      </c>
      <c r="AB1311" s="94">
        <v>0</v>
      </c>
      <c r="AC1311" s="94">
        <v>0</v>
      </c>
      <c r="AD1311" s="94">
        <v>0</v>
      </c>
      <c r="AE1311" s="94">
        <v>0</v>
      </c>
      <c r="AF1311" s="94">
        <v>0</v>
      </c>
      <c r="AG1311" s="94">
        <v>0</v>
      </c>
      <c r="AH1311" s="94">
        <v>0</v>
      </c>
      <c r="AI1311" s="94">
        <v>0</v>
      </c>
      <c r="AJ1311" s="94">
        <v>0</v>
      </c>
      <c r="AK1311" s="94">
        <v>0</v>
      </c>
      <c r="AL1311" s="94">
        <v>0</v>
      </c>
      <c r="AM1311" s="94">
        <v>0</v>
      </c>
      <c r="AN1311" s="94">
        <v>0</v>
      </c>
      <c r="AO1311" s="94">
        <v>0</v>
      </c>
      <c r="AP1311" s="95">
        <v>0</v>
      </c>
      <c r="AQ1311" s="95">
        <v>0</v>
      </c>
      <c r="AR1311" s="95">
        <v>0</v>
      </c>
      <c r="AS1311" s="95">
        <v>0</v>
      </c>
      <c r="AT1311" s="95">
        <v>0</v>
      </c>
      <c r="AU1311" s="95">
        <v>0</v>
      </c>
      <c r="AV1311" s="95">
        <v>0</v>
      </c>
      <c r="AW1311" s="95">
        <v>0</v>
      </c>
      <c r="AX1311" s="95">
        <v>0</v>
      </c>
      <c r="AY1311" s="95">
        <v>0</v>
      </c>
      <c r="AZ1311" s="95">
        <v>0</v>
      </c>
      <c r="BA1311" s="95">
        <v>0</v>
      </c>
      <c r="BB1311" s="95">
        <v>0</v>
      </c>
      <c r="BC1311" s="95">
        <v>0</v>
      </c>
      <c r="BD1311" s="95">
        <v>0</v>
      </c>
      <c r="BE1311" s="95">
        <v>0</v>
      </c>
    </row>
    <row r="1312" spans="2:57" ht="15" customHeight="1" x14ac:dyDescent="0.25">
      <c r="B1312" s="91">
        <v>1302</v>
      </c>
      <c r="C1312" s="92" t="s">
        <v>504</v>
      </c>
      <c r="D1312" s="92" t="s">
        <v>92</v>
      </c>
      <c r="E1312" s="92" t="s">
        <v>429</v>
      </c>
      <c r="F1312" s="92" t="s">
        <v>83</v>
      </c>
      <c r="G1312" s="101" t="s">
        <v>502</v>
      </c>
      <c r="H1312" s="94">
        <v>1571</v>
      </c>
      <c r="I1312" s="94">
        <v>1099</v>
      </c>
      <c r="J1312" s="94">
        <v>472</v>
      </c>
      <c r="K1312" s="94">
        <v>122</v>
      </c>
      <c r="L1312" s="94">
        <v>498</v>
      </c>
      <c r="M1312" s="94">
        <v>797</v>
      </c>
      <c r="N1312" s="94">
        <v>154</v>
      </c>
      <c r="O1312" s="94">
        <v>1569</v>
      </c>
      <c r="P1312" s="94">
        <v>2</v>
      </c>
      <c r="Q1312" s="95">
        <v>0.27173913043478298</v>
      </c>
      <c r="R1312" s="95">
        <v>0.28873917228103901</v>
      </c>
      <c r="S1312" s="95">
        <v>0.23094688221709</v>
      </c>
      <c r="T1312" s="95">
        <v>0</v>
      </c>
      <c r="U1312" s="95">
        <v>0.42826552462526801</v>
      </c>
      <c r="V1312" s="95">
        <v>0.133155792276964</v>
      </c>
      <c r="W1312" s="95">
        <v>0.69930069930069905</v>
      </c>
      <c r="X1312" s="95">
        <v>0.27210884353741499</v>
      </c>
      <c r="Y1312" s="95">
        <v>0</v>
      </c>
      <c r="Z1312" s="94">
        <v>1749</v>
      </c>
      <c r="AA1312" s="94">
        <v>1092</v>
      </c>
      <c r="AB1312" s="94">
        <v>657</v>
      </c>
      <c r="AC1312" s="94">
        <v>102</v>
      </c>
      <c r="AD1312" s="94">
        <v>484</v>
      </c>
      <c r="AE1312" s="94">
        <v>934</v>
      </c>
      <c r="AF1312" s="94">
        <v>229</v>
      </c>
      <c r="AG1312" s="94">
        <v>741</v>
      </c>
      <c r="AH1312" s="94">
        <v>983</v>
      </c>
      <c r="AI1312" s="94">
        <v>25</v>
      </c>
      <c r="AJ1312" s="94">
        <v>1735</v>
      </c>
      <c r="AK1312" s="94">
        <v>5</v>
      </c>
      <c r="AL1312" s="94">
        <v>9</v>
      </c>
      <c r="AM1312" s="94">
        <v>107</v>
      </c>
      <c r="AN1312" s="94">
        <v>1604</v>
      </c>
      <c r="AO1312" s="94">
        <v>38</v>
      </c>
      <c r="AP1312" s="95">
        <v>3.0375223347230502</v>
      </c>
      <c r="AQ1312" s="95">
        <v>0.38095238095238099</v>
      </c>
      <c r="AR1312" s="95">
        <v>7.4721780604133503</v>
      </c>
      <c r="AS1312" s="95">
        <v>1.0416666666666701</v>
      </c>
      <c r="AT1312" s="95">
        <v>3.4408602150537599</v>
      </c>
      <c r="AU1312" s="95">
        <v>3.4444444444444402</v>
      </c>
      <c r="AV1312" s="95">
        <v>1.3761467889908301</v>
      </c>
      <c r="AW1312" s="95">
        <v>1.68539325842697</v>
      </c>
      <c r="AX1312" s="95">
        <v>4.02969247083775</v>
      </c>
      <c r="AY1312" s="95">
        <v>4.1666666666666696</v>
      </c>
      <c r="AZ1312" s="95">
        <v>3.0630630630630602</v>
      </c>
      <c r="BA1312" s="95">
        <v>0</v>
      </c>
      <c r="BB1312" s="95">
        <v>0</v>
      </c>
      <c r="BC1312" s="95">
        <v>0</v>
      </c>
      <c r="BD1312" s="95">
        <v>3.31384015594542</v>
      </c>
      <c r="BE1312" s="95">
        <v>0</v>
      </c>
    </row>
    <row r="1313" spans="2:57" ht="15" customHeight="1" x14ac:dyDescent="0.25">
      <c r="B1313" s="96">
        <v>1303</v>
      </c>
      <c r="C1313" s="97" t="s">
        <v>504</v>
      </c>
      <c r="D1313" s="104" t="s">
        <v>92</v>
      </c>
      <c r="E1313" s="104" t="s">
        <v>429</v>
      </c>
      <c r="F1313" s="104" t="s">
        <v>214</v>
      </c>
      <c r="G1313" s="105" t="s">
        <v>214</v>
      </c>
      <c r="H1313" s="106">
        <v>5678</v>
      </c>
      <c r="I1313" s="106">
        <v>4016</v>
      </c>
      <c r="J1313" s="106">
        <v>1662</v>
      </c>
      <c r="K1313" s="106">
        <v>507</v>
      </c>
      <c r="L1313" s="106">
        <v>1710</v>
      </c>
      <c r="M1313" s="106">
        <v>2933</v>
      </c>
      <c r="N1313" s="106">
        <v>528</v>
      </c>
      <c r="O1313" s="106">
        <v>5652</v>
      </c>
      <c r="P1313" s="106">
        <v>26</v>
      </c>
      <c r="Q1313" s="107">
        <v>0.51080550098231803</v>
      </c>
      <c r="R1313" s="107">
        <v>0.21996150673632101</v>
      </c>
      <c r="S1313" s="107">
        <v>1.2388162422574001</v>
      </c>
      <c r="T1313" s="107">
        <v>0.48309178743961401</v>
      </c>
      <c r="U1313" s="107">
        <v>0.328731097961867</v>
      </c>
      <c r="V1313" s="107">
        <v>0.63575168287210204</v>
      </c>
      <c r="W1313" s="107">
        <v>0.41580041580041599</v>
      </c>
      <c r="X1313" s="107">
        <v>0.51312413656996203</v>
      </c>
      <c r="Y1313" s="107">
        <v>0</v>
      </c>
      <c r="Z1313" s="106">
        <v>7850</v>
      </c>
      <c r="AA1313" s="106">
        <v>5229</v>
      </c>
      <c r="AB1313" s="106">
        <v>2621</v>
      </c>
      <c r="AC1313" s="106">
        <v>367</v>
      </c>
      <c r="AD1313" s="106">
        <v>2236</v>
      </c>
      <c r="AE1313" s="106">
        <v>4439</v>
      </c>
      <c r="AF1313" s="106">
        <v>808</v>
      </c>
      <c r="AG1313" s="106">
        <v>4266</v>
      </c>
      <c r="AH1313" s="106">
        <v>3311</v>
      </c>
      <c r="AI1313" s="106">
        <v>273</v>
      </c>
      <c r="AJ1313" s="106">
        <v>7761</v>
      </c>
      <c r="AK1313" s="106">
        <v>43</v>
      </c>
      <c r="AL1313" s="106">
        <v>46</v>
      </c>
      <c r="AM1313" s="106">
        <v>284</v>
      </c>
      <c r="AN1313" s="106">
        <v>7384</v>
      </c>
      <c r="AO1313" s="106">
        <v>182</v>
      </c>
      <c r="AP1313" s="107">
        <v>2.7931453245176101</v>
      </c>
      <c r="AQ1313" s="107">
        <v>0.56224899598393596</v>
      </c>
      <c r="AR1313" s="107">
        <v>7.3632250102838297</v>
      </c>
      <c r="AS1313" s="107">
        <v>2.6239067055393601</v>
      </c>
      <c r="AT1313" s="107">
        <v>3.48781653129479</v>
      </c>
      <c r="AU1313" s="107">
        <v>2.6397146254459001</v>
      </c>
      <c r="AV1313" s="107">
        <v>1.8181818181818199</v>
      </c>
      <c r="AW1313" s="107">
        <v>2.6147015293537201</v>
      </c>
      <c r="AX1313" s="107">
        <v>2.9903536977492</v>
      </c>
      <c r="AY1313" s="107">
        <v>3.23886639676113</v>
      </c>
      <c r="AZ1313" s="107">
        <v>2.7842227378190301</v>
      </c>
      <c r="BA1313" s="107">
        <v>0</v>
      </c>
      <c r="BB1313" s="107">
        <v>6.8181818181818201</v>
      </c>
      <c r="BC1313" s="107">
        <v>2.2058823529411802</v>
      </c>
      <c r="BD1313" s="107">
        <v>2.7969018932874401</v>
      </c>
      <c r="BE1313" s="107">
        <v>3.59281437125748</v>
      </c>
    </row>
    <row r="1314" spans="2:57" ht="15" customHeight="1" x14ac:dyDescent="0.25">
      <c r="B1314" s="91">
        <v>1304</v>
      </c>
      <c r="C1314" s="92" t="s">
        <v>504</v>
      </c>
      <c r="D1314" s="92" t="s">
        <v>92</v>
      </c>
      <c r="E1314" s="92" t="s">
        <v>429</v>
      </c>
      <c r="F1314" s="92" t="s">
        <v>214</v>
      </c>
      <c r="G1314" s="101" t="s">
        <v>501</v>
      </c>
      <c r="H1314" s="94">
        <v>970</v>
      </c>
      <c r="I1314" s="94">
        <v>618</v>
      </c>
      <c r="J1314" s="94">
        <v>352</v>
      </c>
      <c r="K1314" s="94">
        <v>89</v>
      </c>
      <c r="L1314" s="94">
        <v>298</v>
      </c>
      <c r="M1314" s="94">
        <v>501</v>
      </c>
      <c r="N1314" s="94">
        <v>82</v>
      </c>
      <c r="O1314" s="94">
        <v>963</v>
      </c>
      <c r="P1314" s="94">
        <v>7</v>
      </c>
      <c r="Q1314" s="95">
        <v>1.48741418764302</v>
      </c>
      <c r="R1314" s="95">
        <v>0.87873462214411302</v>
      </c>
      <c r="S1314" s="95">
        <v>2.6229508196721301</v>
      </c>
      <c r="T1314" s="95">
        <v>1.40845070422535</v>
      </c>
      <c r="U1314" s="95">
        <v>1.13636363636364</v>
      </c>
      <c r="V1314" s="95">
        <v>1.5118790496760299</v>
      </c>
      <c r="W1314" s="95">
        <v>2.6315789473684199</v>
      </c>
      <c r="X1314" s="95">
        <v>1.4994232987312599</v>
      </c>
      <c r="Y1314" s="95">
        <v>0</v>
      </c>
      <c r="Z1314" s="94">
        <v>1051</v>
      </c>
      <c r="AA1314" s="94">
        <v>608</v>
      </c>
      <c r="AB1314" s="94">
        <v>443</v>
      </c>
      <c r="AC1314" s="94">
        <v>71</v>
      </c>
      <c r="AD1314" s="94">
        <v>319</v>
      </c>
      <c r="AE1314" s="94">
        <v>563</v>
      </c>
      <c r="AF1314" s="94">
        <v>98</v>
      </c>
      <c r="AG1314" s="94">
        <v>392</v>
      </c>
      <c r="AH1314" s="94">
        <v>623</v>
      </c>
      <c r="AI1314" s="94">
        <v>36</v>
      </c>
      <c r="AJ1314" s="94">
        <v>1026</v>
      </c>
      <c r="AK1314" s="94">
        <v>7</v>
      </c>
      <c r="AL1314" s="94">
        <v>18</v>
      </c>
      <c r="AM1314" s="94">
        <v>51</v>
      </c>
      <c r="AN1314" s="94">
        <v>983</v>
      </c>
      <c r="AO1314" s="94">
        <v>17</v>
      </c>
      <c r="AP1314" s="95">
        <v>7.2597137014314903</v>
      </c>
      <c r="AQ1314" s="95">
        <v>1.7513134851138401</v>
      </c>
      <c r="AR1314" s="95">
        <v>14.987714987715</v>
      </c>
      <c r="AS1314" s="95">
        <v>7.4626865671641802</v>
      </c>
      <c r="AT1314" s="95">
        <v>9.1216216216216193</v>
      </c>
      <c r="AU1314" s="95">
        <v>6.5009560229445498</v>
      </c>
      <c r="AV1314" s="95">
        <v>5.4347826086956497</v>
      </c>
      <c r="AW1314" s="95">
        <v>6.7385444743935299</v>
      </c>
      <c r="AX1314" s="95">
        <v>7.6788830715532299</v>
      </c>
      <c r="AY1314" s="95">
        <v>5.8823529411764701</v>
      </c>
      <c r="AZ1314" s="95">
        <v>7.12788259958071</v>
      </c>
      <c r="BA1314" s="95">
        <v>0</v>
      </c>
      <c r="BB1314" s="95">
        <v>17.647058823529399</v>
      </c>
      <c r="BC1314" s="95">
        <v>8</v>
      </c>
      <c r="BD1314" s="95">
        <v>7.2210065645514199</v>
      </c>
      <c r="BE1314" s="95">
        <v>7.1428571428571397</v>
      </c>
    </row>
    <row r="1315" spans="2:57" ht="15" customHeight="1" x14ac:dyDescent="0.25">
      <c r="B1315" s="91">
        <v>1305</v>
      </c>
      <c r="C1315" s="92" t="s">
        <v>504</v>
      </c>
      <c r="D1315" s="92" t="s">
        <v>92</v>
      </c>
      <c r="E1315" s="92" t="s">
        <v>429</v>
      </c>
      <c r="F1315" s="92" t="s">
        <v>214</v>
      </c>
      <c r="G1315" s="101" t="s">
        <v>502</v>
      </c>
      <c r="H1315" s="94">
        <v>4708</v>
      </c>
      <c r="I1315" s="94">
        <v>3398</v>
      </c>
      <c r="J1315" s="94">
        <v>1310</v>
      </c>
      <c r="K1315" s="94">
        <v>418</v>
      </c>
      <c r="L1315" s="94">
        <v>1412</v>
      </c>
      <c r="M1315" s="94">
        <v>2432</v>
      </c>
      <c r="N1315" s="94">
        <v>446</v>
      </c>
      <c r="O1315" s="94">
        <v>4689</v>
      </c>
      <c r="P1315" s="94">
        <v>19</v>
      </c>
      <c r="Q1315" s="95">
        <v>0.30834914611005698</v>
      </c>
      <c r="R1315" s="95">
        <v>9.7783572359843599E-2</v>
      </c>
      <c r="S1315" s="95">
        <v>0.87108013937282203</v>
      </c>
      <c r="T1315" s="95">
        <v>0.29154518950437303</v>
      </c>
      <c r="U1315" s="95">
        <v>0.15910898965791601</v>
      </c>
      <c r="V1315" s="95">
        <v>0.452284034373587</v>
      </c>
      <c r="W1315" s="95">
        <v>0</v>
      </c>
      <c r="X1315" s="95">
        <v>0.30952380952380998</v>
      </c>
      <c r="Y1315" s="95">
        <v>0</v>
      </c>
      <c r="Z1315" s="94">
        <v>6799</v>
      </c>
      <c r="AA1315" s="94">
        <v>4621</v>
      </c>
      <c r="AB1315" s="94">
        <v>2178</v>
      </c>
      <c r="AC1315" s="94">
        <v>296</v>
      </c>
      <c r="AD1315" s="94">
        <v>1917</v>
      </c>
      <c r="AE1315" s="94">
        <v>3876</v>
      </c>
      <c r="AF1315" s="94">
        <v>710</v>
      </c>
      <c r="AG1315" s="94">
        <v>3874</v>
      </c>
      <c r="AH1315" s="94">
        <v>2688</v>
      </c>
      <c r="AI1315" s="94">
        <v>237</v>
      </c>
      <c r="AJ1315" s="94">
        <v>6735</v>
      </c>
      <c r="AK1315" s="94">
        <v>36</v>
      </c>
      <c r="AL1315" s="94">
        <v>28</v>
      </c>
      <c r="AM1315" s="94">
        <v>233</v>
      </c>
      <c r="AN1315" s="94">
        <v>6401</v>
      </c>
      <c r="AO1315" s="94">
        <v>165</v>
      </c>
      <c r="AP1315" s="95">
        <v>2.11409917612312</v>
      </c>
      <c r="AQ1315" s="95">
        <v>0.408255840326605</v>
      </c>
      <c r="AR1315" s="95">
        <v>5.8300395256917001</v>
      </c>
      <c r="AS1315" s="95">
        <v>1.4492753623188399</v>
      </c>
      <c r="AT1315" s="95">
        <v>2.5598219254312702</v>
      </c>
      <c r="AU1315" s="95">
        <v>2.09125475285171</v>
      </c>
      <c r="AV1315" s="95">
        <v>1.3274336283185799</v>
      </c>
      <c r="AW1315" s="95">
        <v>2.1992940537605201</v>
      </c>
      <c r="AX1315" s="95">
        <v>1.93141505715412</v>
      </c>
      <c r="AY1315" s="95">
        <v>2.8169014084507</v>
      </c>
      <c r="AZ1315" s="95">
        <v>2.1340028244155</v>
      </c>
      <c r="BA1315" s="95">
        <v>0</v>
      </c>
      <c r="BB1315" s="95">
        <v>0</v>
      </c>
      <c r="BC1315" s="95">
        <v>0.90090090090090102</v>
      </c>
      <c r="BD1315" s="95">
        <v>2.12941564872895</v>
      </c>
      <c r="BE1315" s="95">
        <v>3.2679738562091498</v>
      </c>
    </row>
    <row r="1316" spans="2:57" ht="15" customHeight="1" x14ac:dyDescent="0.25">
      <c r="B1316" s="86">
        <v>1306</v>
      </c>
      <c r="C1316" s="87" t="s">
        <v>503</v>
      </c>
      <c r="D1316" s="103" t="s">
        <v>92</v>
      </c>
      <c r="E1316" s="103" t="s">
        <v>430</v>
      </c>
      <c r="F1316" s="103"/>
      <c r="G1316" s="88" t="s">
        <v>430</v>
      </c>
      <c r="H1316" s="89">
        <v>5548</v>
      </c>
      <c r="I1316" s="89">
        <v>3865</v>
      </c>
      <c r="J1316" s="89">
        <v>1683</v>
      </c>
      <c r="K1316" s="89">
        <v>418</v>
      </c>
      <c r="L1316" s="89">
        <v>1761</v>
      </c>
      <c r="M1316" s="89">
        <v>2875</v>
      </c>
      <c r="N1316" s="89">
        <v>494</v>
      </c>
      <c r="O1316" s="89">
        <v>5506</v>
      </c>
      <c r="P1316" s="89">
        <v>42</v>
      </c>
      <c r="Q1316" s="90">
        <v>1.01920815366523</v>
      </c>
      <c r="R1316" s="90">
        <v>0.70165590794274502</v>
      </c>
      <c r="S1316" s="90">
        <v>1.7543859649122799</v>
      </c>
      <c r="T1316" s="90">
        <v>1.0989010989011001</v>
      </c>
      <c r="U1316" s="90">
        <v>1.05853051058531</v>
      </c>
      <c r="V1316" s="90">
        <v>1.0078387458006699</v>
      </c>
      <c r="W1316" s="90">
        <v>0.88300220750551905</v>
      </c>
      <c r="X1316" s="90">
        <v>1.0075069142631401</v>
      </c>
      <c r="Y1316" s="90">
        <v>2.5</v>
      </c>
      <c r="Z1316" s="89">
        <v>5902</v>
      </c>
      <c r="AA1316" s="89">
        <v>3715</v>
      </c>
      <c r="AB1316" s="89">
        <v>2187</v>
      </c>
      <c r="AC1316" s="89">
        <v>341</v>
      </c>
      <c r="AD1316" s="89">
        <v>1600</v>
      </c>
      <c r="AE1316" s="89">
        <v>3238</v>
      </c>
      <c r="AF1316" s="89">
        <v>723</v>
      </c>
      <c r="AG1316" s="89">
        <v>2403</v>
      </c>
      <c r="AH1316" s="89">
        <v>3275</v>
      </c>
      <c r="AI1316" s="89">
        <v>224</v>
      </c>
      <c r="AJ1316" s="89">
        <v>5787</v>
      </c>
      <c r="AK1316" s="89">
        <v>86</v>
      </c>
      <c r="AL1316" s="89">
        <v>29</v>
      </c>
      <c r="AM1316" s="89">
        <v>316</v>
      </c>
      <c r="AN1316" s="89">
        <v>5481</v>
      </c>
      <c r="AO1316" s="89">
        <v>105</v>
      </c>
      <c r="AP1316" s="90">
        <v>4.40376948169627</v>
      </c>
      <c r="AQ1316" s="90">
        <v>1.53104621491352</v>
      </c>
      <c r="AR1316" s="90">
        <v>9.49271722752386</v>
      </c>
      <c r="AS1316" s="90">
        <v>6.1093247588424404</v>
      </c>
      <c r="AT1316" s="90">
        <v>5.1747311827956999</v>
      </c>
      <c r="AU1316" s="90">
        <v>3.9577836411609502</v>
      </c>
      <c r="AV1316" s="90">
        <v>3.9301310043668098</v>
      </c>
      <c r="AW1316" s="90">
        <v>3.64120781527531</v>
      </c>
      <c r="AX1316" s="90">
        <v>5.1859099804305302</v>
      </c>
      <c r="AY1316" s="90">
        <v>1</v>
      </c>
      <c r="AZ1316" s="90">
        <v>4.3968224644374603</v>
      </c>
      <c r="BA1316" s="90">
        <v>6.4102564102564097</v>
      </c>
      <c r="BB1316" s="90">
        <v>0</v>
      </c>
      <c r="BC1316" s="90">
        <v>3.4129692832764502</v>
      </c>
      <c r="BD1316" s="90">
        <v>4.4851794071762896</v>
      </c>
      <c r="BE1316" s="90">
        <v>3.0927835051546402</v>
      </c>
    </row>
    <row r="1317" spans="2:57" ht="15" customHeight="1" x14ac:dyDescent="0.25">
      <c r="B1317" s="91">
        <v>1307</v>
      </c>
      <c r="C1317" s="92" t="s">
        <v>503</v>
      </c>
      <c r="D1317" s="92" t="s">
        <v>92</v>
      </c>
      <c r="E1317" s="92" t="s">
        <v>430</v>
      </c>
      <c r="F1317" s="92"/>
      <c r="G1317" s="93" t="s">
        <v>501</v>
      </c>
      <c r="H1317" s="94">
        <v>3257</v>
      </c>
      <c r="I1317" s="94">
        <v>2071</v>
      </c>
      <c r="J1317" s="94">
        <v>1186</v>
      </c>
      <c r="K1317" s="94">
        <v>244</v>
      </c>
      <c r="L1317" s="94">
        <v>951</v>
      </c>
      <c r="M1317" s="94">
        <v>1745</v>
      </c>
      <c r="N1317" s="94">
        <v>317</v>
      </c>
      <c r="O1317" s="94">
        <v>3232</v>
      </c>
      <c r="P1317" s="94">
        <v>25</v>
      </c>
      <c r="Q1317" s="95">
        <v>1.27005347593583</v>
      </c>
      <c r="R1317" s="95">
        <v>0.68601583113456499</v>
      </c>
      <c r="S1317" s="95">
        <v>2.2789425706472199</v>
      </c>
      <c r="T1317" s="95">
        <v>1.91387559808612</v>
      </c>
      <c r="U1317" s="95">
        <v>1.14942528735632</v>
      </c>
      <c r="V1317" s="95">
        <v>1.2300123001229999</v>
      </c>
      <c r="W1317" s="95">
        <v>1.39372822299652</v>
      </c>
      <c r="X1317" s="95">
        <v>1.2470508931580699</v>
      </c>
      <c r="Y1317" s="95">
        <v>4</v>
      </c>
      <c r="Z1317" s="94">
        <v>3502</v>
      </c>
      <c r="AA1317" s="94">
        <v>2091</v>
      </c>
      <c r="AB1317" s="94">
        <v>1411</v>
      </c>
      <c r="AC1317" s="94">
        <v>179</v>
      </c>
      <c r="AD1317" s="94">
        <v>942</v>
      </c>
      <c r="AE1317" s="94">
        <v>1917</v>
      </c>
      <c r="AF1317" s="94">
        <v>464</v>
      </c>
      <c r="AG1317" s="94">
        <v>1158</v>
      </c>
      <c r="AH1317" s="94">
        <v>2217</v>
      </c>
      <c r="AI1317" s="94">
        <v>127</v>
      </c>
      <c r="AJ1317" s="94">
        <v>3452</v>
      </c>
      <c r="AK1317" s="94">
        <v>34</v>
      </c>
      <c r="AL1317" s="94">
        <v>16</v>
      </c>
      <c r="AM1317" s="94">
        <v>217</v>
      </c>
      <c r="AN1317" s="94">
        <v>3215</v>
      </c>
      <c r="AO1317" s="94">
        <v>70</v>
      </c>
      <c r="AP1317" s="95">
        <v>6.1576354679802998</v>
      </c>
      <c r="AQ1317" s="95">
        <v>2.1428571428571401</v>
      </c>
      <c r="AR1317" s="95">
        <v>12.2670807453416</v>
      </c>
      <c r="AS1317" s="95">
        <v>8.6956521739130395</v>
      </c>
      <c r="AT1317" s="95">
        <v>7.4074074074074101</v>
      </c>
      <c r="AU1317" s="95">
        <v>5.4840514829322897</v>
      </c>
      <c r="AV1317" s="95">
        <v>5.5045871559632999</v>
      </c>
      <c r="AW1317" s="95">
        <v>6.0129509713228497</v>
      </c>
      <c r="AX1317" s="95">
        <v>6.4531780688985902</v>
      </c>
      <c r="AY1317" s="95">
        <v>1.88679245283019</v>
      </c>
      <c r="AZ1317" s="95">
        <v>6.0880424601935701</v>
      </c>
      <c r="BA1317" s="95">
        <v>16.6666666666667</v>
      </c>
      <c r="BB1317" s="95">
        <v>0</v>
      </c>
      <c r="BC1317" s="95">
        <v>5</v>
      </c>
      <c r="BD1317" s="95">
        <v>6.2981574539363496</v>
      </c>
      <c r="BE1317" s="95">
        <v>3.17460317460317</v>
      </c>
    </row>
    <row r="1318" spans="2:57" ht="15" customHeight="1" x14ac:dyDescent="0.25">
      <c r="B1318" s="91">
        <v>1308</v>
      </c>
      <c r="C1318" s="92" t="s">
        <v>503</v>
      </c>
      <c r="D1318" s="92" t="s">
        <v>92</v>
      </c>
      <c r="E1318" s="92" t="s">
        <v>430</v>
      </c>
      <c r="F1318" s="92"/>
      <c r="G1318" s="93" t="s">
        <v>502</v>
      </c>
      <c r="H1318" s="94">
        <v>2291</v>
      </c>
      <c r="I1318" s="94">
        <v>1794</v>
      </c>
      <c r="J1318" s="94">
        <v>497</v>
      </c>
      <c r="K1318" s="94">
        <v>174</v>
      </c>
      <c r="L1318" s="94">
        <v>810</v>
      </c>
      <c r="M1318" s="94">
        <v>1130</v>
      </c>
      <c r="N1318" s="94">
        <v>177</v>
      </c>
      <c r="O1318" s="94">
        <v>2274</v>
      </c>
      <c r="P1318" s="94">
        <v>17</v>
      </c>
      <c r="Q1318" s="95">
        <v>0.66350710900473897</v>
      </c>
      <c r="R1318" s="95">
        <v>0.71942446043165498</v>
      </c>
      <c r="S1318" s="95">
        <v>0.45248868778280499</v>
      </c>
      <c r="T1318" s="95">
        <v>0</v>
      </c>
      <c r="U1318" s="95">
        <v>0.95108695652173902</v>
      </c>
      <c r="V1318" s="95">
        <v>0.66476733143399802</v>
      </c>
      <c r="W1318" s="95">
        <v>0</v>
      </c>
      <c r="X1318" s="95">
        <v>0.66825775656324604</v>
      </c>
      <c r="Y1318" s="95">
        <v>0</v>
      </c>
      <c r="Z1318" s="94">
        <v>2400</v>
      </c>
      <c r="AA1318" s="94">
        <v>1624</v>
      </c>
      <c r="AB1318" s="94">
        <v>776</v>
      </c>
      <c r="AC1318" s="94">
        <v>162</v>
      </c>
      <c r="AD1318" s="94">
        <v>658</v>
      </c>
      <c r="AE1318" s="94">
        <v>1321</v>
      </c>
      <c r="AF1318" s="94">
        <v>259</v>
      </c>
      <c r="AG1318" s="94">
        <v>1245</v>
      </c>
      <c r="AH1318" s="94">
        <v>1058</v>
      </c>
      <c r="AI1318" s="94">
        <v>97</v>
      </c>
      <c r="AJ1318" s="94">
        <v>2335</v>
      </c>
      <c r="AK1318" s="94">
        <v>52</v>
      </c>
      <c r="AL1318" s="94">
        <v>13</v>
      </c>
      <c r="AM1318" s="94">
        <v>99</v>
      </c>
      <c r="AN1318" s="94">
        <v>2266</v>
      </c>
      <c r="AO1318" s="94">
        <v>35</v>
      </c>
      <c r="AP1318" s="95">
        <v>1.8942731277533</v>
      </c>
      <c r="AQ1318" s="95">
        <v>0.765794511805999</v>
      </c>
      <c r="AR1318" s="95">
        <v>4.4096728307254596</v>
      </c>
      <c r="AS1318" s="95">
        <v>3.3333333333333299</v>
      </c>
      <c r="AT1318" s="95">
        <v>2.0833333333333299</v>
      </c>
      <c r="AU1318" s="95">
        <v>1.7670682730923699</v>
      </c>
      <c r="AV1318" s="95">
        <v>1.1952191235059799</v>
      </c>
      <c r="AW1318" s="95">
        <v>1.4517506404782199</v>
      </c>
      <c r="AX1318" s="95">
        <v>2.5870646766169201</v>
      </c>
      <c r="AY1318" s="95">
        <v>0</v>
      </c>
      <c r="AZ1318" s="95">
        <v>1.94570135746606</v>
      </c>
      <c r="BA1318" s="95">
        <v>0</v>
      </c>
      <c r="BB1318" s="95">
        <v>0</v>
      </c>
      <c r="BC1318" s="95">
        <v>0</v>
      </c>
      <c r="BD1318" s="95">
        <v>1.95986934204386</v>
      </c>
      <c r="BE1318" s="95">
        <v>2.9411764705882399</v>
      </c>
    </row>
    <row r="1319" spans="2:57" ht="15" customHeight="1" x14ac:dyDescent="0.25">
      <c r="B1319" s="96">
        <v>1309</v>
      </c>
      <c r="C1319" s="97" t="s">
        <v>504</v>
      </c>
      <c r="D1319" s="104" t="s">
        <v>92</v>
      </c>
      <c r="E1319" s="104" t="s">
        <v>430</v>
      </c>
      <c r="F1319" s="104" t="s">
        <v>64</v>
      </c>
      <c r="G1319" s="105" t="s">
        <v>64</v>
      </c>
      <c r="H1319" s="106">
        <v>3013</v>
      </c>
      <c r="I1319" s="106">
        <v>2120</v>
      </c>
      <c r="J1319" s="106">
        <v>893</v>
      </c>
      <c r="K1319" s="106">
        <v>223</v>
      </c>
      <c r="L1319" s="106">
        <v>977</v>
      </c>
      <c r="M1319" s="106">
        <v>1552</v>
      </c>
      <c r="N1319" s="106">
        <v>261</v>
      </c>
      <c r="O1319" s="106">
        <v>2991</v>
      </c>
      <c r="P1319" s="106">
        <v>22</v>
      </c>
      <c r="Q1319" s="107">
        <v>1.09849871841816</v>
      </c>
      <c r="R1319" s="107">
        <v>0.62305295950155803</v>
      </c>
      <c r="S1319" s="107">
        <v>2.2360248447204998</v>
      </c>
      <c r="T1319" s="107">
        <v>0.52356020942408399</v>
      </c>
      <c r="U1319" s="107">
        <v>1.13250283125708</v>
      </c>
      <c r="V1319" s="107">
        <v>1.26315789473684</v>
      </c>
      <c r="W1319" s="107">
        <v>0.431034482758621</v>
      </c>
      <c r="X1319" s="107">
        <v>1.0697159719660601</v>
      </c>
      <c r="Y1319" s="107">
        <v>5</v>
      </c>
      <c r="Z1319" s="106">
        <v>2971</v>
      </c>
      <c r="AA1319" s="106">
        <v>1869</v>
      </c>
      <c r="AB1319" s="106">
        <v>1102</v>
      </c>
      <c r="AC1319" s="106">
        <v>187</v>
      </c>
      <c r="AD1319" s="106">
        <v>822</v>
      </c>
      <c r="AE1319" s="106">
        <v>1590</v>
      </c>
      <c r="AF1319" s="106">
        <v>372</v>
      </c>
      <c r="AG1319" s="106">
        <v>1361</v>
      </c>
      <c r="AH1319" s="106">
        <v>1442</v>
      </c>
      <c r="AI1319" s="106">
        <v>168</v>
      </c>
      <c r="AJ1319" s="106">
        <v>2897</v>
      </c>
      <c r="AK1319" s="106">
        <v>61</v>
      </c>
      <c r="AL1319" s="106">
        <v>13</v>
      </c>
      <c r="AM1319" s="106">
        <v>176</v>
      </c>
      <c r="AN1319" s="106">
        <v>2734</v>
      </c>
      <c r="AO1319" s="106">
        <v>61</v>
      </c>
      <c r="AP1319" s="107">
        <v>3.99568034557235</v>
      </c>
      <c r="AQ1319" s="107">
        <v>1.75240248728095</v>
      </c>
      <c r="AR1319" s="107">
        <v>7.9286422200198201</v>
      </c>
      <c r="AS1319" s="107">
        <v>5.9523809523809499</v>
      </c>
      <c r="AT1319" s="107">
        <v>4.14507772020725</v>
      </c>
      <c r="AU1319" s="107">
        <v>3.76344086021505</v>
      </c>
      <c r="AV1319" s="107">
        <v>3.71428571428571</v>
      </c>
      <c r="AW1319" s="107">
        <v>3.9032006245120998</v>
      </c>
      <c r="AX1319" s="107">
        <v>4.3801039346696404</v>
      </c>
      <c r="AY1319" s="107">
        <v>1.3333333333333299</v>
      </c>
      <c r="AZ1319" s="107">
        <v>3.9852398523985202</v>
      </c>
      <c r="BA1319" s="107">
        <v>5.3571428571428603</v>
      </c>
      <c r="BB1319" s="107">
        <v>0</v>
      </c>
      <c r="BC1319" s="107">
        <v>3.0303030303030298</v>
      </c>
      <c r="BD1319" s="107">
        <v>4.0656763096168902</v>
      </c>
      <c r="BE1319" s="107">
        <v>3.6363636363636398</v>
      </c>
    </row>
    <row r="1320" spans="2:57" ht="15" customHeight="1" x14ac:dyDescent="0.25">
      <c r="B1320" s="91">
        <v>1310</v>
      </c>
      <c r="C1320" s="92" t="s">
        <v>504</v>
      </c>
      <c r="D1320" s="92" t="s">
        <v>92</v>
      </c>
      <c r="E1320" s="92" t="s">
        <v>430</v>
      </c>
      <c r="F1320" s="92" t="s">
        <v>64</v>
      </c>
      <c r="G1320" s="101" t="s">
        <v>501</v>
      </c>
      <c r="H1320" s="94">
        <v>1865</v>
      </c>
      <c r="I1320" s="94">
        <v>1211</v>
      </c>
      <c r="J1320" s="94">
        <v>654</v>
      </c>
      <c r="K1320" s="94">
        <v>133</v>
      </c>
      <c r="L1320" s="94">
        <v>572</v>
      </c>
      <c r="M1320" s="94">
        <v>988</v>
      </c>
      <c r="N1320" s="94">
        <v>172</v>
      </c>
      <c r="O1320" s="94">
        <v>1853</v>
      </c>
      <c r="P1320" s="94">
        <v>12</v>
      </c>
      <c r="Q1320" s="95">
        <v>1.2933568489124001</v>
      </c>
      <c r="R1320" s="95">
        <v>0.54694621695533296</v>
      </c>
      <c r="S1320" s="95">
        <v>2.64900662251656</v>
      </c>
      <c r="T1320" s="95">
        <v>0.87719298245613997</v>
      </c>
      <c r="U1320" s="95">
        <v>1.3333333333333299</v>
      </c>
      <c r="V1320" s="95">
        <v>1.42387732749179</v>
      </c>
      <c r="W1320" s="95">
        <v>0.67114093959731502</v>
      </c>
      <c r="X1320" s="95">
        <v>1.2433392539964501</v>
      </c>
      <c r="Y1320" s="95">
        <v>8.3333333333333304</v>
      </c>
      <c r="Z1320" s="94">
        <v>1924</v>
      </c>
      <c r="AA1320" s="94">
        <v>1171</v>
      </c>
      <c r="AB1320" s="94">
        <v>753</v>
      </c>
      <c r="AC1320" s="94">
        <v>98</v>
      </c>
      <c r="AD1320" s="94">
        <v>546</v>
      </c>
      <c r="AE1320" s="94">
        <v>1044</v>
      </c>
      <c r="AF1320" s="94">
        <v>236</v>
      </c>
      <c r="AG1320" s="94">
        <v>755</v>
      </c>
      <c r="AH1320" s="94">
        <v>1075</v>
      </c>
      <c r="AI1320" s="94">
        <v>94</v>
      </c>
      <c r="AJ1320" s="94">
        <v>1896</v>
      </c>
      <c r="AK1320" s="94">
        <v>18</v>
      </c>
      <c r="AL1320" s="94">
        <v>10</v>
      </c>
      <c r="AM1320" s="94">
        <v>130</v>
      </c>
      <c r="AN1320" s="94">
        <v>1748</v>
      </c>
      <c r="AO1320" s="94">
        <v>46</v>
      </c>
      <c r="AP1320" s="95">
        <v>5.1714446318156302</v>
      </c>
      <c r="AQ1320" s="95">
        <v>2.27686703096539</v>
      </c>
      <c r="AR1320" s="95">
        <v>9.8384728340675505</v>
      </c>
      <c r="AS1320" s="95">
        <v>7.9545454545454497</v>
      </c>
      <c r="AT1320" s="95">
        <v>4.9603174603174596</v>
      </c>
      <c r="AU1320" s="95">
        <v>5.0567595459236303</v>
      </c>
      <c r="AV1320" s="95">
        <v>5.0458715596330297</v>
      </c>
      <c r="AW1320" s="95">
        <v>5.8073654390934797</v>
      </c>
      <c r="AX1320" s="95">
        <v>4.9246231155778899</v>
      </c>
      <c r="AY1320" s="95">
        <v>2.5641025641025599</v>
      </c>
      <c r="AZ1320" s="95">
        <v>5.0741163055872303</v>
      </c>
      <c r="BA1320" s="95">
        <v>18.75</v>
      </c>
      <c r="BB1320" s="95">
        <v>0</v>
      </c>
      <c r="BC1320" s="95">
        <v>4.1666666666666696</v>
      </c>
      <c r="BD1320" s="95">
        <v>5.3119209388511397</v>
      </c>
      <c r="BE1320" s="95">
        <v>2.5</v>
      </c>
    </row>
    <row r="1321" spans="2:57" ht="15" customHeight="1" x14ac:dyDescent="0.25">
      <c r="B1321" s="91">
        <v>1311</v>
      </c>
      <c r="C1321" s="92" t="s">
        <v>504</v>
      </c>
      <c r="D1321" s="92" t="s">
        <v>92</v>
      </c>
      <c r="E1321" s="92" t="s">
        <v>430</v>
      </c>
      <c r="F1321" s="92" t="s">
        <v>64</v>
      </c>
      <c r="G1321" s="101" t="s">
        <v>502</v>
      </c>
      <c r="H1321" s="94">
        <v>1148</v>
      </c>
      <c r="I1321" s="94">
        <v>909</v>
      </c>
      <c r="J1321" s="94">
        <v>239</v>
      </c>
      <c r="K1321" s="94">
        <v>90</v>
      </c>
      <c r="L1321" s="94">
        <v>405</v>
      </c>
      <c r="M1321" s="94">
        <v>564</v>
      </c>
      <c r="N1321" s="94">
        <v>89</v>
      </c>
      <c r="O1321" s="94">
        <v>1138</v>
      </c>
      <c r="P1321" s="94">
        <v>10</v>
      </c>
      <c r="Q1321" s="95">
        <v>0.77669902912621402</v>
      </c>
      <c r="R1321" s="95">
        <v>0.72376357056694796</v>
      </c>
      <c r="S1321" s="95">
        <v>0.99502487562189101</v>
      </c>
      <c r="T1321" s="95">
        <v>0</v>
      </c>
      <c r="U1321" s="95">
        <v>0.83798882681564202</v>
      </c>
      <c r="V1321" s="95">
        <v>0.9765625</v>
      </c>
      <c r="W1321" s="95">
        <v>0</v>
      </c>
      <c r="X1321" s="95">
        <v>0.78277886497064597</v>
      </c>
      <c r="Y1321" s="95">
        <v>0</v>
      </c>
      <c r="Z1321" s="94">
        <v>1047</v>
      </c>
      <c r="AA1321" s="94">
        <v>698</v>
      </c>
      <c r="AB1321" s="94">
        <v>349</v>
      </c>
      <c r="AC1321" s="94">
        <v>89</v>
      </c>
      <c r="AD1321" s="94">
        <v>276</v>
      </c>
      <c r="AE1321" s="94">
        <v>546</v>
      </c>
      <c r="AF1321" s="94">
        <v>136</v>
      </c>
      <c r="AG1321" s="94">
        <v>606</v>
      </c>
      <c r="AH1321" s="94">
        <v>367</v>
      </c>
      <c r="AI1321" s="94">
        <v>74</v>
      </c>
      <c r="AJ1321" s="94">
        <v>1001</v>
      </c>
      <c r="AK1321" s="94">
        <v>43</v>
      </c>
      <c r="AL1321" s="94">
        <v>3</v>
      </c>
      <c r="AM1321" s="94">
        <v>46</v>
      </c>
      <c r="AN1321" s="94">
        <v>986</v>
      </c>
      <c r="AO1321" s="94">
        <v>15</v>
      </c>
      <c r="AP1321" s="95">
        <v>1.9019019019018999</v>
      </c>
      <c r="AQ1321" s="95">
        <v>0.894187779433681</v>
      </c>
      <c r="AR1321" s="95">
        <v>3.9634146341463401</v>
      </c>
      <c r="AS1321" s="95">
        <v>3.75</v>
      </c>
      <c r="AT1321" s="95">
        <v>2.6119402985074598</v>
      </c>
      <c r="AU1321" s="95">
        <v>1.3487475915221601</v>
      </c>
      <c r="AV1321" s="95">
        <v>1.51515151515152</v>
      </c>
      <c r="AW1321" s="95">
        <v>1.5652173913043499</v>
      </c>
      <c r="AX1321" s="95">
        <v>2.8409090909090899</v>
      </c>
      <c r="AY1321" s="95">
        <v>0</v>
      </c>
      <c r="AZ1321" s="95">
        <v>1.98744769874477</v>
      </c>
      <c r="BA1321" s="95">
        <v>0</v>
      </c>
      <c r="BB1321" s="95">
        <v>0</v>
      </c>
      <c r="BC1321" s="95">
        <v>0</v>
      </c>
      <c r="BD1321" s="95">
        <v>1.91693290734824</v>
      </c>
      <c r="BE1321" s="95">
        <v>6.6666666666666696</v>
      </c>
    </row>
    <row r="1322" spans="2:57" ht="15" customHeight="1" x14ac:dyDescent="0.25">
      <c r="B1322" s="96">
        <v>1312</v>
      </c>
      <c r="C1322" s="97" t="s">
        <v>504</v>
      </c>
      <c r="D1322" s="104" t="s">
        <v>92</v>
      </c>
      <c r="E1322" s="104" t="s">
        <v>430</v>
      </c>
      <c r="F1322" s="104" t="s">
        <v>44</v>
      </c>
      <c r="G1322" s="105" t="s">
        <v>44</v>
      </c>
      <c r="H1322" s="106">
        <v>2128</v>
      </c>
      <c r="I1322" s="106">
        <v>1430</v>
      </c>
      <c r="J1322" s="106">
        <v>698</v>
      </c>
      <c r="K1322" s="106">
        <v>164</v>
      </c>
      <c r="L1322" s="106">
        <v>656</v>
      </c>
      <c r="M1322" s="106">
        <v>1116</v>
      </c>
      <c r="N1322" s="106">
        <v>192</v>
      </c>
      <c r="O1322" s="106">
        <v>2112</v>
      </c>
      <c r="P1322" s="106">
        <v>16</v>
      </c>
      <c r="Q1322" s="107">
        <v>0.80160320641282601</v>
      </c>
      <c r="R1322" s="107">
        <v>0.52044609665427499</v>
      </c>
      <c r="S1322" s="107">
        <v>1.3824884792626699</v>
      </c>
      <c r="T1322" s="107">
        <v>2.0408163265306101</v>
      </c>
      <c r="U1322" s="107">
        <v>0.49504950495049499</v>
      </c>
      <c r="V1322" s="107">
        <v>0.66100094428706302</v>
      </c>
      <c r="W1322" s="107">
        <v>1.6304347826087</v>
      </c>
      <c r="X1322" s="107">
        <v>0.80808080808080796</v>
      </c>
      <c r="Y1322" s="107">
        <v>0</v>
      </c>
      <c r="Z1322" s="106">
        <v>2448</v>
      </c>
      <c r="AA1322" s="106">
        <v>1533</v>
      </c>
      <c r="AB1322" s="106">
        <v>915</v>
      </c>
      <c r="AC1322" s="106">
        <v>116</v>
      </c>
      <c r="AD1322" s="106">
        <v>662</v>
      </c>
      <c r="AE1322" s="106">
        <v>1371</v>
      </c>
      <c r="AF1322" s="106">
        <v>299</v>
      </c>
      <c r="AG1322" s="106">
        <v>868</v>
      </c>
      <c r="AH1322" s="106">
        <v>1529</v>
      </c>
      <c r="AI1322" s="106">
        <v>51</v>
      </c>
      <c r="AJ1322" s="106">
        <v>2413</v>
      </c>
      <c r="AK1322" s="106">
        <v>19</v>
      </c>
      <c r="AL1322" s="106">
        <v>16</v>
      </c>
      <c r="AM1322" s="106">
        <v>114</v>
      </c>
      <c r="AN1322" s="106">
        <v>2293</v>
      </c>
      <c r="AO1322" s="106">
        <v>41</v>
      </c>
      <c r="AP1322" s="107">
        <v>5.2010489510489499</v>
      </c>
      <c r="AQ1322" s="107">
        <v>1.3031550068587101</v>
      </c>
      <c r="AR1322" s="107">
        <v>12.048192771084301</v>
      </c>
      <c r="AS1322" s="107">
        <v>7.4074074074074101</v>
      </c>
      <c r="AT1322" s="107">
        <v>6.9306930693069297</v>
      </c>
      <c r="AU1322" s="107">
        <v>4.2735042735042699</v>
      </c>
      <c r="AV1322" s="107">
        <v>4.8780487804878003</v>
      </c>
      <c r="AW1322" s="107">
        <v>3.4696406443618302</v>
      </c>
      <c r="AX1322" s="107">
        <v>6.3370473537604504</v>
      </c>
      <c r="AY1322" s="107">
        <v>0</v>
      </c>
      <c r="AZ1322" s="107">
        <v>5.1861702127659601</v>
      </c>
      <c r="BA1322" s="107">
        <v>11.764705882352899</v>
      </c>
      <c r="BB1322" s="107">
        <v>0</v>
      </c>
      <c r="BC1322" s="107">
        <v>4.8076923076923102</v>
      </c>
      <c r="BD1322" s="107">
        <v>5.2680652680652704</v>
      </c>
      <c r="BE1322" s="107">
        <v>2.5641025641025599</v>
      </c>
    </row>
    <row r="1323" spans="2:57" ht="15" customHeight="1" x14ac:dyDescent="0.25">
      <c r="B1323" s="91">
        <v>1313</v>
      </c>
      <c r="C1323" s="92" t="s">
        <v>504</v>
      </c>
      <c r="D1323" s="92" t="s">
        <v>92</v>
      </c>
      <c r="E1323" s="92" t="s">
        <v>430</v>
      </c>
      <c r="F1323" s="92" t="s">
        <v>44</v>
      </c>
      <c r="G1323" s="101" t="s">
        <v>501</v>
      </c>
      <c r="H1323" s="94">
        <v>1392</v>
      </c>
      <c r="I1323" s="94">
        <v>860</v>
      </c>
      <c r="J1323" s="94">
        <v>532</v>
      </c>
      <c r="K1323" s="94">
        <v>111</v>
      </c>
      <c r="L1323" s="94">
        <v>379</v>
      </c>
      <c r="M1323" s="94">
        <v>757</v>
      </c>
      <c r="N1323" s="94">
        <v>145</v>
      </c>
      <c r="O1323" s="94">
        <v>1379</v>
      </c>
      <c r="P1323" s="94">
        <v>13</v>
      </c>
      <c r="Q1323" s="95">
        <v>1.23934934159566</v>
      </c>
      <c r="R1323" s="95">
        <v>0.87719298245613997</v>
      </c>
      <c r="S1323" s="95">
        <v>1.8255578093306299</v>
      </c>
      <c r="T1323" s="95">
        <v>3.1578947368421102</v>
      </c>
      <c r="U1323" s="95">
        <v>0.86956521739130399</v>
      </c>
      <c r="V1323" s="95">
        <v>0.98176718092566595</v>
      </c>
      <c r="W1323" s="95">
        <v>2.1739130434782599</v>
      </c>
      <c r="X1323" s="95">
        <v>1.25195618153365</v>
      </c>
      <c r="Y1323" s="95">
        <v>0</v>
      </c>
      <c r="Z1323" s="94">
        <v>1578</v>
      </c>
      <c r="AA1323" s="94">
        <v>920</v>
      </c>
      <c r="AB1323" s="94">
        <v>658</v>
      </c>
      <c r="AC1323" s="94">
        <v>81</v>
      </c>
      <c r="AD1323" s="94">
        <v>396</v>
      </c>
      <c r="AE1323" s="94">
        <v>873</v>
      </c>
      <c r="AF1323" s="94">
        <v>228</v>
      </c>
      <c r="AG1323" s="94">
        <v>403</v>
      </c>
      <c r="AH1323" s="94">
        <v>1142</v>
      </c>
      <c r="AI1323" s="94">
        <v>33</v>
      </c>
      <c r="AJ1323" s="94">
        <v>1556</v>
      </c>
      <c r="AK1323" s="94">
        <v>16</v>
      </c>
      <c r="AL1323" s="94">
        <v>6</v>
      </c>
      <c r="AM1323" s="94">
        <v>87</v>
      </c>
      <c r="AN1323" s="94">
        <v>1467</v>
      </c>
      <c r="AO1323" s="94">
        <v>24</v>
      </c>
      <c r="AP1323" s="95">
        <v>7.3519400953029299</v>
      </c>
      <c r="AQ1323" s="95">
        <v>1.97215777262181</v>
      </c>
      <c r="AR1323" s="95">
        <v>14.99176276771</v>
      </c>
      <c r="AS1323" s="95">
        <v>9.5890410958904102</v>
      </c>
      <c r="AT1323" s="95">
        <v>10.8333333333333</v>
      </c>
      <c r="AU1323" s="95">
        <v>5.9902200488997597</v>
      </c>
      <c r="AV1323" s="95">
        <v>5.96330275229358</v>
      </c>
      <c r="AW1323" s="95">
        <v>6.4</v>
      </c>
      <c r="AX1323" s="95">
        <v>7.8799249530956796</v>
      </c>
      <c r="AY1323" s="95">
        <v>0</v>
      </c>
      <c r="AZ1323" s="95">
        <v>7.3153899240855802</v>
      </c>
      <c r="BA1323" s="95">
        <v>14.285714285714301</v>
      </c>
      <c r="BB1323" s="95">
        <v>0</v>
      </c>
      <c r="BC1323" s="95">
        <v>6.25</v>
      </c>
      <c r="BD1323" s="95">
        <v>7.4670571010248903</v>
      </c>
      <c r="BE1323" s="95">
        <v>4.3478260869565197</v>
      </c>
    </row>
    <row r="1324" spans="2:57" ht="15" customHeight="1" x14ac:dyDescent="0.25">
      <c r="B1324" s="91">
        <v>1314</v>
      </c>
      <c r="C1324" s="92" t="s">
        <v>504</v>
      </c>
      <c r="D1324" s="92" t="s">
        <v>92</v>
      </c>
      <c r="E1324" s="92" t="s">
        <v>430</v>
      </c>
      <c r="F1324" s="92" t="s">
        <v>44</v>
      </c>
      <c r="G1324" s="101" t="s">
        <v>502</v>
      </c>
      <c r="H1324" s="94">
        <v>736</v>
      </c>
      <c r="I1324" s="94">
        <v>570</v>
      </c>
      <c r="J1324" s="94">
        <v>166</v>
      </c>
      <c r="K1324" s="94">
        <v>53</v>
      </c>
      <c r="L1324" s="94">
        <v>277</v>
      </c>
      <c r="M1324" s="94">
        <v>359</v>
      </c>
      <c r="N1324" s="94">
        <v>47</v>
      </c>
      <c r="O1324" s="94">
        <v>733</v>
      </c>
      <c r="P1324" s="94">
        <v>3</v>
      </c>
      <c r="Q1324" s="95">
        <v>0</v>
      </c>
      <c r="R1324" s="95">
        <v>0</v>
      </c>
      <c r="S1324" s="95">
        <v>0</v>
      </c>
      <c r="T1324" s="95">
        <v>0</v>
      </c>
      <c r="U1324" s="95">
        <v>0</v>
      </c>
      <c r="V1324" s="95">
        <v>0</v>
      </c>
      <c r="W1324" s="95">
        <v>0</v>
      </c>
      <c r="X1324" s="95">
        <v>0</v>
      </c>
      <c r="Y1324" s="95">
        <v>0</v>
      </c>
      <c r="Z1324" s="94">
        <v>870</v>
      </c>
      <c r="AA1324" s="94">
        <v>613</v>
      </c>
      <c r="AB1324" s="94">
        <v>257</v>
      </c>
      <c r="AC1324" s="94">
        <v>35</v>
      </c>
      <c r="AD1324" s="94">
        <v>266</v>
      </c>
      <c r="AE1324" s="94">
        <v>498</v>
      </c>
      <c r="AF1324" s="94">
        <v>71</v>
      </c>
      <c r="AG1324" s="94">
        <v>465</v>
      </c>
      <c r="AH1324" s="94">
        <v>387</v>
      </c>
      <c r="AI1324" s="94">
        <v>18</v>
      </c>
      <c r="AJ1324" s="94">
        <v>857</v>
      </c>
      <c r="AK1324" s="94">
        <v>3</v>
      </c>
      <c r="AL1324" s="94">
        <v>10</v>
      </c>
      <c r="AM1324" s="94">
        <v>27</v>
      </c>
      <c r="AN1324" s="94">
        <v>826</v>
      </c>
      <c r="AO1324" s="94">
        <v>17</v>
      </c>
      <c r="AP1324" s="95">
        <v>1.3431013431013401</v>
      </c>
      <c r="AQ1324" s="95">
        <v>0.33557046979865801</v>
      </c>
      <c r="AR1324" s="95">
        <v>4.03587443946188</v>
      </c>
      <c r="AS1324" s="95">
        <v>2.8571428571428599</v>
      </c>
      <c r="AT1324" s="95">
        <v>1.2195121951219501</v>
      </c>
      <c r="AU1324" s="95">
        <v>1.2793176972281499</v>
      </c>
      <c r="AV1324" s="95">
        <v>1.4492753623188399</v>
      </c>
      <c r="AW1324" s="95">
        <v>0.92592592592592604</v>
      </c>
      <c r="AX1324" s="95">
        <v>1.8918918918918901</v>
      </c>
      <c r="AY1324" s="95">
        <v>0</v>
      </c>
      <c r="AZ1324" s="95">
        <v>1.36307311028501</v>
      </c>
      <c r="BA1324" s="95">
        <v>0</v>
      </c>
      <c r="BB1324" s="95">
        <v>0</v>
      </c>
      <c r="BC1324" s="95">
        <v>0</v>
      </c>
      <c r="BD1324" s="95">
        <v>1.41206675224647</v>
      </c>
      <c r="BE1324" s="95">
        <v>0</v>
      </c>
    </row>
    <row r="1325" spans="2:57" ht="15" customHeight="1" x14ac:dyDescent="0.25">
      <c r="B1325" s="96">
        <v>1315</v>
      </c>
      <c r="C1325" s="97" t="s">
        <v>504</v>
      </c>
      <c r="D1325" s="104" t="s">
        <v>92</v>
      </c>
      <c r="E1325" s="104" t="s">
        <v>430</v>
      </c>
      <c r="F1325" s="104" t="s">
        <v>2</v>
      </c>
      <c r="G1325" s="105" t="s">
        <v>2</v>
      </c>
      <c r="H1325" s="106">
        <v>407</v>
      </c>
      <c r="I1325" s="106">
        <v>315</v>
      </c>
      <c r="J1325" s="106">
        <v>92</v>
      </c>
      <c r="K1325" s="106">
        <v>31</v>
      </c>
      <c r="L1325" s="106">
        <v>128</v>
      </c>
      <c r="M1325" s="106">
        <v>207</v>
      </c>
      <c r="N1325" s="106">
        <v>41</v>
      </c>
      <c r="O1325" s="106">
        <v>403</v>
      </c>
      <c r="P1325" s="106">
        <v>4</v>
      </c>
      <c r="Q1325" s="107">
        <v>1.6</v>
      </c>
      <c r="R1325" s="107">
        <v>2.0547945205479401</v>
      </c>
      <c r="S1325" s="107">
        <v>0</v>
      </c>
      <c r="T1325" s="107">
        <v>0</v>
      </c>
      <c r="U1325" s="107">
        <v>3.41880341880342</v>
      </c>
      <c r="V1325" s="107">
        <v>1.02564102564103</v>
      </c>
      <c r="W1325" s="107">
        <v>0</v>
      </c>
      <c r="X1325" s="107">
        <v>1.6172506738544501</v>
      </c>
      <c r="Y1325" s="107">
        <v>0</v>
      </c>
      <c r="Z1325" s="106">
        <v>483</v>
      </c>
      <c r="AA1325" s="106">
        <v>313</v>
      </c>
      <c r="AB1325" s="106">
        <v>170</v>
      </c>
      <c r="AC1325" s="106">
        <v>38</v>
      </c>
      <c r="AD1325" s="106">
        <v>116</v>
      </c>
      <c r="AE1325" s="106">
        <v>277</v>
      </c>
      <c r="AF1325" s="106">
        <v>52</v>
      </c>
      <c r="AG1325" s="106">
        <v>174</v>
      </c>
      <c r="AH1325" s="106">
        <v>304</v>
      </c>
      <c r="AI1325" s="106">
        <v>5</v>
      </c>
      <c r="AJ1325" s="106">
        <v>477</v>
      </c>
      <c r="AK1325" s="106">
        <v>6</v>
      </c>
      <c r="AL1325" s="106">
        <v>0</v>
      </c>
      <c r="AM1325" s="106">
        <v>26</v>
      </c>
      <c r="AN1325" s="106">
        <v>454</v>
      </c>
      <c r="AO1325" s="106">
        <v>3</v>
      </c>
      <c r="AP1325" s="107">
        <v>2.8761061946902702</v>
      </c>
      <c r="AQ1325" s="107">
        <v>1.3333333333333299</v>
      </c>
      <c r="AR1325" s="107">
        <v>5.9210526315789496</v>
      </c>
      <c r="AS1325" s="107">
        <v>2.8571428571428599</v>
      </c>
      <c r="AT1325" s="107">
        <v>2.7272727272727302</v>
      </c>
      <c r="AU1325" s="107">
        <v>3.5019455252918301</v>
      </c>
      <c r="AV1325" s="107">
        <v>0</v>
      </c>
      <c r="AW1325" s="107">
        <v>2.4390243902439002</v>
      </c>
      <c r="AX1325" s="107">
        <v>3.18021201413428</v>
      </c>
      <c r="AY1325" s="107">
        <v>0</v>
      </c>
      <c r="AZ1325" s="107">
        <v>2.9082774049217002</v>
      </c>
      <c r="BA1325" s="107">
        <v>0</v>
      </c>
      <c r="BB1325" s="107">
        <v>0</v>
      </c>
      <c r="BC1325" s="107">
        <v>0</v>
      </c>
      <c r="BD1325" s="107">
        <v>3.0588235294117601</v>
      </c>
      <c r="BE1325" s="107">
        <v>0</v>
      </c>
    </row>
    <row r="1326" spans="2:57" ht="15" customHeight="1" x14ac:dyDescent="0.25">
      <c r="B1326" s="91">
        <v>1316</v>
      </c>
      <c r="C1326" s="92" t="s">
        <v>504</v>
      </c>
      <c r="D1326" s="92" t="s">
        <v>92</v>
      </c>
      <c r="E1326" s="92" t="s">
        <v>430</v>
      </c>
      <c r="F1326" s="92" t="s">
        <v>2</v>
      </c>
      <c r="G1326" s="101" t="s">
        <v>501</v>
      </c>
      <c r="H1326" s="94">
        <v>0</v>
      </c>
      <c r="I1326" s="94">
        <v>0</v>
      </c>
      <c r="J1326" s="94">
        <v>0</v>
      </c>
      <c r="K1326" s="94">
        <v>0</v>
      </c>
      <c r="L1326" s="94">
        <v>0</v>
      </c>
      <c r="M1326" s="94">
        <v>0</v>
      </c>
      <c r="N1326" s="94">
        <v>0</v>
      </c>
      <c r="O1326" s="94">
        <v>0</v>
      </c>
      <c r="P1326" s="94">
        <v>0</v>
      </c>
      <c r="Q1326" s="95">
        <v>0</v>
      </c>
      <c r="R1326" s="95">
        <v>0</v>
      </c>
      <c r="S1326" s="95">
        <v>0</v>
      </c>
      <c r="T1326" s="95">
        <v>0</v>
      </c>
      <c r="U1326" s="95">
        <v>0</v>
      </c>
      <c r="V1326" s="95">
        <v>0</v>
      </c>
      <c r="W1326" s="95">
        <v>0</v>
      </c>
      <c r="X1326" s="95">
        <v>0</v>
      </c>
      <c r="Y1326" s="95">
        <v>0</v>
      </c>
      <c r="Z1326" s="94">
        <v>0</v>
      </c>
      <c r="AA1326" s="94">
        <v>0</v>
      </c>
      <c r="AB1326" s="94">
        <v>0</v>
      </c>
      <c r="AC1326" s="94">
        <v>0</v>
      </c>
      <c r="AD1326" s="94">
        <v>0</v>
      </c>
      <c r="AE1326" s="94">
        <v>0</v>
      </c>
      <c r="AF1326" s="94">
        <v>0</v>
      </c>
      <c r="AG1326" s="94">
        <v>0</v>
      </c>
      <c r="AH1326" s="94">
        <v>0</v>
      </c>
      <c r="AI1326" s="94">
        <v>0</v>
      </c>
      <c r="AJ1326" s="94">
        <v>0</v>
      </c>
      <c r="AK1326" s="94">
        <v>0</v>
      </c>
      <c r="AL1326" s="94">
        <v>0</v>
      </c>
      <c r="AM1326" s="94">
        <v>0</v>
      </c>
      <c r="AN1326" s="94">
        <v>0</v>
      </c>
      <c r="AO1326" s="94">
        <v>0</v>
      </c>
      <c r="AP1326" s="95">
        <v>0</v>
      </c>
      <c r="AQ1326" s="95">
        <v>0</v>
      </c>
      <c r="AR1326" s="95">
        <v>0</v>
      </c>
      <c r="AS1326" s="95">
        <v>0</v>
      </c>
      <c r="AT1326" s="95">
        <v>0</v>
      </c>
      <c r="AU1326" s="95">
        <v>0</v>
      </c>
      <c r="AV1326" s="95">
        <v>0</v>
      </c>
      <c r="AW1326" s="95">
        <v>0</v>
      </c>
      <c r="AX1326" s="95">
        <v>0</v>
      </c>
      <c r="AY1326" s="95">
        <v>0</v>
      </c>
      <c r="AZ1326" s="95">
        <v>0</v>
      </c>
      <c r="BA1326" s="95">
        <v>0</v>
      </c>
      <c r="BB1326" s="95">
        <v>0</v>
      </c>
      <c r="BC1326" s="95">
        <v>0</v>
      </c>
      <c r="BD1326" s="95">
        <v>0</v>
      </c>
      <c r="BE1326" s="95">
        <v>0</v>
      </c>
    </row>
    <row r="1327" spans="2:57" ht="15" customHeight="1" x14ac:dyDescent="0.25">
      <c r="B1327" s="91">
        <v>1317</v>
      </c>
      <c r="C1327" s="92" t="s">
        <v>504</v>
      </c>
      <c r="D1327" s="92" t="s">
        <v>92</v>
      </c>
      <c r="E1327" s="92" t="s">
        <v>430</v>
      </c>
      <c r="F1327" s="92" t="s">
        <v>2</v>
      </c>
      <c r="G1327" s="101" t="s">
        <v>502</v>
      </c>
      <c r="H1327" s="94">
        <v>407</v>
      </c>
      <c r="I1327" s="94">
        <v>315</v>
      </c>
      <c r="J1327" s="94">
        <v>92</v>
      </c>
      <c r="K1327" s="94">
        <v>31</v>
      </c>
      <c r="L1327" s="94">
        <v>128</v>
      </c>
      <c r="M1327" s="94">
        <v>207</v>
      </c>
      <c r="N1327" s="94">
        <v>41</v>
      </c>
      <c r="O1327" s="94">
        <v>403</v>
      </c>
      <c r="P1327" s="94">
        <v>4</v>
      </c>
      <c r="Q1327" s="95">
        <v>1.6</v>
      </c>
      <c r="R1327" s="95">
        <v>2.0547945205479401</v>
      </c>
      <c r="S1327" s="95">
        <v>0</v>
      </c>
      <c r="T1327" s="95">
        <v>0</v>
      </c>
      <c r="U1327" s="95">
        <v>3.41880341880342</v>
      </c>
      <c r="V1327" s="95">
        <v>1.02564102564103</v>
      </c>
      <c r="W1327" s="95">
        <v>0</v>
      </c>
      <c r="X1327" s="95">
        <v>1.6172506738544501</v>
      </c>
      <c r="Y1327" s="95">
        <v>0</v>
      </c>
      <c r="Z1327" s="94">
        <v>483</v>
      </c>
      <c r="AA1327" s="94">
        <v>313</v>
      </c>
      <c r="AB1327" s="94">
        <v>170</v>
      </c>
      <c r="AC1327" s="94">
        <v>38</v>
      </c>
      <c r="AD1327" s="94">
        <v>116</v>
      </c>
      <c r="AE1327" s="94">
        <v>277</v>
      </c>
      <c r="AF1327" s="94">
        <v>52</v>
      </c>
      <c r="AG1327" s="94">
        <v>174</v>
      </c>
      <c r="AH1327" s="94">
        <v>304</v>
      </c>
      <c r="AI1327" s="94">
        <v>5</v>
      </c>
      <c r="AJ1327" s="94">
        <v>477</v>
      </c>
      <c r="AK1327" s="94">
        <v>6</v>
      </c>
      <c r="AL1327" s="94">
        <v>0</v>
      </c>
      <c r="AM1327" s="94">
        <v>26</v>
      </c>
      <c r="AN1327" s="94">
        <v>454</v>
      </c>
      <c r="AO1327" s="94">
        <v>3</v>
      </c>
      <c r="AP1327" s="95">
        <v>2.8761061946902702</v>
      </c>
      <c r="AQ1327" s="95">
        <v>1.3333333333333299</v>
      </c>
      <c r="AR1327" s="95">
        <v>5.9210526315789496</v>
      </c>
      <c r="AS1327" s="95">
        <v>2.8571428571428599</v>
      </c>
      <c r="AT1327" s="95">
        <v>2.7272727272727302</v>
      </c>
      <c r="AU1327" s="95">
        <v>3.5019455252918301</v>
      </c>
      <c r="AV1327" s="95">
        <v>0</v>
      </c>
      <c r="AW1327" s="95">
        <v>2.4390243902439002</v>
      </c>
      <c r="AX1327" s="95">
        <v>3.18021201413428</v>
      </c>
      <c r="AY1327" s="95">
        <v>0</v>
      </c>
      <c r="AZ1327" s="95">
        <v>2.9082774049217002</v>
      </c>
      <c r="BA1327" s="95">
        <v>0</v>
      </c>
      <c r="BB1327" s="95">
        <v>0</v>
      </c>
      <c r="BC1327" s="95">
        <v>0</v>
      </c>
      <c r="BD1327" s="95">
        <v>3.0588235294117601</v>
      </c>
      <c r="BE1327" s="95">
        <v>0</v>
      </c>
    </row>
    <row r="1328" spans="2:57" ht="15" customHeight="1" x14ac:dyDescent="0.25">
      <c r="B1328" s="86">
        <v>1318</v>
      </c>
      <c r="C1328" s="87" t="s">
        <v>503</v>
      </c>
      <c r="D1328" s="103" t="s">
        <v>92</v>
      </c>
      <c r="E1328" s="103" t="s">
        <v>431</v>
      </c>
      <c r="F1328" s="103"/>
      <c r="G1328" s="88" t="s">
        <v>431</v>
      </c>
      <c r="H1328" s="89">
        <v>9169</v>
      </c>
      <c r="I1328" s="89">
        <v>6507</v>
      </c>
      <c r="J1328" s="89">
        <v>2662</v>
      </c>
      <c r="K1328" s="89">
        <v>670</v>
      </c>
      <c r="L1328" s="89">
        <v>2763</v>
      </c>
      <c r="M1328" s="89">
        <v>4840</v>
      </c>
      <c r="N1328" s="89">
        <v>896</v>
      </c>
      <c r="O1328" s="89">
        <v>9012</v>
      </c>
      <c r="P1328" s="89">
        <v>157</v>
      </c>
      <c r="Q1328" s="90">
        <v>0.92775136263481395</v>
      </c>
      <c r="R1328" s="90">
        <v>0.72697899838449098</v>
      </c>
      <c r="S1328" s="90">
        <v>1.4385532264693801</v>
      </c>
      <c r="T1328" s="90">
        <v>0.337268128161889</v>
      </c>
      <c r="U1328" s="90">
        <v>1.0069713400464799</v>
      </c>
      <c r="V1328" s="90">
        <v>0.97698653929656998</v>
      </c>
      <c r="W1328" s="90">
        <v>0.83135391923990498</v>
      </c>
      <c r="X1328" s="90">
        <v>0.838153700861764</v>
      </c>
      <c r="Y1328" s="90">
        <v>5.9210526315789496</v>
      </c>
      <c r="Z1328" s="89">
        <v>10817</v>
      </c>
      <c r="AA1328" s="89">
        <v>6978</v>
      </c>
      <c r="AB1328" s="89">
        <v>3839</v>
      </c>
      <c r="AC1328" s="89">
        <v>502</v>
      </c>
      <c r="AD1328" s="89">
        <v>2566</v>
      </c>
      <c r="AE1328" s="89">
        <v>6291</v>
      </c>
      <c r="AF1328" s="89">
        <v>1458</v>
      </c>
      <c r="AG1328" s="89">
        <v>4745</v>
      </c>
      <c r="AH1328" s="89">
        <v>5820</v>
      </c>
      <c r="AI1328" s="89">
        <v>252</v>
      </c>
      <c r="AJ1328" s="89">
        <v>10632</v>
      </c>
      <c r="AK1328" s="89">
        <v>137</v>
      </c>
      <c r="AL1328" s="89">
        <v>48</v>
      </c>
      <c r="AM1328" s="89">
        <v>646</v>
      </c>
      <c r="AN1328" s="89">
        <v>9997</v>
      </c>
      <c r="AO1328" s="89">
        <v>174</v>
      </c>
      <c r="AP1328" s="90">
        <v>4.2456556082148502</v>
      </c>
      <c r="AQ1328" s="90">
        <v>1.61700853421171</v>
      </c>
      <c r="AR1328" s="90">
        <v>9.3360394317193407</v>
      </c>
      <c r="AS1328" s="90">
        <v>5.70175438596491</v>
      </c>
      <c r="AT1328" s="90">
        <v>4.8657718120805402</v>
      </c>
      <c r="AU1328" s="90">
        <v>4.1687849517030999</v>
      </c>
      <c r="AV1328" s="90">
        <v>3.0281182408074998</v>
      </c>
      <c r="AW1328" s="90">
        <v>3.2294236375868999</v>
      </c>
      <c r="AX1328" s="90">
        <v>5.0919117647058796</v>
      </c>
      <c r="AY1328" s="90">
        <v>3.9301310043668098</v>
      </c>
      <c r="AZ1328" s="90">
        <v>4.2294554952782804</v>
      </c>
      <c r="BA1328" s="90">
        <v>5.46875</v>
      </c>
      <c r="BB1328" s="90">
        <v>4.3478260869565197</v>
      </c>
      <c r="BC1328" s="90">
        <v>2.9173419773095599</v>
      </c>
      <c r="BD1328" s="90">
        <v>4.34363967048251</v>
      </c>
      <c r="BE1328" s="90">
        <v>3.6585365853658498</v>
      </c>
    </row>
    <row r="1329" spans="2:57" ht="15" customHeight="1" x14ac:dyDescent="0.25">
      <c r="B1329" s="91">
        <v>1319</v>
      </c>
      <c r="C1329" s="92" t="s">
        <v>503</v>
      </c>
      <c r="D1329" s="92" t="s">
        <v>92</v>
      </c>
      <c r="E1329" s="92" t="s">
        <v>431</v>
      </c>
      <c r="F1329" s="92"/>
      <c r="G1329" s="93" t="s">
        <v>501</v>
      </c>
      <c r="H1329" s="94">
        <v>4701</v>
      </c>
      <c r="I1329" s="94">
        <v>3083</v>
      </c>
      <c r="J1329" s="94">
        <v>1618</v>
      </c>
      <c r="K1329" s="94">
        <v>344</v>
      </c>
      <c r="L1329" s="94">
        <v>1265</v>
      </c>
      <c r="M1329" s="94">
        <v>2575</v>
      </c>
      <c r="N1329" s="94">
        <v>517</v>
      </c>
      <c r="O1329" s="94">
        <v>4673</v>
      </c>
      <c r="P1329" s="94">
        <v>28</v>
      </c>
      <c r="Q1329" s="95">
        <v>1.4197389512251</v>
      </c>
      <c r="R1329" s="95">
        <v>1.0674931129476599</v>
      </c>
      <c r="S1329" s="95">
        <v>2.11893369788107</v>
      </c>
      <c r="T1329" s="95">
        <v>0.66225165562913901</v>
      </c>
      <c r="U1329" s="95">
        <v>1.73010380622837</v>
      </c>
      <c r="V1329" s="95">
        <v>1.3991769547325099</v>
      </c>
      <c r="W1329" s="95">
        <v>1.25260960334029</v>
      </c>
      <c r="X1329" s="95">
        <v>1.38217000691085</v>
      </c>
      <c r="Y1329" s="95">
        <v>7.6923076923076898</v>
      </c>
      <c r="Z1329" s="94">
        <v>5557</v>
      </c>
      <c r="AA1329" s="94">
        <v>3353</v>
      </c>
      <c r="AB1329" s="94">
        <v>2204</v>
      </c>
      <c r="AC1329" s="94">
        <v>290</v>
      </c>
      <c r="AD1329" s="94">
        <v>1203</v>
      </c>
      <c r="AE1329" s="94">
        <v>3273</v>
      </c>
      <c r="AF1329" s="94">
        <v>791</v>
      </c>
      <c r="AG1329" s="94">
        <v>1692</v>
      </c>
      <c r="AH1329" s="94">
        <v>3693</v>
      </c>
      <c r="AI1329" s="94">
        <v>172</v>
      </c>
      <c r="AJ1329" s="94">
        <v>5491</v>
      </c>
      <c r="AK1329" s="94">
        <v>38</v>
      </c>
      <c r="AL1329" s="94">
        <v>28</v>
      </c>
      <c r="AM1329" s="94">
        <v>383</v>
      </c>
      <c r="AN1329" s="94">
        <v>5099</v>
      </c>
      <c r="AO1329" s="94">
        <v>75</v>
      </c>
      <c r="AP1329" s="95">
        <v>6.0354801388353296</v>
      </c>
      <c r="AQ1329" s="95">
        <v>2.2278004392845898</v>
      </c>
      <c r="AR1329" s="95">
        <v>12.106053026513299</v>
      </c>
      <c r="AS1329" s="95">
        <v>7.2243346007604599</v>
      </c>
      <c r="AT1329" s="95">
        <v>7.32797140303843</v>
      </c>
      <c r="AU1329" s="95">
        <v>5.8322411533420704</v>
      </c>
      <c r="AV1329" s="95">
        <v>4.5212765957446797</v>
      </c>
      <c r="AW1329" s="95">
        <v>5.6981840951784601</v>
      </c>
      <c r="AX1329" s="95">
        <v>6.29737609329446</v>
      </c>
      <c r="AY1329" s="95">
        <v>3.7735849056603801</v>
      </c>
      <c r="AZ1329" s="95">
        <v>6.0694769711163197</v>
      </c>
      <c r="BA1329" s="95">
        <v>0</v>
      </c>
      <c r="BB1329" s="95">
        <v>7.1428571428571397</v>
      </c>
      <c r="BC1329" s="95">
        <v>4.0760869565217401</v>
      </c>
      <c r="BD1329" s="95">
        <v>6.2144512323572796</v>
      </c>
      <c r="BE1329" s="95">
        <v>4.2253521126760596</v>
      </c>
    </row>
    <row r="1330" spans="2:57" ht="15" customHeight="1" x14ac:dyDescent="0.25">
      <c r="B1330" s="91">
        <v>1320</v>
      </c>
      <c r="C1330" s="92" t="s">
        <v>503</v>
      </c>
      <c r="D1330" s="92" t="s">
        <v>92</v>
      </c>
      <c r="E1330" s="92" t="s">
        <v>431</v>
      </c>
      <c r="F1330" s="92"/>
      <c r="G1330" s="93" t="s">
        <v>502</v>
      </c>
      <c r="H1330" s="94">
        <v>4468</v>
      </c>
      <c r="I1330" s="94">
        <v>3424</v>
      </c>
      <c r="J1330" s="94">
        <v>1044</v>
      </c>
      <c r="K1330" s="94">
        <v>326</v>
      </c>
      <c r="L1330" s="94">
        <v>1498</v>
      </c>
      <c r="M1330" s="94">
        <v>2265</v>
      </c>
      <c r="N1330" s="94">
        <v>379</v>
      </c>
      <c r="O1330" s="94">
        <v>4339</v>
      </c>
      <c r="P1330" s="94">
        <v>129</v>
      </c>
      <c r="Q1330" s="95">
        <v>0.42293233082706799</v>
      </c>
      <c r="R1330" s="95">
        <v>0.426049908703591</v>
      </c>
      <c r="S1330" s="95">
        <v>0.41237113402061898</v>
      </c>
      <c r="T1330" s="95">
        <v>0</v>
      </c>
      <c r="U1330" s="95">
        <v>0.42075736325385699</v>
      </c>
      <c r="V1330" s="95">
        <v>0.50551470588235303</v>
      </c>
      <c r="W1330" s="95">
        <v>0.27548209366391202</v>
      </c>
      <c r="X1330" s="95">
        <v>0.26634382566586001</v>
      </c>
      <c r="Y1330" s="95">
        <v>5.5555555555555598</v>
      </c>
      <c r="Z1330" s="94">
        <v>5260</v>
      </c>
      <c r="AA1330" s="94">
        <v>3625</v>
      </c>
      <c r="AB1330" s="94">
        <v>1635</v>
      </c>
      <c r="AC1330" s="94">
        <v>212</v>
      </c>
      <c r="AD1330" s="94">
        <v>1363</v>
      </c>
      <c r="AE1330" s="94">
        <v>3018</v>
      </c>
      <c r="AF1330" s="94">
        <v>667</v>
      </c>
      <c r="AG1330" s="94">
        <v>3053</v>
      </c>
      <c r="AH1330" s="94">
        <v>2127</v>
      </c>
      <c r="AI1330" s="94">
        <v>80</v>
      </c>
      <c r="AJ1330" s="94">
        <v>5141</v>
      </c>
      <c r="AK1330" s="94">
        <v>99</v>
      </c>
      <c r="AL1330" s="94">
        <v>20</v>
      </c>
      <c r="AM1330" s="94">
        <v>263</v>
      </c>
      <c r="AN1330" s="94">
        <v>4898</v>
      </c>
      <c r="AO1330" s="94">
        <v>99</v>
      </c>
      <c r="AP1330" s="95">
        <v>2.3674625657628501</v>
      </c>
      <c r="AQ1330" s="95">
        <v>1.05956471935853</v>
      </c>
      <c r="AR1330" s="95">
        <v>5.5172413793103496</v>
      </c>
      <c r="AS1330" s="95">
        <v>3.6269430051813498</v>
      </c>
      <c r="AT1330" s="95">
        <v>2.6877470355731199</v>
      </c>
      <c r="AU1330" s="95">
        <v>2.38680238680239</v>
      </c>
      <c r="AV1330" s="95">
        <v>1.25984251968504</v>
      </c>
      <c r="AW1330" s="95">
        <v>1.8518518518518501</v>
      </c>
      <c r="AX1330" s="95">
        <v>3.0348258706467699</v>
      </c>
      <c r="AY1330" s="95">
        <v>4.28571428571429</v>
      </c>
      <c r="AZ1330" s="95">
        <v>2.2774327122153202</v>
      </c>
      <c r="BA1330" s="95">
        <v>7.4468085106383004</v>
      </c>
      <c r="BB1330" s="95">
        <v>0</v>
      </c>
      <c r="BC1330" s="95">
        <v>1.2048192771084301</v>
      </c>
      <c r="BD1330" s="95">
        <v>2.4130434782608701</v>
      </c>
      <c r="BE1330" s="95">
        <v>3.2258064516128999</v>
      </c>
    </row>
    <row r="1331" spans="2:57" ht="15" customHeight="1" x14ac:dyDescent="0.25">
      <c r="B1331" s="96">
        <v>1321</v>
      </c>
      <c r="C1331" s="97" t="s">
        <v>504</v>
      </c>
      <c r="D1331" s="104" t="s">
        <v>92</v>
      </c>
      <c r="E1331" s="104" t="s">
        <v>431</v>
      </c>
      <c r="F1331" s="104" t="s">
        <v>142</v>
      </c>
      <c r="G1331" s="105" t="s">
        <v>142</v>
      </c>
      <c r="H1331" s="106">
        <v>4615</v>
      </c>
      <c r="I1331" s="106">
        <v>3113</v>
      </c>
      <c r="J1331" s="106">
        <v>1502</v>
      </c>
      <c r="K1331" s="106">
        <v>320</v>
      </c>
      <c r="L1331" s="106">
        <v>1339</v>
      </c>
      <c r="M1331" s="106">
        <v>2479</v>
      </c>
      <c r="N1331" s="106">
        <v>477</v>
      </c>
      <c r="O1331" s="106">
        <v>4552</v>
      </c>
      <c r="P1331" s="106">
        <v>63</v>
      </c>
      <c r="Q1331" s="107">
        <v>1.2793672947196999</v>
      </c>
      <c r="R1331" s="107">
        <v>1.0162601626016301</v>
      </c>
      <c r="S1331" s="107">
        <v>1.8559762435040801</v>
      </c>
      <c r="T1331" s="107">
        <v>0.71174377224199303</v>
      </c>
      <c r="U1331" s="107">
        <v>1.1354420113544199</v>
      </c>
      <c r="V1331" s="107">
        <v>1.36752136752137</v>
      </c>
      <c r="W1331" s="107">
        <v>1.5730337078651699</v>
      </c>
      <c r="X1331" s="107">
        <v>1.20368185036582</v>
      </c>
      <c r="Y1331" s="107">
        <v>6.4516129032258096</v>
      </c>
      <c r="Z1331" s="106">
        <v>4877</v>
      </c>
      <c r="AA1331" s="106">
        <v>3028</v>
      </c>
      <c r="AB1331" s="106">
        <v>1849</v>
      </c>
      <c r="AC1331" s="106">
        <v>273</v>
      </c>
      <c r="AD1331" s="106">
        <v>1075</v>
      </c>
      <c r="AE1331" s="106">
        <v>2849</v>
      </c>
      <c r="AF1331" s="106">
        <v>680</v>
      </c>
      <c r="AG1331" s="106">
        <v>2005</v>
      </c>
      <c r="AH1331" s="106">
        <v>2721</v>
      </c>
      <c r="AI1331" s="106">
        <v>151</v>
      </c>
      <c r="AJ1331" s="106">
        <v>4805</v>
      </c>
      <c r="AK1331" s="106">
        <v>40</v>
      </c>
      <c r="AL1331" s="106">
        <v>32</v>
      </c>
      <c r="AM1331" s="106">
        <v>325</v>
      </c>
      <c r="AN1331" s="106">
        <v>4467</v>
      </c>
      <c r="AO1331" s="106">
        <v>85</v>
      </c>
      <c r="AP1331" s="107">
        <v>4.9778761061946897</v>
      </c>
      <c r="AQ1331" s="107">
        <v>1.98329853862213</v>
      </c>
      <c r="AR1331" s="107">
        <v>10.206561360874799</v>
      </c>
      <c r="AS1331" s="107">
        <v>6.9105691056910601</v>
      </c>
      <c r="AT1331" s="107">
        <v>7.2800808897876603</v>
      </c>
      <c r="AU1331" s="107">
        <v>4.3626707132018199</v>
      </c>
      <c r="AV1331" s="107">
        <v>3.2357473035439099</v>
      </c>
      <c r="AW1331" s="107">
        <v>3.7533512064343202</v>
      </c>
      <c r="AX1331" s="107">
        <v>6.0087544767210499</v>
      </c>
      <c r="AY1331" s="107">
        <v>2.8169014084507</v>
      </c>
      <c r="AZ1331" s="107">
        <v>5.0089847259658598</v>
      </c>
      <c r="BA1331" s="107">
        <v>0</v>
      </c>
      <c r="BB1331" s="107">
        <v>6.25</v>
      </c>
      <c r="BC1331" s="107">
        <v>1.91693290734824</v>
      </c>
      <c r="BD1331" s="107">
        <v>5.23002421307506</v>
      </c>
      <c r="BE1331" s="107">
        <v>3.8961038961039001</v>
      </c>
    </row>
    <row r="1332" spans="2:57" ht="15" customHeight="1" x14ac:dyDescent="0.25">
      <c r="B1332" s="91">
        <v>1322</v>
      </c>
      <c r="C1332" s="92" t="s">
        <v>504</v>
      </c>
      <c r="D1332" s="92" t="s">
        <v>92</v>
      </c>
      <c r="E1332" s="92" t="s">
        <v>431</v>
      </c>
      <c r="F1332" s="92" t="s">
        <v>142</v>
      </c>
      <c r="G1332" s="101" t="s">
        <v>501</v>
      </c>
      <c r="H1332" s="94">
        <v>3043</v>
      </c>
      <c r="I1332" s="94">
        <v>1969</v>
      </c>
      <c r="J1332" s="94">
        <v>1074</v>
      </c>
      <c r="K1332" s="94">
        <v>202</v>
      </c>
      <c r="L1332" s="94">
        <v>831</v>
      </c>
      <c r="M1332" s="94">
        <v>1688</v>
      </c>
      <c r="N1332" s="94">
        <v>322</v>
      </c>
      <c r="O1332" s="94">
        <v>3023</v>
      </c>
      <c r="P1332" s="94">
        <v>20</v>
      </c>
      <c r="Q1332" s="95">
        <v>1.7425320056899001</v>
      </c>
      <c r="R1332" s="95">
        <v>1.4054054054054099</v>
      </c>
      <c r="S1332" s="95">
        <v>2.3908523908523902</v>
      </c>
      <c r="T1332" s="95">
        <v>1.1111111111111101</v>
      </c>
      <c r="U1332" s="95">
        <v>1.7218543046357599</v>
      </c>
      <c r="V1332" s="95">
        <v>1.77215189873418</v>
      </c>
      <c r="W1332" s="95">
        <v>2.0202020202020199</v>
      </c>
      <c r="X1332" s="95">
        <v>1.6827783745077001</v>
      </c>
      <c r="Y1332" s="95">
        <v>10.526315789473699</v>
      </c>
      <c r="Z1332" s="94">
        <v>3696</v>
      </c>
      <c r="AA1332" s="94">
        <v>2216</v>
      </c>
      <c r="AB1332" s="94">
        <v>1480</v>
      </c>
      <c r="AC1332" s="94">
        <v>202</v>
      </c>
      <c r="AD1332" s="94">
        <v>820</v>
      </c>
      <c r="AE1332" s="94">
        <v>2165</v>
      </c>
      <c r="AF1332" s="94">
        <v>509</v>
      </c>
      <c r="AG1332" s="94">
        <v>1004</v>
      </c>
      <c r="AH1332" s="94">
        <v>2560</v>
      </c>
      <c r="AI1332" s="94">
        <v>132</v>
      </c>
      <c r="AJ1332" s="94">
        <v>3648</v>
      </c>
      <c r="AK1332" s="94">
        <v>25</v>
      </c>
      <c r="AL1332" s="94">
        <v>23</v>
      </c>
      <c r="AM1332" s="94">
        <v>245</v>
      </c>
      <c r="AN1332" s="94">
        <v>3388</v>
      </c>
      <c r="AO1332" s="94">
        <v>63</v>
      </c>
      <c r="AP1332" s="95">
        <v>6.1278085789320098</v>
      </c>
      <c r="AQ1332" s="95">
        <v>2.3433763749402199</v>
      </c>
      <c r="AR1332" s="95">
        <v>12.0508982035928</v>
      </c>
      <c r="AS1332" s="95">
        <v>8.6956521739130395</v>
      </c>
      <c r="AT1332" s="95">
        <v>8.6956521739130395</v>
      </c>
      <c r="AU1332" s="95">
        <v>5.4027013506753399</v>
      </c>
      <c r="AV1332" s="95">
        <v>4.1237113402061896</v>
      </c>
      <c r="AW1332" s="95">
        <v>5.8386411889596603</v>
      </c>
      <c r="AX1332" s="95">
        <v>6.3955950868276199</v>
      </c>
      <c r="AY1332" s="95">
        <v>3.2258064516128999</v>
      </c>
      <c r="AZ1332" s="95">
        <v>6.1502069781194599</v>
      </c>
      <c r="BA1332" s="95">
        <v>0</v>
      </c>
      <c r="BB1332" s="95">
        <v>8.6956521739130395</v>
      </c>
      <c r="BC1332" s="95">
        <v>2.1097046413502101</v>
      </c>
      <c r="BD1332" s="95">
        <v>6.4516129032258096</v>
      </c>
      <c r="BE1332" s="95">
        <v>5.0847457627118704</v>
      </c>
    </row>
    <row r="1333" spans="2:57" ht="15" customHeight="1" x14ac:dyDescent="0.25">
      <c r="B1333" s="91">
        <v>1323</v>
      </c>
      <c r="C1333" s="92" t="s">
        <v>504</v>
      </c>
      <c r="D1333" s="92" t="s">
        <v>92</v>
      </c>
      <c r="E1333" s="92" t="s">
        <v>431</v>
      </c>
      <c r="F1333" s="92" t="s">
        <v>142</v>
      </c>
      <c r="G1333" s="101" t="s">
        <v>502</v>
      </c>
      <c r="H1333" s="94">
        <v>1572</v>
      </c>
      <c r="I1333" s="94">
        <v>1144</v>
      </c>
      <c r="J1333" s="94">
        <v>428</v>
      </c>
      <c r="K1333" s="94">
        <v>118</v>
      </c>
      <c r="L1333" s="94">
        <v>508</v>
      </c>
      <c r="M1333" s="94">
        <v>791</v>
      </c>
      <c r="N1333" s="94">
        <v>155</v>
      </c>
      <c r="O1333" s="94">
        <v>1529</v>
      </c>
      <c r="P1333" s="94">
        <v>43</v>
      </c>
      <c r="Q1333" s="95">
        <v>0.403496973772697</v>
      </c>
      <c r="R1333" s="95">
        <v>0.36297640653357499</v>
      </c>
      <c r="S1333" s="95">
        <v>0.51948051948051899</v>
      </c>
      <c r="T1333" s="95">
        <v>0</v>
      </c>
      <c r="U1333" s="95">
        <v>0.209205020920502</v>
      </c>
      <c r="V1333" s="95">
        <v>0.52631578947368396</v>
      </c>
      <c r="W1333" s="95">
        <v>0.67567567567567599</v>
      </c>
      <c r="X1333" s="95">
        <v>0.277008310249307</v>
      </c>
      <c r="Y1333" s="95">
        <v>4.6511627906976702</v>
      </c>
      <c r="Z1333" s="94">
        <v>1181</v>
      </c>
      <c r="AA1333" s="94">
        <v>812</v>
      </c>
      <c r="AB1333" s="94">
        <v>369</v>
      </c>
      <c r="AC1333" s="94">
        <v>71</v>
      </c>
      <c r="AD1333" s="94">
        <v>255</v>
      </c>
      <c r="AE1333" s="94">
        <v>684</v>
      </c>
      <c r="AF1333" s="94">
        <v>171</v>
      </c>
      <c r="AG1333" s="94">
        <v>1001</v>
      </c>
      <c r="AH1333" s="94">
        <v>161</v>
      </c>
      <c r="AI1333" s="94">
        <v>19</v>
      </c>
      <c r="AJ1333" s="94">
        <v>1157</v>
      </c>
      <c r="AK1333" s="94">
        <v>15</v>
      </c>
      <c r="AL1333" s="94">
        <v>9</v>
      </c>
      <c r="AM1333" s="94">
        <v>80</v>
      </c>
      <c r="AN1333" s="94">
        <v>1079</v>
      </c>
      <c r="AO1333" s="94">
        <v>22</v>
      </c>
      <c r="AP1333" s="95">
        <v>1.3723696248856401</v>
      </c>
      <c r="AQ1333" s="95">
        <v>1.0217113665389499</v>
      </c>
      <c r="AR1333" s="95">
        <v>2.2580645161290298</v>
      </c>
      <c r="AS1333" s="95">
        <v>1.61290322580645</v>
      </c>
      <c r="AT1333" s="95">
        <v>2.60869565217391</v>
      </c>
      <c r="AU1333" s="95">
        <v>1.0989010989011001</v>
      </c>
      <c r="AV1333" s="95">
        <v>0.60975609756097604</v>
      </c>
      <c r="AW1333" s="95">
        <v>1.62513542795233</v>
      </c>
      <c r="AX1333" s="95">
        <v>0</v>
      </c>
      <c r="AY1333" s="95">
        <v>0</v>
      </c>
      <c r="AZ1333" s="95">
        <v>1.4018691588784999</v>
      </c>
      <c r="BA1333" s="95">
        <v>0</v>
      </c>
      <c r="BB1333" s="95">
        <v>0</v>
      </c>
      <c r="BC1333" s="95">
        <v>1.31578947368421</v>
      </c>
      <c r="BD1333" s="95">
        <v>1.4014014014014</v>
      </c>
      <c r="BE1333" s="95">
        <v>0</v>
      </c>
    </row>
    <row r="1334" spans="2:57" ht="15" customHeight="1" x14ac:dyDescent="0.25">
      <c r="B1334" s="96">
        <v>1324</v>
      </c>
      <c r="C1334" s="97" t="s">
        <v>504</v>
      </c>
      <c r="D1334" s="104" t="s">
        <v>92</v>
      </c>
      <c r="E1334" s="104" t="s">
        <v>431</v>
      </c>
      <c r="F1334" s="104" t="s">
        <v>118</v>
      </c>
      <c r="G1334" s="105" t="s">
        <v>118</v>
      </c>
      <c r="H1334" s="106">
        <v>2776</v>
      </c>
      <c r="I1334" s="106">
        <v>2049</v>
      </c>
      <c r="J1334" s="106">
        <v>727</v>
      </c>
      <c r="K1334" s="106">
        <v>192</v>
      </c>
      <c r="L1334" s="106">
        <v>873</v>
      </c>
      <c r="M1334" s="106">
        <v>1455</v>
      </c>
      <c r="N1334" s="106">
        <v>256</v>
      </c>
      <c r="O1334" s="106">
        <v>2718</v>
      </c>
      <c r="P1334" s="106">
        <v>58</v>
      </c>
      <c r="Q1334" s="107">
        <v>0.60767185719711403</v>
      </c>
      <c r="R1334" s="107">
        <v>0.56323604710701503</v>
      </c>
      <c r="S1334" s="107">
        <v>0.73529411764705899</v>
      </c>
      <c r="T1334" s="107">
        <v>0</v>
      </c>
      <c r="U1334" s="107">
        <v>0.84235860409145602</v>
      </c>
      <c r="V1334" s="107">
        <v>0.64655172413793105</v>
      </c>
      <c r="W1334" s="107">
        <v>0</v>
      </c>
      <c r="X1334" s="107">
        <v>0.42685292976329098</v>
      </c>
      <c r="Y1334" s="107">
        <v>8.9285714285714306</v>
      </c>
      <c r="Z1334" s="106">
        <v>3870</v>
      </c>
      <c r="AA1334" s="106">
        <v>2591</v>
      </c>
      <c r="AB1334" s="106">
        <v>1279</v>
      </c>
      <c r="AC1334" s="106">
        <v>139</v>
      </c>
      <c r="AD1334" s="106">
        <v>1011</v>
      </c>
      <c r="AE1334" s="106">
        <v>2230</v>
      </c>
      <c r="AF1334" s="106">
        <v>490</v>
      </c>
      <c r="AG1334" s="106">
        <v>2252</v>
      </c>
      <c r="AH1334" s="106">
        <v>1538</v>
      </c>
      <c r="AI1334" s="106">
        <v>80</v>
      </c>
      <c r="AJ1334" s="106">
        <v>3771</v>
      </c>
      <c r="AK1334" s="106">
        <v>87</v>
      </c>
      <c r="AL1334" s="106">
        <v>12</v>
      </c>
      <c r="AM1334" s="106">
        <v>214</v>
      </c>
      <c r="AN1334" s="106">
        <v>3585</v>
      </c>
      <c r="AO1334" s="106">
        <v>71</v>
      </c>
      <c r="AP1334" s="107">
        <v>3.00464354001639</v>
      </c>
      <c r="AQ1334" s="107">
        <v>1.32476916900843</v>
      </c>
      <c r="AR1334" s="107">
        <v>6.58119658119658</v>
      </c>
      <c r="AS1334" s="107">
        <v>4.6875</v>
      </c>
      <c r="AT1334" s="107">
        <v>3.04621848739496</v>
      </c>
      <c r="AU1334" s="107">
        <v>3.02457466918715</v>
      </c>
      <c r="AV1334" s="107">
        <v>2.3655913978494598</v>
      </c>
      <c r="AW1334" s="107">
        <v>2.3452157598499102</v>
      </c>
      <c r="AX1334" s="107">
        <v>3.8987688098495199</v>
      </c>
      <c r="AY1334" s="107">
        <v>4.4776119402985097</v>
      </c>
      <c r="AZ1334" s="107">
        <v>2.8867713004484301</v>
      </c>
      <c r="BA1334" s="107">
        <v>8.4337349397590398</v>
      </c>
      <c r="BB1334" s="107">
        <v>0</v>
      </c>
      <c r="BC1334" s="107">
        <v>4.3269230769230802</v>
      </c>
      <c r="BD1334" s="107">
        <v>2.8959810874704499</v>
      </c>
      <c r="BE1334" s="107">
        <v>4.3478260869565197</v>
      </c>
    </row>
    <row r="1335" spans="2:57" ht="15" customHeight="1" x14ac:dyDescent="0.25">
      <c r="B1335" s="91">
        <v>1325</v>
      </c>
      <c r="C1335" s="92" t="s">
        <v>504</v>
      </c>
      <c r="D1335" s="92" t="s">
        <v>92</v>
      </c>
      <c r="E1335" s="92" t="s">
        <v>431</v>
      </c>
      <c r="F1335" s="92" t="s">
        <v>118</v>
      </c>
      <c r="G1335" s="101" t="s">
        <v>501</v>
      </c>
      <c r="H1335" s="94">
        <v>825</v>
      </c>
      <c r="I1335" s="94">
        <v>536</v>
      </c>
      <c r="J1335" s="94">
        <v>289</v>
      </c>
      <c r="K1335" s="94">
        <v>64</v>
      </c>
      <c r="L1335" s="94">
        <v>227</v>
      </c>
      <c r="M1335" s="94">
        <v>432</v>
      </c>
      <c r="N1335" s="94">
        <v>102</v>
      </c>
      <c r="O1335" s="94">
        <v>820</v>
      </c>
      <c r="P1335" s="94">
        <v>5</v>
      </c>
      <c r="Q1335" s="95">
        <v>1.1734028683181199</v>
      </c>
      <c r="R1335" s="95">
        <v>0.80321285140562204</v>
      </c>
      <c r="S1335" s="95">
        <v>1.8587360594795499</v>
      </c>
      <c r="T1335" s="95">
        <v>0</v>
      </c>
      <c r="U1335" s="95">
        <v>2.35849056603774</v>
      </c>
      <c r="V1335" s="95">
        <v>0.98280098280098305</v>
      </c>
      <c r="W1335" s="95">
        <v>0</v>
      </c>
      <c r="X1335" s="95">
        <v>1.1795543905635599</v>
      </c>
      <c r="Y1335" s="95">
        <v>0</v>
      </c>
      <c r="Z1335" s="94">
        <v>865</v>
      </c>
      <c r="AA1335" s="94">
        <v>511</v>
      </c>
      <c r="AB1335" s="94">
        <v>354</v>
      </c>
      <c r="AC1335" s="94">
        <v>44</v>
      </c>
      <c r="AD1335" s="94">
        <v>177</v>
      </c>
      <c r="AE1335" s="94">
        <v>519</v>
      </c>
      <c r="AF1335" s="94">
        <v>125</v>
      </c>
      <c r="AG1335" s="94">
        <v>431</v>
      </c>
      <c r="AH1335" s="94">
        <v>409</v>
      </c>
      <c r="AI1335" s="94">
        <v>25</v>
      </c>
      <c r="AJ1335" s="94">
        <v>854</v>
      </c>
      <c r="AK1335" s="94">
        <v>8</v>
      </c>
      <c r="AL1335" s="94">
        <v>3</v>
      </c>
      <c r="AM1335" s="94">
        <v>79</v>
      </c>
      <c r="AN1335" s="94">
        <v>779</v>
      </c>
      <c r="AO1335" s="94">
        <v>7</v>
      </c>
      <c r="AP1335" s="95">
        <v>5.3283767038413901</v>
      </c>
      <c r="AQ1335" s="95">
        <v>1.84804928131417</v>
      </c>
      <c r="AR1335" s="95">
        <v>10.625</v>
      </c>
      <c r="AS1335" s="95">
        <v>2.5</v>
      </c>
      <c r="AT1335" s="95">
        <v>5.9523809523809499</v>
      </c>
      <c r="AU1335" s="95">
        <v>5.4054054054054097</v>
      </c>
      <c r="AV1335" s="95">
        <v>5.0847457627118704</v>
      </c>
      <c r="AW1335" s="95">
        <v>4.4444444444444402</v>
      </c>
      <c r="AX1335" s="95">
        <v>6.5445026178010499</v>
      </c>
      <c r="AY1335" s="95">
        <v>0</v>
      </c>
      <c r="AZ1335" s="95">
        <v>5.4020100502512598</v>
      </c>
      <c r="BA1335" s="95">
        <v>0</v>
      </c>
      <c r="BB1335" s="95">
        <v>0</v>
      </c>
      <c r="BC1335" s="95">
        <v>10.526315789473699</v>
      </c>
      <c r="BD1335" s="95">
        <v>4.8342541436464099</v>
      </c>
      <c r="BE1335" s="95">
        <v>0</v>
      </c>
    </row>
    <row r="1336" spans="2:57" ht="15" customHeight="1" x14ac:dyDescent="0.25">
      <c r="B1336" s="91">
        <v>1326</v>
      </c>
      <c r="C1336" s="92" t="s">
        <v>504</v>
      </c>
      <c r="D1336" s="92" t="s">
        <v>92</v>
      </c>
      <c r="E1336" s="92" t="s">
        <v>431</v>
      </c>
      <c r="F1336" s="92" t="s">
        <v>118</v>
      </c>
      <c r="G1336" s="101" t="s">
        <v>502</v>
      </c>
      <c r="H1336" s="94">
        <v>1951</v>
      </c>
      <c r="I1336" s="94">
        <v>1513</v>
      </c>
      <c r="J1336" s="94">
        <v>438</v>
      </c>
      <c r="K1336" s="94">
        <v>128</v>
      </c>
      <c r="L1336" s="94">
        <v>646</v>
      </c>
      <c r="M1336" s="94">
        <v>1023</v>
      </c>
      <c r="N1336" s="94">
        <v>154</v>
      </c>
      <c r="O1336" s="94">
        <v>1898</v>
      </c>
      <c r="P1336" s="94">
        <v>53</v>
      </c>
      <c r="Q1336" s="95">
        <v>0.37513397642015001</v>
      </c>
      <c r="R1336" s="95">
        <v>0.48109965635738799</v>
      </c>
      <c r="S1336" s="95">
        <v>0</v>
      </c>
      <c r="T1336" s="95">
        <v>0</v>
      </c>
      <c r="U1336" s="95">
        <v>0.323101777059774</v>
      </c>
      <c r="V1336" s="95">
        <v>0.50761421319796995</v>
      </c>
      <c r="W1336" s="95">
        <v>0</v>
      </c>
      <c r="X1336" s="95">
        <v>0.110253583241455</v>
      </c>
      <c r="Y1336" s="95">
        <v>9.6153846153846203</v>
      </c>
      <c r="Z1336" s="94">
        <v>3005</v>
      </c>
      <c r="AA1336" s="94">
        <v>2080</v>
      </c>
      <c r="AB1336" s="94">
        <v>925</v>
      </c>
      <c r="AC1336" s="94">
        <v>95</v>
      </c>
      <c r="AD1336" s="94">
        <v>834</v>
      </c>
      <c r="AE1336" s="94">
        <v>1711</v>
      </c>
      <c r="AF1336" s="94">
        <v>365</v>
      </c>
      <c r="AG1336" s="94">
        <v>1821</v>
      </c>
      <c r="AH1336" s="94">
        <v>1129</v>
      </c>
      <c r="AI1336" s="94">
        <v>55</v>
      </c>
      <c r="AJ1336" s="94">
        <v>2917</v>
      </c>
      <c r="AK1336" s="94">
        <v>79</v>
      </c>
      <c r="AL1336" s="94">
        <v>9</v>
      </c>
      <c r="AM1336" s="94">
        <v>135</v>
      </c>
      <c r="AN1336" s="94">
        <v>2806</v>
      </c>
      <c r="AO1336" s="94">
        <v>64</v>
      </c>
      <c r="AP1336" s="95">
        <v>2.3475823405746299</v>
      </c>
      <c r="AQ1336" s="95">
        <v>1.19760479041916</v>
      </c>
      <c r="AR1336" s="95">
        <v>5.0588235294117601</v>
      </c>
      <c r="AS1336" s="95">
        <v>5.6818181818181799</v>
      </c>
      <c r="AT1336" s="95">
        <v>2.4234693877550999</v>
      </c>
      <c r="AU1336" s="95">
        <v>2.32415902140673</v>
      </c>
      <c r="AV1336" s="95">
        <v>1.44092219020173</v>
      </c>
      <c r="AW1336" s="95">
        <v>1.8529241459177801</v>
      </c>
      <c r="AX1336" s="95">
        <v>2.9629629629629601</v>
      </c>
      <c r="AY1336" s="95">
        <v>6.3829787234042596</v>
      </c>
      <c r="AZ1336" s="95">
        <v>2.16450216450216</v>
      </c>
      <c r="BA1336" s="95">
        <v>9.3333333333333304</v>
      </c>
      <c r="BB1336" s="95">
        <v>0</v>
      </c>
      <c r="BC1336" s="95">
        <v>0.75757575757575801</v>
      </c>
      <c r="BD1336" s="95">
        <v>2.3684210526315801</v>
      </c>
      <c r="BE1336" s="95">
        <v>4.8387096774193497</v>
      </c>
    </row>
    <row r="1337" spans="2:57" ht="15" customHeight="1" x14ac:dyDescent="0.25">
      <c r="B1337" s="96">
        <v>1327</v>
      </c>
      <c r="C1337" s="97" t="s">
        <v>504</v>
      </c>
      <c r="D1337" s="104" t="s">
        <v>92</v>
      </c>
      <c r="E1337" s="104" t="s">
        <v>431</v>
      </c>
      <c r="F1337" s="104" t="s">
        <v>17</v>
      </c>
      <c r="G1337" s="105" t="s">
        <v>17</v>
      </c>
      <c r="H1337" s="106">
        <v>1778</v>
      </c>
      <c r="I1337" s="106">
        <v>1345</v>
      </c>
      <c r="J1337" s="106">
        <v>433</v>
      </c>
      <c r="K1337" s="106">
        <v>158</v>
      </c>
      <c r="L1337" s="106">
        <v>551</v>
      </c>
      <c r="M1337" s="106">
        <v>906</v>
      </c>
      <c r="N1337" s="106">
        <v>163</v>
      </c>
      <c r="O1337" s="106">
        <v>1742</v>
      </c>
      <c r="P1337" s="106">
        <v>36</v>
      </c>
      <c r="Q1337" s="107">
        <v>0.53222945002956801</v>
      </c>
      <c r="R1337" s="107">
        <v>0.31128404669260701</v>
      </c>
      <c r="S1337" s="107">
        <v>1.2315270935960601</v>
      </c>
      <c r="T1337" s="107">
        <v>0</v>
      </c>
      <c r="U1337" s="107">
        <v>0.96525096525096499</v>
      </c>
      <c r="V1337" s="107">
        <v>0.45766590389015999</v>
      </c>
      <c r="W1337" s="107">
        <v>0</v>
      </c>
      <c r="X1337" s="107">
        <v>0.54315027157513596</v>
      </c>
      <c r="Y1337" s="107">
        <v>0</v>
      </c>
      <c r="Z1337" s="106">
        <v>2070</v>
      </c>
      <c r="AA1337" s="106">
        <v>1359</v>
      </c>
      <c r="AB1337" s="106">
        <v>711</v>
      </c>
      <c r="AC1337" s="106">
        <v>90</v>
      </c>
      <c r="AD1337" s="106">
        <v>480</v>
      </c>
      <c r="AE1337" s="106">
        <v>1212</v>
      </c>
      <c r="AF1337" s="106">
        <v>288</v>
      </c>
      <c r="AG1337" s="106">
        <v>488</v>
      </c>
      <c r="AH1337" s="106">
        <v>1561</v>
      </c>
      <c r="AI1337" s="106">
        <v>21</v>
      </c>
      <c r="AJ1337" s="106">
        <v>2056</v>
      </c>
      <c r="AK1337" s="106">
        <v>10</v>
      </c>
      <c r="AL1337" s="106">
        <v>4</v>
      </c>
      <c r="AM1337" s="106">
        <v>107</v>
      </c>
      <c r="AN1337" s="106">
        <v>1945</v>
      </c>
      <c r="AO1337" s="106">
        <v>18</v>
      </c>
      <c r="AP1337" s="107">
        <v>4.8793014894709801</v>
      </c>
      <c r="AQ1337" s="107">
        <v>1.3698630136986301</v>
      </c>
      <c r="AR1337" s="107">
        <v>12.1642969984202</v>
      </c>
      <c r="AS1337" s="107">
        <v>3.6585365853658498</v>
      </c>
      <c r="AT1337" s="107">
        <v>3.38600451467269</v>
      </c>
      <c r="AU1337" s="107">
        <v>5.8311575282854697</v>
      </c>
      <c r="AV1337" s="107">
        <v>3.6630036630036602</v>
      </c>
      <c r="AW1337" s="107">
        <v>5.1948051948051903</v>
      </c>
      <c r="AX1337" s="107">
        <v>4.7098976109214998</v>
      </c>
      <c r="AY1337" s="107">
        <v>10</v>
      </c>
      <c r="AZ1337" s="107">
        <v>4.9120992761116904</v>
      </c>
      <c r="BA1337" s="107">
        <v>0</v>
      </c>
      <c r="BB1337" s="107">
        <v>0</v>
      </c>
      <c r="BC1337" s="107">
        <v>3.125</v>
      </c>
      <c r="BD1337" s="107">
        <v>5.0190943807965098</v>
      </c>
      <c r="BE1337" s="107">
        <v>0</v>
      </c>
    </row>
    <row r="1338" spans="2:57" ht="15" customHeight="1" x14ac:dyDescent="0.25">
      <c r="B1338" s="91">
        <v>1328</v>
      </c>
      <c r="C1338" s="92" t="s">
        <v>504</v>
      </c>
      <c r="D1338" s="92" t="s">
        <v>92</v>
      </c>
      <c r="E1338" s="92" t="s">
        <v>431</v>
      </c>
      <c r="F1338" s="92" t="s">
        <v>17</v>
      </c>
      <c r="G1338" s="101" t="s">
        <v>501</v>
      </c>
      <c r="H1338" s="94">
        <v>833</v>
      </c>
      <c r="I1338" s="94">
        <v>578</v>
      </c>
      <c r="J1338" s="94">
        <v>255</v>
      </c>
      <c r="K1338" s="94">
        <v>78</v>
      </c>
      <c r="L1338" s="94">
        <v>207</v>
      </c>
      <c r="M1338" s="94">
        <v>455</v>
      </c>
      <c r="N1338" s="94">
        <v>93</v>
      </c>
      <c r="O1338" s="94">
        <v>830</v>
      </c>
      <c r="P1338" s="94">
        <v>3</v>
      </c>
      <c r="Q1338" s="95">
        <v>0.50761421319796995</v>
      </c>
      <c r="R1338" s="95">
        <v>0.17985611510791399</v>
      </c>
      <c r="S1338" s="95">
        <v>1.2931034482758601</v>
      </c>
      <c r="T1338" s="95">
        <v>0</v>
      </c>
      <c r="U1338" s="95">
        <v>1.0582010582010599</v>
      </c>
      <c r="V1338" s="95">
        <v>0.451467268623025</v>
      </c>
      <c r="W1338" s="95">
        <v>0</v>
      </c>
      <c r="X1338" s="95">
        <v>0.50955414012738898</v>
      </c>
      <c r="Y1338" s="95">
        <v>0</v>
      </c>
      <c r="Z1338" s="94">
        <v>996</v>
      </c>
      <c r="AA1338" s="94">
        <v>626</v>
      </c>
      <c r="AB1338" s="94">
        <v>370</v>
      </c>
      <c r="AC1338" s="94">
        <v>44</v>
      </c>
      <c r="AD1338" s="94">
        <v>206</v>
      </c>
      <c r="AE1338" s="94">
        <v>589</v>
      </c>
      <c r="AF1338" s="94">
        <v>157</v>
      </c>
      <c r="AG1338" s="94">
        <v>257</v>
      </c>
      <c r="AH1338" s="94">
        <v>724</v>
      </c>
      <c r="AI1338" s="94">
        <v>15</v>
      </c>
      <c r="AJ1338" s="94">
        <v>989</v>
      </c>
      <c r="AK1338" s="94">
        <v>5</v>
      </c>
      <c r="AL1338" s="94">
        <v>2</v>
      </c>
      <c r="AM1338" s="94">
        <v>59</v>
      </c>
      <c r="AN1338" s="94">
        <v>932</v>
      </c>
      <c r="AO1338" s="94">
        <v>5</v>
      </c>
      <c r="AP1338" s="95">
        <v>6.3025210084033603</v>
      </c>
      <c r="AQ1338" s="95">
        <v>2.1346469622331701</v>
      </c>
      <c r="AR1338" s="95">
        <v>13.702623906705499</v>
      </c>
      <c r="AS1338" s="95">
        <v>5.1282051282051304</v>
      </c>
      <c r="AT1338" s="95">
        <v>3.125</v>
      </c>
      <c r="AU1338" s="95">
        <v>7.6923076923076898</v>
      </c>
      <c r="AV1338" s="95">
        <v>5.3691275167785202</v>
      </c>
      <c r="AW1338" s="95">
        <v>7.2</v>
      </c>
      <c r="AX1338" s="95">
        <v>5.8224163027656504</v>
      </c>
      <c r="AY1338" s="95">
        <v>13.3333333333333</v>
      </c>
      <c r="AZ1338" s="95">
        <v>6.3424947145877404</v>
      </c>
      <c r="BA1338" s="95">
        <v>0</v>
      </c>
      <c r="BB1338" s="95">
        <v>0</v>
      </c>
      <c r="BC1338" s="95">
        <v>3.6363636363636398</v>
      </c>
      <c r="BD1338" s="95">
        <v>6.5022421524663701</v>
      </c>
      <c r="BE1338" s="95">
        <v>0</v>
      </c>
    </row>
    <row r="1339" spans="2:57" ht="15" customHeight="1" x14ac:dyDescent="0.25">
      <c r="B1339" s="91">
        <v>1329</v>
      </c>
      <c r="C1339" s="92" t="s">
        <v>504</v>
      </c>
      <c r="D1339" s="92" t="s">
        <v>92</v>
      </c>
      <c r="E1339" s="92" t="s">
        <v>431</v>
      </c>
      <c r="F1339" s="92" t="s">
        <v>17</v>
      </c>
      <c r="G1339" s="101" t="s">
        <v>502</v>
      </c>
      <c r="H1339" s="94">
        <v>945</v>
      </c>
      <c r="I1339" s="94">
        <v>767</v>
      </c>
      <c r="J1339" s="94">
        <v>178</v>
      </c>
      <c r="K1339" s="94">
        <v>80</v>
      </c>
      <c r="L1339" s="94">
        <v>344</v>
      </c>
      <c r="M1339" s="94">
        <v>451</v>
      </c>
      <c r="N1339" s="94">
        <v>70</v>
      </c>
      <c r="O1339" s="94">
        <v>912</v>
      </c>
      <c r="P1339" s="94">
        <v>33</v>
      </c>
      <c r="Q1339" s="95">
        <v>0.55370985603543699</v>
      </c>
      <c r="R1339" s="95">
        <v>0.41152263374485598</v>
      </c>
      <c r="S1339" s="95">
        <v>1.14942528735632</v>
      </c>
      <c r="T1339" s="95">
        <v>0</v>
      </c>
      <c r="U1339" s="95">
        <v>0.91185410334346495</v>
      </c>
      <c r="V1339" s="95">
        <v>0.46403712296983801</v>
      </c>
      <c r="W1339" s="95">
        <v>0</v>
      </c>
      <c r="X1339" s="95">
        <v>0.57339449541284404</v>
      </c>
      <c r="Y1339" s="95">
        <v>0</v>
      </c>
      <c r="Z1339" s="94">
        <v>1074</v>
      </c>
      <c r="AA1339" s="94">
        <v>733</v>
      </c>
      <c r="AB1339" s="94">
        <v>341</v>
      </c>
      <c r="AC1339" s="94">
        <v>46</v>
      </c>
      <c r="AD1339" s="94">
        <v>274</v>
      </c>
      <c r="AE1339" s="94">
        <v>623</v>
      </c>
      <c r="AF1339" s="94">
        <v>131</v>
      </c>
      <c r="AG1339" s="94">
        <v>231</v>
      </c>
      <c r="AH1339" s="94">
        <v>837</v>
      </c>
      <c r="AI1339" s="94">
        <v>6</v>
      </c>
      <c r="AJ1339" s="94">
        <v>1067</v>
      </c>
      <c r="AK1339" s="94">
        <v>5</v>
      </c>
      <c r="AL1339" s="94">
        <v>2</v>
      </c>
      <c r="AM1339" s="94">
        <v>48</v>
      </c>
      <c r="AN1339" s="94">
        <v>1013</v>
      </c>
      <c r="AO1339" s="94">
        <v>13</v>
      </c>
      <c r="AP1339" s="95">
        <v>3.5175879396984899</v>
      </c>
      <c r="AQ1339" s="95">
        <v>0.70921985815602795</v>
      </c>
      <c r="AR1339" s="95">
        <v>10.3448275862069</v>
      </c>
      <c r="AS1339" s="95">
        <v>2.32558139534884</v>
      </c>
      <c r="AT1339" s="95">
        <v>3.58565737051793</v>
      </c>
      <c r="AU1339" s="95">
        <v>3.9861351819757398</v>
      </c>
      <c r="AV1339" s="95">
        <v>1.61290322580645</v>
      </c>
      <c r="AW1339" s="95">
        <v>2.8301886792452802</v>
      </c>
      <c r="AX1339" s="95">
        <v>3.72750642673522</v>
      </c>
      <c r="AY1339" s="95">
        <v>0</v>
      </c>
      <c r="AZ1339" s="95">
        <v>3.5425101214574899</v>
      </c>
      <c r="BA1339" s="95">
        <v>0</v>
      </c>
      <c r="BB1339" s="95">
        <v>0</v>
      </c>
      <c r="BC1339" s="95">
        <v>2.4390243902439002</v>
      </c>
      <c r="BD1339" s="95">
        <v>3.6131774707757698</v>
      </c>
      <c r="BE1339" s="95">
        <v>0</v>
      </c>
    </row>
    <row r="1340" spans="2:57" ht="15" customHeight="1" x14ac:dyDescent="0.25">
      <c r="B1340" s="86">
        <v>1330</v>
      </c>
      <c r="C1340" s="87" t="s">
        <v>503</v>
      </c>
      <c r="D1340" s="103" t="s">
        <v>92</v>
      </c>
      <c r="E1340" s="103" t="s">
        <v>516</v>
      </c>
      <c r="F1340" s="103"/>
      <c r="G1340" s="88" t="s">
        <v>516</v>
      </c>
      <c r="H1340" s="89">
        <v>1228</v>
      </c>
      <c r="I1340" s="89">
        <v>863</v>
      </c>
      <c r="J1340" s="89">
        <v>365</v>
      </c>
      <c r="K1340" s="89">
        <v>109</v>
      </c>
      <c r="L1340" s="89">
        <v>342</v>
      </c>
      <c r="M1340" s="89">
        <v>640</v>
      </c>
      <c r="N1340" s="89">
        <v>137</v>
      </c>
      <c r="O1340" s="89">
        <v>1225</v>
      </c>
      <c r="P1340" s="89">
        <v>3</v>
      </c>
      <c r="Q1340" s="90">
        <v>0.16920473773265701</v>
      </c>
      <c r="R1340" s="90">
        <v>0</v>
      </c>
      <c r="S1340" s="90">
        <v>0.57471264367816099</v>
      </c>
      <c r="T1340" s="90">
        <v>0</v>
      </c>
      <c r="U1340" s="90">
        <v>0.60975609756097604</v>
      </c>
      <c r="V1340" s="90">
        <v>0</v>
      </c>
      <c r="W1340" s="90">
        <v>0</v>
      </c>
      <c r="X1340" s="90">
        <v>0.16963528413910101</v>
      </c>
      <c r="Y1340" s="90">
        <v>0</v>
      </c>
      <c r="Z1340" s="89">
        <v>1504</v>
      </c>
      <c r="AA1340" s="89">
        <v>943</v>
      </c>
      <c r="AB1340" s="89">
        <v>561</v>
      </c>
      <c r="AC1340" s="89">
        <v>138</v>
      </c>
      <c r="AD1340" s="89">
        <v>396</v>
      </c>
      <c r="AE1340" s="89">
        <v>804</v>
      </c>
      <c r="AF1340" s="89">
        <v>166</v>
      </c>
      <c r="AG1340" s="89">
        <v>1432</v>
      </c>
      <c r="AH1340" s="89">
        <v>65</v>
      </c>
      <c r="AI1340" s="89">
        <v>7</v>
      </c>
      <c r="AJ1340" s="89">
        <v>1494</v>
      </c>
      <c r="AK1340" s="89">
        <v>2</v>
      </c>
      <c r="AL1340" s="89">
        <v>8</v>
      </c>
      <c r="AM1340" s="89">
        <v>63</v>
      </c>
      <c r="AN1340" s="89">
        <v>1418</v>
      </c>
      <c r="AO1340" s="89">
        <v>23</v>
      </c>
      <c r="AP1340" s="90">
        <v>0.55248618784530401</v>
      </c>
      <c r="AQ1340" s="90">
        <v>0.109170305676856</v>
      </c>
      <c r="AR1340" s="90">
        <v>1.31578947368421</v>
      </c>
      <c r="AS1340" s="90">
        <v>0.74074074074074103</v>
      </c>
      <c r="AT1340" s="90">
        <v>0.269541778975741</v>
      </c>
      <c r="AU1340" s="90">
        <v>0.77021822849807497</v>
      </c>
      <c r="AV1340" s="90">
        <v>0</v>
      </c>
      <c r="AW1340" s="90">
        <v>0.50687907313540903</v>
      </c>
      <c r="AX1340" s="90">
        <v>1.6666666666666701</v>
      </c>
      <c r="AY1340" s="90">
        <v>0</v>
      </c>
      <c r="AZ1340" s="90">
        <v>0.556328233657858</v>
      </c>
      <c r="BA1340" s="90">
        <v>0</v>
      </c>
      <c r="BB1340" s="90">
        <v>0</v>
      </c>
      <c r="BC1340" s="90">
        <v>0</v>
      </c>
      <c r="BD1340" s="90">
        <v>0.58694057226705798</v>
      </c>
      <c r="BE1340" s="90">
        <v>0</v>
      </c>
    </row>
    <row r="1341" spans="2:57" ht="15" customHeight="1" x14ac:dyDescent="0.25">
      <c r="B1341" s="91">
        <v>1331</v>
      </c>
      <c r="C1341" s="92" t="s">
        <v>503</v>
      </c>
      <c r="D1341" s="92" t="s">
        <v>92</v>
      </c>
      <c r="E1341" s="92" t="s">
        <v>516</v>
      </c>
      <c r="F1341" s="92"/>
      <c r="G1341" s="93" t="s">
        <v>501</v>
      </c>
      <c r="H1341" s="94">
        <v>0</v>
      </c>
      <c r="I1341" s="94">
        <v>0</v>
      </c>
      <c r="J1341" s="94">
        <v>0</v>
      </c>
      <c r="K1341" s="94">
        <v>0</v>
      </c>
      <c r="L1341" s="94">
        <v>0</v>
      </c>
      <c r="M1341" s="94">
        <v>0</v>
      </c>
      <c r="N1341" s="94">
        <v>0</v>
      </c>
      <c r="O1341" s="94">
        <v>0</v>
      </c>
      <c r="P1341" s="94">
        <v>0</v>
      </c>
      <c r="Q1341" s="95">
        <v>0</v>
      </c>
      <c r="R1341" s="95">
        <v>0</v>
      </c>
      <c r="S1341" s="95">
        <v>0</v>
      </c>
      <c r="T1341" s="95">
        <v>0</v>
      </c>
      <c r="U1341" s="95">
        <v>0</v>
      </c>
      <c r="V1341" s="95">
        <v>0</v>
      </c>
      <c r="W1341" s="95">
        <v>0</v>
      </c>
      <c r="X1341" s="95">
        <v>0</v>
      </c>
      <c r="Y1341" s="95">
        <v>0</v>
      </c>
      <c r="Z1341" s="94">
        <v>0</v>
      </c>
      <c r="AA1341" s="94">
        <v>0</v>
      </c>
      <c r="AB1341" s="94">
        <v>0</v>
      </c>
      <c r="AC1341" s="94">
        <v>0</v>
      </c>
      <c r="AD1341" s="94">
        <v>0</v>
      </c>
      <c r="AE1341" s="94">
        <v>0</v>
      </c>
      <c r="AF1341" s="94">
        <v>0</v>
      </c>
      <c r="AG1341" s="94">
        <v>0</v>
      </c>
      <c r="AH1341" s="94">
        <v>0</v>
      </c>
      <c r="AI1341" s="94">
        <v>0</v>
      </c>
      <c r="AJ1341" s="94">
        <v>0</v>
      </c>
      <c r="AK1341" s="94">
        <v>0</v>
      </c>
      <c r="AL1341" s="94">
        <v>0</v>
      </c>
      <c r="AM1341" s="94">
        <v>0</v>
      </c>
      <c r="AN1341" s="94">
        <v>0</v>
      </c>
      <c r="AO1341" s="94">
        <v>0</v>
      </c>
      <c r="AP1341" s="95">
        <v>0</v>
      </c>
      <c r="AQ1341" s="95">
        <v>0</v>
      </c>
      <c r="AR1341" s="95">
        <v>0</v>
      </c>
      <c r="AS1341" s="95">
        <v>0</v>
      </c>
      <c r="AT1341" s="95">
        <v>0</v>
      </c>
      <c r="AU1341" s="95">
        <v>0</v>
      </c>
      <c r="AV1341" s="95">
        <v>0</v>
      </c>
      <c r="AW1341" s="95">
        <v>0</v>
      </c>
      <c r="AX1341" s="95">
        <v>0</v>
      </c>
      <c r="AY1341" s="95">
        <v>0</v>
      </c>
      <c r="AZ1341" s="95">
        <v>0</v>
      </c>
      <c r="BA1341" s="95">
        <v>0</v>
      </c>
      <c r="BB1341" s="95">
        <v>0</v>
      </c>
      <c r="BC1341" s="95">
        <v>0</v>
      </c>
      <c r="BD1341" s="95">
        <v>0</v>
      </c>
      <c r="BE1341" s="95">
        <v>0</v>
      </c>
    </row>
    <row r="1342" spans="2:57" ht="15" customHeight="1" x14ac:dyDescent="0.25">
      <c r="B1342" s="91">
        <v>1332</v>
      </c>
      <c r="C1342" s="92" t="s">
        <v>503</v>
      </c>
      <c r="D1342" s="92" t="s">
        <v>92</v>
      </c>
      <c r="E1342" s="92" t="s">
        <v>516</v>
      </c>
      <c r="F1342" s="92"/>
      <c r="G1342" s="93" t="s">
        <v>502</v>
      </c>
      <c r="H1342" s="94">
        <v>1228</v>
      </c>
      <c r="I1342" s="94">
        <v>863</v>
      </c>
      <c r="J1342" s="94">
        <v>365</v>
      </c>
      <c r="K1342" s="94">
        <v>109</v>
      </c>
      <c r="L1342" s="94">
        <v>342</v>
      </c>
      <c r="M1342" s="94">
        <v>640</v>
      </c>
      <c r="N1342" s="94">
        <v>137</v>
      </c>
      <c r="O1342" s="94">
        <v>1225</v>
      </c>
      <c r="P1342" s="94">
        <v>3</v>
      </c>
      <c r="Q1342" s="95">
        <v>0.16920473773265701</v>
      </c>
      <c r="R1342" s="95">
        <v>0</v>
      </c>
      <c r="S1342" s="95">
        <v>0.57471264367816099</v>
      </c>
      <c r="T1342" s="95">
        <v>0</v>
      </c>
      <c r="U1342" s="95">
        <v>0.60975609756097604</v>
      </c>
      <c r="V1342" s="95">
        <v>0</v>
      </c>
      <c r="W1342" s="95">
        <v>0</v>
      </c>
      <c r="X1342" s="95">
        <v>0.16963528413910101</v>
      </c>
      <c r="Y1342" s="95">
        <v>0</v>
      </c>
      <c r="Z1342" s="94">
        <v>1504</v>
      </c>
      <c r="AA1342" s="94">
        <v>943</v>
      </c>
      <c r="AB1342" s="94">
        <v>561</v>
      </c>
      <c r="AC1342" s="94">
        <v>138</v>
      </c>
      <c r="AD1342" s="94">
        <v>396</v>
      </c>
      <c r="AE1342" s="94">
        <v>804</v>
      </c>
      <c r="AF1342" s="94">
        <v>166</v>
      </c>
      <c r="AG1342" s="94">
        <v>1432</v>
      </c>
      <c r="AH1342" s="94">
        <v>65</v>
      </c>
      <c r="AI1342" s="94">
        <v>7</v>
      </c>
      <c r="AJ1342" s="94">
        <v>1494</v>
      </c>
      <c r="AK1342" s="94">
        <v>2</v>
      </c>
      <c r="AL1342" s="94">
        <v>8</v>
      </c>
      <c r="AM1342" s="94">
        <v>63</v>
      </c>
      <c r="AN1342" s="94">
        <v>1418</v>
      </c>
      <c r="AO1342" s="94">
        <v>23</v>
      </c>
      <c r="AP1342" s="95">
        <v>0.55248618784530401</v>
      </c>
      <c r="AQ1342" s="95">
        <v>0.109170305676856</v>
      </c>
      <c r="AR1342" s="95">
        <v>1.31578947368421</v>
      </c>
      <c r="AS1342" s="95">
        <v>0.74074074074074103</v>
      </c>
      <c r="AT1342" s="95">
        <v>0.269541778975741</v>
      </c>
      <c r="AU1342" s="95">
        <v>0.77021822849807497</v>
      </c>
      <c r="AV1342" s="95">
        <v>0</v>
      </c>
      <c r="AW1342" s="95">
        <v>0.50687907313540903</v>
      </c>
      <c r="AX1342" s="95">
        <v>1.6666666666666701</v>
      </c>
      <c r="AY1342" s="95">
        <v>0</v>
      </c>
      <c r="AZ1342" s="95">
        <v>0.556328233657858</v>
      </c>
      <c r="BA1342" s="95">
        <v>0</v>
      </c>
      <c r="BB1342" s="95">
        <v>0</v>
      </c>
      <c r="BC1342" s="95">
        <v>0</v>
      </c>
      <c r="BD1342" s="95">
        <v>0.58694057226705798</v>
      </c>
      <c r="BE1342" s="95">
        <v>0</v>
      </c>
    </row>
    <row r="1343" spans="2:57" ht="15" customHeight="1" x14ac:dyDescent="0.25">
      <c r="B1343" s="96">
        <v>1333</v>
      </c>
      <c r="C1343" s="97" t="s">
        <v>504</v>
      </c>
      <c r="D1343" s="104" t="s">
        <v>92</v>
      </c>
      <c r="E1343" s="104" t="s">
        <v>516</v>
      </c>
      <c r="F1343" s="104" t="s">
        <v>489</v>
      </c>
      <c r="G1343" s="105" t="s">
        <v>489</v>
      </c>
      <c r="H1343" s="106">
        <v>1228</v>
      </c>
      <c r="I1343" s="106">
        <v>863</v>
      </c>
      <c r="J1343" s="106">
        <v>365</v>
      </c>
      <c r="K1343" s="106">
        <v>109</v>
      </c>
      <c r="L1343" s="106">
        <v>342</v>
      </c>
      <c r="M1343" s="106">
        <v>640</v>
      </c>
      <c r="N1343" s="106">
        <v>137</v>
      </c>
      <c r="O1343" s="106">
        <v>1225</v>
      </c>
      <c r="P1343" s="106">
        <v>3</v>
      </c>
      <c r="Q1343" s="107">
        <v>0.16920473773265701</v>
      </c>
      <c r="R1343" s="107">
        <v>0</v>
      </c>
      <c r="S1343" s="107">
        <v>0.57471264367816099</v>
      </c>
      <c r="T1343" s="107">
        <v>0</v>
      </c>
      <c r="U1343" s="107">
        <v>0.60975609756097604</v>
      </c>
      <c r="V1343" s="107">
        <v>0</v>
      </c>
      <c r="W1343" s="107">
        <v>0</v>
      </c>
      <c r="X1343" s="107">
        <v>0.16963528413910101</v>
      </c>
      <c r="Y1343" s="107">
        <v>0</v>
      </c>
      <c r="Z1343" s="106">
        <v>1504</v>
      </c>
      <c r="AA1343" s="106">
        <v>943</v>
      </c>
      <c r="AB1343" s="106">
        <v>561</v>
      </c>
      <c r="AC1343" s="106">
        <v>138</v>
      </c>
      <c r="AD1343" s="106">
        <v>396</v>
      </c>
      <c r="AE1343" s="106">
        <v>804</v>
      </c>
      <c r="AF1343" s="106">
        <v>166</v>
      </c>
      <c r="AG1343" s="106">
        <v>1432</v>
      </c>
      <c r="AH1343" s="106">
        <v>65</v>
      </c>
      <c r="AI1343" s="106">
        <v>7</v>
      </c>
      <c r="AJ1343" s="106">
        <v>1494</v>
      </c>
      <c r="AK1343" s="106">
        <v>2</v>
      </c>
      <c r="AL1343" s="106">
        <v>8</v>
      </c>
      <c r="AM1343" s="106">
        <v>63</v>
      </c>
      <c r="AN1343" s="106">
        <v>1418</v>
      </c>
      <c r="AO1343" s="106">
        <v>23</v>
      </c>
      <c r="AP1343" s="107">
        <v>0.55248618784530401</v>
      </c>
      <c r="AQ1343" s="107">
        <v>0.109170305676856</v>
      </c>
      <c r="AR1343" s="107">
        <v>1.31578947368421</v>
      </c>
      <c r="AS1343" s="107">
        <v>0.74074074074074103</v>
      </c>
      <c r="AT1343" s="107">
        <v>0.269541778975741</v>
      </c>
      <c r="AU1343" s="107">
        <v>0.77021822849807497</v>
      </c>
      <c r="AV1343" s="107">
        <v>0</v>
      </c>
      <c r="AW1343" s="107">
        <v>0.50687907313540903</v>
      </c>
      <c r="AX1343" s="107">
        <v>1.6666666666666701</v>
      </c>
      <c r="AY1343" s="107">
        <v>0</v>
      </c>
      <c r="AZ1343" s="107">
        <v>0.556328233657858</v>
      </c>
      <c r="BA1343" s="107">
        <v>0</v>
      </c>
      <c r="BB1343" s="107">
        <v>0</v>
      </c>
      <c r="BC1343" s="107">
        <v>0</v>
      </c>
      <c r="BD1343" s="107">
        <v>0.58694057226705798</v>
      </c>
      <c r="BE1343" s="107">
        <v>0</v>
      </c>
    </row>
    <row r="1344" spans="2:57" ht="15" customHeight="1" x14ac:dyDescent="0.25">
      <c r="B1344" s="91">
        <v>1334</v>
      </c>
      <c r="C1344" s="92" t="s">
        <v>504</v>
      </c>
      <c r="D1344" s="92" t="s">
        <v>92</v>
      </c>
      <c r="E1344" s="92" t="s">
        <v>516</v>
      </c>
      <c r="F1344" s="92" t="s">
        <v>489</v>
      </c>
      <c r="G1344" s="101" t="s">
        <v>501</v>
      </c>
      <c r="H1344" s="94">
        <v>0</v>
      </c>
      <c r="I1344" s="94">
        <v>0</v>
      </c>
      <c r="J1344" s="94">
        <v>0</v>
      </c>
      <c r="K1344" s="94">
        <v>0</v>
      </c>
      <c r="L1344" s="94">
        <v>0</v>
      </c>
      <c r="M1344" s="94">
        <v>0</v>
      </c>
      <c r="N1344" s="94">
        <v>0</v>
      </c>
      <c r="O1344" s="94">
        <v>0</v>
      </c>
      <c r="P1344" s="94">
        <v>0</v>
      </c>
      <c r="Q1344" s="95">
        <v>0</v>
      </c>
      <c r="R1344" s="95">
        <v>0</v>
      </c>
      <c r="S1344" s="95">
        <v>0</v>
      </c>
      <c r="T1344" s="95">
        <v>0</v>
      </c>
      <c r="U1344" s="95">
        <v>0</v>
      </c>
      <c r="V1344" s="95">
        <v>0</v>
      </c>
      <c r="W1344" s="95">
        <v>0</v>
      </c>
      <c r="X1344" s="95">
        <v>0</v>
      </c>
      <c r="Y1344" s="95">
        <v>0</v>
      </c>
      <c r="Z1344" s="94">
        <v>0</v>
      </c>
      <c r="AA1344" s="94">
        <v>0</v>
      </c>
      <c r="AB1344" s="94">
        <v>0</v>
      </c>
      <c r="AC1344" s="94">
        <v>0</v>
      </c>
      <c r="AD1344" s="94">
        <v>0</v>
      </c>
      <c r="AE1344" s="94">
        <v>0</v>
      </c>
      <c r="AF1344" s="94">
        <v>0</v>
      </c>
      <c r="AG1344" s="94">
        <v>0</v>
      </c>
      <c r="AH1344" s="94">
        <v>0</v>
      </c>
      <c r="AI1344" s="94">
        <v>0</v>
      </c>
      <c r="AJ1344" s="94">
        <v>0</v>
      </c>
      <c r="AK1344" s="94">
        <v>0</v>
      </c>
      <c r="AL1344" s="94">
        <v>0</v>
      </c>
      <c r="AM1344" s="94">
        <v>0</v>
      </c>
      <c r="AN1344" s="94">
        <v>0</v>
      </c>
      <c r="AO1344" s="94">
        <v>0</v>
      </c>
      <c r="AP1344" s="95">
        <v>0</v>
      </c>
      <c r="AQ1344" s="95">
        <v>0</v>
      </c>
      <c r="AR1344" s="95">
        <v>0</v>
      </c>
      <c r="AS1344" s="95">
        <v>0</v>
      </c>
      <c r="AT1344" s="95">
        <v>0</v>
      </c>
      <c r="AU1344" s="95">
        <v>0</v>
      </c>
      <c r="AV1344" s="95">
        <v>0</v>
      </c>
      <c r="AW1344" s="95">
        <v>0</v>
      </c>
      <c r="AX1344" s="95">
        <v>0</v>
      </c>
      <c r="AY1344" s="95">
        <v>0</v>
      </c>
      <c r="AZ1344" s="95">
        <v>0</v>
      </c>
      <c r="BA1344" s="95">
        <v>0</v>
      </c>
      <c r="BB1344" s="95">
        <v>0</v>
      </c>
      <c r="BC1344" s="95">
        <v>0</v>
      </c>
      <c r="BD1344" s="95">
        <v>0</v>
      </c>
      <c r="BE1344" s="95">
        <v>0</v>
      </c>
    </row>
    <row r="1345" spans="2:57" ht="15" customHeight="1" x14ac:dyDescent="0.25">
      <c r="B1345" s="91">
        <v>1335</v>
      </c>
      <c r="C1345" s="92" t="s">
        <v>504</v>
      </c>
      <c r="D1345" s="92" t="s">
        <v>92</v>
      </c>
      <c r="E1345" s="92" t="s">
        <v>516</v>
      </c>
      <c r="F1345" s="92" t="s">
        <v>489</v>
      </c>
      <c r="G1345" s="101" t="s">
        <v>502</v>
      </c>
      <c r="H1345" s="94">
        <v>1228</v>
      </c>
      <c r="I1345" s="94">
        <v>863</v>
      </c>
      <c r="J1345" s="94">
        <v>365</v>
      </c>
      <c r="K1345" s="94">
        <v>109</v>
      </c>
      <c r="L1345" s="94">
        <v>342</v>
      </c>
      <c r="M1345" s="94">
        <v>640</v>
      </c>
      <c r="N1345" s="94">
        <v>137</v>
      </c>
      <c r="O1345" s="94">
        <v>1225</v>
      </c>
      <c r="P1345" s="94">
        <v>3</v>
      </c>
      <c r="Q1345" s="95">
        <v>0.16920473773265701</v>
      </c>
      <c r="R1345" s="95">
        <v>0</v>
      </c>
      <c r="S1345" s="95">
        <v>0.57471264367816099</v>
      </c>
      <c r="T1345" s="95">
        <v>0</v>
      </c>
      <c r="U1345" s="95">
        <v>0.60975609756097604</v>
      </c>
      <c r="V1345" s="95">
        <v>0</v>
      </c>
      <c r="W1345" s="95">
        <v>0</v>
      </c>
      <c r="X1345" s="95">
        <v>0.16963528413910101</v>
      </c>
      <c r="Y1345" s="95">
        <v>0</v>
      </c>
      <c r="Z1345" s="94">
        <v>1504</v>
      </c>
      <c r="AA1345" s="94">
        <v>943</v>
      </c>
      <c r="AB1345" s="94">
        <v>561</v>
      </c>
      <c r="AC1345" s="94">
        <v>138</v>
      </c>
      <c r="AD1345" s="94">
        <v>396</v>
      </c>
      <c r="AE1345" s="94">
        <v>804</v>
      </c>
      <c r="AF1345" s="94">
        <v>166</v>
      </c>
      <c r="AG1345" s="94">
        <v>1432</v>
      </c>
      <c r="AH1345" s="94">
        <v>65</v>
      </c>
      <c r="AI1345" s="94">
        <v>7</v>
      </c>
      <c r="AJ1345" s="94">
        <v>1494</v>
      </c>
      <c r="AK1345" s="94">
        <v>2</v>
      </c>
      <c r="AL1345" s="94">
        <v>8</v>
      </c>
      <c r="AM1345" s="94">
        <v>63</v>
      </c>
      <c r="AN1345" s="94">
        <v>1418</v>
      </c>
      <c r="AO1345" s="94">
        <v>23</v>
      </c>
      <c r="AP1345" s="95">
        <v>0.55248618784530401</v>
      </c>
      <c r="AQ1345" s="95">
        <v>0.109170305676856</v>
      </c>
      <c r="AR1345" s="95">
        <v>1.31578947368421</v>
      </c>
      <c r="AS1345" s="95">
        <v>0.74074074074074103</v>
      </c>
      <c r="AT1345" s="95">
        <v>0.269541778975741</v>
      </c>
      <c r="AU1345" s="95">
        <v>0.77021822849807497</v>
      </c>
      <c r="AV1345" s="95">
        <v>0</v>
      </c>
      <c r="AW1345" s="95">
        <v>0.50687907313540903</v>
      </c>
      <c r="AX1345" s="95">
        <v>1.6666666666666701</v>
      </c>
      <c r="AY1345" s="95">
        <v>0</v>
      </c>
      <c r="AZ1345" s="95">
        <v>0.556328233657858</v>
      </c>
      <c r="BA1345" s="95">
        <v>0</v>
      </c>
      <c r="BB1345" s="95">
        <v>0</v>
      </c>
      <c r="BC1345" s="95">
        <v>0</v>
      </c>
      <c r="BD1345" s="95">
        <v>0.58694057226705798</v>
      </c>
      <c r="BE1345" s="95">
        <v>0</v>
      </c>
    </row>
    <row r="1346" spans="2:57" ht="15" customHeight="1" x14ac:dyDescent="0.25">
      <c r="B1346" s="76">
        <v>1336</v>
      </c>
      <c r="C1346" s="77" t="s">
        <v>3</v>
      </c>
      <c r="D1346" s="77" t="s">
        <v>102</v>
      </c>
      <c r="E1346" s="77"/>
      <c r="F1346" s="77"/>
      <c r="G1346" s="78" t="s">
        <v>102</v>
      </c>
      <c r="H1346" s="79">
        <v>46491</v>
      </c>
      <c r="I1346" s="79">
        <v>31226</v>
      </c>
      <c r="J1346" s="79">
        <v>15265</v>
      </c>
      <c r="K1346" s="79">
        <v>2817</v>
      </c>
      <c r="L1346" s="79">
        <v>16756</v>
      </c>
      <c r="M1346" s="79">
        <v>24295</v>
      </c>
      <c r="N1346" s="79">
        <v>2623</v>
      </c>
      <c r="O1346" s="79">
        <v>45472</v>
      </c>
      <c r="P1346" s="79">
        <v>1019</v>
      </c>
      <c r="Q1346" s="80">
        <v>1.3515725476441001</v>
      </c>
      <c r="R1346" s="80">
        <v>0.948963042202975</v>
      </c>
      <c r="S1346" s="80">
        <v>2.1978819091832298</v>
      </c>
      <c r="T1346" s="80">
        <v>1.31736526946108</v>
      </c>
      <c r="U1346" s="80">
        <v>1.4276358873608399</v>
      </c>
      <c r="V1346" s="80">
        <v>1.2822788179962701</v>
      </c>
      <c r="W1346" s="80">
        <v>1.5497553017944501</v>
      </c>
      <c r="X1346" s="80">
        <v>1.3343536276244701</v>
      </c>
      <c r="Y1346" s="80">
        <v>2.11193241816262</v>
      </c>
      <c r="Z1346" s="79">
        <v>61178</v>
      </c>
      <c r="AA1346" s="79">
        <v>37239</v>
      </c>
      <c r="AB1346" s="79">
        <v>23939</v>
      </c>
      <c r="AC1346" s="79">
        <v>3104</v>
      </c>
      <c r="AD1346" s="79">
        <v>18590</v>
      </c>
      <c r="AE1346" s="79">
        <v>34727</v>
      </c>
      <c r="AF1346" s="79">
        <v>4757</v>
      </c>
      <c r="AG1346" s="79">
        <v>18453</v>
      </c>
      <c r="AH1346" s="79">
        <v>41563</v>
      </c>
      <c r="AI1346" s="79">
        <v>1162</v>
      </c>
      <c r="AJ1346" s="79">
        <v>59744</v>
      </c>
      <c r="AK1346" s="79">
        <v>1148</v>
      </c>
      <c r="AL1346" s="79">
        <v>286</v>
      </c>
      <c r="AM1346" s="79">
        <v>3153</v>
      </c>
      <c r="AN1346" s="79">
        <v>57219</v>
      </c>
      <c r="AO1346" s="79">
        <v>806</v>
      </c>
      <c r="AP1346" s="80">
        <v>4.6592874437910803</v>
      </c>
      <c r="AQ1346" s="80">
        <v>2.11025221463635</v>
      </c>
      <c r="AR1346" s="80">
        <v>8.6975954232591395</v>
      </c>
      <c r="AS1346" s="80">
        <v>6.5735694822888302</v>
      </c>
      <c r="AT1346" s="80">
        <v>5.5954501062790802</v>
      </c>
      <c r="AU1346" s="80">
        <v>4.1785605830549697</v>
      </c>
      <c r="AV1346" s="80">
        <v>3.32087090389268</v>
      </c>
      <c r="AW1346" s="80">
        <v>3.04743596992141</v>
      </c>
      <c r="AX1346" s="80">
        <v>5.3893594697648197</v>
      </c>
      <c r="AY1346" s="80">
        <v>4.64015151515152</v>
      </c>
      <c r="AZ1346" s="80">
        <v>4.6403342598658002</v>
      </c>
      <c r="BA1346" s="80">
        <v>6.6231343283582103</v>
      </c>
      <c r="BB1346" s="80">
        <v>0.75471698113207597</v>
      </c>
      <c r="BC1346" s="80">
        <v>4.9081803005008302</v>
      </c>
      <c r="BD1346" s="80">
        <v>4.6737441740031098</v>
      </c>
      <c r="BE1346" s="80">
        <v>2.6420079260237799</v>
      </c>
    </row>
    <row r="1347" spans="2:57" ht="15" customHeight="1" x14ac:dyDescent="0.25">
      <c r="B1347" s="81">
        <v>1337</v>
      </c>
      <c r="C1347" s="82" t="s">
        <v>3</v>
      </c>
      <c r="D1347" s="102" t="s">
        <v>102</v>
      </c>
      <c r="E1347" s="102"/>
      <c r="F1347" s="102"/>
      <c r="G1347" s="83" t="s">
        <v>501</v>
      </c>
      <c r="H1347" s="84">
        <v>23676</v>
      </c>
      <c r="I1347" s="84">
        <v>14371</v>
      </c>
      <c r="J1347" s="84">
        <v>9305</v>
      </c>
      <c r="K1347" s="84">
        <v>1058</v>
      </c>
      <c r="L1347" s="84">
        <v>8793</v>
      </c>
      <c r="M1347" s="84">
        <v>12686</v>
      </c>
      <c r="N1347" s="84">
        <v>1139</v>
      </c>
      <c r="O1347" s="84">
        <v>23280</v>
      </c>
      <c r="P1347" s="84">
        <v>396</v>
      </c>
      <c r="Q1347" s="85">
        <v>2.1771149774463798</v>
      </c>
      <c r="R1347" s="85">
        <v>1.48952095808383</v>
      </c>
      <c r="S1347" s="85">
        <v>3.2751613674396398</v>
      </c>
      <c r="T1347" s="85">
        <v>2.7748132337246498</v>
      </c>
      <c r="U1347" s="85">
        <v>2.3743718592964802</v>
      </c>
      <c r="V1347" s="85">
        <v>1.9268313385960401</v>
      </c>
      <c r="W1347" s="85">
        <v>2.9580152671755702</v>
      </c>
      <c r="X1347" s="85">
        <v>2.1305487919086001</v>
      </c>
      <c r="Y1347" s="85">
        <v>4.8648648648648596</v>
      </c>
      <c r="Z1347" s="84">
        <v>32483</v>
      </c>
      <c r="AA1347" s="84">
        <v>18531</v>
      </c>
      <c r="AB1347" s="84">
        <v>13952</v>
      </c>
      <c r="AC1347" s="84">
        <v>1406</v>
      </c>
      <c r="AD1347" s="84">
        <v>9836</v>
      </c>
      <c r="AE1347" s="84">
        <v>18833</v>
      </c>
      <c r="AF1347" s="84">
        <v>2408</v>
      </c>
      <c r="AG1347" s="84">
        <v>6207</v>
      </c>
      <c r="AH1347" s="84">
        <v>25691</v>
      </c>
      <c r="AI1347" s="84">
        <v>585</v>
      </c>
      <c r="AJ1347" s="84">
        <v>31795</v>
      </c>
      <c r="AK1347" s="84">
        <v>596</v>
      </c>
      <c r="AL1347" s="84">
        <v>92</v>
      </c>
      <c r="AM1347" s="84">
        <v>1780</v>
      </c>
      <c r="AN1347" s="84">
        <v>30391</v>
      </c>
      <c r="AO1347" s="84">
        <v>312</v>
      </c>
      <c r="AP1347" s="85">
        <v>7.21683488356752</v>
      </c>
      <c r="AQ1347" s="85">
        <v>3.5139176443524298</v>
      </c>
      <c r="AR1347" s="85">
        <v>12.196442382057199</v>
      </c>
      <c r="AS1347" s="85">
        <v>12.196969696969701</v>
      </c>
      <c r="AT1347" s="85">
        <v>9.0025405942781394</v>
      </c>
      <c r="AU1347" s="85">
        <v>6.1835256845440103</v>
      </c>
      <c r="AV1347" s="85">
        <v>5.2446011458792396</v>
      </c>
      <c r="AW1347" s="85">
        <v>6.0801630434782599</v>
      </c>
      <c r="AX1347" s="85">
        <v>7.4909030072357696</v>
      </c>
      <c r="AY1347" s="85">
        <v>7.4856046065259099</v>
      </c>
      <c r="AZ1347" s="85">
        <v>7.1618662624220999</v>
      </c>
      <c r="BA1347" s="85">
        <v>10.928961748633901</v>
      </c>
      <c r="BB1347" s="85">
        <v>2.38095238095238</v>
      </c>
      <c r="BC1347" s="85">
        <v>7.4608904933814699</v>
      </c>
      <c r="BD1347" s="85">
        <v>7.2103185790809103</v>
      </c>
      <c r="BE1347" s="85">
        <v>6.4285714285714297</v>
      </c>
    </row>
    <row r="1348" spans="2:57" ht="15" customHeight="1" x14ac:dyDescent="0.25">
      <c r="B1348" s="81">
        <v>1338</v>
      </c>
      <c r="C1348" s="82" t="s">
        <v>3</v>
      </c>
      <c r="D1348" s="102" t="s">
        <v>102</v>
      </c>
      <c r="E1348" s="102"/>
      <c r="F1348" s="102"/>
      <c r="G1348" s="83" t="s">
        <v>502</v>
      </c>
      <c r="H1348" s="84">
        <v>22815</v>
      </c>
      <c r="I1348" s="84">
        <v>16855</v>
      </c>
      <c r="J1348" s="84">
        <v>5960</v>
      </c>
      <c r="K1348" s="84">
        <v>1759</v>
      </c>
      <c r="L1348" s="84">
        <v>7963</v>
      </c>
      <c r="M1348" s="84">
        <v>11609</v>
      </c>
      <c r="N1348" s="84">
        <v>1484</v>
      </c>
      <c r="O1348" s="84">
        <v>22192</v>
      </c>
      <c r="P1348" s="84">
        <v>623</v>
      </c>
      <c r="Q1348" s="85">
        <v>0.49907314986453699</v>
      </c>
      <c r="R1348" s="85">
        <v>0.48658684935015001</v>
      </c>
      <c r="S1348" s="85">
        <v>0.53505535055350595</v>
      </c>
      <c r="T1348" s="85">
        <v>0.44642857142857101</v>
      </c>
      <c r="U1348" s="85">
        <v>0.39671682626539001</v>
      </c>
      <c r="V1348" s="85">
        <v>0.57636887608069198</v>
      </c>
      <c r="W1348" s="85">
        <v>0.49857549857549899</v>
      </c>
      <c r="X1348" s="85">
        <v>0.50337210438862301</v>
      </c>
      <c r="Y1348" s="85">
        <v>0.34662045060658597</v>
      </c>
      <c r="Z1348" s="84">
        <v>28695</v>
      </c>
      <c r="AA1348" s="84">
        <v>18708</v>
      </c>
      <c r="AB1348" s="84">
        <v>9987</v>
      </c>
      <c r="AC1348" s="84">
        <v>1698</v>
      </c>
      <c r="AD1348" s="84">
        <v>8754</v>
      </c>
      <c r="AE1348" s="84">
        <v>15894</v>
      </c>
      <c r="AF1348" s="84">
        <v>2349</v>
      </c>
      <c r="AG1348" s="84">
        <v>12246</v>
      </c>
      <c r="AH1348" s="84">
        <v>15872</v>
      </c>
      <c r="AI1348" s="84">
        <v>577</v>
      </c>
      <c r="AJ1348" s="84">
        <v>27949</v>
      </c>
      <c r="AK1348" s="84">
        <v>552</v>
      </c>
      <c r="AL1348" s="84">
        <v>194</v>
      </c>
      <c r="AM1348" s="84">
        <v>1373</v>
      </c>
      <c r="AN1348" s="84">
        <v>26828</v>
      </c>
      <c r="AO1348" s="84">
        <v>494</v>
      </c>
      <c r="AP1348" s="85">
        <v>1.8398661915497101</v>
      </c>
      <c r="AQ1348" s="85">
        <v>0.758666518994352</v>
      </c>
      <c r="AR1348" s="85">
        <v>3.9072426937738198</v>
      </c>
      <c r="AS1348" s="85">
        <v>1.98019801980198</v>
      </c>
      <c r="AT1348" s="85">
        <v>1.9032798659324901</v>
      </c>
      <c r="AU1348" s="85">
        <v>1.85525108168349</v>
      </c>
      <c r="AV1348" s="85">
        <v>1.4047410008779599</v>
      </c>
      <c r="AW1348" s="85">
        <v>1.53402830748368</v>
      </c>
      <c r="AX1348" s="85">
        <v>2.0767405063291098</v>
      </c>
      <c r="AY1348" s="85">
        <v>1.86915887850467</v>
      </c>
      <c r="AZ1348" s="85">
        <v>1.8471527725949699</v>
      </c>
      <c r="BA1348" s="85">
        <v>2.10325047801147</v>
      </c>
      <c r="BB1348" s="85">
        <v>0</v>
      </c>
      <c r="BC1348" s="85">
        <v>1.72543135783946</v>
      </c>
      <c r="BD1348" s="85">
        <v>1.8721781099174799</v>
      </c>
      <c r="BE1348" s="85">
        <v>0.41928721174004202</v>
      </c>
    </row>
    <row r="1349" spans="2:57" ht="15" customHeight="1" x14ac:dyDescent="0.25">
      <c r="B1349" s="86">
        <v>1339</v>
      </c>
      <c r="C1349" s="87" t="s">
        <v>503</v>
      </c>
      <c r="D1349" s="103" t="s">
        <v>102</v>
      </c>
      <c r="E1349" s="103" t="s">
        <v>433</v>
      </c>
      <c r="F1349" s="103"/>
      <c r="G1349" s="88" t="s">
        <v>433</v>
      </c>
      <c r="H1349" s="89">
        <v>27193</v>
      </c>
      <c r="I1349" s="89">
        <v>17102</v>
      </c>
      <c r="J1349" s="89">
        <v>10091</v>
      </c>
      <c r="K1349" s="89">
        <v>1352</v>
      </c>
      <c r="L1349" s="89">
        <v>9906</v>
      </c>
      <c r="M1349" s="89">
        <v>14504</v>
      </c>
      <c r="N1349" s="89">
        <v>1431</v>
      </c>
      <c r="O1349" s="89">
        <v>26439</v>
      </c>
      <c r="P1349" s="89">
        <v>754</v>
      </c>
      <c r="Q1349" s="90">
        <v>1.8677354709418801</v>
      </c>
      <c r="R1349" s="90">
        <v>1.2346456692913399</v>
      </c>
      <c r="S1349" s="90">
        <v>2.97520661157025</v>
      </c>
      <c r="T1349" s="90">
        <v>2.2277227722772301</v>
      </c>
      <c r="U1349" s="90">
        <v>2.05013927576602</v>
      </c>
      <c r="V1349" s="90">
        <v>1.65910274533145</v>
      </c>
      <c r="W1349" s="90">
        <v>2.4205748865355501</v>
      </c>
      <c r="X1349" s="90">
        <v>1.8552110817942</v>
      </c>
      <c r="Y1349" s="90">
        <v>2.3054755043227702</v>
      </c>
      <c r="Z1349" s="89">
        <v>33045</v>
      </c>
      <c r="AA1349" s="89">
        <v>19074</v>
      </c>
      <c r="AB1349" s="89">
        <v>13971</v>
      </c>
      <c r="AC1349" s="89">
        <v>1413</v>
      </c>
      <c r="AD1349" s="89">
        <v>9840</v>
      </c>
      <c r="AE1349" s="89">
        <v>19213</v>
      </c>
      <c r="AF1349" s="89">
        <v>2579</v>
      </c>
      <c r="AG1349" s="89">
        <v>6470</v>
      </c>
      <c r="AH1349" s="89">
        <v>25893</v>
      </c>
      <c r="AI1349" s="89">
        <v>682</v>
      </c>
      <c r="AJ1349" s="89">
        <v>32115</v>
      </c>
      <c r="AK1349" s="89">
        <v>812</v>
      </c>
      <c r="AL1349" s="89">
        <v>118</v>
      </c>
      <c r="AM1349" s="89">
        <v>1854</v>
      </c>
      <c r="AN1349" s="89">
        <v>30830</v>
      </c>
      <c r="AO1349" s="89">
        <v>361</v>
      </c>
      <c r="AP1349" s="90">
        <v>6.3981349566118402</v>
      </c>
      <c r="AQ1349" s="90">
        <v>3.1256964564296901</v>
      </c>
      <c r="AR1349" s="90">
        <v>10.938466295609199</v>
      </c>
      <c r="AS1349" s="90">
        <v>10.262172284644199</v>
      </c>
      <c r="AT1349" s="90">
        <v>8.2562747688243103</v>
      </c>
      <c r="AU1349" s="90">
        <v>5.4899351189485897</v>
      </c>
      <c r="AV1349" s="90">
        <v>4.0707236842105301</v>
      </c>
      <c r="AW1349" s="90">
        <v>5.1489637305699496</v>
      </c>
      <c r="AX1349" s="90">
        <v>6.7253039040783298</v>
      </c>
      <c r="AY1349" s="90">
        <v>6.1157024793388404</v>
      </c>
      <c r="AZ1349" s="90">
        <v>6.3726306672440796</v>
      </c>
      <c r="BA1349" s="90">
        <v>8.0581241743725194</v>
      </c>
      <c r="BB1349" s="90">
        <v>1.8518518518518501</v>
      </c>
      <c r="BC1349" s="90">
        <v>6.6129959746980997</v>
      </c>
      <c r="BD1349" s="90">
        <v>6.40291514836023</v>
      </c>
      <c r="BE1349" s="90">
        <v>4.8484848484848504</v>
      </c>
    </row>
    <row r="1350" spans="2:57" ht="15" customHeight="1" x14ac:dyDescent="0.25">
      <c r="B1350" s="91">
        <v>1340</v>
      </c>
      <c r="C1350" s="92" t="s">
        <v>503</v>
      </c>
      <c r="D1350" s="92" t="s">
        <v>102</v>
      </c>
      <c r="E1350" s="92" t="s">
        <v>433</v>
      </c>
      <c r="F1350" s="92"/>
      <c r="G1350" s="93" t="s">
        <v>501</v>
      </c>
      <c r="H1350" s="94">
        <v>21625</v>
      </c>
      <c r="I1350" s="94">
        <v>12977</v>
      </c>
      <c r="J1350" s="94">
        <v>8648</v>
      </c>
      <c r="K1350" s="94">
        <v>968</v>
      </c>
      <c r="L1350" s="94">
        <v>8063</v>
      </c>
      <c r="M1350" s="94">
        <v>11582</v>
      </c>
      <c r="N1350" s="94">
        <v>1012</v>
      </c>
      <c r="O1350" s="94">
        <v>21247</v>
      </c>
      <c r="P1350" s="94">
        <v>378</v>
      </c>
      <c r="Q1350" s="95">
        <v>2.2801795893658898</v>
      </c>
      <c r="R1350" s="95">
        <v>1.5671641791044799</v>
      </c>
      <c r="S1350" s="95">
        <v>3.3878655159087998</v>
      </c>
      <c r="T1350" s="95">
        <v>3.0267753201396999</v>
      </c>
      <c r="U1350" s="95">
        <v>2.4811514736120599</v>
      </c>
      <c r="V1350" s="95">
        <v>2.0014894805436598</v>
      </c>
      <c r="W1350" s="95">
        <v>3.2362459546925599</v>
      </c>
      <c r="X1350" s="95">
        <v>2.2444786851566501</v>
      </c>
      <c r="Y1350" s="95">
        <v>4.2492917847025504</v>
      </c>
      <c r="Z1350" s="94">
        <v>27987</v>
      </c>
      <c r="AA1350" s="94">
        <v>15795</v>
      </c>
      <c r="AB1350" s="94">
        <v>12192</v>
      </c>
      <c r="AC1350" s="94">
        <v>1166</v>
      </c>
      <c r="AD1350" s="94">
        <v>8514</v>
      </c>
      <c r="AE1350" s="94">
        <v>16283</v>
      </c>
      <c r="AF1350" s="94">
        <v>2024</v>
      </c>
      <c r="AG1350" s="94">
        <v>4908</v>
      </c>
      <c r="AH1350" s="94">
        <v>22561</v>
      </c>
      <c r="AI1350" s="94">
        <v>518</v>
      </c>
      <c r="AJ1350" s="94">
        <v>27353</v>
      </c>
      <c r="AK1350" s="94">
        <v>552</v>
      </c>
      <c r="AL1350" s="94">
        <v>82</v>
      </c>
      <c r="AM1350" s="94">
        <v>1542</v>
      </c>
      <c r="AN1350" s="94">
        <v>26173</v>
      </c>
      <c r="AO1350" s="94">
        <v>272</v>
      </c>
      <c r="AP1350" s="95">
        <v>7.2748887866237197</v>
      </c>
      <c r="AQ1350" s="95">
        <v>3.63219011612206</v>
      </c>
      <c r="AR1350" s="95">
        <v>12.064985795454501</v>
      </c>
      <c r="AS1350" s="95">
        <v>12.2950819672131</v>
      </c>
      <c r="AT1350" s="95">
        <v>9.1674104296825192</v>
      </c>
      <c r="AU1350" s="95">
        <v>6.2266255495046297</v>
      </c>
      <c r="AV1350" s="95">
        <v>4.9630411826821499</v>
      </c>
      <c r="AW1350" s="95">
        <v>6.2125107112253604</v>
      </c>
      <c r="AX1350" s="95">
        <v>7.5124093165330299</v>
      </c>
      <c r="AY1350" s="95">
        <v>7.2368421052631602</v>
      </c>
      <c r="AZ1350" s="95">
        <v>7.2064650268722303</v>
      </c>
      <c r="BA1350" s="95">
        <v>11.372549019607799</v>
      </c>
      <c r="BB1350" s="95">
        <v>2.6666666666666701</v>
      </c>
      <c r="BC1350" s="95">
        <v>7.4564459930313598</v>
      </c>
      <c r="BD1350" s="95">
        <v>7.2716838826037096</v>
      </c>
      <c r="BE1350" s="95">
        <v>6.5306122448979602</v>
      </c>
    </row>
    <row r="1351" spans="2:57" ht="15" customHeight="1" x14ac:dyDescent="0.25">
      <c r="B1351" s="91">
        <v>1341</v>
      </c>
      <c r="C1351" s="92" t="s">
        <v>503</v>
      </c>
      <c r="D1351" s="92" t="s">
        <v>102</v>
      </c>
      <c r="E1351" s="92" t="s">
        <v>433</v>
      </c>
      <c r="F1351" s="92"/>
      <c r="G1351" s="93" t="s">
        <v>502</v>
      </c>
      <c r="H1351" s="94">
        <v>5568</v>
      </c>
      <c r="I1351" s="94">
        <v>4125</v>
      </c>
      <c r="J1351" s="94">
        <v>1443</v>
      </c>
      <c r="K1351" s="94">
        <v>384</v>
      </c>
      <c r="L1351" s="94">
        <v>1843</v>
      </c>
      <c r="M1351" s="94">
        <v>2922</v>
      </c>
      <c r="N1351" s="94">
        <v>419</v>
      </c>
      <c r="O1351" s="94">
        <v>5192</v>
      </c>
      <c r="P1351" s="94">
        <v>376</v>
      </c>
      <c r="Q1351" s="95">
        <v>0.27306417007996903</v>
      </c>
      <c r="R1351" s="95">
        <v>0.18348623853210999</v>
      </c>
      <c r="S1351" s="95">
        <v>0.53353658536585402</v>
      </c>
      <c r="T1351" s="95">
        <v>0.28328611898016998</v>
      </c>
      <c r="U1351" s="95">
        <v>0.17857142857142899</v>
      </c>
      <c r="V1351" s="95">
        <v>0.296406076324565</v>
      </c>
      <c r="W1351" s="95">
        <v>0.506329113924051</v>
      </c>
      <c r="X1351" s="95">
        <v>0.27162557459256198</v>
      </c>
      <c r="Y1351" s="95">
        <v>0.29325513196480901</v>
      </c>
      <c r="Z1351" s="94">
        <v>5058</v>
      </c>
      <c r="AA1351" s="94">
        <v>3279</v>
      </c>
      <c r="AB1351" s="94">
        <v>1779</v>
      </c>
      <c r="AC1351" s="94">
        <v>247</v>
      </c>
      <c r="AD1351" s="94">
        <v>1326</v>
      </c>
      <c r="AE1351" s="94">
        <v>2930</v>
      </c>
      <c r="AF1351" s="94">
        <v>555</v>
      </c>
      <c r="AG1351" s="94">
        <v>1562</v>
      </c>
      <c r="AH1351" s="94">
        <v>3332</v>
      </c>
      <c r="AI1351" s="94">
        <v>164</v>
      </c>
      <c r="AJ1351" s="94">
        <v>4762</v>
      </c>
      <c r="AK1351" s="94">
        <v>260</v>
      </c>
      <c r="AL1351" s="94">
        <v>36</v>
      </c>
      <c r="AM1351" s="94">
        <v>312</v>
      </c>
      <c r="AN1351" s="94">
        <v>4657</v>
      </c>
      <c r="AO1351" s="94">
        <v>89</v>
      </c>
      <c r="AP1351" s="95">
        <v>1.6430948419301199</v>
      </c>
      <c r="AQ1351" s="95">
        <v>0.73341836734693899</v>
      </c>
      <c r="AR1351" s="95">
        <v>3.3492822966507201</v>
      </c>
      <c r="AS1351" s="95">
        <v>0.84388185654008396</v>
      </c>
      <c r="AT1351" s="95">
        <v>2.49798549556809</v>
      </c>
      <c r="AU1351" s="95">
        <v>1.46848137535817</v>
      </c>
      <c r="AV1351" s="95">
        <v>0.92936802973977695</v>
      </c>
      <c r="AW1351" s="95">
        <v>1.8567639257294399</v>
      </c>
      <c r="AX1351" s="95">
        <v>1.4915899714376399</v>
      </c>
      <c r="AY1351" s="95">
        <v>2.6845637583892601</v>
      </c>
      <c r="AZ1351" s="95">
        <v>1.6784452296819801</v>
      </c>
      <c r="BA1351" s="95">
        <v>1.2145748987854299</v>
      </c>
      <c r="BB1351" s="95">
        <v>0</v>
      </c>
      <c r="BC1351" s="95">
        <v>2.6315789473684199</v>
      </c>
      <c r="BD1351" s="95">
        <v>1.6066983480425401</v>
      </c>
      <c r="BE1351" s="95">
        <v>0</v>
      </c>
    </row>
    <row r="1352" spans="2:57" ht="15" customHeight="1" x14ac:dyDescent="0.25">
      <c r="B1352" s="96">
        <v>1342</v>
      </c>
      <c r="C1352" s="97" t="s">
        <v>504</v>
      </c>
      <c r="D1352" s="104" t="s">
        <v>102</v>
      </c>
      <c r="E1352" s="104" t="s">
        <v>433</v>
      </c>
      <c r="F1352" s="104" t="s">
        <v>281</v>
      </c>
      <c r="G1352" s="105" t="s">
        <v>281</v>
      </c>
      <c r="H1352" s="106">
        <v>20929</v>
      </c>
      <c r="I1352" s="106">
        <v>12595</v>
      </c>
      <c r="J1352" s="106">
        <v>8334</v>
      </c>
      <c r="K1352" s="106">
        <v>934</v>
      </c>
      <c r="L1352" s="106">
        <v>7781</v>
      </c>
      <c r="M1352" s="106">
        <v>11219</v>
      </c>
      <c r="N1352" s="106">
        <v>995</v>
      </c>
      <c r="O1352" s="106">
        <v>20513</v>
      </c>
      <c r="P1352" s="106">
        <v>416</v>
      </c>
      <c r="Q1352" s="107">
        <v>2.3058505100978599</v>
      </c>
      <c r="R1352" s="107">
        <v>1.5683600409137399</v>
      </c>
      <c r="S1352" s="107">
        <v>3.4625668449197899</v>
      </c>
      <c r="T1352" s="107">
        <v>2.9940119760478998</v>
      </c>
      <c r="U1352" s="107">
        <v>2.49716231555051</v>
      </c>
      <c r="V1352" s="107">
        <v>2.0443420673769102</v>
      </c>
      <c r="W1352" s="107">
        <v>3.1868131868131901</v>
      </c>
      <c r="X1352" s="107">
        <v>2.2733308546236799</v>
      </c>
      <c r="Y1352" s="107">
        <v>3.8961038961039001</v>
      </c>
      <c r="Z1352" s="106">
        <v>25748</v>
      </c>
      <c r="AA1352" s="106">
        <v>14599</v>
      </c>
      <c r="AB1352" s="106">
        <v>11149</v>
      </c>
      <c r="AC1352" s="106">
        <v>1033</v>
      </c>
      <c r="AD1352" s="106">
        <v>7756</v>
      </c>
      <c r="AE1352" s="106">
        <v>15045</v>
      </c>
      <c r="AF1352" s="106">
        <v>1914</v>
      </c>
      <c r="AG1352" s="106">
        <v>4799</v>
      </c>
      <c r="AH1352" s="106">
        <v>20579</v>
      </c>
      <c r="AI1352" s="106">
        <v>370</v>
      </c>
      <c r="AJ1352" s="106">
        <v>25135</v>
      </c>
      <c r="AK1352" s="106">
        <v>543</v>
      </c>
      <c r="AL1352" s="106">
        <v>70</v>
      </c>
      <c r="AM1352" s="106">
        <v>1438</v>
      </c>
      <c r="AN1352" s="106">
        <v>24089</v>
      </c>
      <c r="AO1352" s="106">
        <v>221</v>
      </c>
      <c r="AP1352" s="107">
        <v>7.3832203319329501</v>
      </c>
      <c r="AQ1352" s="107">
        <v>3.8147337709700899</v>
      </c>
      <c r="AR1352" s="107">
        <v>12.1188655502855</v>
      </c>
      <c r="AS1352" s="107">
        <v>13.0927835051546</v>
      </c>
      <c r="AT1352" s="107">
        <v>9.4452983093474892</v>
      </c>
      <c r="AU1352" s="107">
        <v>6.2668177311995503</v>
      </c>
      <c r="AV1352" s="107">
        <v>4.85491071428571</v>
      </c>
      <c r="AW1352" s="107">
        <v>6.21172353455818</v>
      </c>
      <c r="AX1352" s="107">
        <v>7.6284027378650903</v>
      </c>
      <c r="AY1352" s="107">
        <v>9.3939393939393891</v>
      </c>
      <c r="AZ1352" s="107">
        <v>7.3111499297004796</v>
      </c>
      <c r="BA1352" s="107">
        <v>11.287128712871301</v>
      </c>
      <c r="BB1352" s="107">
        <v>3.0769230769230802</v>
      </c>
      <c r="BC1352" s="107">
        <v>7.2065378900445802</v>
      </c>
      <c r="BD1352" s="107">
        <v>7.3985149615401697</v>
      </c>
      <c r="BE1352" s="107">
        <v>6.8627450980392197</v>
      </c>
    </row>
    <row r="1353" spans="2:57" ht="15" customHeight="1" x14ac:dyDescent="0.25">
      <c r="B1353" s="91">
        <v>1343</v>
      </c>
      <c r="C1353" s="92" t="s">
        <v>504</v>
      </c>
      <c r="D1353" s="92" t="s">
        <v>102</v>
      </c>
      <c r="E1353" s="92" t="s">
        <v>433</v>
      </c>
      <c r="F1353" s="92" t="s">
        <v>281</v>
      </c>
      <c r="G1353" s="101" t="s">
        <v>501</v>
      </c>
      <c r="H1353" s="94">
        <v>19909</v>
      </c>
      <c r="I1353" s="94">
        <v>11809</v>
      </c>
      <c r="J1353" s="94">
        <v>8100</v>
      </c>
      <c r="K1353" s="94">
        <v>891</v>
      </c>
      <c r="L1353" s="94">
        <v>7465</v>
      </c>
      <c r="M1353" s="94">
        <v>10651</v>
      </c>
      <c r="N1353" s="94">
        <v>902</v>
      </c>
      <c r="O1353" s="94">
        <v>19553</v>
      </c>
      <c r="P1353" s="94">
        <v>356</v>
      </c>
      <c r="Q1353" s="95">
        <v>2.4095727242924299</v>
      </c>
      <c r="R1353" s="95">
        <v>1.6601651093168801</v>
      </c>
      <c r="S1353" s="95">
        <v>3.5444429179832402</v>
      </c>
      <c r="T1353" s="95">
        <v>3.1407035175879399</v>
      </c>
      <c r="U1353" s="95">
        <v>2.5989367985823999</v>
      </c>
      <c r="V1353" s="95">
        <v>2.1403331650681499</v>
      </c>
      <c r="W1353" s="95">
        <v>3.3775633293124199</v>
      </c>
      <c r="X1353" s="95">
        <v>2.3707496243530501</v>
      </c>
      <c r="Y1353" s="95">
        <v>4.5045045045045002</v>
      </c>
      <c r="Z1353" s="94">
        <v>24985</v>
      </c>
      <c r="AA1353" s="94">
        <v>14096</v>
      </c>
      <c r="AB1353" s="94">
        <v>10889</v>
      </c>
      <c r="AC1353" s="94">
        <v>1012</v>
      </c>
      <c r="AD1353" s="94">
        <v>7556</v>
      </c>
      <c r="AE1353" s="94">
        <v>14610</v>
      </c>
      <c r="AF1353" s="94">
        <v>1807</v>
      </c>
      <c r="AG1353" s="94">
        <v>4622</v>
      </c>
      <c r="AH1353" s="94">
        <v>20004</v>
      </c>
      <c r="AI1353" s="94">
        <v>359</v>
      </c>
      <c r="AJ1353" s="94">
        <v>24402</v>
      </c>
      <c r="AK1353" s="94">
        <v>516</v>
      </c>
      <c r="AL1353" s="94">
        <v>67</v>
      </c>
      <c r="AM1353" s="94">
        <v>1382</v>
      </c>
      <c r="AN1353" s="94">
        <v>23395</v>
      </c>
      <c r="AO1353" s="94">
        <v>208</v>
      </c>
      <c r="AP1353" s="95">
        <v>7.5130643365030396</v>
      </c>
      <c r="AQ1353" s="95">
        <v>3.8922833220185602</v>
      </c>
      <c r="AR1353" s="95">
        <v>12.270789969273499</v>
      </c>
      <c r="AS1353" s="95">
        <v>13.3543638275499</v>
      </c>
      <c r="AT1353" s="95">
        <v>9.5292602661324892</v>
      </c>
      <c r="AU1353" s="95">
        <v>6.3862360574469603</v>
      </c>
      <c r="AV1353" s="95">
        <v>5.0325636471284803</v>
      </c>
      <c r="AW1353" s="95">
        <v>6.23582766439909</v>
      </c>
      <c r="AX1353" s="95">
        <v>7.7840451248992704</v>
      </c>
      <c r="AY1353" s="95">
        <v>9.3457943925233593</v>
      </c>
      <c r="AZ1353" s="95">
        <v>7.4366394808383802</v>
      </c>
      <c r="BA1353" s="95">
        <v>11.715481171548101</v>
      </c>
      <c r="BB1353" s="95">
        <v>3.2258064516128999</v>
      </c>
      <c r="BC1353" s="95">
        <v>7.4303405572755397</v>
      </c>
      <c r="BD1353" s="95">
        <v>7.5198975391089604</v>
      </c>
      <c r="BE1353" s="95">
        <v>7.2916666666666696</v>
      </c>
    </row>
    <row r="1354" spans="2:57" ht="15" customHeight="1" x14ac:dyDescent="0.25">
      <c r="B1354" s="91">
        <v>1344</v>
      </c>
      <c r="C1354" s="92" t="s">
        <v>504</v>
      </c>
      <c r="D1354" s="92" t="s">
        <v>102</v>
      </c>
      <c r="E1354" s="92" t="s">
        <v>433</v>
      </c>
      <c r="F1354" s="92" t="s">
        <v>281</v>
      </c>
      <c r="G1354" s="101" t="s">
        <v>502</v>
      </c>
      <c r="H1354" s="94">
        <v>1020</v>
      </c>
      <c r="I1354" s="94">
        <v>786</v>
      </c>
      <c r="J1354" s="94">
        <v>234</v>
      </c>
      <c r="K1354" s="94">
        <v>43</v>
      </c>
      <c r="L1354" s="94">
        <v>316</v>
      </c>
      <c r="M1354" s="94">
        <v>568</v>
      </c>
      <c r="N1354" s="94">
        <v>93</v>
      </c>
      <c r="O1354" s="94">
        <v>960</v>
      </c>
      <c r="P1354" s="94">
        <v>60</v>
      </c>
      <c r="Q1354" s="95">
        <v>0.21978021978022</v>
      </c>
      <c r="R1354" s="95">
        <v>0.141043723554302</v>
      </c>
      <c r="S1354" s="95">
        <v>0.49751243781094501</v>
      </c>
      <c r="T1354" s="95">
        <v>0</v>
      </c>
      <c r="U1354" s="95">
        <v>0</v>
      </c>
      <c r="V1354" s="95">
        <v>0.19455252918287899</v>
      </c>
      <c r="W1354" s="95">
        <v>1.2345679012345701</v>
      </c>
      <c r="X1354" s="95">
        <v>0.23310023310023301</v>
      </c>
      <c r="Y1354" s="95">
        <v>0</v>
      </c>
      <c r="Z1354" s="94">
        <v>763</v>
      </c>
      <c r="AA1354" s="94">
        <v>503</v>
      </c>
      <c r="AB1354" s="94">
        <v>260</v>
      </c>
      <c r="AC1354" s="94">
        <v>21</v>
      </c>
      <c r="AD1354" s="94">
        <v>200</v>
      </c>
      <c r="AE1354" s="94">
        <v>435</v>
      </c>
      <c r="AF1354" s="94">
        <v>107</v>
      </c>
      <c r="AG1354" s="94">
        <v>177</v>
      </c>
      <c r="AH1354" s="94">
        <v>575</v>
      </c>
      <c r="AI1354" s="94">
        <v>11</v>
      </c>
      <c r="AJ1354" s="94">
        <v>733</v>
      </c>
      <c r="AK1354" s="94">
        <v>27</v>
      </c>
      <c r="AL1354" s="94">
        <v>3</v>
      </c>
      <c r="AM1354" s="94">
        <v>56</v>
      </c>
      <c r="AN1354" s="94">
        <v>694</v>
      </c>
      <c r="AO1354" s="94">
        <v>13</v>
      </c>
      <c r="AP1354" s="95">
        <v>3.02158273381295</v>
      </c>
      <c r="AQ1354" s="95">
        <v>1.54525386313466</v>
      </c>
      <c r="AR1354" s="95">
        <v>5.7851239669421499</v>
      </c>
      <c r="AS1354" s="95">
        <v>0</v>
      </c>
      <c r="AT1354" s="95">
        <v>5.9523809523809499</v>
      </c>
      <c r="AU1354" s="95">
        <v>2.2222222222222201</v>
      </c>
      <c r="AV1354" s="95">
        <v>1.94174757281553</v>
      </c>
      <c r="AW1354" s="95">
        <v>5.5555555555555598</v>
      </c>
      <c r="AX1354" s="95">
        <v>2.0992366412213701</v>
      </c>
      <c r="AY1354" s="95">
        <v>11.1111111111111</v>
      </c>
      <c r="AZ1354" s="95">
        <v>3.0075187969924801</v>
      </c>
      <c r="BA1354" s="95">
        <v>3.7037037037037002</v>
      </c>
      <c r="BB1354" s="95">
        <v>0</v>
      </c>
      <c r="BC1354" s="95">
        <v>1.8518518518518501</v>
      </c>
      <c r="BD1354" s="95">
        <v>3.1796502384737702</v>
      </c>
      <c r="BE1354" s="95">
        <v>0</v>
      </c>
    </row>
    <row r="1355" spans="2:57" ht="15" customHeight="1" x14ac:dyDescent="0.25">
      <c r="B1355" s="96">
        <v>1345</v>
      </c>
      <c r="C1355" s="97" t="s">
        <v>504</v>
      </c>
      <c r="D1355" s="104" t="s">
        <v>102</v>
      </c>
      <c r="E1355" s="104" t="s">
        <v>433</v>
      </c>
      <c r="F1355" s="104" t="s">
        <v>115</v>
      </c>
      <c r="G1355" s="105" t="s">
        <v>115</v>
      </c>
      <c r="H1355" s="106">
        <v>3231</v>
      </c>
      <c r="I1355" s="106">
        <v>2291</v>
      </c>
      <c r="J1355" s="106">
        <v>940</v>
      </c>
      <c r="K1355" s="106">
        <v>172</v>
      </c>
      <c r="L1355" s="106">
        <v>1083</v>
      </c>
      <c r="M1355" s="106">
        <v>1761</v>
      </c>
      <c r="N1355" s="106">
        <v>215</v>
      </c>
      <c r="O1355" s="106">
        <v>3171</v>
      </c>
      <c r="P1355" s="106">
        <v>60</v>
      </c>
      <c r="Q1355" s="107">
        <v>0.55729710902124696</v>
      </c>
      <c r="R1355" s="107">
        <v>0.39043435822352401</v>
      </c>
      <c r="S1355" s="107">
        <v>0.97323600973236002</v>
      </c>
      <c r="T1355" s="107">
        <v>1.3698630136986301</v>
      </c>
      <c r="U1355" s="107">
        <v>0.52687038988408896</v>
      </c>
      <c r="V1355" s="107">
        <v>0.443037974683544</v>
      </c>
      <c r="W1355" s="107">
        <v>1.0204081632653099</v>
      </c>
      <c r="X1355" s="107">
        <v>0.56757715501951</v>
      </c>
      <c r="Y1355" s="107">
        <v>0</v>
      </c>
      <c r="Z1355" s="106">
        <v>3952</v>
      </c>
      <c r="AA1355" s="106">
        <v>2275</v>
      </c>
      <c r="AB1355" s="106">
        <v>1677</v>
      </c>
      <c r="AC1355" s="106">
        <v>205</v>
      </c>
      <c r="AD1355" s="106">
        <v>1214</v>
      </c>
      <c r="AE1355" s="106">
        <v>2220</v>
      </c>
      <c r="AF1355" s="106">
        <v>313</v>
      </c>
      <c r="AG1355" s="106">
        <v>594</v>
      </c>
      <c r="AH1355" s="106">
        <v>3160</v>
      </c>
      <c r="AI1355" s="106">
        <v>198</v>
      </c>
      <c r="AJ1355" s="106">
        <v>3844</v>
      </c>
      <c r="AK1355" s="106">
        <v>75</v>
      </c>
      <c r="AL1355" s="106">
        <v>33</v>
      </c>
      <c r="AM1355" s="106">
        <v>226</v>
      </c>
      <c r="AN1355" s="106">
        <v>3627</v>
      </c>
      <c r="AO1355" s="106">
        <v>99</v>
      </c>
      <c r="AP1355" s="107">
        <v>4.2916093535075701</v>
      </c>
      <c r="AQ1355" s="107">
        <v>1.14014251781473</v>
      </c>
      <c r="AR1355" s="107">
        <v>8.62745098039216</v>
      </c>
      <c r="AS1355" s="107">
        <v>4.14507772020725</v>
      </c>
      <c r="AT1355" s="107">
        <v>5.2919708029197103</v>
      </c>
      <c r="AU1355" s="107">
        <v>3.9589442815249298</v>
      </c>
      <c r="AV1355" s="107">
        <v>3</v>
      </c>
      <c r="AW1355" s="107">
        <v>3.5587188612099601</v>
      </c>
      <c r="AX1355" s="107">
        <v>4.5485871812543097</v>
      </c>
      <c r="AY1355" s="107">
        <v>2.3391812865497101</v>
      </c>
      <c r="AZ1355" s="107">
        <v>4.3293718166383703</v>
      </c>
      <c r="BA1355" s="107">
        <v>4.2253521126760596</v>
      </c>
      <c r="BB1355" s="107">
        <v>0</v>
      </c>
      <c r="BC1355" s="107">
        <v>5.7692307692307701</v>
      </c>
      <c r="BD1355" s="107">
        <v>4.2502244836875196</v>
      </c>
      <c r="BE1355" s="107">
        <v>2.32558139534884</v>
      </c>
    </row>
    <row r="1356" spans="2:57" ht="15" customHeight="1" x14ac:dyDescent="0.25">
      <c r="B1356" s="91">
        <v>1346</v>
      </c>
      <c r="C1356" s="92" t="s">
        <v>504</v>
      </c>
      <c r="D1356" s="92" t="s">
        <v>102</v>
      </c>
      <c r="E1356" s="92" t="s">
        <v>433</v>
      </c>
      <c r="F1356" s="92" t="s">
        <v>115</v>
      </c>
      <c r="G1356" s="101" t="s">
        <v>501</v>
      </c>
      <c r="H1356" s="94">
        <v>1716</v>
      </c>
      <c r="I1356" s="94">
        <v>1168</v>
      </c>
      <c r="J1356" s="94">
        <v>548</v>
      </c>
      <c r="K1356" s="94">
        <v>77</v>
      </c>
      <c r="L1356" s="94">
        <v>598</v>
      </c>
      <c r="M1356" s="94">
        <v>931</v>
      </c>
      <c r="N1356" s="94">
        <v>110</v>
      </c>
      <c r="O1356" s="94">
        <v>1694</v>
      </c>
      <c r="P1356" s="94">
        <v>22</v>
      </c>
      <c r="Q1356" s="95">
        <v>0.72320841551610804</v>
      </c>
      <c r="R1356" s="95">
        <v>0.57859209257473498</v>
      </c>
      <c r="S1356" s="95">
        <v>1.03305785123967</v>
      </c>
      <c r="T1356" s="95">
        <v>1.5873015873015901</v>
      </c>
      <c r="U1356" s="95">
        <v>0.95602294455066905</v>
      </c>
      <c r="V1356" s="95">
        <v>0.35842293906810002</v>
      </c>
      <c r="W1356" s="95">
        <v>2.0408163265306101</v>
      </c>
      <c r="X1356" s="95">
        <v>0.73284477015323102</v>
      </c>
      <c r="Y1356" s="95">
        <v>0</v>
      </c>
      <c r="Z1356" s="94">
        <v>3002</v>
      </c>
      <c r="AA1356" s="94">
        <v>1699</v>
      </c>
      <c r="AB1356" s="94">
        <v>1303</v>
      </c>
      <c r="AC1356" s="94">
        <v>154</v>
      </c>
      <c r="AD1356" s="94">
        <v>958</v>
      </c>
      <c r="AE1356" s="94">
        <v>1673</v>
      </c>
      <c r="AF1356" s="94">
        <v>217</v>
      </c>
      <c r="AG1356" s="94">
        <v>286</v>
      </c>
      <c r="AH1356" s="94">
        <v>2557</v>
      </c>
      <c r="AI1356" s="94">
        <v>159</v>
      </c>
      <c r="AJ1356" s="94">
        <v>2951</v>
      </c>
      <c r="AK1356" s="94">
        <v>36</v>
      </c>
      <c r="AL1356" s="94">
        <v>15</v>
      </c>
      <c r="AM1356" s="94">
        <v>160</v>
      </c>
      <c r="AN1356" s="94">
        <v>2778</v>
      </c>
      <c r="AO1356" s="94">
        <v>64</v>
      </c>
      <c r="AP1356" s="95">
        <v>5.2380952380952399</v>
      </c>
      <c r="AQ1356" s="95">
        <v>1.41479099678457</v>
      </c>
      <c r="AR1356" s="95">
        <v>10.297872340425499</v>
      </c>
      <c r="AS1356" s="95">
        <v>5.4421768707483</v>
      </c>
      <c r="AT1356" s="95">
        <v>6.20608899297424</v>
      </c>
      <c r="AU1356" s="95">
        <v>4.7900262467191599</v>
      </c>
      <c r="AV1356" s="95">
        <v>4.3902439024390203</v>
      </c>
      <c r="AW1356" s="95">
        <v>5.81395348837209</v>
      </c>
      <c r="AX1356" s="95">
        <v>5.3487376979033003</v>
      </c>
      <c r="AY1356" s="95">
        <v>2.2222222222222201</v>
      </c>
      <c r="AZ1356" s="95">
        <v>5.2513966480446896</v>
      </c>
      <c r="BA1356" s="95">
        <v>6.25</v>
      </c>
      <c r="BB1356" s="95">
        <v>0</v>
      </c>
      <c r="BC1356" s="95">
        <v>7.6923076923076898</v>
      </c>
      <c r="BD1356" s="95">
        <v>5.1302288871349599</v>
      </c>
      <c r="BE1356" s="95">
        <v>3.7735849056603801</v>
      </c>
    </row>
    <row r="1357" spans="2:57" ht="15" customHeight="1" x14ac:dyDescent="0.25">
      <c r="B1357" s="91">
        <v>1347</v>
      </c>
      <c r="C1357" s="92" t="s">
        <v>504</v>
      </c>
      <c r="D1357" s="92" t="s">
        <v>102</v>
      </c>
      <c r="E1357" s="92" t="s">
        <v>433</v>
      </c>
      <c r="F1357" s="92" t="s">
        <v>115</v>
      </c>
      <c r="G1357" s="101" t="s">
        <v>502</v>
      </c>
      <c r="H1357" s="94">
        <v>1515</v>
      </c>
      <c r="I1357" s="94">
        <v>1123</v>
      </c>
      <c r="J1357" s="94">
        <v>392</v>
      </c>
      <c r="K1357" s="94">
        <v>95</v>
      </c>
      <c r="L1357" s="94">
        <v>485</v>
      </c>
      <c r="M1357" s="94">
        <v>830</v>
      </c>
      <c r="N1357" s="94">
        <v>105</v>
      </c>
      <c r="O1357" s="94">
        <v>1477</v>
      </c>
      <c r="P1357" s="94">
        <v>38</v>
      </c>
      <c r="Q1357" s="95">
        <v>0.37037037037037002</v>
      </c>
      <c r="R1357" s="95">
        <v>0.19762845849802399</v>
      </c>
      <c r="S1357" s="95">
        <v>0.88757396449704096</v>
      </c>
      <c r="T1357" s="95">
        <v>1.2048192771084301</v>
      </c>
      <c r="U1357" s="95">
        <v>0</v>
      </c>
      <c r="V1357" s="95">
        <v>0.53835800807537004</v>
      </c>
      <c r="W1357" s="95">
        <v>0</v>
      </c>
      <c r="X1357" s="95">
        <v>0.37936267071320201</v>
      </c>
      <c r="Y1357" s="95">
        <v>0</v>
      </c>
      <c r="Z1357" s="94">
        <v>950</v>
      </c>
      <c r="AA1357" s="94">
        <v>576</v>
      </c>
      <c r="AB1357" s="94">
        <v>374</v>
      </c>
      <c r="AC1357" s="94">
        <v>51</v>
      </c>
      <c r="AD1357" s="94">
        <v>256</v>
      </c>
      <c r="AE1357" s="94">
        <v>547</v>
      </c>
      <c r="AF1357" s="94">
        <v>96</v>
      </c>
      <c r="AG1357" s="94">
        <v>308</v>
      </c>
      <c r="AH1357" s="94">
        <v>603</v>
      </c>
      <c r="AI1357" s="94">
        <v>39</v>
      </c>
      <c r="AJ1357" s="94">
        <v>893</v>
      </c>
      <c r="AK1357" s="94">
        <v>39</v>
      </c>
      <c r="AL1357" s="94">
        <v>18</v>
      </c>
      <c r="AM1357" s="94">
        <v>66</v>
      </c>
      <c r="AN1357" s="94">
        <v>849</v>
      </c>
      <c r="AO1357" s="94">
        <v>35</v>
      </c>
      <c r="AP1357" s="95">
        <v>1.4364640883977899</v>
      </c>
      <c r="AQ1357" s="95">
        <v>0.36363636363636398</v>
      </c>
      <c r="AR1357" s="95">
        <v>3.0985915492957701</v>
      </c>
      <c r="AS1357" s="95">
        <v>0</v>
      </c>
      <c r="AT1357" s="95">
        <v>2.06611570247934</v>
      </c>
      <c r="AU1357" s="95">
        <v>1.5325670498084301</v>
      </c>
      <c r="AV1357" s="95">
        <v>0</v>
      </c>
      <c r="AW1357" s="95">
        <v>1.6447368421052599</v>
      </c>
      <c r="AX1357" s="95">
        <v>1.2389380530973499</v>
      </c>
      <c r="AY1357" s="95">
        <v>2.7777777777777799</v>
      </c>
      <c r="AZ1357" s="95">
        <v>1.4134275618374601</v>
      </c>
      <c r="BA1357" s="95">
        <v>2.5641025641025599</v>
      </c>
      <c r="BB1357" s="95">
        <v>0</v>
      </c>
      <c r="BC1357" s="95">
        <v>1.5384615384615401</v>
      </c>
      <c r="BD1357" s="95">
        <v>1.4869888475836399</v>
      </c>
      <c r="BE1357" s="95">
        <v>0</v>
      </c>
    </row>
    <row r="1358" spans="2:57" ht="15" customHeight="1" x14ac:dyDescent="0.25">
      <c r="B1358" s="96">
        <v>1348</v>
      </c>
      <c r="C1358" s="97" t="s">
        <v>504</v>
      </c>
      <c r="D1358" s="104" t="s">
        <v>102</v>
      </c>
      <c r="E1358" s="104" t="s">
        <v>433</v>
      </c>
      <c r="F1358" s="104" t="s">
        <v>4</v>
      </c>
      <c r="G1358" s="105" t="s">
        <v>4</v>
      </c>
      <c r="H1358" s="106">
        <v>1006</v>
      </c>
      <c r="I1358" s="106">
        <v>773</v>
      </c>
      <c r="J1358" s="106">
        <v>233</v>
      </c>
      <c r="K1358" s="106">
        <v>74</v>
      </c>
      <c r="L1358" s="106">
        <v>299</v>
      </c>
      <c r="M1358" s="106">
        <v>545</v>
      </c>
      <c r="N1358" s="106">
        <v>88</v>
      </c>
      <c r="O1358" s="106">
        <v>929</v>
      </c>
      <c r="P1358" s="106">
        <v>77</v>
      </c>
      <c r="Q1358" s="107">
        <v>0.31347962382445099</v>
      </c>
      <c r="R1358" s="107">
        <v>0.27210884353741499</v>
      </c>
      <c r="S1358" s="107">
        <v>0.45045045045045001</v>
      </c>
      <c r="T1358" s="107">
        <v>0</v>
      </c>
      <c r="U1358" s="107">
        <v>0.35087719298245601</v>
      </c>
      <c r="V1358" s="107">
        <v>0.38986354775828502</v>
      </c>
      <c r="W1358" s="107">
        <v>0</v>
      </c>
      <c r="X1358" s="107">
        <v>0.34052213393870601</v>
      </c>
      <c r="Y1358" s="107">
        <v>0</v>
      </c>
      <c r="Z1358" s="106">
        <v>1360</v>
      </c>
      <c r="AA1358" s="106">
        <v>893</v>
      </c>
      <c r="AB1358" s="106">
        <v>467</v>
      </c>
      <c r="AC1358" s="106">
        <v>73</v>
      </c>
      <c r="AD1358" s="106">
        <v>342</v>
      </c>
      <c r="AE1358" s="106">
        <v>802</v>
      </c>
      <c r="AF1358" s="106">
        <v>143</v>
      </c>
      <c r="AG1358" s="106">
        <v>437</v>
      </c>
      <c r="AH1358" s="106">
        <v>900</v>
      </c>
      <c r="AI1358" s="106">
        <v>23</v>
      </c>
      <c r="AJ1358" s="106">
        <v>1277</v>
      </c>
      <c r="AK1358" s="106">
        <v>80</v>
      </c>
      <c r="AL1358" s="106">
        <v>3</v>
      </c>
      <c r="AM1358" s="106">
        <v>77</v>
      </c>
      <c r="AN1358" s="106">
        <v>1267</v>
      </c>
      <c r="AO1358" s="106">
        <v>16</v>
      </c>
      <c r="AP1358" s="107">
        <v>0.83777608530083802</v>
      </c>
      <c r="AQ1358" s="107">
        <v>0.23014959723820499</v>
      </c>
      <c r="AR1358" s="107">
        <v>2.0270270270270299</v>
      </c>
      <c r="AS1358" s="107">
        <v>0</v>
      </c>
      <c r="AT1358" s="107">
        <v>2.1148036253776401</v>
      </c>
      <c r="AU1358" s="107">
        <v>0.51612903225806495</v>
      </c>
      <c r="AV1358" s="107">
        <v>0</v>
      </c>
      <c r="AW1358" s="107">
        <v>0.94117647058823495</v>
      </c>
      <c r="AX1358" s="107">
        <v>0.80924855491329495</v>
      </c>
      <c r="AY1358" s="107">
        <v>0</v>
      </c>
      <c r="AZ1358" s="107">
        <v>0.89213300892132996</v>
      </c>
      <c r="BA1358" s="107">
        <v>0</v>
      </c>
      <c r="BB1358" s="107">
        <v>0</v>
      </c>
      <c r="BC1358" s="107">
        <v>1.3698630136986301</v>
      </c>
      <c r="BD1358" s="107">
        <v>0.81699346405228801</v>
      </c>
      <c r="BE1358" s="107">
        <v>0</v>
      </c>
    </row>
    <row r="1359" spans="2:57" ht="15" customHeight="1" x14ac:dyDescent="0.25">
      <c r="B1359" s="91">
        <v>1349</v>
      </c>
      <c r="C1359" s="92" t="s">
        <v>504</v>
      </c>
      <c r="D1359" s="92" t="s">
        <v>102</v>
      </c>
      <c r="E1359" s="92" t="s">
        <v>433</v>
      </c>
      <c r="F1359" s="92" t="s">
        <v>4</v>
      </c>
      <c r="G1359" s="101" t="s">
        <v>501</v>
      </c>
      <c r="H1359" s="94">
        <v>0</v>
      </c>
      <c r="I1359" s="94">
        <v>0</v>
      </c>
      <c r="J1359" s="94">
        <v>0</v>
      </c>
      <c r="K1359" s="94">
        <v>0</v>
      </c>
      <c r="L1359" s="94">
        <v>0</v>
      </c>
      <c r="M1359" s="94">
        <v>0</v>
      </c>
      <c r="N1359" s="94">
        <v>0</v>
      </c>
      <c r="O1359" s="94">
        <v>0</v>
      </c>
      <c r="P1359" s="94">
        <v>0</v>
      </c>
      <c r="Q1359" s="95">
        <v>0</v>
      </c>
      <c r="R1359" s="95">
        <v>0</v>
      </c>
      <c r="S1359" s="95">
        <v>0</v>
      </c>
      <c r="T1359" s="95">
        <v>0</v>
      </c>
      <c r="U1359" s="95">
        <v>0</v>
      </c>
      <c r="V1359" s="95">
        <v>0</v>
      </c>
      <c r="W1359" s="95">
        <v>0</v>
      </c>
      <c r="X1359" s="95">
        <v>0</v>
      </c>
      <c r="Y1359" s="95">
        <v>0</v>
      </c>
      <c r="Z1359" s="94">
        <v>0</v>
      </c>
      <c r="AA1359" s="94">
        <v>0</v>
      </c>
      <c r="AB1359" s="94">
        <v>0</v>
      </c>
      <c r="AC1359" s="94">
        <v>0</v>
      </c>
      <c r="AD1359" s="94">
        <v>0</v>
      </c>
      <c r="AE1359" s="94">
        <v>0</v>
      </c>
      <c r="AF1359" s="94">
        <v>0</v>
      </c>
      <c r="AG1359" s="94">
        <v>0</v>
      </c>
      <c r="AH1359" s="94">
        <v>0</v>
      </c>
      <c r="AI1359" s="94">
        <v>0</v>
      </c>
      <c r="AJ1359" s="94">
        <v>0</v>
      </c>
      <c r="AK1359" s="94">
        <v>0</v>
      </c>
      <c r="AL1359" s="94">
        <v>0</v>
      </c>
      <c r="AM1359" s="94">
        <v>0</v>
      </c>
      <c r="AN1359" s="94">
        <v>0</v>
      </c>
      <c r="AO1359" s="94">
        <v>0</v>
      </c>
      <c r="AP1359" s="95">
        <v>0</v>
      </c>
      <c r="AQ1359" s="95">
        <v>0</v>
      </c>
      <c r="AR1359" s="95">
        <v>0</v>
      </c>
      <c r="AS1359" s="95">
        <v>0</v>
      </c>
      <c r="AT1359" s="95">
        <v>0</v>
      </c>
      <c r="AU1359" s="95">
        <v>0</v>
      </c>
      <c r="AV1359" s="95">
        <v>0</v>
      </c>
      <c r="AW1359" s="95">
        <v>0</v>
      </c>
      <c r="AX1359" s="95">
        <v>0</v>
      </c>
      <c r="AY1359" s="95">
        <v>0</v>
      </c>
      <c r="AZ1359" s="95">
        <v>0</v>
      </c>
      <c r="BA1359" s="95">
        <v>0</v>
      </c>
      <c r="BB1359" s="95">
        <v>0</v>
      </c>
      <c r="BC1359" s="95">
        <v>0</v>
      </c>
      <c r="BD1359" s="95">
        <v>0</v>
      </c>
      <c r="BE1359" s="95">
        <v>0</v>
      </c>
    </row>
    <row r="1360" spans="2:57" ht="15" customHeight="1" x14ac:dyDescent="0.25">
      <c r="B1360" s="91">
        <v>1350</v>
      </c>
      <c r="C1360" s="92" t="s">
        <v>504</v>
      </c>
      <c r="D1360" s="92" t="s">
        <v>102</v>
      </c>
      <c r="E1360" s="92" t="s">
        <v>433</v>
      </c>
      <c r="F1360" s="92" t="s">
        <v>4</v>
      </c>
      <c r="G1360" s="101" t="s">
        <v>502</v>
      </c>
      <c r="H1360" s="94">
        <v>1006</v>
      </c>
      <c r="I1360" s="94">
        <v>773</v>
      </c>
      <c r="J1360" s="94">
        <v>233</v>
      </c>
      <c r="K1360" s="94">
        <v>74</v>
      </c>
      <c r="L1360" s="94">
        <v>299</v>
      </c>
      <c r="M1360" s="94">
        <v>545</v>
      </c>
      <c r="N1360" s="94">
        <v>88</v>
      </c>
      <c r="O1360" s="94">
        <v>929</v>
      </c>
      <c r="P1360" s="94">
        <v>77</v>
      </c>
      <c r="Q1360" s="95">
        <v>0.31347962382445099</v>
      </c>
      <c r="R1360" s="95">
        <v>0.27210884353741499</v>
      </c>
      <c r="S1360" s="95">
        <v>0.45045045045045001</v>
      </c>
      <c r="T1360" s="95">
        <v>0</v>
      </c>
      <c r="U1360" s="95">
        <v>0.35087719298245601</v>
      </c>
      <c r="V1360" s="95">
        <v>0.38986354775828502</v>
      </c>
      <c r="W1360" s="95">
        <v>0</v>
      </c>
      <c r="X1360" s="95">
        <v>0.34052213393870601</v>
      </c>
      <c r="Y1360" s="95">
        <v>0</v>
      </c>
      <c r="Z1360" s="94">
        <v>1360</v>
      </c>
      <c r="AA1360" s="94">
        <v>893</v>
      </c>
      <c r="AB1360" s="94">
        <v>467</v>
      </c>
      <c r="AC1360" s="94">
        <v>73</v>
      </c>
      <c r="AD1360" s="94">
        <v>342</v>
      </c>
      <c r="AE1360" s="94">
        <v>802</v>
      </c>
      <c r="AF1360" s="94">
        <v>143</v>
      </c>
      <c r="AG1360" s="94">
        <v>437</v>
      </c>
      <c r="AH1360" s="94">
        <v>900</v>
      </c>
      <c r="AI1360" s="94">
        <v>23</v>
      </c>
      <c r="AJ1360" s="94">
        <v>1277</v>
      </c>
      <c r="AK1360" s="94">
        <v>80</v>
      </c>
      <c r="AL1360" s="94">
        <v>3</v>
      </c>
      <c r="AM1360" s="94">
        <v>77</v>
      </c>
      <c r="AN1360" s="94">
        <v>1267</v>
      </c>
      <c r="AO1360" s="94">
        <v>16</v>
      </c>
      <c r="AP1360" s="95">
        <v>0.83777608530083802</v>
      </c>
      <c r="AQ1360" s="95">
        <v>0.23014959723820499</v>
      </c>
      <c r="AR1360" s="95">
        <v>2.0270270270270299</v>
      </c>
      <c r="AS1360" s="95">
        <v>0</v>
      </c>
      <c r="AT1360" s="95">
        <v>2.1148036253776401</v>
      </c>
      <c r="AU1360" s="95">
        <v>0.51612903225806495</v>
      </c>
      <c r="AV1360" s="95">
        <v>0</v>
      </c>
      <c r="AW1360" s="95">
        <v>0.94117647058823495</v>
      </c>
      <c r="AX1360" s="95">
        <v>0.80924855491329495</v>
      </c>
      <c r="AY1360" s="95">
        <v>0</v>
      </c>
      <c r="AZ1360" s="95">
        <v>0.89213300892132996</v>
      </c>
      <c r="BA1360" s="95">
        <v>0</v>
      </c>
      <c r="BB1360" s="95">
        <v>0</v>
      </c>
      <c r="BC1360" s="95">
        <v>1.3698630136986301</v>
      </c>
      <c r="BD1360" s="95">
        <v>0.81699346405228801</v>
      </c>
      <c r="BE1360" s="95">
        <v>0</v>
      </c>
    </row>
    <row r="1361" spans="2:57" ht="15" customHeight="1" x14ac:dyDescent="0.25">
      <c r="B1361" s="96">
        <v>1351</v>
      </c>
      <c r="C1361" s="97" t="s">
        <v>504</v>
      </c>
      <c r="D1361" s="104" t="s">
        <v>102</v>
      </c>
      <c r="E1361" s="104" t="s">
        <v>433</v>
      </c>
      <c r="F1361" s="104" t="s">
        <v>81</v>
      </c>
      <c r="G1361" s="105" t="s">
        <v>81</v>
      </c>
      <c r="H1361" s="106">
        <v>2027</v>
      </c>
      <c r="I1361" s="106">
        <v>1443</v>
      </c>
      <c r="J1361" s="106">
        <v>584</v>
      </c>
      <c r="K1361" s="106">
        <v>172</v>
      </c>
      <c r="L1361" s="106">
        <v>743</v>
      </c>
      <c r="M1361" s="106">
        <v>979</v>
      </c>
      <c r="N1361" s="106">
        <v>133</v>
      </c>
      <c r="O1361" s="106">
        <v>1826</v>
      </c>
      <c r="P1361" s="106">
        <v>201</v>
      </c>
      <c r="Q1361" s="107">
        <v>0.20942408376963401</v>
      </c>
      <c r="R1361" s="107">
        <v>0.14716703458425301</v>
      </c>
      <c r="S1361" s="107">
        <v>0.36297640653357499</v>
      </c>
      <c r="T1361" s="107">
        <v>0</v>
      </c>
      <c r="U1361" s="107">
        <v>0.28860028860028902</v>
      </c>
      <c r="V1361" s="107">
        <v>0.107642626480086</v>
      </c>
      <c r="W1361" s="107">
        <v>0.78125</v>
      </c>
      <c r="X1361" s="107">
        <v>0.17351069982648901</v>
      </c>
      <c r="Y1361" s="107">
        <v>0.55248618784530401</v>
      </c>
      <c r="Z1361" s="106">
        <v>1985</v>
      </c>
      <c r="AA1361" s="106">
        <v>1307</v>
      </c>
      <c r="AB1361" s="106">
        <v>678</v>
      </c>
      <c r="AC1361" s="106">
        <v>102</v>
      </c>
      <c r="AD1361" s="106">
        <v>528</v>
      </c>
      <c r="AE1361" s="106">
        <v>1146</v>
      </c>
      <c r="AF1361" s="106">
        <v>209</v>
      </c>
      <c r="AG1361" s="106">
        <v>640</v>
      </c>
      <c r="AH1361" s="106">
        <v>1254</v>
      </c>
      <c r="AI1361" s="106">
        <v>91</v>
      </c>
      <c r="AJ1361" s="106">
        <v>1859</v>
      </c>
      <c r="AK1361" s="106">
        <v>114</v>
      </c>
      <c r="AL1361" s="106">
        <v>12</v>
      </c>
      <c r="AM1361" s="106">
        <v>113</v>
      </c>
      <c r="AN1361" s="106">
        <v>1847</v>
      </c>
      <c r="AO1361" s="106">
        <v>25</v>
      </c>
      <c r="AP1361" s="107">
        <v>1.7941952506596299</v>
      </c>
      <c r="AQ1361" s="107">
        <v>0.949367088607595</v>
      </c>
      <c r="AR1361" s="107">
        <v>3.4865293185419999</v>
      </c>
      <c r="AS1361" s="107">
        <v>1.98019801980198</v>
      </c>
      <c r="AT1361" s="107">
        <v>1.8</v>
      </c>
      <c r="AU1361" s="107">
        <v>1.8348623853210999</v>
      </c>
      <c r="AV1361" s="107">
        <v>1.47058823529412</v>
      </c>
      <c r="AW1361" s="107">
        <v>1.6207455429497599</v>
      </c>
      <c r="AX1361" s="107">
        <v>1.83792815371763</v>
      </c>
      <c r="AY1361" s="107">
        <v>2.4691358024691401</v>
      </c>
      <c r="AZ1361" s="107">
        <v>1.85289163391353</v>
      </c>
      <c r="BA1361" s="107">
        <v>0.96153846153846201</v>
      </c>
      <c r="BB1361" s="107">
        <v>0</v>
      </c>
      <c r="BC1361" s="107">
        <v>4.46428571428571</v>
      </c>
      <c r="BD1361" s="107">
        <v>1.64866401364412</v>
      </c>
      <c r="BE1361" s="107">
        <v>0</v>
      </c>
    </row>
    <row r="1362" spans="2:57" ht="15" customHeight="1" x14ac:dyDescent="0.25">
      <c r="B1362" s="91">
        <v>1352</v>
      </c>
      <c r="C1362" s="92" t="s">
        <v>504</v>
      </c>
      <c r="D1362" s="92" t="s">
        <v>102</v>
      </c>
      <c r="E1362" s="92" t="s">
        <v>433</v>
      </c>
      <c r="F1362" s="92" t="s">
        <v>81</v>
      </c>
      <c r="G1362" s="101" t="s">
        <v>501</v>
      </c>
      <c r="H1362" s="94">
        <v>0</v>
      </c>
      <c r="I1362" s="94">
        <v>0</v>
      </c>
      <c r="J1362" s="94">
        <v>0</v>
      </c>
      <c r="K1362" s="94">
        <v>0</v>
      </c>
      <c r="L1362" s="94">
        <v>0</v>
      </c>
      <c r="M1362" s="94">
        <v>0</v>
      </c>
      <c r="N1362" s="94">
        <v>0</v>
      </c>
      <c r="O1362" s="94">
        <v>0</v>
      </c>
      <c r="P1362" s="94">
        <v>0</v>
      </c>
      <c r="Q1362" s="95">
        <v>0</v>
      </c>
      <c r="R1362" s="95">
        <v>0</v>
      </c>
      <c r="S1362" s="95">
        <v>0</v>
      </c>
      <c r="T1362" s="95">
        <v>0</v>
      </c>
      <c r="U1362" s="95">
        <v>0</v>
      </c>
      <c r="V1362" s="95">
        <v>0</v>
      </c>
      <c r="W1362" s="95">
        <v>0</v>
      </c>
      <c r="X1362" s="95">
        <v>0</v>
      </c>
      <c r="Y1362" s="95">
        <v>0</v>
      </c>
      <c r="Z1362" s="94">
        <v>0</v>
      </c>
      <c r="AA1362" s="94">
        <v>0</v>
      </c>
      <c r="AB1362" s="94">
        <v>0</v>
      </c>
      <c r="AC1362" s="94">
        <v>0</v>
      </c>
      <c r="AD1362" s="94">
        <v>0</v>
      </c>
      <c r="AE1362" s="94">
        <v>0</v>
      </c>
      <c r="AF1362" s="94">
        <v>0</v>
      </c>
      <c r="AG1362" s="94">
        <v>0</v>
      </c>
      <c r="AH1362" s="94">
        <v>0</v>
      </c>
      <c r="AI1362" s="94">
        <v>0</v>
      </c>
      <c r="AJ1362" s="94">
        <v>0</v>
      </c>
      <c r="AK1362" s="94">
        <v>0</v>
      </c>
      <c r="AL1362" s="94">
        <v>0</v>
      </c>
      <c r="AM1362" s="94">
        <v>0</v>
      </c>
      <c r="AN1362" s="94">
        <v>0</v>
      </c>
      <c r="AO1362" s="94">
        <v>0</v>
      </c>
      <c r="AP1362" s="95">
        <v>0</v>
      </c>
      <c r="AQ1362" s="95">
        <v>0</v>
      </c>
      <c r="AR1362" s="95">
        <v>0</v>
      </c>
      <c r="AS1362" s="95">
        <v>0</v>
      </c>
      <c r="AT1362" s="95">
        <v>0</v>
      </c>
      <c r="AU1362" s="95">
        <v>0</v>
      </c>
      <c r="AV1362" s="95">
        <v>0</v>
      </c>
      <c r="AW1362" s="95">
        <v>0</v>
      </c>
      <c r="AX1362" s="95">
        <v>0</v>
      </c>
      <c r="AY1362" s="95">
        <v>0</v>
      </c>
      <c r="AZ1362" s="95">
        <v>0</v>
      </c>
      <c r="BA1362" s="95">
        <v>0</v>
      </c>
      <c r="BB1362" s="95">
        <v>0</v>
      </c>
      <c r="BC1362" s="95">
        <v>0</v>
      </c>
      <c r="BD1362" s="95">
        <v>0</v>
      </c>
      <c r="BE1362" s="95">
        <v>0</v>
      </c>
    </row>
    <row r="1363" spans="2:57" ht="15" customHeight="1" x14ac:dyDescent="0.25">
      <c r="B1363" s="91">
        <v>1353</v>
      </c>
      <c r="C1363" s="92" t="s">
        <v>504</v>
      </c>
      <c r="D1363" s="92" t="s">
        <v>102</v>
      </c>
      <c r="E1363" s="92" t="s">
        <v>433</v>
      </c>
      <c r="F1363" s="92" t="s">
        <v>81</v>
      </c>
      <c r="G1363" s="101" t="s">
        <v>502</v>
      </c>
      <c r="H1363" s="94">
        <v>2027</v>
      </c>
      <c r="I1363" s="94">
        <v>1443</v>
      </c>
      <c r="J1363" s="94">
        <v>584</v>
      </c>
      <c r="K1363" s="94">
        <v>172</v>
      </c>
      <c r="L1363" s="94">
        <v>743</v>
      </c>
      <c r="M1363" s="94">
        <v>979</v>
      </c>
      <c r="N1363" s="94">
        <v>133</v>
      </c>
      <c r="O1363" s="94">
        <v>1826</v>
      </c>
      <c r="P1363" s="94">
        <v>201</v>
      </c>
      <c r="Q1363" s="95">
        <v>0.20942408376963401</v>
      </c>
      <c r="R1363" s="95">
        <v>0.14716703458425301</v>
      </c>
      <c r="S1363" s="95">
        <v>0.36297640653357499</v>
      </c>
      <c r="T1363" s="95">
        <v>0</v>
      </c>
      <c r="U1363" s="95">
        <v>0.28860028860028902</v>
      </c>
      <c r="V1363" s="95">
        <v>0.107642626480086</v>
      </c>
      <c r="W1363" s="95">
        <v>0.78125</v>
      </c>
      <c r="X1363" s="95">
        <v>0.17351069982648901</v>
      </c>
      <c r="Y1363" s="95">
        <v>0.55248618784530401</v>
      </c>
      <c r="Z1363" s="94">
        <v>1985</v>
      </c>
      <c r="AA1363" s="94">
        <v>1307</v>
      </c>
      <c r="AB1363" s="94">
        <v>678</v>
      </c>
      <c r="AC1363" s="94">
        <v>102</v>
      </c>
      <c r="AD1363" s="94">
        <v>528</v>
      </c>
      <c r="AE1363" s="94">
        <v>1146</v>
      </c>
      <c r="AF1363" s="94">
        <v>209</v>
      </c>
      <c r="AG1363" s="94">
        <v>640</v>
      </c>
      <c r="AH1363" s="94">
        <v>1254</v>
      </c>
      <c r="AI1363" s="94">
        <v>91</v>
      </c>
      <c r="AJ1363" s="94">
        <v>1859</v>
      </c>
      <c r="AK1363" s="94">
        <v>114</v>
      </c>
      <c r="AL1363" s="94">
        <v>12</v>
      </c>
      <c r="AM1363" s="94">
        <v>113</v>
      </c>
      <c r="AN1363" s="94">
        <v>1847</v>
      </c>
      <c r="AO1363" s="94">
        <v>25</v>
      </c>
      <c r="AP1363" s="95">
        <v>1.7941952506596299</v>
      </c>
      <c r="AQ1363" s="95">
        <v>0.949367088607595</v>
      </c>
      <c r="AR1363" s="95">
        <v>3.4865293185419999</v>
      </c>
      <c r="AS1363" s="95">
        <v>1.98019801980198</v>
      </c>
      <c r="AT1363" s="95">
        <v>1.8</v>
      </c>
      <c r="AU1363" s="95">
        <v>1.8348623853210999</v>
      </c>
      <c r="AV1363" s="95">
        <v>1.47058823529412</v>
      </c>
      <c r="AW1363" s="95">
        <v>1.6207455429497599</v>
      </c>
      <c r="AX1363" s="95">
        <v>1.83792815371763</v>
      </c>
      <c r="AY1363" s="95">
        <v>2.4691358024691401</v>
      </c>
      <c r="AZ1363" s="95">
        <v>1.85289163391353</v>
      </c>
      <c r="BA1363" s="95">
        <v>0.96153846153846201</v>
      </c>
      <c r="BB1363" s="95">
        <v>0</v>
      </c>
      <c r="BC1363" s="95">
        <v>4.46428571428571</v>
      </c>
      <c r="BD1363" s="95">
        <v>1.64866401364412</v>
      </c>
      <c r="BE1363" s="95">
        <v>0</v>
      </c>
    </row>
    <row r="1364" spans="2:57" ht="15" customHeight="1" x14ac:dyDescent="0.25">
      <c r="B1364" s="86">
        <v>1354</v>
      </c>
      <c r="C1364" s="87" t="s">
        <v>503</v>
      </c>
      <c r="D1364" s="103" t="s">
        <v>102</v>
      </c>
      <c r="E1364" s="103" t="s">
        <v>434</v>
      </c>
      <c r="F1364" s="103"/>
      <c r="G1364" s="88" t="s">
        <v>434</v>
      </c>
      <c r="H1364" s="89">
        <v>5526</v>
      </c>
      <c r="I1364" s="89">
        <v>4112</v>
      </c>
      <c r="J1364" s="89">
        <v>1414</v>
      </c>
      <c r="K1364" s="89">
        <v>337</v>
      </c>
      <c r="L1364" s="89">
        <v>1821</v>
      </c>
      <c r="M1364" s="89">
        <v>2972</v>
      </c>
      <c r="N1364" s="89">
        <v>396</v>
      </c>
      <c r="O1364" s="89">
        <v>5432</v>
      </c>
      <c r="P1364" s="89">
        <v>94</v>
      </c>
      <c r="Q1364" s="90">
        <v>0.75202468183571103</v>
      </c>
      <c r="R1364" s="90">
        <v>0.747615364784738</v>
      </c>
      <c r="S1364" s="90">
        <v>0.76511094108645805</v>
      </c>
      <c r="T1364" s="90">
        <v>0.33557046979865801</v>
      </c>
      <c r="U1364" s="90">
        <v>0.58927519151443697</v>
      </c>
      <c r="V1364" s="90">
        <v>0.89063056644103999</v>
      </c>
      <c r="W1364" s="90">
        <v>0.78125</v>
      </c>
      <c r="X1364" s="90">
        <v>0.70615927814829305</v>
      </c>
      <c r="Y1364" s="90">
        <v>3.4090909090909101</v>
      </c>
      <c r="Z1364" s="89">
        <v>8600</v>
      </c>
      <c r="AA1364" s="89">
        <v>5638</v>
      </c>
      <c r="AB1364" s="89">
        <v>2962</v>
      </c>
      <c r="AC1364" s="89">
        <v>510</v>
      </c>
      <c r="AD1364" s="89">
        <v>2654</v>
      </c>
      <c r="AE1364" s="89">
        <v>4685</v>
      </c>
      <c r="AF1364" s="89">
        <v>751</v>
      </c>
      <c r="AG1364" s="89">
        <v>2351</v>
      </c>
      <c r="AH1364" s="89">
        <v>6136</v>
      </c>
      <c r="AI1364" s="89">
        <v>113</v>
      </c>
      <c r="AJ1364" s="89">
        <v>8369</v>
      </c>
      <c r="AK1364" s="89">
        <v>174</v>
      </c>
      <c r="AL1364" s="89">
        <v>57</v>
      </c>
      <c r="AM1364" s="89">
        <v>438</v>
      </c>
      <c r="AN1364" s="89">
        <v>8076</v>
      </c>
      <c r="AO1364" s="89">
        <v>86</v>
      </c>
      <c r="AP1364" s="90">
        <v>2.6213592233009702</v>
      </c>
      <c r="AQ1364" s="90">
        <v>1.0134512622074801</v>
      </c>
      <c r="AR1364" s="90">
        <v>5.7234269463206502</v>
      </c>
      <c r="AS1364" s="90">
        <v>3.11203319502075</v>
      </c>
      <c r="AT1364" s="90">
        <v>2.8208184346444201</v>
      </c>
      <c r="AU1364" s="90">
        <v>2.4811696942844499</v>
      </c>
      <c r="AV1364" s="90">
        <v>2.47592847317744</v>
      </c>
      <c r="AW1364" s="90">
        <v>2.2676745220097798</v>
      </c>
      <c r="AX1364" s="90">
        <v>2.7872195785180098</v>
      </c>
      <c r="AY1364" s="90">
        <v>0.934579439252336</v>
      </c>
      <c r="AZ1364" s="90">
        <v>2.5807255953123001</v>
      </c>
      <c r="BA1364" s="90">
        <v>5.5555555555555598</v>
      </c>
      <c r="BB1364" s="90">
        <v>0</v>
      </c>
      <c r="BC1364" s="90">
        <v>3.35731414868106</v>
      </c>
      <c r="BD1364" s="90">
        <v>2.6088079555727801</v>
      </c>
      <c r="BE1364" s="90">
        <v>0</v>
      </c>
    </row>
    <row r="1365" spans="2:57" ht="15" customHeight="1" x14ac:dyDescent="0.25">
      <c r="B1365" s="91">
        <v>1355</v>
      </c>
      <c r="C1365" s="92" t="s">
        <v>503</v>
      </c>
      <c r="D1365" s="92" t="s">
        <v>102</v>
      </c>
      <c r="E1365" s="92" t="s">
        <v>434</v>
      </c>
      <c r="F1365" s="92"/>
      <c r="G1365" s="93" t="s">
        <v>501</v>
      </c>
      <c r="H1365" s="94">
        <v>963</v>
      </c>
      <c r="I1365" s="94">
        <v>621</v>
      </c>
      <c r="J1365" s="94">
        <v>342</v>
      </c>
      <c r="K1365" s="94">
        <v>40</v>
      </c>
      <c r="L1365" s="94">
        <v>332</v>
      </c>
      <c r="M1365" s="94">
        <v>525</v>
      </c>
      <c r="N1365" s="94">
        <v>66</v>
      </c>
      <c r="O1365" s="94">
        <v>950</v>
      </c>
      <c r="P1365" s="94">
        <v>13</v>
      </c>
      <c r="Q1365" s="95">
        <v>1.2387387387387401</v>
      </c>
      <c r="R1365" s="95">
        <v>0.86655112651646404</v>
      </c>
      <c r="S1365" s="95">
        <v>1.92926045016077</v>
      </c>
      <c r="T1365" s="95">
        <v>0</v>
      </c>
      <c r="U1365" s="95">
        <v>1.6722408026755899</v>
      </c>
      <c r="V1365" s="95">
        <v>1.21703853955375</v>
      </c>
      <c r="W1365" s="95">
        <v>0</v>
      </c>
      <c r="X1365" s="95">
        <v>0.91324200913242004</v>
      </c>
      <c r="Y1365" s="95">
        <v>25</v>
      </c>
      <c r="Z1365" s="94">
        <v>1524</v>
      </c>
      <c r="AA1365" s="94">
        <v>910</v>
      </c>
      <c r="AB1365" s="94">
        <v>614</v>
      </c>
      <c r="AC1365" s="94">
        <v>79</v>
      </c>
      <c r="AD1365" s="94">
        <v>476</v>
      </c>
      <c r="AE1365" s="94">
        <v>809</v>
      </c>
      <c r="AF1365" s="94">
        <v>160</v>
      </c>
      <c r="AG1365" s="94">
        <v>428</v>
      </c>
      <c r="AH1365" s="94">
        <v>1084</v>
      </c>
      <c r="AI1365" s="94">
        <v>12</v>
      </c>
      <c r="AJ1365" s="94">
        <v>1501</v>
      </c>
      <c r="AK1365" s="94">
        <v>20</v>
      </c>
      <c r="AL1365" s="94">
        <v>3</v>
      </c>
      <c r="AM1365" s="94">
        <v>105</v>
      </c>
      <c r="AN1365" s="94">
        <v>1412</v>
      </c>
      <c r="AO1365" s="94">
        <v>7</v>
      </c>
      <c r="AP1365" s="95">
        <v>8.0451658433309792</v>
      </c>
      <c r="AQ1365" s="95">
        <v>3.46062052505967</v>
      </c>
      <c r="AR1365" s="95">
        <v>14.6804835924007</v>
      </c>
      <c r="AS1365" s="95">
        <v>16.901408450704199</v>
      </c>
      <c r="AT1365" s="95">
        <v>9.2198581560283692</v>
      </c>
      <c r="AU1365" s="95">
        <v>6.7532467532467502</v>
      </c>
      <c r="AV1365" s="95">
        <v>7.18954248366013</v>
      </c>
      <c r="AW1365" s="95">
        <v>7.0496083550913804</v>
      </c>
      <c r="AX1365" s="95">
        <v>8.4148727984344394</v>
      </c>
      <c r="AY1365" s="95">
        <v>8.3333333333333304</v>
      </c>
      <c r="AZ1365" s="95">
        <v>8.0887616320687208</v>
      </c>
      <c r="BA1365" s="95">
        <v>5.8823529411764701</v>
      </c>
      <c r="BB1365" s="95">
        <v>0</v>
      </c>
      <c r="BC1365" s="95">
        <v>10.2040816326531</v>
      </c>
      <c r="BD1365" s="95">
        <v>7.9207920792079198</v>
      </c>
      <c r="BE1365" s="95">
        <v>0</v>
      </c>
    </row>
    <row r="1366" spans="2:57" ht="15" customHeight="1" x14ac:dyDescent="0.25">
      <c r="B1366" s="91">
        <v>1356</v>
      </c>
      <c r="C1366" s="92" t="s">
        <v>503</v>
      </c>
      <c r="D1366" s="92" t="s">
        <v>102</v>
      </c>
      <c r="E1366" s="92" t="s">
        <v>434</v>
      </c>
      <c r="F1366" s="92"/>
      <c r="G1366" s="93" t="s">
        <v>502</v>
      </c>
      <c r="H1366" s="94">
        <v>4563</v>
      </c>
      <c r="I1366" s="94">
        <v>3491</v>
      </c>
      <c r="J1366" s="94">
        <v>1072</v>
      </c>
      <c r="K1366" s="94">
        <v>297</v>
      </c>
      <c r="L1366" s="94">
        <v>1489</v>
      </c>
      <c r="M1366" s="94">
        <v>2447</v>
      </c>
      <c r="N1366" s="94">
        <v>330</v>
      </c>
      <c r="O1366" s="94">
        <v>4482</v>
      </c>
      <c r="P1366" s="94">
        <v>81</v>
      </c>
      <c r="Q1366" s="95">
        <v>0.65146579804560301</v>
      </c>
      <c r="R1366" s="95">
        <v>0.72683222289521499</v>
      </c>
      <c r="S1366" s="95">
        <v>0.40160642570281102</v>
      </c>
      <c r="T1366" s="95">
        <v>0.37453183520599298</v>
      </c>
      <c r="U1366" s="95">
        <v>0.35765379113018603</v>
      </c>
      <c r="V1366" s="95">
        <v>0.82108902333621403</v>
      </c>
      <c r="W1366" s="95">
        <v>0.94043887147335403</v>
      </c>
      <c r="X1366" s="95">
        <v>0.66319279962103295</v>
      </c>
      <c r="Y1366" s="95">
        <v>0</v>
      </c>
      <c r="Z1366" s="94">
        <v>7076</v>
      </c>
      <c r="AA1366" s="94">
        <v>4728</v>
      </c>
      <c r="AB1366" s="94">
        <v>2348</v>
      </c>
      <c r="AC1366" s="94">
        <v>431</v>
      </c>
      <c r="AD1366" s="94">
        <v>2178</v>
      </c>
      <c r="AE1366" s="94">
        <v>3876</v>
      </c>
      <c r="AF1366" s="94">
        <v>591</v>
      </c>
      <c r="AG1366" s="94">
        <v>1923</v>
      </c>
      <c r="AH1366" s="94">
        <v>5052</v>
      </c>
      <c r="AI1366" s="94">
        <v>101</v>
      </c>
      <c r="AJ1366" s="94">
        <v>6868</v>
      </c>
      <c r="AK1366" s="94">
        <v>154</v>
      </c>
      <c r="AL1366" s="94">
        <v>54</v>
      </c>
      <c r="AM1366" s="94">
        <v>333</v>
      </c>
      <c r="AN1366" s="94">
        <v>6664</v>
      </c>
      <c r="AO1366" s="94">
        <v>79</v>
      </c>
      <c r="AP1366" s="95">
        <v>1.4949435732082701</v>
      </c>
      <c r="AQ1366" s="95">
        <v>0.56657223796033995</v>
      </c>
      <c r="AR1366" s="95">
        <v>3.4019695613249801</v>
      </c>
      <c r="AS1366" s="95">
        <v>0.72992700729926996</v>
      </c>
      <c r="AT1366" s="95">
        <v>1.5281757402101199</v>
      </c>
      <c r="AU1366" s="95">
        <v>1.6025641025641</v>
      </c>
      <c r="AV1366" s="95">
        <v>1.2195121951219501</v>
      </c>
      <c r="AW1366" s="95">
        <v>1.2861736334405101</v>
      </c>
      <c r="AX1366" s="95">
        <v>1.6042780748663099</v>
      </c>
      <c r="AY1366" s="95">
        <v>0</v>
      </c>
      <c r="AZ1366" s="95">
        <v>1.4190821256038599</v>
      </c>
      <c r="BA1366" s="95">
        <v>5.5172413793103496</v>
      </c>
      <c r="BB1366" s="95">
        <v>0</v>
      </c>
      <c r="BC1366" s="95">
        <v>1.25391849529781</v>
      </c>
      <c r="BD1366" s="95">
        <v>1.5241057542768299</v>
      </c>
      <c r="BE1366" s="95">
        <v>0</v>
      </c>
    </row>
    <row r="1367" spans="2:57" ht="15" customHeight="1" x14ac:dyDescent="0.25">
      <c r="B1367" s="96">
        <v>1357</v>
      </c>
      <c r="C1367" s="97" t="s">
        <v>504</v>
      </c>
      <c r="D1367" s="104" t="s">
        <v>102</v>
      </c>
      <c r="E1367" s="104" t="s">
        <v>434</v>
      </c>
      <c r="F1367" s="104" t="s">
        <v>131</v>
      </c>
      <c r="G1367" s="105" t="s">
        <v>131</v>
      </c>
      <c r="H1367" s="106">
        <v>2080</v>
      </c>
      <c r="I1367" s="106">
        <v>1461</v>
      </c>
      <c r="J1367" s="106">
        <v>619</v>
      </c>
      <c r="K1367" s="106">
        <v>88</v>
      </c>
      <c r="L1367" s="106">
        <v>682</v>
      </c>
      <c r="M1367" s="106">
        <v>1148</v>
      </c>
      <c r="N1367" s="106">
        <v>162</v>
      </c>
      <c r="O1367" s="106">
        <v>2035</v>
      </c>
      <c r="P1367" s="106">
        <v>45</v>
      </c>
      <c r="Q1367" s="107">
        <v>1.61038961038961</v>
      </c>
      <c r="R1367" s="107">
        <v>1.7686072218128199</v>
      </c>
      <c r="S1367" s="107">
        <v>1.2323943661971799</v>
      </c>
      <c r="T1367" s="107">
        <v>0</v>
      </c>
      <c r="U1367" s="107">
        <v>1.2924071082391</v>
      </c>
      <c r="V1367" s="107">
        <v>1.95530726256983</v>
      </c>
      <c r="W1367" s="107">
        <v>1.2738853503184699</v>
      </c>
      <c r="X1367" s="107">
        <v>1.4877789585547301</v>
      </c>
      <c r="Y1367" s="107">
        <v>6.9767441860465098</v>
      </c>
      <c r="Z1367" s="106">
        <v>3211</v>
      </c>
      <c r="AA1367" s="106">
        <v>2084</v>
      </c>
      <c r="AB1367" s="106">
        <v>1127</v>
      </c>
      <c r="AC1367" s="106">
        <v>187</v>
      </c>
      <c r="AD1367" s="106">
        <v>1029</v>
      </c>
      <c r="AE1367" s="106">
        <v>1685</v>
      </c>
      <c r="AF1367" s="106">
        <v>310</v>
      </c>
      <c r="AG1367" s="106">
        <v>852</v>
      </c>
      <c r="AH1367" s="106">
        <v>2323</v>
      </c>
      <c r="AI1367" s="106">
        <v>36</v>
      </c>
      <c r="AJ1367" s="106">
        <v>3170</v>
      </c>
      <c r="AK1367" s="106">
        <v>34</v>
      </c>
      <c r="AL1367" s="106">
        <v>7</v>
      </c>
      <c r="AM1367" s="106">
        <v>217</v>
      </c>
      <c r="AN1367" s="106">
        <v>2977</v>
      </c>
      <c r="AO1367" s="106">
        <v>17</v>
      </c>
      <c r="AP1367" s="107">
        <v>4.2490118577075098</v>
      </c>
      <c r="AQ1367" s="107">
        <v>1.83673469387755</v>
      </c>
      <c r="AR1367" s="107">
        <v>8.6431226765799298</v>
      </c>
      <c r="AS1367" s="107">
        <v>6.8181818181818201</v>
      </c>
      <c r="AT1367" s="107">
        <v>4.4210526315789496</v>
      </c>
      <c r="AU1367" s="107">
        <v>3.97022332506203</v>
      </c>
      <c r="AV1367" s="107">
        <v>3.69127516778524</v>
      </c>
      <c r="AW1367" s="107">
        <v>4.1405269761605998</v>
      </c>
      <c r="AX1367" s="107">
        <v>4.31034482758621</v>
      </c>
      <c r="AY1367" s="107">
        <v>2.8571428571428599</v>
      </c>
      <c r="AZ1367" s="107">
        <v>4.2347449149716603</v>
      </c>
      <c r="BA1367" s="107">
        <v>6.6666666666666696</v>
      </c>
      <c r="BB1367" s="107">
        <v>0</v>
      </c>
      <c r="BC1367" s="107">
        <v>5.3398058252427196</v>
      </c>
      <c r="BD1367" s="107">
        <v>4.1933191186922496</v>
      </c>
      <c r="BE1367" s="107">
        <v>0</v>
      </c>
    </row>
    <row r="1368" spans="2:57" ht="15" customHeight="1" x14ac:dyDescent="0.25">
      <c r="B1368" s="91">
        <v>1358</v>
      </c>
      <c r="C1368" s="92" t="s">
        <v>504</v>
      </c>
      <c r="D1368" s="92" t="s">
        <v>102</v>
      </c>
      <c r="E1368" s="92" t="s">
        <v>434</v>
      </c>
      <c r="F1368" s="92" t="s">
        <v>131</v>
      </c>
      <c r="G1368" s="101" t="s">
        <v>501</v>
      </c>
      <c r="H1368" s="94">
        <v>963</v>
      </c>
      <c r="I1368" s="94">
        <v>621</v>
      </c>
      <c r="J1368" s="94">
        <v>342</v>
      </c>
      <c r="K1368" s="94">
        <v>40</v>
      </c>
      <c r="L1368" s="94">
        <v>332</v>
      </c>
      <c r="M1368" s="94">
        <v>525</v>
      </c>
      <c r="N1368" s="94">
        <v>66</v>
      </c>
      <c r="O1368" s="94">
        <v>950</v>
      </c>
      <c r="P1368" s="94">
        <v>13</v>
      </c>
      <c r="Q1368" s="95">
        <v>1.2387387387387401</v>
      </c>
      <c r="R1368" s="95">
        <v>0.86655112651646404</v>
      </c>
      <c r="S1368" s="95">
        <v>1.92926045016077</v>
      </c>
      <c r="T1368" s="95">
        <v>0</v>
      </c>
      <c r="U1368" s="95">
        <v>1.6722408026755899</v>
      </c>
      <c r="V1368" s="95">
        <v>1.21703853955375</v>
      </c>
      <c r="W1368" s="95">
        <v>0</v>
      </c>
      <c r="X1368" s="95">
        <v>0.91324200913242004</v>
      </c>
      <c r="Y1368" s="95">
        <v>25</v>
      </c>
      <c r="Z1368" s="94">
        <v>1524</v>
      </c>
      <c r="AA1368" s="94">
        <v>910</v>
      </c>
      <c r="AB1368" s="94">
        <v>614</v>
      </c>
      <c r="AC1368" s="94">
        <v>79</v>
      </c>
      <c r="AD1368" s="94">
        <v>476</v>
      </c>
      <c r="AE1368" s="94">
        <v>809</v>
      </c>
      <c r="AF1368" s="94">
        <v>160</v>
      </c>
      <c r="AG1368" s="94">
        <v>428</v>
      </c>
      <c r="AH1368" s="94">
        <v>1084</v>
      </c>
      <c r="AI1368" s="94">
        <v>12</v>
      </c>
      <c r="AJ1368" s="94">
        <v>1501</v>
      </c>
      <c r="AK1368" s="94">
        <v>20</v>
      </c>
      <c r="AL1368" s="94">
        <v>3</v>
      </c>
      <c r="AM1368" s="94">
        <v>105</v>
      </c>
      <c r="AN1368" s="94">
        <v>1412</v>
      </c>
      <c r="AO1368" s="94">
        <v>7</v>
      </c>
      <c r="AP1368" s="95">
        <v>8.0451658433309792</v>
      </c>
      <c r="AQ1368" s="95">
        <v>3.46062052505967</v>
      </c>
      <c r="AR1368" s="95">
        <v>14.6804835924007</v>
      </c>
      <c r="AS1368" s="95">
        <v>16.901408450704199</v>
      </c>
      <c r="AT1368" s="95">
        <v>9.2198581560283692</v>
      </c>
      <c r="AU1368" s="95">
        <v>6.7532467532467502</v>
      </c>
      <c r="AV1368" s="95">
        <v>7.18954248366013</v>
      </c>
      <c r="AW1368" s="95">
        <v>7.0496083550913804</v>
      </c>
      <c r="AX1368" s="95">
        <v>8.4148727984344394</v>
      </c>
      <c r="AY1368" s="95">
        <v>8.3333333333333304</v>
      </c>
      <c r="AZ1368" s="95">
        <v>8.0887616320687208</v>
      </c>
      <c r="BA1368" s="95">
        <v>5.8823529411764701</v>
      </c>
      <c r="BB1368" s="95">
        <v>0</v>
      </c>
      <c r="BC1368" s="95">
        <v>10.2040816326531</v>
      </c>
      <c r="BD1368" s="95">
        <v>7.9207920792079198</v>
      </c>
      <c r="BE1368" s="95">
        <v>0</v>
      </c>
    </row>
    <row r="1369" spans="2:57" ht="15" customHeight="1" x14ac:dyDescent="0.25">
      <c r="B1369" s="91">
        <v>1359</v>
      </c>
      <c r="C1369" s="92" t="s">
        <v>504</v>
      </c>
      <c r="D1369" s="92" t="s">
        <v>102</v>
      </c>
      <c r="E1369" s="92" t="s">
        <v>434</v>
      </c>
      <c r="F1369" s="92" t="s">
        <v>131</v>
      </c>
      <c r="G1369" s="101" t="s">
        <v>502</v>
      </c>
      <c r="H1369" s="94">
        <v>1117</v>
      </c>
      <c r="I1369" s="94">
        <v>840</v>
      </c>
      <c r="J1369" s="94">
        <v>277</v>
      </c>
      <c r="K1369" s="94">
        <v>48</v>
      </c>
      <c r="L1369" s="94">
        <v>350</v>
      </c>
      <c r="M1369" s="94">
        <v>623</v>
      </c>
      <c r="N1369" s="94">
        <v>96</v>
      </c>
      <c r="O1369" s="94">
        <v>1085</v>
      </c>
      <c r="P1369" s="94">
        <v>32</v>
      </c>
      <c r="Q1369" s="95">
        <v>1.9286403085824499</v>
      </c>
      <c r="R1369" s="95">
        <v>2.4358974358974401</v>
      </c>
      <c r="S1369" s="95">
        <v>0.38910505836575898</v>
      </c>
      <c r="T1369" s="95">
        <v>0</v>
      </c>
      <c r="U1369" s="95">
        <v>0.9375</v>
      </c>
      <c r="V1369" s="95">
        <v>2.5817555938037899</v>
      </c>
      <c r="W1369" s="95">
        <v>2.1739130434782599</v>
      </c>
      <c r="X1369" s="95">
        <v>1.9880715705765399</v>
      </c>
      <c r="Y1369" s="95">
        <v>0</v>
      </c>
      <c r="Z1369" s="94">
        <v>1687</v>
      </c>
      <c r="AA1369" s="94">
        <v>1174</v>
      </c>
      <c r="AB1369" s="94">
        <v>513</v>
      </c>
      <c r="AC1369" s="94">
        <v>108</v>
      </c>
      <c r="AD1369" s="94">
        <v>553</v>
      </c>
      <c r="AE1369" s="94">
        <v>876</v>
      </c>
      <c r="AF1369" s="94">
        <v>150</v>
      </c>
      <c r="AG1369" s="94">
        <v>424</v>
      </c>
      <c r="AH1369" s="94">
        <v>1239</v>
      </c>
      <c r="AI1369" s="94">
        <v>24</v>
      </c>
      <c r="AJ1369" s="94">
        <v>1669</v>
      </c>
      <c r="AK1369" s="94">
        <v>14</v>
      </c>
      <c r="AL1369" s="94">
        <v>4</v>
      </c>
      <c r="AM1369" s="94">
        <v>112</v>
      </c>
      <c r="AN1369" s="94">
        <v>1565</v>
      </c>
      <c r="AO1369" s="94">
        <v>10</v>
      </c>
      <c r="AP1369" s="95">
        <v>0.92649783817171105</v>
      </c>
      <c r="AQ1369" s="95">
        <v>0.62388591800356497</v>
      </c>
      <c r="AR1369" s="95">
        <v>1.6096579476861199</v>
      </c>
      <c r="AS1369" s="95">
        <v>0</v>
      </c>
      <c r="AT1369" s="95">
        <v>0.56925996204933604</v>
      </c>
      <c r="AU1369" s="95">
        <v>1.42517814726841</v>
      </c>
      <c r="AV1369" s="95">
        <v>0</v>
      </c>
      <c r="AW1369" s="95">
        <v>1.4492753623188399</v>
      </c>
      <c r="AX1369" s="95">
        <v>0.76142131979695404</v>
      </c>
      <c r="AY1369" s="95">
        <v>0</v>
      </c>
      <c r="AZ1369" s="95">
        <v>0.87390761548064899</v>
      </c>
      <c r="BA1369" s="95">
        <v>7.6923076923076898</v>
      </c>
      <c r="BB1369" s="95">
        <v>0</v>
      </c>
      <c r="BC1369" s="95">
        <v>0.92592592592592604</v>
      </c>
      <c r="BD1369" s="95">
        <v>0.93271152564956705</v>
      </c>
      <c r="BE1369" s="95">
        <v>0</v>
      </c>
    </row>
    <row r="1370" spans="2:57" ht="15" customHeight="1" x14ac:dyDescent="0.25">
      <c r="B1370" s="96">
        <v>1360</v>
      </c>
      <c r="C1370" s="97" t="s">
        <v>504</v>
      </c>
      <c r="D1370" s="104" t="s">
        <v>102</v>
      </c>
      <c r="E1370" s="104" t="s">
        <v>434</v>
      </c>
      <c r="F1370" s="104" t="s">
        <v>9</v>
      </c>
      <c r="G1370" s="105" t="s">
        <v>9</v>
      </c>
      <c r="H1370" s="106">
        <v>1037</v>
      </c>
      <c r="I1370" s="106">
        <v>787</v>
      </c>
      <c r="J1370" s="106">
        <v>250</v>
      </c>
      <c r="K1370" s="106">
        <v>74</v>
      </c>
      <c r="L1370" s="106">
        <v>381</v>
      </c>
      <c r="M1370" s="106">
        <v>528</v>
      </c>
      <c r="N1370" s="106">
        <v>54</v>
      </c>
      <c r="O1370" s="106">
        <v>1037</v>
      </c>
      <c r="P1370" s="106">
        <v>0</v>
      </c>
      <c r="Q1370" s="107">
        <v>0.39643211100099102</v>
      </c>
      <c r="R1370" s="107">
        <v>0.38709677419354799</v>
      </c>
      <c r="S1370" s="107">
        <v>0.427350427350427</v>
      </c>
      <c r="T1370" s="107">
        <v>1.4285714285714299</v>
      </c>
      <c r="U1370" s="107">
        <v>0.53908355795148299</v>
      </c>
      <c r="V1370" s="107">
        <v>0.19455252918287899</v>
      </c>
      <c r="W1370" s="107">
        <v>0</v>
      </c>
      <c r="X1370" s="107">
        <v>0.39643211100099102</v>
      </c>
      <c r="Y1370" s="107">
        <v>0</v>
      </c>
      <c r="Z1370" s="106">
        <v>1555</v>
      </c>
      <c r="AA1370" s="106">
        <v>984</v>
      </c>
      <c r="AB1370" s="106">
        <v>571</v>
      </c>
      <c r="AC1370" s="106">
        <v>145</v>
      </c>
      <c r="AD1370" s="106">
        <v>503</v>
      </c>
      <c r="AE1370" s="106">
        <v>809</v>
      </c>
      <c r="AF1370" s="106">
        <v>98</v>
      </c>
      <c r="AG1370" s="106">
        <v>366</v>
      </c>
      <c r="AH1370" s="106">
        <v>1153</v>
      </c>
      <c r="AI1370" s="106">
        <v>36</v>
      </c>
      <c r="AJ1370" s="106">
        <v>1531</v>
      </c>
      <c r="AK1370" s="106">
        <v>1</v>
      </c>
      <c r="AL1370" s="106">
        <v>23</v>
      </c>
      <c r="AM1370" s="106">
        <v>35</v>
      </c>
      <c r="AN1370" s="106">
        <v>1500</v>
      </c>
      <c r="AO1370" s="106">
        <v>20</v>
      </c>
      <c r="AP1370" s="107">
        <v>0.78226857887874801</v>
      </c>
      <c r="AQ1370" s="107">
        <v>0.61664953751284701</v>
      </c>
      <c r="AR1370" s="107">
        <v>1.0695187165775399</v>
      </c>
      <c r="AS1370" s="107">
        <v>0.68965517241379304</v>
      </c>
      <c r="AT1370" s="107">
        <v>1.01214574898785</v>
      </c>
      <c r="AU1370" s="107">
        <v>0.75282308657465502</v>
      </c>
      <c r="AV1370" s="107">
        <v>0</v>
      </c>
      <c r="AW1370" s="107">
        <v>0.554016620498615</v>
      </c>
      <c r="AX1370" s="107">
        <v>0.87873462214411302</v>
      </c>
      <c r="AY1370" s="107">
        <v>0</v>
      </c>
      <c r="AZ1370" s="107">
        <v>0.79470198675496695</v>
      </c>
      <c r="BA1370" s="107">
        <v>0</v>
      </c>
      <c r="BB1370" s="107">
        <v>0</v>
      </c>
      <c r="BC1370" s="107">
        <v>0</v>
      </c>
      <c r="BD1370" s="107">
        <v>0.81081081081081097</v>
      </c>
      <c r="BE1370" s="107">
        <v>0</v>
      </c>
    </row>
    <row r="1371" spans="2:57" ht="15" customHeight="1" x14ac:dyDescent="0.25">
      <c r="B1371" s="91">
        <v>1361</v>
      </c>
      <c r="C1371" s="92" t="s">
        <v>504</v>
      </c>
      <c r="D1371" s="92" t="s">
        <v>102</v>
      </c>
      <c r="E1371" s="92" t="s">
        <v>434</v>
      </c>
      <c r="F1371" s="92" t="s">
        <v>9</v>
      </c>
      <c r="G1371" s="101" t="s">
        <v>501</v>
      </c>
      <c r="H1371" s="94">
        <v>0</v>
      </c>
      <c r="I1371" s="94">
        <v>0</v>
      </c>
      <c r="J1371" s="94">
        <v>0</v>
      </c>
      <c r="K1371" s="94">
        <v>0</v>
      </c>
      <c r="L1371" s="94">
        <v>0</v>
      </c>
      <c r="M1371" s="94">
        <v>0</v>
      </c>
      <c r="N1371" s="94">
        <v>0</v>
      </c>
      <c r="O1371" s="94">
        <v>0</v>
      </c>
      <c r="P1371" s="94">
        <v>0</v>
      </c>
      <c r="Q1371" s="95">
        <v>0</v>
      </c>
      <c r="R1371" s="95">
        <v>0</v>
      </c>
      <c r="S1371" s="95">
        <v>0</v>
      </c>
      <c r="T1371" s="95">
        <v>0</v>
      </c>
      <c r="U1371" s="95">
        <v>0</v>
      </c>
      <c r="V1371" s="95">
        <v>0</v>
      </c>
      <c r="W1371" s="95">
        <v>0</v>
      </c>
      <c r="X1371" s="95">
        <v>0</v>
      </c>
      <c r="Y1371" s="95">
        <v>0</v>
      </c>
      <c r="Z1371" s="94">
        <v>0</v>
      </c>
      <c r="AA1371" s="94">
        <v>0</v>
      </c>
      <c r="AB1371" s="94">
        <v>0</v>
      </c>
      <c r="AC1371" s="94">
        <v>0</v>
      </c>
      <c r="AD1371" s="94">
        <v>0</v>
      </c>
      <c r="AE1371" s="94">
        <v>0</v>
      </c>
      <c r="AF1371" s="94">
        <v>0</v>
      </c>
      <c r="AG1371" s="94">
        <v>0</v>
      </c>
      <c r="AH1371" s="94">
        <v>0</v>
      </c>
      <c r="AI1371" s="94">
        <v>0</v>
      </c>
      <c r="AJ1371" s="94">
        <v>0</v>
      </c>
      <c r="AK1371" s="94">
        <v>0</v>
      </c>
      <c r="AL1371" s="94">
        <v>0</v>
      </c>
      <c r="AM1371" s="94">
        <v>0</v>
      </c>
      <c r="AN1371" s="94">
        <v>0</v>
      </c>
      <c r="AO1371" s="94">
        <v>0</v>
      </c>
      <c r="AP1371" s="95">
        <v>0</v>
      </c>
      <c r="AQ1371" s="95">
        <v>0</v>
      </c>
      <c r="AR1371" s="95">
        <v>0</v>
      </c>
      <c r="AS1371" s="95">
        <v>0</v>
      </c>
      <c r="AT1371" s="95">
        <v>0</v>
      </c>
      <c r="AU1371" s="95">
        <v>0</v>
      </c>
      <c r="AV1371" s="95">
        <v>0</v>
      </c>
      <c r="AW1371" s="95">
        <v>0</v>
      </c>
      <c r="AX1371" s="95">
        <v>0</v>
      </c>
      <c r="AY1371" s="95">
        <v>0</v>
      </c>
      <c r="AZ1371" s="95">
        <v>0</v>
      </c>
      <c r="BA1371" s="95">
        <v>0</v>
      </c>
      <c r="BB1371" s="95">
        <v>0</v>
      </c>
      <c r="BC1371" s="95">
        <v>0</v>
      </c>
      <c r="BD1371" s="95">
        <v>0</v>
      </c>
      <c r="BE1371" s="95">
        <v>0</v>
      </c>
    </row>
    <row r="1372" spans="2:57" ht="15" customHeight="1" x14ac:dyDescent="0.25">
      <c r="B1372" s="91">
        <v>1362</v>
      </c>
      <c r="C1372" s="92" t="s">
        <v>504</v>
      </c>
      <c r="D1372" s="92" t="s">
        <v>102</v>
      </c>
      <c r="E1372" s="92" t="s">
        <v>434</v>
      </c>
      <c r="F1372" s="92" t="s">
        <v>9</v>
      </c>
      <c r="G1372" s="101" t="s">
        <v>502</v>
      </c>
      <c r="H1372" s="94">
        <v>1037</v>
      </c>
      <c r="I1372" s="94">
        <v>787</v>
      </c>
      <c r="J1372" s="94">
        <v>250</v>
      </c>
      <c r="K1372" s="94">
        <v>74</v>
      </c>
      <c r="L1372" s="94">
        <v>381</v>
      </c>
      <c r="M1372" s="94">
        <v>528</v>
      </c>
      <c r="N1372" s="94">
        <v>54</v>
      </c>
      <c r="O1372" s="94">
        <v>1037</v>
      </c>
      <c r="P1372" s="94">
        <v>0</v>
      </c>
      <c r="Q1372" s="95">
        <v>0.39643211100099102</v>
      </c>
      <c r="R1372" s="95">
        <v>0.38709677419354799</v>
      </c>
      <c r="S1372" s="95">
        <v>0.427350427350427</v>
      </c>
      <c r="T1372" s="95">
        <v>1.4285714285714299</v>
      </c>
      <c r="U1372" s="95">
        <v>0.53908355795148299</v>
      </c>
      <c r="V1372" s="95">
        <v>0.19455252918287899</v>
      </c>
      <c r="W1372" s="95">
        <v>0</v>
      </c>
      <c r="X1372" s="95">
        <v>0.39643211100099102</v>
      </c>
      <c r="Y1372" s="95">
        <v>0</v>
      </c>
      <c r="Z1372" s="94">
        <v>1555</v>
      </c>
      <c r="AA1372" s="94">
        <v>984</v>
      </c>
      <c r="AB1372" s="94">
        <v>571</v>
      </c>
      <c r="AC1372" s="94">
        <v>145</v>
      </c>
      <c r="AD1372" s="94">
        <v>503</v>
      </c>
      <c r="AE1372" s="94">
        <v>809</v>
      </c>
      <c r="AF1372" s="94">
        <v>98</v>
      </c>
      <c r="AG1372" s="94">
        <v>366</v>
      </c>
      <c r="AH1372" s="94">
        <v>1153</v>
      </c>
      <c r="AI1372" s="94">
        <v>36</v>
      </c>
      <c r="AJ1372" s="94">
        <v>1531</v>
      </c>
      <c r="AK1372" s="94">
        <v>1</v>
      </c>
      <c r="AL1372" s="94">
        <v>23</v>
      </c>
      <c r="AM1372" s="94">
        <v>35</v>
      </c>
      <c r="AN1372" s="94">
        <v>1500</v>
      </c>
      <c r="AO1372" s="94">
        <v>20</v>
      </c>
      <c r="AP1372" s="95">
        <v>0.78226857887874801</v>
      </c>
      <c r="AQ1372" s="95">
        <v>0.61664953751284701</v>
      </c>
      <c r="AR1372" s="95">
        <v>1.0695187165775399</v>
      </c>
      <c r="AS1372" s="95">
        <v>0.68965517241379304</v>
      </c>
      <c r="AT1372" s="95">
        <v>1.01214574898785</v>
      </c>
      <c r="AU1372" s="95">
        <v>0.75282308657465502</v>
      </c>
      <c r="AV1372" s="95">
        <v>0</v>
      </c>
      <c r="AW1372" s="95">
        <v>0.554016620498615</v>
      </c>
      <c r="AX1372" s="95">
        <v>0.87873462214411302</v>
      </c>
      <c r="AY1372" s="95">
        <v>0</v>
      </c>
      <c r="AZ1372" s="95">
        <v>0.79470198675496695</v>
      </c>
      <c r="BA1372" s="95">
        <v>0</v>
      </c>
      <c r="BB1372" s="95">
        <v>0</v>
      </c>
      <c r="BC1372" s="95">
        <v>0</v>
      </c>
      <c r="BD1372" s="95">
        <v>0.81081081081081097</v>
      </c>
      <c r="BE1372" s="95">
        <v>0</v>
      </c>
    </row>
    <row r="1373" spans="2:57" ht="15" customHeight="1" x14ac:dyDescent="0.25">
      <c r="B1373" s="96">
        <v>1363</v>
      </c>
      <c r="C1373" s="97" t="s">
        <v>504</v>
      </c>
      <c r="D1373" s="104" t="s">
        <v>102</v>
      </c>
      <c r="E1373" s="104" t="s">
        <v>434</v>
      </c>
      <c r="F1373" s="104" t="s">
        <v>37</v>
      </c>
      <c r="G1373" s="105" t="s">
        <v>37</v>
      </c>
      <c r="H1373" s="106">
        <v>2409</v>
      </c>
      <c r="I1373" s="106">
        <v>1864</v>
      </c>
      <c r="J1373" s="106">
        <v>545</v>
      </c>
      <c r="K1373" s="106">
        <v>175</v>
      </c>
      <c r="L1373" s="106">
        <v>758</v>
      </c>
      <c r="M1373" s="106">
        <v>1296</v>
      </c>
      <c r="N1373" s="106">
        <v>180</v>
      </c>
      <c r="O1373" s="106">
        <v>2360</v>
      </c>
      <c r="P1373" s="106">
        <v>49</v>
      </c>
      <c r="Q1373" s="107">
        <v>0.177619893428064</v>
      </c>
      <c r="R1373" s="107">
        <v>0.114481969089868</v>
      </c>
      <c r="S1373" s="107">
        <v>0.396039603960396</v>
      </c>
      <c r="T1373" s="107">
        <v>0</v>
      </c>
      <c r="U1373" s="107">
        <v>0</v>
      </c>
      <c r="V1373" s="107">
        <v>0.246103363412633</v>
      </c>
      <c r="W1373" s="107">
        <v>0.57803468208092501</v>
      </c>
      <c r="X1373" s="107">
        <v>0.18124150430448599</v>
      </c>
      <c r="Y1373" s="107">
        <v>0</v>
      </c>
      <c r="Z1373" s="106">
        <v>3834</v>
      </c>
      <c r="AA1373" s="106">
        <v>2570</v>
      </c>
      <c r="AB1373" s="106">
        <v>1264</v>
      </c>
      <c r="AC1373" s="106">
        <v>178</v>
      </c>
      <c r="AD1373" s="106">
        <v>1122</v>
      </c>
      <c r="AE1373" s="106">
        <v>2191</v>
      </c>
      <c r="AF1373" s="106">
        <v>343</v>
      </c>
      <c r="AG1373" s="106">
        <v>1133</v>
      </c>
      <c r="AH1373" s="106">
        <v>2660</v>
      </c>
      <c r="AI1373" s="106">
        <v>41</v>
      </c>
      <c r="AJ1373" s="106">
        <v>3668</v>
      </c>
      <c r="AK1373" s="106">
        <v>139</v>
      </c>
      <c r="AL1373" s="106">
        <v>27</v>
      </c>
      <c r="AM1373" s="106">
        <v>186</v>
      </c>
      <c r="AN1373" s="106">
        <v>3599</v>
      </c>
      <c r="AO1373" s="106">
        <v>49</v>
      </c>
      <c r="AP1373" s="107">
        <v>2.04359673024523</v>
      </c>
      <c r="AQ1373" s="107">
        <v>0.52125100240577404</v>
      </c>
      <c r="AR1373" s="107">
        <v>5.2721088435374197</v>
      </c>
      <c r="AS1373" s="107">
        <v>1.24223602484472</v>
      </c>
      <c r="AT1373" s="107">
        <v>2.2367194780987898</v>
      </c>
      <c r="AU1373" s="107">
        <v>1.99524940617577</v>
      </c>
      <c r="AV1373" s="107">
        <v>2.1148036253776401</v>
      </c>
      <c r="AW1373" s="107">
        <v>1.46654445462878</v>
      </c>
      <c r="AX1373" s="107">
        <v>2.3210070810385499</v>
      </c>
      <c r="AY1373" s="107">
        <v>0</v>
      </c>
      <c r="AZ1373" s="107">
        <v>1.93621867881549</v>
      </c>
      <c r="BA1373" s="107">
        <v>5.3435114503816799</v>
      </c>
      <c r="BB1373" s="107">
        <v>0</v>
      </c>
      <c r="BC1373" s="107">
        <v>1.6949152542372901</v>
      </c>
      <c r="BD1373" s="107">
        <v>2.08756161206147</v>
      </c>
      <c r="BE1373" s="107">
        <v>0</v>
      </c>
    </row>
    <row r="1374" spans="2:57" ht="15" customHeight="1" x14ac:dyDescent="0.25">
      <c r="B1374" s="91">
        <v>1364</v>
      </c>
      <c r="C1374" s="92" t="s">
        <v>504</v>
      </c>
      <c r="D1374" s="92" t="s">
        <v>102</v>
      </c>
      <c r="E1374" s="92" t="s">
        <v>434</v>
      </c>
      <c r="F1374" s="92" t="s">
        <v>37</v>
      </c>
      <c r="G1374" s="101" t="s">
        <v>501</v>
      </c>
      <c r="H1374" s="94">
        <v>0</v>
      </c>
      <c r="I1374" s="94">
        <v>0</v>
      </c>
      <c r="J1374" s="94">
        <v>0</v>
      </c>
      <c r="K1374" s="94">
        <v>0</v>
      </c>
      <c r="L1374" s="94">
        <v>0</v>
      </c>
      <c r="M1374" s="94">
        <v>0</v>
      </c>
      <c r="N1374" s="94">
        <v>0</v>
      </c>
      <c r="O1374" s="94">
        <v>0</v>
      </c>
      <c r="P1374" s="94">
        <v>0</v>
      </c>
      <c r="Q1374" s="95">
        <v>0</v>
      </c>
      <c r="R1374" s="95">
        <v>0</v>
      </c>
      <c r="S1374" s="95">
        <v>0</v>
      </c>
      <c r="T1374" s="95">
        <v>0</v>
      </c>
      <c r="U1374" s="95">
        <v>0</v>
      </c>
      <c r="V1374" s="95">
        <v>0</v>
      </c>
      <c r="W1374" s="95">
        <v>0</v>
      </c>
      <c r="X1374" s="95">
        <v>0</v>
      </c>
      <c r="Y1374" s="95">
        <v>0</v>
      </c>
      <c r="Z1374" s="94">
        <v>0</v>
      </c>
      <c r="AA1374" s="94">
        <v>0</v>
      </c>
      <c r="AB1374" s="94">
        <v>0</v>
      </c>
      <c r="AC1374" s="94">
        <v>0</v>
      </c>
      <c r="AD1374" s="94">
        <v>0</v>
      </c>
      <c r="AE1374" s="94">
        <v>0</v>
      </c>
      <c r="AF1374" s="94">
        <v>0</v>
      </c>
      <c r="AG1374" s="94">
        <v>0</v>
      </c>
      <c r="AH1374" s="94">
        <v>0</v>
      </c>
      <c r="AI1374" s="94">
        <v>0</v>
      </c>
      <c r="AJ1374" s="94">
        <v>0</v>
      </c>
      <c r="AK1374" s="94">
        <v>0</v>
      </c>
      <c r="AL1374" s="94">
        <v>0</v>
      </c>
      <c r="AM1374" s="94">
        <v>0</v>
      </c>
      <c r="AN1374" s="94">
        <v>0</v>
      </c>
      <c r="AO1374" s="94">
        <v>0</v>
      </c>
      <c r="AP1374" s="95">
        <v>0</v>
      </c>
      <c r="AQ1374" s="95">
        <v>0</v>
      </c>
      <c r="AR1374" s="95">
        <v>0</v>
      </c>
      <c r="AS1374" s="95">
        <v>0</v>
      </c>
      <c r="AT1374" s="95">
        <v>0</v>
      </c>
      <c r="AU1374" s="95">
        <v>0</v>
      </c>
      <c r="AV1374" s="95">
        <v>0</v>
      </c>
      <c r="AW1374" s="95">
        <v>0</v>
      </c>
      <c r="AX1374" s="95">
        <v>0</v>
      </c>
      <c r="AY1374" s="95">
        <v>0</v>
      </c>
      <c r="AZ1374" s="95">
        <v>0</v>
      </c>
      <c r="BA1374" s="95">
        <v>0</v>
      </c>
      <c r="BB1374" s="95">
        <v>0</v>
      </c>
      <c r="BC1374" s="95">
        <v>0</v>
      </c>
      <c r="BD1374" s="95">
        <v>0</v>
      </c>
      <c r="BE1374" s="95">
        <v>0</v>
      </c>
    </row>
    <row r="1375" spans="2:57" ht="15" customHeight="1" x14ac:dyDescent="0.25">
      <c r="B1375" s="91">
        <v>1365</v>
      </c>
      <c r="C1375" s="92" t="s">
        <v>504</v>
      </c>
      <c r="D1375" s="92" t="s">
        <v>102</v>
      </c>
      <c r="E1375" s="92" t="s">
        <v>434</v>
      </c>
      <c r="F1375" s="92" t="s">
        <v>37</v>
      </c>
      <c r="G1375" s="101" t="s">
        <v>502</v>
      </c>
      <c r="H1375" s="94">
        <v>2409</v>
      </c>
      <c r="I1375" s="94">
        <v>1864</v>
      </c>
      <c r="J1375" s="94">
        <v>545</v>
      </c>
      <c r="K1375" s="94">
        <v>175</v>
      </c>
      <c r="L1375" s="94">
        <v>758</v>
      </c>
      <c r="M1375" s="94">
        <v>1296</v>
      </c>
      <c r="N1375" s="94">
        <v>180</v>
      </c>
      <c r="O1375" s="94">
        <v>2360</v>
      </c>
      <c r="P1375" s="94">
        <v>49</v>
      </c>
      <c r="Q1375" s="95">
        <v>0.177619893428064</v>
      </c>
      <c r="R1375" s="95">
        <v>0.114481969089868</v>
      </c>
      <c r="S1375" s="95">
        <v>0.396039603960396</v>
      </c>
      <c r="T1375" s="95">
        <v>0</v>
      </c>
      <c r="U1375" s="95">
        <v>0</v>
      </c>
      <c r="V1375" s="95">
        <v>0.246103363412633</v>
      </c>
      <c r="W1375" s="95">
        <v>0.57803468208092501</v>
      </c>
      <c r="X1375" s="95">
        <v>0.18124150430448599</v>
      </c>
      <c r="Y1375" s="95">
        <v>0</v>
      </c>
      <c r="Z1375" s="94">
        <v>3834</v>
      </c>
      <c r="AA1375" s="94">
        <v>2570</v>
      </c>
      <c r="AB1375" s="94">
        <v>1264</v>
      </c>
      <c r="AC1375" s="94">
        <v>178</v>
      </c>
      <c r="AD1375" s="94">
        <v>1122</v>
      </c>
      <c r="AE1375" s="94">
        <v>2191</v>
      </c>
      <c r="AF1375" s="94">
        <v>343</v>
      </c>
      <c r="AG1375" s="94">
        <v>1133</v>
      </c>
      <c r="AH1375" s="94">
        <v>2660</v>
      </c>
      <c r="AI1375" s="94">
        <v>41</v>
      </c>
      <c r="AJ1375" s="94">
        <v>3668</v>
      </c>
      <c r="AK1375" s="94">
        <v>139</v>
      </c>
      <c r="AL1375" s="94">
        <v>27</v>
      </c>
      <c r="AM1375" s="94">
        <v>186</v>
      </c>
      <c r="AN1375" s="94">
        <v>3599</v>
      </c>
      <c r="AO1375" s="94">
        <v>49</v>
      </c>
      <c r="AP1375" s="95">
        <v>2.04359673024523</v>
      </c>
      <c r="AQ1375" s="95">
        <v>0.52125100240577404</v>
      </c>
      <c r="AR1375" s="95">
        <v>5.2721088435374197</v>
      </c>
      <c r="AS1375" s="95">
        <v>1.24223602484472</v>
      </c>
      <c r="AT1375" s="95">
        <v>2.2367194780987898</v>
      </c>
      <c r="AU1375" s="95">
        <v>1.99524940617577</v>
      </c>
      <c r="AV1375" s="95">
        <v>2.1148036253776401</v>
      </c>
      <c r="AW1375" s="95">
        <v>1.46654445462878</v>
      </c>
      <c r="AX1375" s="95">
        <v>2.3210070810385499</v>
      </c>
      <c r="AY1375" s="95">
        <v>0</v>
      </c>
      <c r="AZ1375" s="95">
        <v>1.93621867881549</v>
      </c>
      <c r="BA1375" s="95">
        <v>5.3435114503816799</v>
      </c>
      <c r="BB1375" s="95">
        <v>0</v>
      </c>
      <c r="BC1375" s="95">
        <v>1.6949152542372901</v>
      </c>
      <c r="BD1375" s="95">
        <v>2.08756161206147</v>
      </c>
      <c r="BE1375" s="95">
        <v>0</v>
      </c>
    </row>
    <row r="1376" spans="2:57" ht="15" customHeight="1" x14ac:dyDescent="0.25">
      <c r="B1376" s="86">
        <v>1366</v>
      </c>
      <c r="C1376" s="87" t="s">
        <v>503</v>
      </c>
      <c r="D1376" s="103" t="s">
        <v>102</v>
      </c>
      <c r="E1376" s="103" t="s">
        <v>435</v>
      </c>
      <c r="F1376" s="103"/>
      <c r="G1376" s="88" t="s">
        <v>435</v>
      </c>
      <c r="H1376" s="89">
        <v>8981</v>
      </c>
      <c r="I1376" s="89">
        <v>6263</v>
      </c>
      <c r="J1376" s="89">
        <v>2718</v>
      </c>
      <c r="K1376" s="89">
        <v>729</v>
      </c>
      <c r="L1376" s="89">
        <v>3315</v>
      </c>
      <c r="M1376" s="89">
        <v>4391</v>
      </c>
      <c r="N1376" s="89">
        <v>546</v>
      </c>
      <c r="O1376" s="89">
        <v>8958</v>
      </c>
      <c r="P1376" s="89">
        <v>23</v>
      </c>
      <c r="Q1376" s="90">
        <v>0.52833813640730098</v>
      </c>
      <c r="R1376" s="90">
        <v>0.52882975093824602</v>
      </c>
      <c r="S1376" s="90">
        <v>0.52716950527169504</v>
      </c>
      <c r="T1376" s="90">
        <v>0.45871559633027498</v>
      </c>
      <c r="U1376" s="90">
        <v>0.55628272251308897</v>
      </c>
      <c r="V1376" s="90">
        <v>0.53527980535279795</v>
      </c>
      <c r="W1376" s="90">
        <v>0.39370078740157499</v>
      </c>
      <c r="X1376" s="90">
        <v>0.52973753912834098</v>
      </c>
      <c r="Y1376" s="90">
        <v>0</v>
      </c>
      <c r="Z1376" s="89">
        <v>14084</v>
      </c>
      <c r="AA1376" s="89">
        <v>8804</v>
      </c>
      <c r="AB1376" s="89">
        <v>5280</v>
      </c>
      <c r="AC1376" s="89">
        <v>802</v>
      </c>
      <c r="AD1376" s="89">
        <v>4413</v>
      </c>
      <c r="AE1376" s="89">
        <v>7870</v>
      </c>
      <c r="AF1376" s="89">
        <v>999</v>
      </c>
      <c r="AG1376" s="89">
        <v>7782</v>
      </c>
      <c r="AH1376" s="89">
        <v>6050</v>
      </c>
      <c r="AI1376" s="89">
        <v>252</v>
      </c>
      <c r="AJ1376" s="89">
        <v>13945</v>
      </c>
      <c r="AK1376" s="89">
        <v>63</v>
      </c>
      <c r="AL1376" s="89">
        <v>76</v>
      </c>
      <c r="AM1376" s="89">
        <v>576</v>
      </c>
      <c r="AN1376" s="89">
        <v>13257</v>
      </c>
      <c r="AO1376" s="89">
        <v>251</v>
      </c>
      <c r="AP1376" s="90">
        <v>2.7609178386380502</v>
      </c>
      <c r="AQ1376" s="90">
        <v>1.11685868798495</v>
      </c>
      <c r="AR1376" s="90">
        <v>5.5555555555555598</v>
      </c>
      <c r="AS1376" s="90">
        <v>4.0789473684210504</v>
      </c>
      <c r="AT1376" s="90">
        <v>2.7619047619047601</v>
      </c>
      <c r="AU1376" s="90">
        <v>2.7201901492143099</v>
      </c>
      <c r="AV1376" s="90">
        <v>2.0470829068577299</v>
      </c>
      <c r="AW1376" s="90">
        <v>1.8530862551659799</v>
      </c>
      <c r="AX1376" s="90">
        <v>3.8614718614718599</v>
      </c>
      <c r="AY1376" s="90">
        <v>4.7008547008547001</v>
      </c>
      <c r="AZ1376" s="90">
        <v>2.7802690582959602</v>
      </c>
      <c r="BA1376" s="90">
        <v>1.63934426229508</v>
      </c>
      <c r="BB1376" s="90">
        <v>0</v>
      </c>
      <c r="BC1376" s="90">
        <v>2.4734982332155502</v>
      </c>
      <c r="BD1376" s="90">
        <v>2.7946154451704301</v>
      </c>
      <c r="BE1376" s="90">
        <v>1.6597510373444</v>
      </c>
    </row>
    <row r="1377" spans="2:57" ht="15" customHeight="1" x14ac:dyDescent="0.25">
      <c r="B1377" s="91">
        <v>1367</v>
      </c>
      <c r="C1377" s="92" t="s">
        <v>503</v>
      </c>
      <c r="D1377" s="92" t="s">
        <v>102</v>
      </c>
      <c r="E1377" s="92" t="s">
        <v>435</v>
      </c>
      <c r="F1377" s="92"/>
      <c r="G1377" s="93" t="s">
        <v>501</v>
      </c>
      <c r="H1377" s="94">
        <v>1088</v>
      </c>
      <c r="I1377" s="94">
        <v>773</v>
      </c>
      <c r="J1377" s="94">
        <v>315</v>
      </c>
      <c r="K1377" s="94">
        <v>50</v>
      </c>
      <c r="L1377" s="94">
        <v>398</v>
      </c>
      <c r="M1377" s="94">
        <v>579</v>
      </c>
      <c r="N1377" s="94">
        <v>61</v>
      </c>
      <c r="O1377" s="94">
        <v>1083</v>
      </c>
      <c r="P1377" s="94">
        <v>5</v>
      </c>
      <c r="Q1377" s="95">
        <v>0.98522167487684698</v>
      </c>
      <c r="R1377" s="95">
        <v>0.69156293222683296</v>
      </c>
      <c r="S1377" s="95">
        <v>1.7123287671232901</v>
      </c>
      <c r="T1377" s="95">
        <v>0</v>
      </c>
      <c r="U1377" s="95">
        <v>0.81967213114754101</v>
      </c>
      <c r="V1377" s="95">
        <v>1.0989010989011001</v>
      </c>
      <c r="W1377" s="95">
        <v>1.78571428571429</v>
      </c>
      <c r="X1377" s="95">
        <v>0.99009900990098998</v>
      </c>
      <c r="Y1377" s="95">
        <v>0</v>
      </c>
      <c r="Z1377" s="94">
        <v>2972</v>
      </c>
      <c r="AA1377" s="94">
        <v>1826</v>
      </c>
      <c r="AB1377" s="94">
        <v>1146</v>
      </c>
      <c r="AC1377" s="94">
        <v>161</v>
      </c>
      <c r="AD1377" s="94">
        <v>846</v>
      </c>
      <c r="AE1377" s="94">
        <v>1741</v>
      </c>
      <c r="AF1377" s="94">
        <v>224</v>
      </c>
      <c r="AG1377" s="94">
        <v>871</v>
      </c>
      <c r="AH1377" s="94">
        <v>2046</v>
      </c>
      <c r="AI1377" s="94">
        <v>55</v>
      </c>
      <c r="AJ1377" s="94">
        <v>2941</v>
      </c>
      <c r="AK1377" s="94">
        <v>24</v>
      </c>
      <c r="AL1377" s="94">
        <v>7</v>
      </c>
      <c r="AM1377" s="94">
        <v>133</v>
      </c>
      <c r="AN1377" s="94">
        <v>2806</v>
      </c>
      <c r="AO1377" s="94">
        <v>33</v>
      </c>
      <c r="AP1377" s="95">
        <v>6.2654867256637203</v>
      </c>
      <c r="AQ1377" s="95">
        <v>2.5316455696202498</v>
      </c>
      <c r="AR1377" s="95">
        <v>12.2355105795768</v>
      </c>
      <c r="AS1377" s="95">
        <v>9.27152317880795</v>
      </c>
      <c r="AT1377" s="95">
        <v>7.2426937738246497</v>
      </c>
      <c r="AU1377" s="95">
        <v>5.5255255255255298</v>
      </c>
      <c r="AV1377" s="95">
        <v>6.3063063063063103</v>
      </c>
      <c r="AW1377" s="95">
        <v>4.8984468339307004</v>
      </c>
      <c r="AX1377" s="95">
        <v>6.7700258397932798</v>
      </c>
      <c r="AY1377" s="95">
        <v>9.4339622641509404</v>
      </c>
      <c r="AZ1377" s="95">
        <v>6.2924562030747202</v>
      </c>
      <c r="BA1377" s="95">
        <v>4.5454545454545503</v>
      </c>
      <c r="BB1377" s="95">
        <v>0</v>
      </c>
      <c r="BC1377" s="95">
        <v>5.4263565891472902</v>
      </c>
      <c r="BD1377" s="95">
        <v>6.2992125984251999</v>
      </c>
      <c r="BE1377" s="95">
        <v>6.8965517241379297</v>
      </c>
    </row>
    <row r="1378" spans="2:57" ht="15" customHeight="1" x14ac:dyDescent="0.25">
      <c r="B1378" s="91">
        <v>1368</v>
      </c>
      <c r="C1378" s="92" t="s">
        <v>503</v>
      </c>
      <c r="D1378" s="92" t="s">
        <v>102</v>
      </c>
      <c r="E1378" s="92" t="s">
        <v>435</v>
      </c>
      <c r="F1378" s="92"/>
      <c r="G1378" s="93" t="s">
        <v>502</v>
      </c>
      <c r="H1378" s="94">
        <v>7893</v>
      </c>
      <c r="I1378" s="94">
        <v>5490</v>
      </c>
      <c r="J1378" s="94">
        <v>2403</v>
      </c>
      <c r="K1378" s="94">
        <v>679</v>
      </c>
      <c r="L1378" s="94">
        <v>2917</v>
      </c>
      <c r="M1378" s="94">
        <v>3812</v>
      </c>
      <c r="N1378" s="94">
        <v>485</v>
      </c>
      <c r="O1378" s="94">
        <v>7875</v>
      </c>
      <c r="P1378" s="94">
        <v>18</v>
      </c>
      <c r="Q1378" s="95">
        <v>0.46492547518118399</v>
      </c>
      <c r="R1378" s="95">
        <v>0.50593500681066395</v>
      </c>
      <c r="S1378" s="95">
        <v>0.367985280588776</v>
      </c>
      <c r="T1378" s="95">
        <v>0.49423393739703497</v>
      </c>
      <c r="U1378" s="95">
        <v>0.52044609665427499</v>
      </c>
      <c r="V1378" s="95">
        <v>0.448933782267116</v>
      </c>
      <c r="W1378" s="95">
        <v>0.221238938053097</v>
      </c>
      <c r="X1378" s="95">
        <v>0.46600877192982498</v>
      </c>
      <c r="Y1378" s="95">
        <v>0</v>
      </c>
      <c r="Z1378" s="94">
        <v>11112</v>
      </c>
      <c r="AA1378" s="94">
        <v>6978</v>
      </c>
      <c r="AB1378" s="94">
        <v>4134</v>
      </c>
      <c r="AC1378" s="94">
        <v>641</v>
      </c>
      <c r="AD1378" s="94">
        <v>3567</v>
      </c>
      <c r="AE1378" s="94">
        <v>6129</v>
      </c>
      <c r="AF1378" s="94">
        <v>775</v>
      </c>
      <c r="AG1378" s="94">
        <v>6911</v>
      </c>
      <c r="AH1378" s="94">
        <v>4004</v>
      </c>
      <c r="AI1378" s="94">
        <v>197</v>
      </c>
      <c r="AJ1378" s="94">
        <v>11004</v>
      </c>
      <c r="AK1378" s="94">
        <v>39</v>
      </c>
      <c r="AL1378" s="94">
        <v>69</v>
      </c>
      <c r="AM1378" s="94">
        <v>443</v>
      </c>
      <c r="AN1378" s="94">
        <v>10451</v>
      </c>
      <c r="AO1378" s="94">
        <v>218</v>
      </c>
      <c r="AP1378" s="95">
        <v>1.8343472157229801</v>
      </c>
      <c r="AQ1378" s="95">
        <v>0.75354609929077998</v>
      </c>
      <c r="AR1378" s="95">
        <v>3.70181261169262</v>
      </c>
      <c r="AS1378" s="95">
        <v>2.7914614121510701</v>
      </c>
      <c r="AT1378" s="95">
        <v>1.72868444184002</v>
      </c>
      <c r="AU1378" s="95">
        <v>1.9295870006770499</v>
      </c>
      <c r="AV1378" s="95">
        <v>0.79470198675496695</v>
      </c>
      <c r="AW1378" s="95">
        <v>1.47058823529412</v>
      </c>
      <c r="AX1378" s="95">
        <v>2.3958333333333299</v>
      </c>
      <c r="AY1378" s="95">
        <v>3.3149171270718201</v>
      </c>
      <c r="AZ1378" s="95">
        <v>1.85202683549088</v>
      </c>
      <c r="BA1378" s="95">
        <v>0</v>
      </c>
      <c r="BB1378" s="95">
        <v>0</v>
      </c>
      <c r="BC1378" s="95">
        <v>1.6018306636155599</v>
      </c>
      <c r="BD1378" s="95">
        <v>1.8632921482662399</v>
      </c>
      <c r="BE1378" s="95">
        <v>0.94339622641509402</v>
      </c>
    </row>
    <row r="1379" spans="2:57" ht="15" customHeight="1" x14ac:dyDescent="0.25">
      <c r="B1379" s="96">
        <v>1369</v>
      </c>
      <c r="C1379" s="97" t="s">
        <v>504</v>
      </c>
      <c r="D1379" s="104" t="s">
        <v>102</v>
      </c>
      <c r="E1379" s="104" t="s">
        <v>435</v>
      </c>
      <c r="F1379" s="104" t="s">
        <v>336</v>
      </c>
      <c r="G1379" s="105" t="s">
        <v>336</v>
      </c>
      <c r="H1379" s="106">
        <v>3046</v>
      </c>
      <c r="I1379" s="106">
        <v>2013</v>
      </c>
      <c r="J1379" s="106">
        <v>1033</v>
      </c>
      <c r="K1379" s="106">
        <v>312</v>
      </c>
      <c r="L1379" s="106">
        <v>1106</v>
      </c>
      <c r="M1379" s="106">
        <v>1410</v>
      </c>
      <c r="N1379" s="106">
        <v>218</v>
      </c>
      <c r="O1379" s="106">
        <v>3037</v>
      </c>
      <c r="P1379" s="106">
        <v>9</v>
      </c>
      <c r="Q1379" s="107">
        <v>0.5</v>
      </c>
      <c r="R1379" s="107">
        <v>0.64864864864864902</v>
      </c>
      <c r="S1379" s="107">
        <v>0.21052631578947401</v>
      </c>
      <c r="T1379" s="107">
        <v>0.35971223021582699</v>
      </c>
      <c r="U1379" s="107">
        <v>0.69101678183613002</v>
      </c>
      <c r="V1379" s="107">
        <v>0.38167938931297701</v>
      </c>
      <c r="W1379" s="107">
        <v>0.50251256281406997</v>
      </c>
      <c r="X1379" s="107">
        <v>0.50161232533142197</v>
      </c>
      <c r="Y1379" s="107">
        <v>0</v>
      </c>
      <c r="Z1379" s="106">
        <v>5053</v>
      </c>
      <c r="AA1379" s="106">
        <v>3077</v>
      </c>
      <c r="AB1379" s="106">
        <v>1976</v>
      </c>
      <c r="AC1379" s="106">
        <v>202</v>
      </c>
      <c r="AD1379" s="106">
        <v>1399</v>
      </c>
      <c r="AE1379" s="106">
        <v>3049</v>
      </c>
      <c r="AF1379" s="106">
        <v>403</v>
      </c>
      <c r="AG1379" s="106">
        <v>2741</v>
      </c>
      <c r="AH1379" s="106">
        <v>2204</v>
      </c>
      <c r="AI1379" s="106">
        <v>108</v>
      </c>
      <c r="AJ1379" s="106">
        <v>5020</v>
      </c>
      <c r="AK1379" s="106">
        <v>14</v>
      </c>
      <c r="AL1379" s="106">
        <v>19</v>
      </c>
      <c r="AM1379" s="106">
        <v>186</v>
      </c>
      <c r="AN1379" s="106">
        <v>4793</v>
      </c>
      <c r="AO1379" s="106">
        <v>74</v>
      </c>
      <c r="AP1379" s="107">
        <v>2.6820713843614601</v>
      </c>
      <c r="AQ1379" s="107">
        <v>1.20805369127517</v>
      </c>
      <c r="AR1379" s="107">
        <v>5.0348152115693603</v>
      </c>
      <c r="AS1379" s="107">
        <v>4.7120418848167498</v>
      </c>
      <c r="AT1379" s="107">
        <v>3.0075187969924801</v>
      </c>
      <c r="AU1379" s="107">
        <v>2.5238744884038198</v>
      </c>
      <c r="AV1379" s="107">
        <v>1.7766497461928901</v>
      </c>
      <c r="AW1379" s="107">
        <v>1.7816527672479101</v>
      </c>
      <c r="AX1379" s="107">
        <v>3.50212967345007</v>
      </c>
      <c r="AY1379" s="107">
        <v>9.375</v>
      </c>
      <c r="AZ1379" s="107">
        <v>2.6993355481727601</v>
      </c>
      <c r="BA1379" s="107">
        <v>0</v>
      </c>
      <c r="BB1379" s="107">
        <v>0</v>
      </c>
      <c r="BC1379" s="107">
        <v>1.63934426229508</v>
      </c>
      <c r="BD1379" s="107">
        <v>2.72094035698737</v>
      </c>
      <c r="BE1379" s="107">
        <v>2.8571428571428599</v>
      </c>
    </row>
    <row r="1380" spans="2:57" ht="15" customHeight="1" x14ac:dyDescent="0.25">
      <c r="B1380" s="91">
        <v>1370</v>
      </c>
      <c r="C1380" s="92" t="s">
        <v>504</v>
      </c>
      <c r="D1380" s="92" t="s">
        <v>102</v>
      </c>
      <c r="E1380" s="92" t="s">
        <v>435</v>
      </c>
      <c r="F1380" s="92" t="s">
        <v>336</v>
      </c>
      <c r="G1380" s="101" t="s">
        <v>501</v>
      </c>
      <c r="H1380" s="94">
        <v>0</v>
      </c>
      <c r="I1380" s="94">
        <v>0</v>
      </c>
      <c r="J1380" s="94">
        <v>0</v>
      </c>
      <c r="K1380" s="94">
        <v>0</v>
      </c>
      <c r="L1380" s="94">
        <v>0</v>
      </c>
      <c r="M1380" s="94">
        <v>0</v>
      </c>
      <c r="N1380" s="94">
        <v>0</v>
      </c>
      <c r="O1380" s="94">
        <v>0</v>
      </c>
      <c r="P1380" s="94">
        <v>0</v>
      </c>
      <c r="Q1380" s="95">
        <v>0</v>
      </c>
      <c r="R1380" s="95">
        <v>0</v>
      </c>
      <c r="S1380" s="95">
        <v>0</v>
      </c>
      <c r="T1380" s="95">
        <v>0</v>
      </c>
      <c r="U1380" s="95">
        <v>0</v>
      </c>
      <c r="V1380" s="95">
        <v>0</v>
      </c>
      <c r="W1380" s="95">
        <v>0</v>
      </c>
      <c r="X1380" s="95">
        <v>0</v>
      </c>
      <c r="Y1380" s="95">
        <v>0</v>
      </c>
      <c r="Z1380" s="94">
        <v>967</v>
      </c>
      <c r="AA1380" s="94">
        <v>604</v>
      </c>
      <c r="AB1380" s="94">
        <v>363</v>
      </c>
      <c r="AC1380" s="94">
        <v>26</v>
      </c>
      <c r="AD1380" s="94">
        <v>227</v>
      </c>
      <c r="AE1380" s="94">
        <v>635</v>
      </c>
      <c r="AF1380" s="94">
        <v>79</v>
      </c>
      <c r="AG1380" s="94">
        <v>347</v>
      </c>
      <c r="AH1380" s="94">
        <v>594</v>
      </c>
      <c r="AI1380" s="94">
        <v>26</v>
      </c>
      <c r="AJ1380" s="94">
        <v>961</v>
      </c>
      <c r="AK1380" s="94">
        <v>2</v>
      </c>
      <c r="AL1380" s="94">
        <v>4</v>
      </c>
      <c r="AM1380" s="94">
        <v>31</v>
      </c>
      <c r="AN1380" s="94">
        <v>921</v>
      </c>
      <c r="AO1380" s="94">
        <v>15</v>
      </c>
      <c r="AP1380" s="95">
        <v>3.3155080213903698</v>
      </c>
      <c r="AQ1380" s="95">
        <v>0.67681895093062605</v>
      </c>
      <c r="AR1380" s="95">
        <v>7.8488372093023298</v>
      </c>
      <c r="AS1380" s="95">
        <v>8</v>
      </c>
      <c r="AT1380" s="95">
        <v>5.8295964125560502</v>
      </c>
      <c r="AU1380" s="95">
        <v>2.1381578947368398</v>
      </c>
      <c r="AV1380" s="95">
        <v>3.79746835443038</v>
      </c>
      <c r="AW1380" s="95">
        <v>2.6785714285714302</v>
      </c>
      <c r="AX1380" s="95">
        <v>3.3101045296167202</v>
      </c>
      <c r="AY1380" s="95">
        <v>12</v>
      </c>
      <c r="AZ1380" s="95">
        <v>3.3369214208826699</v>
      </c>
      <c r="BA1380" s="95">
        <v>0</v>
      </c>
      <c r="BB1380" s="95">
        <v>0</v>
      </c>
      <c r="BC1380" s="95">
        <v>0</v>
      </c>
      <c r="BD1380" s="95">
        <v>3.4753363228699601</v>
      </c>
      <c r="BE1380" s="95">
        <v>0</v>
      </c>
    </row>
    <row r="1381" spans="2:57" ht="15" customHeight="1" x14ac:dyDescent="0.25">
      <c r="B1381" s="91">
        <v>1371</v>
      </c>
      <c r="C1381" s="92" t="s">
        <v>504</v>
      </c>
      <c r="D1381" s="92" t="s">
        <v>102</v>
      </c>
      <c r="E1381" s="92" t="s">
        <v>435</v>
      </c>
      <c r="F1381" s="92" t="s">
        <v>336</v>
      </c>
      <c r="G1381" s="101" t="s">
        <v>502</v>
      </c>
      <c r="H1381" s="94">
        <v>3046</v>
      </c>
      <c r="I1381" s="94">
        <v>2013</v>
      </c>
      <c r="J1381" s="94">
        <v>1033</v>
      </c>
      <c r="K1381" s="94">
        <v>312</v>
      </c>
      <c r="L1381" s="94">
        <v>1106</v>
      </c>
      <c r="M1381" s="94">
        <v>1410</v>
      </c>
      <c r="N1381" s="94">
        <v>218</v>
      </c>
      <c r="O1381" s="94">
        <v>3037</v>
      </c>
      <c r="P1381" s="94">
        <v>9</v>
      </c>
      <c r="Q1381" s="95">
        <v>0.5</v>
      </c>
      <c r="R1381" s="95">
        <v>0.64864864864864902</v>
      </c>
      <c r="S1381" s="95">
        <v>0.21052631578947401</v>
      </c>
      <c r="T1381" s="95">
        <v>0.35971223021582699</v>
      </c>
      <c r="U1381" s="95">
        <v>0.69101678183613002</v>
      </c>
      <c r="V1381" s="95">
        <v>0.38167938931297701</v>
      </c>
      <c r="W1381" s="95">
        <v>0.50251256281406997</v>
      </c>
      <c r="X1381" s="95">
        <v>0.50161232533142197</v>
      </c>
      <c r="Y1381" s="95">
        <v>0</v>
      </c>
      <c r="Z1381" s="94">
        <v>4086</v>
      </c>
      <c r="AA1381" s="94">
        <v>2473</v>
      </c>
      <c r="AB1381" s="94">
        <v>1613</v>
      </c>
      <c r="AC1381" s="94">
        <v>176</v>
      </c>
      <c r="AD1381" s="94">
        <v>1172</v>
      </c>
      <c r="AE1381" s="94">
        <v>2414</v>
      </c>
      <c r="AF1381" s="94">
        <v>324</v>
      </c>
      <c r="AG1381" s="94">
        <v>2394</v>
      </c>
      <c r="AH1381" s="94">
        <v>1610</v>
      </c>
      <c r="AI1381" s="94">
        <v>82</v>
      </c>
      <c r="AJ1381" s="94">
        <v>4059</v>
      </c>
      <c r="AK1381" s="94">
        <v>12</v>
      </c>
      <c r="AL1381" s="94">
        <v>15</v>
      </c>
      <c r="AM1381" s="94">
        <v>155</v>
      </c>
      <c r="AN1381" s="94">
        <v>3872</v>
      </c>
      <c r="AO1381" s="94">
        <v>59</v>
      </c>
      <c r="AP1381" s="95">
        <v>2.5306748466257698</v>
      </c>
      <c r="AQ1381" s="95">
        <v>1.33947258267057</v>
      </c>
      <c r="AR1381" s="95">
        <v>4.3992120814182503</v>
      </c>
      <c r="AS1381" s="95">
        <v>4.2168674698795199</v>
      </c>
      <c r="AT1381" s="95">
        <v>2.4390243902439002</v>
      </c>
      <c r="AU1381" s="95">
        <v>2.6247848537005201</v>
      </c>
      <c r="AV1381" s="95">
        <v>1.26984126984127</v>
      </c>
      <c r="AW1381" s="95">
        <v>1.6507384882710701</v>
      </c>
      <c r="AX1381" s="95">
        <v>3.57374918778428</v>
      </c>
      <c r="AY1381" s="95">
        <v>8.4507042253521103</v>
      </c>
      <c r="AZ1381" s="95">
        <v>2.5469513763828102</v>
      </c>
      <c r="BA1381" s="95">
        <v>0</v>
      </c>
      <c r="BB1381" s="95">
        <v>0</v>
      </c>
      <c r="BC1381" s="95">
        <v>1.9607843137254899</v>
      </c>
      <c r="BD1381" s="95">
        <v>2.5391680172879498</v>
      </c>
      <c r="BE1381" s="95">
        <v>3.5087719298245599</v>
      </c>
    </row>
    <row r="1382" spans="2:57" ht="15" customHeight="1" x14ac:dyDescent="0.25">
      <c r="B1382" s="96">
        <v>1372</v>
      </c>
      <c r="C1382" s="97" t="s">
        <v>504</v>
      </c>
      <c r="D1382" s="104" t="s">
        <v>102</v>
      </c>
      <c r="E1382" s="104" t="s">
        <v>435</v>
      </c>
      <c r="F1382" s="104" t="s">
        <v>59</v>
      </c>
      <c r="G1382" s="105" t="s">
        <v>59</v>
      </c>
      <c r="H1382" s="106">
        <v>2878</v>
      </c>
      <c r="I1382" s="106">
        <v>2004</v>
      </c>
      <c r="J1382" s="106">
        <v>874</v>
      </c>
      <c r="K1382" s="106">
        <v>191</v>
      </c>
      <c r="L1382" s="106">
        <v>1031</v>
      </c>
      <c r="M1382" s="106">
        <v>1474</v>
      </c>
      <c r="N1382" s="106">
        <v>182</v>
      </c>
      <c r="O1382" s="106">
        <v>2873</v>
      </c>
      <c r="P1382" s="106">
        <v>5</v>
      </c>
      <c r="Q1382" s="107">
        <v>0.62800147765053604</v>
      </c>
      <c r="R1382" s="107">
        <v>0.62926061877294204</v>
      </c>
      <c r="S1382" s="107">
        <v>0.625</v>
      </c>
      <c r="T1382" s="107">
        <v>1.1834319526627199</v>
      </c>
      <c r="U1382" s="107">
        <v>0.41365046535677402</v>
      </c>
      <c r="V1382" s="107">
        <v>0.78740157480314998</v>
      </c>
      <c r="W1382" s="107">
        <v>0</v>
      </c>
      <c r="X1382" s="107">
        <v>0.62916358253145799</v>
      </c>
      <c r="Y1382" s="107">
        <v>0</v>
      </c>
      <c r="Z1382" s="106">
        <v>4364</v>
      </c>
      <c r="AA1382" s="106">
        <v>2695</v>
      </c>
      <c r="AB1382" s="106">
        <v>1669</v>
      </c>
      <c r="AC1382" s="106">
        <v>313</v>
      </c>
      <c r="AD1382" s="106">
        <v>1552</v>
      </c>
      <c r="AE1382" s="106">
        <v>2235</v>
      </c>
      <c r="AF1382" s="106">
        <v>264</v>
      </c>
      <c r="AG1382" s="106">
        <v>3122</v>
      </c>
      <c r="AH1382" s="106">
        <v>1199</v>
      </c>
      <c r="AI1382" s="106">
        <v>43</v>
      </c>
      <c r="AJ1382" s="106">
        <v>4325</v>
      </c>
      <c r="AK1382" s="106">
        <v>19</v>
      </c>
      <c r="AL1382" s="106">
        <v>20</v>
      </c>
      <c r="AM1382" s="106">
        <v>172</v>
      </c>
      <c r="AN1382" s="106">
        <v>4095</v>
      </c>
      <c r="AO1382" s="106">
        <v>97</v>
      </c>
      <c r="AP1382" s="107">
        <v>1.3685700802265199</v>
      </c>
      <c r="AQ1382" s="107">
        <v>0.342075256556442</v>
      </c>
      <c r="AR1382" s="107">
        <v>3.0491599253267001</v>
      </c>
      <c r="AS1382" s="107">
        <v>1.6447368421052599</v>
      </c>
      <c r="AT1382" s="107">
        <v>1.2649800266311599</v>
      </c>
      <c r="AU1382" s="107">
        <v>1.47194112235511</v>
      </c>
      <c r="AV1382" s="107">
        <v>0.775193798449612</v>
      </c>
      <c r="AW1382" s="107">
        <v>1.3829436944353</v>
      </c>
      <c r="AX1382" s="107">
        <v>1.3793103448275901</v>
      </c>
      <c r="AY1382" s="107">
        <v>0</v>
      </c>
      <c r="AZ1382" s="107">
        <v>1.3812812574422499</v>
      </c>
      <c r="BA1382" s="107">
        <v>0</v>
      </c>
      <c r="BB1382" s="107">
        <v>0</v>
      </c>
      <c r="BC1382" s="107">
        <v>0.58823529411764697</v>
      </c>
      <c r="BD1382" s="107">
        <v>1.43432310015098</v>
      </c>
      <c r="BE1382" s="107">
        <v>0</v>
      </c>
    </row>
    <row r="1383" spans="2:57" ht="15" customHeight="1" x14ac:dyDescent="0.25">
      <c r="B1383" s="91">
        <v>1373</v>
      </c>
      <c r="C1383" s="92" t="s">
        <v>504</v>
      </c>
      <c r="D1383" s="92" t="s">
        <v>102</v>
      </c>
      <c r="E1383" s="92" t="s">
        <v>435</v>
      </c>
      <c r="F1383" s="92" t="s">
        <v>59</v>
      </c>
      <c r="G1383" s="101" t="s">
        <v>501</v>
      </c>
      <c r="H1383" s="94">
        <v>0</v>
      </c>
      <c r="I1383" s="94">
        <v>0</v>
      </c>
      <c r="J1383" s="94">
        <v>0</v>
      </c>
      <c r="K1383" s="94">
        <v>0</v>
      </c>
      <c r="L1383" s="94">
        <v>0</v>
      </c>
      <c r="M1383" s="94">
        <v>0</v>
      </c>
      <c r="N1383" s="94">
        <v>0</v>
      </c>
      <c r="O1383" s="94">
        <v>0</v>
      </c>
      <c r="P1383" s="94">
        <v>0</v>
      </c>
      <c r="Q1383" s="95">
        <v>0</v>
      </c>
      <c r="R1383" s="95">
        <v>0</v>
      </c>
      <c r="S1383" s="95">
        <v>0</v>
      </c>
      <c r="T1383" s="95">
        <v>0</v>
      </c>
      <c r="U1383" s="95">
        <v>0</v>
      </c>
      <c r="V1383" s="95">
        <v>0</v>
      </c>
      <c r="W1383" s="95">
        <v>0</v>
      </c>
      <c r="X1383" s="95">
        <v>0</v>
      </c>
      <c r="Y1383" s="95">
        <v>0</v>
      </c>
      <c r="Z1383" s="94">
        <v>0</v>
      </c>
      <c r="AA1383" s="94">
        <v>0</v>
      </c>
      <c r="AB1383" s="94">
        <v>0</v>
      </c>
      <c r="AC1383" s="94">
        <v>0</v>
      </c>
      <c r="AD1383" s="94">
        <v>0</v>
      </c>
      <c r="AE1383" s="94">
        <v>0</v>
      </c>
      <c r="AF1383" s="94">
        <v>0</v>
      </c>
      <c r="AG1383" s="94">
        <v>0</v>
      </c>
      <c r="AH1383" s="94">
        <v>0</v>
      </c>
      <c r="AI1383" s="94">
        <v>0</v>
      </c>
      <c r="AJ1383" s="94">
        <v>0</v>
      </c>
      <c r="AK1383" s="94">
        <v>0</v>
      </c>
      <c r="AL1383" s="94">
        <v>0</v>
      </c>
      <c r="AM1383" s="94">
        <v>0</v>
      </c>
      <c r="AN1383" s="94">
        <v>0</v>
      </c>
      <c r="AO1383" s="94">
        <v>0</v>
      </c>
      <c r="AP1383" s="95">
        <v>0</v>
      </c>
      <c r="AQ1383" s="95">
        <v>0</v>
      </c>
      <c r="AR1383" s="95">
        <v>0</v>
      </c>
      <c r="AS1383" s="95">
        <v>0</v>
      </c>
      <c r="AT1383" s="95">
        <v>0</v>
      </c>
      <c r="AU1383" s="95">
        <v>0</v>
      </c>
      <c r="AV1383" s="95">
        <v>0</v>
      </c>
      <c r="AW1383" s="95">
        <v>0</v>
      </c>
      <c r="AX1383" s="95">
        <v>0</v>
      </c>
      <c r="AY1383" s="95">
        <v>0</v>
      </c>
      <c r="AZ1383" s="95">
        <v>0</v>
      </c>
      <c r="BA1383" s="95">
        <v>0</v>
      </c>
      <c r="BB1383" s="95">
        <v>0</v>
      </c>
      <c r="BC1383" s="95">
        <v>0</v>
      </c>
      <c r="BD1383" s="95">
        <v>0</v>
      </c>
      <c r="BE1383" s="95">
        <v>0</v>
      </c>
    </row>
    <row r="1384" spans="2:57" ht="15" customHeight="1" x14ac:dyDescent="0.25">
      <c r="B1384" s="91">
        <v>1374</v>
      </c>
      <c r="C1384" s="92" t="s">
        <v>504</v>
      </c>
      <c r="D1384" s="92" t="s">
        <v>102</v>
      </c>
      <c r="E1384" s="92" t="s">
        <v>435</v>
      </c>
      <c r="F1384" s="92" t="s">
        <v>59</v>
      </c>
      <c r="G1384" s="101" t="s">
        <v>502</v>
      </c>
      <c r="H1384" s="94">
        <v>2878</v>
      </c>
      <c r="I1384" s="94">
        <v>2004</v>
      </c>
      <c r="J1384" s="94">
        <v>874</v>
      </c>
      <c r="K1384" s="94">
        <v>191</v>
      </c>
      <c r="L1384" s="94">
        <v>1031</v>
      </c>
      <c r="M1384" s="94">
        <v>1474</v>
      </c>
      <c r="N1384" s="94">
        <v>182</v>
      </c>
      <c r="O1384" s="94">
        <v>2873</v>
      </c>
      <c r="P1384" s="94">
        <v>5</v>
      </c>
      <c r="Q1384" s="95">
        <v>0.62800147765053604</v>
      </c>
      <c r="R1384" s="95">
        <v>0.62926061877294204</v>
      </c>
      <c r="S1384" s="95">
        <v>0.625</v>
      </c>
      <c r="T1384" s="95">
        <v>1.1834319526627199</v>
      </c>
      <c r="U1384" s="95">
        <v>0.41365046535677402</v>
      </c>
      <c r="V1384" s="95">
        <v>0.78740157480314998</v>
      </c>
      <c r="W1384" s="95">
        <v>0</v>
      </c>
      <c r="X1384" s="95">
        <v>0.62916358253145799</v>
      </c>
      <c r="Y1384" s="95">
        <v>0</v>
      </c>
      <c r="Z1384" s="94">
        <v>4364</v>
      </c>
      <c r="AA1384" s="94">
        <v>2695</v>
      </c>
      <c r="AB1384" s="94">
        <v>1669</v>
      </c>
      <c r="AC1384" s="94">
        <v>313</v>
      </c>
      <c r="AD1384" s="94">
        <v>1552</v>
      </c>
      <c r="AE1384" s="94">
        <v>2235</v>
      </c>
      <c r="AF1384" s="94">
        <v>264</v>
      </c>
      <c r="AG1384" s="94">
        <v>3122</v>
      </c>
      <c r="AH1384" s="94">
        <v>1199</v>
      </c>
      <c r="AI1384" s="94">
        <v>43</v>
      </c>
      <c r="AJ1384" s="94">
        <v>4325</v>
      </c>
      <c r="AK1384" s="94">
        <v>19</v>
      </c>
      <c r="AL1384" s="94">
        <v>20</v>
      </c>
      <c r="AM1384" s="94">
        <v>172</v>
      </c>
      <c r="AN1384" s="94">
        <v>4095</v>
      </c>
      <c r="AO1384" s="94">
        <v>97</v>
      </c>
      <c r="AP1384" s="95">
        <v>1.3685700802265199</v>
      </c>
      <c r="AQ1384" s="95">
        <v>0.342075256556442</v>
      </c>
      <c r="AR1384" s="95">
        <v>3.0491599253267001</v>
      </c>
      <c r="AS1384" s="95">
        <v>1.6447368421052599</v>
      </c>
      <c r="AT1384" s="95">
        <v>1.2649800266311599</v>
      </c>
      <c r="AU1384" s="95">
        <v>1.47194112235511</v>
      </c>
      <c r="AV1384" s="95">
        <v>0.775193798449612</v>
      </c>
      <c r="AW1384" s="95">
        <v>1.3829436944353</v>
      </c>
      <c r="AX1384" s="95">
        <v>1.3793103448275901</v>
      </c>
      <c r="AY1384" s="95">
        <v>0</v>
      </c>
      <c r="AZ1384" s="95">
        <v>1.3812812574422499</v>
      </c>
      <c r="BA1384" s="95">
        <v>0</v>
      </c>
      <c r="BB1384" s="95">
        <v>0</v>
      </c>
      <c r="BC1384" s="95">
        <v>0.58823529411764697</v>
      </c>
      <c r="BD1384" s="95">
        <v>1.43432310015098</v>
      </c>
      <c r="BE1384" s="95">
        <v>0</v>
      </c>
    </row>
    <row r="1385" spans="2:57" ht="15" customHeight="1" x14ac:dyDescent="0.25">
      <c r="B1385" s="96">
        <v>1375</v>
      </c>
      <c r="C1385" s="97" t="s">
        <v>504</v>
      </c>
      <c r="D1385" s="104" t="s">
        <v>102</v>
      </c>
      <c r="E1385" s="104" t="s">
        <v>435</v>
      </c>
      <c r="F1385" s="104" t="s">
        <v>337</v>
      </c>
      <c r="G1385" s="105" t="s">
        <v>337</v>
      </c>
      <c r="H1385" s="106">
        <v>3057</v>
      </c>
      <c r="I1385" s="106">
        <v>2246</v>
      </c>
      <c r="J1385" s="106">
        <v>811</v>
      </c>
      <c r="K1385" s="106">
        <v>226</v>
      </c>
      <c r="L1385" s="106">
        <v>1178</v>
      </c>
      <c r="M1385" s="106">
        <v>1507</v>
      </c>
      <c r="N1385" s="106">
        <v>146</v>
      </c>
      <c r="O1385" s="106">
        <v>3048</v>
      </c>
      <c r="P1385" s="106">
        <v>9</v>
      </c>
      <c r="Q1385" s="107">
        <v>0.460829493087558</v>
      </c>
      <c r="R1385" s="107">
        <v>0.33254156769596199</v>
      </c>
      <c r="S1385" s="107">
        <v>0.83798882681564202</v>
      </c>
      <c r="T1385" s="107">
        <v>0</v>
      </c>
      <c r="U1385" s="107">
        <v>0.55762081784386597</v>
      </c>
      <c r="V1385" s="107">
        <v>0.42765502494654301</v>
      </c>
      <c r="W1385" s="107">
        <v>0.74074074074074103</v>
      </c>
      <c r="X1385" s="107">
        <v>0.46214006398862401</v>
      </c>
      <c r="Y1385" s="107">
        <v>0</v>
      </c>
      <c r="Z1385" s="106">
        <v>4667</v>
      </c>
      <c r="AA1385" s="106">
        <v>3032</v>
      </c>
      <c r="AB1385" s="106">
        <v>1635</v>
      </c>
      <c r="AC1385" s="106">
        <v>287</v>
      </c>
      <c r="AD1385" s="106">
        <v>1462</v>
      </c>
      <c r="AE1385" s="106">
        <v>2586</v>
      </c>
      <c r="AF1385" s="106">
        <v>332</v>
      </c>
      <c r="AG1385" s="106">
        <v>1919</v>
      </c>
      <c r="AH1385" s="106">
        <v>2647</v>
      </c>
      <c r="AI1385" s="106">
        <v>101</v>
      </c>
      <c r="AJ1385" s="106">
        <v>4600</v>
      </c>
      <c r="AK1385" s="106">
        <v>30</v>
      </c>
      <c r="AL1385" s="106">
        <v>37</v>
      </c>
      <c r="AM1385" s="106">
        <v>218</v>
      </c>
      <c r="AN1385" s="106">
        <v>4369</v>
      </c>
      <c r="AO1385" s="106">
        <v>80</v>
      </c>
      <c r="AP1385" s="107">
        <v>4.1807909604519802</v>
      </c>
      <c r="AQ1385" s="107">
        <v>1.72711571675302</v>
      </c>
      <c r="AR1385" s="107">
        <v>8.8235294117647101</v>
      </c>
      <c r="AS1385" s="107">
        <v>6.4150943396226401</v>
      </c>
      <c r="AT1385" s="107">
        <v>4.1666666666666696</v>
      </c>
      <c r="AU1385" s="107">
        <v>4.0535062829347401</v>
      </c>
      <c r="AV1385" s="107">
        <v>3.3846153846153801</v>
      </c>
      <c r="AW1385" s="107">
        <v>2.7382256297918901</v>
      </c>
      <c r="AX1385" s="107">
        <v>5.3157474020783404</v>
      </c>
      <c r="AY1385" s="107">
        <v>2.0618556701030899</v>
      </c>
      <c r="AZ1385" s="107">
        <v>4.2153493699885498</v>
      </c>
      <c r="BA1385" s="107">
        <v>3.5714285714285698</v>
      </c>
      <c r="BB1385" s="107">
        <v>0</v>
      </c>
      <c r="BC1385" s="107">
        <v>4.6948356807511704</v>
      </c>
      <c r="BD1385" s="107">
        <v>4.1837968561064098</v>
      </c>
      <c r="BE1385" s="107">
        <v>2.5974025974026</v>
      </c>
    </row>
    <row r="1386" spans="2:57" ht="15" customHeight="1" x14ac:dyDescent="0.25">
      <c r="B1386" s="91">
        <v>1376</v>
      </c>
      <c r="C1386" s="92" t="s">
        <v>504</v>
      </c>
      <c r="D1386" s="92" t="s">
        <v>102</v>
      </c>
      <c r="E1386" s="92" t="s">
        <v>435</v>
      </c>
      <c r="F1386" s="92" t="s">
        <v>337</v>
      </c>
      <c r="G1386" s="101" t="s">
        <v>501</v>
      </c>
      <c r="H1386" s="94">
        <v>1088</v>
      </c>
      <c r="I1386" s="94">
        <v>773</v>
      </c>
      <c r="J1386" s="94">
        <v>315</v>
      </c>
      <c r="K1386" s="94">
        <v>50</v>
      </c>
      <c r="L1386" s="94">
        <v>398</v>
      </c>
      <c r="M1386" s="94">
        <v>579</v>
      </c>
      <c r="N1386" s="94">
        <v>61</v>
      </c>
      <c r="O1386" s="94">
        <v>1083</v>
      </c>
      <c r="P1386" s="94">
        <v>5</v>
      </c>
      <c r="Q1386" s="95">
        <v>0.98522167487684698</v>
      </c>
      <c r="R1386" s="95">
        <v>0.69156293222683296</v>
      </c>
      <c r="S1386" s="95">
        <v>1.7123287671232901</v>
      </c>
      <c r="T1386" s="95">
        <v>0</v>
      </c>
      <c r="U1386" s="95">
        <v>0.81967213114754101</v>
      </c>
      <c r="V1386" s="95">
        <v>1.0989010989011001</v>
      </c>
      <c r="W1386" s="95">
        <v>1.78571428571429</v>
      </c>
      <c r="X1386" s="95">
        <v>0.99009900990098998</v>
      </c>
      <c r="Y1386" s="95">
        <v>0</v>
      </c>
      <c r="Z1386" s="94">
        <v>2005</v>
      </c>
      <c r="AA1386" s="94">
        <v>1222</v>
      </c>
      <c r="AB1386" s="94">
        <v>783</v>
      </c>
      <c r="AC1386" s="94">
        <v>135</v>
      </c>
      <c r="AD1386" s="94">
        <v>619</v>
      </c>
      <c r="AE1386" s="94">
        <v>1106</v>
      </c>
      <c r="AF1386" s="94">
        <v>145</v>
      </c>
      <c r="AG1386" s="94">
        <v>524</v>
      </c>
      <c r="AH1386" s="94">
        <v>1452</v>
      </c>
      <c r="AI1386" s="94">
        <v>29</v>
      </c>
      <c r="AJ1386" s="94">
        <v>1980</v>
      </c>
      <c r="AK1386" s="94">
        <v>22</v>
      </c>
      <c r="AL1386" s="94">
        <v>3</v>
      </c>
      <c r="AM1386" s="94">
        <v>102</v>
      </c>
      <c r="AN1386" s="94">
        <v>1885</v>
      </c>
      <c r="AO1386" s="94">
        <v>18</v>
      </c>
      <c r="AP1386" s="95">
        <v>7.7248677248677202</v>
      </c>
      <c r="AQ1386" s="95">
        <v>3.4873583260680001</v>
      </c>
      <c r="AR1386" s="95">
        <v>14.2664872139973</v>
      </c>
      <c r="AS1386" s="95">
        <v>9.5238095238095202</v>
      </c>
      <c r="AT1386" s="95">
        <v>7.8014184397163104</v>
      </c>
      <c r="AU1386" s="95">
        <v>7.4739829706717096</v>
      </c>
      <c r="AV1386" s="95">
        <v>7.6923076923076898</v>
      </c>
      <c r="AW1386" s="95">
        <v>6.3872255489021903</v>
      </c>
      <c r="AX1386" s="95">
        <v>8.2292432035268206</v>
      </c>
      <c r="AY1386" s="95">
        <v>7.1428571428571397</v>
      </c>
      <c r="AZ1386" s="95">
        <v>7.7623126338329804</v>
      </c>
      <c r="BA1386" s="95">
        <v>5</v>
      </c>
      <c r="BB1386" s="95">
        <v>0</v>
      </c>
      <c r="BC1386" s="95">
        <v>7.0707070707070701</v>
      </c>
      <c r="BD1386" s="95">
        <v>7.71830985915493</v>
      </c>
      <c r="BE1386" s="95">
        <v>12.5</v>
      </c>
    </row>
    <row r="1387" spans="2:57" ht="15" customHeight="1" x14ac:dyDescent="0.25">
      <c r="B1387" s="91">
        <v>1377</v>
      </c>
      <c r="C1387" s="92" t="s">
        <v>504</v>
      </c>
      <c r="D1387" s="92" t="s">
        <v>102</v>
      </c>
      <c r="E1387" s="92" t="s">
        <v>435</v>
      </c>
      <c r="F1387" s="92" t="s">
        <v>337</v>
      </c>
      <c r="G1387" s="101" t="s">
        <v>502</v>
      </c>
      <c r="H1387" s="94">
        <v>1969</v>
      </c>
      <c r="I1387" s="94">
        <v>1473</v>
      </c>
      <c r="J1387" s="94">
        <v>496</v>
      </c>
      <c r="K1387" s="94">
        <v>176</v>
      </c>
      <c r="L1387" s="94">
        <v>780</v>
      </c>
      <c r="M1387" s="94">
        <v>928</v>
      </c>
      <c r="N1387" s="94">
        <v>85</v>
      </c>
      <c r="O1387" s="94">
        <v>1965</v>
      </c>
      <c r="P1387" s="94">
        <v>4</v>
      </c>
      <c r="Q1387" s="95">
        <v>0.16611295681063101</v>
      </c>
      <c r="R1387" s="95">
        <v>0.14471780028943601</v>
      </c>
      <c r="S1387" s="95">
        <v>0.235849056603774</v>
      </c>
      <c r="T1387" s="95">
        <v>0</v>
      </c>
      <c r="U1387" s="95">
        <v>0.42253521126760601</v>
      </c>
      <c r="V1387" s="95">
        <v>0</v>
      </c>
      <c r="W1387" s="95">
        <v>0</v>
      </c>
      <c r="X1387" s="95">
        <v>0.166389351081531</v>
      </c>
      <c r="Y1387" s="95">
        <v>0</v>
      </c>
      <c r="Z1387" s="94">
        <v>2662</v>
      </c>
      <c r="AA1387" s="94">
        <v>1810</v>
      </c>
      <c r="AB1387" s="94">
        <v>852</v>
      </c>
      <c r="AC1387" s="94">
        <v>152</v>
      </c>
      <c r="AD1387" s="94">
        <v>843</v>
      </c>
      <c r="AE1387" s="94">
        <v>1480</v>
      </c>
      <c r="AF1387" s="94">
        <v>187</v>
      </c>
      <c r="AG1387" s="94">
        <v>1395</v>
      </c>
      <c r="AH1387" s="94">
        <v>1195</v>
      </c>
      <c r="AI1387" s="94">
        <v>72</v>
      </c>
      <c r="AJ1387" s="94">
        <v>2620</v>
      </c>
      <c r="AK1387" s="94">
        <v>8</v>
      </c>
      <c r="AL1387" s="94">
        <v>34</v>
      </c>
      <c r="AM1387" s="94">
        <v>116</v>
      </c>
      <c r="AN1387" s="94">
        <v>2484</v>
      </c>
      <c r="AO1387" s="94">
        <v>62</v>
      </c>
      <c r="AP1387" s="95">
        <v>1.5384615384615401</v>
      </c>
      <c r="AQ1387" s="95">
        <v>0.57208237986270005</v>
      </c>
      <c r="AR1387" s="95">
        <v>3.6848792884371</v>
      </c>
      <c r="AS1387" s="95">
        <v>3.5971223021582701</v>
      </c>
      <c r="AT1387" s="95">
        <v>1.61691542288557</v>
      </c>
      <c r="AU1387" s="95">
        <v>1.4893617021276599</v>
      </c>
      <c r="AV1387" s="95">
        <v>0</v>
      </c>
      <c r="AW1387" s="95">
        <v>1.35849056603774</v>
      </c>
      <c r="AX1387" s="95">
        <v>1.8404907975460101</v>
      </c>
      <c r="AY1387" s="95">
        <v>0</v>
      </c>
      <c r="AZ1387" s="95">
        <v>1.5618742490989199</v>
      </c>
      <c r="BA1387" s="95">
        <v>0</v>
      </c>
      <c r="BB1387" s="95">
        <v>0</v>
      </c>
      <c r="BC1387" s="95">
        <v>2.6315789473684199</v>
      </c>
      <c r="BD1387" s="95">
        <v>1.5254237288135599</v>
      </c>
      <c r="BE1387" s="95">
        <v>0</v>
      </c>
    </row>
    <row r="1388" spans="2:57" ht="15" customHeight="1" x14ac:dyDescent="0.25">
      <c r="B1388" s="86">
        <v>1378</v>
      </c>
      <c r="C1388" s="87" t="s">
        <v>503</v>
      </c>
      <c r="D1388" s="103" t="s">
        <v>102</v>
      </c>
      <c r="E1388" s="103" t="s">
        <v>436</v>
      </c>
      <c r="F1388" s="103"/>
      <c r="G1388" s="88" t="s">
        <v>436</v>
      </c>
      <c r="H1388" s="89">
        <v>1696</v>
      </c>
      <c r="I1388" s="89">
        <v>1325</v>
      </c>
      <c r="J1388" s="89">
        <v>371</v>
      </c>
      <c r="K1388" s="89">
        <v>140</v>
      </c>
      <c r="L1388" s="89">
        <v>641</v>
      </c>
      <c r="M1388" s="89">
        <v>842</v>
      </c>
      <c r="N1388" s="89">
        <v>73</v>
      </c>
      <c r="O1388" s="89">
        <v>1580</v>
      </c>
      <c r="P1388" s="89">
        <v>116</v>
      </c>
      <c r="Q1388" s="90">
        <v>0.71801566579634502</v>
      </c>
      <c r="R1388" s="90">
        <v>0.502092050209205</v>
      </c>
      <c r="S1388" s="90">
        <v>1.4836795252225501</v>
      </c>
      <c r="T1388" s="90">
        <v>0.84745762711864403</v>
      </c>
      <c r="U1388" s="90">
        <v>0.34542314335060398</v>
      </c>
      <c r="V1388" s="90">
        <v>0.91383812010443899</v>
      </c>
      <c r="W1388" s="90">
        <v>1.4492753623188399</v>
      </c>
      <c r="X1388" s="90">
        <v>0.70422535211267601</v>
      </c>
      <c r="Y1388" s="90">
        <v>0.89285714285714302</v>
      </c>
      <c r="Z1388" s="89">
        <v>2611</v>
      </c>
      <c r="AA1388" s="89">
        <v>1830</v>
      </c>
      <c r="AB1388" s="89">
        <v>781</v>
      </c>
      <c r="AC1388" s="89">
        <v>169</v>
      </c>
      <c r="AD1388" s="89">
        <v>829</v>
      </c>
      <c r="AE1388" s="89">
        <v>1418</v>
      </c>
      <c r="AF1388" s="89">
        <v>195</v>
      </c>
      <c r="AG1388" s="89">
        <v>860</v>
      </c>
      <c r="AH1388" s="89">
        <v>1717</v>
      </c>
      <c r="AI1388" s="89">
        <v>34</v>
      </c>
      <c r="AJ1388" s="89">
        <v>2523</v>
      </c>
      <c r="AK1388" s="89">
        <v>73</v>
      </c>
      <c r="AL1388" s="89">
        <v>15</v>
      </c>
      <c r="AM1388" s="89">
        <v>151</v>
      </c>
      <c r="AN1388" s="89">
        <v>2435</v>
      </c>
      <c r="AO1388" s="89">
        <v>25</v>
      </c>
      <c r="AP1388" s="90">
        <v>2.0725388601036299</v>
      </c>
      <c r="AQ1388" s="90">
        <v>0.50675675675675702</v>
      </c>
      <c r="AR1388" s="90">
        <v>5.8663028649386098</v>
      </c>
      <c r="AS1388" s="90">
        <v>2.4390243902439002</v>
      </c>
      <c r="AT1388" s="90">
        <v>2.3690773067331699</v>
      </c>
      <c r="AU1388" s="90">
        <v>1.6949152542372901</v>
      </c>
      <c r="AV1388" s="90">
        <v>3.2258064516128999</v>
      </c>
      <c r="AW1388" s="90">
        <v>1.80072028811525</v>
      </c>
      <c r="AX1388" s="90">
        <v>2.2519780888618399</v>
      </c>
      <c r="AY1388" s="90">
        <v>0</v>
      </c>
      <c r="AZ1388" s="90">
        <v>2.1407986825854302</v>
      </c>
      <c r="BA1388" s="90">
        <v>0</v>
      </c>
      <c r="BB1388" s="90">
        <v>0</v>
      </c>
      <c r="BC1388" s="90">
        <v>1.3888888888888899</v>
      </c>
      <c r="BD1388" s="90">
        <v>2.1358393848782602</v>
      </c>
      <c r="BE1388" s="90">
        <v>0</v>
      </c>
    </row>
    <row r="1389" spans="2:57" ht="15" customHeight="1" x14ac:dyDescent="0.25">
      <c r="B1389" s="91">
        <v>1379</v>
      </c>
      <c r="C1389" s="92" t="s">
        <v>503</v>
      </c>
      <c r="D1389" s="92" t="s">
        <v>102</v>
      </c>
      <c r="E1389" s="92" t="s">
        <v>436</v>
      </c>
      <c r="F1389" s="92"/>
      <c r="G1389" s="93" t="s">
        <v>501</v>
      </c>
      <c r="H1389" s="94">
        <v>0</v>
      </c>
      <c r="I1389" s="94">
        <v>0</v>
      </c>
      <c r="J1389" s="94">
        <v>0</v>
      </c>
      <c r="K1389" s="94">
        <v>0</v>
      </c>
      <c r="L1389" s="94">
        <v>0</v>
      </c>
      <c r="M1389" s="94">
        <v>0</v>
      </c>
      <c r="N1389" s="94">
        <v>0</v>
      </c>
      <c r="O1389" s="94">
        <v>0</v>
      </c>
      <c r="P1389" s="94">
        <v>0</v>
      </c>
      <c r="Q1389" s="95">
        <v>0</v>
      </c>
      <c r="R1389" s="95">
        <v>0</v>
      </c>
      <c r="S1389" s="95">
        <v>0</v>
      </c>
      <c r="T1389" s="95">
        <v>0</v>
      </c>
      <c r="U1389" s="95">
        <v>0</v>
      </c>
      <c r="V1389" s="95">
        <v>0</v>
      </c>
      <c r="W1389" s="95">
        <v>0</v>
      </c>
      <c r="X1389" s="95">
        <v>0</v>
      </c>
      <c r="Y1389" s="95">
        <v>0</v>
      </c>
      <c r="Z1389" s="94">
        <v>0</v>
      </c>
      <c r="AA1389" s="94">
        <v>0</v>
      </c>
      <c r="AB1389" s="94">
        <v>0</v>
      </c>
      <c r="AC1389" s="94">
        <v>0</v>
      </c>
      <c r="AD1389" s="94">
        <v>0</v>
      </c>
      <c r="AE1389" s="94">
        <v>0</v>
      </c>
      <c r="AF1389" s="94">
        <v>0</v>
      </c>
      <c r="AG1389" s="94">
        <v>0</v>
      </c>
      <c r="AH1389" s="94">
        <v>0</v>
      </c>
      <c r="AI1389" s="94">
        <v>0</v>
      </c>
      <c r="AJ1389" s="94">
        <v>0</v>
      </c>
      <c r="AK1389" s="94">
        <v>0</v>
      </c>
      <c r="AL1389" s="94">
        <v>0</v>
      </c>
      <c r="AM1389" s="94">
        <v>0</v>
      </c>
      <c r="AN1389" s="94">
        <v>0</v>
      </c>
      <c r="AO1389" s="94">
        <v>0</v>
      </c>
      <c r="AP1389" s="95">
        <v>0</v>
      </c>
      <c r="AQ1389" s="95">
        <v>0</v>
      </c>
      <c r="AR1389" s="95">
        <v>0</v>
      </c>
      <c r="AS1389" s="95">
        <v>0</v>
      </c>
      <c r="AT1389" s="95">
        <v>0</v>
      </c>
      <c r="AU1389" s="95">
        <v>0</v>
      </c>
      <c r="AV1389" s="95">
        <v>0</v>
      </c>
      <c r="AW1389" s="95">
        <v>0</v>
      </c>
      <c r="AX1389" s="95">
        <v>0</v>
      </c>
      <c r="AY1389" s="95">
        <v>0</v>
      </c>
      <c r="AZ1389" s="95">
        <v>0</v>
      </c>
      <c r="BA1389" s="95">
        <v>0</v>
      </c>
      <c r="BB1389" s="95">
        <v>0</v>
      </c>
      <c r="BC1389" s="95">
        <v>0</v>
      </c>
      <c r="BD1389" s="95">
        <v>0</v>
      </c>
      <c r="BE1389" s="95">
        <v>0</v>
      </c>
    </row>
    <row r="1390" spans="2:57" ht="15" customHeight="1" x14ac:dyDescent="0.25">
      <c r="B1390" s="91">
        <v>1380</v>
      </c>
      <c r="C1390" s="92" t="s">
        <v>503</v>
      </c>
      <c r="D1390" s="92" t="s">
        <v>102</v>
      </c>
      <c r="E1390" s="92" t="s">
        <v>436</v>
      </c>
      <c r="F1390" s="92"/>
      <c r="G1390" s="93" t="s">
        <v>502</v>
      </c>
      <c r="H1390" s="94">
        <v>1696</v>
      </c>
      <c r="I1390" s="94">
        <v>1325</v>
      </c>
      <c r="J1390" s="94">
        <v>371</v>
      </c>
      <c r="K1390" s="94">
        <v>140</v>
      </c>
      <c r="L1390" s="94">
        <v>641</v>
      </c>
      <c r="M1390" s="94">
        <v>842</v>
      </c>
      <c r="N1390" s="94">
        <v>73</v>
      </c>
      <c r="O1390" s="94">
        <v>1580</v>
      </c>
      <c r="P1390" s="94">
        <v>116</v>
      </c>
      <c r="Q1390" s="95">
        <v>0.71801566579634502</v>
      </c>
      <c r="R1390" s="95">
        <v>0.502092050209205</v>
      </c>
      <c r="S1390" s="95">
        <v>1.4836795252225501</v>
      </c>
      <c r="T1390" s="95">
        <v>0.84745762711864403</v>
      </c>
      <c r="U1390" s="95">
        <v>0.34542314335060398</v>
      </c>
      <c r="V1390" s="95">
        <v>0.91383812010443899</v>
      </c>
      <c r="W1390" s="95">
        <v>1.4492753623188399</v>
      </c>
      <c r="X1390" s="95">
        <v>0.70422535211267601</v>
      </c>
      <c r="Y1390" s="95">
        <v>0.89285714285714302</v>
      </c>
      <c r="Z1390" s="94">
        <v>2611</v>
      </c>
      <c r="AA1390" s="94">
        <v>1830</v>
      </c>
      <c r="AB1390" s="94">
        <v>781</v>
      </c>
      <c r="AC1390" s="94">
        <v>169</v>
      </c>
      <c r="AD1390" s="94">
        <v>829</v>
      </c>
      <c r="AE1390" s="94">
        <v>1418</v>
      </c>
      <c r="AF1390" s="94">
        <v>195</v>
      </c>
      <c r="AG1390" s="94">
        <v>860</v>
      </c>
      <c r="AH1390" s="94">
        <v>1717</v>
      </c>
      <c r="AI1390" s="94">
        <v>34</v>
      </c>
      <c r="AJ1390" s="94">
        <v>2523</v>
      </c>
      <c r="AK1390" s="94">
        <v>73</v>
      </c>
      <c r="AL1390" s="94">
        <v>15</v>
      </c>
      <c r="AM1390" s="94">
        <v>151</v>
      </c>
      <c r="AN1390" s="94">
        <v>2435</v>
      </c>
      <c r="AO1390" s="94">
        <v>25</v>
      </c>
      <c r="AP1390" s="95">
        <v>2.0725388601036299</v>
      </c>
      <c r="AQ1390" s="95">
        <v>0.50675675675675702</v>
      </c>
      <c r="AR1390" s="95">
        <v>5.8663028649386098</v>
      </c>
      <c r="AS1390" s="95">
        <v>2.4390243902439002</v>
      </c>
      <c r="AT1390" s="95">
        <v>2.3690773067331699</v>
      </c>
      <c r="AU1390" s="95">
        <v>1.6949152542372901</v>
      </c>
      <c r="AV1390" s="95">
        <v>3.2258064516128999</v>
      </c>
      <c r="AW1390" s="95">
        <v>1.80072028811525</v>
      </c>
      <c r="AX1390" s="95">
        <v>2.2519780888618399</v>
      </c>
      <c r="AY1390" s="95">
        <v>0</v>
      </c>
      <c r="AZ1390" s="95">
        <v>2.1407986825854302</v>
      </c>
      <c r="BA1390" s="95">
        <v>0</v>
      </c>
      <c r="BB1390" s="95">
        <v>0</v>
      </c>
      <c r="BC1390" s="95">
        <v>1.3888888888888899</v>
      </c>
      <c r="BD1390" s="95">
        <v>2.1358393848782602</v>
      </c>
      <c r="BE1390" s="95">
        <v>0</v>
      </c>
    </row>
    <row r="1391" spans="2:57" ht="15" customHeight="1" x14ac:dyDescent="0.25">
      <c r="B1391" s="96">
        <v>1381</v>
      </c>
      <c r="C1391" s="97" t="s">
        <v>504</v>
      </c>
      <c r="D1391" s="104" t="s">
        <v>102</v>
      </c>
      <c r="E1391" s="104" t="s">
        <v>436</v>
      </c>
      <c r="F1391" s="104" t="s">
        <v>35</v>
      </c>
      <c r="G1391" s="105" t="s">
        <v>35</v>
      </c>
      <c r="H1391" s="106">
        <v>1064</v>
      </c>
      <c r="I1391" s="106">
        <v>825</v>
      </c>
      <c r="J1391" s="106">
        <v>239</v>
      </c>
      <c r="K1391" s="106">
        <v>80</v>
      </c>
      <c r="L1391" s="106">
        <v>406</v>
      </c>
      <c r="M1391" s="106">
        <v>540</v>
      </c>
      <c r="N1391" s="106">
        <v>38</v>
      </c>
      <c r="O1391" s="106">
        <v>958</v>
      </c>
      <c r="P1391" s="106">
        <v>106</v>
      </c>
      <c r="Q1391" s="107">
        <v>0.30581039755351702</v>
      </c>
      <c r="R1391" s="107">
        <v>0</v>
      </c>
      <c r="S1391" s="107">
        <v>1.3888888888888899</v>
      </c>
      <c r="T1391" s="107">
        <v>0</v>
      </c>
      <c r="U1391" s="107">
        <v>0</v>
      </c>
      <c r="V1391" s="107">
        <v>0.39682539682539703</v>
      </c>
      <c r="W1391" s="107">
        <v>2.8571428571428599</v>
      </c>
      <c r="X1391" s="107">
        <v>0.22779043280182201</v>
      </c>
      <c r="Y1391" s="107">
        <v>0.970873786407767</v>
      </c>
      <c r="Z1391" s="106">
        <v>1349</v>
      </c>
      <c r="AA1391" s="106">
        <v>940</v>
      </c>
      <c r="AB1391" s="106">
        <v>409</v>
      </c>
      <c r="AC1391" s="106">
        <v>84</v>
      </c>
      <c r="AD1391" s="106">
        <v>425</v>
      </c>
      <c r="AE1391" s="106">
        <v>738</v>
      </c>
      <c r="AF1391" s="106">
        <v>102</v>
      </c>
      <c r="AG1391" s="106">
        <v>500</v>
      </c>
      <c r="AH1391" s="106">
        <v>832</v>
      </c>
      <c r="AI1391" s="106">
        <v>17</v>
      </c>
      <c r="AJ1391" s="106">
        <v>1298</v>
      </c>
      <c r="AK1391" s="106">
        <v>46</v>
      </c>
      <c r="AL1391" s="106">
        <v>5</v>
      </c>
      <c r="AM1391" s="106">
        <v>69</v>
      </c>
      <c r="AN1391" s="106">
        <v>1266</v>
      </c>
      <c r="AO1391" s="106">
        <v>14</v>
      </c>
      <c r="AP1391" s="107">
        <v>2.0673813169984698</v>
      </c>
      <c r="AQ1391" s="107">
        <v>0.217391304347826</v>
      </c>
      <c r="AR1391" s="107">
        <v>6.4766839378238297</v>
      </c>
      <c r="AS1391" s="107">
        <v>2.4390243902439002</v>
      </c>
      <c r="AT1391" s="107">
        <v>1.94647201946472</v>
      </c>
      <c r="AU1391" s="107">
        <v>1.68539325842697</v>
      </c>
      <c r="AV1391" s="107">
        <v>4.9504950495049496</v>
      </c>
      <c r="AW1391" s="107">
        <v>2.0576131687242798</v>
      </c>
      <c r="AX1391" s="107">
        <v>2.1144278606965199</v>
      </c>
      <c r="AY1391" s="107">
        <v>0</v>
      </c>
      <c r="AZ1391" s="107">
        <v>2.1428571428571401</v>
      </c>
      <c r="BA1391" s="107">
        <v>0</v>
      </c>
      <c r="BB1391" s="107">
        <v>0</v>
      </c>
      <c r="BC1391" s="107">
        <v>3.0769230769230802</v>
      </c>
      <c r="BD1391" s="107">
        <v>2.0374898125509402</v>
      </c>
      <c r="BE1391" s="107">
        <v>0</v>
      </c>
    </row>
    <row r="1392" spans="2:57" ht="15" customHeight="1" x14ac:dyDescent="0.25">
      <c r="B1392" s="91">
        <v>1382</v>
      </c>
      <c r="C1392" s="92" t="s">
        <v>504</v>
      </c>
      <c r="D1392" s="92" t="s">
        <v>102</v>
      </c>
      <c r="E1392" s="92" t="s">
        <v>436</v>
      </c>
      <c r="F1392" s="92" t="s">
        <v>35</v>
      </c>
      <c r="G1392" s="101" t="s">
        <v>501</v>
      </c>
      <c r="H1392" s="94">
        <v>0</v>
      </c>
      <c r="I1392" s="94">
        <v>0</v>
      </c>
      <c r="J1392" s="94">
        <v>0</v>
      </c>
      <c r="K1392" s="94">
        <v>0</v>
      </c>
      <c r="L1392" s="94">
        <v>0</v>
      </c>
      <c r="M1392" s="94">
        <v>0</v>
      </c>
      <c r="N1392" s="94">
        <v>0</v>
      </c>
      <c r="O1392" s="94">
        <v>0</v>
      </c>
      <c r="P1392" s="94">
        <v>0</v>
      </c>
      <c r="Q1392" s="95">
        <v>0</v>
      </c>
      <c r="R1392" s="95">
        <v>0</v>
      </c>
      <c r="S1392" s="95">
        <v>0</v>
      </c>
      <c r="T1392" s="95">
        <v>0</v>
      </c>
      <c r="U1392" s="95">
        <v>0</v>
      </c>
      <c r="V1392" s="95">
        <v>0</v>
      </c>
      <c r="W1392" s="95">
        <v>0</v>
      </c>
      <c r="X1392" s="95">
        <v>0</v>
      </c>
      <c r="Y1392" s="95">
        <v>0</v>
      </c>
      <c r="Z1392" s="94">
        <v>0</v>
      </c>
      <c r="AA1392" s="94">
        <v>0</v>
      </c>
      <c r="AB1392" s="94">
        <v>0</v>
      </c>
      <c r="AC1392" s="94">
        <v>0</v>
      </c>
      <c r="AD1392" s="94">
        <v>0</v>
      </c>
      <c r="AE1392" s="94">
        <v>0</v>
      </c>
      <c r="AF1392" s="94">
        <v>0</v>
      </c>
      <c r="AG1392" s="94">
        <v>0</v>
      </c>
      <c r="AH1392" s="94">
        <v>0</v>
      </c>
      <c r="AI1392" s="94">
        <v>0</v>
      </c>
      <c r="AJ1392" s="94">
        <v>0</v>
      </c>
      <c r="AK1392" s="94">
        <v>0</v>
      </c>
      <c r="AL1392" s="94">
        <v>0</v>
      </c>
      <c r="AM1392" s="94">
        <v>0</v>
      </c>
      <c r="AN1392" s="94">
        <v>0</v>
      </c>
      <c r="AO1392" s="94">
        <v>0</v>
      </c>
      <c r="AP1392" s="95">
        <v>0</v>
      </c>
      <c r="AQ1392" s="95">
        <v>0</v>
      </c>
      <c r="AR1392" s="95">
        <v>0</v>
      </c>
      <c r="AS1392" s="95">
        <v>0</v>
      </c>
      <c r="AT1392" s="95">
        <v>0</v>
      </c>
      <c r="AU1392" s="95">
        <v>0</v>
      </c>
      <c r="AV1392" s="95">
        <v>0</v>
      </c>
      <c r="AW1392" s="95">
        <v>0</v>
      </c>
      <c r="AX1392" s="95">
        <v>0</v>
      </c>
      <c r="AY1392" s="95">
        <v>0</v>
      </c>
      <c r="AZ1392" s="95">
        <v>0</v>
      </c>
      <c r="BA1392" s="95">
        <v>0</v>
      </c>
      <c r="BB1392" s="95">
        <v>0</v>
      </c>
      <c r="BC1392" s="95">
        <v>0</v>
      </c>
      <c r="BD1392" s="95">
        <v>0</v>
      </c>
      <c r="BE1392" s="95">
        <v>0</v>
      </c>
    </row>
    <row r="1393" spans="2:57" ht="15" customHeight="1" x14ac:dyDescent="0.25">
      <c r="B1393" s="91">
        <v>1383</v>
      </c>
      <c r="C1393" s="92" t="s">
        <v>504</v>
      </c>
      <c r="D1393" s="92" t="s">
        <v>102</v>
      </c>
      <c r="E1393" s="92" t="s">
        <v>436</v>
      </c>
      <c r="F1393" s="92" t="s">
        <v>35</v>
      </c>
      <c r="G1393" s="101" t="s">
        <v>502</v>
      </c>
      <c r="H1393" s="94">
        <v>1064</v>
      </c>
      <c r="I1393" s="94">
        <v>825</v>
      </c>
      <c r="J1393" s="94">
        <v>239</v>
      </c>
      <c r="K1393" s="94">
        <v>80</v>
      </c>
      <c r="L1393" s="94">
        <v>406</v>
      </c>
      <c r="M1393" s="94">
        <v>540</v>
      </c>
      <c r="N1393" s="94">
        <v>38</v>
      </c>
      <c r="O1393" s="94">
        <v>958</v>
      </c>
      <c r="P1393" s="94">
        <v>106</v>
      </c>
      <c r="Q1393" s="95">
        <v>0.30581039755351702</v>
      </c>
      <c r="R1393" s="95">
        <v>0</v>
      </c>
      <c r="S1393" s="95">
        <v>1.3888888888888899</v>
      </c>
      <c r="T1393" s="95">
        <v>0</v>
      </c>
      <c r="U1393" s="95">
        <v>0</v>
      </c>
      <c r="V1393" s="95">
        <v>0.39682539682539703</v>
      </c>
      <c r="W1393" s="95">
        <v>2.8571428571428599</v>
      </c>
      <c r="X1393" s="95">
        <v>0.22779043280182201</v>
      </c>
      <c r="Y1393" s="95">
        <v>0.970873786407767</v>
      </c>
      <c r="Z1393" s="94">
        <v>1349</v>
      </c>
      <c r="AA1393" s="94">
        <v>940</v>
      </c>
      <c r="AB1393" s="94">
        <v>409</v>
      </c>
      <c r="AC1393" s="94">
        <v>84</v>
      </c>
      <c r="AD1393" s="94">
        <v>425</v>
      </c>
      <c r="AE1393" s="94">
        <v>738</v>
      </c>
      <c r="AF1393" s="94">
        <v>102</v>
      </c>
      <c r="AG1393" s="94">
        <v>500</v>
      </c>
      <c r="AH1393" s="94">
        <v>832</v>
      </c>
      <c r="AI1393" s="94">
        <v>17</v>
      </c>
      <c r="AJ1393" s="94">
        <v>1298</v>
      </c>
      <c r="AK1393" s="94">
        <v>46</v>
      </c>
      <c r="AL1393" s="94">
        <v>5</v>
      </c>
      <c r="AM1393" s="94">
        <v>69</v>
      </c>
      <c r="AN1393" s="94">
        <v>1266</v>
      </c>
      <c r="AO1393" s="94">
        <v>14</v>
      </c>
      <c r="AP1393" s="95">
        <v>2.0673813169984698</v>
      </c>
      <c r="AQ1393" s="95">
        <v>0.217391304347826</v>
      </c>
      <c r="AR1393" s="95">
        <v>6.4766839378238297</v>
      </c>
      <c r="AS1393" s="95">
        <v>2.4390243902439002</v>
      </c>
      <c r="AT1393" s="95">
        <v>1.94647201946472</v>
      </c>
      <c r="AU1393" s="95">
        <v>1.68539325842697</v>
      </c>
      <c r="AV1393" s="95">
        <v>4.9504950495049496</v>
      </c>
      <c r="AW1393" s="95">
        <v>2.0576131687242798</v>
      </c>
      <c r="AX1393" s="95">
        <v>2.1144278606965199</v>
      </c>
      <c r="AY1393" s="95">
        <v>0</v>
      </c>
      <c r="AZ1393" s="95">
        <v>2.1428571428571401</v>
      </c>
      <c r="BA1393" s="95">
        <v>0</v>
      </c>
      <c r="BB1393" s="95">
        <v>0</v>
      </c>
      <c r="BC1393" s="95">
        <v>3.0769230769230802</v>
      </c>
      <c r="BD1393" s="95">
        <v>2.0374898125509402</v>
      </c>
      <c r="BE1393" s="95">
        <v>0</v>
      </c>
    </row>
    <row r="1394" spans="2:57" ht="15" customHeight="1" x14ac:dyDescent="0.25">
      <c r="B1394" s="96">
        <v>1384</v>
      </c>
      <c r="C1394" s="97" t="s">
        <v>504</v>
      </c>
      <c r="D1394" s="104" t="s">
        <v>102</v>
      </c>
      <c r="E1394" s="104" t="s">
        <v>436</v>
      </c>
      <c r="F1394" s="104" t="s">
        <v>14</v>
      </c>
      <c r="G1394" s="105" t="s">
        <v>14</v>
      </c>
      <c r="H1394" s="106">
        <v>632</v>
      </c>
      <c r="I1394" s="106">
        <v>500</v>
      </c>
      <c r="J1394" s="106">
        <v>132</v>
      </c>
      <c r="K1394" s="106">
        <v>60</v>
      </c>
      <c r="L1394" s="106">
        <v>235</v>
      </c>
      <c r="M1394" s="106">
        <v>302</v>
      </c>
      <c r="N1394" s="106">
        <v>35</v>
      </c>
      <c r="O1394" s="106">
        <v>622</v>
      </c>
      <c r="P1394" s="106">
        <v>10</v>
      </c>
      <c r="Q1394" s="107">
        <v>1.4519056261343</v>
      </c>
      <c r="R1394" s="107">
        <v>1.3953488372092999</v>
      </c>
      <c r="S1394" s="107">
        <v>1.65289256198347</v>
      </c>
      <c r="T1394" s="107">
        <v>2.12765957446809</v>
      </c>
      <c r="U1394" s="107">
        <v>0.96153846153846201</v>
      </c>
      <c r="V1394" s="107">
        <v>1.90839694656489</v>
      </c>
      <c r="W1394" s="107">
        <v>0</v>
      </c>
      <c r="X1394" s="107">
        <v>1.4760147601475999</v>
      </c>
      <c r="Y1394" s="107">
        <v>0</v>
      </c>
      <c r="Z1394" s="106">
        <v>1262</v>
      </c>
      <c r="AA1394" s="106">
        <v>890</v>
      </c>
      <c r="AB1394" s="106">
        <v>372</v>
      </c>
      <c r="AC1394" s="106">
        <v>85</v>
      </c>
      <c r="AD1394" s="106">
        <v>404</v>
      </c>
      <c r="AE1394" s="106">
        <v>680</v>
      </c>
      <c r="AF1394" s="106">
        <v>93</v>
      </c>
      <c r="AG1394" s="106">
        <v>360</v>
      </c>
      <c r="AH1394" s="106">
        <v>885</v>
      </c>
      <c r="AI1394" s="106">
        <v>17</v>
      </c>
      <c r="AJ1394" s="106">
        <v>1225</v>
      </c>
      <c r="AK1394" s="106">
        <v>27</v>
      </c>
      <c r="AL1394" s="106">
        <v>10</v>
      </c>
      <c r="AM1394" s="106">
        <v>82</v>
      </c>
      <c r="AN1394" s="106">
        <v>1169</v>
      </c>
      <c r="AO1394" s="106">
        <v>11</v>
      </c>
      <c r="AP1394" s="107">
        <v>2.07813798836243</v>
      </c>
      <c r="AQ1394" s="107">
        <v>0.81775700934579398</v>
      </c>
      <c r="AR1394" s="107">
        <v>5.1873198847262296</v>
      </c>
      <c r="AS1394" s="107">
        <v>2.4390243902439002</v>
      </c>
      <c r="AT1394" s="107">
        <v>2.8132992327365698</v>
      </c>
      <c r="AU1394" s="107">
        <v>1.7054263565891501</v>
      </c>
      <c r="AV1394" s="107">
        <v>1.1764705882352899</v>
      </c>
      <c r="AW1394" s="107">
        <v>1.44092219020173</v>
      </c>
      <c r="AX1394" s="107">
        <v>2.3837902264600701</v>
      </c>
      <c r="AY1394" s="107">
        <v>0</v>
      </c>
      <c r="AZ1394" s="107">
        <v>2.1385799828913599</v>
      </c>
      <c r="BA1394" s="107">
        <v>0</v>
      </c>
      <c r="BB1394" s="107">
        <v>0</v>
      </c>
      <c r="BC1394" s="107">
        <v>0</v>
      </c>
      <c r="BD1394" s="107">
        <v>2.24416517055655</v>
      </c>
      <c r="BE1394" s="107">
        <v>0</v>
      </c>
    </row>
    <row r="1395" spans="2:57" ht="15" customHeight="1" x14ac:dyDescent="0.25">
      <c r="B1395" s="91">
        <v>1385</v>
      </c>
      <c r="C1395" s="92" t="s">
        <v>504</v>
      </c>
      <c r="D1395" s="92" t="s">
        <v>102</v>
      </c>
      <c r="E1395" s="92" t="s">
        <v>436</v>
      </c>
      <c r="F1395" s="92" t="s">
        <v>14</v>
      </c>
      <c r="G1395" s="101" t="s">
        <v>501</v>
      </c>
      <c r="H1395" s="94">
        <v>0</v>
      </c>
      <c r="I1395" s="94">
        <v>0</v>
      </c>
      <c r="J1395" s="94">
        <v>0</v>
      </c>
      <c r="K1395" s="94">
        <v>0</v>
      </c>
      <c r="L1395" s="94">
        <v>0</v>
      </c>
      <c r="M1395" s="94">
        <v>0</v>
      </c>
      <c r="N1395" s="94">
        <v>0</v>
      </c>
      <c r="O1395" s="94">
        <v>0</v>
      </c>
      <c r="P1395" s="94">
        <v>0</v>
      </c>
      <c r="Q1395" s="95">
        <v>0</v>
      </c>
      <c r="R1395" s="95">
        <v>0</v>
      </c>
      <c r="S1395" s="95">
        <v>0</v>
      </c>
      <c r="T1395" s="95">
        <v>0</v>
      </c>
      <c r="U1395" s="95">
        <v>0</v>
      </c>
      <c r="V1395" s="95">
        <v>0</v>
      </c>
      <c r="W1395" s="95">
        <v>0</v>
      </c>
      <c r="X1395" s="95">
        <v>0</v>
      </c>
      <c r="Y1395" s="95">
        <v>0</v>
      </c>
      <c r="Z1395" s="94">
        <v>0</v>
      </c>
      <c r="AA1395" s="94">
        <v>0</v>
      </c>
      <c r="AB1395" s="94">
        <v>0</v>
      </c>
      <c r="AC1395" s="94">
        <v>0</v>
      </c>
      <c r="AD1395" s="94">
        <v>0</v>
      </c>
      <c r="AE1395" s="94">
        <v>0</v>
      </c>
      <c r="AF1395" s="94">
        <v>0</v>
      </c>
      <c r="AG1395" s="94">
        <v>0</v>
      </c>
      <c r="AH1395" s="94">
        <v>0</v>
      </c>
      <c r="AI1395" s="94">
        <v>0</v>
      </c>
      <c r="AJ1395" s="94">
        <v>0</v>
      </c>
      <c r="AK1395" s="94">
        <v>0</v>
      </c>
      <c r="AL1395" s="94">
        <v>0</v>
      </c>
      <c r="AM1395" s="94">
        <v>0</v>
      </c>
      <c r="AN1395" s="94">
        <v>0</v>
      </c>
      <c r="AO1395" s="94">
        <v>0</v>
      </c>
      <c r="AP1395" s="95">
        <v>0</v>
      </c>
      <c r="AQ1395" s="95">
        <v>0</v>
      </c>
      <c r="AR1395" s="95">
        <v>0</v>
      </c>
      <c r="AS1395" s="95">
        <v>0</v>
      </c>
      <c r="AT1395" s="95">
        <v>0</v>
      </c>
      <c r="AU1395" s="95">
        <v>0</v>
      </c>
      <c r="AV1395" s="95">
        <v>0</v>
      </c>
      <c r="AW1395" s="95">
        <v>0</v>
      </c>
      <c r="AX1395" s="95">
        <v>0</v>
      </c>
      <c r="AY1395" s="95">
        <v>0</v>
      </c>
      <c r="AZ1395" s="95">
        <v>0</v>
      </c>
      <c r="BA1395" s="95">
        <v>0</v>
      </c>
      <c r="BB1395" s="95">
        <v>0</v>
      </c>
      <c r="BC1395" s="95">
        <v>0</v>
      </c>
      <c r="BD1395" s="95">
        <v>0</v>
      </c>
      <c r="BE1395" s="95">
        <v>0</v>
      </c>
    </row>
    <row r="1396" spans="2:57" ht="15" customHeight="1" x14ac:dyDescent="0.25">
      <c r="B1396" s="91">
        <v>1386</v>
      </c>
      <c r="C1396" s="92" t="s">
        <v>504</v>
      </c>
      <c r="D1396" s="92" t="s">
        <v>102</v>
      </c>
      <c r="E1396" s="92" t="s">
        <v>436</v>
      </c>
      <c r="F1396" s="92" t="s">
        <v>14</v>
      </c>
      <c r="G1396" s="101" t="s">
        <v>502</v>
      </c>
      <c r="H1396" s="94">
        <v>632</v>
      </c>
      <c r="I1396" s="94">
        <v>500</v>
      </c>
      <c r="J1396" s="94">
        <v>132</v>
      </c>
      <c r="K1396" s="94">
        <v>60</v>
      </c>
      <c r="L1396" s="94">
        <v>235</v>
      </c>
      <c r="M1396" s="94">
        <v>302</v>
      </c>
      <c r="N1396" s="94">
        <v>35</v>
      </c>
      <c r="O1396" s="94">
        <v>622</v>
      </c>
      <c r="P1396" s="94">
        <v>10</v>
      </c>
      <c r="Q1396" s="95">
        <v>1.4519056261343</v>
      </c>
      <c r="R1396" s="95">
        <v>1.3953488372092999</v>
      </c>
      <c r="S1396" s="95">
        <v>1.65289256198347</v>
      </c>
      <c r="T1396" s="95">
        <v>2.12765957446809</v>
      </c>
      <c r="U1396" s="95">
        <v>0.96153846153846201</v>
      </c>
      <c r="V1396" s="95">
        <v>1.90839694656489</v>
      </c>
      <c r="W1396" s="95">
        <v>0</v>
      </c>
      <c r="X1396" s="95">
        <v>1.4760147601475999</v>
      </c>
      <c r="Y1396" s="95">
        <v>0</v>
      </c>
      <c r="Z1396" s="94">
        <v>1262</v>
      </c>
      <c r="AA1396" s="94">
        <v>890</v>
      </c>
      <c r="AB1396" s="94">
        <v>372</v>
      </c>
      <c r="AC1396" s="94">
        <v>85</v>
      </c>
      <c r="AD1396" s="94">
        <v>404</v>
      </c>
      <c r="AE1396" s="94">
        <v>680</v>
      </c>
      <c r="AF1396" s="94">
        <v>93</v>
      </c>
      <c r="AG1396" s="94">
        <v>360</v>
      </c>
      <c r="AH1396" s="94">
        <v>885</v>
      </c>
      <c r="AI1396" s="94">
        <v>17</v>
      </c>
      <c r="AJ1396" s="94">
        <v>1225</v>
      </c>
      <c r="AK1396" s="94">
        <v>27</v>
      </c>
      <c r="AL1396" s="94">
        <v>10</v>
      </c>
      <c r="AM1396" s="94">
        <v>82</v>
      </c>
      <c r="AN1396" s="94">
        <v>1169</v>
      </c>
      <c r="AO1396" s="94">
        <v>11</v>
      </c>
      <c r="AP1396" s="95">
        <v>2.07813798836243</v>
      </c>
      <c r="AQ1396" s="95">
        <v>0.81775700934579398</v>
      </c>
      <c r="AR1396" s="95">
        <v>5.1873198847262296</v>
      </c>
      <c r="AS1396" s="95">
        <v>2.4390243902439002</v>
      </c>
      <c r="AT1396" s="95">
        <v>2.8132992327365698</v>
      </c>
      <c r="AU1396" s="95">
        <v>1.7054263565891501</v>
      </c>
      <c r="AV1396" s="95">
        <v>1.1764705882352899</v>
      </c>
      <c r="AW1396" s="95">
        <v>1.44092219020173</v>
      </c>
      <c r="AX1396" s="95">
        <v>2.3837902264600701</v>
      </c>
      <c r="AY1396" s="95">
        <v>0</v>
      </c>
      <c r="AZ1396" s="95">
        <v>2.1385799828913599</v>
      </c>
      <c r="BA1396" s="95">
        <v>0</v>
      </c>
      <c r="BB1396" s="95">
        <v>0</v>
      </c>
      <c r="BC1396" s="95">
        <v>0</v>
      </c>
      <c r="BD1396" s="95">
        <v>2.24416517055655</v>
      </c>
      <c r="BE1396" s="95">
        <v>0</v>
      </c>
    </row>
    <row r="1397" spans="2:57" ht="15" customHeight="1" x14ac:dyDescent="0.25">
      <c r="B1397" s="86">
        <v>1387</v>
      </c>
      <c r="C1397" s="87" t="s">
        <v>503</v>
      </c>
      <c r="D1397" s="103" t="s">
        <v>102</v>
      </c>
      <c r="E1397" s="103" t="s">
        <v>438</v>
      </c>
      <c r="F1397" s="103"/>
      <c r="G1397" s="88" t="s">
        <v>438</v>
      </c>
      <c r="H1397" s="89">
        <v>3095</v>
      </c>
      <c r="I1397" s="89">
        <v>2424</v>
      </c>
      <c r="J1397" s="89">
        <v>671</v>
      </c>
      <c r="K1397" s="89">
        <v>259</v>
      </c>
      <c r="L1397" s="89">
        <v>1073</v>
      </c>
      <c r="M1397" s="89">
        <v>1586</v>
      </c>
      <c r="N1397" s="89">
        <v>177</v>
      </c>
      <c r="O1397" s="89">
        <v>3063</v>
      </c>
      <c r="P1397" s="89">
        <v>32</v>
      </c>
      <c r="Q1397" s="90">
        <v>0.65005417118093201</v>
      </c>
      <c r="R1397" s="90">
        <v>0.59963099630996297</v>
      </c>
      <c r="S1397" s="90">
        <v>0.83194675540765395</v>
      </c>
      <c r="T1397" s="90">
        <v>0.44843049327354301</v>
      </c>
      <c r="U1397" s="90">
        <v>0.51921079958463101</v>
      </c>
      <c r="V1397" s="90">
        <v>0.84865629420084898</v>
      </c>
      <c r="W1397" s="90">
        <v>0</v>
      </c>
      <c r="X1397" s="90">
        <v>0.65741417092768395</v>
      </c>
      <c r="Y1397" s="90">
        <v>0</v>
      </c>
      <c r="Z1397" s="89">
        <v>2838</v>
      </c>
      <c r="AA1397" s="89">
        <v>1893</v>
      </c>
      <c r="AB1397" s="89">
        <v>945</v>
      </c>
      <c r="AC1397" s="89">
        <v>210</v>
      </c>
      <c r="AD1397" s="89">
        <v>854</v>
      </c>
      <c r="AE1397" s="89">
        <v>1541</v>
      </c>
      <c r="AF1397" s="89">
        <v>233</v>
      </c>
      <c r="AG1397" s="89">
        <v>990</v>
      </c>
      <c r="AH1397" s="89">
        <v>1767</v>
      </c>
      <c r="AI1397" s="89">
        <v>81</v>
      </c>
      <c r="AJ1397" s="89">
        <v>2792</v>
      </c>
      <c r="AK1397" s="89">
        <v>26</v>
      </c>
      <c r="AL1397" s="89">
        <v>20</v>
      </c>
      <c r="AM1397" s="89">
        <v>134</v>
      </c>
      <c r="AN1397" s="89">
        <v>2621</v>
      </c>
      <c r="AO1397" s="89">
        <v>83</v>
      </c>
      <c r="AP1397" s="90">
        <v>2.8763541277549498</v>
      </c>
      <c r="AQ1397" s="90">
        <v>1.56512017887088</v>
      </c>
      <c r="AR1397" s="90">
        <v>5.5180180180180196</v>
      </c>
      <c r="AS1397" s="90">
        <v>3.0769230769230802</v>
      </c>
      <c r="AT1397" s="90">
        <v>2.23880597014925</v>
      </c>
      <c r="AU1397" s="90">
        <v>3.0970406056435</v>
      </c>
      <c r="AV1397" s="90">
        <v>3.5555555555555598</v>
      </c>
      <c r="AW1397" s="90">
        <v>1.72413793103448</v>
      </c>
      <c r="AX1397" s="90">
        <v>3.64832535885167</v>
      </c>
      <c r="AY1397" s="90">
        <v>0</v>
      </c>
      <c r="AZ1397" s="90">
        <v>2.9233105542900502</v>
      </c>
      <c r="BA1397" s="90">
        <v>0</v>
      </c>
      <c r="BB1397" s="90">
        <v>0</v>
      </c>
      <c r="BC1397" s="90">
        <v>1.55038759689922</v>
      </c>
      <c r="BD1397" s="90">
        <v>3.0413625304136298</v>
      </c>
      <c r="BE1397" s="90">
        <v>0</v>
      </c>
    </row>
    <row r="1398" spans="2:57" ht="15" customHeight="1" x14ac:dyDescent="0.25">
      <c r="B1398" s="91">
        <v>1388</v>
      </c>
      <c r="C1398" s="92" t="s">
        <v>503</v>
      </c>
      <c r="D1398" s="92" t="s">
        <v>102</v>
      </c>
      <c r="E1398" s="92" t="s">
        <v>438</v>
      </c>
      <c r="F1398" s="92"/>
      <c r="G1398" s="93" t="s">
        <v>501</v>
      </c>
      <c r="H1398" s="94">
        <v>0</v>
      </c>
      <c r="I1398" s="94">
        <v>0</v>
      </c>
      <c r="J1398" s="94">
        <v>0</v>
      </c>
      <c r="K1398" s="94">
        <v>0</v>
      </c>
      <c r="L1398" s="94">
        <v>0</v>
      </c>
      <c r="M1398" s="94">
        <v>0</v>
      </c>
      <c r="N1398" s="94">
        <v>0</v>
      </c>
      <c r="O1398" s="94">
        <v>0</v>
      </c>
      <c r="P1398" s="94">
        <v>0</v>
      </c>
      <c r="Q1398" s="95">
        <v>0</v>
      </c>
      <c r="R1398" s="95">
        <v>0</v>
      </c>
      <c r="S1398" s="95">
        <v>0</v>
      </c>
      <c r="T1398" s="95">
        <v>0</v>
      </c>
      <c r="U1398" s="95">
        <v>0</v>
      </c>
      <c r="V1398" s="95">
        <v>0</v>
      </c>
      <c r="W1398" s="95">
        <v>0</v>
      </c>
      <c r="X1398" s="95">
        <v>0</v>
      </c>
      <c r="Y1398" s="95">
        <v>0</v>
      </c>
      <c r="Z1398" s="94">
        <v>0</v>
      </c>
      <c r="AA1398" s="94">
        <v>0</v>
      </c>
      <c r="AB1398" s="94">
        <v>0</v>
      </c>
      <c r="AC1398" s="94">
        <v>0</v>
      </c>
      <c r="AD1398" s="94">
        <v>0</v>
      </c>
      <c r="AE1398" s="94">
        <v>0</v>
      </c>
      <c r="AF1398" s="94">
        <v>0</v>
      </c>
      <c r="AG1398" s="94">
        <v>0</v>
      </c>
      <c r="AH1398" s="94">
        <v>0</v>
      </c>
      <c r="AI1398" s="94">
        <v>0</v>
      </c>
      <c r="AJ1398" s="94">
        <v>0</v>
      </c>
      <c r="AK1398" s="94">
        <v>0</v>
      </c>
      <c r="AL1398" s="94">
        <v>0</v>
      </c>
      <c r="AM1398" s="94">
        <v>0</v>
      </c>
      <c r="AN1398" s="94">
        <v>0</v>
      </c>
      <c r="AO1398" s="94">
        <v>0</v>
      </c>
      <c r="AP1398" s="95">
        <v>0</v>
      </c>
      <c r="AQ1398" s="95">
        <v>0</v>
      </c>
      <c r="AR1398" s="95">
        <v>0</v>
      </c>
      <c r="AS1398" s="95">
        <v>0</v>
      </c>
      <c r="AT1398" s="95">
        <v>0</v>
      </c>
      <c r="AU1398" s="95">
        <v>0</v>
      </c>
      <c r="AV1398" s="95">
        <v>0</v>
      </c>
      <c r="AW1398" s="95">
        <v>0</v>
      </c>
      <c r="AX1398" s="95">
        <v>0</v>
      </c>
      <c r="AY1398" s="95">
        <v>0</v>
      </c>
      <c r="AZ1398" s="95">
        <v>0</v>
      </c>
      <c r="BA1398" s="95">
        <v>0</v>
      </c>
      <c r="BB1398" s="95">
        <v>0</v>
      </c>
      <c r="BC1398" s="95">
        <v>0</v>
      </c>
      <c r="BD1398" s="95">
        <v>0</v>
      </c>
      <c r="BE1398" s="95">
        <v>0</v>
      </c>
    </row>
    <row r="1399" spans="2:57" ht="15" customHeight="1" x14ac:dyDescent="0.25">
      <c r="B1399" s="91">
        <v>1389</v>
      </c>
      <c r="C1399" s="92" t="s">
        <v>503</v>
      </c>
      <c r="D1399" s="92" t="s">
        <v>102</v>
      </c>
      <c r="E1399" s="92" t="s">
        <v>438</v>
      </c>
      <c r="F1399" s="92"/>
      <c r="G1399" s="93" t="s">
        <v>502</v>
      </c>
      <c r="H1399" s="94">
        <v>3095</v>
      </c>
      <c r="I1399" s="94">
        <v>2424</v>
      </c>
      <c r="J1399" s="94">
        <v>671</v>
      </c>
      <c r="K1399" s="94">
        <v>259</v>
      </c>
      <c r="L1399" s="94">
        <v>1073</v>
      </c>
      <c r="M1399" s="94">
        <v>1586</v>
      </c>
      <c r="N1399" s="94">
        <v>177</v>
      </c>
      <c r="O1399" s="94">
        <v>3063</v>
      </c>
      <c r="P1399" s="94">
        <v>32</v>
      </c>
      <c r="Q1399" s="95">
        <v>0.65005417118093201</v>
      </c>
      <c r="R1399" s="95">
        <v>0.59963099630996297</v>
      </c>
      <c r="S1399" s="95">
        <v>0.83194675540765395</v>
      </c>
      <c r="T1399" s="95">
        <v>0.44843049327354301</v>
      </c>
      <c r="U1399" s="95">
        <v>0.51921079958463101</v>
      </c>
      <c r="V1399" s="95">
        <v>0.84865629420084898</v>
      </c>
      <c r="W1399" s="95">
        <v>0</v>
      </c>
      <c r="X1399" s="95">
        <v>0.65741417092768395</v>
      </c>
      <c r="Y1399" s="95">
        <v>0</v>
      </c>
      <c r="Z1399" s="94">
        <v>2838</v>
      </c>
      <c r="AA1399" s="94">
        <v>1893</v>
      </c>
      <c r="AB1399" s="94">
        <v>945</v>
      </c>
      <c r="AC1399" s="94">
        <v>210</v>
      </c>
      <c r="AD1399" s="94">
        <v>854</v>
      </c>
      <c r="AE1399" s="94">
        <v>1541</v>
      </c>
      <c r="AF1399" s="94">
        <v>233</v>
      </c>
      <c r="AG1399" s="94">
        <v>990</v>
      </c>
      <c r="AH1399" s="94">
        <v>1767</v>
      </c>
      <c r="AI1399" s="94">
        <v>81</v>
      </c>
      <c r="AJ1399" s="94">
        <v>2792</v>
      </c>
      <c r="AK1399" s="94">
        <v>26</v>
      </c>
      <c r="AL1399" s="94">
        <v>20</v>
      </c>
      <c r="AM1399" s="94">
        <v>134</v>
      </c>
      <c r="AN1399" s="94">
        <v>2621</v>
      </c>
      <c r="AO1399" s="94">
        <v>83</v>
      </c>
      <c r="AP1399" s="95">
        <v>2.8763541277549498</v>
      </c>
      <c r="AQ1399" s="95">
        <v>1.56512017887088</v>
      </c>
      <c r="AR1399" s="95">
        <v>5.5180180180180196</v>
      </c>
      <c r="AS1399" s="95">
        <v>3.0769230769230802</v>
      </c>
      <c r="AT1399" s="95">
        <v>2.23880597014925</v>
      </c>
      <c r="AU1399" s="95">
        <v>3.0970406056435</v>
      </c>
      <c r="AV1399" s="95">
        <v>3.5555555555555598</v>
      </c>
      <c r="AW1399" s="95">
        <v>1.72413793103448</v>
      </c>
      <c r="AX1399" s="95">
        <v>3.64832535885167</v>
      </c>
      <c r="AY1399" s="95">
        <v>0</v>
      </c>
      <c r="AZ1399" s="95">
        <v>2.9233105542900502</v>
      </c>
      <c r="BA1399" s="95">
        <v>0</v>
      </c>
      <c r="BB1399" s="95">
        <v>0</v>
      </c>
      <c r="BC1399" s="95">
        <v>1.55038759689922</v>
      </c>
      <c r="BD1399" s="95">
        <v>3.0413625304136298</v>
      </c>
      <c r="BE1399" s="95">
        <v>0</v>
      </c>
    </row>
    <row r="1400" spans="2:57" ht="15" customHeight="1" x14ac:dyDescent="0.25">
      <c r="B1400" s="96">
        <v>1390</v>
      </c>
      <c r="C1400" s="97" t="s">
        <v>504</v>
      </c>
      <c r="D1400" s="104" t="s">
        <v>102</v>
      </c>
      <c r="E1400" s="104" t="s">
        <v>438</v>
      </c>
      <c r="F1400" s="104" t="s">
        <v>26</v>
      </c>
      <c r="G1400" s="105" t="s">
        <v>26</v>
      </c>
      <c r="H1400" s="106">
        <v>1083</v>
      </c>
      <c r="I1400" s="106">
        <v>846</v>
      </c>
      <c r="J1400" s="106">
        <v>237</v>
      </c>
      <c r="K1400" s="106">
        <v>80</v>
      </c>
      <c r="L1400" s="106">
        <v>391</v>
      </c>
      <c r="M1400" s="106">
        <v>551</v>
      </c>
      <c r="N1400" s="106">
        <v>61</v>
      </c>
      <c r="O1400" s="106">
        <v>1062</v>
      </c>
      <c r="P1400" s="106">
        <v>21</v>
      </c>
      <c r="Q1400" s="107">
        <v>0.29644268774703603</v>
      </c>
      <c r="R1400" s="107">
        <v>0.12594458438287201</v>
      </c>
      <c r="S1400" s="107">
        <v>0.91743119266055095</v>
      </c>
      <c r="T1400" s="107">
        <v>0</v>
      </c>
      <c r="U1400" s="107">
        <v>0.27100271002710002</v>
      </c>
      <c r="V1400" s="107">
        <v>0.39138943248532299</v>
      </c>
      <c r="W1400" s="107">
        <v>0</v>
      </c>
      <c r="X1400" s="107">
        <v>0.302724520686176</v>
      </c>
      <c r="Y1400" s="107">
        <v>0</v>
      </c>
      <c r="Z1400" s="106">
        <v>702</v>
      </c>
      <c r="AA1400" s="106">
        <v>463</v>
      </c>
      <c r="AB1400" s="106">
        <v>239</v>
      </c>
      <c r="AC1400" s="106">
        <v>57</v>
      </c>
      <c r="AD1400" s="106">
        <v>184</v>
      </c>
      <c r="AE1400" s="106">
        <v>400</v>
      </c>
      <c r="AF1400" s="106">
        <v>61</v>
      </c>
      <c r="AG1400" s="106">
        <v>314</v>
      </c>
      <c r="AH1400" s="106">
        <v>384</v>
      </c>
      <c r="AI1400" s="106">
        <v>4</v>
      </c>
      <c r="AJ1400" s="106">
        <v>685</v>
      </c>
      <c r="AK1400" s="106">
        <v>10</v>
      </c>
      <c r="AL1400" s="106">
        <v>7</v>
      </c>
      <c r="AM1400" s="106">
        <v>21</v>
      </c>
      <c r="AN1400" s="106">
        <v>670</v>
      </c>
      <c r="AO1400" s="106">
        <v>11</v>
      </c>
      <c r="AP1400" s="107">
        <v>4.4684129429892101</v>
      </c>
      <c r="AQ1400" s="107">
        <v>2.3364485981308398</v>
      </c>
      <c r="AR1400" s="107">
        <v>8.5972850678732993</v>
      </c>
      <c r="AS1400" s="107">
        <v>3.7735849056603801</v>
      </c>
      <c r="AT1400" s="107">
        <v>2.9411764705882399</v>
      </c>
      <c r="AU1400" s="107">
        <v>5.1771117166212504</v>
      </c>
      <c r="AV1400" s="107">
        <v>5.0847457627118704</v>
      </c>
      <c r="AW1400" s="107">
        <v>2.4390243902439002</v>
      </c>
      <c r="AX1400" s="107">
        <v>6.1111111111111098</v>
      </c>
      <c r="AY1400" s="107">
        <v>0</v>
      </c>
      <c r="AZ1400" s="107">
        <v>4.5813586097946297</v>
      </c>
      <c r="BA1400" s="107">
        <v>0</v>
      </c>
      <c r="BB1400" s="107">
        <v>0</v>
      </c>
      <c r="BC1400" s="107">
        <v>0</v>
      </c>
      <c r="BD1400" s="107">
        <v>4.7001620745542896</v>
      </c>
      <c r="BE1400" s="107">
        <v>0</v>
      </c>
    </row>
    <row r="1401" spans="2:57" ht="15" customHeight="1" x14ac:dyDescent="0.25">
      <c r="B1401" s="91">
        <v>1391</v>
      </c>
      <c r="C1401" s="92" t="s">
        <v>504</v>
      </c>
      <c r="D1401" s="92" t="s">
        <v>102</v>
      </c>
      <c r="E1401" s="92" t="s">
        <v>438</v>
      </c>
      <c r="F1401" s="92" t="s">
        <v>26</v>
      </c>
      <c r="G1401" s="101" t="s">
        <v>501</v>
      </c>
      <c r="H1401" s="94">
        <v>0</v>
      </c>
      <c r="I1401" s="94">
        <v>0</v>
      </c>
      <c r="J1401" s="94">
        <v>0</v>
      </c>
      <c r="K1401" s="94">
        <v>0</v>
      </c>
      <c r="L1401" s="94">
        <v>0</v>
      </c>
      <c r="M1401" s="94">
        <v>0</v>
      </c>
      <c r="N1401" s="94">
        <v>0</v>
      </c>
      <c r="O1401" s="94">
        <v>0</v>
      </c>
      <c r="P1401" s="94">
        <v>0</v>
      </c>
      <c r="Q1401" s="95">
        <v>0</v>
      </c>
      <c r="R1401" s="95">
        <v>0</v>
      </c>
      <c r="S1401" s="95">
        <v>0</v>
      </c>
      <c r="T1401" s="95">
        <v>0</v>
      </c>
      <c r="U1401" s="95">
        <v>0</v>
      </c>
      <c r="V1401" s="95">
        <v>0</v>
      </c>
      <c r="W1401" s="95">
        <v>0</v>
      </c>
      <c r="X1401" s="95">
        <v>0</v>
      </c>
      <c r="Y1401" s="95">
        <v>0</v>
      </c>
      <c r="Z1401" s="94">
        <v>0</v>
      </c>
      <c r="AA1401" s="94">
        <v>0</v>
      </c>
      <c r="AB1401" s="94">
        <v>0</v>
      </c>
      <c r="AC1401" s="94">
        <v>0</v>
      </c>
      <c r="AD1401" s="94">
        <v>0</v>
      </c>
      <c r="AE1401" s="94">
        <v>0</v>
      </c>
      <c r="AF1401" s="94">
        <v>0</v>
      </c>
      <c r="AG1401" s="94">
        <v>0</v>
      </c>
      <c r="AH1401" s="94">
        <v>0</v>
      </c>
      <c r="AI1401" s="94">
        <v>0</v>
      </c>
      <c r="AJ1401" s="94">
        <v>0</v>
      </c>
      <c r="AK1401" s="94">
        <v>0</v>
      </c>
      <c r="AL1401" s="94">
        <v>0</v>
      </c>
      <c r="AM1401" s="94">
        <v>0</v>
      </c>
      <c r="AN1401" s="94">
        <v>0</v>
      </c>
      <c r="AO1401" s="94">
        <v>0</v>
      </c>
      <c r="AP1401" s="95">
        <v>0</v>
      </c>
      <c r="AQ1401" s="95">
        <v>0</v>
      </c>
      <c r="AR1401" s="95">
        <v>0</v>
      </c>
      <c r="AS1401" s="95">
        <v>0</v>
      </c>
      <c r="AT1401" s="95">
        <v>0</v>
      </c>
      <c r="AU1401" s="95">
        <v>0</v>
      </c>
      <c r="AV1401" s="95">
        <v>0</v>
      </c>
      <c r="AW1401" s="95">
        <v>0</v>
      </c>
      <c r="AX1401" s="95">
        <v>0</v>
      </c>
      <c r="AY1401" s="95">
        <v>0</v>
      </c>
      <c r="AZ1401" s="95">
        <v>0</v>
      </c>
      <c r="BA1401" s="95">
        <v>0</v>
      </c>
      <c r="BB1401" s="95">
        <v>0</v>
      </c>
      <c r="BC1401" s="95">
        <v>0</v>
      </c>
      <c r="BD1401" s="95">
        <v>0</v>
      </c>
      <c r="BE1401" s="95">
        <v>0</v>
      </c>
    </row>
    <row r="1402" spans="2:57" ht="15" customHeight="1" x14ac:dyDescent="0.25">
      <c r="B1402" s="91">
        <v>1392</v>
      </c>
      <c r="C1402" s="92" t="s">
        <v>504</v>
      </c>
      <c r="D1402" s="92" t="s">
        <v>102</v>
      </c>
      <c r="E1402" s="92" t="s">
        <v>438</v>
      </c>
      <c r="F1402" s="92" t="s">
        <v>26</v>
      </c>
      <c r="G1402" s="101" t="s">
        <v>502</v>
      </c>
      <c r="H1402" s="94">
        <v>1083</v>
      </c>
      <c r="I1402" s="94">
        <v>846</v>
      </c>
      <c r="J1402" s="94">
        <v>237</v>
      </c>
      <c r="K1402" s="94">
        <v>80</v>
      </c>
      <c r="L1402" s="94">
        <v>391</v>
      </c>
      <c r="M1402" s="94">
        <v>551</v>
      </c>
      <c r="N1402" s="94">
        <v>61</v>
      </c>
      <c r="O1402" s="94">
        <v>1062</v>
      </c>
      <c r="P1402" s="94">
        <v>21</v>
      </c>
      <c r="Q1402" s="95">
        <v>0.29644268774703603</v>
      </c>
      <c r="R1402" s="95">
        <v>0.12594458438287201</v>
      </c>
      <c r="S1402" s="95">
        <v>0.91743119266055095</v>
      </c>
      <c r="T1402" s="95">
        <v>0</v>
      </c>
      <c r="U1402" s="95">
        <v>0.27100271002710002</v>
      </c>
      <c r="V1402" s="95">
        <v>0.39138943248532299</v>
      </c>
      <c r="W1402" s="95">
        <v>0</v>
      </c>
      <c r="X1402" s="95">
        <v>0.302724520686176</v>
      </c>
      <c r="Y1402" s="95">
        <v>0</v>
      </c>
      <c r="Z1402" s="94">
        <v>702</v>
      </c>
      <c r="AA1402" s="94">
        <v>463</v>
      </c>
      <c r="AB1402" s="94">
        <v>239</v>
      </c>
      <c r="AC1402" s="94">
        <v>57</v>
      </c>
      <c r="AD1402" s="94">
        <v>184</v>
      </c>
      <c r="AE1402" s="94">
        <v>400</v>
      </c>
      <c r="AF1402" s="94">
        <v>61</v>
      </c>
      <c r="AG1402" s="94">
        <v>314</v>
      </c>
      <c r="AH1402" s="94">
        <v>384</v>
      </c>
      <c r="AI1402" s="94">
        <v>4</v>
      </c>
      <c r="AJ1402" s="94">
        <v>685</v>
      </c>
      <c r="AK1402" s="94">
        <v>10</v>
      </c>
      <c r="AL1402" s="94">
        <v>7</v>
      </c>
      <c r="AM1402" s="94">
        <v>21</v>
      </c>
      <c r="AN1402" s="94">
        <v>670</v>
      </c>
      <c r="AO1402" s="94">
        <v>11</v>
      </c>
      <c r="AP1402" s="95">
        <v>4.4684129429892101</v>
      </c>
      <c r="AQ1402" s="95">
        <v>2.3364485981308398</v>
      </c>
      <c r="AR1402" s="95">
        <v>8.5972850678732993</v>
      </c>
      <c r="AS1402" s="95">
        <v>3.7735849056603801</v>
      </c>
      <c r="AT1402" s="95">
        <v>2.9411764705882399</v>
      </c>
      <c r="AU1402" s="95">
        <v>5.1771117166212504</v>
      </c>
      <c r="AV1402" s="95">
        <v>5.0847457627118704</v>
      </c>
      <c r="AW1402" s="95">
        <v>2.4390243902439002</v>
      </c>
      <c r="AX1402" s="95">
        <v>6.1111111111111098</v>
      </c>
      <c r="AY1402" s="95">
        <v>0</v>
      </c>
      <c r="AZ1402" s="95">
        <v>4.5813586097946297</v>
      </c>
      <c r="BA1402" s="95">
        <v>0</v>
      </c>
      <c r="BB1402" s="95">
        <v>0</v>
      </c>
      <c r="BC1402" s="95">
        <v>0</v>
      </c>
      <c r="BD1402" s="95">
        <v>4.7001620745542896</v>
      </c>
      <c r="BE1402" s="95">
        <v>0</v>
      </c>
    </row>
    <row r="1403" spans="2:57" ht="15" customHeight="1" x14ac:dyDescent="0.25">
      <c r="B1403" s="96">
        <v>1393</v>
      </c>
      <c r="C1403" s="97" t="s">
        <v>504</v>
      </c>
      <c r="D1403" s="104" t="s">
        <v>102</v>
      </c>
      <c r="E1403" s="104" t="s">
        <v>438</v>
      </c>
      <c r="F1403" s="104" t="s">
        <v>490</v>
      </c>
      <c r="G1403" s="105" t="s">
        <v>490</v>
      </c>
      <c r="H1403" s="106">
        <v>1009</v>
      </c>
      <c r="I1403" s="106">
        <v>749</v>
      </c>
      <c r="J1403" s="106">
        <v>260</v>
      </c>
      <c r="K1403" s="106">
        <v>85</v>
      </c>
      <c r="L1403" s="106">
        <v>335</v>
      </c>
      <c r="M1403" s="106">
        <v>518</v>
      </c>
      <c r="N1403" s="106">
        <v>71</v>
      </c>
      <c r="O1403" s="106">
        <v>1005</v>
      </c>
      <c r="P1403" s="106">
        <v>4</v>
      </c>
      <c r="Q1403" s="107">
        <v>1.51351351351351</v>
      </c>
      <c r="R1403" s="107">
        <v>1.5873015873015901</v>
      </c>
      <c r="S1403" s="107">
        <v>1.2931034482758601</v>
      </c>
      <c r="T1403" s="107">
        <v>1.3888888888888899</v>
      </c>
      <c r="U1403" s="107">
        <v>1.3114754098360699</v>
      </c>
      <c r="V1403" s="107">
        <v>1.8672199170124499</v>
      </c>
      <c r="W1403" s="107">
        <v>0</v>
      </c>
      <c r="X1403" s="107">
        <v>1.5200868621064101</v>
      </c>
      <c r="Y1403" s="107">
        <v>0</v>
      </c>
      <c r="Z1403" s="106">
        <v>1096</v>
      </c>
      <c r="AA1403" s="106">
        <v>704</v>
      </c>
      <c r="AB1403" s="106">
        <v>392</v>
      </c>
      <c r="AC1403" s="106">
        <v>83</v>
      </c>
      <c r="AD1403" s="106">
        <v>342</v>
      </c>
      <c r="AE1403" s="106">
        <v>563</v>
      </c>
      <c r="AF1403" s="106">
        <v>108</v>
      </c>
      <c r="AG1403" s="106">
        <v>393</v>
      </c>
      <c r="AH1403" s="106">
        <v>655</v>
      </c>
      <c r="AI1403" s="106">
        <v>48</v>
      </c>
      <c r="AJ1403" s="106">
        <v>1085</v>
      </c>
      <c r="AK1403" s="106">
        <v>5</v>
      </c>
      <c r="AL1403" s="106">
        <v>6</v>
      </c>
      <c r="AM1403" s="106">
        <v>77</v>
      </c>
      <c r="AN1403" s="106">
        <v>989</v>
      </c>
      <c r="AO1403" s="106">
        <v>30</v>
      </c>
      <c r="AP1403" s="107">
        <v>3.8240917782026802</v>
      </c>
      <c r="AQ1403" s="107">
        <v>2.2255192878338299</v>
      </c>
      <c r="AR1403" s="107">
        <v>6.7204301075268802</v>
      </c>
      <c r="AS1403" s="107">
        <v>3.8961038961039001</v>
      </c>
      <c r="AT1403" s="107">
        <v>3.42679127725857</v>
      </c>
      <c r="AU1403" s="107">
        <v>3.8602941176470602</v>
      </c>
      <c r="AV1403" s="107">
        <v>4.8076923076923102</v>
      </c>
      <c r="AW1403" s="107">
        <v>2.4128686327077702</v>
      </c>
      <c r="AX1403" s="107">
        <v>4.9520766773162901</v>
      </c>
      <c r="AY1403" s="107">
        <v>0</v>
      </c>
      <c r="AZ1403" s="107">
        <v>3.8610038610038599</v>
      </c>
      <c r="BA1403" s="107">
        <v>0</v>
      </c>
      <c r="BB1403" s="107">
        <v>0</v>
      </c>
      <c r="BC1403" s="107">
        <v>2.7397260273972601</v>
      </c>
      <c r="BD1403" s="107">
        <v>4.02969247083775</v>
      </c>
      <c r="BE1403" s="107">
        <v>0</v>
      </c>
    </row>
    <row r="1404" spans="2:57" ht="15" customHeight="1" x14ac:dyDescent="0.25">
      <c r="B1404" s="91">
        <v>1394</v>
      </c>
      <c r="C1404" s="92" t="s">
        <v>504</v>
      </c>
      <c r="D1404" s="92" t="s">
        <v>102</v>
      </c>
      <c r="E1404" s="92" t="s">
        <v>438</v>
      </c>
      <c r="F1404" s="92" t="s">
        <v>490</v>
      </c>
      <c r="G1404" s="101" t="s">
        <v>501</v>
      </c>
      <c r="H1404" s="94">
        <v>0</v>
      </c>
      <c r="I1404" s="94">
        <v>0</v>
      </c>
      <c r="J1404" s="94">
        <v>0</v>
      </c>
      <c r="K1404" s="94">
        <v>0</v>
      </c>
      <c r="L1404" s="94">
        <v>0</v>
      </c>
      <c r="M1404" s="94">
        <v>0</v>
      </c>
      <c r="N1404" s="94">
        <v>0</v>
      </c>
      <c r="O1404" s="94">
        <v>0</v>
      </c>
      <c r="P1404" s="94">
        <v>0</v>
      </c>
      <c r="Q1404" s="95">
        <v>0</v>
      </c>
      <c r="R1404" s="95">
        <v>0</v>
      </c>
      <c r="S1404" s="95">
        <v>0</v>
      </c>
      <c r="T1404" s="95">
        <v>0</v>
      </c>
      <c r="U1404" s="95">
        <v>0</v>
      </c>
      <c r="V1404" s="95">
        <v>0</v>
      </c>
      <c r="W1404" s="95">
        <v>0</v>
      </c>
      <c r="X1404" s="95">
        <v>0</v>
      </c>
      <c r="Y1404" s="95">
        <v>0</v>
      </c>
      <c r="Z1404" s="94">
        <v>0</v>
      </c>
      <c r="AA1404" s="94">
        <v>0</v>
      </c>
      <c r="AB1404" s="94">
        <v>0</v>
      </c>
      <c r="AC1404" s="94">
        <v>0</v>
      </c>
      <c r="AD1404" s="94">
        <v>0</v>
      </c>
      <c r="AE1404" s="94">
        <v>0</v>
      </c>
      <c r="AF1404" s="94">
        <v>0</v>
      </c>
      <c r="AG1404" s="94">
        <v>0</v>
      </c>
      <c r="AH1404" s="94">
        <v>0</v>
      </c>
      <c r="AI1404" s="94">
        <v>0</v>
      </c>
      <c r="AJ1404" s="94">
        <v>0</v>
      </c>
      <c r="AK1404" s="94">
        <v>0</v>
      </c>
      <c r="AL1404" s="94">
        <v>0</v>
      </c>
      <c r="AM1404" s="94">
        <v>0</v>
      </c>
      <c r="AN1404" s="94">
        <v>0</v>
      </c>
      <c r="AO1404" s="94">
        <v>0</v>
      </c>
      <c r="AP1404" s="95">
        <v>0</v>
      </c>
      <c r="AQ1404" s="95">
        <v>0</v>
      </c>
      <c r="AR1404" s="95">
        <v>0</v>
      </c>
      <c r="AS1404" s="95">
        <v>0</v>
      </c>
      <c r="AT1404" s="95">
        <v>0</v>
      </c>
      <c r="AU1404" s="95">
        <v>0</v>
      </c>
      <c r="AV1404" s="95">
        <v>0</v>
      </c>
      <c r="AW1404" s="95">
        <v>0</v>
      </c>
      <c r="AX1404" s="95">
        <v>0</v>
      </c>
      <c r="AY1404" s="95">
        <v>0</v>
      </c>
      <c r="AZ1404" s="95">
        <v>0</v>
      </c>
      <c r="BA1404" s="95">
        <v>0</v>
      </c>
      <c r="BB1404" s="95">
        <v>0</v>
      </c>
      <c r="BC1404" s="95">
        <v>0</v>
      </c>
      <c r="BD1404" s="95">
        <v>0</v>
      </c>
      <c r="BE1404" s="95">
        <v>0</v>
      </c>
    </row>
    <row r="1405" spans="2:57" ht="15" customHeight="1" x14ac:dyDescent="0.25">
      <c r="B1405" s="91">
        <v>1395</v>
      </c>
      <c r="C1405" s="92" t="s">
        <v>504</v>
      </c>
      <c r="D1405" s="92" t="s">
        <v>102</v>
      </c>
      <c r="E1405" s="92" t="s">
        <v>438</v>
      </c>
      <c r="F1405" s="92" t="s">
        <v>490</v>
      </c>
      <c r="G1405" s="101" t="s">
        <v>502</v>
      </c>
      <c r="H1405" s="94">
        <v>1009</v>
      </c>
      <c r="I1405" s="94">
        <v>749</v>
      </c>
      <c r="J1405" s="94">
        <v>260</v>
      </c>
      <c r="K1405" s="94">
        <v>85</v>
      </c>
      <c r="L1405" s="94">
        <v>335</v>
      </c>
      <c r="M1405" s="94">
        <v>518</v>
      </c>
      <c r="N1405" s="94">
        <v>71</v>
      </c>
      <c r="O1405" s="94">
        <v>1005</v>
      </c>
      <c r="P1405" s="94">
        <v>4</v>
      </c>
      <c r="Q1405" s="95">
        <v>1.51351351351351</v>
      </c>
      <c r="R1405" s="95">
        <v>1.5873015873015901</v>
      </c>
      <c r="S1405" s="95">
        <v>1.2931034482758601</v>
      </c>
      <c r="T1405" s="95">
        <v>1.3888888888888899</v>
      </c>
      <c r="U1405" s="95">
        <v>1.3114754098360699</v>
      </c>
      <c r="V1405" s="95">
        <v>1.8672199170124499</v>
      </c>
      <c r="W1405" s="95">
        <v>0</v>
      </c>
      <c r="X1405" s="95">
        <v>1.5200868621064101</v>
      </c>
      <c r="Y1405" s="95">
        <v>0</v>
      </c>
      <c r="Z1405" s="94">
        <v>1096</v>
      </c>
      <c r="AA1405" s="94">
        <v>704</v>
      </c>
      <c r="AB1405" s="94">
        <v>392</v>
      </c>
      <c r="AC1405" s="94">
        <v>83</v>
      </c>
      <c r="AD1405" s="94">
        <v>342</v>
      </c>
      <c r="AE1405" s="94">
        <v>563</v>
      </c>
      <c r="AF1405" s="94">
        <v>108</v>
      </c>
      <c r="AG1405" s="94">
        <v>393</v>
      </c>
      <c r="AH1405" s="94">
        <v>655</v>
      </c>
      <c r="AI1405" s="94">
        <v>48</v>
      </c>
      <c r="AJ1405" s="94">
        <v>1085</v>
      </c>
      <c r="AK1405" s="94">
        <v>5</v>
      </c>
      <c r="AL1405" s="94">
        <v>6</v>
      </c>
      <c r="AM1405" s="94">
        <v>77</v>
      </c>
      <c r="AN1405" s="94">
        <v>989</v>
      </c>
      <c r="AO1405" s="94">
        <v>30</v>
      </c>
      <c r="AP1405" s="95">
        <v>3.8240917782026802</v>
      </c>
      <c r="AQ1405" s="95">
        <v>2.2255192878338299</v>
      </c>
      <c r="AR1405" s="95">
        <v>6.7204301075268802</v>
      </c>
      <c r="AS1405" s="95">
        <v>3.8961038961039001</v>
      </c>
      <c r="AT1405" s="95">
        <v>3.42679127725857</v>
      </c>
      <c r="AU1405" s="95">
        <v>3.8602941176470602</v>
      </c>
      <c r="AV1405" s="95">
        <v>4.8076923076923102</v>
      </c>
      <c r="AW1405" s="95">
        <v>2.4128686327077702</v>
      </c>
      <c r="AX1405" s="95">
        <v>4.9520766773162901</v>
      </c>
      <c r="AY1405" s="95">
        <v>0</v>
      </c>
      <c r="AZ1405" s="95">
        <v>3.8610038610038599</v>
      </c>
      <c r="BA1405" s="95">
        <v>0</v>
      </c>
      <c r="BB1405" s="95">
        <v>0</v>
      </c>
      <c r="BC1405" s="95">
        <v>2.7397260273972601</v>
      </c>
      <c r="BD1405" s="95">
        <v>4.02969247083775</v>
      </c>
      <c r="BE1405" s="95">
        <v>0</v>
      </c>
    </row>
    <row r="1406" spans="2:57" ht="15" customHeight="1" x14ac:dyDescent="0.25">
      <c r="B1406" s="96">
        <v>1396</v>
      </c>
      <c r="C1406" s="97" t="s">
        <v>504</v>
      </c>
      <c r="D1406" s="104" t="s">
        <v>102</v>
      </c>
      <c r="E1406" s="104" t="s">
        <v>438</v>
      </c>
      <c r="F1406" s="104" t="s">
        <v>24</v>
      </c>
      <c r="G1406" s="105" t="s">
        <v>24</v>
      </c>
      <c r="H1406" s="106">
        <v>1003</v>
      </c>
      <c r="I1406" s="106">
        <v>829</v>
      </c>
      <c r="J1406" s="106">
        <v>174</v>
      </c>
      <c r="K1406" s="106">
        <v>94</v>
      </c>
      <c r="L1406" s="106">
        <v>347</v>
      </c>
      <c r="M1406" s="106">
        <v>517</v>
      </c>
      <c r="N1406" s="106">
        <v>45</v>
      </c>
      <c r="O1406" s="106">
        <v>996</v>
      </c>
      <c r="P1406" s="106">
        <v>7</v>
      </c>
      <c r="Q1406" s="107">
        <v>0.120192307692308</v>
      </c>
      <c r="R1406" s="107">
        <v>0.146842878120411</v>
      </c>
      <c r="S1406" s="107">
        <v>0</v>
      </c>
      <c r="T1406" s="107">
        <v>0</v>
      </c>
      <c r="U1406" s="107">
        <v>0</v>
      </c>
      <c r="V1406" s="107">
        <v>0.237529691211401</v>
      </c>
      <c r="W1406" s="107">
        <v>0</v>
      </c>
      <c r="X1406" s="107">
        <v>0.12106537530266299</v>
      </c>
      <c r="Y1406" s="107">
        <v>0</v>
      </c>
      <c r="Z1406" s="106">
        <v>1040</v>
      </c>
      <c r="AA1406" s="106">
        <v>726</v>
      </c>
      <c r="AB1406" s="106">
        <v>314</v>
      </c>
      <c r="AC1406" s="106">
        <v>70</v>
      </c>
      <c r="AD1406" s="106">
        <v>328</v>
      </c>
      <c r="AE1406" s="106">
        <v>578</v>
      </c>
      <c r="AF1406" s="106">
        <v>64</v>
      </c>
      <c r="AG1406" s="106">
        <v>283</v>
      </c>
      <c r="AH1406" s="106">
        <v>728</v>
      </c>
      <c r="AI1406" s="106">
        <v>29</v>
      </c>
      <c r="AJ1406" s="106">
        <v>1022</v>
      </c>
      <c r="AK1406" s="106">
        <v>11</v>
      </c>
      <c r="AL1406" s="106">
        <v>7</v>
      </c>
      <c r="AM1406" s="106">
        <v>36</v>
      </c>
      <c r="AN1406" s="106">
        <v>962</v>
      </c>
      <c r="AO1406" s="106">
        <v>42</v>
      </c>
      <c r="AP1406" s="107">
        <v>0.81466395112016299</v>
      </c>
      <c r="AQ1406" s="107">
        <v>0.43668122270742399</v>
      </c>
      <c r="AR1406" s="107">
        <v>1.6949152542372901</v>
      </c>
      <c r="AS1406" s="107">
        <v>1.5384615384615401</v>
      </c>
      <c r="AT1406" s="107">
        <v>0.63897763578274802</v>
      </c>
      <c r="AU1406" s="107">
        <v>0.92250922509225097</v>
      </c>
      <c r="AV1406" s="107">
        <v>0</v>
      </c>
      <c r="AW1406" s="107">
        <v>0</v>
      </c>
      <c r="AX1406" s="107">
        <v>1.1661807580174901</v>
      </c>
      <c r="AY1406" s="107">
        <v>0</v>
      </c>
      <c r="AZ1406" s="107">
        <v>0.82901554404145095</v>
      </c>
      <c r="BA1406" s="107">
        <v>0</v>
      </c>
      <c r="BB1406" s="107">
        <v>0</v>
      </c>
      <c r="BC1406" s="107">
        <v>0</v>
      </c>
      <c r="BD1406" s="107">
        <v>0.88300220750551905</v>
      </c>
      <c r="BE1406" s="107">
        <v>0</v>
      </c>
    </row>
    <row r="1407" spans="2:57" ht="15" customHeight="1" x14ac:dyDescent="0.25">
      <c r="B1407" s="91">
        <v>1397</v>
      </c>
      <c r="C1407" s="92" t="s">
        <v>504</v>
      </c>
      <c r="D1407" s="92" t="s">
        <v>102</v>
      </c>
      <c r="E1407" s="92" t="s">
        <v>438</v>
      </c>
      <c r="F1407" s="92" t="s">
        <v>24</v>
      </c>
      <c r="G1407" s="101" t="s">
        <v>501</v>
      </c>
      <c r="H1407" s="94">
        <v>0</v>
      </c>
      <c r="I1407" s="94">
        <v>0</v>
      </c>
      <c r="J1407" s="94">
        <v>0</v>
      </c>
      <c r="K1407" s="94">
        <v>0</v>
      </c>
      <c r="L1407" s="94">
        <v>0</v>
      </c>
      <c r="M1407" s="94">
        <v>0</v>
      </c>
      <c r="N1407" s="94">
        <v>0</v>
      </c>
      <c r="O1407" s="94">
        <v>0</v>
      </c>
      <c r="P1407" s="94">
        <v>0</v>
      </c>
      <c r="Q1407" s="95">
        <v>0</v>
      </c>
      <c r="R1407" s="95">
        <v>0</v>
      </c>
      <c r="S1407" s="95">
        <v>0</v>
      </c>
      <c r="T1407" s="95">
        <v>0</v>
      </c>
      <c r="U1407" s="95">
        <v>0</v>
      </c>
      <c r="V1407" s="95">
        <v>0</v>
      </c>
      <c r="W1407" s="95">
        <v>0</v>
      </c>
      <c r="X1407" s="95">
        <v>0</v>
      </c>
      <c r="Y1407" s="95">
        <v>0</v>
      </c>
      <c r="Z1407" s="94">
        <v>0</v>
      </c>
      <c r="AA1407" s="94">
        <v>0</v>
      </c>
      <c r="AB1407" s="94">
        <v>0</v>
      </c>
      <c r="AC1407" s="94">
        <v>0</v>
      </c>
      <c r="AD1407" s="94">
        <v>0</v>
      </c>
      <c r="AE1407" s="94">
        <v>0</v>
      </c>
      <c r="AF1407" s="94">
        <v>0</v>
      </c>
      <c r="AG1407" s="94">
        <v>0</v>
      </c>
      <c r="AH1407" s="94">
        <v>0</v>
      </c>
      <c r="AI1407" s="94">
        <v>0</v>
      </c>
      <c r="AJ1407" s="94">
        <v>0</v>
      </c>
      <c r="AK1407" s="94">
        <v>0</v>
      </c>
      <c r="AL1407" s="94">
        <v>0</v>
      </c>
      <c r="AM1407" s="94">
        <v>0</v>
      </c>
      <c r="AN1407" s="94">
        <v>0</v>
      </c>
      <c r="AO1407" s="94">
        <v>0</v>
      </c>
      <c r="AP1407" s="95">
        <v>0</v>
      </c>
      <c r="AQ1407" s="95">
        <v>0</v>
      </c>
      <c r="AR1407" s="95">
        <v>0</v>
      </c>
      <c r="AS1407" s="95">
        <v>0</v>
      </c>
      <c r="AT1407" s="95">
        <v>0</v>
      </c>
      <c r="AU1407" s="95">
        <v>0</v>
      </c>
      <c r="AV1407" s="95">
        <v>0</v>
      </c>
      <c r="AW1407" s="95">
        <v>0</v>
      </c>
      <c r="AX1407" s="95">
        <v>0</v>
      </c>
      <c r="AY1407" s="95">
        <v>0</v>
      </c>
      <c r="AZ1407" s="95">
        <v>0</v>
      </c>
      <c r="BA1407" s="95">
        <v>0</v>
      </c>
      <c r="BB1407" s="95">
        <v>0</v>
      </c>
      <c r="BC1407" s="95">
        <v>0</v>
      </c>
      <c r="BD1407" s="95">
        <v>0</v>
      </c>
      <c r="BE1407" s="95">
        <v>0</v>
      </c>
    </row>
    <row r="1408" spans="2:57" ht="15" customHeight="1" x14ac:dyDescent="0.25">
      <c r="B1408" s="108">
        <v>1398</v>
      </c>
      <c r="C1408" s="109" t="s">
        <v>504</v>
      </c>
      <c r="D1408" s="109" t="s">
        <v>102</v>
      </c>
      <c r="E1408" s="109" t="s">
        <v>438</v>
      </c>
      <c r="F1408" s="109" t="s">
        <v>24</v>
      </c>
      <c r="G1408" s="110" t="s">
        <v>502</v>
      </c>
      <c r="H1408" s="111">
        <v>1003</v>
      </c>
      <c r="I1408" s="111">
        <v>829</v>
      </c>
      <c r="J1408" s="111">
        <v>174</v>
      </c>
      <c r="K1408" s="111">
        <v>94</v>
      </c>
      <c r="L1408" s="111">
        <v>347</v>
      </c>
      <c r="M1408" s="111">
        <v>517</v>
      </c>
      <c r="N1408" s="111">
        <v>45</v>
      </c>
      <c r="O1408" s="111">
        <v>996</v>
      </c>
      <c r="P1408" s="111">
        <v>7</v>
      </c>
      <c r="Q1408" s="112">
        <v>0.120192307692308</v>
      </c>
      <c r="R1408" s="112">
        <v>0.146842878120411</v>
      </c>
      <c r="S1408" s="112">
        <v>0</v>
      </c>
      <c r="T1408" s="112">
        <v>0</v>
      </c>
      <c r="U1408" s="112">
        <v>0</v>
      </c>
      <c r="V1408" s="112">
        <v>0.237529691211401</v>
      </c>
      <c r="W1408" s="112">
        <v>0</v>
      </c>
      <c r="X1408" s="112">
        <v>0.12106537530266299</v>
      </c>
      <c r="Y1408" s="112">
        <v>0</v>
      </c>
      <c r="Z1408" s="111">
        <v>1040</v>
      </c>
      <c r="AA1408" s="111">
        <v>726</v>
      </c>
      <c r="AB1408" s="111">
        <v>314</v>
      </c>
      <c r="AC1408" s="111">
        <v>70</v>
      </c>
      <c r="AD1408" s="111">
        <v>328</v>
      </c>
      <c r="AE1408" s="111">
        <v>578</v>
      </c>
      <c r="AF1408" s="111">
        <v>64</v>
      </c>
      <c r="AG1408" s="111">
        <v>283</v>
      </c>
      <c r="AH1408" s="111">
        <v>728</v>
      </c>
      <c r="AI1408" s="111">
        <v>29</v>
      </c>
      <c r="AJ1408" s="111">
        <v>1022</v>
      </c>
      <c r="AK1408" s="111">
        <v>11</v>
      </c>
      <c r="AL1408" s="111">
        <v>7</v>
      </c>
      <c r="AM1408" s="111">
        <v>36</v>
      </c>
      <c r="AN1408" s="111">
        <v>962</v>
      </c>
      <c r="AO1408" s="111">
        <v>42</v>
      </c>
      <c r="AP1408" s="112">
        <v>0.81466395112016299</v>
      </c>
      <c r="AQ1408" s="112">
        <v>0.43668122270742399</v>
      </c>
      <c r="AR1408" s="112">
        <v>1.6949152542372901</v>
      </c>
      <c r="AS1408" s="112">
        <v>1.5384615384615401</v>
      </c>
      <c r="AT1408" s="112">
        <v>0.63897763578274802</v>
      </c>
      <c r="AU1408" s="112">
        <v>0.92250922509225097</v>
      </c>
      <c r="AV1408" s="112">
        <v>0</v>
      </c>
      <c r="AW1408" s="112">
        <v>0</v>
      </c>
      <c r="AX1408" s="112">
        <v>1.1661807580174901</v>
      </c>
      <c r="AY1408" s="112">
        <v>0</v>
      </c>
      <c r="AZ1408" s="112">
        <v>0.82901554404145095</v>
      </c>
      <c r="BA1408" s="112">
        <v>0</v>
      </c>
      <c r="BB1408" s="112">
        <v>0</v>
      </c>
      <c r="BC1408" s="112">
        <v>0</v>
      </c>
      <c r="BD1408" s="112">
        <v>0.88300220750551905</v>
      </c>
      <c r="BE1408" s="112">
        <v>0</v>
      </c>
    </row>
    <row r="1409" spans="1:61" s="117" customFormat="1" ht="14.4" x14ac:dyDescent="0.3">
      <c r="A1409" s="113"/>
      <c r="B1409" s="114" t="s">
        <v>539</v>
      </c>
      <c r="C1409" s="115"/>
      <c r="D1409" s="113"/>
      <c r="E1409" s="115"/>
      <c r="F1409" s="115"/>
      <c r="G1409" s="116"/>
      <c r="Q1409" s="118"/>
      <c r="R1409" s="118"/>
      <c r="S1409" s="118"/>
      <c r="T1409" s="118"/>
      <c r="U1409" s="118"/>
      <c r="V1409" s="118"/>
      <c r="W1409" s="118"/>
      <c r="X1409" s="118"/>
      <c r="Y1409" s="118"/>
      <c r="AP1409" s="118"/>
      <c r="AQ1409" s="118"/>
      <c r="AR1409" s="118"/>
      <c r="AS1409" s="118"/>
      <c r="AT1409" s="118"/>
      <c r="AU1409" s="118"/>
      <c r="AV1409" s="118"/>
      <c r="AW1409" s="118"/>
      <c r="AX1409" s="118"/>
      <c r="AY1409" s="118"/>
      <c r="AZ1409" s="118"/>
      <c r="BA1409" s="118"/>
      <c r="BB1409" s="118"/>
      <c r="BC1409" s="118"/>
      <c r="BD1409" s="118"/>
      <c r="BE1409" s="118"/>
    </row>
    <row r="1410" spans="1:61" s="117" customFormat="1" ht="35.25" customHeight="1" x14ac:dyDescent="0.3">
      <c r="A1410" s="113"/>
      <c r="B1410" s="150" t="s">
        <v>540</v>
      </c>
      <c r="C1410" s="150"/>
      <c r="D1410" s="150"/>
      <c r="E1410" s="150"/>
      <c r="F1410" s="150"/>
      <c r="G1410" s="150"/>
      <c r="Q1410" s="119"/>
      <c r="R1410" s="119"/>
      <c r="S1410" s="119"/>
      <c r="T1410" s="119"/>
      <c r="U1410" s="119"/>
      <c r="V1410" s="119"/>
      <c r="W1410" s="119"/>
      <c r="X1410" s="119"/>
      <c r="Y1410" s="119"/>
      <c r="AP1410" s="119"/>
      <c r="AQ1410" s="119"/>
      <c r="AR1410" s="119"/>
      <c r="AS1410" s="119"/>
      <c r="AT1410" s="119"/>
      <c r="AU1410" s="119"/>
      <c r="AV1410" s="119"/>
      <c r="AW1410" s="119"/>
      <c r="AX1410" s="119"/>
      <c r="AY1410" s="119"/>
      <c r="AZ1410" s="119"/>
      <c r="BA1410" s="119"/>
      <c r="BB1410" s="119"/>
      <c r="BC1410" s="119"/>
      <c r="BD1410" s="119"/>
      <c r="BE1410" s="119"/>
    </row>
    <row r="1411" spans="1:61" s="121" customFormat="1" ht="15" customHeight="1" x14ac:dyDescent="0.3">
      <c r="A1411" s="120"/>
      <c r="B1411" s="150" t="s">
        <v>541</v>
      </c>
      <c r="C1411" s="150"/>
      <c r="D1411" s="150"/>
      <c r="E1411" s="150"/>
      <c r="F1411" s="150"/>
      <c r="G1411" s="150"/>
      <c r="Q1411" s="122"/>
      <c r="R1411" s="122"/>
      <c r="S1411" s="122"/>
      <c r="T1411" s="122"/>
      <c r="U1411" s="122"/>
      <c r="V1411" s="122"/>
      <c r="W1411" s="122"/>
      <c r="X1411" s="122"/>
      <c r="Y1411" s="122"/>
      <c r="AP1411" s="122"/>
      <c r="AQ1411" s="122"/>
      <c r="AR1411" s="122"/>
      <c r="AS1411" s="122"/>
      <c r="AT1411" s="122"/>
      <c r="AU1411" s="122"/>
      <c r="AV1411" s="122"/>
      <c r="AW1411" s="122"/>
      <c r="AX1411" s="122"/>
      <c r="AY1411" s="122"/>
      <c r="AZ1411" s="122"/>
      <c r="BA1411" s="122"/>
      <c r="BB1411" s="122"/>
      <c r="BC1411" s="122"/>
      <c r="BD1411" s="122"/>
      <c r="BE1411" s="122"/>
    </row>
    <row r="1412" spans="1:61" s="121" customFormat="1" ht="14.4" x14ac:dyDescent="0.3">
      <c r="A1412" s="120"/>
      <c r="B1412" s="123" t="s">
        <v>542</v>
      </c>
      <c r="C1412" s="124"/>
      <c r="D1412" s="124"/>
      <c r="E1412" s="124"/>
      <c r="F1412" s="124"/>
      <c r="G1412" s="124"/>
      <c r="Q1412" s="122"/>
      <c r="R1412" s="122"/>
      <c r="S1412" s="122"/>
      <c r="T1412" s="122"/>
      <c r="U1412" s="122"/>
      <c r="V1412" s="122"/>
      <c r="W1412" s="122"/>
      <c r="X1412" s="122"/>
      <c r="Y1412" s="122"/>
      <c r="AP1412" s="122"/>
      <c r="AQ1412" s="122"/>
      <c r="AR1412" s="122"/>
      <c r="AS1412" s="122"/>
      <c r="AT1412" s="122"/>
      <c r="AU1412" s="122"/>
      <c r="AV1412" s="122"/>
      <c r="AW1412" s="122"/>
      <c r="AX1412" s="122"/>
      <c r="AY1412" s="122"/>
      <c r="AZ1412" s="122"/>
      <c r="BA1412" s="122"/>
      <c r="BB1412" s="122"/>
      <c r="BC1412" s="122"/>
      <c r="BD1412" s="122"/>
      <c r="BE1412" s="122"/>
    </row>
    <row r="1413" spans="1:61" s="65" customFormat="1" ht="15" customHeight="1" x14ac:dyDescent="0.3">
      <c r="A1413" s="125"/>
      <c r="B1413" s="123" t="s">
        <v>543</v>
      </c>
      <c r="C1413" s="123"/>
      <c r="D1413" s="123"/>
      <c r="E1413" s="123"/>
      <c r="F1413" s="123"/>
      <c r="G1413" s="123"/>
      <c r="H1413" s="61"/>
      <c r="I1413" s="61"/>
      <c r="J1413" s="61"/>
      <c r="K1413" s="61"/>
      <c r="L1413" s="61"/>
      <c r="M1413" s="61"/>
      <c r="N1413" s="61"/>
      <c r="O1413" s="61"/>
      <c r="P1413" s="61"/>
      <c r="Q1413" s="61"/>
      <c r="R1413" s="61"/>
      <c r="S1413" s="61"/>
      <c r="T1413" s="61"/>
      <c r="U1413" s="61"/>
      <c r="V1413" s="61"/>
      <c r="W1413" s="61"/>
      <c r="X1413" s="61"/>
      <c r="Y1413" s="61"/>
      <c r="Z1413" s="61"/>
      <c r="AA1413" s="61"/>
      <c r="AB1413" s="61"/>
      <c r="AC1413" s="61"/>
      <c r="AD1413" s="61"/>
      <c r="AE1413" s="61"/>
      <c r="AF1413" s="61"/>
      <c r="AG1413" s="61"/>
      <c r="AH1413" s="61"/>
      <c r="AI1413" s="61"/>
      <c r="AJ1413" s="61"/>
      <c r="AK1413" s="61"/>
      <c r="AL1413" s="61"/>
      <c r="AM1413" s="61"/>
      <c r="AN1413" s="61"/>
      <c r="AO1413" s="61"/>
      <c r="AP1413" s="61"/>
      <c r="AQ1413" s="61"/>
      <c r="AR1413" s="61"/>
      <c r="AS1413" s="63"/>
      <c r="AT1413" s="63"/>
      <c r="AU1413" s="63"/>
      <c r="AV1413" s="63"/>
      <c r="AW1413" s="63"/>
      <c r="AX1413" s="63"/>
      <c r="AY1413" s="63"/>
      <c r="AZ1413" s="63"/>
      <c r="BA1413" s="63"/>
      <c r="BB1413" s="63"/>
      <c r="BC1413" s="63"/>
      <c r="BD1413" s="63"/>
      <c r="BE1413" s="63"/>
      <c r="BF1413" s="63"/>
      <c r="BG1413" s="63"/>
      <c r="BH1413" s="63"/>
      <c r="BI1413" s="63"/>
    </row>
    <row r="1414" spans="1:61" x14ac:dyDescent="0.25">
      <c r="B1414" s="126"/>
    </row>
  </sheetData>
  <autoFilter ref="B6:G9" xr:uid="{37E785C7-00E2-4470-B167-ACA3F5675192}"/>
  <mergeCells count="34">
    <mergeCell ref="AZ8:BB8"/>
    <mergeCell ref="BC8:BE8"/>
    <mergeCell ref="AQ8:AR8"/>
    <mergeCell ref="AS8:AV8"/>
    <mergeCell ref="G6:G9"/>
    <mergeCell ref="H6:Y6"/>
    <mergeCell ref="Z6:BE6"/>
    <mergeCell ref="H7:P7"/>
    <mergeCell ref="Q7:Y7"/>
    <mergeCell ref="Z7:AO7"/>
    <mergeCell ref="AP7:BE7"/>
    <mergeCell ref="AW8:AY8"/>
    <mergeCell ref="T8:W8"/>
    <mergeCell ref="X8:Y8"/>
    <mergeCell ref="Z8:Z9"/>
    <mergeCell ref="AA8:AB8"/>
    <mergeCell ref="AM8:AO8"/>
    <mergeCell ref="AP8:AP9"/>
    <mergeCell ref="R8:S8"/>
    <mergeCell ref="H8:H9"/>
    <mergeCell ref="I8:J8"/>
    <mergeCell ref="K8:N8"/>
    <mergeCell ref="O8:P8"/>
    <mergeCell ref="Q8:Q9"/>
    <mergeCell ref="AC8:AF8"/>
    <mergeCell ref="AG8:AI8"/>
    <mergeCell ref="B1410:G1410"/>
    <mergeCell ref="B1411:G1411"/>
    <mergeCell ref="AJ8:AL8"/>
    <mergeCell ref="B6:B9"/>
    <mergeCell ref="C6:C9"/>
    <mergeCell ref="D6:D9"/>
    <mergeCell ref="E6:E9"/>
    <mergeCell ref="F6:F9"/>
  </mergeCells>
  <hyperlinks>
    <hyperlink ref="A2" location="Índice!B5" display="Índice" xr:uid="{657EBA80-3407-445D-8D82-266B6A2AC7B1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E27A8-263A-408A-BDF4-12F79B1CB5BE}">
  <dimension ref="A1:R349"/>
  <sheetViews>
    <sheetView workbookViewId="0">
      <selection activeCell="D6" sqref="D6"/>
    </sheetView>
  </sheetViews>
  <sheetFormatPr baseColWidth="10" defaultColWidth="11" defaultRowHeight="14.4" x14ac:dyDescent="0.3"/>
  <cols>
    <col min="1" max="1" width="8.69921875" style="132" customWidth="1"/>
    <col min="2" max="2" width="14" style="132" customWidth="1"/>
    <col min="3" max="3" width="15.69921875" style="132" customWidth="1"/>
    <col min="4" max="4" width="24.5" style="132" customWidth="1"/>
    <col min="5" max="5" width="14" style="132" customWidth="1"/>
    <col min="6" max="6" width="22.09765625" style="132" customWidth="1"/>
    <col min="7" max="7" width="35.09765625" style="132" customWidth="1"/>
    <col min="8" max="8" width="14" style="132" customWidth="1"/>
    <col min="9" max="9" width="22.09765625" style="132" customWidth="1"/>
    <col min="10" max="10" width="28.5" style="132" customWidth="1"/>
    <col min="11" max="14" width="11" style="132"/>
    <col min="15" max="15" width="21.19921875" style="132" customWidth="1"/>
    <col min="16" max="16" width="14.5" style="132" customWidth="1"/>
    <col min="17" max="17" width="20.19921875" style="132" customWidth="1"/>
    <col min="18" max="18" width="16.8984375" style="132" customWidth="1"/>
    <col min="19" max="16384" width="11" style="132"/>
  </cols>
  <sheetData>
    <row r="1" spans="1:18" ht="74.25" customHeight="1" x14ac:dyDescent="0.3">
      <c r="A1" s="134" t="s">
        <v>306</v>
      </c>
      <c r="B1" s="139" t="s">
        <v>338</v>
      </c>
      <c r="C1" s="139" t="s">
        <v>339</v>
      </c>
      <c r="D1" s="139" t="s">
        <v>340</v>
      </c>
      <c r="E1" s="139" t="s">
        <v>544</v>
      </c>
      <c r="F1" s="139" t="s">
        <v>549</v>
      </c>
      <c r="G1" s="139" t="s">
        <v>547</v>
      </c>
      <c r="H1" s="139" t="s">
        <v>545</v>
      </c>
      <c r="I1" s="139" t="s">
        <v>550</v>
      </c>
      <c r="J1" s="139" t="s">
        <v>548</v>
      </c>
      <c r="L1" s="140" t="s">
        <v>3</v>
      </c>
      <c r="M1" s="142" t="s">
        <v>544</v>
      </c>
      <c r="N1" s="140" t="s">
        <v>549</v>
      </c>
      <c r="O1" s="140" t="s">
        <v>547</v>
      </c>
      <c r="P1" s="140" t="s">
        <v>545</v>
      </c>
      <c r="Q1" s="139" t="s">
        <v>550</v>
      </c>
      <c r="R1" s="139" t="s">
        <v>548</v>
      </c>
    </row>
    <row r="2" spans="1:18" x14ac:dyDescent="0.3">
      <c r="A2" s="134">
        <v>10101</v>
      </c>
      <c r="B2" s="134" t="s">
        <v>27</v>
      </c>
      <c r="C2" s="134" t="s">
        <v>341</v>
      </c>
      <c r="D2" s="134" t="s">
        <v>11</v>
      </c>
      <c r="E2" s="135">
        <v>103479</v>
      </c>
      <c r="F2" s="135">
        <f>E2*(G2/100)</f>
        <v>2633.7516390362052</v>
      </c>
      <c r="G2" s="136">
        <v>2.5452039921493301</v>
      </c>
      <c r="H2" s="135">
        <v>142905</v>
      </c>
      <c r="I2" s="135">
        <f>H2*(J2/100)</f>
        <v>9010.117206325298</v>
      </c>
      <c r="J2" s="136">
        <v>6.3049698795180698</v>
      </c>
      <c r="L2" s="7" t="s">
        <v>27</v>
      </c>
      <c r="M2" s="143">
        <f>SUM(E2:E30)</f>
        <v>236745</v>
      </c>
      <c r="N2" s="144">
        <f>M2*(O2/100)</f>
        <v>3292.2805707012299</v>
      </c>
      <c r="O2" s="145">
        <v>1.3906441828554901</v>
      </c>
      <c r="P2" s="144">
        <f t="shared" ref="P2" si="0">SUM(H2:H30)</f>
        <v>313972</v>
      </c>
      <c r="Q2" s="144">
        <f>P2*(R2/100)</f>
        <v>11988.493528308156</v>
      </c>
      <c r="R2" s="145">
        <v>3.8183320577338602</v>
      </c>
    </row>
    <row r="3" spans="1:18" x14ac:dyDescent="0.3">
      <c r="A3" s="134">
        <v>10102</v>
      </c>
      <c r="B3" s="134" t="s">
        <v>27</v>
      </c>
      <c r="C3" s="134" t="s">
        <v>341</v>
      </c>
      <c r="D3" s="134" t="s">
        <v>39</v>
      </c>
      <c r="E3" s="135">
        <v>3995</v>
      </c>
      <c r="F3" s="135">
        <f t="shared" ref="F3:F66" si="1">E3*(G3/100)</f>
        <v>40.246553552492124</v>
      </c>
      <c r="G3" s="136">
        <v>1.0074231177094399</v>
      </c>
      <c r="H3" s="135">
        <v>5320</v>
      </c>
      <c r="I3" s="135">
        <f t="shared" ref="I3:I66" si="2">H3*(J3/100)</f>
        <v>151.7891816920941</v>
      </c>
      <c r="J3" s="136">
        <v>2.85318010699425</v>
      </c>
      <c r="L3" s="7" t="s">
        <v>43</v>
      </c>
      <c r="M3" s="143">
        <f>+SUM(E31:E117)</f>
        <v>1332779</v>
      </c>
      <c r="N3" s="144">
        <f t="shared" ref="N3:N10" si="3">M3*(O3/100)</f>
        <v>21136.518373211089</v>
      </c>
      <c r="O3" s="145">
        <v>1.5858982151737899</v>
      </c>
      <c r="P3" s="144">
        <f t="shared" ref="P3" si="4">+SUM(H31:H117)</f>
        <v>1677816</v>
      </c>
      <c r="Q3" s="144">
        <f t="shared" ref="Q3:Q9" si="5">P3*(R3/100)</f>
        <v>74840.0621681091</v>
      </c>
      <c r="R3" s="148">
        <v>4.4605643388851401</v>
      </c>
    </row>
    <row r="4" spans="1:18" x14ac:dyDescent="0.3">
      <c r="A4" s="134">
        <v>10103</v>
      </c>
      <c r="B4" s="134" t="s">
        <v>27</v>
      </c>
      <c r="C4" s="134" t="s">
        <v>341</v>
      </c>
      <c r="D4" s="134" t="s">
        <v>18</v>
      </c>
      <c r="E4" s="135">
        <v>6614</v>
      </c>
      <c r="F4" s="135">
        <f t="shared" si="1"/>
        <v>7.3958466453674241</v>
      </c>
      <c r="G4" s="136">
        <v>0.11182108626198101</v>
      </c>
      <c r="H4" s="135">
        <v>7659</v>
      </c>
      <c r="I4" s="135">
        <f t="shared" si="2"/>
        <v>69.693467336683398</v>
      </c>
      <c r="J4" s="136">
        <v>0.90995518131196496</v>
      </c>
      <c r="L4" s="7" t="s">
        <v>51</v>
      </c>
      <c r="M4" s="143">
        <f>+SUM(E118:E165)</f>
        <v>789487</v>
      </c>
      <c r="N4" s="144">
        <f t="shared" si="3"/>
        <v>10880.416135684976</v>
      </c>
      <c r="O4" s="145">
        <v>1.37816279884089</v>
      </c>
      <c r="P4" s="144">
        <f t="shared" ref="P4" si="6">+SUM(H118:H165)</f>
        <v>1045670</v>
      </c>
      <c r="Q4" s="144">
        <f t="shared" si="5"/>
        <v>54610.882167789328</v>
      </c>
      <c r="R4" s="148">
        <v>5.2225732944226504</v>
      </c>
    </row>
    <row r="5" spans="1:18" x14ac:dyDescent="0.3">
      <c r="A5" s="134">
        <v>10201</v>
      </c>
      <c r="B5" s="134" t="s">
        <v>27</v>
      </c>
      <c r="C5" s="134" t="s">
        <v>31</v>
      </c>
      <c r="D5" s="134" t="s">
        <v>307</v>
      </c>
      <c r="E5" s="135">
        <v>3782</v>
      </c>
      <c r="F5" s="135">
        <f t="shared" si="1"/>
        <v>21.476433844406571</v>
      </c>
      <c r="G5" s="136">
        <v>0.56785917092561</v>
      </c>
      <c r="H5" s="135">
        <v>4206</v>
      </c>
      <c r="I5" s="135">
        <f t="shared" si="2"/>
        <v>48.666174298375303</v>
      </c>
      <c r="J5" s="136">
        <v>1.15706548498277</v>
      </c>
      <c r="L5" s="7" t="s">
        <v>57</v>
      </c>
      <c r="M5" s="143">
        <f>+SUM(E166:E200)</f>
        <v>218002</v>
      </c>
      <c r="N5" s="144">
        <f t="shared" si="3"/>
        <v>3094.6086244381781</v>
      </c>
      <c r="O5" s="145">
        <v>1.4195322173366201</v>
      </c>
      <c r="P5" s="144">
        <f t="shared" ref="P5" si="7">+SUM(H166:H200)</f>
        <v>290202</v>
      </c>
      <c r="Q5" s="144">
        <f t="shared" si="5"/>
        <v>13884.188928896796</v>
      </c>
      <c r="R5" s="148">
        <v>4.7843188292626504</v>
      </c>
    </row>
    <row r="6" spans="1:18" x14ac:dyDescent="0.3">
      <c r="A6" s="134">
        <v>10202</v>
      </c>
      <c r="B6" s="134" t="s">
        <v>27</v>
      </c>
      <c r="C6" s="134" t="s">
        <v>31</v>
      </c>
      <c r="D6" s="134" t="s">
        <v>65</v>
      </c>
      <c r="E6" s="135">
        <v>5770</v>
      </c>
      <c r="F6" s="135">
        <f t="shared" si="1"/>
        <v>7.3704379562043645</v>
      </c>
      <c r="G6" s="136">
        <v>0.127737226277372</v>
      </c>
      <c r="H6" s="135">
        <v>8950</v>
      </c>
      <c r="I6" s="135">
        <f t="shared" si="2"/>
        <v>88.438735177865652</v>
      </c>
      <c r="J6" s="136">
        <v>0.98814229249011898</v>
      </c>
      <c r="L6" s="7" t="s">
        <v>68</v>
      </c>
      <c r="M6" s="143">
        <f>+SUM(E201:E242)</f>
        <v>353488</v>
      </c>
      <c r="N6" s="144">
        <f t="shared" si="3"/>
        <v>3422.9778361656154</v>
      </c>
      <c r="O6" s="145">
        <v>0.968343433487308</v>
      </c>
      <c r="P6" s="144">
        <f t="shared" ref="P6" si="8">+SUM(H201:H242)</f>
        <v>434599</v>
      </c>
      <c r="Q6" s="144">
        <f t="shared" si="5"/>
        <v>16378.298527898118</v>
      </c>
      <c r="R6" s="148">
        <v>3.7686001412562198</v>
      </c>
    </row>
    <row r="7" spans="1:18" x14ac:dyDescent="0.3">
      <c r="A7" s="134">
        <v>10301</v>
      </c>
      <c r="B7" s="134" t="s">
        <v>27</v>
      </c>
      <c r="C7" s="134" t="s">
        <v>342</v>
      </c>
      <c r="D7" s="134" t="s">
        <v>72</v>
      </c>
      <c r="E7" s="135">
        <v>4908</v>
      </c>
      <c r="F7" s="135">
        <f t="shared" si="1"/>
        <v>55.968421052631456</v>
      </c>
      <c r="G7" s="136">
        <v>1.14035087719298</v>
      </c>
      <c r="H7" s="135">
        <v>7772</v>
      </c>
      <c r="I7" s="135">
        <f t="shared" si="2"/>
        <v>148.50955414012762</v>
      </c>
      <c r="J7" s="136">
        <v>1.9108280254777099</v>
      </c>
      <c r="L7" s="7" t="s">
        <v>76</v>
      </c>
      <c r="M7" s="143">
        <f>+SUM(E243:E253)</f>
        <v>228347</v>
      </c>
      <c r="N7" s="144">
        <f t="shared" si="3"/>
        <v>3124.3522633627827</v>
      </c>
      <c r="O7" s="145">
        <v>1.36824756329743</v>
      </c>
      <c r="P7" s="144">
        <f t="shared" ref="P7" si="9">+SUM(H243:H253)</f>
        <v>275854</v>
      </c>
      <c r="Q7" s="144">
        <f t="shared" si="5"/>
        <v>13760.148770066968</v>
      </c>
      <c r="R7" s="148">
        <v>4.98819983399442</v>
      </c>
    </row>
    <row r="8" spans="1:18" x14ac:dyDescent="0.3">
      <c r="A8" s="134">
        <v>10302</v>
      </c>
      <c r="B8" s="134" t="s">
        <v>27</v>
      </c>
      <c r="C8" s="134" t="s">
        <v>342</v>
      </c>
      <c r="D8" s="134" t="s">
        <v>80</v>
      </c>
      <c r="E8" s="135">
        <v>5014</v>
      </c>
      <c r="F8" s="135">
        <f t="shared" si="1"/>
        <v>22.795843256116051</v>
      </c>
      <c r="G8" s="136">
        <v>0.45464386230785903</v>
      </c>
      <c r="H8" s="135">
        <v>6838</v>
      </c>
      <c r="I8" s="135">
        <f t="shared" si="2"/>
        <v>111.01669474651528</v>
      </c>
      <c r="J8" s="136">
        <v>1.6235258079338299</v>
      </c>
      <c r="L8" s="7" t="s">
        <v>85</v>
      </c>
      <c r="M8" s="143">
        <f>+SUM(E254:E309)</f>
        <v>1191507</v>
      </c>
      <c r="N8" s="144">
        <f t="shared" si="3"/>
        <v>25822.798328659053</v>
      </c>
      <c r="O8" s="145">
        <v>2.1672384911426499</v>
      </c>
      <c r="P8" s="144">
        <f t="shared" ref="P8" si="10">+SUM(H254:H309)</f>
        <v>1506059</v>
      </c>
      <c r="Q8" s="144">
        <f t="shared" si="5"/>
        <v>89071.796984010842</v>
      </c>
      <c r="R8" s="148">
        <v>5.9142302515380099</v>
      </c>
    </row>
    <row r="9" spans="1:18" x14ac:dyDescent="0.3">
      <c r="A9" s="134">
        <v>10303</v>
      </c>
      <c r="B9" s="134" t="s">
        <v>27</v>
      </c>
      <c r="C9" s="134" t="s">
        <v>342</v>
      </c>
      <c r="D9" s="134" t="s">
        <v>308</v>
      </c>
      <c r="E9" s="135">
        <v>3265</v>
      </c>
      <c r="F9" s="135">
        <f t="shared" si="1"/>
        <v>11.596706490151769</v>
      </c>
      <c r="G9" s="136">
        <v>0.35518243461414301</v>
      </c>
      <c r="H9" s="135">
        <v>4981</v>
      </c>
      <c r="I9" s="135">
        <f t="shared" si="2"/>
        <v>72.887454271572949</v>
      </c>
      <c r="J9" s="136">
        <v>1.46330966214762</v>
      </c>
      <c r="L9" s="7" t="s">
        <v>92</v>
      </c>
      <c r="M9" s="143">
        <f>+SUM(E310:E329)</f>
        <v>178943</v>
      </c>
      <c r="N9" s="144">
        <f t="shared" si="3"/>
        <v>2996.0249332310018</v>
      </c>
      <c r="O9" s="145">
        <v>1.6742900997697601</v>
      </c>
      <c r="P9" s="144">
        <f t="shared" ref="P9" si="11">+SUM(H310:H329)</f>
        <v>213649</v>
      </c>
      <c r="Q9" s="144">
        <f t="shared" si="5"/>
        <v>12755.132317161509</v>
      </c>
      <c r="R9" s="148">
        <v>5.9701343405124803</v>
      </c>
    </row>
    <row r="10" spans="1:18" x14ac:dyDescent="0.3">
      <c r="A10" s="134">
        <v>10304</v>
      </c>
      <c r="B10" s="134" t="s">
        <v>27</v>
      </c>
      <c r="C10" s="134" t="s">
        <v>342</v>
      </c>
      <c r="D10" s="134" t="s">
        <v>99</v>
      </c>
      <c r="E10" s="135">
        <v>2826</v>
      </c>
      <c r="F10" s="135">
        <f t="shared" si="1"/>
        <v>11.386813186813187</v>
      </c>
      <c r="G10" s="136">
        <v>0.402930402930403</v>
      </c>
      <c r="H10" s="135">
        <v>5237</v>
      </c>
      <c r="I10" s="135">
        <f t="shared" si="2"/>
        <v>70.29530201342277</v>
      </c>
      <c r="J10" s="136">
        <v>1.34228187919463</v>
      </c>
      <c r="L10" s="7" t="s">
        <v>102</v>
      </c>
      <c r="M10" s="143">
        <f>+SUM(E330:E344)</f>
        <v>46491</v>
      </c>
      <c r="N10" s="144">
        <f t="shared" si="3"/>
        <v>628.35959312521857</v>
      </c>
      <c r="O10" s="145">
        <v>1.3515725476441001</v>
      </c>
      <c r="P10" s="144">
        <f>+SUM(H330:H344)</f>
        <v>61178</v>
      </c>
      <c r="Q10" s="144">
        <f>P10*(R10/100)</f>
        <v>2850.458872362507</v>
      </c>
      <c r="R10" s="148">
        <v>4.6592874437910803</v>
      </c>
    </row>
    <row r="11" spans="1:18" x14ac:dyDescent="0.3">
      <c r="A11" s="134">
        <v>10401</v>
      </c>
      <c r="B11" s="134" t="s">
        <v>27</v>
      </c>
      <c r="C11" s="134" t="s">
        <v>117</v>
      </c>
      <c r="D11" s="134" t="s">
        <v>106</v>
      </c>
      <c r="E11" s="135">
        <v>5012</v>
      </c>
      <c r="F11" s="135">
        <f t="shared" si="1"/>
        <v>36.561067111296389</v>
      </c>
      <c r="G11" s="136">
        <v>0.729470612755315</v>
      </c>
      <c r="H11" s="135">
        <v>5269</v>
      </c>
      <c r="I11" s="135">
        <f t="shared" si="2"/>
        <v>131.0175054704597</v>
      </c>
      <c r="J11" s="136">
        <v>2.48657250845435</v>
      </c>
      <c r="L11" s="134" t="s">
        <v>408</v>
      </c>
      <c r="M11" s="134">
        <v>66620</v>
      </c>
      <c r="N11" s="144">
        <f>M11*(O11/100)</f>
        <v>886.92215147204809</v>
      </c>
      <c r="O11" s="149">
        <v>1.3313151478115401</v>
      </c>
      <c r="P11" s="135">
        <v>77094</v>
      </c>
      <c r="Q11" s="144">
        <f t="shared" ref="Q11:Q12" si="12">P11*(R11/100)</f>
        <v>3337.4668654937241</v>
      </c>
      <c r="R11" s="149">
        <v>4.3290876922895736</v>
      </c>
    </row>
    <row r="12" spans="1:18" x14ac:dyDescent="0.3">
      <c r="A12" s="134">
        <v>10402</v>
      </c>
      <c r="B12" s="134" t="s">
        <v>27</v>
      </c>
      <c r="C12" s="134" t="s">
        <v>117</v>
      </c>
      <c r="D12" s="134" t="s">
        <v>117</v>
      </c>
      <c r="E12" s="135">
        <v>3608</v>
      </c>
      <c r="F12" s="135">
        <f t="shared" si="1"/>
        <v>17.987096774193549</v>
      </c>
      <c r="G12" s="136">
        <v>0.49853372434017601</v>
      </c>
      <c r="H12" s="135">
        <v>4922</v>
      </c>
      <c r="I12" s="135">
        <f t="shared" si="2"/>
        <v>81.085579803166212</v>
      </c>
      <c r="J12" s="136">
        <v>1.6474112109542101</v>
      </c>
      <c r="L12" s="7" t="s">
        <v>109</v>
      </c>
      <c r="M12" s="6">
        <f>SUM(M2:M10)</f>
        <v>4575789</v>
      </c>
      <c r="N12" s="144">
        <f>M12*(O12/100)</f>
        <v>74079.601797476003</v>
      </c>
      <c r="O12" s="145">
        <v>1.6189470667785599</v>
      </c>
      <c r="P12" s="145">
        <f t="shared" ref="P12" si="13">SUM(P2:P10)</f>
        <v>5818999</v>
      </c>
      <c r="Q12" s="144">
        <f t="shared" si="12"/>
        <v>289789.51036129444</v>
      </c>
      <c r="R12" s="148">
        <v>4.9800577446618304</v>
      </c>
    </row>
    <row r="13" spans="1:18" x14ac:dyDescent="0.3">
      <c r="A13" s="134">
        <v>10403</v>
      </c>
      <c r="B13" s="134" t="s">
        <v>27</v>
      </c>
      <c r="C13" s="134" t="s">
        <v>117</v>
      </c>
      <c r="D13" s="134" t="s">
        <v>121</v>
      </c>
      <c r="E13" s="135">
        <v>2869</v>
      </c>
      <c r="F13" s="135">
        <f t="shared" si="1"/>
        <v>14.854289940828409</v>
      </c>
      <c r="G13" s="136">
        <v>0.51775147928994103</v>
      </c>
      <c r="H13" s="135">
        <v>3949</v>
      </c>
      <c r="I13" s="135">
        <f t="shared" si="2"/>
        <v>80.830595206032783</v>
      </c>
      <c r="J13" s="136">
        <v>2.0468623754376498</v>
      </c>
    </row>
    <row r="14" spans="1:18" x14ac:dyDescent="0.3">
      <c r="A14" s="134">
        <v>10404</v>
      </c>
      <c r="B14" s="134" t="s">
        <v>27</v>
      </c>
      <c r="C14" s="134" t="s">
        <v>117</v>
      </c>
      <c r="D14" s="134" t="s">
        <v>84</v>
      </c>
      <c r="E14" s="135">
        <v>2169</v>
      </c>
      <c r="F14" s="135">
        <f t="shared" si="1"/>
        <v>19.521000000000001</v>
      </c>
      <c r="G14" s="136">
        <v>0.9</v>
      </c>
      <c r="H14" s="135">
        <v>2036</v>
      </c>
      <c r="I14" s="135">
        <f t="shared" si="2"/>
        <v>49.917579551382424</v>
      </c>
      <c r="J14" s="136">
        <v>2.4517475221700602</v>
      </c>
    </row>
    <row r="15" spans="1:18" x14ac:dyDescent="0.3">
      <c r="A15" s="134">
        <v>10405</v>
      </c>
      <c r="B15" s="134" t="s">
        <v>27</v>
      </c>
      <c r="C15" s="134" t="s">
        <v>117</v>
      </c>
      <c r="D15" s="134" t="s">
        <v>126</v>
      </c>
      <c r="E15" s="135">
        <v>2077</v>
      </c>
      <c r="F15" s="135">
        <f t="shared" si="1"/>
        <v>12.512048192771088</v>
      </c>
      <c r="G15" s="136">
        <v>0.60240963855421703</v>
      </c>
      <c r="H15" s="135">
        <v>3050</v>
      </c>
      <c r="I15" s="135">
        <f t="shared" si="2"/>
        <v>52.854230377166303</v>
      </c>
      <c r="J15" s="136">
        <v>1.7329255861366</v>
      </c>
    </row>
    <row r="16" spans="1:18" x14ac:dyDescent="0.3">
      <c r="A16" s="134">
        <v>10501</v>
      </c>
      <c r="B16" s="134" t="s">
        <v>27</v>
      </c>
      <c r="C16" s="134" t="s">
        <v>343</v>
      </c>
      <c r="D16" s="134" t="s">
        <v>129</v>
      </c>
      <c r="E16" s="135">
        <v>10903</v>
      </c>
      <c r="F16" s="135">
        <f t="shared" si="1"/>
        <v>135.48737769080233</v>
      </c>
      <c r="G16" s="136">
        <v>1.2426614481409</v>
      </c>
      <c r="H16" s="135">
        <v>13274</v>
      </c>
      <c r="I16" s="135">
        <f t="shared" si="2"/>
        <v>394.67532881626204</v>
      </c>
      <c r="J16" s="136">
        <v>2.9732961339178998</v>
      </c>
    </row>
    <row r="17" spans="1:10" x14ac:dyDescent="0.3">
      <c r="A17" s="134">
        <v>10502</v>
      </c>
      <c r="B17" s="134" t="s">
        <v>27</v>
      </c>
      <c r="C17" s="134" t="s">
        <v>343</v>
      </c>
      <c r="D17" s="134" t="s">
        <v>309</v>
      </c>
      <c r="E17" s="135">
        <v>3612</v>
      </c>
      <c r="F17" s="135">
        <f t="shared" si="1"/>
        <v>28.921708185053383</v>
      </c>
      <c r="G17" s="136">
        <v>0.80071174377224197</v>
      </c>
      <c r="H17" s="135">
        <v>3602</v>
      </c>
      <c r="I17" s="135">
        <f t="shared" si="2"/>
        <v>60.033333333333459</v>
      </c>
      <c r="J17" s="136">
        <v>1.6666666666666701</v>
      </c>
    </row>
    <row r="18" spans="1:10" x14ac:dyDescent="0.3">
      <c r="A18" s="134">
        <v>10601</v>
      </c>
      <c r="B18" s="134" t="s">
        <v>27</v>
      </c>
      <c r="C18" s="134" t="s">
        <v>139</v>
      </c>
      <c r="D18" s="134" t="s">
        <v>136</v>
      </c>
      <c r="E18" s="135">
        <v>6575</v>
      </c>
      <c r="F18" s="135">
        <f t="shared" si="1"/>
        <v>15.907258064516148</v>
      </c>
      <c r="G18" s="136">
        <v>0.241935483870968</v>
      </c>
      <c r="H18" s="135">
        <v>7925</v>
      </c>
      <c r="I18" s="135">
        <f t="shared" si="2"/>
        <v>118.6505260318314</v>
      </c>
      <c r="J18" s="136">
        <v>1.4971675209063899</v>
      </c>
    </row>
    <row r="19" spans="1:10" x14ac:dyDescent="0.3">
      <c r="A19" s="134">
        <v>10602</v>
      </c>
      <c r="B19" s="134" t="s">
        <v>27</v>
      </c>
      <c r="C19" s="134" t="s">
        <v>139</v>
      </c>
      <c r="D19" s="134" t="s">
        <v>139</v>
      </c>
      <c r="E19" s="135">
        <v>4230</v>
      </c>
      <c r="F19" s="135">
        <f t="shared" si="1"/>
        <v>4.2037267080745329</v>
      </c>
      <c r="G19" s="136">
        <v>9.9378881987577605E-2</v>
      </c>
      <c r="H19" s="135">
        <v>5145</v>
      </c>
      <c r="I19" s="135">
        <f t="shared" si="2"/>
        <v>72.195625257944712</v>
      </c>
      <c r="J19" s="136">
        <v>1.4032191498142801</v>
      </c>
    </row>
    <row r="20" spans="1:10" x14ac:dyDescent="0.3">
      <c r="A20" s="134">
        <v>10701</v>
      </c>
      <c r="B20" s="134" t="s">
        <v>27</v>
      </c>
      <c r="C20" s="134" t="s">
        <v>344</v>
      </c>
      <c r="D20" s="134" t="s">
        <v>143</v>
      </c>
      <c r="E20" s="135">
        <v>6780</v>
      </c>
      <c r="F20" s="135">
        <f t="shared" si="1"/>
        <v>38.299074219362922</v>
      </c>
      <c r="G20" s="136">
        <v>0.564883100580574</v>
      </c>
      <c r="H20" s="135">
        <v>8329</v>
      </c>
      <c r="I20" s="135">
        <f t="shared" si="2"/>
        <v>245.71820956256317</v>
      </c>
      <c r="J20" s="136">
        <v>2.95015259409969</v>
      </c>
    </row>
    <row r="21" spans="1:10" x14ac:dyDescent="0.3">
      <c r="A21" s="134">
        <v>10702</v>
      </c>
      <c r="B21" s="134" t="s">
        <v>27</v>
      </c>
      <c r="C21" s="134" t="s">
        <v>344</v>
      </c>
      <c r="D21" s="134" t="s">
        <v>147</v>
      </c>
      <c r="E21" s="135">
        <v>12980</v>
      </c>
      <c r="F21" s="135">
        <f t="shared" si="1"/>
        <v>31.76182707993479</v>
      </c>
      <c r="G21" s="136">
        <v>0.24469820554649299</v>
      </c>
      <c r="H21" s="135">
        <v>14571</v>
      </c>
      <c r="I21" s="135">
        <f t="shared" si="2"/>
        <v>205.02117680500294</v>
      </c>
      <c r="J21" s="136">
        <v>1.40704945992041</v>
      </c>
    </row>
    <row r="22" spans="1:10" x14ac:dyDescent="0.3">
      <c r="A22" s="134">
        <v>10703</v>
      </c>
      <c r="B22" s="134" t="s">
        <v>27</v>
      </c>
      <c r="C22" s="134" t="s">
        <v>344</v>
      </c>
      <c r="D22" s="134" t="s">
        <v>87</v>
      </c>
      <c r="E22" s="135">
        <v>5209</v>
      </c>
      <c r="F22" s="135">
        <f t="shared" si="1"/>
        <v>8.3796501105972485</v>
      </c>
      <c r="G22" s="136">
        <v>0.16086869093102801</v>
      </c>
      <c r="H22" s="135">
        <v>9501</v>
      </c>
      <c r="I22" s="135">
        <f t="shared" si="2"/>
        <v>70.284531301755592</v>
      </c>
      <c r="J22" s="136">
        <v>0.73975930219719599</v>
      </c>
    </row>
    <row r="23" spans="1:10" x14ac:dyDescent="0.3">
      <c r="A23" s="134">
        <v>10704</v>
      </c>
      <c r="B23" s="134" t="s">
        <v>27</v>
      </c>
      <c r="C23" s="134" t="s">
        <v>344</v>
      </c>
      <c r="D23" s="134" t="s">
        <v>150</v>
      </c>
      <c r="E23" s="135">
        <v>6504</v>
      </c>
      <c r="F23" s="135">
        <f t="shared" si="1"/>
        <v>6.3422720624085827</v>
      </c>
      <c r="G23" s="136">
        <v>9.7513408093612905E-2</v>
      </c>
      <c r="H23" s="135">
        <v>7888</v>
      </c>
      <c r="I23" s="135">
        <f t="shared" si="2"/>
        <v>109.94451019066429</v>
      </c>
      <c r="J23" s="136">
        <v>1.3938198553583201</v>
      </c>
    </row>
    <row r="24" spans="1:10" x14ac:dyDescent="0.3">
      <c r="A24" s="134">
        <v>10801</v>
      </c>
      <c r="B24" s="134" t="s">
        <v>27</v>
      </c>
      <c r="C24" s="134" t="s">
        <v>345</v>
      </c>
      <c r="D24" s="134" t="s">
        <v>154</v>
      </c>
      <c r="E24" s="135">
        <v>4755</v>
      </c>
      <c r="F24" s="135">
        <f t="shared" si="1"/>
        <v>28.35984095427434</v>
      </c>
      <c r="G24" s="136">
        <v>0.59642147117296196</v>
      </c>
      <c r="H24" s="135">
        <v>5030</v>
      </c>
      <c r="I24" s="135">
        <f t="shared" si="2"/>
        <v>136.08632796365157</v>
      </c>
      <c r="J24" s="136">
        <v>2.7054935976869099</v>
      </c>
    </row>
    <row r="25" spans="1:10" x14ac:dyDescent="0.3">
      <c r="A25" s="134">
        <v>10901</v>
      </c>
      <c r="B25" s="134" t="s">
        <v>27</v>
      </c>
      <c r="C25" s="134" t="s">
        <v>346</v>
      </c>
      <c r="D25" s="134" t="s">
        <v>71</v>
      </c>
      <c r="E25" s="135">
        <v>1661</v>
      </c>
      <c r="F25" s="135">
        <f t="shared" si="1"/>
        <v>16.64120225422668</v>
      </c>
      <c r="G25" s="136">
        <v>1.0018785222291799</v>
      </c>
      <c r="H25" s="135">
        <v>3047</v>
      </c>
      <c r="I25" s="135">
        <f t="shared" si="2"/>
        <v>84.845109641489714</v>
      </c>
      <c r="J25" s="136">
        <v>2.7845457709711101</v>
      </c>
    </row>
    <row r="26" spans="1:10" x14ac:dyDescent="0.3">
      <c r="A26" s="134">
        <v>10902</v>
      </c>
      <c r="B26" s="134" t="s">
        <v>27</v>
      </c>
      <c r="C26" s="134" t="s">
        <v>346</v>
      </c>
      <c r="D26" s="134" t="s">
        <v>157</v>
      </c>
      <c r="E26" s="135">
        <v>7725</v>
      </c>
      <c r="F26" s="135">
        <f t="shared" si="1"/>
        <v>15.606060606060602</v>
      </c>
      <c r="G26" s="136">
        <v>0.20202020202020199</v>
      </c>
      <c r="H26" s="135">
        <v>8597</v>
      </c>
      <c r="I26" s="135">
        <f t="shared" si="2"/>
        <v>83.4964185990045</v>
      </c>
      <c r="J26" s="136">
        <v>0.97122738861235902</v>
      </c>
    </row>
    <row r="27" spans="1:10" x14ac:dyDescent="0.3">
      <c r="A27" s="134">
        <v>10903</v>
      </c>
      <c r="B27" s="134" t="s">
        <v>27</v>
      </c>
      <c r="C27" s="134" t="s">
        <v>346</v>
      </c>
      <c r="D27" s="134" t="s">
        <v>89</v>
      </c>
      <c r="E27" s="135">
        <v>2117</v>
      </c>
      <c r="F27" s="135">
        <f t="shared" si="1"/>
        <v>12.368062317429407</v>
      </c>
      <c r="G27" s="136">
        <v>0.58422590068159697</v>
      </c>
      <c r="H27" s="135">
        <v>2819</v>
      </c>
      <c r="I27" s="135">
        <f t="shared" si="2"/>
        <v>49.180772086117351</v>
      </c>
      <c r="J27" s="136">
        <v>1.74461766889384</v>
      </c>
    </row>
    <row r="28" spans="1:10" x14ac:dyDescent="0.3">
      <c r="A28" s="134">
        <v>11001</v>
      </c>
      <c r="B28" s="134" t="s">
        <v>27</v>
      </c>
      <c r="C28" s="134" t="s">
        <v>347</v>
      </c>
      <c r="D28" s="134" t="s">
        <v>348</v>
      </c>
      <c r="E28" s="135">
        <v>4007</v>
      </c>
      <c r="F28" s="135">
        <f t="shared" si="1"/>
        <v>31.062015503875955</v>
      </c>
      <c r="G28" s="136">
        <v>0.775193798449612</v>
      </c>
      <c r="H28" s="135">
        <v>6480</v>
      </c>
      <c r="I28" s="135">
        <f t="shared" si="2"/>
        <v>161.04142011834344</v>
      </c>
      <c r="J28" s="136">
        <v>2.4852071005917198</v>
      </c>
    </row>
    <row r="29" spans="1:10" x14ac:dyDescent="0.3">
      <c r="A29" s="134">
        <v>11002</v>
      </c>
      <c r="B29" s="134" t="s">
        <v>27</v>
      </c>
      <c r="C29" s="134" t="s">
        <v>347</v>
      </c>
      <c r="D29" s="134" t="s">
        <v>33</v>
      </c>
      <c r="E29" s="135">
        <v>1021</v>
      </c>
      <c r="F29" s="135">
        <f t="shared" si="1"/>
        <v>1.1025917926565905</v>
      </c>
      <c r="G29" s="136">
        <v>0.107991360691145</v>
      </c>
      <c r="H29" s="135">
        <v>1288</v>
      </c>
      <c r="I29" s="135">
        <f t="shared" si="2"/>
        <v>36.561232765612324</v>
      </c>
      <c r="J29" s="136">
        <v>2.8386050283860502</v>
      </c>
    </row>
    <row r="30" spans="1:10" x14ac:dyDescent="0.3">
      <c r="A30" s="134">
        <v>11003</v>
      </c>
      <c r="B30" s="134" t="s">
        <v>27</v>
      </c>
      <c r="C30" s="134" t="s">
        <v>347</v>
      </c>
      <c r="D30" s="134" t="s">
        <v>146</v>
      </c>
      <c r="E30" s="135">
        <v>3278</v>
      </c>
      <c r="F30" s="135">
        <f t="shared" si="1"/>
        <v>29.759919300605254</v>
      </c>
      <c r="G30" s="136">
        <v>0.90786819098856797</v>
      </c>
      <c r="H30" s="135">
        <v>3382</v>
      </c>
      <c r="I30" s="135">
        <f t="shared" si="2"/>
        <v>77.401144310235139</v>
      </c>
      <c r="J30" s="136">
        <v>2.2886204704386501</v>
      </c>
    </row>
    <row r="31" spans="1:10" x14ac:dyDescent="0.3">
      <c r="A31" s="134">
        <v>20101</v>
      </c>
      <c r="B31" s="134" t="s">
        <v>43</v>
      </c>
      <c r="C31" s="134" t="s">
        <v>349</v>
      </c>
      <c r="D31" s="134" t="s">
        <v>310</v>
      </c>
      <c r="E31" s="135">
        <v>365764</v>
      </c>
      <c r="F31" s="135">
        <f t="shared" si="1"/>
        <v>10627.501516219516</v>
      </c>
      <c r="G31" s="136">
        <v>2.90556247094288</v>
      </c>
      <c r="H31" s="135">
        <v>405929</v>
      </c>
      <c r="I31" s="135">
        <f t="shared" si="2"/>
        <v>26819.984310024931</v>
      </c>
      <c r="J31" s="136">
        <v>6.6070628878510602</v>
      </c>
    </row>
    <row r="32" spans="1:10" x14ac:dyDescent="0.3">
      <c r="A32" s="134">
        <v>20102</v>
      </c>
      <c r="B32" s="134" t="s">
        <v>43</v>
      </c>
      <c r="C32" s="134" t="s">
        <v>349</v>
      </c>
      <c r="D32" s="134" t="s">
        <v>168</v>
      </c>
      <c r="E32" s="135">
        <v>9415</v>
      </c>
      <c r="F32" s="135">
        <f t="shared" si="1"/>
        <v>20.690034062190989</v>
      </c>
      <c r="G32" s="136">
        <v>0.21975607076145501</v>
      </c>
      <c r="H32" s="135">
        <v>12961</v>
      </c>
      <c r="I32" s="135">
        <f t="shared" si="2"/>
        <v>155.15387664499806</v>
      </c>
      <c r="J32" s="136">
        <v>1.1970826066275599</v>
      </c>
    </row>
    <row r="33" spans="1:10" x14ac:dyDescent="0.3">
      <c r="A33" s="134">
        <v>20103</v>
      </c>
      <c r="B33" s="134" t="s">
        <v>43</v>
      </c>
      <c r="C33" s="134" t="s">
        <v>349</v>
      </c>
      <c r="D33" s="134" t="s">
        <v>170</v>
      </c>
      <c r="E33" s="135">
        <v>9373</v>
      </c>
      <c r="F33" s="135">
        <f t="shared" si="1"/>
        <v>97.020252025202979</v>
      </c>
      <c r="G33" s="136">
        <v>1.03510351035104</v>
      </c>
      <c r="H33" s="135">
        <v>12648</v>
      </c>
      <c r="I33" s="135">
        <f t="shared" si="2"/>
        <v>414.46490791438481</v>
      </c>
      <c r="J33" s="136">
        <v>3.2769205243072799</v>
      </c>
    </row>
    <row r="34" spans="1:10" x14ac:dyDescent="0.3">
      <c r="A34" s="134">
        <v>20104</v>
      </c>
      <c r="B34" s="134" t="s">
        <v>43</v>
      </c>
      <c r="C34" s="134" t="s">
        <v>349</v>
      </c>
      <c r="D34" s="134" t="s">
        <v>174</v>
      </c>
      <c r="E34" s="135">
        <v>11221</v>
      </c>
      <c r="F34" s="135">
        <f t="shared" si="1"/>
        <v>125.87315436241609</v>
      </c>
      <c r="G34" s="136">
        <v>1.1217641418983699</v>
      </c>
      <c r="H34" s="135">
        <v>25800</v>
      </c>
      <c r="I34" s="135">
        <f t="shared" si="2"/>
        <v>1308.9028444772814</v>
      </c>
      <c r="J34" s="136">
        <v>5.0732668390592304</v>
      </c>
    </row>
    <row r="35" spans="1:10" x14ac:dyDescent="0.3">
      <c r="A35" s="134">
        <v>20105</v>
      </c>
      <c r="B35" s="134" t="s">
        <v>43</v>
      </c>
      <c r="C35" s="134" t="s">
        <v>349</v>
      </c>
      <c r="D35" s="134" t="s">
        <v>178</v>
      </c>
      <c r="E35" s="135">
        <v>372069</v>
      </c>
      <c r="F35" s="135">
        <f t="shared" si="1"/>
        <v>6960.0164220471834</v>
      </c>
      <c r="G35" s="136">
        <v>1.8706251856637299</v>
      </c>
      <c r="H35" s="135">
        <v>456570</v>
      </c>
      <c r="I35" s="135">
        <f t="shared" si="2"/>
        <v>28871.106753389173</v>
      </c>
      <c r="J35" s="136">
        <v>6.3234787115643103</v>
      </c>
    </row>
    <row r="36" spans="1:10" x14ac:dyDescent="0.3">
      <c r="A36" s="134">
        <v>20201</v>
      </c>
      <c r="B36" s="134" t="s">
        <v>43</v>
      </c>
      <c r="C36" s="134" t="s">
        <v>350</v>
      </c>
      <c r="D36" s="134" t="s">
        <v>181</v>
      </c>
      <c r="E36" s="135">
        <v>24232</v>
      </c>
      <c r="F36" s="135">
        <f t="shared" si="1"/>
        <v>98.619214616616816</v>
      </c>
      <c r="G36" s="136">
        <v>0.40697926137593599</v>
      </c>
      <c r="H36" s="135">
        <v>29103</v>
      </c>
      <c r="I36" s="135">
        <f t="shared" si="2"/>
        <v>481.1701542636772</v>
      </c>
      <c r="J36" s="136">
        <v>1.65333523782317</v>
      </c>
    </row>
    <row r="37" spans="1:10" x14ac:dyDescent="0.3">
      <c r="A37" s="134">
        <v>20202</v>
      </c>
      <c r="B37" s="134" t="s">
        <v>43</v>
      </c>
      <c r="C37" s="134" t="s">
        <v>350</v>
      </c>
      <c r="D37" s="134" t="s">
        <v>183</v>
      </c>
      <c r="E37" s="135">
        <v>7822</v>
      </c>
      <c r="F37" s="135">
        <f t="shared" si="1"/>
        <v>12.409307244843987</v>
      </c>
      <c r="G37" s="136">
        <v>0.15864621893178199</v>
      </c>
      <c r="H37" s="135">
        <v>10515</v>
      </c>
      <c r="I37" s="135">
        <f t="shared" si="2"/>
        <v>122.59361723149935</v>
      </c>
      <c r="J37" s="136">
        <v>1.16589269834997</v>
      </c>
    </row>
    <row r="38" spans="1:10" x14ac:dyDescent="0.3">
      <c r="A38" s="134">
        <v>20203</v>
      </c>
      <c r="B38" s="134" t="s">
        <v>43</v>
      </c>
      <c r="C38" s="134" t="s">
        <v>350</v>
      </c>
      <c r="D38" s="134" t="s">
        <v>159</v>
      </c>
      <c r="E38" s="135">
        <v>2619</v>
      </c>
      <c r="F38" s="135">
        <f t="shared" si="1"/>
        <v>20.269246435845218</v>
      </c>
      <c r="G38" s="136">
        <v>0.77393075356415497</v>
      </c>
      <c r="H38" s="135">
        <v>4290</v>
      </c>
      <c r="I38" s="135">
        <f t="shared" si="2"/>
        <v>128.04390725209683</v>
      </c>
      <c r="J38" s="136">
        <v>2.9847064627528401</v>
      </c>
    </row>
    <row r="39" spans="1:10" x14ac:dyDescent="0.3">
      <c r="A39" s="134">
        <v>20204</v>
      </c>
      <c r="B39" s="134" t="s">
        <v>43</v>
      </c>
      <c r="C39" s="134" t="s">
        <v>350</v>
      </c>
      <c r="D39" s="134" t="s">
        <v>187</v>
      </c>
      <c r="E39" s="135">
        <v>4831</v>
      </c>
      <c r="F39" s="135">
        <f t="shared" si="1"/>
        <v>20.972433253744285</v>
      </c>
      <c r="G39" s="136">
        <v>0.43412198827870602</v>
      </c>
      <c r="H39" s="135">
        <v>5542</v>
      </c>
      <c r="I39" s="135">
        <f t="shared" si="2"/>
        <v>93.492033739456446</v>
      </c>
      <c r="J39" s="136">
        <v>1.68697282099344</v>
      </c>
    </row>
    <row r="40" spans="1:10" x14ac:dyDescent="0.3">
      <c r="A40" s="134">
        <v>20205</v>
      </c>
      <c r="B40" s="134" t="s">
        <v>43</v>
      </c>
      <c r="C40" s="134" t="s">
        <v>350</v>
      </c>
      <c r="D40" s="134" t="s">
        <v>189</v>
      </c>
      <c r="E40" s="135">
        <v>4818</v>
      </c>
      <c r="F40" s="135">
        <f t="shared" si="1"/>
        <v>7.3349282296650511</v>
      </c>
      <c r="G40" s="136">
        <v>0.152240104393214</v>
      </c>
      <c r="H40" s="135">
        <v>5800</v>
      </c>
      <c r="I40" s="135">
        <f t="shared" si="2"/>
        <v>67.830154731918043</v>
      </c>
      <c r="J40" s="136">
        <v>1.16948542641238</v>
      </c>
    </row>
    <row r="41" spans="1:10" x14ac:dyDescent="0.3">
      <c r="A41" s="134">
        <v>20206</v>
      </c>
      <c r="B41" s="134" t="s">
        <v>43</v>
      </c>
      <c r="C41" s="134" t="s">
        <v>350</v>
      </c>
      <c r="D41" s="134" t="s">
        <v>103</v>
      </c>
      <c r="E41" s="135">
        <v>1991</v>
      </c>
      <c r="F41" s="135">
        <f t="shared" si="1"/>
        <v>32.536109646810665</v>
      </c>
      <c r="G41" s="136">
        <v>1.6341591987348401</v>
      </c>
      <c r="H41" s="135">
        <v>2938</v>
      </c>
      <c r="I41" s="135">
        <f t="shared" si="2"/>
        <v>67.37083482622721</v>
      </c>
      <c r="J41" s="136">
        <v>2.2930849158007902</v>
      </c>
    </row>
    <row r="42" spans="1:10" x14ac:dyDescent="0.3">
      <c r="A42" s="134">
        <v>20301</v>
      </c>
      <c r="B42" s="134" t="s">
        <v>43</v>
      </c>
      <c r="C42" s="134" t="s">
        <v>351</v>
      </c>
      <c r="D42" s="134" t="s">
        <v>196</v>
      </c>
      <c r="E42" s="135">
        <v>5835</v>
      </c>
      <c r="F42" s="135">
        <f t="shared" si="1"/>
        <v>18.180901759530794</v>
      </c>
      <c r="G42" s="136">
        <v>0.31158357771261003</v>
      </c>
      <c r="H42" s="135">
        <v>8201</v>
      </c>
      <c r="I42" s="135">
        <f t="shared" si="2"/>
        <v>158.55405749173275</v>
      </c>
      <c r="J42" s="136">
        <v>1.9333502925464301</v>
      </c>
    </row>
    <row r="43" spans="1:10" x14ac:dyDescent="0.3">
      <c r="A43" s="134">
        <v>20302</v>
      </c>
      <c r="B43" s="134" t="s">
        <v>43</v>
      </c>
      <c r="C43" s="134" t="s">
        <v>351</v>
      </c>
      <c r="D43" s="134" t="s">
        <v>82</v>
      </c>
      <c r="E43" s="135">
        <v>8484</v>
      </c>
      <c r="F43" s="135">
        <f t="shared" si="1"/>
        <v>9.4022903583302586</v>
      </c>
      <c r="G43" s="136">
        <v>0.110823790173624</v>
      </c>
      <c r="H43" s="135">
        <v>9587</v>
      </c>
      <c r="I43" s="135">
        <f t="shared" si="2"/>
        <v>108.46452108963047</v>
      </c>
      <c r="J43" s="136">
        <v>1.13137082601054</v>
      </c>
    </row>
    <row r="44" spans="1:10" x14ac:dyDescent="0.3">
      <c r="A44" s="134">
        <v>20303</v>
      </c>
      <c r="B44" s="134" t="s">
        <v>43</v>
      </c>
      <c r="C44" s="134" t="s">
        <v>351</v>
      </c>
      <c r="D44" s="134" t="s">
        <v>30</v>
      </c>
      <c r="E44" s="135">
        <v>5707</v>
      </c>
      <c r="F44" s="135">
        <f t="shared" si="1"/>
        <v>7.363870967741927</v>
      </c>
      <c r="G44" s="136">
        <v>0.12903225806451599</v>
      </c>
      <c r="H44" s="135">
        <v>7632</v>
      </c>
      <c r="I44" s="135">
        <f t="shared" si="2"/>
        <v>51.939567170273598</v>
      </c>
      <c r="J44" s="136">
        <v>0.68054988430651997</v>
      </c>
    </row>
    <row r="45" spans="1:10" x14ac:dyDescent="0.3">
      <c r="A45" s="134">
        <v>20304</v>
      </c>
      <c r="B45" s="134" t="s">
        <v>43</v>
      </c>
      <c r="C45" s="134" t="s">
        <v>351</v>
      </c>
      <c r="D45" s="134" t="s">
        <v>148</v>
      </c>
      <c r="E45" s="135">
        <v>1986</v>
      </c>
      <c r="F45" s="135">
        <f t="shared" si="1"/>
        <v>8.1144024514811086</v>
      </c>
      <c r="G45" s="136">
        <v>0.40858018386108302</v>
      </c>
      <c r="H45" s="135">
        <v>3345</v>
      </c>
      <c r="I45" s="135">
        <f t="shared" si="2"/>
        <v>28.853974121996302</v>
      </c>
      <c r="J45" s="136">
        <v>0.86260012322858903</v>
      </c>
    </row>
    <row r="46" spans="1:10" x14ac:dyDescent="0.3">
      <c r="A46" s="134">
        <v>20305</v>
      </c>
      <c r="B46" s="134" t="s">
        <v>43</v>
      </c>
      <c r="C46" s="134" t="s">
        <v>351</v>
      </c>
      <c r="D46" s="134" t="s">
        <v>93</v>
      </c>
      <c r="E46" s="135">
        <v>1572</v>
      </c>
      <c r="F46" s="135">
        <f t="shared" si="1"/>
        <v>5.3761969904240789</v>
      </c>
      <c r="G46" s="136">
        <v>0.34199726402188801</v>
      </c>
      <c r="H46" s="135">
        <v>2401</v>
      </c>
      <c r="I46" s="135">
        <f t="shared" si="2"/>
        <v>20.734024179620029</v>
      </c>
      <c r="J46" s="136">
        <v>0.863557858376511</v>
      </c>
    </row>
    <row r="47" spans="1:10" x14ac:dyDescent="0.3">
      <c r="A47" s="134">
        <v>20306</v>
      </c>
      <c r="B47" s="134" t="s">
        <v>43</v>
      </c>
      <c r="C47" s="134" t="s">
        <v>351</v>
      </c>
      <c r="D47" s="134" t="s">
        <v>97</v>
      </c>
      <c r="E47" s="135">
        <v>2306</v>
      </c>
      <c r="F47" s="135">
        <f t="shared" si="1"/>
        <v>6.3730999539382829</v>
      </c>
      <c r="G47" s="136">
        <v>0.276370336250576</v>
      </c>
      <c r="H47" s="135">
        <v>4053</v>
      </c>
      <c r="I47" s="135">
        <f t="shared" si="2"/>
        <v>53.675149311867074</v>
      </c>
      <c r="J47" s="136">
        <v>1.32433134250844</v>
      </c>
    </row>
    <row r="48" spans="1:10" x14ac:dyDescent="0.3">
      <c r="A48" s="134">
        <v>20307</v>
      </c>
      <c r="B48" s="134" t="s">
        <v>43</v>
      </c>
      <c r="C48" s="134" t="s">
        <v>351</v>
      </c>
      <c r="D48" s="134" t="s">
        <v>12</v>
      </c>
      <c r="E48" s="135">
        <v>334</v>
      </c>
      <c r="F48" s="135">
        <f t="shared" si="1"/>
        <v>1.040498442367602</v>
      </c>
      <c r="G48" s="136">
        <v>0.31152647975077902</v>
      </c>
      <c r="H48" s="135">
        <v>2366</v>
      </c>
      <c r="I48" s="135">
        <f t="shared" si="2"/>
        <v>38.244648318042842</v>
      </c>
      <c r="J48" s="136">
        <v>1.61642638706859</v>
      </c>
    </row>
    <row r="49" spans="1:10" x14ac:dyDescent="0.3">
      <c r="A49" s="134">
        <v>20308</v>
      </c>
      <c r="B49" s="134" t="s">
        <v>43</v>
      </c>
      <c r="C49" s="134" t="s">
        <v>351</v>
      </c>
      <c r="D49" s="134" t="s">
        <v>311</v>
      </c>
      <c r="E49" s="135">
        <v>4355</v>
      </c>
      <c r="F49" s="135">
        <f t="shared" si="1"/>
        <v>13.652037617554841</v>
      </c>
      <c r="G49" s="136">
        <v>0.31347962382445099</v>
      </c>
      <c r="H49" s="135">
        <v>5264</v>
      </c>
      <c r="I49" s="135">
        <f t="shared" si="2"/>
        <v>48.856240126382296</v>
      </c>
      <c r="J49" s="136">
        <v>0.92812006319115303</v>
      </c>
    </row>
    <row r="50" spans="1:10" x14ac:dyDescent="0.3">
      <c r="A50" s="134">
        <v>20401</v>
      </c>
      <c r="B50" s="134" t="s">
        <v>43</v>
      </c>
      <c r="C50" s="134" t="s">
        <v>352</v>
      </c>
      <c r="D50" s="134" t="s">
        <v>124</v>
      </c>
      <c r="E50" s="135">
        <v>7054</v>
      </c>
      <c r="F50" s="135">
        <f t="shared" si="1"/>
        <v>9.263971983073116</v>
      </c>
      <c r="G50" s="136">
        <v>0.13132934481249101</v>
      </c>
      <c r="H50" s="135">
        <v>9157</v>
      </c>
      <c r="I50" s="135">
        <f t="shared" si="2"/>
        <v>91.042368094000693</v>
      </c>
      <c r="J50" s="136">
        <v>0.99423793921590797</v>
      </c>
    </row>
    <row r="51" spans="1:10" x14ac:dyDescent="0.3">
      <c r="A51" s="134">
        <v>20402</v>
      </c>
      <c r="B51" s="134" t="s">
        <v>43</v>
      </c>
      <c r="C51" s="134" t="s">
        <v>352</v>
      </c>
      <c r="D51" s="134" t="s">
        <v>112</v>
      </c>
      <c r="E51" s="135">
        <v>9397</v>
      </c>
      <c r="F51" s="135">
        <f t="shared" si="1"/>
        <v>11.365255634964281</v>
      </c>
      <c r="G51" s="136">
        <v>0.120945574491479</v>
      </c>
      <c r="H51" s="135">
        <v>11354</v>
      </c>
      <c r="I51" s="135">
        <f t="shared" si="2"/>
        <v>116.9981761809224</v>
      </c>
      <c r="J51" s="136">
        <v>1.03045777858836</v>
      </c>
    </row>
    <row r="52" spans="1:10" x14ac:dyDescent="0.3">
      <c r="A52" s="134">
        <v>20403</v>
      </c>
      <c r="B52" s="134" t="s">
        <v>43</v>
      </c>
      <c r="C52" s="134" t="s">
        <v>352</v>
      </c>
      <c r="D52" s="134" t="s">
        <v>312</v>
      </c>
      <c r="E52" s="135">
        <v>8469</v>
      </c>
      <c r="F52" s="135">
        <f t="shared" si="1"/>
        <v>16.545054945054915</v>
      </c>
      <c r="G52" s="136">
        <v>0.195360195360195</v>
      </c>
      <c r="H52" s="135">
        <v>10697</v>
      </c>
      <c r="I52" s="135">
        <f t="shared" si="2"/>
        <v>136.6195768743292</v>
      </c>
      <c r="J52" s="136">
        <v>1.2771765623476601</v>
      </c>
    </row>
    <row r="53" spans="1:10" x14ac:dyDescent="0.3">
      <c r="A53" s="134">
        <v>20404</v>
      </c>
      <c r="B53" s="134" t="s">
        <v>43</v>
      </c>
      <c r="C53" s="134" t="s">
        <v>352</v>
      </c>
      <c r="D53" s="134" t="s">
        <v>116</v>
      </c>
      <c r="E53" s="135">
        <v>3143</v>
      </c>
      <c r="F53" s="135">
        <f t="shared" si="1"/>
        <v>3.0975689881734563</v>
      </c>
      <c r="G53" s="136">
        <v>9.8554533508541403E-2</v>
      </c>
      <c r="H53" s="135">
        <v>3911</v>
      </c>
      <c r="I53" s="135">
        <f t="shared" si="2"/>
        <v>15.413820283762481</v>
      </c>
      <c r="J53" s="136">
        <v>0.39411455596426698</v>
      </c>
    </row>
    <row r="54" spans="1:10" x14ac:dyDescent="0.3">
      <c r="A54" s="134">
        <v>20405</v>
      </c>
      <c r="B54" s="134" t="s">
        <v>43</v>
      </c>
      <c r="C54" s="134" t="s">
        <v>352</v>
      </c>
      <c r="D54" s="134" t="s">
        <v>222</v>
      </c>
      <c r="E54" s="135">
        <v>4327</v>
      </c>
      <c r="F54" s="135">
        <f t="shared" si="1"/>
        <v>7.1723892967084799</v>
      </c>
      <c r="G54" s="136">
        <v>0.165758939142789</v>
      </c>
      <c r="H54" s="135">
        <v>5648</v>
      </c>
      <c r="I54" s="135">
        <f t="shared" si="2"/>
        <v>67.796860572484078</v>
      </c>
      <c r="J54" s="136">
        <v>1.20036934441367</v>
      </c>
    </row>
    <row r="55" spans="1:10" x14ac:dyDescent="0.3">
      <c r="A55" s="134">
        <v>20501</v>
      </c>
      <c r="B55" s="134" t="s">
        <v>43</v>
      </c>
      <c r="C55" s="134" t="s">
        <v>353</v>
      </c>
      <c r="D55" s="134" t="s">
        <v>226</v>
      </c>
      <c r="E55" s="135">
        <v>6680</v>
      </c>
      <c r="F55" s="135">
        <f t="shared" si="1"/>
        <v>12.605755621953106</v>
      </c>
      <c r="G55" s="136">
        <v>0.188708916496304</v>
      </c>
      <c r="H55" s="135">
        <v>10836</v>
      </c>
      <c r="I55" s="135">
        <f t="shared" si="2"/>
        <v>75.235685752330255</v>
      </c>
      <c r="J55" s="136">
        <v>0.69431234544416998</v>
      </c>
    </row>
    <row r="56" spans="1:10" x14ac:dyDescent="0.3">
      <c r="A56" s="134">
        <v>20502</v>
      </c>
      <c r="B56" s="134" t="s">
        <v>43</v>
      </c>
      <c r="C56" s="134" t="s">
        <v>353</v>
      </c>
      <c r="D56" s="134" t="s">
        <v>101</v>
      </c>
      <c r="E56" s="135">
        <v>4659</v>
      </c>
      <c r="F56" s="135">
        <f t="shared" si="1"/>
        <v>8.2643015521064136</v>
      </c>
      <c r="G56" s="136">
        <v>0.17738359201773801</v>
      </c>
      <c r="H56" s="135">
        <v>5239</v>
      </c>
      <c r="I56" s="135">
        <f t="shared" si="2"/>
        <v>34.214723926380337</v>
      </c>
      <c r="J56" s="136">
        <v>0.65307737977439095</v>
      </c>
    </row>
    <row r="57" spans="1:10" x14ac:dyDescent="0.3">
      <c r="A57" s="134">
        <v>20503</v>
      </c>
      <c r="B57" s="134" t="s">
        <v>43</v>
      </c>
      <c r="C57" s="134" t="s">
        <v>353</v>
      </c>
      <c r="D57" s="134" t="s">
        <v>182</v>
      </c>
      <c r="E57" s="135">
        <v>2728</v>
      </c>
      <c r="F57" s="135">
        <f t="shared" si="1"/>
        <v>7.3616037008481037</v>
      </c>
      <c r="G57" s="136">
        <v>0.26985350809560499</v>
      </c>
      <c r="H57" s="135">
        <v>3895</v>
      </c>
      <c r="I57" s="135">
        <f t="shared" si="2"/>
        <v>61.808768154921971</v>
      </c>
      <c r="J57" s="136">
        <v>1.58687466379774</v>
      </c>
    </row>
    <row r="58" spans="1:10" x14ac:dyDescent="0.3">
      <c r="A58" s="134">
        <v>20601</v>
      </c>
      <c r="B58" s="134" t="s">
        <v>43</v>
      </c>
      <c r="C58" s="134" t="s">
        <v>354</v>
      </c>
      <c r="D58" s="134" t="s">
        <v>233</v>
      </c>
      <c r="E58" s="135">
        <v>12748</v>
      </c>
      <c r="F58" s="135">
        <f t="shared" si="1"/>
        <v>86.974658869395711</v>
      </c>
      <c r="G58" s="136">
        <v>0.68226120857699801</v>
      </c>
      <c r="H58" s="135">
        <v>16811</v>
      </c>
      <c r="I58" s="135">
        <f t="shared" si="2"/>
        <v>313.50158513085159</v>
      </c>
      <c r="J58" s="136">
        <v>1.86485982470318</v>
      </c>
    </row>
    <row r="59" spans="1:10" x14ac:dyDescent="0.3">
      <c r="A59" s="134">
        <v>20602</v>
      </c>
      <c r="B59" s="134" t="s">
        <v>43</v>
      </c>
      <c r="C59" s="134" t="s">
        <v>354</v>
      </c>
      <c r="D59" s="134" t="s">
        <v>236</v>
      </c>
      <c r="E59" s="135">
        <v>7557</v>
      </c>
      <c r="F59" s="135">
        <f t="shared" si="1"/>
        <v>131.97255717255743</v>
      </c>
      <c r="G59" s="136">
        <v>1.74636174636175</v>
      </c>
      <c r="H59" s="135">
        <v>8986</v>
      </c>
      <c r="I59" s="135">
        <f t="shared" si="2"/>
        <v>418.42154898031379</v>
      </c>
      <c r="J59" s="136">
        <v>4.6563715666627399</v>
      </c>
    </row>
    <row r="60" spans="1:10" x14ac:dyDescent="0.3">
      <c r="A60" s="134">
        <v>20603</v>
      </c>
      <c r="B60" s="134" t="s">
        <v>43</v>
      </c>
      <c r="C60" s="134" t="s">
        <v>354</v>
      </c>
      <c r="D60" s="134" t="s">
        <v>203</v>
      </c>
      <c r="E60" s="135">
        <v>4475</v>
      </c>
      <c r="F60" s="135">
        <f t="shared" si="1"/>
        <v>11.495796356842609</v>
      </c>
      <c r="G60" s="136">
        <v>0.25688930406352201</v>
      </c>
      <c r="H60" s="135">
        <v>5345</v>
      </c>
      <c r="I60" s="135">
        <f t="shared" si="2"/>
        <v>80.406943105110869</v>
      </c>
      <c r="J60" s="136">
        <v>1.50433944069431</v>
      </c>
    </row>
    <row r="61" spans="1:10" x14ac:dyDescent="0.3">
      <c r="A61" s="134">
        <v>20604</v>
      </c>
      <c r="B61" s="134" t="s">
        <v>43</v>
      </c>
      <c r="C61" s="134" t="s">
        <v>354</v>
      </c>
      <c r="D61" s="134" t="s">
        <v>54</v>
      </c>
      <c r="E61" s="135">
        <v>1610</v>
      </c>
      <c r="F61" s="135">
        <f t="shared" si="1"/>
        <v>2.0827943078913327</v>
      </c>
      <c r="G61" s="136">
        <v>0.12936610608020699</v>
      </c>
      <c r="H61" s="135">
        <v>2323</v>
      </c>
      <c r="I61" s="135">
        <f t="shared" si="2"/>
        <v>20.890287769784162</v>
      </c>
      <c r="J61" s="136">
        <v>0.89928057553956797</v>
      </c>
    </row>
    <row r="62" spans="1:10" x14ac:dyDescent="0.3">
      <c r="A62" s="134">
        <v>20605</v>
      </c>
      <c r="B62" s="134" t="s">
        <v>43</v>
      </c>
      <c r="C62" s="134" t="s">
        <v>354</v>
      </c>
      <c r="D62" s="134" t="s">
        <v>62</v>
      </c>
      <c r="E62" s="135">
        <v>2379</v>
      </c>
      <c r="F62" s="135">
        <f t="shared" si="1"/>
        <v>4.1017241379310283</v>
      </c>
      <c r="G62" s="136">
        <v>0.17241379310344801</v>
      </c>
      <c r="H62" s="135">
        <v>2217</v>
      </c>
      <c r="I62" s="135">
        <f t="shared" si="2"/>
        <v>15.546984572230024</v>
      </c>
      <c r="J62" s="136">
        <v>0.701262272089762</v>
      </c>
    </row>
    <row r="63" spans="1:10" x14ac:dyDescent="0.3">
      <c r="A63" s="134">
        <v>20606</v>
      </c>
      <c r="B63" s="134" t="s">
        <v>43</v>
      </c>
      <c r="C63" s="134" t="s">
        <v>354</v>
      </c>
      <c r="D63" s="134" t="s">
        <v>140</v>
      </c>
      <c r="E63" s="135">
        <v>4862</v>
      </c>
      <c r="F63" s="135">
        <f t="shared" si="1"/>
        <v>132.0853816300131</v>
      </c>
      <c r="G63" s="136">
        <v>2.71668822768435</v>
      </c>
      <c r="H63" s="135">
        <v>4049</v>
      </c>
      <c r="I63" s="135">
        <f t="shared" si="2"/>
        <v>281.56716023268098</v>
      </c>
      <c r="J63" s="136">
        <v>6.9539925965097797</v>
      </c>
    </row>
    <row r="64" spans="1:10" x14ac:dyDescent="0.3">
      <c r="A64" s="134">
        <v>20607</v>
      </c>
      <c r="B64" s="134" t="s">
        <v>43</v>
      </c>
      <c r="C64" s="134" t="s">
        <v>354</v>
      </c>
      <c r="D64" s="134" t="s">
        <v>167</v>
      </c>
      <c r="E64" s="135">
        <v>6585</v>
      </c>
      <c r="F64" s="135">
        <f t="shared" si="1"/>
        <v>90.365676461091581</v>
      </c>
      <c r="G64" s="136">
        <v>1.3722957701001</v>
      </c>
      <c r="H64" s="135">
        <v>11124</v>
      </c>
      <c r="I64" s="135">
        <f t="shared" si="2"/>
        <v>686.94450867052012</v>
      </c>
      <c r="J64" s="136">
        <v>6.1753371868978801</v>
      </c>
    </row>
    <row r="65" spans="1:10" x14ac:dyDescent="0.3">
      <c r="A65" s="134">
        <v>20608</v>
      </c>
      <c r="B65" s="134" t="s">
        <v>43</v>
      </c>
      <c r="C65" s="134" t="s">
        <v>354</v>
      </c>
      <c r="D65" s="134" t="s">
        <v>200</v>
      </c>
      <c r="E65" s="135">
        <v>5228</v>
      </c>
      <c r="F65" s="135">
        <f t="shared" si="1"/>
        <v>39.90038160273145</v>
      </c>
      <c r="G65" s="136">
        <v>0.76320546294436598</v>
      </c>
      <c r="H65" s="135">
        <v>7632</v>
      </c>
      <c r="I65" s="135">
        <f t="shared" si="2"/>
        <v>249.34241623800887</v>
      </c>
      <c r="J65" s="136">
        <v>3.2670652022799902</v>
      </c>
    </row>
    <row r="66" spans="1:10" x14ac:dyDescent="0.3">
      <c r="A66" s="134">
        <v>20701</v>
      </c>
      <c r="B66" s="134" t="s">
        <v>43</v>
      </c>
      <c r="C66" s="134" t="s">
        <v>355</v>
      </c>
      <c r="D66" s="134" t="s">
        <v>241</v>
      </c>
      <c r="E66" s="135">
        <v>8948</v>
      </c>
      <c r="F66" s="135">
        <f t="shared" si="1"/>
        <v>58.546276469188712</v>
      </c>
      <c r="G66" s="136">
        <v>0.65429455151082605</v>
      </c>
      <c r="H66" s="135">
        <v>9616</v>
      </c>
      <c r="I66" s="135">
        <f t="shared" si="2"/>
        <v>242.75429815016307</v>
      </c>
      <c r="J66" s="136">
        <v>2.5244831338411302</v>
      </c>
    </row>
    <row r="67" spans="1:10" x14ac:dyDescent="0.3">
      <c r="A67" s="134">
        <v>20702</v>
      </c>
      <c r="B67" s="134" t="s">
        <v>43</v>
      </c>
      <c r="C67" s="134" t="s">
        <v>355</v>
      </c>
      <c r="D67" s="134" t="s">
        <v>41</v>
      </c>
      <c r="E67" s="135">
        <v>3462</v>
      </c>
      <c r="F67" s="135">
        <f t="shared" ref="F67:F130" si="14">E67*(G67/100)</f>
        <v>10.754892823858334</v>
      </c>
      <c r="G67" s="136">
        <v>0.31065548306927598</v>
      </c>
      <c r="H67" s="135">
        <v>5240</v>
      </c>
      <c r="I67" s="135">
        <f t="shared" ref="I67:I130" si="15">H67*(J67/100)</f>
        <v>92.006688963210465</v>
      </c>
      <c r="J67" s="136">
        <v>1.75585284280936</v>
      </c>
    </row>
    <row r="68" spans="1:10" x14ac:dyDescent="0.3">
      <c r="A68" s="134">
        <v>20801</v>
      </c>
      <c r="B68" s="134" t="s">
        <v>43</v>
      </c>
      <c r="C68" s="134" t="s">
        <v>14</v>
      </c>
      <c r="D68" s="134" t="s">
        <v>244</v>
      </c>
      <c r="E68" s="135">
        <v>37528</v>
      </c>
      <c r="F68" s="135">
        <f t="shared" si="14"/>
        <v>405.94674624124792</v>
      </c>
      <c r="G68" s="136">
        <v>1.0817169746355999</v>
      </c>
      <c r="H68" s="135">
        <v>59696</v>
      </c>
      <c r="I68" s="135">
        <f t="shared" si="15"/>
        <v>3018.4202323604409</v>
      </c>
      <c r="J68" s="136">
        <v>5.0563190705582297</v>
      </c>
    </row>
    <row r="69" spans="1:10" x14ac:dyDescent="0.3">
      <c r="A69" s="134">
        <v>20802</v>
      </c>
      <c r="B69" s="134" t="s">
        <v>43</v>
      </c>
      <c r="C69" s="134" t="s">
        <v>14</v>
      </c>
      <c r="D69" s="134" t="s">
        <v>186</v>
      </c>
      <c r="E69" s="135">
        <v>3717</v>
      </c>
      <c r="F69" s="135">
        <f t="shared" si="14"/>
        <v>14.03864032539221</v>
      </c>
      <c r="G69" s="136">
        <v>0.37768739105171401</v>
      </c>
      <c r="H69" s="135">
        <v>5352</v>
      </c>
      <c r="I69" s="135">
        <f t="shared" si="15"/>
        <v>171.74405567369024</v>
      </c>
      <c r="J69" s="136">
        <v>3.2089696501063201</v>
      </c>
    </row>
    <row r="70" spans="1:10" x14ac:dyDescent="0.3">
      <c r="A70" s="134">
        <v>20803</v>
      </c>
      <c r="B70" s="134" t="s">
        <v>43</v>
      </c>
      <c r="C70" s="134" t="s">
        <v>14</v>
      </c>
      <c r="D70" s="134" t="s">
        <v>217</v>
      </c>
      <c r="E70" s="135">
        <v>5946</v>
      </c>
      <c r="F70" s="135">
        <f t="shared" si="14"/>
        <v>51.901800327332239</v>
      </c>
      <c r="G70" s="136">
        <v>0.87288597926895795</v>
      </c>
      <c r="H70" s="135">
        <v>8649</v>
      </c>
      <c r="I70" s="135">
        <f t="shared" si="15"/>
        <v>148.33377308707111</v>
      </c>
      <c r="J70" s="136">
        <v>1.71503957783641</v>
      </c>
    </row>
    <row r="71" spans="1:10" x14ac:dyDescent="0.3">
      <c r="A71" s="134">
        <v>20804</v>
      </c>
      <c r="B71" s="134" t="s">
        <v>43</v>
      </c>
      <c r="C71" s="134" t="s">
        <v>14</v>
      </c>
      <c r="D71" s="134" t="s">
        <v>113</v>
      </c>
      <c r="E71" s="135">
        <v>3892</v>
      </c>
      <c r="F71" s="135">
        <f t="shared" si="14"/>
        <v>127.1549142390416</v>
      </c>
      <c r="G71" s="136">
        <v>3.2670841274162798</v>
      </c>
      <c r="H71" s="135">
        <v>4443</v>
      </c>
      <c r="I71" s="135">
        <f t="shared" si="15"/>
        <v>296.55178147268407</v>
      </c>
      <c r="J71" s="136">
        <v>6.6745843230403796</v>
      </c>
    </row>
    <row r="72" spans="1:10" x14ac:dyDescent="0.3">
      <c r="A72" s="134">
        <v>20805</v>
      </c>
      <c r="B72" s="134" t="s">
        <v>43</v>
      </c>
      <c r="C72" s="134" t="s">
        <v>14</v>
      </c>
      <c r="D72" s="134" t="s">
        <v>90</v>
      </c>
      <c r="E72" s="135">
        <v>3521</v>
      </c>
      <c r="F72" s="135">
        <f t="shared" si="14"/>
        <v>2.081584392550992</v>
      </c>
      <c r="G72" s="136">
        <v>5.9119125036949501E-2</v>
      </c>
      <c r="H72" s="135">
        <v>5252</v>
      </c>
      <c r="I72" s="135">
        <f t="shared" si="15"/>
        <v>60.603950713866801</v>
      </c>
      <c r="J72" s="136">
        <v>1.1539213768824601</v>
      </c>
    </row>
    <row r="73" spans="1:10" x14ac:dyDescent="0.3">
      <c r="A73" s="134">
        <v>20806</v>
      </c>
      <c r="B73" s="134" t="s">
        <v>43</v>
      </c>
      <c r="C73" s="134" t="s">
        <v>14</v>
      </c>
      <c r="D73" s="134" t="s">
        <v>210</v>
      </c>
      <c r="E73" s="135">
        <v>8336</v>
      </c>
      <c r="F73" s="135">
        <f t="shared" si="14"/>
        <v>8.4148895899053944</v>
      </c>
      <c r="G73" s="136">
        <v>0.10094637223974801</v>
      </c>
      <c r="H73" s="135">
        <v>10471</v>
      </c>
      <c r="I73" s="135">
        <f t="shared" si="15"/>
        <v>148.76830601092851</v>
      </c>
      <c r="J73" s="136">
        <v>1.4207650273224</v>
      </c>
    </row>
    <row r="74" spans="1:10" x14ac:dyDescent="0.3">
      <c r="A74" s="134">
        <v>20807</v>
      </c>
      <c r="B74" s="134" t="s">
        <v>43</v>
      </c>
      <c r="C74" s="134" t="s">
        <v>14</v>
      </c>
      <c r="D74" s="134" t="s">
        <v>123</v>
      </c>
      <c r="E74" s="135">
        <v>4023</v>
      </c>
      <c r="F74" s="135">
        <f t="shared" si="14"/>
        <v>6.2019527235354692</v>
      </c>
      <c r="G74" s="136">
        <v>0.154162384378212</v>
      </c>
      <c r="H74" s="135">
        <v>4934</v>
      </c>
      <c r="I74" s="135">
        <f t="shared" si="15"/>
        <v>52.544163708498466</v>
      </c>
      <c r="J74" s="136">
        <v>1.06494048861975</v>
      </c>
    </row>
    <row r="75" spans="1:10" x14ac:dyDescent="0.3">
      <c r="A75" s="134">
        <v>20901</v>
      </c>
      <c r="B75" s="134" t="s">
        <v>43</v>
      </c>
      <c r="C75" s="134" t="s">
        <v>356</v>
      </c>
      <c r="D75" s="134" t="s">
        <v>253</v>
      </c>
      <c r="E75" s="135">
        <v>6776</v>
      </c>
      <c r="F75" s="135">
        <f t="shared" si="14"/>
        <v>6.1395348837209305</v>
      </c>
      <c r="G75" s="136">
        <v>9.0607067351253401E-2</v>
      </c>
      <c r="H75" s="135">
        <v>6806</v>
      </c>
      <c r="I75" s="135">
        <f t="shared" si="15"/>
        <v>71.814892975580022</v>
      </c>
      <c r="J75" s="136">
        <v>1.0551703346397301</v>
      </c>
    </row>
    <row r="76" spans="1:10" x14ac:dyDescent="0.3">
      <c r="A76" s="134">
        <v>20902</v>
      </c>
      <c r="B76" s="134" t="s">
        <v>43</v>
      </c>
      <c r="C76" s="134" t="s">
        <v>356</v>
      </c>
      <c r="D76" s="134" t="s">
        <v>172</v>
      </c>
      <c r="E76" s="135">
        <v>7506</v>
      </c>
      <c r="F76" s="135">
        <f t="shared" si="14"/>
        <v>10.500839395635152</v>
      </c>
      <c r="G76" s="136">
        <v>0.13989927252378301</v>
      </c>
      <c r="H76" s="135">
        <v>10676</v>
      </c>
      <c r="I76" s="135">
        <f t="shared" si="15"/>
        <v>81.010853904524055</v>
      </c>
      <c r="J76" s="136">
        <v>0.75881279416002301</v>
      </c>
    </row>
    <row r="77" spans="1:10" x14ac:dyDescent="0.3">
      <c r="A77" s="134">
        <v>20903</v>
      </c>
      <c r="B77" s="134" t="s">
        <v>43</v>
      </c>
      <c r="C77" s="134" t="s">
        <v>356</v>
      </c>
      <c r="D77" s="134" t="s">
        <v>198</v>
      </c>
      <c r="E77" s="135">
        <v>3896</v>
      </c>
      <c r="F77" s="135">
        <f t="shared" si="14"/>
        <v>1.0445040214477199</v>
      </c>
      <c r="G77" s="136">
        <v>2.68096514745308E-2</v>
      </c>
      <c r="H77" s="135">
        <v>7299</v>
      </c>
      <c r="I77" s="135">
        <f t="shared" si="15"/>
        <v>65.700385769395652</v>
      </c>
      <c r="J77" s="136">
        <v>0.90012858979854304</v>
      </c>
    </row>
    <row r="78" spans="1:10" x14ac:dyDescent="0.3">
      <c r="A78" s="134">
        <v>20904</v>
      </c>
      <c r="B78" s="134" t="s">
        <v>43</v>
      </c>
      <c r="C78" s="134" t="s">
        <v>356</v>
      </c>
      <c r="D78" s="134" t="s">
        <v>107</v>
      </c>
      <c r="E78" s="135">
        <v>2588</v>
      </c>
      <c r="F78" s="135">
        <f t="shared" si="14"/>
        <v>5.2431118314424738</v>
      </c>
      <c r="G78" s="136">
        <v>0.20259319286871999</v>
      </c>
      <c r="H78" s="135">
        <v>3000</v>
      </c>
      <c r="I78" s="135">
        <f t="shared" si="15"/>
        <v>41.608876560333002</v>
      </c>
      <c r="J78" s="136">
        <v>1.3869625520111</v>
      </c>
    </row>
    <row r="79" spans="1:10" x14ac:dyDescent="0.3">
      <c r="A79" s="134">
        <v>20905</v>
      </c>
      <c r="B79" s="134" t="s">
        <v>43</v>
      </c>
      <c r="C79" s="134" t="s">
        <v>356</v>
      </c>
      <c r="D79" s="134" t="s">
        <v>191</v>
      </c>
      <c r="E79" s="135">
        <v>6310</v>
      </c>
      <c r="F79" s="135">
        <f t="shared" si="14"/>
        <v>2.0597355965399058</v>
      </c>
      <c r="G79" s="136">
        <v>3.2642402480822598E-2</v>
      </c>
      <c r="H79" s="135">
        <v>8141</v>
      </c>
      <c r="I79" s="135">
        <f t="shared" si="15"/>
        <v>64.913681812428806</v>
      </c>
      <c r="J79" s="136">
        <v>0.79736742184533604</v>
      </c>
    </row>
    <row r="80" spans="1:10" x14ac:dyDescent="0.3">
      <c r="A80" s="134">
        <v>21001</v>
      </c>
      <c r="B80" s="134" t="s">
        <v>43</v>
      </c>
      <c r="C80" s="134" t="s">
        <v>138</v>
      </c>
      <c r="D80" s="134" t="s">
        <v>138</v>
      </c>
      <c r="E80" s="135">
        <v>7728</v>
      </c>
      <c r="F80" s="135">
        <f t="shared" si="14"/>
        <v>9.2872212578448412</v>
      </c>
      <c r="G80" s="136">
        <v>0.12017625851248501</v>
      </c>
      <c r="H80" s="135">
        <v>11140</v>
      </c>
      <c r="I80" s="135">
        <f t="shared" si="15"/>
        <v>87.936478454680511</v>
      </c>
      <c r="J80" s="136">
        <v>0.78937592867756301</v>
      </c>
    </row>
    <row r="81" spans="1:10" x14ac:dyDescent="0.3">
      <c r="A81" s="134">
        <v>21002</v>
      </c>
      <c r="B81" s="134" t="s">
        <v>43</v>
      </c>
      <c r="C81" s="134" t="s">
        <v>138</v>
      </c>
      <c r="D81" s="134" t="s">
        <v>231</v>
      </c>
      <c r="E81" s="135">
        <v>4246</v>
      </c>
      <c r="F81" s="135">
        <f t="shared" si="14"/>
        <v>18.861796643632758</v>
      </c>
      <c r="G81" s="136">
        <v>0.44422507403751199</v>
      </c>
      <c r="H81" s="135">
        <v>6127</v>
      </c>
      <c r="I81" s="135">
        <f t="shared" si="15"/>
        <v>159.68861454046632</v>
      </c>
      <c r="J81" s="136">
        <v>2.6063100137174202</v>
      </c>
    </row>
    <row r="82" spans="1:10" x14ac:dyDescent="0.3">
      <c r="A82" s="134">
        <v>21003</v>
      </c>
      <c r="B82" s="134" t="s">
        <v>43</v>
      </c>
      <c r="C82" s="134" t="s">
        <v>138</v>
      </c>
      <c r="D82" s="134" t="s">
        <v>149</v>
      </c>
      <c r="E82" s="135">
        <v>5967</v>
      </c>
      <c r="F82" s="135">
        <f t="shared" si="14"/>
        <v>6.1494331844726879</v>
      </c>
      <c r="G82" s="136">
        <v>0.10305736860185501</v>
      </c>
      <c r="H82" s="135">
        <v>9247</v>
      </c>
      <c r="I82" s="135">
        <f t="shared" si="15"/>
        <v>133.09524344990402</v>
      </c>
      <c r="J82" s="136">
        <v>1.4393343078826</v>
      </c>
    </row>
    <row r="83" spans="1:10" x14ac:dyDescent="0.3">
      <c r="A83" s="134">
        <v>21004</v>
      </c>
      <c r="B83" s="134" t="s">
        <v>43</v>
      </c>
      <c r="C83" s="134" t="s">
        <v>138</v>
      </c>
      <c r="D83" s="134" t="s">
        <v>268</v>
      </c>
      <c r="E83" s="135">
        <v>8976</v>
      </c>
      <c r="F83" s="135">
        <f t="shared" si="14"/>
        <v>19.981722319859387</v>
      </c>
      <c r="G83" s="136">
        <v>0.222612770943175</v>
      </c>
      <c r="H83" s="135">
        <v>11981</v>
      </c>
      <c r="I83" s="135">
        <f t="shared" si="15"/>
        <v>219.8540720027967</v>
      </c>
      <c r="J83" s="136">
        <v>1.8350227193289099</v>
      </c>
    </row>
    <row r="84" spans="1:10" x14ac:dyDescent="0.3">
      <c r="A84" s="134">
        <v>21005</v>
      </c>
      <c r="B84" s="134" t="s">
        <v>43</v>
      </c>
      <c r="C84" s="134" t="s">
        <v>138</v>
      </c>
      <c r="D84" s="134" t="s">
        <v>132</v>
      </c>
      <c r="E84" s="135">
        <v>4067</v>
      </c>
      <c r="F84" s="135">
        <f t="shared" si="14"/>
        <v>2.0478348439073528</v>
      </c>
      <c r="G84" s="136">
        <v>5.0352467270896303E-2</v>
      </c>
      <c r="H84" s="135">
        <v>5552</v>
      </c>
      <c r="I84" s="135">
        <f t="shared" si="15"/>
        <v>30.970621048716982</v>
      </c>
      <c r="J84" s="136">
        <v>0.55782818891781305</v>
      </c>
    </row>
    <row r="85" spans="1:10" x14ac:dyDescent="0.3">
      <c r="A85" s="134">
        <v>21006</v>
      </c>
      <c r="B85" s="134" t="s">
        <v>43</v>
      </c>
      <c r="C85" s="134" t="s">
        <v>138</v>
      </c>
      <c r="D85" s="134" t="s">
        <v>67</v>
      </c>
      <c r="E85" s="135">
        <v>2906</v>
      </c>
      <c r="F85" s="135">
        <f t="shared" si="14"/>
        <v>18.238493723849366</v>
      </c>
      <c r="G85" s="136">
        <v>0.62761506276150603</v>
      </c>
      <c r="H85" s="135">
        <v>4133</v>
      </c>
      <c r="I85" s="135">
        <f t="shared" si="15"/>
        <v>78.7938485002541</v>
      </c>
      <c r="J85" s="136">
        <v>1.9064565327910501</v>
      </c>
    </row>
    <row r="86" spans="1:10" x14ac:dyDescent="0.3">
      <c r="A86" s="134">
        <v>21101</v>
      </c>
      <c r="B86" s="134" t="s">
        <v>43</v>
      </c>
      <c r="C86" s="134" t="s">
        <v>357</v>
      </c>
      <c r="D86" s="134" t="s">
        <v>245</v>
      </c>
      <c r="E86" s="135">
        <v>10723</v>
      </c>
      <c r="F86" s="135">
        <f t="shared" si="14"/>
        <v>83.893330789046814</v>
      </c>
      <c r="G86" s="136">
        <v>0.78236809464745705</v>
      </c>
      <c r="H86" s="135">
        <v>11504</v>
      </c>
      <c r="I86" s="135">
        <f t="shared" si="15"/>
        <v>256.64822416562583</v>
      </c>
      <c r="J86" s="136">
        <v>2.2309477065857601</v>
      </c>
    </row>
    <row r="87" spans="1:10" x14ac:dyDescent="0.3">
      <c r="A87" s="134">
        <v>21102</v>
      </c>
      <c r="B87" s="134" t="s">
        <v>43</v>
      </c>
      <c r="C87" s="134" t="s">
        <v>357</v>
      </c>
      <c r="D87" s="134" t="s">
        <v>273</v>
      </c>
      <c r="E87" s="135">
        <v>10395</v>
      </c>
      <c r="F87" s="135">
        <f t="shared" si="14"/>
        <v>31.601941747572805</v>
      </c>
      <c r="G87" s="136">
        <v>0.30401098362263401</v>
      </c>
      <c r="H87" s="135">
        <v>14520</v>
      </c>
      <c r="I87" s="135">
        <f t="shared" si="15"/>
        <v>199.84472049689387</v>
      </c>
      <c r="J87" s="136">
        <v>1.37634105025409</v>
      </c>
    </row>
    <row r="88" spans="1:10" x14ac:dyDescent="0.3">
      <c r="A88" s="134">
        <v>21103</v>
      </c>
      <c r="B88" s="134" t="s">
        <v>43</v>
      </c>
      <c r="C88" s="134" t="s">
        <v>357</v>
      </c>
      <c r="D88" s="134" t="s">
        <v>94</v>
      </c>
      <c r="E88" s="135">
        <v>3545</v>
      </c>
      <c r="F88" s="135">
        <f t="shared" si="14"/>
        <v>25.119574844995572</v>
      </c>
      <c r="G88" s="136">
        <v>0.70859167404782997</v>
      </c>
      <c r="H88" s="135">
        <v>4335</v>
      </c>
      <c r="I88" s="135">
        <f t="shared" si="15"/>
        <v>114.05141202027514</v>
      </c>
      <c r="J88" s="136">
        <v>2.6309437605599801</v>
      </c>
    </row>
    <row r="89" spans="1:10" x14ac:dyDescent="0.3">
      <c r="A89" s="134">
        <v>21104</v>
      </c>
      <c r="B89" s="134" t="s">
        <v>43</v>
      </c>
      <c r="C89" s="134" t="s">
        <v>357</v>
      </c>
      <c r="D89" s="134" t="s">
        <v>258</v>
      </c>
      <c r="E89" s="135">
        <v>13252</v>
      </c>
      <c r="F89" s="135">
        <f t="shared" si="14"/>
        <v>110.66604230078831</v>
      </c>
      <c r="G89" s="136">
        <v>0.83508936236634701</v>
      </c>
      <c r="H89" s="135">
        <v>16152</v>
      </c>
      <c r="I89" s="135">
        <f t="shared" si="15"/>
        <v>435.81311286291105</v>
      </c>
      <c r="J89" s="136">
        <v>2.6981990642825102</v>
      </c>
    </row>
    <row r="90" spans="1:10" x14ac:dyDescent="0.3">
      <c r="A90" s="134">
        <v>21105</v>
      </c>
      <c r="B90" s="134" t="s">
        <v>43</v>
      </c>
      <c r="C90" s="134" t="s">
        <v>357</v>
      </c>
      <c r="D90" s="134" t="s">
        <v>70</v>
      </c>
      <c r="E90" s="135">
        <v>23097</v>
      </c>
      <c r="F90" s="135">
        <f t="shared" si="14"/>
        <v>39.589636531446473</v>
      </c>
      <c r="G90" s="136">
        <v>0.171405968443722</v>
      </c>
      <c r="H90" s="135">
        <v>27500</v>
      </c>
      <c r="I90" s="135">
        <f t="shared" si="15"/>
        <v>252.25625092469312</v>
      </c>
      <c r="J90" s="136">
        <v>0.91729545790797495</v>
      </c>
    </row>
    <row r="91" spans="1:10" x14ac:dyDescent="0.3">
      <c r="A91" s="134">
        <v>21201</v>
      </c>
      <c r="B91" s="134" t="s">
        <v>43</v>
      </c>
      <c r="C91" s="134" t="s">
        <v>358</v>
      </c>
      <c r="D91" s="134" t="s">
        <v>255</v>
      </c>
      <c r="E91" s="135">
        <v>15241</v>
      </c>
      <c r="F91" s="135">
        <f t="shared" si="14"/>
        <v>35.374384582922985</v>
      </c>
      <c r="G91" s="136">
        <v>0.23210015473343601</v>
      </c>
      <c r="H91" s="135">
        <v>28688</v>
      </c>
      <c r="I91" s="135">
        <f t="shared" si="15"/>
        <v>637.4413309982491</v>
      </c>
      <c r="J91" s="136">
        <v>2.2219789842381799</v>
      </c>
    </row>
    <row r="92" spans="1:10" x14ac:dyDescent="0.3">
      <c r="A92" s="134">
        <v>21202</v>
      </c>
      <c r="B92" s="134" t="s">
        <v>43</v>
      </c>
      <c r="C92" s="134" t="s">
        <v>358</v>
      </c>
      <c r="D92" s="134" t="s">
        <v>267</v>
      </c>
      <c r="E92" s="135">
        <v>12977</v>
      </c>
      <c r="F92" s="135">
        <f t="shared" si="14"/>
        <v>25.422251244796382</v>
      </c>
      <c r="G92" s="136">
        <v>0.195902375316301</v>
      </c>
      <c r="H92" s="135">
        <v>22347</v>
      </c>
      <c r="I92" s="135">
        <f t="shared" si="15"/>
        <v>530.62896139104475</v>
      </c>
      <c r="J92" s="136">
        <v>2.3744975226699099</v>
      </c>
    </row>
    <row r="93" spans="1:10" x14ac:dyDescent="0.3">
      <c r="A93" s="134">
        <v>21203</v>
      </c>
      <c r="B93" s="134" t="s">
        <v>43</v>
      </c>
      <c r="C93" s="134" t="s">
        <v>358</v>
      </c>
      <c r="D93" s="134" t="s">
        <v>277</v>
      </c>
      <c r="E93" s="135">
        <v>9063</v>
      </c>
      <c r="F93" s="135">
        <f t="shared" si="14"/>
        <v>19.650462170489519</v>
      </c>
      <c r="G93" s="136">
        <v>0.21682072349651901</v>
      </c>
      <c r="H93" s="135">
        <v>12792</v>
      </c>
      <c r="I93" s="135">
        <f t="shared" si="15"/>
        <v>242.2845946607882</v>
      </c>
      <c r="J93" s="136">
        <v>1.8940321658910899</v>
      </c>
    </row>
    <row r="94" spans="1:10" x14ac:dyDescent="0.3">
      <c r="A94" s="134">
        <v>21204</v>
      </c>
      <c r="B94" s="134" t="s">
        <v>43</v>
      </c>
      <c r="C94" s="134" t="s">
        <v>358</v>
      </c>
      <c r="D94" s="134" t="s">
        <v>199</v>
      </c>
      <c r="E94" s="135">
        <v>3420</v>
      </c>
      <c r="F94" s="135">
        <f t="shared" si="14"/>
        <v>4.2550544323483628</v>
      </c>
      <c r="G94" s="136">
        <v>0.12441679626749599</v>
      </c>
      <c r="H94" s="135">
        <v>4806</v>
      </c>
      <c r="I94" s="135">
        <f t="shared" si="15"/>
        <v>60.154150197628603</v>
      </c>
      <c r="J94" s="136">
        <v>1.25164690382082</v>
      </c>
    </row>
    <row r="95" spans="1:10" x14ac:dyDescent="0.3">
      <c r="A95" s="134">
        <v>21301</v>
      </c>
      <c r="B95" s="134" t="s">
        <v>43</v>
      </c>
      <c r="C95" s="134" t="s">
        <v>359</v>
      </c>
      <c r="D95" s="134" t="s">
        <v>261</v>
      </c>
      <c r="E95" s="135">
        <v>15817</v>
      </c>
      <c r="F95" s="135">
        <f t="shared" si="14"/>
        <v>45.900804643186888</v>
      </c>
      <c r="G95" s="136">
        <v>0.29019918216594098</v>
      </c>
      <c r="H95" s="135">
        <v>19837</v>
      </c>
      <c r="I95" s="135">
        <f t="shared" si="15"/>
        <v>346.75322487232233</v>
      </c>
      <c r="J95" s="136">
        <v>1.7480124256305001</v>
      </c>
    </row>
    <row r="96" spans="1:10" x14ac:dyDescent="0.3">
      <c r="A96" s="134">
        <v>21302</v>
      </c>
      <c r="B96" s="134" t="s">
        <v>43</v>
      </c>
      <c r="C96" s="134" t="s">
        <v>359</v>
      </c>
      <c r="D96" s="134" t="s">
        <v>232</v>
      </c>
      <c r="E96" s="135">
        <v>5649</v>
      </c>
      <c r="F96" s="135">
        <f t="shared" si="14"/>
        <v>2.0445168295331158</v>
      </c>
      <c r="G96" s="136">
        <v>3.61925443358668E-2</v>
      </c>
      <c r="H96" s="135">
        <v>5809</v>
      </c>
      <c r="I96" s="135">
        <f t="shared" si="15"/>
        <v>49.149054905490544</v>
      </c>
      <c r="J96" s="136">
        <v>0.84608460846084599</v>
      </c>
    </row>
    <row r="97" spans="1:10" x14ac:dyDescent="0.3">
      <c r="A97" s="134">
        <v>21303</v>
      </c>
      <c r="B97" s="134" t="s">
        <v>43</v>
      </c>
      <c r="C97" s="134" t="s">
        <v>359</v>
      </c>
      <c r="D97" s="134" t="s">
        <v>218</v>
      </c>
      <c r="E97" s="135">
        <v>4604</v>
      </c>
      <c r="F97" s="135">
        <f t="shared" si="14"/>
        <v>17.675700090334217</v>
      </c>
      <c r="G97" s="136">
        <v>0.38392050587172499</v>
      </c>
      <c r="H97" s="135">
        <v>7019</v>
      </c>
      <c r="I97" s="135">
        <f t="shared" si="15"/>
        <v>111.1982528871781</v>
      </c>
      <c r="J97" s="136">
        <v>1.58424637251999</v>
      </c>
    </row>
    <row r="98" spans="1:10" x14ac:dyDescent="0.3">
      <c r="A98" s="134">
        <v>21304</v>
      </c>
      <c r="B98" s="134" t="s">
        <v>43</v>
      </c>
      <c r="C98" s="134" t="s">
        <v>359</v>
      </c>
      <c r="D98" s="134" t="s">
        <v>249</v>
      </c>
      <c r="E98" s="135">
        <v>6161</v>
      </c>
      <c r="F98" s="135">
        <f t="shared" si="14"/>
        <v>19.39115229935301</v>
      </c>
      <c r="G98" s="136">
        <v>0.314740339220143</v>
      </c>
      <c r="H98" s="135">
        <v>9007</v>
      </c>
      <c r="I98" s="135">
        <f t="shared" si="15"/>
        <v>128.53596911919547</v>
      </c>
      <c r="J98" s="136">
        <v>1.4270674932740699</v>
      </c>
    </row>
    <row r="99" spans="1:10" x14ac:dyDescent="0.3">
      <c r="A99" s="134">
        <v>21305</v>
      </c>
      <c r="B99" s="134" t="s">
        <v>43</v>
      </c>
      <c r="C99" s="134" t="s">
        <v>359</v>
      </c>
      <c r="D99" s="134" t="s">
        <v>280</v>
      </c>
      <c r="E99" s="135">
        <v>11327</v>
      </c>
      <c r="F99" s="135">
        <f t="shared" si="14"/>
        <v>79.558437909720936</v>
      </c>
      <c r="G99" s="136">
        <v>0.70237872260723</v>
      </c>
      <c r="H99" s="135">
        <v>14080</v>
      </c>
      <c r="I99" s="135">
        <f t="shared" si="15"/>
        <v>632.24444279235718</v>
      </c>
      <c r="J99" s="136">
        <v>4.4903724630138999</v>
      </c>
    </row>
    <row r="100" spans="1:10" x14ac:dyDescent="0.3">
      <c r="A100" s="134">
        <v>21306</v>
      </c>
      <c r="B100" s="134" t="s">
        <v>43</v>
      </c>
      <c r="C100" s="134" t="s">
        <v>359</v>
      </c>
      <c r="D100" s="134" t="s">
        <v>229</v>
      </c>
      <c r="E100" s="135">
        <v>5000</v>
      </c>
      <c r="F100" s="135">
        <f t="shared" si="14"/>
        <v>22.566086395873651</v>
      </c>
      <c r="G100" s="136">
        <v>0.45132172791747299</v>
      </c>
      <c r="H100" s="135">
        <v>6872</v>
      </c>
      <c r="I100" s="135">
        <f t="shared" si="15"/>
        <v>102.0697180963931</v>
      </c>
      <c r="J100" s="136">
        <v>1.4852985753258601</v>
      </c>
    </row>
    <row r="101" spans="1:10" x14ac:dyDescent="0.3">
      <c r="A101" s="134">
        <v>21307</v>
      </c>
      <c r="B101" s="134" t="s">
        <v>43</v>
      </c>
      <c r="C101" s="134" t="s">
        <v>359</v>
      </c>
      <c r="D101" s="134" t="s">
        <v>100</v>
      </c>
      <c r="E101" s="135">
        <v>2645</v>
      </c>
      <c r="F101" s="135">
        <f t="shared" si="14"/>
        <v>9.8327137546468446</v>
      </c>
      <c r="G101" s="136">
        <v>0.37174721189591098</v>
      </c>
      <c r="H101" s="135">
        <v>2876</v>
      </c>
      <c r="I101" s="135">
        <f t="shared" si="15"/>
        <v>65.41159207630227</v>
      </c>
      <c r="J101" s="136">
        <v>2.2743947175348498</v>
      </c>
    </row>
    <row r="102" spans="1:10" x14ac:dyDescent="0.3">
      <c r="A102" s="134">
        <v>21401</v>
      </c>
      <c r="B102" s="134" t="s">
        <v>43</v>
      </c>
      <c r="C102" s="134" t="s">
        <v>360</v>
      </c>
      <c r="D102" s="134" t="s">
        <v>284</v>
      </c>
      <c r="E102" s="135">
        <v>11650</v>
      </c>
      <c r="F102" s="135">
        <f t="shared" si="14"/>
        <v>232.23280234938113</v>
      </c>
      <c r="G102" s="136">
        <v>1.9934146124410399</v>
      </c>
      <c r="H102" s="135">
        <v>16617</v>
      </c>
      <c r="I102" s="135">
        <f t="shared" si="15"/>
        <v>670.72598067083595</v>
      </c>
      <c r="J102" s="136">
        <v>4.0363843092666301</v>
      </c>
    </row>
    <row r="103" spans="1:10" x14ac:dyDescent="0.3">
      <c r="A103" s="134">
        <v>21402</v>
      </c>
      <c r="B103" s="134" t="s">
        <v>43</v>
      </c>
      <c r="C103" s="134" t="s">
        <v>360</v>
      </c>
      <c r="D103" s="134" t="s">
        <v>220</v>
      </c>
      <c r="E103" s="135">
        <v>10571</v>
      </c>
      <c r="F103" s="135">
        <f t="shared" si="14"/>
        <v>26.720396655648489</v>
      </c>
      <c r="G103" s="136">
        <v>0.25277075636787899</v>
      </c>
      <c r="H103" s="135">
        <v>15120</v>
      </c>
      <c r="I103" s="135">
        <f t="shared" si="15"/>
        <v>181.21885157096381</v>
      </c>
      <c r="J103" s="136">
        <v>1.1985373781148401</v>
      </c>
    </row>
    <row r="104" spans="1:10" x14ac:dyDescent="0.3">
      <c r="A104" s="134">
        <v>21501</v>
      </c>
      <c r="B104" s="134" t="s">
        <v>43</v>
      </c>
      <c r="C104" s="134" t="s">
        <v>361</v>
      </c>
      <c r="D104" s="134" t="s">
        <v>194</v>
      </c>
      <c r="E104" s="135">
        <v>4211</v>
      </c>
      <c r="F104" s="135">
        <f t="shared" si="14"/>
        <v>40.872770199370422</v>
      </c>
      <c r="G104" s="136">
        <v>0.97061909758656895</v>
      </c>
      <c r="H104" s="135">
        <v>6457</v>
      </c>
      <c r="I104" s="135">
        <f t="shared" si="15"/>
        <v>160.39614316064731</v>
      </c>
      <c r="J104" s="136">
        <v>2.4840660238601102</v>
      </c>
    </row>
    <row r="105" spans="1:10" x14ac:dyDescent="0.3">
      <c r="A105" s="134">
        <v>21502</v>
      </c>
      <c r="B105" s="134" t="s">
        <v>43</v>
      </c>
      <c r="C105" s="134" t="s">
        <v>361</v>
      </c>
      <c r="D105" s="134" t="s">
        <v>133</v>
      </c>
      <c r="E105" s="135">
        <v>3743</v>
      </c>
      <c r="F105" s="135">
        <f t="shared" si="14"/>
        <v>179.8501978518938</v>
      </c>
      <c r="G105" s="136">
        <v>4.80497456189938</v>
      </c>
      <c r="H105" s="135">
        <v>4915</v>
      </c>
      <c r="I105" s="135">
        <f t="shared" si="15"/>
        <v>298.48605150214604</v>
      </c>
      <c r="J105" s="136">
        <v>6.0729613733905596</v>
      </c>
    </row>
    <row r="106" spans="1:10" x14ac:dyDescent="0.3">
      <c r="A106" s="134">
        <v>21601</v>
      </c>
      <c r="B106" s="134" t="s">
        <v>43</v>
      </c>
      <c r="C106" s="134" t="s">
        <v>362</v>
      </c>
      <c r="D106" s="134" t="s">
        <v>313</v>
      </c>
      <c r="E106" s="135">
        <v>6604</v>
      </c>
      <c r="F106" s="135">
        <f t="shared" si="14"/>
        <v>11.39692500784434</v>
      </c>
      <c r="G106" s="136">
        <v>0.17257609036711599</v>
      </c>
      <c r="H106" s="135">
        <v>8963</v>
      </c>
      <c r="I106" s="135">
        <f t="shared" si="15"/>
        <v>105.25282063089993</v>
      </c>
      <c r="J106" s="136">
        <v>1.1743034768593099</v>
      </c>
    </row>
    <row r="107" spans="1:10" x14ac:dyDescent="0.3">
      <c r="A107" s="134">
        <v>21602</v>
      </c>
      <c r="B107" s="134" t="s">
        <v>43</v>
      </c>
      <c r="C107" s="134" t="s">
        <v>362</v>
      </c>
      <c r="D107" s="134" t="s">
        <v>108</v>
      </c>
      <c r="E107" s="135">
        <v>1590</v>
      </c>
      <c r="F107" s="135">
        <f t="shared" si="14"/>
        <v>4.1869651086240989</v>
      </c>
      <c r="G107" s="136">
        <v>0.26333113890717602</v>
      </c>
      <c r="H107" s="135">
        <v>3218</v>
      </c>
      <c r="I107" s="135">
        <f t="shared" si="15"/>
        <v>26.342501637197131</v>
      </c>
      <c r="J107" s="136">
        <v>0.81859855926653602</v>
      </c>
    </row>
    <row r="108" spans="1:10" x14ac:dyDescent="0.3">
      <c r="A108" s="134">
        <v>21701</v>
      </c>
      <c r="B108" s="134" t="s">
        <v>43</v>
      </c>
      <c r="C108" s="134" t="s">
        <v>363</v>
      </c>
      <c r="D108" s="134" t="s">
        <v>251</v>
      </c>
      <c r="E108" s="135">
        <v>8246</v>
      </c>
      <c r="F108" s="135">
        <f t="shared" si="14"/>
        <v>454.09105939208933</v>
      </c>
      <c r="G108" s="136">
        <v>5.5068040188223302</v>
      </c>
      <c r="H108" s="135">
        <v>10611</v>
      </c>
      <c r="I108" s="135">
        <f t="shared" si="15"/>
        <v>813.44091796875</v>
      </c>
      <c r="J108" s="136">
        <v>7.666015625</v>
      </c>
    </row>
    <row r="109" spans="1:10" x14ac:dyDescent="0.3">
      <c r="A109" s="134">
        <v>21702</v>
      </c>
      <c r="B109" s="134" t="s">
        <v>43</v>
      </c>
      <c r="C109" s="134" t="s">
        <v>363</v>
      </c>
      <c r="D109" s="134" t="s">
        <v>184</v>
      </c>
      <c r="E109" s="135">
        <v>3371</v>
      </c>
      <c r="F109" s="135">
        <f t="shared" si="14"/>
        <v>122.29674418604664</v>
      </c>
      <c r="G109" s="136">
        <v>3.6279069767441898</v>
      </c>
      <c r="H109" s="135">
        <v>5690</v>
      </c>
      <c r="I109" s="135">
        <f t="shared" si="15"/>
        <v>280.75657894736844</v>
      </c>
      <c r="J109" s="136">
        <v>4.9342105263157903</v>
      </c>
    </row>
    <row r="110" spans="1:10" x14ac:dyDescent="0.3">
      <c r="A110" s="134">
        <v>21703</v>
      </c>
      <c r="B110" s="134" t="s">
        <v>43</v>
      </c>
      <c r="C110" s="134" t="s">
        <v>363</v>
      </c>
      <c r="D110" s="134" t="s">
        <v>135</v>
      </c>
      <c r="E110" s="135">
        <v>3399</v>
      </c>
      <c r="F110" s="135">
        <f t="shared" si="14"/>
        <v>7.2034514078110732</v>
      </c>
      <c r="G110" s="136">
        <v>0.21192854980320899</v>
      </c>
      <c r="H110" s="135">
        <v>4862</v>
      </c>
      <c r="I110" s="135">
        <f t="shared" si="15"/>
        <v>63.662935586061067</v>
      </c>
      <c r="J110" s="136">
        <v>1.3093980992608201</v>
      </c>
    </row>
    <row r="111" spans="1:10" x14ac:dyDescent="0.3">
      <c r="A111" s="134">
        <v>21801</v>
      </c>
      <c r="B111" s="134" t="s">
        <v>43</v>
      </c>
      <c r="C111" s="134" t="s">
        <v>364</v>
      </c>
      <c r="D111" s="134" t="s">
        <v>314</v>
      </c>
      <c r="E111" s="135">
        <v>5511</v>
      </c>
      <c r="F111" s="135">
        <f t="shared" si="14"/>
        <v>7.2595031990967032</v>
      </c>
      <c r="G111" s="136">
        <v>0.13172751223184001</v>
      </c>
      <c r="H111" s="135">
        <v>6082</v>
      </c>
      <c r="I111" s="135">
        <f t="shared" si="15"/>
        <v>33.167007498295845</v>
      </c>
      <c r="J111" s="136">
        <v>0.54533060668029998</v>
      </c>
    </row>
    <row r="112" spans="1:10" x14ac:dyDescent="0.3">
      <c r="A112" s="134">
        <v>21802</v>
      </c>
      <c r="B112" s="134" t="s">
        <v>43</v>
      </c>
      <c r="C112" s="134" t="s">
        <v>365</v>
      </c>
      <c r="D112" s="134" t="s">
        <v>197</v>
      </c>
      <c r="E112" s="135">
        <v>4060</v>
      </c>
      <c r="F112" s="135">
        <f t="shared" si="14"/>
        <v>3.1809872029250461</v>
      </c>
      <c r="G112" s="136">
        <v>7.8349438495690801E-2</v>
      </c>
      <c r="H112" s="135">
        <v>4317</v>
      </c>
      <c r="I112" s="135">
        <f t="shared" si="15"/>
        <v>33.080459770114921</v>
      </c>
      <c r="J112" s="136">
        <v>0.76628352490421403</v>
      </c>
    </row>
    <row r="113" spans="1:10" x14ac:dyDescent="0.3">
      <c r="A113" s="134">
        <v>21803</v>
      </c>
      <c r="B113" s="134" t="s">
        <v>43</v>
      </c>
      <c r="C113" s="134" t="s">
        <v>365</v>
      </c>
      <c r="D113" s="134" t="s">
        <v>49</v>
      </c>
      <c r="E113" s="135">
        <v>1167</v>
      </c>
      <c r="F113" s="135">
        <f t="shared" si="14"/>
        <v>1.0336581045172715</v>
      </c>
      <c r="G113" s="136">
        <v>8.8573959255978704E-2</v>
      </c>
      <c r="H113" s="135">
        <v>1291</v>
      </c>
      <c r="I113" s="135">
        <f t="shared" si="15"/>
        <v>13.491157556270123</v>
      </c>
      <c r="J113" s="136">
        <v>1.04501607717042</v>
      </c>
    </row>
    <row r="114" spans="1:10" x14ac:dyDescent="0.3">
      <c r="A114" s="134">
        <v>21901</v>
      </c>
      <c r="B114" s="134" t="s">
        <v>43</v>
      </c>
      <c r="C114" s="134" t="s">
        <v>366</v>
      </c>
      <c r="D114" s="134" t="s">
        <v>50</v>
      </c>
      <c r="E114" s="135">
        <v>2617</v>
      </c>
      <c r="F114" s="135">
        <f t="shared" si="14"/>
        <v>11.678296146044634</v>
      </c>
      <c r="G114" s="136">
        <v>0.44624746450304298</v>
      </c>
      <c r="H114" s="135">
        <v>4548</v>
      </c>
      <c r="I114" s="135">
        <f t="shared" si="15"/>
        <v>79.140338983050739</v>
      </c>
      <c r="J114" s="136">
        <v>1.74011299435028</v>
      </c>
    </row>
    <row r="115" spans="1:10" x14ac:dyDescent="0.3">
      <c r="A115" s="134">
        <v>21902</v>
      </c>
      <c r="B115" s="134" t="s">
        <v>43</v>
      </c>
      <c r="C115" s="134" t="s">
        <v>366</v>
      </c>
      <c r="D115" s="134" t="s">
        <v>28</v>
      </c>
      <c r="E115" s="135">
        <v>1518</v>
      </c>
      <c r="F115" s="135">
        <f t="shared" si="14"/>
        <v>3.2025316455696187</v>
      </c>
      <c r="G115" s="136">
        <v>0.21097046413502099</v>
      </c>
      <c r="H115" s="135">
        <v>3153</v>
      </c>
      <c r="I115" s="135">
        <f t="shared" si="15"/>
        <v>28.926605504587172</v>
      </c>
      <c r="J115" s="136">
        <v>0.91743119266055095</v>
      </c>
    </row>
    <row r="116" spans="1:10" x14ac:dyDescent="0.3">
      <c r="A116" s="134">
        <v>22001</v>
      </c>
      <c r="B116" s="134" t="s">
        <v>43</v>
      </c>
      <c r="C116" s="134" t="s">
        <v>260</v>
      </c>
      <c r="D116" s="134" t="s">
        <v>260</v>
      </c>
      <c r="E116" s="135">
        <v>28173</v>
      </c>
      <c r="F116" s="135">
        <f t="shared" si="14"/>
        <v>254.62538733953073</v>
      </c>
      <c r="G116" s="136">
        <v>0.90379223845359302</v>
      </c>
      <c r="H116" s="135">
        <v>35350</v>
      </c>
      <c r="I116" s="135">
        <f t="shared" si="15"/>
        <v>1365.521897381707</v>
      </c>
      <c r="J116" s="136">
        <v>3.8628625102735699</v>
      </c>
    </row>
    <row r="117" spans="1:10" x14ac:dyDescent="0.3">
      <c r="A117" s="134">
        <v>22002</v>
      </c>
      <c r="B117" s="134" t="s">
        <v>43</v>
      </c>
      <c r="C117" s="134" t="s">
        <v>260</v>
      </c>
      <c r="D117" s="134" t="s">
        <v>185</v>
      </c>
      <c r="E117" s="135">
        <v>6458</v>
      </c>
      <c r="F117" s="135">
        <f t="shared" si="14"/>
        <v>20.488578680203052</v>
      </c>
      <c r="G117" s="136">
        <v>0.31725888324873103</v>
      </c>
      <c r="H117" s="135">
        <v>6554</v>
      </c>
      <c r="I117" s="135">
        <f t="shared" si="15"/>
        <v>80.749532127261531</v>
      </c>
      <c r="J117" s="136">
        <v>1.2320648783530901</v>
      </c>
    </row>
    <row r="118" spans="1:10" x14ac:dyDescent="0.3">
      <c r="A118" s="134">
        <v>30101</v>
      </c>
      <c r="B118" s="134" t="s">
        <v>51</v>
      </c>
      <c r="C118" s="134" t="s">
        <v>367</v>
      </c>
      <c r="D118" s="134" t="s">
        <v>51</v>
      </c>
      <c r="E118" s="135">
        <v>277048</v>
      </c>
      <c r="F118" s="135">
        <f t="shared" si="14"/>
        <v>6046.9022397723584</v>
      </c>
      <c r="G118" s="136">
        <v>2.18261898290995</v>
      </c>
      <c r="H118" s="135">
        <v>333398</v>
      </c>
      <c r="I118" s="135">
        <f t="shared" si="15"/>
        <v>23510.260094989233</v>
      </c>
      <c r="J118" s="136">
        <v>7.0517099967574</v>
      </c>
    </row>
    <row r="119" spans="1:10" x14ac:dyDescent="0.3">
      <c r="A119" s="134">
        <v>30201</v>
      </c>
      <c r="B119" s="134" t="s">
        <v>51</v>
      </c>
      <c r="C119" s="134" t="s">
        <v>368</v>
      </c>
      <c r="D119" s="134" t="s">
        <v>252</v>
      </c>
      <c r="E119" s="135">
        <v>9016</v>
      </c>
      <c r="F119" s="135">
        <f t="shared" si="14"/>
        <v>70.008362202843159</v>
      </c>
      <c r="G119" s="136">
        <v>0.77649026400668997</v>
      </c>
      <c r="H119" s="135">
        <v>12640</v>
      </c>
      <c r="I119" s="135">
        <f t="shared" si="15"/>
        <v>444.98873779928203</v>
      </c>
      <c r="J119" s="136">
        <v>3.52048052056394</v>
      </c>
    </row>
    <row r="120" spans="1:10" x14ac:dyDescent="0.3">
      <c r="A120" s="134">
        <v>30202</v>
      </c>
      <c r="B120" s="134" t="s">
        <v>51</v>
      </c>
      <c r="C120" s="134" t="s">
        <v>368</v>
      </c>
      <c r="D120" s="134" t="s">
        <v>145</v>
      </c>
      <c r="E120" s="135">
        <v>3153</v>
      </c>
      <c r="F120" s="135">
        <f t="shared" si="14"/>
        <v>7.391493636972533</v>
      </c>
      <c r="G120" s="136">
        <v>0.23442732752846601</v>
      </c>
      <c r="H120" s="135">
        <v>3759</v>
      </c>
      <c r="I120" s="135">
        <f t="shared" si="15"/>
        <v>61.096694214876038</v>
      </c>
      <c r="J120" s="136">
        <v>1.6253443526170801</v>
      </c>
    </row>
    <row r="121" spans="1:10" x14ac:dyDescent="0.3">
      <c r="A121" s="134">
        <v>30203</v>
      </c>
      <c r="B121" s="134" t="s">
        <v>51</v>
      </c>
      <c r="C121" s="134" t="s">
        <v>368</v>
      </c>
      <c r="D121" s="134" t="s">
        <v>56</v>
      </c>
      <c r="E121" s="135">
        <v>2791</v>
      </c>
      <c r="F121" s="135">
        <f t="shared" si="14"/>
        <v>4.2416413373860324</v>
      </c>
      <c r="G121" s="136">
        <v>0.151975683890578</v>
      </c>
      <c r="H121" s="135">
        <v>3903</v>
      </c>
      <c r="I121" s="135">
        <f t="shared" si="15"/>
        <v>58.518875502007958</v>
      </c>
      <c r="J121" s="136">
        <v>1.49933065595716</v>
      </c>
    </row>
    <row r="122" spans="1:10" x14ac:dyDescent="0.3">
      <c r="A122" s="134">
        <v>30301</v>
      </c>
      <c r="B122" s="134" t="s">
        <v>51</v>
      </c>
      <c r="C122" s="134" t="s">
        <v>369</v>
      </c>
      <c r="D122" s="134" t="s">
        <v>211</v>
      </c>
      <c r="E122" s="137">
        <v>11278</v>
      </c>
      <c r="F122" s="135">
        <f t="shared" si="14"/>
        <v>29.471208586094239</v>
      </c>
      <c r="G122" s="138">
        <v>0.26131591227251499</v>
      </c>
      <c r="H122" s="137">
        <v>12390</v>
      </c>
      <c r="I122" s="135">
        <f t="shared" si="15"/>
        <v>171.54579991557628</v>
      </c>
      <c r="J122" s="138">
        <v>1.38455044322499</v>
      </c>
    </row>
    <row r="123" spans="1:10" x14ac:dyDescent="0.3">
      <c r="A123" s="134">
        <v>30302</v>
      </c>
      <c r="B123" s="134" t="s">
        <v>51</v>
      </c>
      <c r="C123" s="134" t="s">
        <v>369</v>
      </c>
      <c r="D123" s="134" t="s">
        <v>177</v>
      </c>
      <c r="E123" s="135">
        <v>6413</v>
      </c>
      <c r="F123" s="135">
        <f t="shared" si="14"/>
        <v>4.2128428313351964</v>
      </c>
      <c r="G123" s="136">
        <v>6.5692231893578604E-2</v>
      </c>
      <c r="H123" s="135">
        <v>8546</v>
      </c>
      <c r="I123" s="135">
        <f t="shared" si="15"/>
        <v>64.380558930741202</v>
      </c>
      <c r="J123" s="136">
        <v>0.75334143377885798</v>
      </c>
    </row>
    <row r="124" spans="1:10" x14ac:dyDescent="0.3">
      <c r="A124" s="134">
        <v>30303</v>
      </c>
      <c r="B124" s="134" t="s">
        <v>51</v>
      </c>
      <c r="C124" s="134" t="s">
        <v>369</v>
      </c>
      <c r="D124" s="134" t="s">
        <v>66</v>
      </c>
      <c r="E124" s="135">
        <v>8745</v>
      </c>
      <c r="F124" s="135">
        <f t="shared" si="14"/>
        <v>9.5226860254083832</v>
      </c>
      <c r="G124" s="136">
        <v>0.108892921960073</v>
      </c>
      <c r="H124" s="135">
        <v>11233</v>
      </c>
      <c r="I124" s="135">
        <f t="shared" si="15"/>
        <v>43.94020676166523</v>
      </c>
      <c r="J124" s="136">
        <v>0.39117071807767501</v>
      </c>
    </row>
    <row r="125" spans="1:10" x14ac:dyDescent="0.3">
      <c r="A125" s="134">
        <v>30401</v>
      </c>
      <c r="B125" s="134" t="s">
        <v>51</v>
      </c>
      <c r="C125" s="134" t="s">
        <v>370</v>
      </c>
      <c r="D125" s="134" t="s">
        <v>171</v>
      </c>
      <c r="E125" s="135">
        <v>3373</v>
      </c>
      <c r="F125" s="135">
        <f t="shared" si="14"/>
        <v>25.180183237190349</v>
      </c>
      <c r="G125" s="136">
        <v>0.746521886664404</v>
      </c>
      <c r="H125" s="135">
        <v>5957</v>
      </c>
      <c r="I125" s="135">
        <f t="shared" si="15"/>
        <v>263.26337448559673</v>
      </c>
      <c r="J125" s="136">
        <v>4.41939524065128</v>
      </c>
    </row>
    <row r="126" spans="1:10" x14ac:dyDescent="0.3">
      <c r="A126" s="134">
        <v>30402</v>
      </c>
      <c r="B126" s="134" t="s">
        <v>51</v>
      </c>
      <c r="C126" s="134" t="s">
        <v>370</v>
      </c>
      <c r="D126" s="134" t="s">
        <v>153</v>
      </c>
      <c r="E126" s="135">
        <v>3280</v>
      </c>
      <c r="F126" s="135">
        <f t="shared" si="14"/>
        <v>7.4763920547053191</v>
      </c>
      <c r="G126" s="136">
        <v>0.22793878215565</v>
      </c>
      <c r="H126" s="135">
        <v>4398</v>
      </c>
      <c r="I126" s="135">
        <f t="shared" si="15"/>
        <v>63.53960992053922</v>
      </c>
      <c r="J126" s="136">
        <v>1.44473874307729</v>
      </c>
    </row>
    <row r="127" spans="1:10" x14ac:dyDescent="0.3">
      <c r="A127" s="134">
        <v>30403</v>
      </c>
      <c r="B127" s="134" t="s">
        <v>51</v>
      </c>
      <c r="C127" s="134" t="s">
        <v>370</v>
      </c>
      <c r="D127" s="134" t="s">
        <v>259</v>
      </c>
      <c r="E127" s="135">
        <v>7359</v>
      </c>
      <c r="F127" s="135">
        <f t="shared" si="14"/>
        <v>99.177897574124259</v>
      </c>
      <c r="G127" s="136">
        <v>1.3477088948787099</v>
      </c>
      <c r="H127" s="135">
        <v>14597</v>
      </c>
      <c r="I127" s="135">
        <f t="shared" si="15"/>
        <v>844.64437450826154</v>
      </c>
      <c r="J127" s="136">
        <v>5.78642443315929</v>
      </c>
    </row>
    <row r="128" spans="1:10" x14ac:dyDescent="0.3">
      <c r="A128" s="134">
        <v>30404</v>
      </c>
      <c r="B128" s="134" t="s">
        <v>51</v>
      </c>
      <c r="C128" s="134" t="s">
        <v>370</v>
      </c>
      <c r="D128" s="134" t="s">
        <v>155</v>
      </c>
      <c r="E128" s="135">
        <v>2115</v>
      </c>
      <c r="F128" s="135">
        <f t="shared" si="14"/>
        <v>8.5627530364372539</v>
      </c>
      <c r="G128" s="136">
        <v>0.40485829959514202</v>
      </c>
      <c r="H128" s="135">
        <v>3084</v>
      </c>
      <c r="I128" s="135">
        <f t="shared" si="15"/>
        <v>34.592794017675153</v>
      </c>
      <c r="J128" s="136">
        <v>1.1216859279401801</v>
      </c>
    </row>
    <row r="129" spans="1:10" x14ac:dyDescent="0.3">
      <c r="A129" s="134">
        <v>30501</v>
      </c>
      <c r="B129" s="134" t="s">
        <v>51</v>
      </c>
      <c r="C129" s="134" t="s">
        <v>179</v>
      </c>
      <c r="D129" s="134" t="s">
        <v>179</v>
      </c>
      <c r="E129" s="135">
        <v>4510</v>
      </c>
      <c r="F129" s="135">
        <f t="shared" si="14"/>
        <v>22.149204864359209</v>
      </c>
      <c r="G129" s="136">
        <v>0.49111318989710001</v>
      </c>
      <c r="H129" s="135">
        <v>6576</v>
      </c>
      <c r="I129" s="135">
        <f t="shared" si="15"/>
        <v>185.35676959619929</v>
      </c>
      <c r="J129" s="136">
        <v>2.8186856690419599</v>
      </c>
    </row>
    <row r="130" spans="1:10" x14ac:dyDescent="0.3">
      <c r="A130" s="134">
        <v>30502</v>
      </c>
      <c r="B130" s="134" t="s">
        <v>51</v>
      </c>
      <c r="C130" s="134" t="s">
        <v>179</v>
      </c>
      <c r="D130" s="134" t="s">
        <v>238</v>
      </c>
      <c r="E130" s="135">
        <v>4753</v>
      </c>
      <c r="F130" s="135">
        <f t="shared" si="14"/>
        <v>7.4249051550992959</v>
      </c>
      <c r="G130" s="136">
        <v>0.156215130551216</v>
      </c>
      <c r="H130" s="135">
        <v>5510</v>
      </c>
      <c r="I130" s="135">
        <f t="shared" si="15"/>
        <v>101.20621094489668</v>
      </c>
      <c r="J130" s="136">
        <v>1.8367733383828799</v>
      </c>
    </row>
    <row r="131" spans="1:10" x14ac:dyDescent="0.3">
      <c r="A131" s="134">
        <v>30601</v>
      </c>
      <c r="B131" s="134" t="s">
        <v>51</v>
      </c>
      <c r="C131" s="134" t="s">
        <v>128</v>
      </c>
      <c r="D131" s="134" t="s">
        <v>128</v>
      </c>
      <c r="E131" s="135">
        <v>4987</v>
      </c>
      <c r="F131" s="135">
        <f t="shared" ref="F131:F194" si="16">E131*(G131/100)</f>
        <v>6.1937487062719834</v>
      </c>
      <c r="G131" s="136">
        <v>0.124197888635893</v>
      </c>
      <c r="H131" s="135">
        <v>5521</v>
      </c>
      <c r="I131" s="135">
        <f t="shared" ref="I131:I194" si="17">H131*(J131/100)</f>
        <v>55.07491059664973</v>
      </c>
      <c r="J131" s="136">
        <v>0.99755317146621503</v>
      </c>
    </row>
    <row r="132" spans="1:10" x14ac:dyDescent="0.3">
      <c r="A132" s="134">
        <v>30602</v>
      </c>
      <c r="B132" s="134" t="s">
        <v>51</v>
      </c>
      <c r="C132" s="134" t="s">
        <v>128</v>
      </c>
      <c r="D132" s="134" t="s">
        <v>48</v>
      </c>
      <c r="E132" s="135">
        <v>5366</v>
      </c>
      <c r="F132" s="135">
        <f t="shared" si="16"/>
        <v>3.1515270164447933</v>
      </c>
      <c r="G132" s="136">
        <v>5.8731401722787797E-2</v>
      </c>
      <c r="H132" s="135">
        <v>6223</v>
      </c>
      <c r="I132" s="135">
        <f t="shared" si="17"/>
        <v>43.186715135492378</v>
      </c>
      <c r="J132" s="136">
        <v>0.69398545935227995</v>
      </c>
    </row>
    <row r="133" spans="1:10" x14ac:dyDescent="0.3">
      <c r="A133" s="134">
        <v>30701</v>
      </c>
      <c r="B133" s="134" t="s">
        <v>51</v>
      </c>
      <c r="C133" s="134" t="s">
        <v>269</v>
      </c>
      <c r="D133" s="134" t="s">
        <v>269</v>
      </c>
      <c r="E133" s="135">
        <v>8979</v>
      </c>
      <c r="F133" s="135">
        <f t="shared" si="16"/>
        <v>52.540124193933565</v>
      </c>
      <c r="G133" s="136">
        <v>0.58514449486505804</v>
      </c>
      <c r="H133" s="135">
        <v>10173</v>
      </c>
      <c r="I133" s="135">
        <f t="shared" si="17"/>
        <v>390.34348318074223</v>
      </c>
      <c r="J133" s="136">
        <v>3.8370538010492701</v>
      </c>
    </row>
    <row r="134" spans="1:10" x14ac:dyDescent="0.3">
      <c r="A134" s="134">
        <v>30702</v>
      </c>
      <c r="B134" s="134" t="s">
        <v>51</v>
      </c>
      <c r="C134" s="134" t="s">
        <v>269</v>
      </c>
      <c r="D134" s="134" t="s">
        <v>176</v>
      </c>
      <c r="E134" s="135">
        <v>2838</v>
      </c>
      <c r="F134" s="135">
        <f t="shared" si="16"/>
        <v>11.621621621621637</v>
      </c>
      <c r="G134" s="136">
        <v>0.40950040950041</v>
      </c>
      <c r="H134" s="135">
        <v>4312</v>
      </c>
      <c r="I134" s="135">
        <f t="shared" si="17"/>
        <v>144.9411764705884</v>
      </c>
      <c r="J134" s="136">
        <v>3.3613445378151301</v>
      </c>
    </row>
    <row r="135" spans="1:10" x14ac:dyDescent="0.3">
      <c r="A135" s="134">
        <v>30703</v>
      </c>
      <c r="B135" s="134" t="s">
        <v>51</v>
      </c>
      <c r="C135" s="134" t="s">
        <v>269</v>
      </c>
      <c r="D135" s="134" t="s">
        <v>96</v>
      </c>
      <c r="E135" s="135">
        <v>1733</v>
      </c>
      <c r="F135" s="135">
        <f t="shared" si="16"/>
        <v>0</v>
      </c>
      <c r="G135" s="136">
        <v>0</v>
      </c>
      <c r="H135" s="135">
        <v>2149</v>
      </c>
      <c r="I135" s="135">
        <f t="shared" si="17"/>
        <v>23.889318511358145</v>
      </c>
      <c r="J135" s="136">
        <v>1.11164813919768</v>
      </c>
    </row>
    <row r="136" spans="1:10" x14ac:dyDescent="0.3">
      <c r="A136" s="134">
        <v>30801</v>
      </c>
      <c r="B136" s="134" t="s">
        <v>51</v>
      </c>
      <c r="C136" s="134" t="s">
        <v>371</v>
      </c>
      <c r="D136" s="134" t="s">
        <v>202</v>
      </c>
      <c r="E136" s="135">
        <v>9696</v>
      </c>
      <c r="F136" s="135">
        <f t="shared" si="16"/>
        <v>126.83720930232549</v>
      </c>
      <c r="G136" s="136">
        <v>1.3081395348837199</v>
      </c>
      <c r="H136" s="135">
        <v>11306</v>
      </c>
      <c r="I136" s="135">
        <f t="shared" si="17"/>
        <v>555.05048814504892</v>
      </c>
      <c r="J136" s="136">
        <v>4.9093444909344504</v>
      </c>
    </row>
    <row r="137" spans="1:10" x14ac:dyDescent="0.3">
      <c r="A137" s="134">
        <v>30802</v>
      </c>
      <c r="B137" s="134" t="s">
        <v>51</v>
      </c>
      <c r="C137" s="134" t="s">
        <v>371</v>
      </c>
      <c r="D137" s="134" t="s">
        <v>315</v>
      </c>
      <c r="E137" s="135">
        <v>3550</v>
      </c>
      <c r="F137" s="135">
        <f t="shared" si="16"/>
        <v>12.76978417266186</v>
      </c>
      <c r="G137" s="136">
        <v>0.35971223021582699</v>
      </c>
      <c r="H137" s="135">
        <v>4238</v>
      </c>
      <c r="I137" s="135">
        <f t="shared" si="17"/>
        <v>56.562530894710889</v>
      </c>
      <c r="J137" s="136">
        <v>1.3346515076618899</v>
      </c>
    </row>
    <row r="138" spans="1:10" x14ac:dyDescent="0.3">
      <c r="A138" s="134">
        <v>30803</v>
      </c>
      <c r="B138" s="134" t="s">
        <v>51</v>
      </c>
      <c r="C138" s="134" t="s">
        <v>371</v>
      </c>
      <c r="D138" s="134" t="s">
        <v>19</v>
      </c>
      <c r="E138" s="135">
        <v>2038</v>
      </c>
      <c r="F138" s="135">
        <f t="shared" si="16"/>
        <v>67.822149481723898</v>
      </c>
      <c r="G138" s="136">
        <v>3.3278777959629</v>
      </c>
      <c r="H138" s="135">
        <v>4482</v>
      </c>
      <c r="I138" s="135">
        <f t="shared" si="17"/>
        <v>331.05075053609704</v>
      </c>
      <c r="J138" s="136">
        <v>7.3862282582797203</v>
      </c>
    </row>
    <row r="139" spans="1:10" x14ac:dyDescent="0.3">
      <c r="A139" s="134">
        <v>30901</v>
      </c>
      <c r="B139" s="134" t="s">
        <v>51</v>
      </c>
      <c r="C139" s="134" t="s">
        <v>299</v>
      </c>
      <c r="D139" s="134" t="s">
        <v>299</v>
      </c>
      <c r="E139" s="135">
        <v>58153</v>
      </c>
      <c r="F139" s="135">
        <f t="shared" si="16"/>
        <v>985.29073036358068</v>
      </c>
      <c r="G139" s="136">
        <v>1.6943076545725599</v>
      </c>
      <c r="H139" s="135">
        <v>81128</v>
      </c>
      <c r="I139" s="135">
        <f t="shared" si="17"/>
        <v>5406.7760608226627</v>
      </c>
      <c r="J139" s="136">
        <v>6.6645006173240597</v>
      </c>
    </row>
    <row r="140" spans="1:10" x14ac:dyDescent="0.3">
      <c r="A140" s="134">
        <v>30902</v>
      </c>
      <c r="B140" s="134" t="s">
        <v>51</v>
      </c>
      <c r="C140" s="134" t="s">
        <v>299</v>
      </c>
      <c r="D140" s="134" t="s">
        <v>292</v>
      </c>
      <c r="E140" s="135">
        <v>17791</v>
      </c>
      <c r="F140" s="135">
        <f t="shared" si="16"/>
        <v>132.07292576419215</v>
      </c>
      <c r="G140" s="136">
        <v>0.74235807860262004</v>
      </c>
      <c r="H140" s="135">
        <v>26860</v>
      </c>
      <c r="I140" s="135">
        <f t="shared" si="17"/>
        <v>1297.3318272114664</v>
      </c>
      <c r="J140" s="136">
        <v>4.82997701865773</v>
      </c>
    </row>
    <row r="141" spans="1:10" x14ac:dyDescent="0.3">
      <c r="A141" s="134">
        <v>30903</v>
      </c>
      <c r="B141" s="134" t="s">
        <v>51</v>
      </c>
      <c r="C141" s="134" t="s">
        <v>299</v>
      </c>
      <c r="D141" s="134" t="s">
        <v>283</v>
      </c>
      <c r="E141" s="135">
        <v>23525</v>
      </c>
      <c r="F141" s="135">
        <f t="shared" si="16"/>
        <v>343.02939664438861</v>
      </c>
      <c r="G141" s="136">
        <v>1.4581483385521301</v>
      </c>
      <c r="H141" s="135">
        <v>31172</v>
      </c>
      <c r="I141" s="135">
        <f t="shared" si="17"/>
        <v>2211.4339520021754</v>
      </c>
      <c r="J141" s="136">
        <v>7.0942960092460403</v>
      </c>
    </row>
    <row r="142" spans="1:10" x14ac:dyDescent="0.3">
      <c r="A142" s="134">
        <v>30904</v>
      </c>
      <c r="B142" s="134" t="s">
        <v>51</v>
      </c>
      <c r="C142" s="134" t="s">
        <v>299</v>
      </c>
      <c r="D142" s="134" t="s">
        <v>288</v>
      </c>
      <c r="E142" s="135">
        <v>21451</v>
      </c>
      <c r="F142" s="135">
        <f t="shared" si="16"/>
        <v>244.29427017133568</v>
      </c>
      <c r="G142" s="136">
        <v>1.1388479332960499</v>
      </c>
      <c r="H142" s="135">
        <v>27016</v>
      </c>
      <c r="I142" s="135">
        <f t="shared" si="17"/>
        <v>1596.7772290702649</v>
      </c>
      <c r="J142" s="136">
        <v>5.9104872263483301</v>
      </c>
    </row>
    <row r="143" spans="1:10" x14ac:dyDescent="0.3">
      <c r="A143" s="134">
        <v>30905</v>
      </c>
      <c r="B143" s="134" t="s">
        <v>51</v>
      </c>
      <c r="C143" s="134" t="s">
        <v>299</v>
      </c>
      <c r="D143" s="134" t="s">
        <v>213</v>
      </c>
      <c r="E143" s="135">
        <v>22478</v>
      </c>
      <c r="F143" s="135">
        <f t="shared" si="16"/>
        <v>457.70696007169255</v>
      </c>
      <c r="G143" s="136">
        <v>2.03624415015434</v>
      </c>
      <c r="H143" s="135">
        <v>32833</v>
      </c>
      <c r="I143" s="135">
        <f t="shared" si="17"/>
        <v>2373.3165595426499</v>
      </c>
      <c r="J143" s="136">
        <v>7.2284486935176497</v>
      </c>
    </row>
    <row r="144" spans="1:10" x14ac:dyDescent="0.3">
      <c r="A144" s="134">
        <v>31001</v>
      </c>
      <c r="B144" s="134" t="s">
        <v>51</v>
      </c>
      <c r="C144" s="134" t="s">
        <v>372</v>
      </c>
      <c r="D144" s="134" t="s">
        <v>303</v>
      </c>
      <c r="E144" s="135">
        <v>72792</v>
      </c>
      <c r="F144" s="135">
        <f t="shared" si="16"/>
        <v>1115.1656689636438</v>
      </c>
      <c r="G144" s="136">
        <v>1.53198932432636</v>
      </c>
      <c r="H144" s="135">
        <v>108229</v>
      </c>
      <c r="I144" s="135">
        <f t="shared" si="17"/>
        <v>6919.3640386279876</v>
      </c>
      <c r="J144" s="136">
        <v>6.3932624699738403</v>
      </c>
    </row>
    <row r="145" spans="1:10" x14ac:dyDescent="0.3">
      <c r="A145" s="134">
        <v>31002</v>
      </c>
      <c r="B145" s="134" t="s">
        <v>51</v>
      </c>
      <c r="C145" s="134" t="s">
        <v>372</v>
      </c>
      <c r="D145" s="134" t="s">
        <v>275</v>
      </c>
      <c r="E145" s="135">
        <v>9447</v>
      </c>
      <c r="F145" s="135">
        <f t="shared" si="16"/>
        <v>39.940587449933204</v>
      </c>
      <c r="G145" s="136">
        <v>0.422785936804628</v>
      </c>
      <c r="H145" s="135">
        <v>12798</v>
      </c>
      <c r="I145" s="135">
        <f t="shared" si="17"/>
        <v>358.08852163953145</v>
      </c>
      <c r="J145" s="136">
        <v>2.7980037633968702</v>
      </c>
    </row>
    <row r="146" spans="1:10" x14ac:dyDescent="0.3">
      <c r="A146" s="134">
        <v>31003</v>
      </c>
      <c r="B146" s="134" t="s">
        <v>51</v>
      </c>
      <c r="C146" s="134" t="s">
        <v>372</v>
      </c>
      <c r="D146" s="134" t="s">
        <v>195</v>
      </c>
      <c r="E146" s="135">
        <v>35802</v>
      </c>
      <c r="F146" s="135">
        <f t="shared" si="16"/>
        <v>228.46264291411842</v>
      </c>
      <c r="G146" s="136">
        <v>0.638128157404945</v>
      </c>
      <c r="H146" s="135">
        <v>53555</v>
      </c>
      <c r="I146" s="135">
        <f t="shared" si="17"/>
        <v>1306.067458238753</v>
      </c>
      <c r="J146" s="136">
        <v>2.43874046912287</v>
      </c>
    </row>
    <row r="147" spans="1:10" x14ac:dyDescent="0.3">
      <c r="A147" s="134">
        <v>31101</v>
      </c>
      <c r="B147" s="134" t="s">
        <v>51</v>
      </c>
      <c r="C147" s="134" t="s">
        <v>63</v>
      </c>
      <c r="D147" s="134" t="s">
        <v>63</v>
      </c>
      <c r="E147" s="135">
        <v>12517</v>
      </c>
      <c r="F147" s="135">
        <f t="shared" si="16"/>
        <v>15.806954032665439</v>
      </c>
      <c r="G147" s="136">
        <v>0.12628388617612399</v>
      </c>
      <c r="H147" s="135">
        <v>13726</v>
      </c>
      <c r="I147" s="135">
        <f t="shared" si="17"/>
        <v>121.11176470588239</v>
      </c>
      <c r="J147" s="136">
        <v>0.88235294117647101</v>
      </c>
    </row>
    <row r="148" spans="1:10" x14ac:dyDescent="0.3">
      <c r="A148" s="134">
        <v>31201</v>
      </c>
      <c r="B148" s="134" t="s">
        <v>51</v>
      </c>
      <c r="C148" s="134" t="s">
        <v>373</v>
      </c>
      <c r="D148" s="134" t="s">
        <v>180</v>
      </c>
      <c r="E148" s="135">
        <v>7293</v>
      </c>
      <c r="F148" s="135">
        <f t="shared" si="16"/>
        <v>22.106379907621271</v>
      </c>
      <c r="G148" s="136">
        <v>0.30311778290993102</v>
      </c>
      <c r="H148" s="135">
        <v>8839</v>
      </c>
      <c r="I148" s="135">
        <f t="shared" si="17"/>
        <v>119.28902424459582</v>
      </c>
      <c r="J148" s="136">
        <v>1.3495760181535901</v>
      </c>
    </row>
    <row r="149" spans="1:10" x14ac:dyDescent="0.3">
      <c r="A149" s="134">
        <v>31202</v>
      </c>
      <c r="B149" s="134" t="s">
        <v>51</v>
      </c>
      <c r="C149" s="134" t="s">
        <v>373</v>
      </c>
      <c r="D149" s="134" t="s">
        <v>205</v>
      </c>
      <c r="E149" s="135">
        <v>4931</v>
      </c>
      <c r="F149" s="135">
        <f t="shared" si="16"/>
        <v>8.5533391153512603</v>
      </c>
      <c r="G149" s="136">
        <v>0.17346053772766701</v>
      </c>
      <c r="H149" s="135">
        <v>6849</v>
      </c>
      <c r="I149" s="135">
        <f t="shared" si="17"/>
        <v>80.257647237863239</v>
      </c>
      <c r="J149" s="136">
        <v>1.1718155531882499</v>
      </c>
    </row>
    <row r="150" spans="1:10" x14ac:dyDescent="0.3">
      <c r="A150" s="134">
        <v>31203</v>
      </c>
      <c r="B150" s="134" t="s">
        <v>51</v>
      </c>
      <c r="C150" s="134" t="s">
        <v>373</v>
      </c>
      <c r="D150" s="134" t="s">
        <v>242</v>
      </c>
      <c r="E150" s="135">
        <v>5945</v>
      </c>
      <c r="F150" s="135">
        <f t="shared" si="16"/>
        <v>12.622080679405549</v>
      </c>
      <c r="G150" s="136">
        <v>0.21231422505307901</v>
      </c>
      <c r="H150" s="135">
        <v>7459</v>
      </c>
      <c r="I150" s="135">
        <f t="shared" si="17"/>
        <v>64.420076454764242</v>
      </c>
      <c r="J150" s="136">
        <v>0.86365567039501601</v>
      </c>
    </row>
    <row r="151" spans="1:10" x14ac:dyDescent="0.3">
      <c r="A151" s="134">
        <v>31204</v>
      </c>
      <c r="B151" s="134" t="s">
        <v>51</v>
      </c>
      <c r="C151" s="134" t="s">
        <v>373</v>
      </c>
      <c r="D151" s="134" t="s">
        <v>237</v>
      </c>
      <c r="E151" s="135">
        <v>10601</v>
      </c>
      <c r="F151" s="135">
        <f t="shared" si="16"/>
        <v>77.68671755725191</v>
      </c>
      <c r="G151" s="136">
        <v>0.73282442748091603</v>
      </c>
      <c r="H151" s="135">
        <v>15187</v>
      </c>
      <c r="I151" s="135">
        <f t="shared" si="17"/>
        <v>547.34502642960092</v>
      </c>
      <c r="J151" s="136">
        <v>3.60403652090341</v>
      </c>
    </row>
    <row r="152" spans="1:10" x14ac:dyDescent="0.3">
      <c r="A152" s="134">
        <v>31205</v>
      </c>
      <c r="B152" s="134" t="s">
        <v>51</v>
      </c>
      <c r="C152" s="134" t="s">
        <v>373</v>
      </c>
      <c r="D152" s="134" t="s">
        <v>270</v>
      </c>
      <c r="E152" s="135">
        <v>22871</v>
      </c>
      <c r="F152" s="135">
        <f t="shared" si="16"/>
        <v>172.15299007157694</v>
      </c>
      <c r="G152" s="136">
        <v>0.75271299930731905</v>
      </c>
      <c r="H152" s="135">
        <v>36242</v>
      </c>
      <c r="I152" s="135">
        <f t="shared" si="17"/>
        <v>1308.0271902458589</v>
      </c>
      <c r="J152" s="136">
        <v>3.6091473711325501</v>
      </c>
    </row>
    <row r="153" spans="1:10" x14ac:dyDescent="0.3">
      <c r="A153" s="134">
        <v>31206</v>
      </c>
      <c r="B153" s="134" t="s">
        <v>51</v>
      </c>
      <c r="C153" s="134" t="s">
        <v>373</v>
      </c>
      <c r="D153" s="134" t="s">
        <v>223</v>
      </c>
      <c r="E153" s="135">
        <v>14831</v>
      </c>
      <c r="F153" s="135">
        <f t="shared" si="16"/>
        <v>109.74087643678159</v>
      </c>
      <c r="G153" s="136">
        <v>0.73994252873563204</v>
      </c>
      <c r="H153" s="135">
        <v>24581</v>
      </c>
      <c r="I153" s="135">
        <f t="shared" si="17"/>
        <v>927.07618967262931</v>
      </c>
      <c r="J153" s="136">
        <v>3.7715153560580501</v>
      </c>
    </row>
    <row r="154" spans="1:10" x14ac:dyDescent="0.3">
      <c r="A154" s="134">
        <v>31301</v>
      </c>
      <c r="B154" s="134" t="s">
        <v>51</v>
      </c>
      <c r="C154" s="134" t="s">
        <v>224</v>
      </c>
      <c r="D154" s="134" t="s">
        <v>224</v>
      </c>
      <c r="E154" s="135">
        <v>9236</v>
      </c>
      <c r="F154" s="135">
        <f t="shared" si="16"/>
        <v>43.321816725775065</v>
      </c>
      <c r="G154" s="136">
        <v>0.469053883994966</v>
      </c>
      <c r="H154" s="135">
        <v>11004</v>
      </c>
      <c r="I154" s="135">
        <f t="shared" si="17"/>
        <v>333.98722044728424</v>
      </c>
      <c r="J154" s="136">
        <v>3.0351437699680499</v>
      </c>
    </row>
    <row r="155" spans="1:10" x14ac:dyDescent="0.3">
      <c r="A155" s="134">
        <v>31302</v>
      </c>
      <c r="B155" s="134" t="s">
        <v>51</v>
      </c>
      <c r="C155" s="134" t="s">
        <v>224</v>
      </c>
      <c r="D155" s="134" t="s">
        <v>38</v>
      </c>
      <c r="E155" s="135">
        <v>2418</v>
      </c>
      <c r="F155" s="135">
        <f t="shared" si="16"/>
        <v>4.172562553925796</v>
      </c>
      <c r="G155" s="136">
        <v>0.172562553925798</v>
      </c>
      <c r="H155" s="135">
        <v>2455</v>
      </c>
      <c r="I155" s="135">
        <f t="shared" si="17"/>
        <v>39.647258818529544</v>
      </c>
      <c r="J155" s="136">
        <v>1.6149596260093499</v>
      </c>
    </row>
    <row r="156" spans="1:10" x14ac:dyDescent="0.3">
      <c r="A156" s="134">
        <v>31303</v>
      </c>
      <c r="B156" s="134" t="s">
        <v>51</v>
      </c>
      <c r="C156" s="134" t="s">
        <v>224</v>
      </c>
      <c r="D156" s="134" t="s">
        <v>21</v>
      </c>
      <c r="E156" s="135">
        <v>1567</v>
      </c>
      <c r="F156" s="135">
        <f t="shared" si="16"/>
        <v>4.0833876221498366</v>
      </c>
      <c r="G156" s="136">
        <v>0.26058631921824099</v>
      </c>
      <c r="H156" s="135">
        <v>2054</v>
      </c>
      <c r="I156" s="135">
        <f t="shared" si="17"/>
        <v>34.547400611620745</v>
      </c>
      <c r="J156" s="136">
        <v>1.6819571865443399</v>
      </c>
    </row>
    <row r="157" spans="1:10" x14ac:dyDescent="0.3">
      <c r="A157" s="134">
        <v>31304</v>
      </c>
      <c r="B157" s="134" t="s">
        <v>51</v>
      </c>
      <c r="C157" s="134" t="s">
        <v>224</v>
      </c>
      <c r="D157" s="134" t="s">
        <v>316</v>
      </c>
      <c r="E157" s="135">
        <v>3802</v>
      </c>
      <c r="F157" s="135">
        <f t="shared" si="16"/>
        <v>1.0511473596903531</v>
      </c>
      <c r="G157" s="136">
        <v>2.7647221454243899E-2</v>
      </c>
      <c r="H157" s="135">
        <v>4315</v>
      </c>
      <c r="I157" s="135">
        <f t="shared" si="17"/>
        <v>33.041397463508019</v>
      </c>
      <c r="J157" s="136">
        <v>0.76573342905001196</v>
      </c>
    </row>
    <row r="158" spans="1:10" x14ac:dyDescent="0.3">
      <c r="A158" s="134">
        <v>31401</v>
      </c>
      <c r="B158" s="134" t="s">
        <v>51</v>
      </c>
      <c r="C158" s="134" t="s">
        <v>240</v>
      </c>
      <c r="D158" s="134" t="s">
        <v>240</v>
      </c>
      <c r="E158" s="135">
        <v>12982</v>
      </c>
      <c r="F158" s="135">
        <f t="shared" si="16"/>
        <v>159.71948818897621</v>
      </c>
      <c r="G158" s="136">
        <v>1.23031496062992</v>
      </c>
      <c r="H158" s="135">
        <v>19306</v>
      </c>
      <c r="I158" s="135">
        <f t="shared" si="17"/>
        <v>1001.175453759723</v>
      </c>
      <c r="J158" s="136">
        <v>5.1858254105445099</v>
      </c>
    </row>
    <row r="159" spans="1:10" x14ac:dyDescent="0.3">
      <c r="A159" s="134">
        <v>31402</v>
      </c>
      <c r="B159" s="134" t="s">
        <v>51</v>
      </c>
      <c r="C159" s="134" t="s">
        <v>240</v>
      </c>
      <c r="D159" s="134" t="s">
        <v>163</v>
      </c>
      <c r="E159" s="135">
        <v>3452</v>
      </c>
      <c r="F159" s="135">
        <f t="shared" si="16"/>
        <v>10.790872147546114</v>
      </c>
      <c r="G159" s="136">
        <v>0.31259768677711802</v>
      </c>
      <c r="H159" s="135">
        <v>4827</v>
      </c>
      <c r="I159" s="135">
        <f t="shared" si="17"/>
        <v>113.62598081952909</v>
      </c>
      <c r="J159" s="136">
        <v>2.3539668700959</v>
      </c>
    </row>
    <row r="160" spans="1:10" x14ac:dyDescent="0.3">
      <c r="A160" s="134">
        <v>31403</v>
      </c>
      <c r="B160" s="134" t="s">
        <v>51</v>
      </c>
      <c r="C160" s="134" t="s">
        <v>240</v>
      </c>
      <c r="D160" s="134" t="s">
        <v>156</v>
      </c>
      <c r="E160" s="135">
        <v>5988</v>
      </c>
      <c r="F160" s="135">
        <f t="shared" si="16"/>
        <v>37.728172817281724</v>
      </c>
      <c r="G160" s="136">
        <v>0.63006300630062995</v>
      </c>
      <c r="H160" s="135">
        <v>7267</v>
      </c>
      <c r="I160" s="135">
        <f t="shared" si="17"/>
        <v>232.96375451263546</v>
      </c>
      <c r="J160" s="136">
        <v>3.2057761732852001</v>
      </c>
    </row>
    <row r="161" spans="1:10" x14ac:dyDescent="0.3">
      <c r="A161" s="134">
        <v>31404</v>
      </c>
      <c r="B161" s="134" t="s">
        <v>51</v>
      </c>
      <c r="C161" s="134" t="s">
        <v>240</v>
      </c>
      <c r="D161" s="134" t="s">
        <v>7</v>
      </c>
      <c r="E161" s="135">
        <v>561</v>
      </c>
      <c r="F161" s="135">
        <f t="shared" si="16"/>
        <v>2.1453154875717035</v>
      </c>
      <c r="G161" s="136">
        <v>0.38240917782026801</v>
      </c>
      <c r="H161" s="135">
        <v>733</v>
      </c>
      <c r="I161" s="135">
        <f t="shared" si="17"/>
        <v>13.750360750360779</v>
      </c>
      <c r="J161" s="136">
        <v>1.87590187590188</v>
      </c>
    </row>
    <row r="162" spans="1:10" x14ac:dyDescent="0.3">
      <c r="A162" s="134">
        <v>31405</v>
      </c>
      <c r="B162" s="134" t="s">
        <v>51</v>
      </c>
      <c r="C162" s="134" t="s">
        <v>240</v>
      </c>
      <c r="D162" s="134" t="s">
        <v>317</v>
      </c>
      <c r="E162" s="135">
        <v>1294</v>
      </c>
      <c r="F162" s="135">
        <f t="shared" si="16"/>
        <v>1.0685383980181664</v>
      </c>
      <c r="G162" s="136">
        <v>8.2576383154417801E-2</v>
      </c>
      <c r="H162" s="135">
        <v>2120</v>
      </c>
      <c r="I162" s="135">
        <f t="shared" si="17"/>
        <v>27.166091670773877</v>
      </c>
      <c r="J162" s="136">
        <v>1.2814194184327301</v>
      </c>
    </row>
    <row r="163" spans="1:10" x14ac:dyDescent="0.3">
      <c r="A163" s="134">
        <v>31501</v>
      </c>
      <c r="B163" s="134" t="s">
        <v>51</v>
      </c>
      <c r="C163" s="134" t="s">
        <v>318</v>
      </c>
      <c r="D163" s="134" t="s">
        <v>318</v>
      </c>
      <c r="E163" s="135">
        <v>4302</v>
      </c>
      <c r="F163" s="135">
        <f t="shared" si="16"/>
        <v>4.158530691155149</v>
      </c>
      <c r="G163" s="136">
        <v>9.6665055582406997E-2</v>
      </c>
      <c r="H163" s="135">
        <v>4416</v>
      </c>
      <c r="I163" s="135">
        <f t="shared" si="17"/>
        <v>33.210810810810806</v>
      </c>
      <c r="J163" s="136">
        <v>0.75205640423031705</v>
      </c>
    </row>
    <row r="164" spans="1:10" x14ac:dyDescent="0.3">
      <c r="A164" s="134">
        <v>31601</v>
      </c>
      <c r="B164" s="134" t="s">
        <v>51</v>
      </c>
      <c r="C164" s="134" t="s">
        <v>282</v>
      </c>
      <c r="D164" s="134" t="s">
        <v>282</v>
      </c>
      <c r="E164" s="135">
        <v>10079</v>
      </c>
      <c r="F164" s="135">
        <f t="shared" si="16"/>
        <v>23.097708333333365</v>
      </c>
      <c r="G164" s="136">
        <v>0.22916666666666699</v>
      </c>
      <c r="H164" s="135">
        <v>11290</v>
      </c>
      <c r="I164" s="135">
        <f t="shared" si="17"/>
        <v>128.90482279868519</v>
      </c>
      <c r="J164" s="136">
        <v>1.1417610522469901</v>
      </c>
    </row>
    <row r="165" spans="1:10" x14ac:dyDescent="0.3">
      <c r="A165" s="134">
        <v>31602</v>
      </c>
      <c r="B165" s="134" t="s">
        <v>51</v>
      </c>
      <c r="C165" s="134" t="s">
        <v>282</v>
      </c>
      <c r="D165" s="134" t="s">
        <v>243</v>
      </c>
      <c r="E165" s="135">
        <v>10357</v>
      </c>
      <c r="F165" s="135">
        <f t="shared" si="16"/>
        <v>112.3341860227152</v>
      </c>
      <c r="G165" s="136">
        <v>1.0846208943006199</v>
      </c>
      <c r="H165" s="135">
        <v>15014</v>
      </c>
      <c r="I165" s="135">
        <f t="shared" si="17"/>
        <v>688.06324000557231</v>
      </c>
      <c r="J165" s="136">
        <v>4.5828109764591201</v>
      </c>
    </row>
    <row r="166" spans="1:10" x14ac:dyDescent="0.3">
      <c r="A166" s="134">
        <v>40101</v>
      </c>
      <c r="B166" s="134" t="s">
        <v>57</v>
      </c>
      <c r="C166" s="134" t="s">
        <v>367</v>
      </c>
      <c r="D166" s="134" t="s">
        <v>57</v>
      </c>
      <c r="E166" s="137">
        <v>107221</v>
      </c>
      <c r="F166" s="135">
        <f t="shared" si="16"/>
        <v>2543.1946418533698</v>
      </c>
      <c r="G166" s="138">
        <v>2.3719184132337601</v>
      </c>
      <c r="H166" s="137">
        <v>140452</v>
      </c>
      <c r="I166" s="135">
        <f t="shared" si="17"/>
        <v>10306.163285889548</v>
      </c>
      <c r="J166" s="138">
        <v>7.3378544170887903</v>
      </c>
    </row>
    <row r="167" spans="1:10" x14ac:dyDescent="0.3">
      <c r="A167" s="134">
        <v>40102</v>
      </c>
      <c r="B167" s="134" t="s">
        <v>57</v>
      </c>
      <c r="C167" s="134" t="s">
        <v>367</v>
      </c>
      <c r="D167" s="134" t="s">
        <v>286</v>
      </c>
      <c r="E167" s="135">
        <v>10525</v>
      </c>
      <c r="F167" s="135">
        <f t="shared" si="16"/>
        <v>98.811326468806783</v>
      </c>
      <c r="G167" s="136">
        <v>0.93882495457298598</v>
      </c>
      <c r="H167" s="135">
        <v>12452</v>
      </c>
      <c r="I167" s="135">
        <f t="shared" si="17"/>
        <v>493.50198161733687</v>
      </c>
      <c r="J167" s="136">
        <v>3.96323467408719</v>
      </c>
    </row>
    <row r="168" spans="1:10" x14ac:dyDescent="0.3">
      <c r="A168" s="134">
        <v>40103</v>
      </c>
      <c r="B168" s="134" t="s">
        <v>57</v>
      </c>
      <c r="C168" s="134" t="s">
        <v>367</v>
      </c>
      <c r="D168" s="134" t="s">
        <v>32</v>
      </c>
      <c r="E168" s="135">
        <v>4933</v>
      </c>
      <c r="F168" s="135">
        <f t="shared" si="16"/>
        <v>2.0592778125652256</v>
      </c>
      <c r="G168" s="136">
        <v>4.1744938426215801E-2</v>
      </c>
      <c r="H168" s="135">
        <v>5777</v>
      </c>
      <c r="I168" s="135">
        <f t="shared" si="17"/>
        <v>80.533439209458194</v>
      </c>
      <c r="J168" s="136">
        <v>1.3940356449620599</v>
      </c>
    </row>
    <row r="169" spans="1:10" x14ac:dyDescent="0.3">
      <c r="A169" s="134">
        <v>40104</v>
      </c>
      <c r="B169" s="134" t="s">
        <v>57</v>
      </c>
      <c r="C169" s="134" t="s">
        <v>367</v>
      </c>
      <c r="D169" s="134" t="s">
        <v>227</v>
      </c>
      <c r="E169" s="135">
        <v>6571</v>
      </c>
      <c r="F169" s="135">
        <f t="shared" si="16"/>
        <v>15.772923667786834</v>
      </c>
      <c r="G169" s="136">
        <v>0.24003840614498301</v>
      </c>
      <c r="H169" s="135">
        <v>9302</v>
      </c>
      <c r="I169" s="135">
        <f t="shared" si="17"/>
        <v>182.453485765523</v>
      </c>
      <c r="J169" s="136">
        <v>1.96144362250616</v>
      </c>
    </row>
    <row r="170" spans="1:10" x14ac:dyDescent="0.3">
      <c r="A170" s="134">
        <v>40201</v>
      </c>
      <c r="B170" s="134" t="s">
        <v>57</v>
      </c>
      <c r="C170" s="134" t="s">
        <v>374</v>
      </c>
      <c r="D170" s="134" t="s">
        <v>247</v>
      </c>
      <c r="E170" s="135">
        <v>13567</v>
      </c>
      <c r="F170" s="135">
        <f t="shared" si="16"/>
        <v>117.67242313947183</v>
      </c>
      <c r="G170" s="136">
        <v>0.86734298768682705</v>
      </c>
      <c r="H170" s="135">
        <v>19005</v>
      </c>
      <c r="I170" s="135">
        <f t="shared" si="17"/>
        <v>600.52973977695137</v>
      </c>
      <c r="J170" s="136">
        <v>3.15985130111524</v>
      </c>
    </row>
    <row r="171" spans="1:10" x14ac:dyDescent="0.3">
      <c r="A171" s="134">
        <v>40202</v>
      </c>
      <c r="B171" s="134" t="s">
        <v>57</v>
      </c>
      <c r="C171" s="134" t="s">
        <v>374</v>
      </c>
      <c r="D171" s="134" t="s">
        <v>319</v>
      </c>
      <c r="E171" s="135">
        <v>2294</v>
      </c>
      <c r="F171" s="135">
        <f t="shared" si="16"/>
        <v>4.1576801087449091</v>
      </c>
      <c r="G171" s="136">
        <v>0.18124150430448599</v>
      </c>
      <c r="H171" s="135">
        <v>3044</v>
      </c>
      <c r="I171" s="135">
        <f t="shared" si="17"/>
        <v>44.44550084889655</v>
      </c>
      <c r="J171" s="136">
        <v>1.46010186757216</v>
      </c>
    </row>
    <row r="172" spans="1:10" x14ac:dyDescent="0.3">
      <c r="A172" s="134">
        <v>40301</v>
      </c>
      <c r="B172" s="134" t="s">
        <v>57</v>
      </c>
      <c r="C172" s="134" t="s">
        <v>8</v>
      </c>
      <c r="D172" s="134" t="s">
        <v>190</v>
      </c>
      <c r="E172" s="135">
        <v>4421</v>
      </c>
      <c r="F172" s="135">
        <f t="shared" si="16"/>
        <v>12.395327102803741</v>
      </c>
      <c r="G172" s="136">
        <v>0.28037383177570102</v>
      </c>
      <c r="H172" s="135">
        <v>8742</v>
      </c>
      <c r="I172" s="135">
        <f t="shared" si="17"/>
        <v>159.0399524375741</v>
      </c>
      <c r="J172" s="136">
        <v>1.8192627824019001</v>
      </c>
    </row>
    <row r="173" spans="1:10" x14ac:dyDescent="0.3">
      <c r="A173" s="134">
        <v>40302</v>
      </c>
      <c r="B173" s="134" t="s">
        <v>57</v>
      </c>
      <c r="C173" s="134" t="s">
        <v>8</v>
      </c>
      <c r="D173" s="134" t="s">
        <v>320</v>
      </c>
      <c r="E173" s="135">
        <v>951</v>
      </c>
      <c r="F173" s="135">
        <f t="shared" si="16"/>
        <v>1.0404814004376344</v>
      </c>
      <c r="G173" s="136">
        <v>0.109409190371991</v>
      </c>
      <c r="H173" s="135">
        <v>1409</v>
      </c>
      <c r="I173" s="135">
        <f t="shared" si="17"/>
        <v>23.828676470588302</v>
      </c>
      <c r="J173" s="136">
        <v>1.6911764705882399</v>
      </c>
    </row>
    <row r="174" spans="1:10" x14ac:dyDescent="0.3">
      <c r="A174" s="134">
        <v>40401</v>
      </c>
      <c r="B174" s="134" t="s">
        <v>57</v>
      </c>
      <c r="C174" s="134" t="s">
        <v>375</v>
      </c>
      <c r="D174" s="134" t="s">
        <v>110</v>
      </c>
      <c r="E174" s="135">
        <v>1952</v>
      </c>
      <c r="F174" s="135">
        <f t="shared" si="16"/>
        <v>6.3895253682487674</v>
      </c>
      <c r="G174" s="136">
        <v>0.32733224222585899</v>
      </c>
      <c r="H174" s="135">
        <v>4034</v>
      </c>
      <c r="I174" s="135">
        <f t="shared" si="17"/>
        <v>77.141764405915154</v>
      </c>
      <c r="J174" s="136">
        <v>1.9122896481386999</v>
      </c>
    </row>
    <row r="175" spans="1:10" x14ac:dyDescent="0.3">
      <c r="A175" s="134">
        <v>40402</v>
      </c>
      <c r="B175" s="134" t="s">
        <v>57</v>
      </c>
      <c r="C175" s="134" t="s">
        <v>375</v>
      </c>
      <c r="D175" s="134" t="s">
        <v>144</v>
      </c>
      <c r="E175" s="135">
        <v>2765</v>
      </c>
      <c r="F175" s="135">
        <f t="shared" si="16"/>
        <v>16.956688386354923</v>
      </c>
      <c r="G175" s="136">
        <v>0.61326178612495197</v>
      </c>
      <c r="H175" s="135">
        <v>3587</v>
      </c>
      <c r="I175" s="135">
        <f t="shared" si="17"/>
        <v>68.107594936708864</v>
      </c>
      <c r="J175" s="136">
        <v>1.89873417721519</v>
      </c>
    </row>
    <row r="176" spans="1:10" x14ac:dyDescent="0.3">
      <c r="A176" s="134">
        <v>40501</v>
      </c>
      <c r="B176" s="134" t="s">
        <v>57</v>
      </c>
      <c r="C176" s="134" t="s">
        <v>376</v>
      </c>
      <c r="D176" s="134" t="s">
        <v>6</v>
      </c>
      <c r="E176" s="135">
        <v>345</v>
      </c>
      <c r="F176" s="135">
        <f t="shared" si="16"/>
        <v>6.3302752293577953</v>
      </c>
      <c r="G176" s="136">
        <v>1.8348623853210999</v>
      </c>
      <c r="H176" s="135">
        <v>2101</v>
      </c>
      <c r="I176" s="135">
        <f t="shared" si="17"/>
        <v>62.987296747967548</v>
      </c>
      <c r="J176" s="136">
        <v>2.9979674796747999</v>
      </c>
    </row>
    <row r="177" spans="1:10" x14ac:dyDescent="0.3">
      <c r="A177" s="134">
        <v>40502</v>
      </c>
      <c r="B177" s="134" t="s">
        <v>57</v>
      </c>
      <c r="C177" s="134" t="s">
        <v>376</v>
      </c>
      <c r="D177" s="134" t="s">
        <v>111</v>
      </c>
      <c r="E177" s="135">
        <v>2052</v>
      </c>
      <c r="F177" s="135">
        <f t="shared" si="16"/>
        <v>4.1517450682852877</v>
      </c>
      <c r="G177" s="136">
        <v>0.20232675771370801</v>
      </c>
      <c r="H177" s="135">
        <v>2188</v>
      </c>
      <c r="I177" s="135">
        <f t="shared" si="17"/>
        <v>32.161213845424278</v>
      </c>
      <c r="J177" s="136">
        <v>1.4698909435751499</v>
      </c>
    </row>
    <row r="178" spans="1:10" x14ac:dyDescent="0.3">
      <c r="A178" s="134">
        <v>40503</v>
      </c>
      <c r="B178" s="134" t="s">
        <v>57</v>
      </c>
      <c r="C178" s="134" t="s">
        <v>376</v>
      </c>
      <c r="D178" s="134" t="s">
        <v>40</v>
      </c>
      <c r="E178" s="135">
        <v>800</v>
      </c>
      <c r="F178" s="135">
        <f t="shared" si="16"/>
        <v>2.0915032679738559</v>
      </c>
      <c r="G178" s="136">
        <v>0.26143790849673199</v>
      </c>
      <c r="H178" s="135">
        <v>852</v>
      </c>
      <c r="I178" s="135">
        <f t="shared" si="17"/>
        <v>6.1664656212303965</v>
      </c>
      <c r="J178" s="136">
        <v>0.72376357056694796</v>
      </c>
    </row>
    <row r="179" spans="1:10" x14ac:dyDescent="0.3">
      <c r="A179" s="134">
        <v>40504</v>
      </c>
      <c r="B179" s="134" t="s">
        <v>57</v>
      </c>
      <c r="C179" s="134" t="s">
        <v>376</v>
      </c>
      <c r="D179" s="134" t="s">
        <v>321</v>
      </c>
      <c r="E179" s="135">
        <v>250</v>
      </c>
      <c r="F179" s="135">
        <f t="shared" si="16"/>
        <v>0</v>
      </c>
      <c r="G179" s="136">
        <v>0</v>
      </c>
      <c r="H179" s="135">
        <v>444</v>
      </c>
      <c r="I179" s="135">
        <f t="shared" si="17"/>
        <v>9.2714617169373597</v>
      </c>
      <c r="J179" s="136">
        <v>2.0881670533642702</v>
      </c>
    </row>
    <row r="180" spans="1:10" x14ac:dyDescent="0.3">
      <c r="A180" s="134">
        <v>40505</v>
      </c>
      <c r="B180" s="134" t="s">
        <v>57</v>
      </c>
      <c r="C180" s="134" t="s">
        <v>376</v>
      </c>
      <c r="D180" s="134" t="s">
        <v>22</v>
      </c>
      <c r="E180" s="135">
        <v>1134</v>
      </c>
      <c r="F180" s="135">
        <f t="shared" si="16"/>
        <v>0</v>
      </c>
      <c r="G180" s="136">
        <v>0</v>
      </c>
      <c r="H180" s="135">
        <v>2083</v>
      </c>
      <c r="I180" s="135">
        <f t="shared" si="17"/>
        <v>11.467967967967978</v>
      </c>
      <c r="J180" s="136">
        <v>0.55055055055055102</v>
      </c>
    </row>
    <row r="181" spans="1:10" x14ac:dyDescent="0.3">
      <c r="A181" s="134">
        <v>40601</v>
      </c>
      <c r="B181" s="134" t="s">
        <v>57</v>
      </c>
      <c r="C181" s="134" t="s">
        <v>208</v>
      </c>
      <c r="D181" s="134" t="s">
        <v>208</v>
      </c>
      <c r="E181" s="135">
        <v>3632</v>
      </c>
      <c r="F181" s="135">
        <f t="shared" si="16"/>
        <v>21.024602026049191</v>
      </c>
      <c r="G181" s="136">
        <v>0.57887120115774204</v>
      </c>
      <c r="H181" s="135">
        <v>4721</v>
      </c>
      <c r="I181" s="135">
        <f t="shared" si="17"/>
        <v>174.66046409807367</v>
      </c>
      <c r="J181" s="136">
        <v>3.69964973730298</v>
      </c>
    </row>
    <row r="182" spans="1:10" x14ac:dyDescent="0.3">
      <c r="A182" s="134">
        <v>40602</v>
      </c>
      <c r="B182" s="134" t="s">
        <v>57</v>
      </c>
      <c r="C182" s="134" t="s">
        <v>208</v>
      </c>
      <c r="D182" s="134" t="s">
        <v>137</v>
      </c>
      <c r="E182" s="135">
        <v>2965</v>
      </c>
      <c r="F182" s="135">
        <f t="shared" si="16"/>
        <v>18.752635277582559</v>
      </c>
      <c r="G182" s="136">
        <v>0.63246661981728702</v>
      </c>
      <c r="H182" s="135">
        <v>2360</v>
      </c>
      <c r="I182" s="135">
        <f t="shared" si="17"/>
        <v>41.703670140462258</v>
      </c>
      <c r="J182" s="136">
        <v>1.76710466696874</v>
      </c>
    </row>
    <row r="183" spans="1:10" x14ac:dyDescent="0.3">
      <c r="A183" s="134">
        <v>40603</v>
      </c>
      <c r="B183" s="134" t="s">
        <v>57</v>
      </c>
      <c r="C183" s="134" t="s">
        <v>208</v>
      </c>
      <c r="D183" s="134" t="s">
        <v>45</v>
      </c>
      <c r="E183" s="135">
        <v>1412</v>
      </c>
      <c r="F183" s="135">
        <f t="shared" si="16"/>
        <v>15.865168539325879</v>
      </c>
      <c r="G183" s="136">
        <v>1.1235955056179801</v>
      </c>
      <c r="H183" s="135">
        <v>1882</v>
      </c>
      <c r="I183" s="135">
        <f t="shared" si="17"/>
        <v>59.543502824858663</v>
      </c>
      <c r="J183" s="136">
        <v>3.1638418079095998</v>
      </c>
    </row>
    <row r="184" spans="1:10" x14ac:dyDescent="0.3">
      <c r="A184" s="134">
        <v>40701</v>
      </c>
      <c r="B184" s="134" t="s">
        <v>57</v>
      </c>
      <c r="C184" s="134" t="s">
        <v>377</v>
      </c>
      <c r="D184" s="134" t="s">
        <v>215</v>
      </c>
      <c r="E184" s="135">
        <v>9718</v>
      </c>
      <c r="F184" s="135">
        <f t="shared" si="16"/>
        <v>77.963139635732901</v>
      </c>
      <c r="G184" s="136">
        <v>0.80225498699046005</v>
      </c>
      <c r="H184" s="135">
        <v>9150</v>
      </c>
      <c r="I184" s="135">
        <f t="shared" si="17"/>
        <v>447.7388682745829</v>
      </c>
      <c r="J184" s="136">
        <v>4.8933209647495399</v>
      </c>
    </row>
    <row r="185" spans="1:10" x14ac:dyDescent="0.3">
      <c r="A185" s="134">
        <v>40702</v>
      </c>
      <c r="B185" s="134" t="s">
        <v>57</v>
      </c>
      <c r="C185" s="134" t="s">
        <v>377</v>
      </c>
      <c r="D185" s="134" t="s">
        <v>47</v>
      </c>
      <c r="E185" s="135">
        <v>2092</v>
      </c>
      <c r="F185" s="135">
        <f t="shared" si="16"/>
        <v>26.615776081424997</v>
      </c>
      <c r="G185" s="136">
        <v>1.2722646310432599</v>
      </c>
      <c r="H185" s="135">
        <v>3143</v>
      </c>
      <c r="I185" s="135">
        <f t="shared" si="17"/>
        <v>133.63274188148637</v>
      </c>
      <c r="J185" s="136">
        <v>4.2517576163374597</v>
      </c>
    </row>
    <row r="186" spans="1:10" x14ac:dyDescent="0.3">
      <c r="A186" s="134">
        <v>40801</v>
      </c>
      <c r="B186" s="134" t="s">
        <v>57</v>
      </c>
      <c r="C186" s="134" t="s">
        <v>378</v>
      </c>
      <c r="D186" s="134" t="s">
        <v>322</v>
      </c>
      <c r="E186" s="135">
        <v>6507</v>
      </c>
      <c r="F186" s="135">
        <f t="shared" si="16"/>
        <v>23.141610087293909</v>
      </c>
      <c r="G186" s="136">
        <v>0.355641771742645</v>
      </c>
      <c r="H186" s="135">
        <v>8794</v>
      </c>
      <c r="I186" s="135">
        <f t="shared" si="17"/>
        <v>149.38492391176089</v>
      </c>
      <c r="J186" s="136">
        <v>1.69871416774802</v>
      </c>
    </row>
    <row r="187" spans="1:10" x14ac:dyDescent="0.3">
      <c r="A187" s="134">
        <v>40802</v>
      </c>
      <c r="B187" s="134" t="s">
        <v>57</v>
      </c>
      <c r="C187" s="134" t="s">
        <v>378</v>
      </c>
      <c r="D187" s="134" t="s">
        <v>69</v>
      </c>
      <c r="E187" s="135">
        <v>1400</v>
      </c>
      <c r="F187" s="135">
        <f t="shared" si="16"/>
        <v>6.2407132243685037</v>
      </c>
      <c r="G187" s="136">
        <v>0.44576523031203602</v>
      </c>
      <c r="H187" s="135">
        <v>1760</v>
      </c>
      <c r="I187" s="135">
        <f t="shared" si="17"/>
        <v>27.450509898020353</v>
      </c>
      <c r="J187" s="136">
        <v>1.55968806238752</v>
      </c>
    </row>
    <row r="188" spans="1:10" x14ac:dyDescent="0.3">
      <c r="A188" s="134">
        <v>40901</v>
      </c>
      <c r="B188" s="134" t="s">
        <v>57</v>
      </c>
      <c r="C188" s="134" t="s">
        <v>173</v>
      </c>
      <c r="D188" s="134" t="s">
        <v>173</v>
      </c>
      <c r="E188" s="135">
        <v>3311</v>
      </c>
      <c r="F188" s="135">
        <f t="shared" si="16"/>
        <v>24.083807716635057</v>
      </c>
      <c r="G188" s="136">
        <v>0.72738772928526296</v>
      </c>
      <c r="H188" s="135">
        <v>8384</v>
      </c>
      <c r="I188" s="135">
        <f t="shared" si="17"/>
        <v>309.81836402354969</v>
      </c>
      <c r="J188" s="136">
        <v>3.6953526243266901</v>
      </c>
    </row>
    <row r="189" spans="1:10" x14ac:dyDescent="0.3">
      <c r="A189" s="134">
        <v>40902</v>
      </c>
      <c r="B189" s="134" t="s">
        <v>57</v>
      </c>
      <c r="C189" s="134" t="s">
        <v>173</v>
      </c>
      <c r="D189" s="134" t="s">
        <v>0</v>
      </c>
      <c r="E189" s="135">
        <v>385</v>
      </c>
      <c r="F189" s="135">
        <f t="shared" si="16"/>
        <v>1.0158311345646427</v>
      </c>
      <c r="G189" s="136">
        <v>0.26385224274406299</v>
      </c>
      <c r="H189" s="135">
        <v>583</v>
      </c>
      <c r="I189" s="135">
        <f t="shared" si="17"/>
        <v>15.72841726618708</v>
      </c>
      <c r="J189" s="136">
        <v>2.69784172661871</v>
      </c>
    </row>
    <row r="190" spans="1:10" x14ac:dyDescent="0.3">
      <c r="A190" s="134">
        <v>40903</v>
      </c>
      <c r="B190" s="134" t="s">
        <v>57</v>
      </c>
      <c r="C190" s="134" t="s">
        <v>173</v>
      </c>
      <c r="D190" s="134" t="s">
        <v>23</v>
      </c>
      <c r="E190" s="135">
        <v>746</v>
      </c>
      <c r="F190" s="135">
        <f t="shared" si="16"/>
        <v>0</v>
      </c>
      <c r="G190" s="136">
        <v>0</v>
      </c>
      <c r="H190" s="135">
        <v>967</v>
      </c>
      <c r="I190" s="135">
        <f t="shared" si="17"/>
        <v>7.2863293864370311</v>
      </c>
      <c r="J190" s="136">
        <v>0.75349838536060298</v>
      </c>
    </row>
    <row r="191" spans="1:10" x14ac:dyDescent="0.3">
      <c r="A191" s="134">
        <v>41001</v>
      </c>
      <c r="B191" s="134" t="s">
        <v>57</v>
      </c>
      <c r="C191" s="134" t="s">
        <v>379</v>
      </c>
      <c r="D191" s="134" t="s">
        <v>125</v>
      </c>
      <c r="E191" s="135">
        <v>5663</v>
      </c>
      <c r="F191" s="135">
        <f t="shared" si="16"/>
        <v>7.2615863711302424</v>
      </c>
      <c r="G191" s="136">
        <v>0.12822861329913901</v>
      </c>
      <c r="H191" s="135">
        <v>7417</v>
      </c>
      <c r="I191" s="135">
        <f t="shared" si="17"/>
        <v>88.567342404887768</v>
      </c>
      <c r="J191" s="136">
        <v>1.19411274645932</v>
      </c>
    </row>
    <row r="192" spans="1:10" x14ac:dyDescent="0.3">
      <c r="A192" s="134">
        <v>41101</v>
      </c>
      <c r="B192" s="134" t="s">
        <v>57</v>
      </c>
      <c r="C192" s="134" t="s">
        <v>380</v>
      </c>
      <c r="D192" s="134" t="s">
        <v>127</v>
      </c>
      <c r="E192" s="135">
        <v>2596</v>
      </c>
      <c r="F192" s="135">
        <f t="shared" si="16"/>
        <v>14.767980495733443</v>
      </c>
      <c r="G192" s="136">
        <v>0.56887444128403097</v>
      </c>
      <c r="H192" s="135">
        <v>3019</v>
      </c>
      <c r="I192" s="135">
        <f t="shared" si="17"/>
        <v>73.786230636833011</v>
      </c>
      <c r="J192" s="136">
        <v>2.4440619621342501</v>
      </c>
    </row>
    <row r="193" spans="1:10" x14ac:dyDescent="0.3">
      <c r="A193" s="134">
        <v>41201</v>
      </c>
      <c r="B193" s="134" t="s">
        <v>57</v>
      </c>
      <c r="C193" s="134" t="s">
        <v>381</v>
      </c>
      <c r="D193" s="134" t="s">
        <v>152</v>
      </c>
      <c r="E193" s="135">
        <v>2719</v>
      </c>
      <c r="F193" s="135">
        <f t="shared" si="16"/>
        <v>3.2394757744241471</v>
      </c>
      <c r="G193" s="136">
        <v>0.119142176330421</v>
      </c>
      <c r="H193" s="135">
        <v>3713</v>
      </c>
      <c r="I193" s="135">
        <f t="shared" si="17"/>
        <v>40.64187482458594</v>
      </c>
      <c r="J193" s="136">
        <v>1.0945832163906799</v>
      </c>
    </row>
    <row r="194" spans="1:10" x14ac:dyDescent="0.3">
      <c r="A194" s="134">
        <v>41202</v>
      </c>
      <c r="B194" s="134" t="s">
        <v>57</v>
      </c>
      <c r="C194" s="134" t="s">
        <v>381</v>
      </c>
      <c r="D194" s="134" t="s">
        <v>55</v>
      </c>
      <c r="E194" s="135">
        <v>1034</v>
      </c>
      <c r="F194" s="135">
        <f t="shared" si="16"/>
        <v>3.1685393258426959</v>
      </c>
      <c r="G194" s="136">
        <v>0.306435137895812</v>
      </c>
      <c r="H194" s="135">
        <v>1785</v>
      </c>
      <c r="I194" s="135">
        <f t="shared" si="17"/>
        <v>16.643356643356636</v>
      </c>
      <c r="J194" s="136">
        <v>0.93240093240093203</v>
      </c>
    </row>
    <row r="195" spans="1:10" x14ac:dyDescent="0.3">
      <c r="A195" s="134">
        <v>41301</v>
      </c>
      <c r="B195" s="134" t="s">
        <v>57</v>
      </c>
      <c r="C195" s="134" t="s">
        <v>134</v>
      </c>
      <c r="D195" s="134" t="s">
        <v>134</v>
      </c>
      <c r="E195" s="135">
        <v>2955</v>
      </c>
      <c r="F195" s="135">
        <f t="shared" ref="F195:F258" si="18">E195*(G195/100)</f>
        <v>5.2430801987224989</v>
      </c>
      <c r="G195" s="136">
        <v>0.177430801987225</v>
      </c>
      <c r="H195" s="135">
        <v>3950</v>
      </c>
      <c r="I195" s="135">
        <f t="shared" ref="I195:I258" si="19">H195*(J195/100)</f>
        <v>24.797279623332461</v>
      </c>
      <c r="J195" s="136">
        <v>0.62777923097044197</v>
      </c>
    </row>
    <row r="196" spans="1:10" x14ac:dyDescent="0.3">
      <c r="A196" s="134">
        <v>41401</v>
      </c>
      <c r="B196" s="134" t="s">
        <v>57</v>
      </c>
      <c r="C196" s="134" t="s">
        <v>382</v>
      </c>
      <c r="D196" s="134" t="s">
        <v>323</v>
      </c>
      <c r="E196" s="135">
        <v>6880</v>
      </c>
      <c r="F196" s="135">
        <f t="shared" si="18"/>
        <v>35.453167626553487</v>
      </c>
      <c r="G196" s="136">
        <v>0.51530766899060299</v>
      </c>
      <c r="H196" s="135">
        <v>7433</v>
      </c>
      <c r="I196" s="135">
        <f t="shared" si="19"/>
        <v>127.5243988187319</v>
      </c>
      <c r="J196" s="136">
        <v>1.7156518070594899</v>
      </c>
    </row>
    <row r="197" spans="1:10" x14ac:dyDescent="0.3">
      <c r="A197" s="134">
        <v>41501</v>
      </c>
      <c r="B197" s="134" t="s">
        <v>57</v>
      </c>
      <c r="C197" s="134" t="s">
        <v>383</v>
      </c>
      <c r="D197" s="134" t="s">
        <v>1</v>
      </c>
      <c r="E197" s="135">
        <v>258</v>
      </c>
      <c r="F197" s="135">
        <f t="shared" si="18"/>
        <v>0</v>
      </c>
      <c r="G197" s="136">
        <v>0</v>
      </c>
      <c r="H197" s="135">
        <v>588</v>
      </c>
      <c r="I197" s="135">
        <f t="shared" si="19"/>
        <v>8.2526315789473426</v>
      </c>
      <c r="J197" s="136">
        <v>1.40350877192982</v>
      </c>
    </row>
    <row r="198" spans="1:10" x14ac:dyDescent="0.3">
      <c r="A198" s="134">
        <v>41502</v>
      </c>
      <c r="B198" s="134" t="s">
        <v>57</v>
      </c>
      <c r="C198" s="134" t="s">
        <v>383</v>
      </c>
      <c r="D198" s="134" t="s">
        <v>5</v>
      </c>
      <c r="E198" s="135">
        <v>337</v>
      </c>
      <c r="F198" s="135">
        <f t="shared" si="18"/>
        <v>1.0732484076433126</v>
      </c>
      <c r="G198" s="136">
        <v>0.31847133757961799</v>
      </c>
      <c r="H198" s="135">
        <v>589</v>
      </c>
      <c r="I198" s="135">
        <f t="shared" si="19"/>
        <v>0</v>
      </c>
      <c r="J198" s="136">
        <v>0</v>
      </c>
    </row>
    <row r="199" spans="1:10" x14ac:dyDescent="0.3">
      <c r="A199" s="134">
        <v>41503</v>
      </c>
      <c r="B199" s="134" t="s">
        <v>57</v>
      </c>
      <c r="C199" s="134" t="s">
        <v>383</v>
      </c>
      <c r="D199" s="134" t="s">
        <v>8</v>
      </c>
      <c r="E199" s="135">
        <v>345</v>
      </c>
      <c r="F199" s="135">
        <f t="shared" si="18"/>
        <v>0</v>
      </c>
      <c r="G199" s="136">
        <v>0</v>
      </c>
      <c r="H199" s="135">
        <v>570</v>
      </c>
      <c r="I199" s="135">
        <f t="shared" si="19"/>
        <v>9.2432432432432332</v>
      </c>
      <c r="J199" s="136">
        <v>1.6216216216216199</v>
      </c>
    </row>
    <row r="200" spans="1:10" x14ac:dyDescent="0.3">
      <c r="A200" s="134">
        <v>41601</v>
      </c>
      <c r="B200" s="134" t="s">
        <v>57</v>
      </c>
      <c r="C200" s="134" t="s">
        <v>384</v>
      </c>
      <c r="D200" s="134" t="s">
        <v>385</v>
      </c>
      <c r="E200" s="135">
        <v>3266</v>
      </c>
      <c r="F200" s="135">
        <f t="shared" si="18"/>
        <v>5.2457436556376491</v>
      </c>
      <c r="G200" s="136">
        <v>0.16061676839062</v>
      </c>
      <c r="H200" s="135">
        <v>3922</v>
      </c>
      <c r="I200" s="135">
        <f t="shared" si="19"/>
        <v>33.053463260468796</v>
      </c>
      <c r="J200" s="136">
        <v>0.84277060837503304</v>
      </c>
    </row>
    <row r="201" spans="1:10" x14ac:dyDescent="0.3">
      <c r="A201" s="134">
        <v>50101</v>
      </c>
      <c r="B201" s="134" t="s">
        <v>302</v>
      </c>
      <c r="C201" s="134" t="s">
        <v>386</v>
      </c>
      <c r="D201" s="134" t="s">
        <v>302</v>
      </c>
      <c r="E201" s="135">
        <v>71176</v>
      </c>
      <c r="F201" s="135">
        <f t="shared" si="18"/>
        <v>1474.3352030240217</v>
      </c>
      <c r="G201" s="136">
        <v>2.07139373247165</v>
      </c>
      <c r="H201" s="135">
        <v>97067</v>
      </c>
      <c r="I201" s="135">
        <f t="shared" si="19"/>
        <v>6359.90114702134</v>
      </c>
      <c r="J201" s="136">
        <v>6.5520734616515801</v>
      </c>
    </row>
    <row r="202" spans="1:10" x14ac:dyDescent="0.3">
      <c r="A202" s="134">
        <v>50102</v>
      </c>
      <c r="B202" s="134" t="s">
        <v>302</v>
      </c>
      <c r="C202" s="134" t="s">
        <v>386</v>
      </c>
      <c r="D202" s="134" t="s">
        <v>34</v>
      </c>
      <c r="E202" s="135">
        <v>12445</v>
      </c>
      <c r="F202" s="135">
        <f t="shared" si="18"/>
        <v>11.627877346470735</v>
      </c>
      <c r="G202" s="136">
        <v>9.3434128939097902E-2</v>
      </c>
      <c r="H202" s="135">
        <v>14855</v>
      </c>
      <c r="I202" s="135">
        <f t="shared" si="19"/>
        <v>123.3167073596093</v>
      </c>
      <c r="J202" s="136">
        <v>0.83013603069410502</v>
      </c>
    </row>
    <row r="203" spans="1:10" x14ac:dyDescent="0.3">
      <c r="A203" s="134">
        <v>50103</v>
      </c>
      <c r="B203" s="134" t="s">
        <v>302</v>
      </c>
      <c r="C203" s="134" t="s">
        <v>386</v>
      </c>
      <c r="D203" s="134" t="s">
        <v>207</v>
      </c>
      <c r="E203" s="135">
        <v>4343</v>
      </c>
      <c r="F203" s="135">
        <f t="shared" si="18"/>
        <v>11.694736842105273</v>
      </c>
      <c r="G203" s="136">
        <v>0.26927784577723402</v>
      </c>
      <c r="H203" s="135">
        <v>6921</v>
      </c>
      <c r="I203" s="135">
        <f t="shared" si="19"/>
        <v>170.5038305543039</v>
      </c>
      <c r="J203" s="136">
        <v>2.4635721796605101</v>
      </c>
    </row>
    <row r="204" spans="1:10" x14ac:dyDescent="0.3">
      <c r="A204" s="134">
        <v>50104</v>
      </c>
      <c r="B204" s="134" t="s">
        <v>302</v>
      </c>
      <c r="C204" s="134" t="s">
        <v>386</v>
      </c>
      <c r="D204" s="134" t="s">
        <v>387</v>
      </c>
      <c r="E204" s="135">
        <v>1432</v>
      </c>
      <c r="F204" s="135">
        <f t="shared" si="18"/>
        <v>1.0369297610427226</v>
      </c>
      <c r="G204" s="136">
        <v>7.2411296162201294E-2</v>
      </c>
      <c r="H204" s="135">
        <v>1913</v>
      </c>
      <c r="I204" s="135">
        <f t="shared" si="19"/>
        <v>16.394215318693092</v>
      </c>
      <c r="J204" s="136">
        <v>0.85698982324584905</v>
      </c>
    </row>
    <row r="205" spans="1:10" x14ac:dyDescent="0.3">
      <c r="A205" s="134">
        <v>50201</v>
      </c>
      <c r="B205" s="134" t="s">
        <v>302</v>
      </c>
      <c r="C205" s="134" t="s">
        <v>388</v>
      </c>
      <c r="D205" s="134" t="s">
        <v>264</v>
      </c>
      <c r="E205" s="135">
        <v>9399</v>
      </c>
      <c r="F205" s="135">
        <f t="shared" si="18"/>
        <v>38.350221013260786</v>
      </c>
      <c r="G205" s="136">
        <v>0.40802448146888798</v>
      </c>
      <c r="H205" s="135">
        <v>11459</v>
      </c>
      <c r="I205" s="135">
        <f t="shared" si="19"/>
        <v>352.68093243489324</v>
      </c>
      <c r="J205" s="136">
        <v>3.0777636131852102</v>
      </c>
    </row>
    <row r="206" spans="1:10" x14ac:dyDescent="0.3">
      <c r="A206" s="134">
        <v>50202</v>
      </c>
      <c r="B206" s="134" t="s">
        <v>302</v>
      </c>
      <c r="C206" s="134" t="s">
        <v>388</v>
      </c>
      <c r="D206" s="134" t="s">
        <v>228</v>
      </c>
      <c r="E206" s="135">
        <v>7345</v>
      </c>
      <c r="F206" s="135">
        <f t="shared" si="18"/>
        <v>12.512776831345816</v>
      </c>
      <c r="G206" s="136">
        <v>0.17035775127768299</v>
      </c>
      <c r="H206" s="135">
        <v>8649</v>
      </c>
      <c r="I206" s="135">
        <f t="shared" si="19"/>
        <v>109.07338457842894</v>
      </c>
      <c r="J206" s="136">
        <v>1.2611097766034101</v>
      </c>
    </row>
    <row r="207" spans="1:10" x14ac:dyDescent="0.3">
      <c r="A207" s="134">
        <v>50203</v>
      </c>
      <c r="B207" s="134" t="s">
        <v>302</v>
      </c>
      <c r="C207" s="134" t="s">
        <v>388</v>
      </c>
      <c r="D207" s="134" t="s">
        <v>295</v>
      </c>
      <c r="E207" s="135">
        <v>15431</v>
      </c>
      <c r="F207" s="135">
        <f t="shared" si="18"/>
        <v>221.43042139157239</v>
      </c>
      <c r="G207" s="136">
        <v>1.4349713005739899</v>
      </c>
      <c r="H207" s="135">
        <v>19310</v>
      </c>
      <c r="I207" s="135">
        <f t="shared" si="19"/>
        <v>1258.7305995752333</v>
      </c>
      <c r="J207" s="136">
        <v>6.5185427217774903</v>
      </c>
    </row>
    <row r="208" spans="1:10" x14ac:dyDescent="0.3">
      <c r="A208" s="134">
        <v>50204</v>
      </c>
      <c r="B208" s="134" t="s">
        <v>302</v>
      </c>
      <c r="C208" s="134" t="s">
        <v>388</v>
      </c>
      <c r="D208" s="134" t="s">
        <v>389</v>
      </c>
      <c r="E208" s="135">
        <v>2997</v>
      </c>
      <c r="F208" s="135">
        <f t="shared" si="18"/>
        <v>4.2722736992159644</v>
      </c>
      <c r="G208" s="136">
        <v>0.14255167498218099</v>
      </c>
      <c r="H208" s="135">
        <v>3932</v>
      </c>
      <c r="I208" s="135">
        <f t="shared" si="19"/>
        <v>58.811965811965976</v>
      </c>
      <c r="J208" s="136">
        <v>1.4957264957265</v>
      </c>
    </row>
    <row r="209" spans="1:10" x14ac:dyDescent="0.3">
      <c r="A209" s="134">
        <v>50301</v>
      </c>
      <c r="B209" s="134" t="s">
        <v>302</v>
      </c>
      <c r="C209" s="134" t="s">
        <v>390</v>
      </c>
      <c r="D209" s="134" t="s">
        <v>266</v>
      </c>
      <c r="E209" s="135">
        <v>15511</v>
      </c>
      <c r="F209" s="135">
        <f t="shared" si="18"/>
        <v>33.917725843925069</v>
      </c>
      <c r="G209" s="136">
        <v>0.2186688533552</v>
      </c>
      <c r="H209" s="135">
        <v>17975</v>
      </c>
      <c r="I209" s="135">
        <f t="shared" si="19"/>
        <v>311.70520231213789</v>
      </c>
      <c r="J209" s="136">
        <v>1.7341040462427699</v>
      </c>
    </row>
    <row r="210" spans="1:10" x14ac:dyDescent="0.3">
      <c r="A210" s="134">
        <v>50302</v>
      </c>
      <c r="B210" s="134" t="s">
        <v>302</v>
      </c>
      <c r="C210" s="134" t="s">
        <v>390</v>
      </c>
      <c r="D210" s="134" t="s">
        <v>219</v>
      </c>
      <c r="E210" s="135">
        <v>4373</v>
      </c>
      <c r="F210" s="135">
        <f t="shared" si="18"/>
        <v>8.5556370750794972</v>
      </c>
      <c r="G210" s="136">
        <v>0.19564685742235299</v>
      </c>
      <c r="H210" s="135">
        <v>5041</v>
      </c>
      <c r="I210" s="135">
        <f t="shared" si="19"/>
        <v>115.47480216576446</v>
      </c>
      <c r="J210" s="136">
        <v>2.29071220324865</v>
      </c>
    </row>
    <row r="211" spans="1:10" x14ac:dyDescent="0.3">
      <c r="A211" s="134">
        <v>50303</v>
      </c>
      <c r="B211" s="134" t="s">
        <v>302</v>
      </c>
      <c r="C211" s="134" t="s">
        <v>390</v>
      </c>
      <c r="D211" s="134" t="s">
        <v>15</v>
      </c>
      <c r="E211" s="135">
        <v>5596</v>
      </c>
      <c r="F211" s="135">
        <f t="shared" si="18"/>
        <v>6.3338992642897409</v>
      </c>
      <c r="G211" s="136">
        <v>0.11318619128466299</v>
      </c>
      <c r="H211" s="135">
        <v>7666</v>
      </c>
      <c r="I211" s="135">
        <f t="shared" si="19"/>
        <v>65.255776246453166</v>
      </c>
      <c r="J211" s="136">
        <v>0.85123631941629496</v>
      </c>
    </row>
    <row r="212" spans="1:10" x14ac:dyDescent="0.3">
      <c r="A212" s="134">
        <v>50401</v>
      </c>
      <c r="B212" s="134" t="s">
        <v>302</v>
      </c>
      <c r="C212" s="134" t="s">
        <v>228</v>
      </c>
      <c r="D212" s="134" t="s">
        <v>119</v>
      </c>
      <c r="E212" s="135">
        <v>6919</v>
      </c>
      <c r="F212" s="135">
        <f t="shared" si="18"/>
        <v>21.411109391923272</v>
      </c>
      <c r="G212" s="136">
        <v>0.309453814018258</v>
      </c>
      <c r="H212" s="135">
        <v>8199</v>
      </c>
      <c r="I212" s="135">
        <f t="shared" si="19"/>
        <v>139.92180336220045</v>
      </c>
      <c r="J212" s="136">
        <v>1.7065715741212399</v>
      </c>
    </row>
    <row r="213" spans="1:10" x14ac:dyDescent="0.3">
      <c r="A213" s="134">
        <v>50402</v>
      </c>
      <c r="B213" s="134" t="s">
        <v>302</v>
      </c>
      <c r="C213" s="134" t="s">
        <v>228</v>
      </c>
      <c r="D213" s="134" t="s">
        <v>46</v>
      </c>
      <c r="E213" s="135">
        <v>9708</v>
      </c>
      <c r="F213" s="135">
        <f t="shared" si="18"/>
        <v>17.10095783331494</v>
      </c>
      <c r="G213" s="136">
        <v>0.176153253330397</v>
      </c>
      <c r="H213" s="135">
        <v>9936</v>
      </c>
      <c r="I213" s="135">
        <f t="shared" si="19"/>
        <v>102.3477265633133</v>
      </c>
      <c r="J213" s="136">
        <v>1.03006971178858</v>
      </c>
    </row>
    <row r="214" spans="1:10" x14ac:dyDescent="0.3">
      <c r="A214" s="134">
        <v>50403</v>
      </c>
      <c r="B214" s="134" t="s">
        <v>302</v>
      </c>
      <c r="C214" s="134" t="s">
        <v>228</v>
      </c>
      <c r="D214" s="134" t="s">
        <v>52</v>
      </c>
      <c r="E214" s="135">
        <v>12257</v>
      </c>
      <c r="F214" s="135">
        <f t="shared" si="18"/>
        <v>14.846686277902741</v>
      </c>
      <c r="G214" s="136">
        <v>0.12112822287593</v>
      </c>
      <c r="H214" s="135">
        <v>17264</v>
      </c>
      <c r="I214" s="135">
        <f t="shared" si="19"/>
        <v>213.30361577130441</v>
      </c>
      <c r="J214" s="136">
        <v>1.2355399430682601</v>
      </c>
    </row>
    <row r="215" spans="1:10" x14ac:dyDescent="0.3">
      <c r="A215" s="134">
        <v>50404</v>
      </c>
      <c r="B215" s="134" t="s">
        <v>302</v>
      </c>
      <c r="C215" s="134" t="s">
        <v>228</v>
      </c>
      <c r="D215" s="134" t="s">
        <v>42</v>
      </c>
      <c r="E215" s="135">
        <v>7587</v>
      </c>
      <c r="F215" s="135">
        <f t="shared" si="18"/>
        <v>8.4358582348853162</v>
      </c>
      <c r="G215" s="136">
        <v>0.111188325225851</v>
      </c>
      <c r="H215" s="135">
        <v>7933</v>
      </c>
      <c r="I215" s="135">
        <f t="shared" si="19"/>
        <v>91.027565286203767</v>
      </c>
      <c r="J215" s="136">
        <v>1.1474544974940599</v>
      </c>
    </row>
    <row r="216" spans="1:10" x14ac:dyDescent="0.3">
      <c r="A216" s="134">
        <v>50405</v>
      </c>
      <c r="B216" s="134" t="s">
        <v>302</v>
      </c>
      <c r="C216" s="134" t="s">
        <v>228</v>
      </c>
      <c r="D216" s="134" t="s">
        <v>324</v>
      </c>
      <c r="E216" s="135">
        <v>9158</v>
      </c>
      <c r="F216" s="135">
        <f t="shared" si="18"/>
        <v>6.3670915411355695</v>
      </c>
      <c r="G216" s="136">
        <v>6.9524913093858595E-2</v>
      </c>
      <c r="H216" s="135">
        <v>11159</v>
      </c>
      <c r="I216" s="135">
        <f t="shared" si="19"/>
        <v>126.45055253792837</v>
      </c>
      <c r="J216" s="136">
        <v>1.13317100580633</v>
      </c>
    </row>
    <row r="217" spans="1:10" x14ac:dyDescent="0.3">
      <c r="A217" s="134">
        <v>50501</v>
      </c>
      <c r="B217" s="134" t="s">
        <v>302</v>
      </c>
      <c r="C217" s="134" t="s">
        <v>391</v>
      </c>
      <c r="D217" s="134" t="s">
        <v>392</v>
      </c>
      <c r="E217" s="135">
        <v>13568</v>
      </c>
      <c r="F217" s="135">
        <f t="shared" si="18"/>
        <v>21.658552158991192</v>
      </c>
      <c r="G217" s="136">
        <v>0.15962965919067801</v>
      </c>
      <c r="H217" s="135">
        <v>15348</v>
      </c>
      <c r="I217" s="135">
        <f t="shared" si="19"/>
        <v>120.84226110363396</v>
      </c>
      <c r="J217" s="136">
        <v>0.78734858681022901</v>
      </c>
    </row>
    <row r="218" spans="1:10" x14ac:dyDescent="0.3">
      <c r="A218" s="134">
        <v>50502</v>
      </c>
      <c r="B218" s="134" t="s">
        <v>302</v>
      </c>
      <c r="C218" s="134" t="s">
        <v>391</v>
      </c>
      <c r="D218" s="134" t="s">
        <v>61</v>
      </c>
      <c r="E218" s="135">
        <v>4561</v>
      </c>
      <c r="F218" s="135">
        <f t="shared" si="18"/>
        <v>32.767323290845866</v>
      </c>
      <c r="G218" s="136">
        <v>0.71842410196987205</v>
      </c>
      <c r="H218" s="135">
        <v>6028</v>
      </c>
      <c r="I218" s="135">
        <f t="shared" si="19"/>
        <v>176.34830493890917</v>
      </c>
      <c r="J218" s="136">
        <v>2.9254861469626601</v>
      </c>
    </row>
    <row r="219" spans="1:10" x14ac:dyDescent="0.3">
      <c r="A219" s="134">
        <v>50601</v>
      </c>
      <c r="B219" s="134" t="s">
        <v>302</v>
      </c>
      <c r="C219" s="134" t="s">
        <v>393</v>
      </c>
      <c r="D219" s="134" t="s">
        <v>114</v>
      </c>
      <c r="E219" s="135">
        <v>14671</v>
      </c>
      <c r="F219" s="135">
        <f t="shared" si="18"/>
        <v>47.478964401294547</v>
      </c>
      <c r="G219" s="136">
        <v>0.32362459546925598</v>
      </c>
      <c r="H219" s="135">
        <v>16115</v>
      </c>
      <c r="I219" s="135">
        <f t="shared" si="19"/>
        <v>270.38590604026871</v>
      </c>
      <c r="J219" s="136">
        <v>1.6778523489932899</v>
      </c>
    </row>
    <row r="220" spans="1:10" x14ac:dyDescent="0.3">
      <c r="A220" s="134">
        <v>50602</v>
      </c>
      <c r="B220" s="134" t="s">
        <v>302</v>
      </c>
      <c r="C220" s="134" t="s">
        <v>393</v>
      </c>
      <c r="D220" s="134" t="s">
        <v>234</v>
      </c>
      <c r="E220" s="135">
        <v>4448</v>
      </c>
      <c r="F220" s="135">
        <f t="shared" si="18"/>
        <v>28.648854961832072</v>
      </c>
      <c r="G220" s="136">
        <v>0.64408396946564905</v>
      </c>
      <c r="H220" s="135">
        <v>5802</v>
      </c>
      <c r="I220" s="135">
        <f t="shared" si="19"/>
        <v>77.997849076895278</v>
      </c>
      <c r="J220" s="136">
        <v>1.34432694031188</v>
      </c>
    </row>
    <row r="221" spans="1:10" x14ac:dyDescent="0.3">
      <c r="A221" s="134">
        <v>50701</v>
      </c>
      <c r="B221" s="134" t="s">
        <v>302</v>
      </c>
      <c r="C221" s="134" t="s">
        <v>394</v>
      </c>
      <c r="D221" s="134" t="s">
        <v>395</v>
      </c>
      <c r="E221" s="135">
        <v>9961</v>
      </c>
      <c r="F221" s="135">
        <f t="shared" si="18"/>
        <v>10.443489201090365</v>
      </c>
      <c r="G221" s="136">
        <v>0.104843782763682</v>
      </c>
      <c r="H221" s="135">
        <v>9333</v>
      </c>
      <c r="I221" s="135">
        <f t="shared" si="19"/>
        <v>97.12188641647316</v>
      </c>
      <c r="J221" s="136">
        <v>1.04062880549098</v>
      </c>
    </row>
    <row r="222" spans="1:10" x14ac:dyDescent="0.3">
      <c r="A222" s="134">
        <v>50702</v>
      </c>
      <c r="B222" s="134" t="s">
        <v>302</v>
      </c>
      <c r="C222" s="134" t="s">
        <v>394</v>
      </c>
      <c r="D222" s="134" t="s">
        <v>78</v>
      </c>
      <c r="E222" s="135">
        <v>4634</v>
      </c>
      <c r="F222" s="135">
        <f t="shared" si="18"/>
        <v>7.2004439511653633</v>
      </c>
      <c r="G222" s="136">
        <v>0.15538290788013301</v>
      </c>
      <c r="H222" s="135">
        <v>4963</v>
      </c>
      <c r="I222" s="135">
        <f t="shared" si="19"/>
        <v>46.615529117094546</v>
      </c>
      <c r="J222" s="136">
        <v>0.93926111458985595</v>
      </c>
    </row>
    <row r="223" spans="1:10" x14ac:dyDescent="0.3">
      <c r="A223" s="134">
        <v>50801</v>
      </c>
      <c r="B223" s="134" t="s">
        <v>302</v>
      </c>
      <c r="C223" s="134" t="s">
        <v>396</v>
      </c>
      <c r="D223" s="134" t="s">
        <v>290</v>
      </c>
      <c r="E223" s="135">
        <v>19169</v>
      </c>
      <c r="F223" s="135">
        <f t="shared" si="18"/>
        <v>314.67134878998189</v>
      </c>
      <c r="G223" s="136">
        <v>1.64156371636487</v>
      </c>
      <c r="H223" s="135">
        <v>22840</v>
      </c>
      <c r="I223" s="135">
        <f t="shared" si="19"/>
        <v>1148.3564101384604</v>
      </c>
      <c r="J223" s="136">
        <v>5.0278301669810004</v>
      </c>
    </row>
    <row r="224" spans="1:10" x14ac:dyDescent="0.3">
      <c r="A224" s="134">
        <v>50802</v>
      </c>
      <c r="B224" s="134" t="s">
        <v>302</v>
      </c>
      <c r="C224" s="134" t="s">
        <v>396</v>
      </c>
      <c r="D224" s="134" t="s">
        <v>120</v>
      </c>
      <c r="E224" s="135">
        <v>4605</v>
      </c>
      <c r="F224" s="135">
        <f t="shared" si="18"/>
        <v>52.438996049268184</v>
      </c>
      <c r="G224" s="136">
        <v>1.13874041366489</v>
      </c>
      <c r="H224" s="135">
        <v>4616</v>
      </c>
      <c r="I224" s="135">
        <f t="shared" si="19"/>
        <v>245.08811568007206</v>
      </c>
      <c r="J224" s="136">
        <v>5.3095345684591004</v>
      </c>
    </row>
    <row r="225" spans="1:10" x14ac:dyDescent="0.3">
      <c r="A225" s="134">
        <v>50901</v>
      </c>
      <c r="B225" s="134" t="s">
        <v>302</v>
      </c>
      <c r="C225" s="134" t="s">
        <v>397</v>
      </c>
      <c r="D225" s="134" t="s">
        <v>398</v>
      </c>
      <c r="E225" s="135">
        <v>6213</v>
      </c>
      <c r="F225" s="135">
        <f t="shared" si="18"/>
        <v>103.0798113866576</v>
      </c>
      <c r="G225" s="136">
        <v>1.65909884736291</v>
      </c>
      <c r="H225" s="135">
        <v>6738</v>
      </c>
      <c r="I225" s="135">
        <f t="shared" si="19"/>
        <v>299.58512658227846</v>
      </c>
      <c r="J225" s="136">
        <v>4.4462025316455698</v>
      </c>
    </row>
    <row r="226" spans="1:10" x14ac:dyDescent="0.3">
      <c r="A226" s="134">
        <v>50902</v>
      </c>
      <c r="B226" s="134" t="s">
        <v>302</v>
      </c>
      <c r="C226" s="134" t="s">
        <v>397</v>
      </c>
      <c r="D226" s="134" t="s">
        <v>13</v>
      </c>
      <c r="E226" s="135">
        <v>582</v>
      </c>
      <c r="F226" s="135">
        <f t="shared" si="18"/>
        <v>13.559139784946224</v>
      </c>
      <c r="G226" s="136">
        <v>2.3297491039426501</v>
      </c>
      <c r="H226" s="135">
        <v>939</v>
      </c>
      <c r="I226" s="135">
        <f t="shared" si="19"/>
        <v>70.106334841628964</v>
      </c>
      <c r="J226" s="136">
        <v>7.4660633484162897</v>
      </c>
    </row>
    <row r="227" spans="1:10" x14ac:dyDescent="0.3">
      <c r="A227" s="134">
        <v>51001</v>
      </c>
      <c r="B227" s="134" t="s">
        <v>302</v>
      </c>
      <c r="C227" s="134" t="s">
        <v>399</v>
      </c>
      <c r="D227" s="134" t="s">
        <v>86</v>
      </c>
      <c r="E227" s="135">
        <v>1514</v>
      </c>
      <c r="F227" s="135">
        <f t="shared" si="18"/>
        <v>81.926406926406898</v>
      </c>
      <c r="G227" s="136">
        <v>5.4112554112554099</v>
      </c>
      <c r="H227" s="135">
        <v>1613</v>
      </c>
      <c r="I227" s="135">
        <f t="shared" si="19"/>
        <v>204.27099737532879</v>
      </c>
      <c r="J227" s="136">
        <v>12.664041994750701</v>
      </c>
    </row>
    <row r="228" spans="1:10" x14ac:dyDescent="0.3">
      <c r="A228" s="134">
        <v>51002</v>
      </c>
      <c r="B228" s="134" t="s">
        <v>302</v>
      </c>
      <c r="C228" s="134" t="s">
        <v>399</v>
      </c>
      <c r="D228" s="134" t="s">
        <v>16</v>
      </c>
      <c r="E228" s="135">
        <v>386</v>
      </c>
      <c r="F228" s="135">
        <f t="shared" si="18"/>
        <v>0</v>
      </c>
      <c r="G228" s="136">
        <v>0</v>
      </c>
      <c r="H228" s="135">
        <v>559</v>
      </c>
      <c r="I228" s="135">
        <f t="shared" si="19"/>
        <v>3.1229050279329615</v>
      </c>
      <c r="J228" s="136">
        <v>0.55865921787709505</v>
      </c>
    </row>
    <row r="229" spans="1:10" x14ac:dyDescent="0.3">
      <c r="A229" s="134">
        <v>51003</v>
      </c>
      <c r="B229" s="134" t="s">
        <v>302</v>
      </c>
      <c r="C229" s="134" t="s">
        <v>399</v>
      </c>
      <c r="D229" s="134" t="s">
        <v>60</v>
      </c>
      <c r="E229" s="135">
        <v>1020</v>
      </c>
      <c r="F229" s="135">
        <f t="shared" si="18"/>
        <v>6.2833675564681757</v>
      </c>
      <c r="G229" s="136">
        <v>0.61601642710472304</v>
      </c>
      <c r="H229" s="135">
        <v>911</v>
      </c>
      <c r="I229" s="135">
        <f t="shared" si="19"/>
        <v>23.440935672514634</v>
      </c>
      <c r="J229" s="136">
        <v>2.57309941520468</v>
      </c>
    </row>
    <row r="230" spans="1:10" x14ac:dyDescent="0.3">
      <c r="A230" s="134">
        <v>51101</v>
      </c>
      <c r="B230" s="134" t="s">
        <v>302</v>
      </c>
      <c r="C230" s="134" t="s">
        <v>400</v>
      </c>
      <c r="D230" s="134" t="s">
        <v>265</v>
      </c>
      <c r="E230" s="135">
        <v>9797</v>
      </c>
      <c r="F230" s="135">
        <f t="shared" si="18"/>
        <v>22.131777108433702</v>
      </c>
      <c r="G230" s="136">
        <v>0.225903614457831</v>
      </c>
      <c r="H230" s="135">
        <v>9451</v>
      </c>
      <c r="I230" s="135">
        <f t="shared" si="19"/>
        <v>105.48690463034569</v>
      </c>
      <c r="J230" s="136">
        <v>1.1161454304342999</v>
      </c>
    </row>
    <row r="231" spans="1:10" x14ac:dyDescent="0.3">
      <c r="A231" s="134">
        <v>51102</v>
      </c>
      <c r="B231" s="134" t="s">
        <v>302</v>
      </c>
      <c r="C231" s="134" t="s">
        <v>400</v>
      </c>
      <c r="D231" s="134" t="s">
        <v>325</v>
      </c>
      <c r="E231" s="135">
        <v>5272</v>
      </c>
      <c r="F231" s="135">
        <f t="shared" si="18"/>
        <v>28.967032967032946</v>
      </c>
      <c r="G231" s="136">
        <v>0.54945054945054905</v>
      </c>
      <c r="H231" s="135">
        <v>6619</v>
      </c>
      <c r="I231" s="135">
        <f t="shared" si="19"/>
        <v>177.61368688472544</v>
      </c>
      <c r="J231" s="136">
        <v>2.6833915528739301</v>
      </c>
    </row>
    <row r="232" spans="1:10" x14ac:dyDescent="0.3">
      <c r="A232" s="134">
        <v>51103</v>
      </c>
      <c r="B232" s="134" t="s">
        <v>302</v>
      </c>
      <c r="C232" s="134" t="s">
        <v>400</v>
      </c>
      <c r="D232" s="134" t="s">
        <v>175</v>
      </c>
      <c r="E232" s="135">
        <v>6500</v>
      </c>
      <c r="F232" s="135">
        <f t="shared" si="18"/>
        <v>7.3755876154968147</v>
      </c>
      <c r="G232" s="136">
        <v>0.113470578699951</v>
      </c>
      <c r="H232" s="135">
        <v>7792</v>
      </c>
      <c r="I232" s="135">
        <f t="shared" si="19"/>
        <v>50.183281899906056</v>
      </c>
      <c r="J232" s="136">
        <v>0.64403595867435903</v>
      </c>
    </row>
    <row r="233" spans="1:10" x14ac:dyDescent="0.3">
      <c r="A233" s="134">
        <v>51201</v>
      </c>
      <c r="B233" s="134" t="s">
        <v>302</v>
      </c>
      <c r="C233" s="134" t="s">
        <v>401</v>
      </c>
      <c r="D233" s="134" t="s">
        <v>289</v>
      </c>
      <c r="E233" s="135">
        <v>12761</v>
      </c>
      <c r="F233" s="135">
        <f t="shared" si="18"/>
        <v>454.45460625313473</v>
      </c>
      <c r="G233" s="136">
        <v>3.5612773783648199</v>
      </c>
      <c r="H233" s="135">
        <v>17560</v>
      </c>
      <c r="I233" s="135">
        <f t="shared" si="19"/>
        <v>1970.7838194694568</v>
      </c>
      <c r="J233" s="136">
        <v>11.223142479894401</v>
      </c>
    </row>
    <row r="234" spans="1:10" x14ac:dyDescent="0.3">
      <c r="A234" s="134">
        <v>51202</v>
      </c>
      <c r="B234" s="134" t="s">
        <v>302</v>
      </c>
      <c r="C234" s="134" t="s">
        <v>401</v>
      </c>
      <c r="D234" s="134" t="s">
        <v>130</v>
      </c>
      <c r="E234" s="135">
        <v>3998</v>
      </c>
      <c r="F234" s="135">
        <f t="shared" si="18"/>
        <v>28.648089171974515</v>
      </c>
      <c r="G234" s="136">
        <v>0.71656050955413997</v>
      </c>
      <c r="H234" s="135">
        <v>4252</v>
      </c>
      <c r="I234" s="135">
        <f t="shared" si="19"/>
        <v>109.91137370753324</v>
      </c>
      <c r="J234" s="136">
        <v>2.58493353028065</v>
      </c>
    </row>
    <row r="235" spans="1:10" x14ac:dyDescent="0.3">
      <c r="A235" s="134">
        <v>51203</v>
      </c>
      <c r="B235" s="134" t="s">
        <v>302</v>
      </c>
      <c r="C235" s="134" t="s">
        <v>401</v>
      </c>
      <c r="D235" s="134" t="s">
        <v>166</v>
      </c>
      <c r="E235" s="135">
        <v>3718</v>
      </c>
      <c r="F235" s="135">
        <f t="shared" si="18"/>
        <v>16.451327433628332</v>
      </c>
      <c r="G235" s="136">
        <v>0.44247787610619499</v>
      </c>
      <c r="H235" s="135">
        <v>7070</v>
      </c>
      <c r="I235" s="135">
        <f t="shared" si="19"/>
        <v>244.95315985130122</v>
      </c>
      <c r="J235" s="136">
        <v>3.4646840148698899</v>
      </c>
    </row>
    <row r="236" spans="1:10" x14ac:dyDescent="0.3">
      <c r="A236" s="134">
        <v>51204</v>
      </c>
      <c r="B236" s="134" t="s">
        <v>302</v>
      </c>
      <c r="C236" s="134"/>
      <c r="D236" s="134" t="s">
        <v>402</v>
      </c>
      <c r="E236" s="135">
        <v>2390</v>
      </c>
      <c r="F236" s="135">
        <f t="shared" si="18"/>
        <v>5.3372041089772244</v>
      </c>
      <c r="G236" s="136">
        <v>0.223313979455114</v>
      </c>
      <c r="H236" s="135">
        <v>3064</v>
      </c>
      <c r="I236" s="135">
        <f t="shared" si="19"/>
        <v>63.464855687606175</v>
      </c>
      <c r="J236" s="136">
        <v>2.0713073005093401</v>
      </c>
    </row>
    <row r="237" spans="1:10" x14ac:dyDescent="0.3">
      <c r="A237" s="134">
        <v>51301</v>
      </c>
      <c r="B237" s="134" t="s">
        <v>302</v>
      </c>
      <c r="C237" s="134" t="s">
        <v>403</v>
      </c>
      <c r="D237" s="134" t="s">
        <v>104</v>
      </c>
      <c r="E237" s="135">
        <v>1861</v>
      </c>
      <c r="F237" s="135">
        <f t="shared" si="18"/>
        <v>3.1721590909090822</v>
      </c>
      <c r="G237" s="136">
        <v>0.170454545454545</v>
      </c>
      <c r="H237" s="135">
        <v>2162</v>
      </c>
      <c r="I237" s="135">
        <f t="shared" si="19"/>
        <v>12.431241015812168</v>
      </c>
      <c r="J237" s="136">
        <v>0.57498802108289404</v>
      </c>
    </row>
    <row r="238" spans="1:10" x14ac:dyDescent="0.3">
      <c r="A238" s="134">
        <v>51302</v>
      </c>
      <c r="B238" s="134" t="s">
        <v>302</v>
      </c>
      <c r="C238" s="134" t="s">
        <v>403</v>
      </c>
      <c r="D238" s="134" t="s">
        <v>169</v>
      </c>
      <c r="E238" s="135">
        <v>2519</v>
      </c>
      <c r="F238" s="135">
        <f t="shared" si="18"/>
        <v>13.19999999999999</v>
      </c>
      <c r="G238" s="136">
        <v>0.52401746724890796</v>
      </c>
      <c r="H238" s="135">
        <v>2702</v>
      </c>
      <c r="I238" s="135">
        <f t="shared" si="19"/>
        <v>53.021161985378946</v>
      </c>
      <c r="J238" s="136">
        <v>1.96229318968834</v>
      </c>
    </row>
    <row r="239" spans="1:10" x14ac:dyDescent="0.3">
      <c r="A239" s="134">
        <v>51401</v>
      </c>
      <c r="B239" s="134" t="s">
        <v>302</v>
      </c>
      <c r="C239" s="134" t="s">
        <v>404</v>
      </c>
      <c r="D239" s="134" t="s">
        <v>151</v>
      </c>
      <c r="E239" s="135">
        <v>2303</v>
      </c>
      <c r="F239" s="135">
        <f t="shared" si="18"/>
        <v>10.318100358422928</v>
      </c>
      <c r="G239" s="136">
        <v>0.44802867383512501</v>
      </c>
      <c r="H239" s="135">
        <v>2197</v>
      </c>
      <c r="I239" s="135">
        <f t="shared" si="19"/>
        <v>70.403393025447585</v>
      </c>
      <c r="J239" s="136">
        <v>3.2045240339302499</v>
      </c>
    </row>
    <row r="240" spans="1:10" x14ac:dyDescent="0.3">
      <c r="A240" s="134">
        <v>51402</v>
      </c>
      <c r="B240" s="134" t="s">
        <v>302</v>
      </c>
      <c r="C240" s="134" t="s">
        <v>404</v>
      </c>
      <c r="D240" s="134" t="s">
        <v>25</v>
      </c>
      <c r="E240" s="135">
        <v>874</v>
      </c>
      <c r="F240" s="135">
        <f t="shared" si="18"/>
        <v>13.227008149010487</v>
      </c>
      <c r="G240" s="136">
        <v>1.5133876600698499</v>
      </c>
      <c r="H240" s="135">
        <v>848</v>
      </c>
      <c r="I240" s="135">
        <f t="shared" si="19"/>
        <v>11.587577639751531</v>
      </c>
      <c r="J240" s="136">
        <v>1.36645962732919</v>
      </c>
    </row>
    <row r="241" spans="1:10" x14ac:dyDescent="0.3">
      <c r="A241" s="134">
        <v>51501</v>
      </c>
      <c r="B241" s="134" t="s">
        <v>302</v>
      </c>
      <c r="C241" s="134" t="s">
        <v>405</v>
      </c>
      <c r="D241" s="134" t="s">
        <v>293</v>
      </c>
      <c r="E241" s="135">
        <v>19684</v>
      </c>
      <c r="F241" s="135">
        <f t="shared" si="18"/>
        <v>228.42401249721033</v>
      </c>
      <c r="G241" s="136">
        <v>1.1604552555233201</v>
      </c>
      <c r="H241" s="135">
        <v>24756</v>
      </c>
      <c r="I241" s="135">
        <f t="shared" si="19"/>
        <v>1147.1421539506057</v>
      </c>
      <c r="J241" s="136">
        <v>4.6337944496308197</v>
      </c>
    </row>
    <row r="242" spans="1:10" x14ac:dyDescent="0.3">
      <c r="A242" s="134">
        <v>51601</v>
      </c>
      <c r="B242" s="134" t="s">
        <v>302</v>
      </c>
      <c r="C242" s="134" t="s">
        <v>406</v>
      </c>
      <c r="D242" s="134" t="s">
        <v>29</v>
      </c>
      <c r="E242" s="135">
        <v>802</v>
      </c>
      <c r="F242" s="135">
        <f t="shared" si="18"/>
        <v>7.3289817232376011</v>
      </c>
      <c r="G242" s="136">
        <v>0.91383812010443899</v>
      </c>
      <c r="H242" s="135">
        <v>1042</v>
      </c>
      <c r="I242" s="135">
        <f t="shared" si="19"/>
        <v>36.151020408163255</v>
      </c>
      <c r="J242" s="136">
        <v>3.4693877551020398</v>
      </c>
    </row>
    <row r="243" spans="1:10" x14ac:dyDescent="0.3">
      <c r="A243" s="134">
        <v>60101</v>
      </c>
      <c r="B243" s="134" t="s">
        <v>76</v>
      </c>
      <c r="C243" s="134" t="s">
        <v>367</v>
      </c>
      <c r="D243" s="134" t="s">
        <v>76</v>
      </c>
      <c r="E243" s="135">
        <v>97059</v>
      </c>
      <c r="F243" s="135">
        <f t="shared" si="18"/>
        <v>1726.8787673364159</v>
      </c>
      <c r="G243" s="136">
        <v>1.7792051920341401</v>
      </c>
      <c r="H243" s="135">
        <v>123590</v>
      </c>
      <c r="I243" s="135">
        <f t="shared" si="19"/>
        <v>7483.3922670900765</v>
      </c>
      <c r="J243" s="136">
        <v>6.0550143758314396</v>
      </c>
    </row>
    <row r="244" spans="1:10" x14ac:dyDescent="0.3">
      <c r="A244" s="134">
        <v>60201</v>
      </c>
      <c r="B244" s="134" t="s">
        <v>76</v>
      </c>
      <c r="C244" s="134" t="s">
        <v>407</v>
      </c>
      <c r="D244" s="134" t="s">
        <v>274</v>
      </c>
      <c r="E244" s="135">
        <v>9209</v>
      </c>
      <c r="F244" s="135">
        <f t="shared" si="18"/>
        <v>31.762474131984348</v>
      </c>
      <c r="G244" s="136">
        <v>0.34490687514371099</v>
      </c>
      <c r="H244" s="135">
        <v>10363</v>
      </c>
      <c r="I244" s="135">
        <f t="shared" si="19"/>
        <v>154.16204073482436</v>
      </c>
      <c r="J244" s="136">
        <v>1.48761980830671</v>
      </c>
    </row>
    <row r="245" spans="1:10" x14ac:dyDescent="0.3">
      <c r="A245" s="134">
        <v>60202</v>
      </c>
      <c r="B245" s="134" t="s">
        <v>76</v>
      </c>
      <c r="C245" s="134" t="s">
        <v>407</v>
      </c>
      <c r="D245" s="134" t="s">
        <v>254</v>
      </c>
      <c r="E245" s="135">
        <v>17212</v>
      </c>
      <c r="F245" s="135">
        <f t="shared" si="18"/>
        <v>239.92937240567511</v>
      </c>
      <c r="G245" s="136">
        <v>1.3939656774673199</v>
      </c>
      <c r="H245" s="135">
        <v>19145</v>
      </c>
      <c r="I245" s="135">
        <f t="shared" si="19"/>
        <v>1235.7360670097444</v>
      </c>
      <c r="J245" s="136">
        <v>6.4546151319391196</v>
      </c>
    </row>
    <row r="246" spans="1:10" x14ac:dyDescent="0.3">
      <c r="A246" s="134">
        <v>60301</v>
      </c>
      <c r="B246" s="134" t="s">
        <v>76</v>
      </c>
      <c r="C246" s="134" t="s">
        <v>408</v>
      </c>
      <c r="D246" s="134" t="s">
        <v>297</v>
      </c>
      <c r="E246" s="135">
        <v>40809</v>
      </c>
      <c r="F246" s="135">
        <f t="shared" si="18"/>
        <v>590.91622827992876</v>
      </c>
      <c r="G246" s="136">
        <v>1.4480046761251899</v>
      </c>
      <c r="H246" s="135">
        <v>48046</v>
      </c>
      <c r="I246" s="135">
        <f t="shared" si="19"/>
        <v>2519.8066681289765</v>
      </c>
      <c r="J246" s="136">
        <v>5.24457117788989</v>
      </c>
    </row>
    <row r="247" spans="1:10" x14ac:dyDescent="0.3">
      <c r="A247" s="134">
        <v>60302</v>
      </c>
      <c r="B247" s="134" t="s">
        <v>76</v>
      </c>
      <c r="C247" s="134" t="s">
        <v>408</v>
      </c>
      <c r="D247" s="134" t="s">
        <v>193</v>
      </c>
      <c r="E247" s="135">
        <v>8176</v>
      </c>
      <c r="F247" s="135">
        <f t="shared" si="18"/>
        <v>83.988494726749551</v>
      </c>
      <c r="G247" s="136">
        <v>1.02725654019997</v>
      </c>
      <c r="H247" s="135">
        <v>8015</v>
      </c>
      <c r="I247" s="135">
        <f t="shared" si="19"/>
        <v>179.60490106145969</v>
      </c>
      <c r="J247" s="136">
        <v>2.2408596514218302</v>
      </c>
    </row>
    <row r="248" spans="1:10" x14ac:dyDescent="0.3">
      <c r="A248" s="134">
        <v>60303</v>
      </c>
      <c r="B248" s="134" t="s">
        <v>76</v>
      </c>
      <c r="C248" s="134" t="s">
        <v>408</v>
      </c>
      <c r="D248" s="134" t="s">
        <v>326</v>
      </c>
      <c r="E248" s="135">
        <v>17635</v>
      </c>
      <c r="F248" s="135">
        <f t="shared" si="18"/>
        <v>267.81996345075328</v>
      </c>
      <c r="G248" s="136">
        <v>1.51868422710946</v>
      </c>
      <c r="H248" s="135">
        <v>21033</v>
      </c>
      <c r="I248" s="135">
        <f t="shared" si="19"/>
        <v>1157.2003766286639</v>
      </c>
      <c r="J248" s="136">
        <v>5.5018322475570001</v>
      </c>
    </row>
    <row r="249" spans="1:10" x14ac:dyDescent="0.3">
      <c r="A249" s="134">
        <v>60401</v>
      </c>
      <c r="B249" s="134" t="s">
        <v>76</v>
      </c>
      <c r="C249" s="134" t="s">
        <v>409</v>
      </c>
      <c r="D249" s="134" t="s">
        <v>235</v>
      </c>
      <c r="E249" s="135">
        <v>8051</v>
      </c>
      <c r="F249" s="135">
        <f t="shared" si="18"/>
        <v>15.03254201120297</v>
      </c>
      <c r="G249" s="136">
        <v>0.186716457722059</v>
      </c>
      <c r="H249" s="135">
        <v>9108</v>
      </c>
      <c r="I249" s="135">
        <f t="shared" si="19"/>
        <v>132.24145421287304</v>
      </c>
      <c r="J249" s="136">
        <v>1.4519263747570601</v>
      </c>
    </row>
    <row r="250" spans="1:10" x14ac:dyDescent="0.3">
      <c r="A250" s="134">
        <v>60402</v>
      </c>
      <c r="B250" s="134" t="s">
        <v>76</v>
      </c>
      <c r="C250" s="134" t="s">
        <v>409</v>
      </c>
      <c r="D250" s="134" t="s">
        <v>105</v>
      </c>
      <c r="E250" s="135">
        <v>2720</v>
      </c>
      <c r="F250" s="135">
        <f t="shared" si="18"/>
        <v>4.253322908522291</v>
      </c>
      <c r="G250" s="136">
        <v>0.156372165754496</v>
      </c>
      <c r="H250" s="135">
        <v>2700</v>
      </c>
      <c r="I250" s="135">
        <f t="shared" si="19"/>
        <v>31.262060980316434</v>
      </c>
      <c r="J250" s="136">
        <v>1.1578541103820901</v>
      </c>
    </row>
    <row r="251" spans="1:10" x14ac:dyDescent="0.3">
      <c r="A251" s="134">
        <v>60501</v>
      </c>
      <c r="B251" s="134" t="s">
        <v>76</v>
      </c>
      <c r="C251" s="134" t="s">
        <v>410</v>
      </c>
      <c r="D251" s="134" t="s">
        <v>271</v>
      </c>
      <c r="E251" s="135">
        <v>11782</v>
      </c>
      <c r="F251" s="135">
        <f t="shared" si="18"/>
        <v>70.969425937756625</v>
      </c>
      <c r="G251" s="136">
        <v>0.60235465912202202</v>
      </c>
      <c r="H251" s="135">
        <v>16920</v>
      </c>
      <c r="I251" s="135">
        <f t="shared" si="19"/>
        <v>607.45419776694791</v>
      </c>
      <c r="J251" s="136">
        <v>3.5901548331379902</v>
      </c>
    </row>
    <row r="252" spans="1:10" x14ac:dyDescent="0.3">
      <c r="A252" s="134">
        <v>60502</v>
      </c>
      <c r="B252" s="134" t="s">
        <v>76</v>
      </c>
      <c r="C252" s="134" t="s">
        <v>410</v>
      </c>
      <c r="D252" s="134" t="s">
        <v>88</v>
      </c>
      <c r="E252" s="135">
        <v>5348</v>
      </c>
      <c r="F252" s="135">
        <f t="shared" si="18"/>
        <v>14.91771269177128</v>
      </c>
      <c r="G252" s="136">
        <v>0.27894002789400302</v>
      </c>
      <c r="H252" s="135">
        <v>5658</v>
      </c>
      <c r="I252" s="135">
        <f t="shared" si="19"/>
        <v>65.416406680124993</v>
      </c>
      <c r="J252" s="136">
        <v>1.15617544503579</v>
      </c>
    </row>
    <row r="253" spans="1:10" x14ac:dyDescent="0.3">
      <c r="A253" s="134">
        <v>60601</v>
      </c>
      <c r="B253" s="134" t="s">
        <v>76</v>
      </c>
      <c r="C253" s="134" t="s">
        <v>411</v>
      </c>
      <c r="D253" s="134" t="s">
        <v>223</v>
      </c>
      <c r="E253" s="135">
        <v>10346</v>
      </c>
      <c r="F253" s="135">
        <f t="shared" si="18"/>
        <v>80.734366761573369</v>
      </c>
      <c r="G253" s="136">
        <v>0.78034377306759495</v>
      </c>
      <c r="H253" s="135">
        <v>11276</v>
      </c>
      <c r="I253" s="135">
        <f t="shared" si="19"/>
        <v>222.94514062935096</v>
      </c>
      <c r="J253" s="136">
        <v>1.97716513505987</v>
      </c>
    </row>
    <row r="254" spans="1:10" x14ac:dyDescent="0.3">
      <c r="A254" s="134">
        <v>70101</v>
      </c>
      <c r="B254" s="134" t="s">
        <v>85</v>
      </c>
      <c r="C254" s="134" t="s">
        <v>412</v>
      </c>
      <c r="D254" s="134" t="s">
        <v>304</v>
      </c>
      <c r="E254" s="135">
        <v>677462</v>
      </c>
      <c r="F254" s="135">
        <f t="shared" si="18"/>
        <v>19309.617030687703</v>
      </c>
      <c r="G254" s="136">
        <v>2.8502878435525099</v>
      </c>
      <c r="H254" s="135">
        <v>800212</v>
      </c>
      <c r="I254" s="135">
        <f t="shared" si="19"/>
        <v>55413.159837379826</v>
      </c>
      <c r="J254" s="136">
        <v>6.9248099050476402</v>
      </c>
    </row>
    <row r="255" spans="1:10" x14ac:dyDescent="0.3">
      <c r="A255" s="134">
        <v>70102</v>
      </c>
      <c r="B255" s="134" t="s">
        <v>85</v>
      </c>
      <c r="C255" s="134" t="s">
        <v>412</v>
      </c>
      <c r="D255" s="134" t="s">
        <v>263</v>
      </c>
      <c r="E255" s="135">
        <v>23051</v>
      </c>
      <c r="F255" s="135">
        <f t="shared" si="18"/>
        <v>325.61742201294811</v>
      </c>
      <c r="G255" s="136">
        <v>1.41259564449676</v>
      </c>
      <c r="H255" s="135">
        <v>47967</v>
      </c>
      <c r="I255" s="135">
        <f t="shared" si="19"/>
        <v>3086.331105793111</v>
      </c>
      <c r="J255" s="136">
        <v>6.4342800379283904</v>
      </c>
    </row>
    <row r="256" spans="1:10" x14ac:dyDescent="0.3">
      <c r="A256" s="134">
        <v>70103</v>
      </c>
      <c r="B256" s="134" t="s">
        <v>85</v>
      </c>
      <c r="C256" s="134" t="s">
        <v>412</v>
      </c>
      <c r="D256" s="134" t="s">
        <v>188</v>
      </c>
      <c r="E256" s="135">
        <v>7005</v>
      </c>
      <c r="F256" s="135">
        <f t="shared" si="18"/>
        <v>91.649975771280936</v>
      </c>
      <c r="G256" s="136">
        <v>1.30835083185269</v>
      </c>
      <c r="H256" s="135">
        <v>11589</v>
      </c>
      <c r="I256" s="135">
        <f t="shared" si="19"/>
        <v>619.6509460604351</v>
      </c>
      <c r="J256" s="136">
        <v>5.3468888261319796</v>
      </c>
    </row>
    <row r="257" spans="1:10" x14ac:dyDescent="0.3">
      <c r="A257" s="134">
        <v>70104</v>
      </c>
      <c r="B257" s="134" t="s">
        <v>85</v>
      </c>
      <c r="C257" s="134" t="s">
        <v>412</v>
      </c>
      <c r="D257" s="134" t="s">
        <v>294</v>
      </c>
      <c r="E257" s="135">
        <v>39682</v>
      </c>
      <c r="F257" s="135">
        <f t="shared" si="18"/>
        <v>774.39210377890504</v>
      </c>
      <c r="G257" s="136">
        <v>1.9514946418499699</v>
      </c>
      <c r="H257" s="135">
        <v>71738</v>
      </c>
      <c r="I257" s="135">
        <f t="shared" si="19"/>
        <v>4637.0936479291258</v>
      </c>
      <c r="J257" s="136">
        <v>6.4639293650912002</v>
      </c>
    </row>
    <row r="258" spans="1:10" x14ac:dyDescent="0.3">
      <c r="A258" s="134">
        <v>70105</v>
      </c>
      <c r="B258" s="134" t="s">
        <v>85</v>
      </c>
      <c r="C258" s="134" t="s">
        <v>412</v>
      </c>
      <c r="D258" s="134" t="s">
        <v>291</v>
      </c>
      <c r="E258" s="135">
        <v>22888</v>
      </c>
      <c r="F258" s="135">
        <f t="shared" si="18"/>
        <v>329.26753145420849</v>
      </c>
      <c r="G258" s="136">
        <v>1.4386033356090899</v>
      </c>
      <c r="H258" s="135">
        <v>27882</v>
      </c>
      <c r="I258" s="135">
        <f t="shared" si="19"/>
        <v>1350.3285322359391</v>
      </c>
      <c r="J258" s="136">
        <v>4.8430117360158498</v>
      </c>
    </row>
    <row r="259" spans="1:10" x14ac:dyDescent="0.3">
      <c r="A259" s="134">
        <v>70201</v>
      </c>
      <c r="B259" s="134" t="s">
        <v>85</v>
      </c>
      <c r="C259" s="134" t="s">
        <v>298</v>
      </c>
      <c r="D259" s="134" t="s">
        <v>298</v>
      </c>
      <c r="E259" s="135">
        <v>40191</v>
      </c>
      <c r="F259" s="135">
        <f t="shared" ref="F259:F322" si="20">E259*(G259/100)</f>
        <v>774.6252355662167</v>
      </c>
      <c r="G259" s="136">
        <v>1.92735994517732</v>
      </c>
      <c r="H259" s="135">
        <v>68065</v>
      </c>
      <c r="I259" s="135">
        <f t="shared" ref="I259:I322" si="21">H259*(J259/100)</f>
        <v>4353.4675811468223</v>
      </c>
      <c r="J259" s="136">
        <v>6.39604434165404</v>
      </c>
    </row>
    <row r="260" spans="1:10" x14ac:dyDescent="0.3">
      <c r="A260" s="134">
        <v>70202</v>
      </c>
      <c r="B260" s="134" t="s">
        <v>85</v>
      </c>
      <c r="C260" s="134" t="s">
        <v>298</v>
      </c>
      <c r="D260" s="134" t="s">
        <v>91</v>
      </c>
      <c r="E260" s="135">
        <v>4724</v>
      </c>
      <c r="F260" s="135">
        <f t="shared" si="20"/>
        <v>104.08412618928374</v>
      </c>
      <c r="G260" s="136">
        <v>2.2033049574361501</v>
      </c>
      <c r="H260" s="135">
        <v>4284</v>
      </c>
      <c r="I260" s="135">
        <f t="shared" si="21"/>
        <v>188.76474981329338</v>
      </c>
      <c r="J260" s="136">
        <v>4.4062733383121699</v>
      </c>
    </row>
    <row r="261" spans="1:10" x14ac:dyDescent="0.3">
      <c r="A261" s="134">
        <v>70301</v>
      </c>
      <c r="B261" s="134" t="s">
        <v>85</v>
      </c>
      <c r="C261" s="134" t="s">
        <v>413</v>
      </c>
      <c r="D261" s="134" t="s">
        <v>279</v>
      </c>
      <c r="E261" s="135">
        <v>20521</v>
      </c>
      <c r="F261" s="135">
        <f t="shared" si="20"/>
        <v>244.96039066738979</v>
      </c>
      <c r="G261" s="136">
        <v>1.19370591427021</v>
      </c>
      <c r="H261" s="135">
        <v>30285</v>
      </c>
      <c r="I261" s="135">
        <f t="shared" si="21"/>
        <v>974.18619977201547</v>
      </c>
      <c r="J261" s="136">
        <v>3.2167284126531799</v>
      </c>
    </row>
    <row r="262" spans="1:10" x14ac:dyDescent="0.3">
      <c r="A262" s="134">
        <v>70302</v>
      </c>
      <c r="B262" s="134" t="s">
        <v>85</v>
      </c>
      <c r="C262" s="134" t="s">
        <v>413</v>
      </c>
      <c r="D262" s="134" t="s">
        <v>201</v>
      </c>
      <c r="E262" s="135">
        <v>4437</v>
      </c>
      <c r="F262" s="135">
        <f t="shared" si="20"/>
        <v>20.913669064748191</v>
      </c>
      <c r="G262" s="136">
        <v>0.47134706028280798</v>
      </c>
      <c r="H262" s="135">
        <v>7225</v>
      </c>
      <c r="I262" s="135">
        <f t="shared" si="21"/>
        <v>133.10611643330901</v>
      </c>
      <c r="J262" s="136">
        <v>1.84229918938836</v>
      </c>
    </row>
    <row r="263" spans="1:10" x14ac:dyDescent="0.3">
      <c r="A263" s="134">
        <v>70303</v>
      </c>
      <c r="B263" s="134" t="s">
        <v>85</v>
      </c>
      <c r="C263" s="134" t="s">
        <v>413</v>
      </c>
      <c r="D263" s="134" t="s">
        <v>79</v>
      </c>
      <c r="E263" s="135">
        <v>2634</v>
      </c>
      <c r="F263" s="135">
        <f t="shared" si="20"/>
        <v>15.685240323266703</v>
      </c>
      <c r="G263" s="136">
        <v>0.59549128030625298</v>
      </c>
      <c r="H263" s="135">
        <v>4454</v>
      </c>
      <c r="I263" s="135">
        <f t="shared" si="21"/>
        <v>85.040572792362852</v>
      </c>
      <c r="J263" s="136">
        <v>1.90930787589499</v>
      </c>
    </row>
    <row r="264" spans="1:10" x14ac:dyDescent="0.3">
      <c r="A264" s="134">
        <v>70401</v>
      </c>
      <c r="B264" s="134" t="s">
        <v>85</v>
      </c>
      <c r="C264" s="134" t="s">
        <v>414</v>
      </c>
      <c r="D264" s="134" t="s">
        <v>164</v>
      </c>
      <c r="E264" s="135">
        <v>5302</v>
      </c>
      <c r="F264" s="135">
        <f t="shared" si="20"/>
        <v>103.57190357439724</v>
      </c>
      <c r="G264" s="136">
        <v>1.9534497090606799</v>
      </c>
      <c r="H264" s="135">
        <v>6450</v>
      </c>
      <c r="I264" s="135">
        <f t="shared" si="21"/>
        <v>396.66060505868751</v>
      </c>
      <c r="J264" s="136">
        <v>6.1497768226153102</v>
      </c>
    </row>
    <row r="265" spans="1:10" x14ac:dyDescent="0.3">
      <c r="A265" s="134">
        <v>70402</v>
      </c>
      <c r="B265" s="134" t="s">
        <v>85</v>
      </c>
      <c r="C265" s="134" t="s">
        <v>414</v>
      </c>
      <c r="D265" s="134" t="s">
        <v>225</v>
      </c>
      <c r="E265" s="135">
        <v>8314</v>
      </c>
      <c r="F265" s="135">
        <f t="shared" si="20"/>
        <v>123.30084745762737</v>
      </c>
      <c r="G265" s="136">
        <v>1.4830508474576301</v>
      </c>
      <c r="H265" s="135">
        <v>8889</v>
      </c>
      <c r="I265" s="135">
        <f t="shared" si="21"/>
        <v>412.68095464260267</v>
      </c>
      <c r="J265" s="136">
        <v>4.6426027071954401</v>
      </c>
    </row>
    <row r="266" spans="1:10" x14ac:dyDescent="0.3">
      <c r="A266" s="134">
        <v>70403</v>
      </c>
      <c r="B266" s="134" t="s">
        <v>85</v>
      </c>
      <c r="C266" s="134" t="s">
        <v>414</v>
      </c>
      <c r="D266" s="134" t="s">
        <v>278</v>
      </c>
      <c r="E266" s="135">
        <v>24485</v>
      </c>
      <c r="F266" s="135">
        <f t="shared" si="20"/>
        <v>274.75425288388095</v>
      </c>
      <c r="G266" s="136">
        <v>1.1221329503119499</v>
      </c>
      <c r="H266" s="135">
        <v>31725</v>
      </c>
      <c r="I266" s="135">
        <f t="shared" si="21"/>
        <v>1508.4695393759287</v>
      </c>
      <c r="J266" s="136">
        <v>4.7548291233283804</v>
      </c>
    </row>
    <row r="267" spans="1:10" x14ac:dyDescent="0.3">
      <c r="A267" s="134">
        <v>70404</v>
      </c>
      <c r="B267" s="134" t="s">
        <v>85</v>
      </c>
      <c r="C267" s="134" t="s">
        <v>414</v>
      </c>
      <c r="D267" s="134" t="s">
        <v>327</v>
      </c>
      <c r="E267" s="135">
        <v>4108</v>
      </c>
      <c r="F267" s="135">
        <f t="shared" si="20"/>
        <v>28.953103822174043</v>
      </c>
      <c r="G267" s="136">
        <v>0.70479804825155901</v>
      </c>
      <c r="H267" s="135">
        <v>4686</v>
      </c>
      <c r="I267" s="135">
        <f t="shared" si="21"/>
        <v>182.18625678119338</v>
      </c>
      <c r="J267" s="136">
        <v>3.8878842676311001</v>
      </c>
    </row>
    <row r="268" spans="1:10" x14ac:dyDescent="0.3">
      <c r="A268" s="134">
        <v>70501</v>
      </c>
      <c r="B268" s="134" t="s">
        <v>85</v>
      </c>
      <c r="C268" s="134" t="s">
        <v>415</v>
      </c>
      <c r="D268" s="134" t="s">
        <v>328</v>
      </c>
      <c r="E268" s="135">
        <v>11763</v>
      </c>
      <c r="F268" s="135">
        <f t="shared" si="20"/>
        <v>136.72651296829955</v>
      </c>
      <c r="G268" s="136">
        <v>1.16234390009606</v>
      </c>
      <c r="H268" s="135">
        <v>19759</v>
      </c>
      <c r="I268" s="135">
        <f t="shared" si="21"/>
        <v>589.7733139722493</v>
      </c>
      <c r="J268" s="136">
        <v>2.9848338173604398</v>
      </c>
    </row>
    <row r="269" spans="1:10" x14ac:dyDescent="0.3">
      <c r="A269" s="134">
        <v>70502</v>
      </c>
      <c r="B269" s="134" t="s">
        <v>85</v>
      </c>
      <c r="C269" s="134" t="s">
        <v>415</v>
      </c>
      <c r="D269" s="134" t="s">
        <v>272</v>
      </c>
      <c r="E269" s="135">
        <v>15820</v>
      </c>
      <c r="F269" s="135">
        <f t="shared" si="20"/>
        <v>114.06415538552083</v>
      </c>
      <c r="G269" s="136">
        <v>0.72101236021188897</v>
      </c>
      <c r="H269" s="135">
        <v>23656</v>
      </c>
      <c r="I269" s="135">
        <f t="shared" si="21"/>
        <v>748.1696526508224</v>
      </c>
      <c r="J269" s="136">
        <v>3.1627056672760498</v>
      </c>
    </row>
    <row r="270" spans="1:10" x14ac:dyDescent="0.3">
      <c r="A270" s="134">
        <v>70503</v>
      </c>
      <c r="B270" s="134" t="s">
        <v>85</v>
      </c>
      <c r="C270" s="134" t="s">
        <v>415</v>
      </c>
      <c r="D270" s="134" t="s">
        <v>162</v>
      </c>
      <c r="E270" s="135">
        <v>5986</v>
      </c>
      <c r="F270" s="135">
        <f t="shared" si="20"/>
        <v>139.83367594842102</v>
      </c>
      <c r="G270" s="136">
        <v>2.3360119603812399</v>
      </c>
      <c r="H270" s="135">
        <v>7809</v>
      </c>
      <c r="I270" s="135">
        <f t="shared" si="21"/>
        <v>465.14938941655396</v>
      </c>
      <c r="J270" s="136">
        <v>5.9565807327001403</v>
      </c>
    </row>
    <row r="271" spans="1:10" x14ac:dyDescent="0.3">
      <c r="A271" s="134">
        <v>70601</v>
      </c>
      <c r="B271" s="134" t="s">
        <v>85</v>
      </c>
      <c r="C271" s="134" t="s">
        <v>416</v>
      </c>
      <c r="D271" s="134" t="s">
        <v>158</v>
      </c>
      <c r="E271" s="135">
        <v>7585</v>
      </c>
      <c r="F271" s="135">
        <f t="shared" si="20"/>
        <v>101.71455938697351</v>
      </c>
      <c r="G271" s="136">
        <v>1.3409961685823799</v>
      </c>
      <c r="H271" s="135">
        <v>9205</v>
      </c>
      <c r="I271" s="135">
        <f t="shared" si="21"/>
        <v>410.20881941203896</v>
      </c>
      <c r="J271" s="136">
        <v>4.4563695753616397</v>
      </c>
    </row>
    <row r="272" spans="1:10" x14ac:dyDescent="0.3">
      <c r="A272" s="134">
        <v>70602</v>
      </c>
      <c r="B272" s="134" t="s">
        <v>85</v>
      </c>
      <c r="C272" s="134" t="s">
        <v>416</v>
      </c>
      <c r="D272" s="134" t="s">
        <v>256</v>
      </c>
      <c r="E272" s="135">
        <v>8277</v>
      </c>
      <c r="F272" s="135">
        <f t="shared" si="20"/>
        <v>40.893176659099993</v>
      </c>
      <c r="G272" s="136">
        <v>0.49405795166243799</v>
      </c>
      <c r="H272" s="135">
        <v>8534</v>
      </c>
      <c r="I272" s="135">
        <f t="shared" si="21"/>
        <v>228.29538384969501</v>
      </c>
      <c r="J272" s="136">
        <v>2.67512753514993</v>
      </c>
    </row>
    <row r="273" spans="1:10" x14ac:dyDescent="0.3">
      <c r="A273" s="134">
        <v>70603</v>
      </c>
      <c r="B273" s="134" t="s">
        <v>85</v>
      </c>
      <c r="C273" s="134" t="s">
        <v>416</v>
      </c>
      <c r="D273" s="134" t="s">
        <v>329</v>
      </c>
      <c r="E273" s="135">
        <v>2363</v>
      </c>
      <c r="F273" s="135">
        <f t="shared" si="20"/>
        <v>28.469879518072201</v>
      </c>
      <c r="G273" s="136">
        <v>1.2048192771084301</v>
      </c>
      <c r="H273" s="135">
        <v>2472</v>
      </c>
      <c r="I273" s="135">
        <f t="shared" si="21"/>
        <v>125.44811961939283</v>
      </c>
      <c r="J273" s="136">
        <v>5.0747621205255999</v>
      </c>
    </row>
    <row r="274" spans="1:10" x14ac:dyDescent="0.3">
      <c r="A274" s="134">
        <v>70701</v>
      </c>
      <c r="B274" s="134" t="s">
        <v>85</v>
      </c>
      <c r="C274" s="134" t="s">
        <v>417</v>
      </c>
      <c r="D274" s="134" t="s">
        <v>74</v>
      </c>
      <c r="E274" s="135">
        <v>2032</v>
      </c>
      <c r="F274" s="135">
        <f t="shared" si="20"/>
        <v>18.612068965517238</v>
      </c>
      <c r="G274" s="136">
        <v>0.91594827586206895</v>
      </c>
      <c r="H274" s="135">
        <v>2785</v>
      </c>
      <c r="I274" s="135">
        <f t="shared" si="21"/>
        <v>57.845543806646489</v>
      </c>
      <c r="J274" s="136">
        <v>2.0770392749244699</v>
      </c>
    </row>
    <row r="275" spans="1:10" x14ac:dyDescent="0.3">
      <c r="A275" s="134">
        <v>70702</v>
      </c>
      <c r="B275" s="134" t="s">
        <v>85</v>
      </c>
      <c r="C275" s="134" t="s">
        <v>417</v>
      </c>
      <c r="D275" s="134" t="s">
        <v>95</v>
      </c>
      <c r="E275" s="135">
        <v>11230</v>
      </c>
      <c r="F275" s="135">
        <f t="shared" si="20"/>
        <v>75.00159016219655</v>
      </c>
      <c r="G275" s="136">
        <v>0.66786812254850003</v>
      </c>
      <c r="H275" s="135">
        <v>14568</v>
      </c>
      <c r="I275" s="135">
        <f t="shared" si="21"/>
        <v>298.70449033585709</v>
      </c>
      <c r="J275" s="136">
        <v>2.05041522745646</v>
      </c>
    </row>
    <row r="276" spans="1:10" x14ac:dyDescent="0.3">
      <c r="A276" s="134">
        <v>70703</v>
      </c>
      <c r="B276" s="134" t="s">
        <v>85</v>
      </c>
      <c r="C276" s="134" t="s">
        <v>417</v>
      </c>
      <c r="D276" s="134" t="s">
        <v>250</v>
      </c>
      <c r="E276" s="135">
        <v>11459</v>
      </c>
      <c r="F276" s="135">
        <f t="shared" si="20"/>
        <v>54.599166170339522</v>
      </c>
      <c r="G276" s="136">
        <v>0.47647409172126298</v>
      </c>
      <c r="H276" s="135">
        <v>14829</v>
      </c>
      <c r="I276" s="135">
        <f t="shared" si="21"/>
        <v>435.07280498406232</v>
      </c>
      <c r="J276" s="136">
        <v>2.9339321935670801</v>
      </c>
    </row>
    <row r="277" spans="1:10" x14ac:dyDescent="0.3">
      <c r="A277" s="134">
        <v>70704</v>
      </c>
      <c r="B277" s="134" t="s">
        <v>85</v>
      </c>
      <c r="C277" s="134" t="s">
        <v>417</v>
      </c>
      <c r="D277" s="134" t="s">
        <v>73</v>
      </c>
      <c r="E277" s="135">
        <v>1806</v>
      </c>
      <c r="F277" s="135">
        <f t="shared" si="20"/>
        <v>12.247842170160302</v>
      </c>
      <c r="G277" s="136">
        <v>0.678175092478422</v>
      </c>
      <c r="H277" s="135">
        <v>2267</v>
      </c>
      <c r="I277" s="135">
        <f t="shared" si="21"/>
        <v>70.344146685472495</v>
      </c>
      <c r="J277" s="136">
        <v>3.10296191819464</v>
      </c>
    </row>
    <row r="278" spans="1:10" x14ac:dyDescent="0.3">
      <c r="A278" s="134">
        <v>70705</v>
      </c>
      <c r="B278" s="134" t="s">
        <v>85</v>
      </c>
      <c r="C278" s="134" t="s">
        <v>417</v>
      </c>
      <c r="D278" s="134" t="s">
        <v>141</v>
      </c>
      <c r="E278" s="135">
        <v>3792</v>
      </c>
      <c r="F278" s="135">
        <f t="shared" si="20"/>
        <v>12.941979522184299</v>
      </c>
      <c r="G278" s="136">
        <v>0.34129692832764502</v>
      </c>
      <c r="H278" s="135">
        <v>5402</v>
      </c>
      <c r="I278" s="135">
        <f t="shared" si="21"/>
        <v>123.709923664122</v>
      </c>
      <c r="J278" s="136">
        <v>2.2900763358778602</v>
      </c>
    </row>
    <row r="279" spans="1:10" x14ac:dyDescent="0.3">
      <c r="A279" s="134">
        <v>70706</v>
      </c>
      <c r="B279" s="134" t="s">
        <v>85</v>
      </c>
      <c r="C279" s="134" t="s">
        <v>417</v>
      </c>
      <c r="D279" s="134" t="s">
        <v>221</v>
      </c>
      <c r="E279" s="135">
        <v>12964</v>
      </c>
      <c r="F279" s="135">
        <f t="shared" si="20"/>
        <v>273.53060692888772</v>
      </c>
      <c r="G279" s="136">
        <v>2.10992445949466</v>
      </c>
      <c r="H279" s="135">
        <v>14189</v>
      </c>
      <c r="I279" s="135">
        <f t="shared" si="21"/>
        <v>773.3188097768334</v>
      </c>
      <c r="J279" s="136">
        <v>5.4501290420525299</v>
      </c>
    </row>
    <row r="280" spans="1:10" x14ac:dyDescent="0.3">
      <c r="A280" s="134">
        <v>70707</v>
      </c>
      <c r="B280" s="134" t="s">
        <v>85</v>
      </c>
      <c r="C280" s="134" t="s">
        <v>417</v>
      </c>
      <c r="D280" s="134" t="s">
        <v>53</v>
      </c>
      <c r="E280" s="135">
        <v>1840</v>
      </c>
      <c r="F280" s="135">
        <f t="shared" si="20"/>
        <v>23.711340206185511</v>
      </c>
      <c r="G280" s="136">
        <v>1.28865979381443</v>
      </c>
      <c r="H280" s="135">
        <v>2141</v>
      </c>
      <c r="I280" s="135">
        <f t="shared" si="21"/>
        <v>77.241361788617837</v>
      </c>
      <c r="J280" s="136">
        <v>3.6077235772357699</v>
      </c>
    </row>
    <row r="281" spans="1:10" x14ac:dyDescent="0.3">
      <c r="A281" s="134">
        <v>70801</v>
      </c>
      <c r="B281" s="134" t="s">
        <v>85</v>
      </c>
      <c r="C281" s="134" t="s">
        <v>257</v>
      </c>
      <c r="D281" s="134" t="s">
        <v>257</v>
      </c>
      <c r="E281" s="135">
        <v>8766</v>
      </c>
      <c r="F281" s="135">
        <f t="shared" si="20"/>
        <v>79.969757560609864</v>
      </c>
      <c r="G281" s="136">
        <v>0.91227193201699597</v>
      </c>
      <c r="H281" s="135">
        <v>9668</v>
      </c>
      <c r="I281" s="135">
        <f t="shared" si="21"/>
        <v>317.39986868023669</v>
      </c>
      <c r="J281" s="136">
        <v>3.2829940906106398</v>
      </c>
    </row>
    <row r="282" spans="1:10" x14ac:dyDescent="0.3">
      <c r="A282" s="134">
        <v>70802</v>
      </c>
      <c r="B282" s="134" t="s">
        <v>85</v>
      </c>
      <c r="C282" s="134" t="s">
        <v>257</v>
      </c>
      <c r="D282" s="134" t="s">
        <v>10</v>
      </c>
      <c r="E282" s="135">
        <v>1089</v>
      </c>
      <c r="F282" s="135">
        <f t="shared" si="20"/>
        <v>3.257228315054832</v>
      </c>
      <c r="G282" s="136">
        <v>0.299102691924227</v>
      </c>
      <c r="H282" s="135">
        <v>1325</v>
      </c>
      <c r="I282" s="135">
        <f t="shared" si="21"/>
        <v>21.28514056224893</v>
      </c>
      <c r="J282" s="136">
        <v>1.6064257028112401</v>
      </c>
    </row>
    <row r="283" spans="1:10" x14ac:dyDescent="0.3">
      <c r="A283" s="134">
        <v>70803</v>
      </c>
      <c r="B283" s="134" t="s">
        <v>85</v>
      </c>
      <c r="C283" s="134" t="s">
        <v>257</v>
      </c>
      <c r="D283" s="134" t="s">
        <v>36</v>
      </c>
      <c r="E283" s="135">
        <v>1575</v>
      </c>
      <c r="F283" s="135">
        <f t="shared" si="20"/>
        <v>2.1212121212121264</v>
      </c>
      <c r="G283" s="136">
        <v>0.13468013468013501</v>
      </c>
      <c r="H283" s="135">
        <v>1723</v>
      </c>
      <c r="I283" s="135">
        <f t="shared" si="21"/>
        <v>15.635208711433751</v>
      </c>
      <c r="J283" s="136">
        <v>0.90744101633393803</v>
      </c>
    </row>
    <row r="284" spans="1:10" x14ac:dyDescent="0.3">
      <c r="A284" s="134">
        <v>70804</v>
      </c>
      <c r="B284" s="134" t="s">
        <v>85</v>
      </c>
      <c r="C284" s="134" t="s">
        <v>257</v>
      </c>
      <c r="D284" s="134" t="s">
        <v>330</v>
      </c>
      <c r="E284" s="135">
        <v>1243</v>
      </c>
      <c r="F284" s="135">
        <f t="shared" si="20"/>
        <v>2.089075630252097</v>
      </c>
      <c r="G284" s="136">
        <v>0.16806722689075601</v>
      </c>
      <c r="H284" s="135">
        <v>1034</v>
      </c>
      <c r="I284" s="135">
        <f t="shared" si="21"/>
        <v>21.407867494824011</v>
      </c>
      <c r="J284" s="136">
        <v>2.0703933747412</v>
      </c>
    </row>
    <row r="285" spans="1:10" x14ac:dyDescent="0.3">
      <c r="A285" s="134">
        <v>70805</v>
      </c>
      <c r="B285" s="134" t="s">
        <v>85</v>
      </c>
      <c r="C285" s="134" t="s">
        <v>257</v>
      </c>
      <c r="D285" s="134" t="s">
        <v>331</v>
      </c>
      <c r="E285" s="135">
        <v>1094</v>
      </c>
      <c r="F285" s="135">
        <f t="shared" si="20"/>
        <v>9.8657314629258543</v>
      </c>
      <c r="G285" s="136">
        <v>0.90180360721442898</v>
      </c>
      <c r="H285" s="135">
        <v>1175</v>
      </c>
      <c r="I285" s="135">
        <f t="shared" si="21"/>
        <v>23.288288288288264</v>
      </c>
      <c r="J285" s="136">
        <v>1.9819819819819799</v>
      </c>
    </row>
    <row r="286" spans="1:10" x14ac:dyDescent="0.3">
      <c r="A286" s="134">
        <v>70901</v>
      </c>
      <c r="B286" s="134" t="s">
        <v>85</v>
      </c>
      <c r="C286" s="134" t="s">
        <v>418</v>
      </c>
      <c r="D286" s="134" t="s">
        <v>192</v>
      </c>
      <c r="E286" s="135">
        <v>5320</v>
      </c>
      <c r="F286" s="135">
        <f t="shared" si="20"/>
        <v>138.77295492487505</v>
      </c>
      <c r="G286" s="136">
        <v>2.6085141903172002</v>
      </c>
      <c r="H286" s="135">
        <v>6659</v>
      </c>
      <c r="I286" s="135">
        <f t="shared" si="21"/>
        <v>399.09655937846816</v>
      </c>
      <c r="J286" s="136">
        <v>5.9933407325194201</v>
      </c>
    </row>
    <row r="287" spans="1:10" x14ac:dyDescent="0.3">
      <c r="A287" s="134">
        <v>70902</v>
      </c>
      <c r="B287" s="134" t="s">
        <v>85</v>
      </c>
      <c r="C287" s="134" t="s">
        <v>418</v>
      </c>
      <c r="D287" s="134" t="s">
        <v>160</v>
      </c>
      <c r="E287" s="135">
        <v>4477</v>
      </c>
      <c r="F287" s="135">
        <f t="shared" si="20"/>
        <v>17.578404907975461</v>
      </c>
      <c r="G287" s="136">
        <v>0.39263803680981602</v>
      </c>
      <c r="H287" s="135">
        <v>5108</v>
      </c>
      <c r="I287" s="135">
        <f t="shared" si="21"/>
        <v>182.76619370758766</v>
      </c>
      <c r="J287" s="136">
        <v>3.5780382479950599</v>
      </c>
    </row>
    <row r="288" spans="1:10" x14ac:dyDescent="0.3">
      <c r="A288" s="134">
        <v>70903</v>
      </c>
      <c r="B288" s="134" t="s">
        <v>85</v>
      </c>
      <c r="C288" s="134" t="s">
        <v>418</v>
      </c>
      <c r="D288" s="134" t="s">
        <v>122</v>
      </c>
      <c r="E288" s="135">
        <v>4822</v>
      </c>
      <c r="F288" s="135">
        <f t="shared" si="20"/>
        <v>36.966854565952644</v>
      </c>
      <c r="G288" s="136">
        <v>0.76662908680946995</v>
      </c>
      <c r="H288" s="135">
        <v>6620</v>
      </c>
      <c r="I288" s="135">
        <f t="shared" si="21"/>
        <v>236.61388932434522</v>
      </c>
      <c r="J288" s="136">
        <v>3.5742279354130702</v>
      </c>
    </row>
    <row r="289" spans="1:10" x14ac:dyDescent="0.3">
      <c r="A289" s="134">
        <v>70904</v>
      </c>
      <c r="B289" s="134" t="s">
        <v>85</v>
      </c>
      <c r="C289" s="134" t="s">
        <v>418</v>
      </c>
      <c r="D289" s="134" t="s">
        <v>20</v>
      </c>
      <c r="E289" s="135">
        <v>1518</v>
      </c>
      <c r="F289" s="135">
        <f t="shared" si="20"/>
        <v>4.2254697286012526</v>
      </c>
      <c r="G289" s="136">
        <v>0.27835768963117602</v>
      </c>
      <c r="H289" s="135">
        <v>1724</v>
      </c>
      <c r="I289" s="135">
        <f t="shared" si="21"/>
        <v>30.541233964569333</v>
      </c>
      <c r="J289" s="136">
        <v>1.77153329260843</v>
      </c>
    </row>
    <row r="290" spans="1:10" x14ac:dyDescent="0.3">
      <c r="A290" s="134">
        <v>71001</v>
      </c>
      <c r="B290" s="134" t="s">
        <v>85</v>
      </c>
      <c r="C290" s="134" t="s">
        <v>419</v>
      </c>
      <c r="D290" s="134" t="s">
        <v>300</v>
      </c>
      <c r="E290" s="135">
        <v>46699</v>
      </c>
      <c r="F290" s="135">
        <f t="shared" si="20"/>
        <v>731.98384541526627</v>
      </c>
      <c r="G290" s="136">
        <v>1.56745079212674</v>
      </c>
      <c r="H290" s="135">
        <v>57802</v>
      </c>
      <c r="I290" s="135">
        <f t="shared" si="21"/>
        <v>3699.2076306639619</v>
      </c>
      <c r="J290" s="136">
        <v>6.3997917557592503</v>
      </c>
    </row>
    <row r="291" spans="1:10" x14ac:dyDescent="0.3">
      <c r="A291" s="134">
        <v>71002</v>
      </c>
      <c r="B291" s="134" t="s">
        <v>85</v>
      </c>
      <c r="C291" s="134" t="s">
        <v>419</v>
      </c>
      <c r="D291" s="134" t="s">
        <v>332</v>
      </c>
      <c r="E291" s="135">
        <v>5398</v>
      </c>
      <c r="F291" s="135">
        <f t="shared" si="20"/>
        <v>24.237331622835139</v>
      </c>
      <c r="G291" s="136">
        <v>0.44900577293136601</v>
      </c>
      <c r="H291" s="135">
        <v>6858</v>
      </c>
      <c r="I291" s="135">
        <f t="shared" si="21"/>
        <v>196.3167938931299</v>
      </c>
      <c r="J291" s="136">
        <v>2.86259541984733</v>
      </c>
    </row>
    <row r="292" spans="1:10" x14ac:dyDescent="0.3">
      <c r="A292" s="134">
        <v>71003</v>
      </c>
      <c r="B292" s="134" t="s">
        <v>85</v>
      </c>
      <c r="C292" s="134" t="s">
        <v>419</v>
      </c>
      <c r="D292" s="134" t="s">
        <v>230</v>
      </c>
      <c r="E292" s="135">
        <v>9202</v>
      </c>
      <c r="F292" s="135">
        <f t="shared" si="20"/>
        <v>75.137535085481034</v>
      </c>
      <c r="G292" s="136">
        <v>0.81653483031385599</v>
      </c>
      <c r="H292" s="135">
        <v>9624</v>
      </c>
      <c r="I292" s="135">
        <f t="shared" si="21"/>
        <v>453.64562942963175</v>
      </c>
      <c r="J292" s="136">
        <v>4.7136910788615101</v>
      </c>
    </row>
    <row r="293" spans="1:10" x14ac:dyDescent="0.3">
      <c r="A293" s="134">
        <v>71004</v>
      </c>
      <c r="B293" s="134" t="s">
        <v>85</v>
      </c>
      <c r="C293" s="134" t="s">
        <v>419</v>
      </c>
      <c r="D293" s="134" t="s">
        <v>161</v>
      </c>
      <c r="E293" s="135">
        <v>6389</v>
      </c>
      <c r="F293" s="135">
        <f t="shared" si="20"/>
        <v>39.08348326736234</v>
      </c>
      <c r="G293" s="136">
        <v>0.61173083843109</v>
      </c>
      <c r="H293" s="135">
        <v>7711</v>
      </c>
      <c r="I293" s="135">
        <f t="shared" si="21"/>
        <v>252.66238075487357</v>
      </c>
      <c r="J293" s="136">
        <v>3.27664869348818</v>
      </c>
    </row>
    <row r="294" spans="1:10" x14ac:dyDescent="0.3">
      <c r="A294" s="134">
        <v>71005</v>
      </c>
      <c r="B294" s="134" t="s">
        <v>85</v>
      </c>
      <c r="C294" s="134" t="s">
        <v>419</v>
      </c>
      <c r="D294" s="134" t="s">
        <v>9</v>
      </c>
      <c r="E294" s="135">
        <v>8799</v>
      </c>
      <c r="F294" s="135">
        <f t="shared" si="20"/>
        <v>36.619586422161518</v>
      </c>
      <c r="G294" s="136">
        <v>0.41617895695148899</v>
      </c>
      <c r="H294" s="135">
        <v>7781</v>
      </c>
      <c r="I294" s="135">
        <f t="shared" si="21"/>
        <v>303.93677111142341</v>
      </c>
      <c r="J294" s="136">
        <v>3.9061402276239998</v>
      </c>
    </row>
    <row r="295" spans="1:10" x14ac:dyDescent="0.3">
      <c r="A295" s="134">
        <v>71101</v>
      </c>
      <c r="B295" s="134" t="s">
        <v>85</v>
      </c>
      <c r="C295" s="134" t="s">
        <v>420</v>
      </c>
      <c r="D295" s="134" t="s">
        <v>248</v>
      </c>
      <c r="E295" s="135">
        <v>7649</v>
      </c>
      <c r="F295" s="135">
        <f t="shared" si="20"/>
        <v>86.386132952108767</v>
      </c>
      <c r="G295" s="136">
        <v>1.12937812723374</v>
      </c>
      <c r="H295" s="135">
        <v>14303</v>
      </c>
      <c r="I295" s="135">
        <f t="shared" si="21"/>
        <v>616.54533948779056</v>
      </c>
      <c r="J295" s="136">
        <v>4.3106015485407996</v>
      </c>
    </row>
    <row r="296" spans="1:10" x14ac:dyDescent="0.3">
      <c r="A296" s="134">
        <v>71102</v>
      </c>
      <c r="B296" s="134" t="s">
        <v>85</v>
      </c>
      <c r="C296" s="134" t="s">
        <v>420</v>
      </c>
      <c r="D296" s="134" t="s">
        <v>75</v>
      </c>
      <c r="E296" s="135">
        <v>5881</v>
      </c>
      <c r="F296" s="135">
        <f t="shared" si="20"/>
        <v>64.947542794036664</v>
      </c>
      <c r="G296" s="136">
        <v>1.10436223081171</v>
      </c>
      <c r="H296" s="135">
        <v>6358</v>
      </c>
      <c r="I296" s="135">
        <f t="shared" si="21"/>
        <v>272.59219561212501</v>
      </c>
      <c r="J296" s="136">
        <v>4.28738904706079</v>
      </c>
    </row>
    <row r="297" spans="1:10" x14ac:dyDescent="0.3">
      <c r="A297" s="134">
        <v>71103</v>
      </c>
      <c r="B297" s="134" t="s">
        <v>85</v>
      </c>
      <c r="C297" s="134" t="s">
        <v>420</v>
      </c>
      <c r="D297" s="134" t="s">
        <v>44</v>
      </c>
      <c r="E297" s="135">
        <v>3126</v>
      </c>
      <c r="F297" s="135">
        <f t="shared" si="20"/>
        <v>48.345869947275986</v>
      </c>
      <c r="G297" s="136">
        <v>1.5465729349736399</v>
      </c>
      <c r="H297" s="135">
        <v>3711</v>
      </c>
      <c r="I297" s="135">
        <f t="shared" si="21"/>
        <v>190.47231833910027</v>
      </c>
      <c r="J297" s="136">
        <v>5.1326412918108399</v>
      </c>
    </row>
    <row r="298" spans="1:10" x14ac:dyDescent="0.3">
      <c r="A298" s="134">
        <v>71104</v>
      </c>
      <c r="B298" s="134" t="s">
        <v>85</v>
      </c>
      <c r="C298" s="134" t="s">
        <v>420</v>
      </c>
      <c r="D298" s="134" t="s">
        <v>285</v>
      </c>
      <c r="E298" s="135">
        <v>19157</v>
      </c>
      <c r="F298" s="135">
        <f t="shared" si="20"/>
        <v>118.05182229004053</v>
      </c>
      <c r="G298" s="136">
        <v>0.61623334702740795</v>
      </c>
      <c r="H298" s="135">
        <v>21377</v>
      </c>
      <c r="I298" s="135">
        <f t="shared" si="21"/>
        <v>881.28495504892362</v>
      </c>
      <c r="J298" s="136">
        <v>4.1225848110068002</v>
      </c>
    </row>
    <row r="299" spans="1:10" x14ac:dyDescent="0.3">
      <c r="A299" s="134">
        <v>71105</v>
      </c>
      <c r="B299" s="134" t="s">
        <v>85</v>
      </c>
      <c r="C299" s="134" t="s">
        <v>420</v>
      </c>
      <c r="D299" s="134" t="s">
        <v>333</v>
      </c>
      <c r="E299" s="135">
        <v>2648</v>
      </c>
      <c r="F299" s="135">
        <f t="shared" si="20"/>
        <v>15.338022341745976</v>
      </c>
      <c r="G299" s="136">
        <v>0.57923045097227999</v>
      </c>
      <c r="H299" s="135">
        <v>2728</v>
      </c>
      <c r="I299" s="135">
        <f t="shared" si="21"/>
        <v>74.939336131247657</v>
      </c>
      <c r="J299" s="136">
        <v>2.74704311331553</v>
      </c>
    </row>
    <row r="300" spans="1:10" x14ac:dyDescent="0.3">
      <c r="A300" s="134">
        <v>71106</v>
      </c>
      <c r="B300" s="134" t="s">
        <v>85</v>
      </c>
      <c r="C300" s="134" t="s">
        <v>420</v>
      </c>
      <c r="D300" s="134" t="s">
        <v>239</v>
      </c>
      <c r="E300" s="135">
        <v>9302</v>
      </c>
      <c r="F300" s="135">
        <f t="shared" si="20"/>
        <v>98.580376280066872</v>
      </c>
      <c r="G300" s="136">
        <v>1.0597761371755201</v>
      </c>
      <c r="H300" s="135">
        <v>11573</v>
      </c>
      <c r="I300" s="135">
        <f t="shared" si="21"/>
        <v>465.66820580474979</v>
      </c>
      <c r="J300" s="136">
        <v>4.0237467018469699</v>
      </c>
    </row>
    <row r="301" spans="1:10" x14ac:dyDescent="0.3">
      <c r="A301" s="134">
        <v>71201</v>
      </c>
      <c r="B301" s="134" t="s">
        <v>85</v>
      </c>
      <c r="C301" s="134" t="s">
        <v>421</v>
      </c>
      <c r="D301" s="134" t="s">
        <v>212</v>
      </c>
      <c r="E301" s="135">
        <v>5606</v>
      </c>
      <c r="F301" s="135">
        <f t="shared" si="20"/>
        <v>58.571830419931828</v>
      </c>
      <c r="G301" s="136">
        <v>1.0448061080972499</v>
      </c>
      <c r="H301" s="135">
        <v>6378</v>
      </c>
      <c r="I301" s="135">
        <f t="shared" si="21"/>
        <v>172.4075012671058</v>
      </c>
      <c r="J301" s="136">
        <v>2.7031593174522701</v>
      </c>
    </row>
    <row r="302" spans="1:10" x14ac:dyDescent="0.3">
      <c r="A302" s="134">
        <v>71301</v>
      </c>
      <c r="B302" s="134" t="s">
        <v>85</v>
      </c>
      <c r="C302" s="134" t="s">
        <v>422</v>
      </c>
      <c r="D302" s="134" t="s">
        <v>209</v>
      </c>
      <c r="E302" s="135">
        <v>7530</v>
      </c>
      <c r="F302" s="135">
        <f t="shared" si="20"/>
        <v>57.865376405293866</v>
      </c>
      <c r="G302" s="136">
        <v>0.76846449409420803</v>
      </c>
      <c r="H302" s="135">
        <v>9409</v>
      </c>
      <c r="I302" s="135">
        <f t="shared" si="21"/>
        <v>225.97575960679208</v>
      </c>
      <c r="J302" s="136">
        <v>2.4016979445933901</v>
      </c>
    </row>
    <row r="303" spans="1:10" x14ac:dyDescent="0.3">
      <c r="A303" s="134">
        <v>71302</v>
      </c>
      <c r="B303" s="134" t="s">
        <v>85</v>
      </c>
      <c r="C303" s="134" t="s">
        <v>422</v>
      </c>
      <c r="D303" s="134" t="s">
        <v>58</v>
      </c>
      <c r="E303" s="135">
        <v>3359</v>
      </c>
      <c r="F303" s="135">
        <f t="shared" si="20"/>
        <v>20.309707759489427</v>
      </c>
      <c r="G303" s="136">
        <v>0.60463553913335599</v>
      </c>
      <c r="H303" s="135">
        <v>3248</v>
      </c>
      <c r="I303" s="135">
        <f t="shared" si="21"/>
        <v>104.87568614788492</v>
      </c>
      <c r="J303" s="136">
        <v>3.2289312237649299</v>
      </c>
    </row>
    <row r="304" spans="1:10" x14ac:dyDescent="0.3">
      <c r="A304" s="134">
        <v>71401</v>
      </c>
      <c r="B304" s="134" t="s">
        <v>85</v>
      </c>
      <c r="C304" s="134" t="s">
        <v>423</v>
      </c>
      <c r="D304" s="134" t="s">
        <v>206</v>
      </c>
      <c r="E304" s="135">
        <v>8877</v>
      </c>
      <c r="F304" s="135">
        <f t="shared" si="20"/>
        <v>154.55439193611736</v>
      </c>
      <c r="G304" s="136">
        <v>1.74106558450059</v>
      </c>
      <c r="H304" s="135">
        <v>8266</v>
      </c>
      <c r="I304" s="135">
        <f t="shared" si="21"/>
        <v>467.22768092974098</v>
      </c>
      <c r="J304" s="136">
        <v>5.6524035921817202</v>
      </c>
    </row>
    <row r="305" spans="1:10" x14ac:dyDescent="0.3">
      <c r="A305" s="134">
        <v>71402</v>
      </c>
      <c r="B305" s="134" t="s">
        <v>85</v>
      </c>
      <c r="C305" s="134" t="s">
        <v>423</v>
      </c>
      <c r="D305" s="134" t="s">
        <v>165</v>
      </c>
      <c r="E305" s="135">
        <v>7880</v>
      </c>
      <c r="F305" s="135">
        <f t="shared" si="20"/>
        <v>205.48624117562284</v>
      </c>
      <c r="G305" s="136">
        <v>2.6076934159343002</v>
      </c>
      <c r="H305" s="135">
        <v>8386</v>
      </c>
      <c r="I305" s="135">
        <f t="shared" si="21"/>
        <v>729.64544743021133</v>
      </c>
      <c r="J305" s="136">
        <v>8.7007565875293498</v>
      </c>
    </row>
    <row r="306" spans="1:10" x14ac:dyDescent="0.3">
      <c r="A306" s="134">
        <v>71403</v>
      </c>
      <c r="B306" s="134" t="s">
        <v>85</v>
      </c>
      <c r="C306" s="134" t="s">
        <v>423</v>
      </c>
      <c r="D306" s="134" t="s">
        <v>334</v>
      </c>
      <c r="E306" s="135">
        <v>2623</v>
      </c>
      <c r="F306" s="135">
        <f t="shared" si="20"/>
        <v>28.751264755480648</v>
      </c>
      <c r="G306" s="136">
        <v>1.0961214165261399</v>
      </c>
      <c r="H306" s="135">
        <v>4138</v>
      </c>
      <c r="I306" s="135">
        <f t="shared" si="21"/>
        <v>102.60406225270384</v>
      </c>
      <c r="J306" s="136">
        <v>2.47955684515959</v>
      </c>
    </row>
    <row r="307" spans="1:10" x14ac:dyDescent="0.3">
      <c r="A307" s="134">
        <v>71501</v>
      </c>
      <c r="B307" s="134" t="s">
        <v>85</v>
      </c>
      <c r="C307" s="134" t="s">
        <v>424</v>
      </c>
      <c r="D307" s="134" t="s">
        <v>335</v>
      </c>
      <c r="E307" s="135">
        <v>10849</v>
      </c>
      <c r="F307" s="135">
        <f t="shared" si="20"/>
        <v>116.04449673761938</v>
      </c>
      <c r="G307" s="136">
        <v>1.06963311584127</v>
      </c>
      <c r="H307" s="135">
        <v>16165</v>
      </c>
      <c r="I307" s="135">
        <f t="shared" si="21"/>
        <v>733.44704310056807</v>
      </c>
      <c r="J307" s="136">
        <v>4.5372535917140002</v>
      </c>
    </row>
    <row r="308" spans="1:10" x14ac:dyDescent="0.3">
      <c r="A308" s="134">
        <v>71502</v>
      </c>
      <c r="B308" s="134" t="s">
        <v>85</v>
      </c>
      <c r="C308" s="134" t="s">
        <v>424</v>
      </c>
      <c r="D308" s="134" t="s">
        <v>77</v>
      </c>
      <c r="E308" s="135">
        <v>2534</v>
      </c>
      <c r="F308" s="135">
        <f t="shared" si="20"/>
        <v>15.215704387990758</v>
      </c>
      <c r="G308" s="136">
        <v>0.60046189376443404</v>
      </c>
      <c r="H308" s="135">
        <v>2674</v>
      </c>
      <c r="I308" s="135">
        <f t="shared" si="21"/>
        <v>47.674326465927194</v>
      </c>
      <c r="J308" s="136">
        <v>1.7828843106180701</v>
      </c>
    </row>
    <row r="309" spans="1:10" x14ac:dyDescent="0.3">
      <c r="A309" s="134">
        <v>71503</v>
      </c>
      <c r="B309" s="134" t="s">
        <v>85</v>
      </c>
      <c r="C309" s="134" t="s">
        <v>424</v>
      </c>
      <c r="D309" s="134" t="s">
        <v>88</v>
      </c>
      <c r="E309" s="135">
        <v>6374</v>
      </c>
      <c r="F309" s="135">
        <f t="shared" si="20"/>
        <v>22.062997577016276</v>
      </c>
      <c r="G309" s="136">
        <v>0.34614053305642101</v>
      </c>
      <c r="H309" s="135">
        <v>9466</v>
      </c>
      <c r="I309" s="135">
        <f t="shared" si="21"/>
        <v>253.10160427807483</v>
      </c>
      <c r="J309" s="136">
        <v>2.6737967914438499</v>
      </c>
    </row>
    <row r="310" spans="1:10" x14ac:dyDescent="0.3">
      <c r="A310" s="134">
        <v>80101</v>
      </c>
      <c r="B310" s="134" t="s">
        <v>92</v>
      </c>
      <c r="C310" s="134" t="s">
        <v>367</v>
      </c>
      <c r="D310" s="134" t="s">
        <v>301</v>
      </c>
      <c r="E310" s="135">
        <v>46791</v>
      </c>
      <c r="F310" s="135">
        <f t="shared" si="20"/>
        <v>1126.7922441651697</v>
      </c>
      <c r="G310" s="136">
        <v>2.4081388390185499</v>
      </c>
      <c r="H310" s="135">
        <v>57977</v>
      </c>
      <c r="I310" s="135">
        <f t="shared" si="21"/>
        <v>4712.2089985486236</v>
      </c>
      <c r="J310" s="136">
        <v>8.1277213352685092</v>
      </c>
    </row>
    <row r="311" spans="1:10" x14ac:dyDescent="0.3">
      <c r="A311" s="134">
        <v>80102</v>
      </c>
      <c r="B311" s="134" t="s">
        <v>92</v>
      </c>
      <c r="C311" s="134" t="s">
        <v>367</v>
      </c>
      <c r="D311" s="134" t="s">
        <v>75</v>
      </c>
      <c r="E311" s="135">
        <v>2515</v>
      </c>
      <c r="F311" s="135">
        <f t="shared" si="20"/>
        <v>6.4987080103359309</v>
      </c>
      <c r="G311" s="136">
        <v>0.258397932816538</v>
      </c>
      <c r="H311" s="135">
        <v>3756</v>
      </c>
      <c r="I311" s="135">
        <f t="shared" si="21"/>
        <v>78.737677053824456</v>
      </c>
      <c r="J311" s="136">
        <v>2.0963172804532602</v>
      </c>
    </row>
    <row r="312" spans="1:10" x14ac:dyDescent="0.3">
      <c r="A312" s="134">
        <v>80201</v>
      </c>
      <c r="B312" s="134" t="s">
        <v>92</v>
      </c>
      <c r="C312" s="134" t="s">
        <v>425</v>
      </c>
      <c r="D312" s="134" t="s">
        <v>296</v>
      </c>
      <c r="E312" s="135">
        <v>36078</v>
      </c>
      <c r="F312" s="135">
        <f t="shared" si="20"/>
        <v>485.35426008968687</v>
      </c>
      <c r="G312" s="136">
        <v>1.3452914798206299</v>
      </c>
      <c r="H312" s="135">
        <v>46218</v>
      </c>
      <c r="I312" s="135">
        <f t="shared" si="21"/>
        <v>2945.6589406278304</v>
      </c>
      <c r="J312" s="136">
        <v>6.3734020092341304</v>
      </c>
    </row>
    <row r="313" spans="1:10" x14ac:dyDescent="0.3">
      <c r="A313" s="134">
        <v>80202</v>
      </c>
      <c r="B313" s="134" t="s">
        <v>92</v>
      </c>
      <c r="C313" s="134" t="s">
        <v>425</v>
      </c>
      <c r="D313" s="134" t="s">
        <v>287</v>
      </c>
      <c r="E313" s="135">
        <v>17865</v>
      </c>
      <c r="F313" s="135">
        <f t="shared" si="20"/>
        <v>352.49031901161698</v>
      </c>
      <c r="G313" s="136">
        <v>1.97307763230684</v>
      </c>
      <c r="H313" s="135">
        <v>17786</v>
      </c>
      <c r="I313" s="135">
        <f t="shared" si="21"/>
        <v>1277.1633734939767</v>
      </c>
      <c r="J313" s="136">
        <v>7.18072289156627</v>
      </c>
    </row>
    <row r="314" spans="1:10" x14ac:dyDescent="0.3">
      <c r="A314" s="134">
        <v>80301</v>
      </c>
      <c r="B314" s="134" t="s">
        <v>92</v>
      </c>
      <c r="C314" s="134" t="s">
        <v>426</v>
      </c>
      <c r="D314" s="134" t="s">
        <v>216</v>
      </c>
      <c r="E314" s="135">
        <v>5444</v>
      </c>
      <c r="F314" s="135">
        <f t="shared" si="20"/>
        <v>51.888800635424957</v>
      </c>
      <c r="G314" s="136">
        <v>0.95313741064336799</v>
      </c>
      <c r="H314" s="135">
        <v>4920</v>
      </c>
      <c r="I314" s="135">
        <f t="shared" si="21"/>
        <v>203.35001087665862</v>
      </c>
      <c r="J314" s="136">
        <v>4.1331303023711099</v>
      </c>
    </row>
    <row r="315" spans="1:10" x14ac:dyDescent="0.3">
      <c r="A315" s="134">
        <v>80302</v>
      </c>
      <c r="B315" s="134" t="s">
        <v>92</v>
      </c>
      <c r="C315" s="134" t="s">
        <v>426</v>
      </c>
      <c r="D315" s="134" t="s">
        <v>276</v>
      </c>
      <c r="E315" s="135">
        <v>17060</v>
      </c>
      <c r="F315" s="135">
        <f t="shared" si="20"/>
        <v>242.67119838872108</v>
      </c>
      <c r="G315" s="136">
        <v>1.42245720040282</v>
      </c>
      <c r="H315" s="135">
        <v>20328</v>
      </c>
      <c r="I315" s="135">
        <f t="shared" si="21"/>
        <v>656.01108203786328</v>
      </c>
      <c r="J315" s="136">
        <v>3.2271304704735502</v>
      </c>
    </row>
    <row r="316" spans="1:10" x14ac:dyDescent="0.3">
      <c r="A316" s="134">
        <v>80303</v>
      </c>
      <c r="B316" s="134" t="s">
        <v>92</v>
      </c>
      <c r="C316" s="134" t="s">
        <v>426</v>
      </c>
      <c r="D316" s="134" t="s">
        <v>35</v>
      </c>
      <c r="E316" s="135">
        <v>3710</v>
      </c>
      <c r="F316" s="135">
        <f t="shared" si="20"/>
        <v>58.407508325764574</v>
      </c>
      <c r="G316" s="136">
        <v>1.5743263699667001</v>
      </c>
      <c r="H316" s="135">
        <v>4390</v>
      </c>
      <c r="I316" s="135">
        <f t="shared" si="21"/>
        <v>223.11072919224165</v>
      </c>
      <c r="J316" s="136">
        <v>5.0822489565430899</v>
      </c>
    </row>
    <row r="317" spans="1:10" x14ac:dyDescent="0.3">
      <c r="A317" s="134">
        <v>80304</v>
      </c>
      <c r="B317" s="134" t="s">
        <v>92</v>
      </c>
      <c r="C317" s="134" t="s">
        <v>426</v>
      </c>
      <c r="D317" s="134" t="s">
        <v>246</v>
      </c>
      <c r="E317" s="137">
        <v>8332</v>
      </c>
      <c r="F317" s="135">
        <f t="shared" si="20"/>
        <v>300.14409221901997</v>
      </c>
      <c r="G317" s="138">
        <v>3.6023054755043198</v>
      </c>
      <c r="H317" s="137">
        <v>10378</v>
      </c>
      <c r="I317" s="135">
        <f t="shared" si="21"/>
        <v>759.10690537084406</v>
      </c>
      <c r="J317" s="138">
        <v>7.3145780051150897</v>
      </c>
    </row>
    <row r="318" spans="1:10" x14ac:dyDescent="0.3">
      <c r="A318" s="134">
        <v>80401</v>
      </c>
      <c r="B318" s="134" t="s">
        <v>92</v>
      </c>
      <c r="C318" s="134" t="s">
        <v>427</v>
      </c>
      <c r="D318" s="134" t="s">
        <v>204</v>
      </c>
      <c r="E318" s="135">
        <v>7320</v>
      </c>
      <c r="F318" s="135">
        <f t="shared" si="20"/>
        <v>119.37099592312171</v>
      </c>
      <c r="G318" s="136">
        <v>1.6307513104251601</v>
      </c>
      <c r="H318" s="135">
        <v>7620</v>
      </c>
      <c r="I318" s="135">
        <f t="shared" si="21"/>
        <v>456.46376811594223</v>
      </c>
      <c r="J318" s="136">
        <v>5.9903381642512104</v>
      </c>
    </row>
    <row r="319" spans="1:10" x14ac:dyDescent="0.3">
      <c r="A319" s="134">
        <v>80402</v>
      </c>
      <c r="B319" s="134" t="s">
        <v>92</v>
      </c>
      <c r="C319" s="134" t="s">
        <v>427</v>
      </c>
      <c r="D319" s="134" t="s">
        <v>98</v>
      </c>
      <c r="E319" s="135">
        <v>2707</v>
      </c>
      <c r="F319" s="135">
        <f t="shared" si="20"/>
        <v>22.931844435887573</v>
      </c>
      <c r="G319" s="136">
        <v>0.84713130535233006</v>
      </c>
      <c r="H319" s="135">
        <v>3813</v>
      </c>
      <c r="I319" s="135">
        <f t="shared" si="21"/>
        <v>102.62949739082681</v>
      </c>
      <c r="J319" s="136">
        <v>2.69156825048064</v>
      </c>
    </row>
    <row r="320" spans="1:10" x14ac:dyDescent="0.3">
      <c r="A320" s="134">
        <v>80501</v>
      </c>
      <c r="B320" s="134" t="s">
        <v>92</v>
      </c>
      <c r="C320" s="134" t="s">
        <v>428</v>
      </c>
      <c r="D320" s="134" t="s">
        <v>262</v>
      </c>
      <c r="E320" s="135">
        <v>7927</v>
      </c>
      <c r="F320" s="135">
        <f t="shared" si="20"/>
        <v>64.455888331752277</v>
      </c>
      <c r="G320" s="136">
        <v>0.81311830871391799</v>
      </c>
      <c r="H320" s="135">
        <v>8641</v>
      </c>
      <c r="I320" s="135">
        <f t="shared" si="21"/>
        <v>376.93511730205279</v>
      </c>
      <c r="J320" s="136">
        <v>4.3621700879765397</v>
      </c>
    </row>
    <row r="321" spans="1:10" x14ac:dyDescent="0.3">
      <c r="A321" s="134">
        <v>80601</v>
      </c>
      <c r="B321" s="134" t="s">
        <v>92</v>
      </c>
      <c r="C321" s="134" t="s">
        <v>429</v>
      </c>
      <c r="D321" s="134" t="s">
        <v>83</v>
      </c>
      <c r="E321" s="135">
        <v>1571</v>
      </c>
      <c r="F321" s="135">
        <f t="shared" si="20"/>
        <v>4.2690217391304408</v>
      </c>
      <c r="G321" s="136">
        <v>0.27173913043478298</v>
      </c>
      <c r="H321" s="135">
        <v>1749</v>
      </c>
      <c r="I321" s="135">
        <f t="shared" si="21"/>
        <v>53.126265634306144</v>
      </c>
      <c r="J321" s="136">
        <v>3.0375223347230502</v>
      </c>
    </row>
    <row r="322" spans="1:10" x14ac:dyDescent="0.3">
      <c r="A322" s="134">
        <v>80602</v>
      </c>
      <c r="B322" s="134" t="s">
        <v>92</v>
      </c>
      <c r="C322" s="134" t="s">
        <v>429</v>
      </c>
      <c r="D322" s="134" t="s">
        <v>214</v>
      </c>
      <c r="E322" s="135">
        <v>5678</v>
      </c>
      <c r="F322" s="135">
        <f t="shared" si="20"/>
        <v>29.00353634577602</v>
      </c>
      <c r="G322" s="136">
        <v>0.51080550098231803</v>
      </c>
      <c r="H322" s="135">
        <v>7850</v>
      </c>
      <c r="I322" s="135">
        <f t="shared" si="21"/>
        <v>219.26190797463238</v>
      </c>
      <c r="J322" s="136">
        <v>2.7931453245176101</v>
      </c>
    </row>
    <row r="323" spans="1:10" x14ac:dyDescent="0.3">
      <c r="A323" s="134">
        <v>80701</v>
      </c>
      <c r="B323" s="134" t="s">
        <v>92</v>
      </c>
      <c r="C323" s="134" t="s">
        <v>430</v>
      </c>
      <c r="D323" s="134" t="s">
        <v>64</v>
      </c>
      <c r="E323" s="135">
        <v>3013</v>
      </c>
      <c r="F323" s="135">
        <f t="shared" ref="F323:F343" si="22">E323*(G323/100)</f>
        <v>33.09776638593916</v>
      </c>
      <c r="G323" s="136">
        <v>1.09849871841816</v>
      </c>
      <c r="H323" s="135">
        <v>2971</v>
      </c>
      <c r="I323" s="135">
        <f t="shared" ref="I323:I344" si="23">H323*(J323/100)</f>
        <v>118.71166306695451</v>
      </c>
      <c r="J323" s="136">
        <v>3.99568034557235</v>
      </c>
    </row>
    <row r="324" spans="1:10" x14ac:dyDescent="0.3">
      <c r="A324" s="134">
        <v>80702</v>
      </c>
      <c r="B324" s="134" t="s">
        <v>92</v>
      </c>
      <c r="C324" s="134" t="s">
        <v>430</v>
      </c>
      <c r="D324" s="134" t="s">
        <v>44</v>
      </c>
      <c r="E324" s="135">
        <v>2128</v>
      </c>
      <c r="F324" s="135">
        <f t="shared" si="22"/>
        <v>17.058116232464936</v>
      </c>
      <c r="G324" s="136">
        <v>0.80160320641282601</v>
      </c>
      <c r="H324" s="135">
        <v>2448</v>
      </c>
      <c r="I324" s="135">
        <f t="shared" si="23"/>
        <v>127.32167832167829</v>
      </c>
      <c r="J324" s="136">
        <v>5.2010489510489499</v>
      </c>
    </row>
    <row r="325" spans="1:10" x14ac:dyDescent="0.3">
      <c r="A325" s="134">
        <v>80703</v>
      </c>
      <c r="B325" s="134" t="s">
        <v>92</v>
      </c>
      <c r="C325" s="134" t="s">
        <v>430</v>
      </c>
      <c r="D325" s="134" t="s">
        <v>2</v>
      </c>
      <c r="E325" s="135">
        <v>407</v>
      </c>
      <c r="F325" s="135">
        <f t="shared" si="22"/>
        <v>6.5120000000000005</v>
      </c>
      <c r="G325" s="136">
        <v>1.6</v>
      </c>
      <c r="H325" s="135">
        <v>483</v>
      </c>
      <c r="I325" s="135">
        <f t="shared" si="23"/>
        <v>13.891592920354006</v>
      </c>
      <c r="J325" s="136">
        <v>2.8761061946902702</v>
      </c>
    </row>
    <row r="326" spans="1:10" x14ac:dyDescent="0.3">
      <c r="A326" s="134">
        <v>80801</v>
      </c>
      <c r="B326" s="134" t="s">
        <v>92</v>
      </c>
      <c r="C326" s="134" t="s">
        <v>431</v>
      </c>
      <c r="D326" s="134" t="s">
        <v>142</v>
      </c>
      <c r="E326" s="135">
        <v>4615</v>
      </c>
      <c r="F326" s="135">
        <f t="shared" si="22"/>
        <v>59.042800651314145</v>
      </c>
      <c r="G326" s="136">
        <v>1.2793672947196999</v>
      </c>
      <c r="H326" s="135">
        <v>4877</v>
      </c>
      <c r="I326" s="135">
        <f t="shared" si="23"/>
        <v>242.77101769911502</v>
      </c>
      <c r="J326" s="136">
        <v>4.9778761061946897</v>
      </c>
    </row>
    <row r="327" spans="1:10" x14ac:dyDescent="0.3">
      <c r="A327" s="134">
        <v>80802</v>
      </c>
      <c r="B327" s="134" t="s">
        <v>92</v>
      </c>
      <c r="C327" s="134" t="s">
        <v>431</v>
      </c>
      <c r="D327" s="134" t="s">
        <v>118</v>
      </c>
      <c r="E327" s="135">
        <v>2776</v>
      </c>
      <c r="F327" s="135">
        <f t="shared" si="22"/>
        <v>16.868970755791885</v>
      </c>
      <c r="G327" s="136">
        <v>0.60767185719711403</v>
      </c>
      <c r="H327" s="135">
        <v>3870</v>
      </c>
      <c r="I327" s="135">
        <f t="shared" si="23"/>
        <v>116.27970499863429</v>
      </c>
      <c r="J327" s="136">
        <v>3.00464354001639</v>
      </c>
    </row>
    <row r="328" spans="1:10" x14ac:dyDescent="0.3">
      <c r="A328" s="134">
        <v>80803</v>
      </c>
      <c r="B328" s="134" t="s">
        <v>92</v>
      </c>
      <c r="C328" s="134" t="s">
        <v>431</v>
      </c>
      <c r="D328" s="134" t="s">
        <v>17</v>
      </c>
      <c r="E328" s="135">
        <v>1778</v>
      </c>
      <c r="F328" s="135">
        <f t="shared" si="22"/>
        <v>9.4630396215257182</v>
      </c>
      <c r="G328" s="136">
        <v>0.53222945002956801</v>
      </c>
      <c r="H328" s="135">
        <v>2070</v>
      </c>
      <c r="I328" s="135">
        <f t="shared" si="23"/>
        <v>101.00154083204929</v>
      </c>
      <c r="J328" s="136">
        <v>4.8793014894709801</v>
      </c>
    </row>
    <row r="329" spans="1:10" x14ac:dyDescent="0.3">
      <c r="A329" s="134">
        <v>80901</v>
      </c>
      <c r="B329" s="134" t="s">
        <v>92</v>
      </c>
      <c r="C329" s="134"/>
      <c r="D329" s="134" t="s">
        <v>432</v>
      </c>
      <c r="E329" s="135">
        <v>1228</v>
      </c>
      <c r="F329" s="135">
        <f t="shared" si="22"/>
        <v>2.0778341793570281</v>
      </c>
      <c r="G329" s="136">
        <v>0.16920473773265701</v>
      </c>
      <c r="H329" s="135">
        <v>1504</v>
      </c>
      <c r="I329" s="135">
        <f t="shared" si="23"/>
        <v>8.309392265193372</v>
      </c>
      <c r="J329" s="136">
        <v>0.55248618784530401</v>
      </c>
    </row>
    <row r="330" spans="1:10" x14ac:dyDescent="0.3">
      <c r="A330" s="134">
        <v>90101</v>
      </c>
      <c r="B330" s="134" t="s">
        <v>102</v>
      </c>
      <c r="C330" s="134" t="s">
        <v>433</v>
      </c>
      <c r="D330" s="134" t="s">
        <v>281</v>
      </c>
      <c r="E330" s="135">
        <v>20929</v>
      </c>
      <c r="F330" s="135">
        <f t="shared" si="22"/>
        <v>482.59145325838114</v>
      </c>
      <c r="G330" s="136">
        <v>2.3058505100978599</v>
      </c>
      <c r="H330" s="135">
        <v>25748</v>
      </c>
      <c r="I330" s="135">
        <f t="shared" si="23"/>
        <v>1901.0315710660961</v>
      </c>
      <c r="J330" s="136">
        <v>7.3832203319329501</v>
      </c>
    </row>
    <row r="331" spans="1:10" x14ac:dyDescent="0.3">
      <c r="A331" s="134">
        <v>90102</v>
      </c>
      <c r="B331" s="134" t="s">
        <v>102</v>
      </c>
      <c r="C331" s="134" t="s">
        <v>433</v>
      </c>
      <c r="D331" s="134" t="s">
        <v>115</v>
      </c>
      <c r="E331" s="135">
        <v>3231</v>
      </c>
      <c r="F331" s="135">
        <f t="shared" si="22"/>
        <v>18.006269592476489</v>
      </c>
      <c r="G331" s="136">
        <v>0.55729710902124696</v>
      </c>
      <c r="H331" s="135">
        <v>3952</v>
      </c>
      <c r="I331" s="135">
        <f t="shared" si="23"/>
        <v>169.60440165061917</v>
      </c>
      <c r="J331" s="136">
        <v>4.2916093535075701</v>
      </c>
    </row>
    <row r="332" spans="1:10" x14ac:dyDescent="0.3">
      <c r="A332" s="134">
        <v>90103</v>
      </c>
      <c r="B332" s="134" t="s">
        <v>102</v>
      </c>
      <c r="C332" s="134" t="s">
        <v>433</v>
      </c>
      <c r="D332" s="134" t="s">
        <v>4</v>
      </c>
      <c r="E332" s="135">
        <v>1006</v>
      </c>
      <c r="F332" s="135">
        <f t="shared" si="22"/>
        <v>3.153605015673977</v>
      </c>
      <c r="G332" s="136">
        <v>0.31347962382445099</v>
      </c>
      <c r="H332" s="135">
        <v>1360</v>
      </c>
      <c r="I332" s="135">
        <f t="shared" si="23"/>
        <v>11.393754760091397</v>
      </c>
      <c r="J332" s="136">
        <v>0.83777608530083802</v>
      </c>
    </row>
    <row r="333" spans="1:10" x14ac:dyDescent="0.3">
      <c r="A333" s="134">
        <v>90104</v>
      </c>
      <c r="B333" s="134" t="s">
        <v>102</v>
      </c>
      <c r="C333" s="134" t="s">
        <v>433</v>
      </c>
      <c r="D333" s="134" t="s">
        <v>81</v>
      </c>
      <c r="E333" s="135">
        <v>2027</v>
      </c>
      <c r="F333" s="135">
        <f t="shared" si="22"/>
        <v>4.2450261780104812</v>
      </c>
      <c r="G333" s="136">
        <v>0.20942408376963401</v>
      </c>
      <c r="H333" s="135">
        <v>1985</v>
      </c>
      <c r="I333" s="135">
        <f t="shared" si="23"/>
        <v>35.614775725593653</v>
      </c>
      <c r="J333" s="136">
        <v>1.7941952506596299</v>
      </c>
    </row>
    <row r="334" spans="1:10" x14ac:dyDescent="0.3">
      <c r="A334" s="134">
        <v>90201</v>
      </c>
      <c r="B334" s="134" t="s">
        <v>102</v>
      </c>
      <c r="C334" s="134" t="s">
        <v>434</v>
      </c>
      <c r="D334" s="134" t="s">
        <v>131</v>
      </c>
      <c r="E334" s="135">
        <v>2080</v>
      </c>
      <c r="F334" s="135">
        <f t="shared" si="22"/>
        <v>33.496103896103889</v>
      </c>
      <c r="G334" s="136">
        <v>1.61038961038961</v>
      </c>
      <c r="H334" s="135">
        <v>3211</v>
      </c>
      <c r="I334" s="135">
        <f t="shared" si="23"/>
        <v>136.43577075098813</v>
      </c>
      <c r="J334" s="136">
        <v>4.2490118577075098</v>
      </c>
    </row>
    <row r="335" spans="1:10" x14ac:dyDescent="0.3">
      <c r="A335" s="134">
        <v>90202</v>
      </c>
      <c r="B335" s="134" t="s">
        <v>102</v>
      </c>
      <c r="C335" s="134" t="s">
        <v>434</v>
      </c>
      <c r="D335" s="134" t="s">
        <v>9</v>
      </c>
      <c r="E335" s="135">
        <v>1037</v>
      </c>
      <c r="F335" s="135">
        <f t="shared" si="22"/>
        <v>4.1110009910802763</v>
      </c>
      <c r="G335" s="136">
        <v>0.39643211100099102</v>
      </c>
      <c r="H335" s="135">
        <v>1555</v>
      </c>
      <c r="I335" s="135">
        <f t="shared" si="23"/>
        <v>12.164276401564532</v>
      </c>
      <c r="J335" s="136">
        <v>0.78226857887874801</v>
      </c>
    </row>
    <row r="336" spans="1:10" x14ac:dyDescent="0.3">
      <c r="A336" s="134">
        <v>90203</v>
      </c>
      <c r="B336" s="134" t="s">
        <v>102</v>
      </c>
      <c r="C336" s="134" t="s">
        <v>434</v>
      </c>
      <c r="D336" s="134" t="s">
        <v>37</v>
      </c>
      <c r="E336" s="135">
        <v>2409</v>
      </c>
      <c r="F336" s="135">
        <f t="shared" si="22"/>
        <v>4.2788632326820615</v>
      </c>
      <c r="G336" s="136">
        <v>0.177619893428064</v>
      </c>
      <c r="H336" s="135">
        <v>3834</v>
      </c>
      <c r="I336" s="135">
        <f t="shared" si="23"/>
        <v>78.35149863760212</v>
      </c>
      <c r="J336" s="136">
        <v>2.04359673024523</v>
      </c>
    </row>
    <row r="337" spans="1:11" x14ac:dyDescent="0.3">
      <c r="A337" s="134">
        <v>90301</v>
      </c>
      <c r="B337" s="134" t="s">
        <v>102</v>
      </c>
      <c r="C337" s="134" t="s">
        <v>435</v>
      </c>
      <c r="D337" s="134" t="s">
        <v>336</v>
      </c>
      <c r="E337" s="135">
        <v>3046</v>
      </c>
      <c r="F337" s="135">
        <f t="shared" si="22"/>
        <v>15.23</v>
      </c>
      <c r="G337" s="136">
        <v>0.5</v>
      </c>
      <c r="H337" s="135">
        <v>5053</v>
      </c>
      <c r="I337" s="135">
        <f t="shared" si="23"/>
        <v>135.52506705178459</v>
      </c>
      <c r="J337" s="136">
        <v>2.6820713843614601</v>
      </c>
    </row>
    <row r="338" spans="1:11" x14ac:dyDescent="0.3">
      <c r="A338" s="134">
        <v>90302</v>
      </c>
      <c r="B338" s="134" t="s">
        <v>102</v>
      </c>
      <c r="C338" s="134" t="s">
        <v>435</v>
      </c>
      <c r="D338" s="134" t="s">
        <v>59</v>
      </c>
      <c r="E338" s="135">
        <v>2878</v>
      </c>
      <c r="F338" s="135">
        <f t="shared" si="22"/>
        <v>18.073882526782427</v>
      </c>
      <c r="G338" s="136">
        <v>0.62800147765053604</v>
      </c>
      <c r="H338" s="135">
        <v>4364</v>
      </c>
      <c r="I338" s="135">
        <f t="shared" si="23"/>
        <v>59.72439830108533</v>
      </c>
      <c r="J338" s="136">
        <v>1.3685700802265199</v>
      </c>
    </row>
    <row r="339" spans="1:11" x14ac:dyDescent="0.3">
      <c r="A339" s="134">
        <v>90303</v>
      </c>
      <c r="B339" s="134" t="s">
        <v>102</v>
      </c>
      <c r="C339" s="134" t="s">
        <v>435</v>
      </c>
      <c r="D339" s="134" t="s">
        <v>337</v>
      </c>
      <c r="E339" s="135">
        <v>3057</v>
      </c>
      <c r="F339" s="135">
        <f t="shared" si="22"/>
        <v>14.087557603686649</v>
      </c>
      <c r="G339" s="136">
        <v>0.460829493087558</v>
      </c>
      <c r="H339" s="135">
        <v>4667</v>
      </c>
      <c r="I339" s="135">
        <f t="shared" si="23"/>
        <v>195.1175141242939</v>
      </c>
      <c r="J339" s="136">
        <v>4.1807909604519802</v>
      </c>
    </row>
    <row r="340" spans="1:11" x14ac:dyDescent="0.3">
      <c r="A340" s="134">
        <v>90401</v>
      </c>
      <c r="B340" s="134" t="s">
        <v>102</v>
      </c>
      <c r="C340" s="134" t="s">
        <v>436</v>
      </c>
      <c r="D340" s="134" t="s">
        <v>437</v>
      </c>
      <c r="E340" s="135">
        <v>1064</v>
      </c>
      <c r="F340" s="135">
        <f t="shared" si="22"/>
        <v>3.2538226299694215</v>
      </c>
      <c r="G340" s="136">
        <v>0.30581039755351702</v>
      </c>
      <c r="H340" s="135">
        <v>1349</v>
      </c>
      <c r="I340" s="135">
        <f t="shared" si="23"/>
        <v>27.888973966309358</v>
      </c>
      <c r="J340" s="136">
        <v>2.0673813169984698</v>
      </c>
    </row>
    <row r="341" spans="1:11" x14ac:dyDescent="0.3">
      <c r="A341" s="134">
        <v>90402</v>
      </c>
      <c r="B341" s="134" t="s">
        <v>102</v>
      </c>
      <c r="C341" s="134" t="s">
        <v>436</v>
      </c>
      <c r="D341" s="134" t="s">
        <v>14</v>
      </c>
      <c r="E341" s="135">
        <v>632</v>
      </c>
      <c r="F341" s="135">
        <f t="shared" si="22"/>
        <v>9.1760435571687768</v>
      </c>
      <c r="G341" s="136">
        <v>1.4519056261343</v>
      </c>
      <c r="H341" s="135">
        <v>1262</v>
      </c>
      <c r="I341" s="135">
        <f t="shared" si="23"/>
        <v>26.226101413133868</v>
      </c>
      <c r="J341" s="136">
        <v>2.07813798836243</v>
      </c>
    </row>
    <row r="342" spans="1:11" x14ac:dyDescent="0.3">
      <c r="A342" s="134">
        <v>90501</v>
      </c>
      <c r="B342" s="134" t="s">
        <v>102</v>
      </c>
      <c r="C342" s="134" t="s">
        <v>438</v>
      </c>
      <c r="D342" s="134" t="s">
        <v>26</v>
      </c>
      <c r="E342" s="135">
        <v>1083</v>
      </c>
      <c r="F342" s="135">
        <f t="shared" si="22"/>
        <v>3.2104743083004004</v>
      </c>
      <c r="G342" s="136">
        <v>0.29644268774703603</v>
      </c>
      <c r="H342" s="135">
        <v>702</v>
      </c>
      <c r="I342" s="135">
        <f t="shared" si="23"/>
        <v>31.368258859784255</v>
      </c>
      <c r="J342" s="136">
        <v>4.4684129429892101</v>
      </c>
    </row>
    <row r="343" spans="1:11" x14ac:dyDescent="0.3">
      <c r="A343" s="134">
        <v>90502</v>
      </c>
      <c r="B343" s="134" t="s">
        <v>102</v>
      </c>
      <c r="C343" s="134" t="s">
        <v>438</v>
      </c>
      <c r="D343" s="134" t="s">
        <v>439</v>
      </c>
      <c r="E343" s="135">
        <v>1009</v>
      </c>
      <c r="F343" s="135">
        <f t="shared" si="22"/>
        <v>15.271351351351315</v>
      </c>
      <c r="G343" s="136">
        <v>1.51351351351351</v>
      </c>
      <c r="H343" s="135">
        <v>1096</v>
      </c>
      <c r="I343" s="135">
        <f t="shared" si="23"/>
        <v>41.912045889101378</v>
      </c>
      <c r="J343" s="136">
        <v>3.8240917782026802</v>
      </c>
    </row>
    <row r="344" spans="1:11" x14ac:dyDescent="0.3">
      <c r="A344" s="134">
        <v>90503</v>
      </c>
      <c r="B344" s="134" t="s">
        <v>102</v>
      </c>
      <c r="C344" s="134" t="s">
        <v>438</v>
      </c>
      <c r="D344" s="134" t="s">
        <v>24</v>
      </c>
      <c r="E344" s="135">
        <v>1003</v>
      </c>
      <c r="F344" s="135">
        <f>E344*(G344/100)</f>
        <v>1.2055288461538494</v>
      </c>
      <c r="G344" s="136">
        <v>0.120192307692308</v>
      </c>
      <c r="H344" s="135">
        <v>1040</v>
      </c>
      <c r="I344" s="135">
        <f t="shared" si="23"/>
        <v>8.4725050916496958</v>
      </c>
      <c r="J344" s="136">
        <v>0.81466395112016299</v>
      </c>
    </row>
    <row r="345" spans="1:11" x14ac:dyDescent="0.3">
      <c r="D345" s="147" t="s">
        <v>408</v>
      </c>
      <c r="E345" s="135">
        <f>SUM(E246:E248)</f>
        <v>66620</v>
      </c>
      <c r="F345" s="135">
        <f>E345*(G345/100)</f>
        <v>886.92215147204809</v>
      </c>
      <c r="G345" s="136">
        <f>AVERAGE(G246:G248)</f>
        <v>1.3313151478115401</v>
      </c>
      <c r="H345" s="135">
        <f>SUM(H246:H248)</f>
        <v>77094</v>
      </c>
      <c r="I345" s="135">
        <f>H345*(J345/100)</f>
        <v>3337.4668654937241</v>
      </c>
      <c r="J345" s="136">
        <f>AVERAGE(J246:J248)</f>
        <v>4.3290876922895736</v>
      </c>
    </row>
    <row r="348" spans="1:11" x14ac:dyDescent="0.3">
      <c r="G348" s="133"/>
      <c r="H348" s="133"/>
      <c r="J348" s="133"/>
      <c r="K348" s="133"/>
    </row>
    <row r="349" spans="1:11" x14ac:dyDescent="0.3">
      <c r="H349" s="133"/>
      <c r="K349" s="13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E1010"/>
  <sheetViews>
    <sheetView workbookViewId="0">
      <selection activeCell="C1" sqref="C1"/>
    </sheetView>
  </sheetViews>
  <sheetFormatPr baseColWidth="10" defaultColWidth="12.59765625" defaultRowHeight="15" customHeight="1" x14ac:dyDescent="0.25"/>
  <cols>
    <col min="1" max="1" width="12.59765625" style="11"/>
    <col min="2" max="2" width="11.69921875" customWidth="1"/>
    <col min="3" max="3" width="22.59765625" customWidth="1"/>
    <col min="4" max="4" width="22.09765625" customWidth="1"/>
    <col min="5" max="24" width="9.3984375" customWidth="1"/>
  </cols>
  <sheetData>
    <row r="1" spans="1:5" ht="95.25" customHeight="1" x14ac:dyDescent="0.25">
      <c r="A1" s="8" t="s">
        <v>306</v>
      </c>
      <c r="B1" s="9" t="s">
        <v>340</v>
      </c>
      <c r="C1" s="139" t="s">
        <v>547</v>
      </c>
      <c r="D1" s="139" t="s">
        <v>548</v>
      </c>
    </row>
    <row r="2" spans="1:5" ht="14.4" x14ac:dyDescent="0.3">
      <c r="A2" s="33">
        <v>10101</v>
      </c>
      <c r="B2" s="10" t="s">
        <v>11</v>
      </c>
      <c r="C2" s="1">
        <v>2.5452039921493301</v>
      </c>
      <c r="D2" s="5">
        <v>6.3049698795180698</v>
      </c>
      <c r="E2" s="30"/>
    </row>
    <row r="3" spans="1:5" ht="14.4" x14ac:dyDescent="0.3">
      <c r="A3" s="33">
        <v>10102</v>
      </c>
      <c r="B3" s="10" t="s">
        <v>39</v>
      </c>
      <c r="C3" s="1">
        <v>1.0074231177094399</v>
      </c>
      <c r="D3" s="5">
        <v>2.85318010699425</v>
      </c>
      <c r="E3" s="30"/>
    </row>
    <row r="4" spans="1:5" ht="14.4" x14ac:dyDescent="0.3">
      <c r="A4" s="33">
        <v>10103</v>
      </c>
      <c r="B4" s="10" t="s">
        <v>18</v>
      </c>
      <c r="C4" s="1">
        <v>0.11182108626198101</v>
      </c>
      <c r="D4" s="5">
        <v>0.90995518131196496</v>
      </c>
      <c r="E4" s="30"/>
    </row>
    <row r="5" spans="1:5" ht="14.4" x14ac:dyDescent="0.3">
      <c r="A5" s="33">
        <v>10201</v>
      </c>
      <c r="B5" s="10" t="s">
        <v>307</v>
      </c>
      <c r="C5" s="1">
        <v>0.56785917092561</v>
      </c>
      <c r="D5" s="5">
        <v>1.15706548498277</v>
      </c>
      <c r="E5" s="30"/>
    </row>
    <row r="6" spans="1:5" ht="14.4" x14ac:dyDescent="0.3">
      <c r="A6" s="33">
        <v>10202</v>
      </c>
      <c r="B6" s="10" t="s">
        <v>65</v>
      </c>
      <c r="C6" s="1">
        <v>0.127737226277372</v>
      </c>
      <c r="D6" s="5">
        <v>0.98814229249011898</v>
      </c>
      <c r="E6" s="30"/>
    </row>
    <row r="7" spans="1:5" ht="14.4" x14ac:dyDescent="0.3">
      <c r="A7" s="33">
        <v>10301</v>
      </c>
      <c r="B7" s="10" t="s">
        <v>72</v>
      </c>
      <c r="C7" s="1">
        <v>1.14035087719298</v>
      </c>
      <c r="D7" s="5">
        <v>1.9108280254777099</v>
      </c>
      <c r="E7" s="30"/>
    </row>
    <row r="8" spans="1:5" ht="14.4" x14ac:dyDescent="0.3">
      <c r="A8" s="33">
        <v>10302</v>
      </c>
      <c r="B8" s="10" t="s">
        <v>80</v>
      </c>
      <c r="C8" s="1">
        <v>0.45464386230785903</v>
      </c>
      <c r="D8" s="5">
        <v>1.6235258079338299</v>
      </c>
      <c r="E8" s="30"/>
    </row>
    <row r="9" spans="1:5" ht="14.4" x14ac:dyDescent="0.3">
      <c r="A9" s="33">
        <v>10303</v>
      </c>
      <c r="B9" s="10" t="s">
        <v>308</v>
      </c>
      <c r="C9" s="1">
        <v>0.35518243461414301</v>
      </c>
      <c r="D9" s="5">
        <v>1.46330966214762</v>
      </c>
      <c r="E9" s="30"/>
    </row>
    <row r="10" spans="1:5" ht="14.4" x14ac:dyDescent="0.3">
      <c r="A10" s="33">
        <v>10304</v>
      </c>
      <c r="B10" s="10" t="s">
        <v>99</v>
      </c>
      <c r="C10" s="1">
        <v>0.402930402930403</v>
      </c>
      <c r="D10" s="5">
        <v>1.34228187919463</v>
      </c>
      <c r="E10" s="30"/>
    </row>
    <row r="11" spans="1:5" ht="14.4" x14ac:dyDescent="0.3">
      <c r="A11" s="33">
        <v>10401</v>
      </c>
      <c r="B11" s="10" t="s">
        <v>106</v>
      </c>
      <c r="C11" s="1">
        <v>0.729470612755315</v>
      </c>
      <c r="D11" s="5">
        <v>2.48657250845435</v>
      </c>
      <c r="E11" s="30"/>
    </row>
    <row r="12" spans="1:5" ht="14.4" x14ac:dyDescent="0.3">
      <c r="A12" s="33">
        <v>10402</v>
      </c>
      <c r="B12" s="10" t="s">
        <v>117</v>
      </c>
      <c r="C12" s="1">
        <v>0.49853372434017601</v>
      </c>
      <c r="D12" s="5">
        <v>1.6474112109542101</v>
      </c>
      <c r="E12" s="30"/>
    </row>
    <row r="13" spans="1:5" ht="14.4" x14ac:dyDescent="0.3">
      <c r="A13" s="33">
        <v>10403</v>
      </c>
      <c r="B13" s="10" t="s">
        <v>121</v>
      </c>
      <c r="C13" s="1">
        <v>0.51775147928994103</v>
      </c>
      <c r="D13" s="5">
        <v>2.0468623754376498</v>
      </c>
      <c r="E13" s="30"/>
    </row>
    <row r="14" spans="1:5" ht="14.4" x14ac:dyDescent="0.3">
      <c r="A14" s="33">
        <v>10404</v>
      </c>
      <c r="B14" s="10" t="s">
        <v>84</v>
      </c>
      <c r="C14" s="1">
        <v>0.9</v>
      </c>
      <c r="D14" s="5">
        <v>2.4517475221700602</v>
      </c>
      <c r="E14" s="30"/>
    </row>
    <row r="15" spans="1:5" ht="14.4" x14ac:dyDescent="0.3">
      <c r="A15" s="33">
        <v>10405</v>
      </c>
      <c r="B15" s="10" t="s">
        <v>126</v>
      </c>
      <c r="C15" s="1">
        <v>0.60240963855421703</v>
      </c>
      <c r="D15" s="5">
        <v>1.7329255861366</v>
      </c>
      <c r="E15" s="30"/>
    </row>
    <row r="16" spans="1:5" ht="14.4" x14ac:dyDescent="0.3">
      <c r="A16" s="33">
        <v>10501</v>
      </c>
      <c r="B16" s="10" t="s">
        <v>129</v>
      </c>
      <c r="C16" s="1">
        <v>1.2426614481409</v>
      </c>
      <c r="D16" s="5">
        <v>2.9732961339178998</v>
      </c>
      <c r="E16" s="30"/>
    </row>
    <row r="17" spans="1:5" ht="14.4" x14ac:dyDescent="0.3">
      <c r="A17" s="33">
        <v>10502</v>
      </c>
      <c r="B17" s="10" t="s">
        <v>309</v>
      </c>
      <c r="C17" s="1">
        <v>0.80071174377224197</v>
      </c>
      <c r="D17" s="5">
        <v>1.6666666666666701</v>
      </c>
      <c r="E17" s="30"/>
    </row>
    <row r="18" spans="1:5" ht="14.4" x14ac:dyDescent="0.3">
      <c r="A18" s="33">
        <v>10601</v>
      </c>
      <c r="B18" s="10" t="s">
        <v>136</v>
      </c>
      <c r="C18" s="1">
        <v>0.241935483870968</v>
      </c>
      <c r="D18" s="5">
        <v>1.4971675209063899</v>
      </c>
      <c r="E18" s="30"/>
    </row>
    <row r="19" spans="1:5" ht="14.4" x14ac:dyDescent="0.3">
      <c r="A19" s="33">
        <v>10602</v>
      </c>
      <c r="B19" s="10" t="s">
        <v>139</v>
      </c>
      <c r="C19" s="1">
        <v>9.9378881987577605E-2</v>
      </c>
      <c r="D19" s="5">
        <v>1.4032191498142801</v>
      </c>
      <c r="E19" s="30"/>
    </row>
    <row r="20" spans="1:5" ht="14.4" x14ac:dyDescent="0.3">
      <c r="A20" s="33">
        <v>10701</v>
      </c>
      <c r="B20" s="10" t="s">
        <v>143</v>
      </c>
      <c r="C20" s="1">
        <v>0.564883100580574</v>
      </c>
      <c r="D20" s="5">
        <v>2.95015259409969</v>
      </c>
      <c r="E20" s="30"/>
    </row>
    <row r="21" spans="1:5" ht="15.75" customHeight="1" x14ac:dyDescent="0.3">
      <c r="A21" s="33">
        <v>10702</v>
      </c>
      <c r="B21" s="10" t="s">
        <v>147</v>
      </c>
      <c r="C21" s="1">
        <v>0.24469820554649299</v>
      </c>
      <c r="D21" s="5">
        <v>1.40704945992041</v>
      </c>
      <c r="E21" s="30"/>
    </row>
    <row r="22" spans="1:5" ht="15.75" customHeight="1" x14ac:dyDescent="0.3">
      <c r="A22" s="33">
        <v>10703</v>
      </c>
      <c r="B22" s="10" t="s">
        <v>87</v>
      </c>
      <c r="C22" s="1">
        <v>0.16086869093102801</v>
      </c>
      <c r="D22" s="5">
        <v>0.73975930219719599</v>
      </c>
      <c r="E22" s="30"/>
    </row>
    <row r="23" spans="1:5" ht="15.75" customHeight="1" x14ac:dyDescent="0.3">
      <c r="A23" s="33">
        <v>10704</v>
      </c>
      <c r="B23" s="10" t="s">
        <v>150</v>
      </c>
      <c r="C23" s="1">
        <v>9.7513408093612905E-2</v>
      </c>
      <c r="D23" s="5">
        <v>1.3938198553583201</v>
      </c>
      <c r="E23" s="30"/>
    </row>
    <row r="24" spans="1:5" ht="15.75" customHeight="1" x14ac:dyDescent="0.3">
      <c r="A24" s="33">
        <v>10801</v>
      </c>
      <c r="B24" s="10" t="s">
        <v>154</v>
      </c>
      <c r="C24" s="1">
        <v>0.59642147117296196</v>
      </c>
      <c r="D24" s="5">
        <v>2.7054935976869099</v>
      </c>
      <c r="E24" s="30"/>
    </row>
    <row r="25" spans="1:5" ht="15.75" customHeight="1" x14ac:dyDescent="0.3">
      <c r="A25" s="33">
        <v>10901</v>
      </c>
      <c r="B25" s="10" t="s">
        <v>71</v>
      </c>
      <c r="C25" s="1">
        <v>1.0018785222291799</v>
      </c>
      <c r="D25" s="5">
        <v>2.7845457709711101</v>
      </c>
      <c r="E25" s="30"/>
    </row>
    <row r="26" spans="1:5" ht="15.75" customHeight="1" x14ac:dyDescent="0.3">
      <c r="A26" s="33">
        <v>10902</v>
      </c>
      <c r="B26" s="10" t="s">
        <v>157</v>
      </c>
      <c r="C26" s="1">
        <v>0.20202020202020199</v>
      </c>
      <c r="D26" s="5">
        <v>0.97122738861235902</v>
      </c>
      <c r="E26" s="30"/>
    </row>
    <row r="27" spans="1:5" ht="15.75" customHeight="1" x14ac:dyDescent="0.3">
      <c r="A27" s="33">
        <v>10903</v>
      </c>
      <c r="B27" s="10" t="s">
        <v>89</v>
      </c>
      <c r="C27" s="1">
        <v>0.58422590068159697</v>
      </c>
      <c r="D27" s="5">
        <v>1.74461766889384</v>
      </c>
      <c r="E27" s="30"/>
    </row>
    <row r="28" spans="1:5" ht="15.75" customHeight="1" x14ac:dyDescent="0.3">
      <c r="A28" s="33">
        <v>11001</v>
      </c>
      <c r="B28" s="10" t="s">
        <v>348</v>
      </c>
      <c r="C28" s="1">
        <v>0.775193798449612</v>
      </c>
      <c r="D28" s="5">
        <v>2.4852071005917198</v>
      </c>
      <c r="E28" s="30"/>
    </row>
    <row r="29" spans="1:5" ht="15.75" customHeight="1" x14ac:dyDescent="0.3">
      <c r="A29" s="33">
        <v>11002</v>
      </c>
      <c r="B29" s="10" t="s">
        <v>33</v>
      </c>
      <c r="C29" s="1">
        <v>0.107991360691145</v>
      </c>
      <c r="D29" s="5">
        <v>2.8386050283860502</v>
      </c>
      <c r="E29" s="30"/>
    </row>
    <row r="30" spans="1:5" ht="15.75" customHeight="1" x14ac:dyDescent="0.3">
      <c r="A30" s="33">
        <v>11003</v>
      </c>
      <c r="B30" s="10" t="s">
        <v>146</v>
      </c>
      <c r="C30" s="1">
        <v>0.90786819098856797</v>
      </c>
      <c r="D30" s="5">
        <v>2.2886204704386501</v>
      </c>
      <c r="E30" s="30"/>
    </row>
    <row r="31" spans="1:5" ht="15.75" customHeight="1" x14ac:dyDescent="0.3">
      <c r="A31" s="33">
        <v>20101</v>
      </c>
      <c r="B31" s="10" t="s">
        <v>310</v>
      </c>
      <c r="C31" s="1">
        <v>2.90556247094288</v>
      </c>
      <c r="D31" s="5">
        <v>6.6070628878510602</v>
      </c>
      <c r="E31" s="30"/>
    </row>
    <row r="32" spans="1:5" ht="15.75" customHeight="1" x14ac:dyDescent="0.3">
      <c r="A32" s="33">
        <v>20102</v>
      </c>
      <c r="B32" s="10" t="s">
        <v>168</v>
      </c>
      <c r="C32" s="1">
        <v>0.21975607076145501</v>
      </c>
      <c r="D32" s="5">
        <v>1.1970826066275599</v>
      </c>
      <c r="E32" s="30"/>
    </row>
    <row r="33" spans="1:5" ht="15.75" customHeight="1" x14ac:dyDescent="0.3">
      <c r="A33" s="33">
        <v>20103</v>
      </c>
      <c r="B33" s="10" t="s">
        <v>170</v>
      </c>
      <c r="C33" s="1">
        <v>1.03510351035104</v>
      </c>
      <c r="D33" s="5">
        <v>3.2769205243072799</v>
      </c>
      <c r="E33" s="30"/>
    </row>
    <row r="34" spans="1:5" ht="15.75" customHeight="1" x14ac:dyDescent="0.3">
      <c r="A34" s="33">
        <v>20104</v>
      </c>
      <c r="B34" s="10" t="s">
        <v>174</v>
      </c>
      <c r="C34" s="1">
        <v>1.1217641418983699</v>
      </c>
      <c r="D34" s="5">
        <v>5.0732668390592304</v>
      </c>
      <c r="E34" s="30"/>
    </row>
    <row r="35" spans="1:5" ht="15.75" customHeight="1" x14ac:dyDescent="0.3">
      <c r="A35" s="33">
        <v>20105</v>
      </c>
      <c r="B35" s="10" t="s">
        <v>178</v>
      </c>
      <c r="C35" s="1">
        <v>1.8706251856637299</v>
      </c>
      <c r="D35" s="5">
        <v>6.3234787115643103</v>
      </c>
      <c r="E35" s="30"/>
    </row>
    <row r="36" spans="1:5" ht="15.75" customHeight="1" x14ac:dyDescent="0.3">
      <c r="A36" s="33">
        <v>20201</v>
      </c>
      <c r="B36" s="10" t="s">
        <v>181</v>
      </c>
      <c r="C36" s="1">
        <v>0.40697926137593599</v>
      </c>
      <c r="D36" s="5">
        <v>1.65333523782317</v>
      </c>
      <c r="E36" s="30"/>
    </row>
    <row r="37" spans="1:5" ht="15.75" customHeight="1" x14ac:dyDescent="0.3">
      <c r="A37" s="33">
        <v>20202</v>
      </c>
      <c r="B37" s="10" t="s">
        <v>183</v>
      </c>
      <c r="C37" s="1">
        <v>0.15864621893178199</v>
      </c>
      <c r="D37" s="5">
        <v>1.16589269834997</v>
      </c>
      <c r="E37" s="30"/>
    </row>
    <row r="38" spans="1:5" ht="15.75" customHeight="1" x14ac:dyDescent="0.3">
      <c r="A38" s="33">
        <v>20203</v>
      </c>
      <c r="B38" s="10" t="s">
        <v>159</v>
      </c>
      <c r="C38" s="1">
        <v>0.77393075356415497</v>
      </c>
      <c r="D38" s="5">
        <v>2.9847064627528401</v>
      </c>
      <c r="E38" s="30"/>
    </row>
    <row r="39" spans="1:5" ht="15.75" customHeight="1" x14ac:dyDescent="0.3">
      <c r="A39" s="33">
        <v>20204</v>
      </c>
      <c r="B39" s="10" t="s">
        <v>187</v>
      </c>
      <c r="C39" s="1">
        <v>0.43412198827870602</v>
      </c>
      <c r="D39" s="5">
        <v>1.68697282099344</v>
      </c>
      <c r="E39" s="30"/>
    </row>
    <row r="40" spans="1:5" ht="15.75" customHeight="1" x14ac:dyDescent="0.3">
      <c r="A40" s="33">
        <v>20205</v>
      </c>
      <c r="B40" s="10" t="s">
        <v>189</v>
      </c>
      <c r="C40" s="1">
        <v>0.152240104393214</v>
      </c>
      <c r="D40" s="5">
        <v>1.16948542641238</v>
      </c>
      <c r="E40" s="30"/>
    </row>
    <row r="41" spans="1:5" ht="15.75" customHeight="1" x14ac:dyDescent="0.3">
      <c r="A41" s="33">
        <v>20206</v>
      </c>
      <c r="B41" s="10" t="s">
        <v>103</v>
      </c>
      <c r="C41" s="1">
        <v>1.6341591987348401</v>
      </c>
      <c r="D41" s="5">
        <v>2.2930849158007902</v>
      </c>
      <c r="E41" s="30"/>
    </row>
    <row r="42" spans="1:5" ht="15.75" customHeight="1" x14ac:dyDescent="0.3">
      <c r="A42" s="33">
        <v>20301</v>
      </c>
      <c r="B42" s="10" t="s">
        <v>196</v>
      </c>
      <c r="C42" s="1">
        <v>0.31158357771261003</v>
      </c>
      <c r="D42" s="5">
        <v>1.9333502925464301</v>
      </c>
      <c r="E42" s="30"/>
    </row>
    <row r="43" spans="1:5" ht="15.75" customHeight="1" x14ac:dyDescent="0.3">
      <c r="A43" s="33">
        <v>20302</v>
      </c>
      <c r="B43" s="10" t="s">
        <v>82</v>
      </c>
      <c r="C43" s="1">
        <v>0.110823790173624</v>
      </c>
      <c r="D43" s="5">
        <v>1.13137082601054</v>
      </c>
      <c r="E43" s="30"/>
    </row>
    <row r="44" spans="1:5" ht="15.75" customHeight="1" x14ac:dyDescent="0.3">
      <c r="A44" s="33">
        <v>20303</v>
      </c>
      <c r="B44" s="10" t="s">
        <v>30</v>
      </c>
      <c r="C44" s="1">
        <v>0.12903225806451599</v>
      </c>
      <c r="D44" s="5">
        <v>0.68054988430651997</v>
      </c>
      <c r="E44" s="30"/>
    </row>
    <row r="45" spans="1:5" ht="15.75" customHeight="1" x14ac:dyDescent="0.3">
      <c r="A45" s="33">
        <v>20304</v>
      </c>
      <c r="B45" s="10" t="s">
        <v>148</v>
      </c>
      <c r="C45" s="1">
        <v>0.40858018386108302</v>
      </c>
      <c r="D45" s="5">
        <v>0.86260012322858903</v>
      </c>
      <c r="E45" s="30"/>
    </row>
    <row r="46" spans="1:5" ht="15.75" customHeight="1" x14ac:dyDescent="0.3">
      <c r="A46" s="33">
        <v>20305</v>
      </c>
      <c r="B46" s="10" t="s">
        <v>93</v>
      </c>
      <c r="C46" s="1">
        <v>0.34199726402188801</v>
      </c>
      <c r="D46" s="5">
        <v>0.863557858376511</v>
      </c>
      <c r="E46" s="30"/>
    </row>
    <row r="47" spans="1:5" ht="15.75" customHeight="1" x14ac:dyDescent="0.3">
      <c r="A47" s="33">
        <v>20306</v>
      </c>
      <c r="B47" s="10" t="s">
        <v>97</v>
      </c>
      <c r="C47" s="1">
        <v>0.276370336250576</v>
      </c>
      <c r="D47" s="5">
        <v>1.32433134250844</v>
      </c>
      <c r="E47" s="30"/>
    </row>
    <row r="48" spans="1:5" ht="15.75" customHeight="1" x14ac:dyDescent="0.3">
      <c r="A48" s="33">
        <v>20307</v>
      </c>
      <c r="B48" s="10" t="s">
        <v>12</v>
      </c>
      <c r="C48" s="1">
        <v>0.31152647975077902</v>
      </c>
      <c r="D48" s="5">
        <v>1.61642638706859</v>
      </c>
      <c r="E48" s="30"/>
    </row>
    <row r="49" spans="1:5" ht="15.75" customHeight="1" x14ac:dyDescent="0.3">
      <c r="A49" s="33">
        <v>20308</v>
      </c>
      <c r="B49" s="10" t="s">
        <v>311</v>
      </c>
      <c r="C49" s="1">
        <v>0.31347962382445099</v>
      </c>
      <c r="D49" s="5">
        <v>0.92812006319115303</v>
      </c>
      <c r="E49" s="30"/>
    </row>
    <row r="50" spans="1:5" ht="15.75" customHeight="1" x14ac:dyDescent="0.3">
      <c r="A50" s="33">
        <v>20401</v>
      </c>
      <c r="B50" s="10" t="s">
        <v>124</v>
      </c>
      <c r="C50" s="1">
        <v>0.13132934481249101</v>
      </c>
      <c r="D50" s="5">
        <v>0.99423793921590797</v>
      </c>
      <c r="E50" s="30"/>
    </row>
    <row r="51" spans="1:5" ht="15.75" customHeight="1" x14ac:dyDescent="0.3">
      <c r="A51" s="33">
        <v>20402</v>
      </c>
      <c r="B51" s="10" t="s">
        <v>112</v>
      </c>
      <c r="C51" s="1">
        <v>0.120945574491479</v>
      </c>
      <c r="D51" s="5">
        <v>1.03045777858836</v>
      </c>
      <c r="E51" s="30"/>
    </row>
    <row r="52" spans="1:5" ht="15.75" customHeight="1" x14ac:dyDescent="0.3">
      <c r="A52" s="33">
        <v>20403</v>
      </c>
      <c r="B52" s="10" t="s">
        <v>312</v>
      </c>
      <c r="C52" s="1">
        <v>0.195360195360195</v>
      </c>
      <c r="D52" s="5">
        <v>1.2771765623476601</v>
      </c>
      <c r="E52" s="30"/>
    </row>
    <row r="53" spans="1:5" ht="15.75" customHeight="1" x14ac:dyDescent="0.3">
      <c r="A53" s="33">
        <v>20404</v>
      </c>
      <c r="B53" s="10" t="s">
        <v>116</v>
      </c>
      <c r="C53" s="1">
        <v>9.8554533508541403E-2</v>
      </c>
      <c r="D53" s="5">
        <v>0.39411455596426698</v>
      </c>
      <c r="E53" s="30"/>
    </row>
    <row r="54" spans="1:5" ht="15.75" customHeight="1" x14ac:dyDescent="0.3">
      <c r="A54" s="33">
        <v>20405</v>
      </c>
      <c r="B54" s="10" t="s">
        <v>222</v>
      </c>
      <c r="C54" s="1">
        <v>0.165758939142789</v>
      </c>
      <c r="D54" s="5">
        <v>1.20036934441367</v>
      </c>
      <c r="E54" s="30"/>
    </row>
    <row r="55" spans="1:5" ht="15.75" customHeight="1" x14ac:dyDescent="0.3">
      <c r="A55" s="33">
        <v>20501</v>
      </c>
      <c r="B55" s="10" t="s">
        <v>226</v>
      </c>
      <c r="C55" s="1">
        <v>0.188708916496304</v>
      </c>
      <c r="D55" s="5">
        <v>0.69431234544416998</v>
      </c>
      <c r="E55" s="30"/>
    </row>
    <row r="56" spans="1:5" ht="15.75" customHeight="1" x14ac:dyDescent="0.3">
      <c r="A56" s="33">
        <v>20502</v>
      </c>
      <c r="B56" s="10" t="s">
        <v>101</v>
      </c>
      <c r="C56" s="1">
        <v>0.17738359201773801</v>
      </c>
      <c r="D56" s="5">
        <v>0.65307737977439095</v>
      </c>
      <c r="E56" s="30"/>
    </row>
    <row r="57" spans="1:5" ht="15.75" customHeight="1" x14ac:dyDescent="0.3">
      <c r="A57" s="33">
        <v>20503</v>
      </c>
      <c r="B57" s="10" t="s">
        <v>182</v>
      </c>
      <c r="C57" s="1">
        <v>0.26985350809560499</v>
      </c>
      <c r="D57" s="5">
        <v>1.58687466379774</v>
      </c>
      <c r="E57" s="30"/>
    </row>
    <row r="58" spans="1:5" ht="15.75" customHeight="1" x14ac:dyDescent="0.3">
      <c r="A58" s="33">
        <v>20601</v>
      </c>
      <c r="B58" s="10" t="s">
        <v>233</v>
      </c>
      <c r="C58" s="1">
        <v>0.68226120857699801</v>
      </c>
      <c r="D58" s="5">
        <v>1.86485982470318</v>
      </c>
      <c r="E58" s="30"/>
    </row>
    <row r="59" spans="1:5" ht="15.75" customHeight="1" x14ac:dyDescent="0.3">
      <c r="A59" s="33">
        <v>20602</v>
      </c>
      <c r="B59" s="10" t="s">
        <v>236</v>
      </c>
      <c r="C59" s="1">
        <v>1.74636174636175</v>
      </c>
      <c r="D59" s="5">
        <v>4.6563715666627399</v>
      </c>
      <c r="E59" s="30"/>
    </row>
    <row r="60" spans="1:5" ht="15.75" customHeight="1" x14ac:dyDescent="0.3">
      <c r="A60" s="33">
        <v>20603</v>
      </c>
      <c r="B60" s="10" t="s">
        <v>203</v>
      </c>
      <c r="C60" s="1">
        <v>0.25688930406352201</v>
      </c>
      <c r="D60" s="5">
        <v>1.50433944069431</v>
      </c>
      <c r="E60" s="30"/>
    </row>
    <row r="61" spans="1:5" ht="15.75" customHeight="1" x14ac:dyDescent="0.3">
      <c r="A61" s="33">
        <v>20604</v>
      </c>
      <c r="B61" s="10" t="s">
        <v>54</v>
      </c>
      <c r="C61" s="1">
        <v>0.12936610608020699</v>
      </c>
      <c r="D61" s="5">
        <v>0.89928057553956797</v>
      </c>
      <c r="E61" s="30"/>
    </row>
    <row r="62" spans="1:5" ht="15.75" customHeight="1" x14ac:dyDescent="0.3">
      <c r="A62" s="33">
        <v>20605</v>
      </c>
      <c r="B62" s="10" t="s">
        <v>62</v>
      </c>
      <c r="C62" s="1">
        <v>0.17241379310344801</v>
      </c>
      <c r="D62" s="5">
        <v>0.701262272089762</v>
      </c>
      <c r="E62" s="30"/>
    </row>
    <row r="63" spans="1:5" ht="15.75" customHeight="1" x14ac:dyDescent="0.3">
      <c r="A63" s="33">
        <v>20606</v>
      </c>
      <c r="B63" s="10" t="s">
        <v>140</v>
      </c>
      <c r="C63" s="1">
        <v>2.71668822768435</v>
      </c>
      <c r="D63" s="5">
        <v>6.9539925965097797</v>
      </c>
      <c r="E63" s="30"/>
    </row>
    <row r="64" spans="1:5" ht="15.75" customHeight="1" x14ac:dyDescent="0.3">
      <c r="A64" s="33">
        <v>20607</v>
      </c>
      <c r="B64" s="10" t="s">
        <v>167</v>
      </c>
      <c r="C64" s="1">
        <v>1.3722957701001</v>
      </c>
      <c r="D64" s="5">
        <v>6.1753371868978801</v>
      </c>
      <c r="E64" s="30"/>
    </row>
    <row r="65" spans="1:5" ht="15.75" customHeight="1" x14ac:dyDescent="0.3">
      <c r="A65" s="33">
        <v>20608</v>
      </c>
      <c r="B65" s="10" t="s">
        <v>200</v>
      </c>
      <c r="C65" s="1">
        <v>0.76320546294436598</v>
      </c>
      <c r="D65" s="5">
        <v>3.2670652022799902</v>
      </c>
      <c r="E65" s="30"/>
    </row>
    <row r="66" spans="1:5" ht="15.75" customHeight="1" x14ac:dyDescent="0.3">
      <c r="A66" s="33">
        <v>20701</v>
      </c>
      <c r="B66" s="10" t="s">
        <v>241</v>
      </c>
      <c r="C66" s="1">
        <v>0.65429455151082605</v>
      </c>
      <c r="D66" s="5">
        <v>2.5244831338411302</v>
      </c>
      <c r="E66" s="30"/>
    </row>
    <row r="67" spans="1:5" ht="15.75" customHeight="1" x14ac:dyDescent="0.3">
      <c r="A67" s="33">
        <v>20702</v>
      </c>
      <c r="B67" s="10" t="s">
        <v>41</v>
      </c>
      <c r="C67" s="1">
        <v>0.31065548306927598</v>
      </c>
      <c r="D67" s="5">
        <v>1.75585284280936</v>
      </c>
      <c r="E67" s="30"/>
    </row>
    <row r="68" spans="1:5" ht="15.75" customHeight="1" x14ac:dyDescent="0.3">
      <c r="A68" s="33">
        <v>20801</v>
      </c>
      <c r="B68" s="10" t="s">
        <v>244</v>
      </c>
      <c r="C68" s="1">
        <v>1.0817169746355999</v>
      </c>
      <c r="D68" s="5">
        <v>5.0563190705582297</v>
      </c>
      <c r="E68" s="30"/>
    </row>
    <row r="69" spans="1:5" ht="15.75" customHeight="1" x14ac:dyDescent="0.3">
      <c r="A69" s="33">
        <v>20802</v>
      </c>
      <c r="B69" s="10" t="s">
        <v>186</v>
      </c>
      <c r="C69" s="1">
        <v>0.37768739105171401</v>
      </c>
      <c r="D69" s="5">
        <v>3.2089696501063201</v>
      </c>
      <c r="E69" s="30"/>
    </row>
    <row r="70" spans="1:5" ht="15.75" customHeight="1" x14ac:dyDescent="0.3">
      <c r="A70" s="33">
        <v>20803</v>
      </c>
      <c r="B70" s="10" t="s">
        <v>217</v>
      </c>
      <c r="C70" s="1">
        <v>0.87288597926895795</v>
      </c>
      <c r="D70" s="5">
        <v>1.71503957783641</v>
      </c>
      <c r="E70" s="30"/>
    </row>
    <row r="71" spans="1:5" ht="15.75" customHeight="1" x14ac:dyDescent="0.3">
      <c r="A71" s="33">
        <v>20804</v>
      </c>
      <c r="B71" s="10" t="s">
        <v>113</v>
      </c>
      <c r="C71" s="1">
        <v>3.2670841274162798</v>
      </c>
      <c r="D71" s="5">
        <v>6.6745843230403796</v>
      </c>
      <c r="E71" s="30"/>
    </row>
    <row r="72" spans="1:5" ht="15.75" customHeight="1" x14ac:dyDescent="0.3">
      <c r="A72" s="33">
        <v>20805</v>
      </c>
      <c r="B72" s="10" t="s">
        <v>90</v>
      </c>
      <c r="C72" s="1">
        <v>5.9119125036949501E-2</v>
      </c>
      <c r="D72" s="5">
        <v>1.1539213768824601</v>
      </c>
      <c r="E72" s="30"/>
    </row>
    <row r="73" spans="1:5" ht="15.75" customHeight="1" x14ac:dyDescent="0.3">
      <c r="A73" s="33">
        <v>20806</v>
      </c>
      <c r="B73" s="10" t="s">
        <v>210</v>
      </c>
      <c r="C73" s="1">
        <v>0.10094637223974801</v>
      </c>
      <c r="D73" s="5">
        <v>1.4207650273224</v>
      </c>
      <c r="E73" s="30"/>
    </row>
    <row r="74" spans="1:5" ht="15.75" customHeight="1" x14ac:dyDescent="0.3">
      <c r="A74" s="33">
        <v>20807</v>
      </c>
      <c r="B74" s="10" t="s">
        <v>123</v>
      </c>
      <c r="C74" s="1">
        <v>0.154162384378212</v>
      </c>
      <c r="D74" s="5">
        <v>1.06494048861975</v>
      </c>
      <c r="E74" s="30"/>
    </row>
    <row r="75" spans="1:5" ht="15.75" customHeight="1" x14ac:dyDescent="0.3">
      <c r="A75" s="33">
        <v>20901</v>
      </c>
      <c r="B75" s="10" t="s">
        <v>253</v>
      </c>
      <c r="C75" s="1">
        <v>9.0607067351253401E-2</v>
      </c>
      <c r="D75" s="5">
        <v>1.0551703346397301</v>
      </c>
      <c r="E75" s="30"/>
    </row>
    <row r="76" spans="1:5" ht="15.75" customHeight="1" x14ac:dyDescent="0.3">
      <c r="A76" s="33">
        <v>20902</v>
      </c>
      <c r="B76" s="10" t="s">
        <v>172</v>
      </c>
      <c r="C76" s="1">
        <v>0.13989927252378301</v>
      </c>
      <c r="D76" s="5">
        <v>0.75881279416002301</v>
      </c>
      <c r="E76" s="30"/>
    </row>
    <row r="77" spans="1:5" ht="15.75" customHeight="1" x14ac:dyDescent="0.3">
      <c r="A77" s="33">
        <v>20903</v>
      </c>
      <c r="B77" s="10" t="s">
        <v>198</v>
      </c>
      <c r="C77" s="1">
        <v>2.68096514745308E-2</v>
      </c>
      <c r="D77" s="5">
        <v>0.90012858979854304</v>
      </c>
      <c r="E77" s="30"/>
    </row>
    <row r="78" spans="1:5" ht="15.75" customHeight="1" x14ac:dyDescent="0.3">
      <c r="A78" s="33">
        <v>20904</v>
      </c>
      <c r="B78" s="10" t="s">
        <v>107</v>
      </c>
      <c r="C78" s="1">
        <v>0.20259319286871999</v>
      </c>
      <c r="D78" s="5">
        <v>1.3869625520111</v>
      </c>
      <c r="E78" s="30"/>
    </row>
    <row r="79" spans="1:5" ht="15.75" customHeight="1" x14ac:dyDescent="0.3">
      <c r="A79" s="33">
        <v>20905</v>
      </c>
      <c r="B79" s="10" t="s">
        <v>191</v>
      </c>
      <c r="C79" s="1">
        <v>3.2642402480822598E-2</v>
      </c>
      <c r="D79" s="5">
        <v>0.79736742184533604</v>
      </c>
      <c r="E79" s="30"/>
    </row>
    <row r="80" spans="1:5" ht="15.75" customHeight="1" x14ac:dyDescent="0.3">
      <c r="A80" s="33">
        <v>21001</v>
      </c>
      <c r="B80" s="10" t="s">
        <v>138</v>
      </c>
      <c r="C80" s="1">
        <v>0.12017625851248501</v>
      </c>
      <c r="D80" s="5">
        <v>0.78937592867756301</v>
      </c>
      <c r="E80" s="30"/>
    </row>
    <row r="81" spans="1:5" ht="15.75" customHeight="1" x14ac:dyDescent="0.3">
      <c r="A81" s="33">
        <v>21002</v>
      </c>
      <c r="B81" s="10" t="s">
        <v>231</v>
      </c>
      <c r="C81" s="1">
        <v>0.44422507403751199</v>
      </c>
      <c r="D81" s="5">
        <v>2.6063100137174202</v>
      </c>
      <c r="E81" s="30"/>
    </row>
    <row r="82" spans="1:5" ht="15.75" customHeight="1" x14ac:dyDescent="0.3">
      <c r="A82" s="33">
        <v>21003</v>
      </c>
      <c r="B82" s="10" t="s">
        <v>149</v>
      </c>
      <c r="C82" s="1">
        <v>0.10305736860185501</v>
      </c>
      <c r="D82" s="5">
        <v>1.4393343078826</v>
      </c>
      <c r="E82" s="30"/>
    </row>
    <row r="83" spans="1:5" ht="15.75" customHeight="1" x14ac:dyDescent="0.3">
      <c r="A83" s="33">
        <v>21004</v>
      </c>
      <c r="B83" s="10" t="s">
        <v>268</v>
      </c>
      <c r="C83" s="1">
        <v>0.222612770943175</v>
      </c>
      <c r="D83" s="5">
        <v>1.8350227193289099</v>
      </c>
      <c r="E83" s="30"/>
    </row>
    <row r="84" spans="1:5" ht="15.75" customHeight="1" x14ac:dyDescent="0.3">
      <c r="A84" s="33">
        <v>21005</v>
      </c>
      <c r="B84" s="10" t="s">
        <v>132</v>
      </c>
      <c r="C84" s="1">
        <v>5.0352467270896303E-2</v>
      </c>
      <c r="D84" s="5">
        <v>0.55782818891781305</v>
      </c>
      <c r="E84" s="30"/>
    </row>
    <row r="85" spans="1:5" ht="15.75" customHeight="1" x14ac:dyDescent="0.3">
      <c r="A85" s="33">
        <v>21006</v>
      </c>
      <c r="B85" s="10" t="s">
        <v>67</v>
      </c>
      <c r="C85" s="1">
        <v>0.62761506276150603</v>
      </c>
      <c r="D85" s="5">
        <v>1.9064565327910501</v>
      </c>
      <c r="E85" s="30"/>
    </row>
    <row r="86" spans="1:5" ht="15.75" customHeight="1" x14ac:dyDescent="0.3">
      <c r="A86" s="33">
        <v>21101</v>
      </c>
      <c r="B86" s="10" t="s">
        <v>245</v>
      </c>
      <c r="C86" s="1">
        <v>0.78236809464745705</v>
      </c>
      <c r="D86" s="5">
        <v>2.2309477065857601</v>
      </c>
      <c r="E86" s="30"/>
    </row>
    <row r="87" spans="1:5" ht="15.75" customHeight="1" x14ac:dyDescent="0.3">
      <c r="A87" s="33">
        <v>21102</v>
      </c>
      <c r="B87" s="10" t="s">
        <v>273</v>
      </c>
      <c r="C87" s="1">
        <v>0.30401098362263401</v>
      </c>
      <c r="D87" s="5">
        <v>1.37634105025409</v>
      </c>
      <c r="E87" s="30"/>
    </row>
    <row r="88" spans="1:5" ht="15.75" customHeight="1" x14ac:dyDescent="0.3">
      <c r="A88" s="33">
        <v>21103</v>
      </c>
      <c r="B88" s="10" t="s">
        <v>94</v>
      </c>
      <c r="C88" s="1">
        <v>0.70859167404782997</v>
      </c>
      <c r="D88" s="5">
        <v>2.6309437605599801</v>
      </c>
      <c r="E88" s="30"/>
    </row>
    <row r="89" spans="1:5" ht="15.75" customHeight="1" x14ac:dyDescent="0.3">
      <c r="A89" s="33">
        <v>21104</v>
      </c>
      <c r="B89" s="10" t="s">
        <v>258</v>
      </c>
      <c r="C89" s="1">
        <v>0.83508936236634701</v>
      </c>
      <c r="D89" s="5">
        <v>2.6981990642825102</v>
      </c>
      <c r="E89" s="30"/>
    </row>
    <row r="90" spans="1:5" ht="15.75" customHeight="1" x14ac:dyDescent="0.3">
      <c r="A90" s="33">
        <v>21105</v>
      </c>
      <c r="B90" s="10" t="s">
        <v>70</v>
      </c>
      <c r="C90" s="1">
        <v>0.171405968443722</v>
      </c>
      <c r="D90" s="5">
        <v>0.91729545790797495</v>
      </c>
      <c r="E90" s="30"/>
    </row>
    <row r="91" spans="1:5" ht="15.75" customHeight="1" x14ac:dyDescent="0.3">
      <c r="A91" s="33">
        <v>21201</v>
      </c>
      <c r="B91" s="10" t="s">
        <v>255</v>
      </c>
      <c r="C91" s="1">
        <v>0.23210015473343601</v>
      </c>
      <c r="D91" s="5">
        <v>2.2219789842381799</v>
      </c>
      <c r="E91" s="30"/>
    </row>
    <row r="92" spans="1:5" ht="15.75" customHeight="1" x14ac:dyDescent="0.3">
      <c r="A92" s="33">
        <v>21202</v>
      </c>
      <c r="B92" s="10" t="s">
        <v>267</v>
      </c>
      <c r="C92" s="1">
        <v>0.195902375316301</v>
      </c>
      <c r="D92" s="5">
        <v>2.3744975226699099</v>
      </c>
      <c r="E92" s="30"/>
    </row>
    <row r="93" spans="1:5" ht="15.75" customHeight="1" x14ac:dyDescent="0.3">
      <c r="A93" s="33">
        <v>21203</v>
      </c>
      <c r="B93" s="10" t="s">
        <v>277</v>
      </c>
      <c r="C93" s="1">
        <v>0.21682072349651901</v>
      </c>
      <c r="D93" s="5">
        <v>1.8940321658910899</v>
      </c>
      <c r="E93" s="30"/>
    </row>
    <row r="94" spans="1:5" ht="15.75" customHeight="1" x14ac:dyDescent="0.3">
      <c r="A94" s="33">
        <v>21204</v>
      </c>
      <c r="B94" s="10" t="s">
        <v>199</v>
      </c>
      <c r="C94" s="1">
        <v>0.12441679626749599</v>
      </c>
      <c r="D94" s="5">
        <v>1.25164690382082</v>
      </c>
      <c r="E94" s="30"/>
    </row>
    <row r="95" spans="1:5" ht="15.75" customHeight="1" x14ac:dyDescent="0.3">
      <c r="A95" s="33">
        <v>21301</v>
      </c>
      <c r="B95" s="10" t="s">
        <v>261</v>
      </c>
      <c r="C95" s="1">
        <v>0.29019918216594098</v>
      </c>
      <c r="D95" s="5">
        <v>1.7480124256305001</v>
      </c>
      <c r="E95" s="30"/>
    </row>
    <row r="96" spans="1:5" ht="15.75" customHeight="1" x14ac:dyDescent="0.3">
      <c r="A96" s="33">
        <v>21302</v>
      </c>
      <c r="B96" s="10" t="s">
        <v>232</v>
      </c>
      <c r="C96" s="1">
        <v>3.61925443358668E-2</v>
      </c>
      <c r="D96" s="5">
        <v>0.84608460846084599</v>
      </c>
      <c r="E96" s="30"/>
    </row>
    <row r="97" spans="1:5" ht="15.75" customHeight="1" x14ac:dyDescent="0.3">
      <c r="A97" s="33">
        <v>21303</v>
      </c>
      <c r="B97" s="10" t="s">
        <v>218</v>
      </c>
      <c r="C97" s="1">
        <v>0.38392050587172499</v>
      </c>
      <c r="D97" s="5">
        <v>1.58424637251999</v>
      </c>
      <c r="E97" s="30"/>
    </row>
    <row r="98" spans="1:5" ht="15.75" customHeight="1" x14ac:dyDescent="0.3">
      <c r="A98" s="33">
        <v>21304</v>
      </c>
      <c r="B98" s="10" t="s">
        <v>249</v>
      </c>
      <c r="C98" s="1">
        <v>0.314740339220143</v>
      </c>
      <c r="D98" s="5">
        <v>1.4270674932740699</v>
      </c>
      <c r="E98" s="30"/>
    </row>
    <row r="99" spans="1:5" ht="15.75" customHeight="1" x14ac:dyDescent="0.3">
      <c r="A99" s="33">
        <v>21305</v>
      </c>
      <c r="B99" s="10" t="s">
        <v>280</v>
      </c>
      <c r="C99" s="1">
        <v>0.70237872260723</v>
      </c>
      <c r="D99" s="5">
        <v>4.4903724630138999</v>
      </c>
      <c r="E99" s="30"/>
    </row>
    <row r="100" spans="1:5" ht="15.75" customHeight="1" x14ac:dyDescent="0.3">
      <c r="A100" s="33">
        <v>21306</v>
      </c>
      <c r="B100" s="10" t="s">
        <v>229</v>
      </c>
      <c r="C100" s="1">
        <v>0.45132172791747299</v>
      </c>
      <c r="D100" s="5">
        <v>1.4852985753258601</v>
      </c>
      <c r="E100" s="30"/>
    </row>
    <row r="101" spans="1:5" ht="15.75" customHeight="1" x14ac:dyDescent="0.3">
      <c r="A101" s="33">
        <v>21307</v>
      </c>
      <c r="B101" s="10" t="s">
        <v>100</v>
      </c>
      <c r="C101" s="1">
        <v>0.37174721189591098</v>
      </c>
      <c r="D101" s="5">
        <v>2.2743947175348498</v>
      </c>
      <c r="E101" s="30"/>
    </row>
    <row r="102" spans="1:5" ht="15.75" customHeight="1" x14ac:dyDescent="0.3">
      <c r="A102" s="33">
        <v>21401</v>
      </c>
      <c r="B102" s="10" t="s">
        <v>284</v>
      </c>
      <c r="C102" s="1">
        <v>1.9934146124410399</v>
      </c>
      <c r="D102" s="5">
        <v>4.0363843092666301</v>
      </c>
      <c r="E102" s="30"/>
    </row>
    <row r="103" spans="1:5" ht="15.75" customHeight="1" x14ac:dyDescent="0.3">
      <c r="A103" s="33">
        <v>21402</v>
      </c>
      <c r="B103" s="10" t="s">
        <v>220</v>
      </c>
      <c r="C103" s="1">
        <v>0.25277075636787899</v>
      </c>
      <c r="D103" s="5">
        <v>1.1985373781148401</v>
      </c>
      <c r="E103" s="30"/>
    </row>
    <row r="104" spans="1:5" ht="15.75" customHeight="1" x14ac:dyDescent="0.3">
      <c r="A104" s="33">
        <v>21501</v>
      </c>
      <c r="B104" s="10" t="s">
        <v>194</v>
      </c>
      <c r="C104" s="1">
        <v>0.97061909758656895</v>
      </c>
      <c r="D104" s="5">
        <v>2.4840660238601102</v>
      </c>
      <c r="E104" s="30"/>
    </row>
    <row r="105" spans="1:5" ht="15.75" customHeight="1" x14ac:dyDescent="0.3">
      <c r="A105" s="33">
        <v>21502</v>
      </c>
      <c r="B105" s="10" t="s">
        <v>133</v>
      </c>
      <c r="C105" s="1">
        <v>4.80497456189938</v>
      </c>
      <c r="D105" s="5">
        <v>6.0729613733905596</v>
      </c>
      <c r="E105" s="30"/>
    </row>
    <row r="106" spans="1:5" ht="15.75" customHeight="1" x14ac:dyDescent="0.3">
      <c r="A106" s="33">
        <v>21601</v>
      </c>
      <c r="B106" s="10" t="s">
        <v>313</v>
      </c>
      <c r="C106" s="1">
        <v>0.17257609036711599</v>
      </c>
      <c r="D106" s="5">
        <v>1.1743034768593099</v>
      </c>
      <c r="E106" s="30"/>
    </row>
    <row r="107" spans="1:5" ht="15.75" customHeight="1" x14ac:dyDescent="0.3">
      <c r="A107" s="33">
        <v>21602</v>
      </c>
      <c r="B107" s="10" t="s">
        <v>108</v>
      </c>
      <c r="C107" s="1">
        <v>0.26333113890717602</v>
      </c>
      <c r="D107" s="5">
        <v>0.81859855926653602</v>
      </c>
      <c r="E107" s="30"/>
    </row>
    <row r="108" spans="1:5" ht="15.75" customHeight="1" x14ac:dyDescent="0.3">
      <c r="A108" s="33">
        <v>21701</v>
      </c>
      <c r="B108" s="10" t="s">
        <v>251</v>
      </c>
      <c r="C108" s="1">
        <v>5.5068040188223302</v>
      </c>
      <c r="D108" s="5">
        <v>7.666015625</v>
      </c>
      <c r="E108" s="30"/>
    </row>
    <row r="109" spans="1:5" ht="15.75" customHeight="1" x14ac:dyDescent="0.3">
      <c r="A109" s="33">
        <v>21702</v>
      </c>
      <c r="B109" s="10" t="s">
        <v>184</v>
      </c>
      <c r="C109" s="1">
        <v>3.6279069767441898</v>
      </c>
      <c r="D109" s="5">
        <v>4.9342105263157903</v>
      </c>
      <c r="E109" s="30"/>
    </row>
    <row r="110" spans="1:5" ht="15.75" customHeight="1" x14ac:dyDescent="0.3">
      <c r="A110" s="33">
        <v>21703</v>
      </c>
      <c r="B110" s="10" t="s">
        <v>135</v>
      </c>
      <c r="C110" s="1">
        <v>0.21192854980320899</v>
      </c>
      <c r="D110" s="5">
        <v>1.3093980992608201</v>
      </c>
      <c r="E110" s="30"/>
    </row>
    <row r="111" spans="1:5" ht="15.75" customHeight="1" x14ac:dyDescent="0.3">
      <c r="A111" s="33">
        <v>21801</v>
      </c>
      <c r="B111" s="10" t="s">
        <v>314</v>
      </c>
      <c r="C111" s="1">
        <v>0.13172751223184001</v>
      </c>
      <c r="D111" s="5">
        <v>0.54533060668029998</v>
      </c>
      <c r="E111" s="30"/>
    </row>
    <row r="112" spans="1:5" ht="15.75" customHeight="1" x14ac:dyDescent="0.3">
      <c r="A112" s="33">
        <v>21802</v>
      </c>
      <c r="B112" s="10" t="s">
        <v>197</v>
      </c>
      <c r="C112" s="1">
        <v>7.8349438495690801E-2</v>
      </c>
      <c r="D112" s="5">
        <v>0.76628352490421403</v>
      </c>
      <c r="E112" s="30"/>
    </row>
    <row r="113" spans="1:5" ht="15.75" customHeight="1" x14ac:dyDescent="0.3">
      <c r="A113" s="33">
        <v>21803</v>
      </c>
      <c r="B113" s="10" t="s">
        <v>49</v>
      </c>
      <c r="C113" s="1">
        <v>8.8573959255978704E-2</v>
      </c>
      <c r="D113" s="5">
        <v>1.04501607717042</v>
      </c>
      <c r="E113" s="30"/>
    </row>
    <row r="114" spans="1:5" ht="15.75" customHeight="1" x14ac:dyDescent="0.3">
      <c r="A114" s="33">
        <v>21901</v>
      </c>
      <c r="B114" s="10" t="s">
        <v>50</v>
      </c>
      <c r="C114" s="1">
        <v>0.44624746450304298</v>
      </c>
      <c r="D114" s="5">
        <v>1.74011299435028</v>
      </c>
      <c r="E114" s="30"/>
    </row>
    <row r="115" spans="1:5" ht="15.75" customHeight="1" x14ac:dyDescent="0.3">
      <c r="A115" s="33">
        <v>21902</v>
      </c>
      <c r="B115" s="10" t="s">
        <v>28</v>
      </c>
      <c r="C115" s="1">
        <v>0.21097046413502099</v>
      </c>
      <c r="D115" s="5">
        <v>0.91743119266055095</v>
      </c>
      <c r="E115" s="30"/>
    </row>
    <row r="116" spans="1:5" ht="15.75" customHeight="1" x14ac:dyDescent="0.3">
      <c r="A116" s="33">
        <v>22001</v>
      </c>
      <c r="B116" s="10" t="s">
        <v>260</v>
      </c>
      <c r="C116" s="1">
        <v>0.90379223845359302</v>
      </c>
      <c r="D116" s="5">
        <v>3.8628625102735699</v>
      </c>
      <c r="E116" s="30"/>
    </row>
    <row r="117" spans="1:5" ht="15.75" customHeight="1" x14ac:dyDescent="0.3">
      <c r="A117" s="33">
        <v>22002</v>
      </c>
      <c r="B117" s="10" t="s">
        <v>185</v>
      </c>
      <c r="C117" s="1">
        <v>0.31725888324873103</v>
      </c>
      <c r="D117" s="5">
        <v>1.2320648783530901</v>
      </c>
      <c r="E117" s="30"/>
    </row>
    <row r="118" spans="1:5" ht="15.75" customHeight="1" x14ac:dyDescent="0.3">
      <c r="A118" s="33">
        <v>30101</v>
      </c>
      <c r="B118" s="10" t="s">
        <v>51</v>
      </c>
      <c r="C118" s="1">
        <v>2.18261898290995</v>
      </c>
      <c r="D118" s="5">
        <v>7.0517099967574</v>
      </c>
      <c r="E118" s="30"/>
    </row>
    <row r="119" spans="1:5" ht="15.75" customHeight="1" x14ac:dyDescent="0.3">
      <c r="A119" s="33">
        <v>30201</v>
      </c>
      <c r="B119" s="10" t="s">
        <v>252</v>
      </c>
      <c r="C119" s="1">
        <v>0.77649026400668997</v>
      </c>
      <c r="D119" s="5">
        <v>3.52048052056394</v>
      </c>
      <c r="E119" s="30"/>
    </row>
    <row r="120" spans="1:5" ht="15.75" customHeight="1" x14ac:dyDescent="0.3">
      <c r="A120" s="33">
        <v>30202</v>
      </c>
      <c r="B120" s="10" t="s">
        <v>145</v>
      </c>
      <c r="C120" s="1">
        <v>0.23442732752846601</v>
      </c>
      <c r="D120" s="5">
        <v>1.6253443526170801</v>
      </c>
      <c r="E120" s="30"/>
    </row>
    <row r="121" spans="1:5" ht="15.75" customHeight="1" x14ac:dyDescent="0.3">
      <c r="A121" s="33">
        <v>30203</v>
      </c>
      <c r="B121" s="10" t="s">
        <v>56</v>
      </c>
      <c r="C121" s="1">
        <v>0.151975683890578</v>
      </c>
      <c r="D121" s="5">
        <v>1.49933065595716</v>
      </c>
      <c r="E121" s="30"/>
    </row>
    <row r="122" spans="1:5" ht="15.75" customHeight="1" x14ac:dyDescent="0.3">
      <c r="A122" s="33">
        <v>30301</v>
      </c>
      <c r="B122" s="10" t="s">
        <v>211</v>
      </c>
      <c r="C122" s="1">
        <v>0.26131591227251499</v>
      </c>
      <c r="D122" s="5">
        <v>1.38455044322499</v>
      </c>
      <c r="E122" s="30"/>
    </row>
    <row r="123" spans="1:5" ht="15.75" customHeight="1" x14ac:dyDescent="0.3">
      <c r="A123" s="33">
        <v>30302</v>
      </c>
      <c r="B123" s="10" t="s">
        <v>177</v>
      </c>
      <c r="C123" s="1">
        <v>6.5692231893578604E-2</v>
      </c>
      <c r="D123" s="5">
        <v>0.75334143377885798</v>
      </c>
      <c r="E123" s="30"/>
    </row>
    <row r="124" spans="1:5" ht="15.75" customHeight="1" x14ac:dyDescent="0.3">
      <c r="A124" s="33">
        <v>30303</v>
      </c>
      <c r="B124" s="10" t="s">
        <v>66</v>
      </c>
      <c r="C124" s="1">
        <v>0.108892921960073</v>
      </c>
      <c r="D124" s="5">
        <v>0.39117071807767501</v>
      </c>
      <c r="E124" s="30"/>
    </row>
    <row r="125" spans="1:5" ht="15.75" customHeight="1" x14ac:dyDescent="0.3">
      <c r="A125" s="33">
        <v>30401</v>
      </c>
      <c r="B125" s="10" t="s">
        <v>171</v>
      </c>
      <c r="C125" s="1">
        <v>0.746521886664404</v>
      </c>
      <c r="D125" s="5">
        <v>4.41939524065128</v>
      </c>
      <c r="E125" s="30"/>
    </row>
    <row r="126" spans="1:5" ht="15.75" customHeight="1" x14ac:dyDescent="0.3">
      <c r="A126" s="33">
        <v>30402</v>
      </c>
      <c r="B126" s="10" t="s">
        <v>153</v>
      </c>
      <c r="C126" s="1">
        <v>0.22793878215565</v>
      </c>
      <c r="D126" s="5">
        <v>1.44473874307729</v>
      </c>
      <c r="E126" s="30"/>
    </row>
    <row r="127" spans="1:5" ht="15.75" customHeight="1" x14ac:dyDescent="0.3">
      <c r="A127" s="33">
        <v>30403</v>
      </c>
      <c r="B127" s="10" t="s">
        <v>259</v>
      </c>
      <c r="C127" s="1">
        <v>1.3477088948787099</v>
      </c>
      <c r="D127" s="5">
        <v>5.78642443315929</v>
      </c>
      <c r="E127" s="30"/>
    </row>
    <row r="128" spans="1:5" ht="15.75" customHeight="1" x14ac:dyDescent="0.3">
      <c r="A128" s="33">
        <v>30404</v>
      </c>
      <c r="B128" s="10" t="s">
        <v>155</v>
      </c>
      <c r="C128" s="1">
        <v>0.40485829959514202</v>
      </c>
      <c r="D128" s="5">
        <v>1.1216859279401801</v>
      </c>
      <c r="E128" s="30"/>
    </row>
    <row r="129" spans="1:5" ht="15.75" customHeight="1" x14ac:dyDescent="0.3">
      <c r="A129" s="33">
        <v>30501</v>
      </c>
      <c r="B129" s="10" t="s">
        <v>179</v>
      </c>
      <c r="C129" s="1">
        <v>0.49111318989710001</v>
      </c>
      <c r="D129" s="5">
        <v>2.8186856690419599</v>
      </c>
      <c r="E129" s="30"/>
    </row>
    <row r="130" spans="1:5" ht="15.75" customHeight="1" x14ac:dyDescent="0.3">
      <c r="A130" s="33">
        <v>30502</v>
      </c>
      <c r="B130" s="10" t="s">
        <v>238</v>
      </c>
      <c r="C130" s="1">
        <v>0.156215130551216</v>
      </c>
      <c r="D130" s="5">
        <v>1.8367733383828799</v>
      </c>
      <c r="E130" s="30"/>
    </row>
    <row r="131" spans="1:5" ht="15.75" customHeight="1" x14ac:dyDescent="0.3">
      <c r="A131" s="33">
        <v>30601</v>
      </c>
      <c r="B131" s="10" t="s">
        <v>128</v>
      </c>
      <c r="C131" s="1">
        <v>0.124197888635893</v>
      </c>
      <c r="D131" s="5">
        <v>0.99755317146621503</v>
      </c>
      <c r="E131" s="30"/>
    </row>
    <row r="132" spans="1:5" ht="15.75" customHeight="1" x14ac:dyDescent="0.3">
      <c r="A132" s="33">
        <v>30602</v>
      </c>
      <c r="B132" s="10" t="s">
        <v>48</v>
      </c>
      <c r="C132" s="1">
        <v>5.8731401722787797E-2</v>
      </c>
      <c r="D132" s="5">
        <v>0.69398545935227995</v>
      </c>
      <c r="E132" s="30"/>
    </row>
    <row r="133" spans="1:5" ht="15.75" customHeight="1" x14ac:dyDescent="0.3">
      <c r="A133" s="33">
        <v>30701</v>
      </c>
      <c r="B133" s="10" t="s">
        <v>269</v>
      </c>
      <c r="C133" s="1">
        <v>0.58514449486505804</v>
      </c>
      <c r="D133" s="5">
        <v>3.8370538010492701</v>
      </c>
      <c r="E133" s="30"/>
    </row>
    <row r="134" spans="1:5" ht="15.75" customHeight="1" x14ac:dyDescent="0.3">
      <c r="A134" s="33">
        <v>30702</v>
      </c>
      <c r="B134" s="10" t="s">
        <v>176</v>
      </c>
      <c r="C134" s="1">
        <v>0.40950040950041</v>
      </c>
      <c r="D134" s="5">
        <v>3.3613445378151301</v>
      </c>
      <c r="E134" s="30"/>
    </row>
    <row r="135" spans="1:5" ht="15.75" customHeight="1" x14ac:dyDescent="0.3">
      <c r="A135" s="33">
        <v>30703</v>
      </c>
      <c r="B135" s="10" t="s">
        <v>96</v>
      </c>
      <c r="C135" s="1">
        <v>0</v>
      </c>
      <c r="D135" s="5">
        <v>1.11164813919768</v>
      </c>
      <c r="E135" s="30"/>
    </row>
    <row r="136" spans="1:5" ht="15.75" customHeight="1" x14ac:dyDescent="0.3">
      <c r="A136" s="33">
        <v>30801</v>
      </c>
      <c r="B136" s="10" t="s">
        <v>202</v>
      </c>
      <c r="C136" s="1">
        <v>1.3081395348837199</v>
      </c>
      <c r="D136" s="5">
        <v>4.9093444909344504</v>
      </c>
      <c r="E136" s="30"/>
    </row>
    <row r="137" spans="1:5" ht="15.75" customHeight="1" x14ac:dyDescent="0.3">
      <c r="A137" s="33">
        <v>30802</v>
      </c>
      <c r="B137" s="10" t="s">
        <v>315</v>
      </c>
      <c r="C137" s="1">
        <v>0.35971223021582699</v>
      </c>
      <c r="D137" s="5">
        <v>1.3346515076618899</v>
      </c>
      <c r="E137" s="30"/>
    </row>
    <row r="138" spans="1:5" ht="15.75" customHeight="1" x14ac:dyDescent="0.3">
      <c r="A138" s="33">
        <v>30803</v>
      </c>
      <c r="B138" s="10" t="s">
        <v>19</v>
      </c>
      <c r="C138" s="1">
        <v>3.3278777959629</v>
      </c>
      <c r="D138" s="5">
        <v>7.3862282582797203</v>
      </c>
      <c r="E138" s="30"/>
    </row>
    <row r="139" spans="1:5" ht="15.75" customHeight="1" x14ac:dyDescent="0.3">
      <c r="A139" s="33">
        <v>30901</v>
      </c>
      <c r="B139" s="10" t="s">
        <v>299</v>
      </c>
      <c r="C139" s="1">
        <v>1.6943076545725599</v>
      </c>
      <c r="D139" s="5">
        <v>6.6645006173240597</v>
      </c>
      <c r="E139" s="30"/>
    </row>
    <row r="140" spans="1:5" ht="15.75" customHeight="1" x14ac:dyDescent="0.3">
      <c r="A140" s="33">
        <v>30902</v>
      </c>
      <c r="B140" s="10" t="s">
        <v>292</v>
      </c>
      <c r="C140" s="1">
        <v>0.74235807860262004</v>
      </c>
      <c r="D140" s="5">
        <v>4.82997701865773</v>
      </c>
      <c r="E140" s="30"/>
    </row>
    <row r="141" spans="1:5" ht="15.75" customHeight="1" x14ac:dyDescent="0.3">
      <c r="A141" s="33">
        <v>30903</v>
      </c>
      <c r="B141" s="10" t="s">
        <v>283</v>
      </c>
      <c r="C141" s="1">
        <v>1.4581483385521301</v>
      </c>
      <c r="D141" s="5">
        <v>7.0942960092460403</v>
      </c>
      <c r="E141" s="30"/>
    </row>
    <row r="142" spans="1:5" ht="15.75" customHeight="1" x14ac:dyDescent="0.3">
      <c r="A142" s="33">
        <v>30904</v>
      </c>
      <c r="B142" s="10" t="s">
        <v>288</v>
      </c>
      <c r="C142" s="1">
        <v>1.1388479332960499</v>
      </c>
      <c r="D142" s="5">
        <v>5.9104872263483301</v>
      </c>
      <c r="E142" s="30"/>
    </row>
    <row r="143" spans="1:5" ht="15.75" customHeight="1" x14ac:dyDescent="0.3">
      <c r="A143" s="33">
        <v>30905</v>
      </c>
      <c r="B143" s="10" t="s">
        <v>213</v>
      </c>
      <c r="C143" s="1">
        <v>2.03624415015434</v>
      </c>
      <c r="D143" s="5">
        <v>7.2284486935176497</v>
      </c>
      <c r="E143" s="30"/>
    </row>
    <row r="144" spans="1:5" ht="15.75" customHeight="1" x14ac:dyDescent="0.3">
      <c r="A144" s="33">
        <v>31001</v>
      </c>
      <c r="B144" s="10" t="s">
        <v>303</v>
      </c>
      <c r="C144" s="1">
        <v>1.53198932432636</v>
      </c>
      <c r="D144" s="5">
        <v>6.3932624699738403</v>
      </c>
      <c r="E144" s="30"/>
    </row>
    <row r="145" spans="1:5" ht="15.75" customHeight="1" x14ac:dyDescent="0.3">
      <c r="A145" s="33">
        <v>31002</v>
      </c>
      <c r="B145" s="10" t="s">
        <v>275</v>
      </c>
      <c r="C145" s="1">
        <v>0.422785936804628</v>
      </c>
      <c r="D145" s="5">
        <v>2.7980037633968702</v>
      </c>
      <c r="E145" s="30"/>
    </row>
    <row r="146" spans="1:5" ht="15.75" customHeight="1" x14ac:dyDescent="0.3">
      <c r="A146" s="33">
        <v>31003</v>
      </c>
      <c r="B146" s="10" t="s">
        <v>195</v>
      </c>
      <c r="C146" s="1">
        <v>0.638128157404945</v>
      </c>
      <c r="D146" s="5">
        <v>2.43874046912287</v>
      </c>
      <c r="E146" s="30"/>
    </row>
    <row r="147" spans="1:5" ht="15.75" customHeight="1" x14ac:dyDescent="0.3">
      <c r="A147" s="33">
        <v>31101</v>
      </c>
      <c r="B147" s="10" t="s">
        <v>63</v>
      </c>
      <c r="C147" s="1">
        <v>0.12628388617612399</v>
      </c>
      <c r="D147" s="5">
        <v>0.88235294117647101</v>
      </c>
      <c r="E147" s="30"/>
    </row>
    <row r="148" spans="1:5" ht="15.75" customHeight="1" x14ac:dyDescent="0.3">
      <c r="A148" s="33">
        <v>31201</v>
      </c>
      <c r="B148" s="10" t="s">
        <v>180</v>
      </c>
      <c r="C148" s="1">
        <v>0.30311778290993102</v>
      </c>
      <c r="D148" s="5">
        <v>1.3495760181535901</v>
      </c>
      <c r="E148" s="30"/>
    </row>
    <row r="149" spans="1:5" ht="15.75" customHeight="1" x14ac:dyDescent="0.3">
      <c r="A149" s="33">
        <v>31202</v>
      </c>
      <c r="B149" s="10" t="s">
        <v>205</v>
      </c>
      <c r="C149" s="1">
        <v>0.17346053772766701</v>
      </c>
      <c r="D149" s="5">
        <v>1.1718155531882499</v>
      </c>
      <c r="E149" s="30"/>
    </row>
    <row r="150" spans="1:5" ht="15.75" customHeight="1" x14ac:dyDescent="0.3">
      <c r="A150" s="33">
        <v>31203</v>
      </c>
      <c r="B150" s="10" t="s">
        <v>242</v>
      </c>
      <c r="C150" s="1">
        <v>0.21231422505307901</v>
      </c>
      <c r="D150" s="5">
        <v>0.86365567039501601</v>
      </c>
      <c r="E150" s="30"/>
    </row>
    <row r="151" spans="1:5" ht="15.75" customHeight="1" x14ac:dyDescent="0.3">
      <c r="A151" s="33">
        <v>31204</v>
      </c>
      <c r="B151" s="10" t="s">
        <v>237</v>
      </c>
      <c r="C151" s="1">
        <v>0.73282442748091603</v>
      </c>
      <c r="D151" s="5">
        <v>3.60403652090341</v>
      </c>
      <c r="E151" s="30"/>
    </row>
    <row r="152" spans="1:5" ht="15.75" customHeight="1" x14ac:dyDescent="0.3">
      <c r="A152" s="33">
        <v>31205</v>
      </c>
      <c r="B152" s="10" t="s">
        <v>270</v>
      </c>
      <c r="C152" s="1">
        <v>0.75271299930731905</v>
      </c>
      <c r="D152" s="5">
        <v>3.6091473711325501</v>
      </c>
      <c r="E152" s="30"/>
    </row>
    <row r="153" spans="1:5" ht="15.75" customHeight="1" x14ac:dyDescent="0.3">
      <c r="A153" s="33">
        <v>31206</v>
      </c>
      <c r="B153" s="10" t="s">
        <v>223</v>
      </c>
      <c r="C153" s="1">
        <v>0.73994252873563204</v>
      </c>
      <c r="D153" s="5">
        <v>3.7715153560580501</v>
      </c>
      <c r="E153" s="30"/>
    </row>
    <row r="154" spans="1:5" ht="15.75" customHeight="1" x14ac:dyDescent="0.3">
      <c r="A154" s="33">
        <v>31301</v>
      </c>
      <c r="B154" s="10" t="s">
        <v>224</v>
      </c>
      <c r="C154" s="1">
        <v>0.469053883994966</v>
      </c>
      <c r="D154" s="5">
        <v>3.0351437699680499</v>
      </c>
      <c r="E154" s="30"/>
    </row>
    <row r="155" spans="1:5" ht="15.75" customHeight="1" x14ac:dyDescent="0.3">
      <c r="A155" s="33">
        <v>31302</v>
      </c>
      <c r="B155" s="10" t="s">
        <v>38</v>
      </c>
      <c r="C155" s="1">
        <v>0.172562553925798</v>
      </c>
      <c r="D155" s="5">
        <v>1.6149596260093499</v>
      </c>
      <c r="E155" s="30"/>
    </row>
    <row r="156" spans="1:5" ht="15.75" customHeight="1" x14ac:dyDescent="0.3">
      <c r="A156" s="33">
        <v>31303</v>
      </c>
      <c r="B156" s="10" t="s">
        <v>21</v>
      </c>
      <c r="C156" s="1">
        <v>0.26058631921824099</v>
      </c>
      <c r="D156" s="5">
        <v>1.6819571865443399</v>
      </c>
      <c r="E156" s="30"/>
    </row>
    <row r="157" spans="1:5" ht="15.75" customHeight="1" x14ac:dyDescent="0.3">
      <c r="A157" s="34">
        <v>31304</v>
      </c>
      <c r="B157" s="10" t="s">
        <v>316</v>
      </c>
      <c r="C157" s="1">
        <v>2.7647221454243899E-2</v>
      </c>
      <c r="D157" s="5">
        <v>0.76573342905001196</v>
      </c>
      <c r="E157" s="30"/>
    </row>
    <row r="158" spans="1:5" ht="15.75" customHeight="1" x14ac:dyDescent="0.3">
      <c r="A158" s="33">
        <v>31401</v>
      </c>
      <c r="B158" s="10" t="s">
        <v>240</v>
      </c>
      <c r="C158" s="1">
        <v>1.23031496062992</v>
      </c>
      <c r="D158" s="5">
        <v>5.1858254105445099</v>
      </c>
      <c r="E158" s="30"/>
    </row>
    <row r="159" spans="1:5" ht="15.75" customHeight="1" x14ac:dyDescent="0.3">
      <c r="A159" s="33">
        <v>31402</v>
      </c>
      <c r="B159" s="10" t="s">
        <v>163</v>
      </c>
      <c r="C159" s="1">
        <v>0.31259768677711802</v>
      </c>
      <c r="D159" s="5">
        <v>2.3539668700959</v>
      </c>
      <c r="E159" s="30"/>
    </row>
    <row r="160" spans="1:5" ht="15.75" customHeight="1" x14ac:dyDescent="0.3">
      <c r="A160" s="33">
        <v>31403</v>
      </c>
      <c r="B160" s="10" t="s">
        <v>156</v>
      </c>
      <c r="C160" s="1">
        <v>0.63006300630062995</v>
      </c>
      <c r="D160" s="5">
        <v>3.2057761732852001</v>
      </c>
      <c r="E160" s="30"/>
    </row>
    <row r="161" spans="1:5" ht="15.75" customHeight="1" x14ac:dyDescent="0.3">
      <c r="A161" s="33">
        <v>31404</v>
      </c>
      <c r="B161" s="10" t="s">
        <v>7</v>
      </c>
      <c r="C161" s="1">
        <v>0.38240917782026801</v>
      </c>
      <c r="D161" s="5">
        <v>1.87590187590188</v>
      </c>
      <c r="E161" s="30"/>
    </row>
    <row r="162" spans="1:5" ht="15.75" customHeight="1" x14ac:dyDescent="0.3">
      <c r="A162" s="33">
        <v>31405</v>
      </c>
      <c r="B162" s="10" t="s">
        <v>317</v>
      </c>
      <c r="C162" s="1">
        <v>8.2576383154417801E-2</v>
      </c>
      <c r="D162" s="5">
        <v>1.2814194184327301</v>
      </c>
      <c r="E162" s="30"/>
    </row>
    <row r="163" spans="1:5" ht="15.75" customHeight="1" x14ac:dyDescent="0.3">
      <c r="A163" s="33">
        <v>31501</v>
      </c>
      <c r="B163" s="10" t="s">
        <v>318</v>
      </c>
      <c r="C163" s="1">
        <v>9.6665055582406997E-2</v>
      </c>
      <c r="D163" s="5">
        <v>0.75205640423031705</v>
      </c>
      <c r="E163" s="30"/>
    </row>
    <row r="164" spans="1:5" ht="15.75" customHeight="1" x14ac:dyDescent="0.3">
      <c r="A164" s="33">
        <v>31601</v>
      </c>
      <c r="B164" s="10" t="s">
        <v>282</v>
      </c>
      <c r="C164" s="1">
        <v>0.22916666666666699</v>
      </c>
      <c r="D164" s="5">
        <v>1.1417610522469901</v>
      </c>
      <c r="E164" s="30"/>
    </row>
    <row r="165" spans="1:5" ht="15.75" customHeight="1" x14ac:dyDescent="0.3">
      <c r="A165" s="33">
        <v>31602</v>
      </c>
      <c r="B165" s="10" t="s">
        <v>243</v>
      </c>
      <c r="C165" s="1">
        <v>1.0846208943006199</v>
      </c>
      <c r="D165" s="5">
        <v>4.5828109764591201</v>
      </c>
      <c r="E165" s="30"/>
    </row>
    <row r="166" spans="1:5" ht="15.75" customHeight="1" x14ac:dyDescent="0.3">
      <c r="A166" s="33">
        <v>40101</v>
      </c>
      <c r="B166" s="10" t="s">
        <v>57</v>
      </c>
      <c r="C166" s="1">
        <v>2.3719184132337601</v>
      </c>
      <c r="D166" s="5">
        <v>7.3378544170887903</v>
      </c>
      <c r="E166" s="30"/>
    </row>
    <row r="167" spans="1:5" ht="15.75" customHeight="1" x14ac:dyDescent="0.3">
      <c r="A167" s="33">
        <v>40102</v>
      </c>
      <c r="B167" s="10" t="s">
        <v>286</v>
      </c>
      <c r="C167" s="1">
        <v>0.93882495457298598</v>
      </c>
      <c r="D167" s="5">
        <v>3.96323467408719</v>
      </c>
      <c r="E167" s="30"/>
    </row>
    <row r="168" spans="1:5" ht="15.75" customHeight="1" x14ac:dyDescent="0.3">
      <c r="A168" s="33">
        <v>40103</v>
      </c>
      <c r="B168" s="10" t="s">
        <v>32</v>
      </c>
      <c r="C168" s="1">
        <v>4.1744938426215801E-2</v>
      </c>
      <c r="D168" s="5">
        <v>1.3940356449620599</v>
      </c>
      <c r="E168" s="30"/>
    </row>
    <row r="169" spans="1:5" ht="15.75" customHeight="1" x14ac:dyDescent="0.3">
      <c r="A169" s="33">
        <v>40104</v>
      </c>
      <c r="B169" s="10" t="s">
        <v>227</v>
      </c>
      <c r="C169" s="1">
        <v>0.24003840614498301</v>
      </c>
      <c r="D169" s="5">
        <v>1.96144362250616</v>
      </c>
      <c r="E169" s="30"/>
    </row>
    <row r="170" spans="1:5" ht="15.75" customHeight="1" x14ac:dyDescent="0.3">
      <c r="A170" s="33">
        <v>40201</v>
      </c>
      <c r="B170" s="10" t="s">
        <v>247</v>
      </c>
      <c r="C170" s="1">
        <v>0.86734298768682705</v>
      </c>
      <c r="D170" s="5">
        <v>3.15985130111524</v>
      </c>
      <c r="E170" s="30"/>
    </row>
    <row r="171" spans="1:5" ht="15.75" customHeight="1" x14ac:dyDescent="0.3">
      <c r="A171" s="33">
        <v>40202</v>
      </c>
      <c r="B171" s="10" t="s">
        <v>319</v>
      </c>
      <c r="C171" s="1">
        <v>0.18124150430448599</v>
      </c>
      <c r="D171" s="5">
        <v>1.46010186757216</v>
      </c>
      <c r="E171" s="30"/>
    </row>
    <row r="172" spans="1:5" ht="15.75" customHeight="1" x14ac:dyDescent="0.3">
      <c r="A172" s="33">
        <v>40301</v>
      </c>
      <c r="B172" s="10" t="s">
        <v>190</v>
      </c>
      <c r="C172" s="1">
        <v>0.28037383177570102</v>
      </c>
      <c r="D172" s="5">
        <v>1.8192627824019001</v>
      </c>
      <c r="E172" s="30"/>
    </row>
    <row r="173" spans="1:5" ht="15.75" customHeight="1" x14ac:dyDescent="0.3">
      <c r="A173" s="33">
        <v>40302</v>
      </c>
      <c r="B173" s="10" t="s">
        <v>320</v>
      </c>
      <c r="C173" s="1">
        <v>0.109409190371991</v>
      </c>
      <c r="D173" s="5">
        <v>1.6911764705882399</v>
      </c>
      <c r="E173" s="30"/>
    </row>
    <row r="174" spans="1:5" ht="15.75" customHeight="1" x14ac:dyDescent="0.3">
      <c r="A174" s="33">
        <v>40401</v>
      </c>
      <c r="B174" s="10" t="s">
        <v>110</v>
      </c>
      <c r="C174" s="1">
        <v>0.32733224222585899</v>
      </c>
      <c r="D174" s="5">
        <v>1.9122896481386999</v>
      </c>
      <c r="E174" s="30"/>
    </row>
    <row r="175" spans="1:5" ht="15.75" customHeight="1" x14ac:dyDescent="0.3">
      <c r="A175" s="33">
        <v>40402</v>
      </c>
      <c r="B175" s="10" t="s">
        <v>144</v>
      </c>
      <c r="C175" s="1">
        <v>0.61326178612495197</v>
      </c>
      <c r="D175" s="5">
        <v>1.89873417721519</v>
      </c>
      <c r="E175" s="30"/>
    </row>
    <row r="176" spans="1:5" ht="15.75" customHeight="1" x14ac:dyDescent="0.3">
      <c r="A176" s="33">
        <v>40501</v>
      </c>
      <c r="B176" s="10" t="s">
        <v>6</v>
      </c>
      <c r="C176" s="1">
        <v>1.8348623853210999</v>
      </c>
      <c r="D176" s="5">
        <v>2.9979674796747999</v>
      </c>
      <c r="E176" s="30"/>
    </row>
    <row r="177" spans="1:5" ht="15.75" customHeight="1" x14ac:dyDescent="0.3">
      <c r="A177" s="33">
        <v>40502</v>
      </c>
      <c r="B177" s="10" t="s">
        <v>111</v>
      </c>
      <c r="C177" s="1">
        <v>0.20232675771370801</v>
      </c>
      <c r="D177" s="5">
        <v>1.4698909435751499</v>
      </c>
      <c r="E177" s="30"/>
    </row>
    <row r="178" spans="1:5" ht="15.75" customHeight="1" x14ac:dyDescent="0.3">
      <c r="A178" s="33">
        <v>40503</v>
      </c>
      <c r="B178" s="10" t="s">
        <v>40</v>
      </c>
      <c r="C178" s="1">
        <v>0.26143790849673199</v>
      </c>
      <c r="D178" s="5">
        <v>0.72376357056694796</v>
      </c>
      <c r="E178" s="30"/>
    </row>
    <row r="179" spans="1:5" ht="15.75" customHeight="1" x14ac:dyDescent="0.3">
      <c r="A179" s="33">
        <v>40504</v>
      </c>
      <c r="B179" s="10" t="s">
        <v>321</v>
      </c>
      <c r="C179" s="1">
        <v>0</v>
      </c>
      <c r="D179" s="5">
        <v>2.0881670533642702</v>
      </c>
      <c r="E179" s="30"/>
    </row>
    <row r="180" spans="1:5" ht="15.75" customHeight="1" x14ac:dyDescent="0.3">
      <c r="A180" s="33">
        <v>40505</v>
      </c>
      <c r="B180" s="10" t="s">
        <v>22</v>
      </c>
      <c r="C180" s="1">
        <v>0</v>
      </c>
      <c r="D180" s="5">
        <v>0.55055055055055102</v>
      </c>
      <c r="E180" s="30"/>
    </row>
    <row r="181" spans="1:5" ht="15.75" customHeight="1" x14ac:dyDescent="0.3">
      <c r="A181" s="33">
        <v>40601</v>
      </c>
      <c r="B181" s="10" t="s">
        <v>208</v>
      </c>
      <c r="C181" s="1">
        <v>0.57887120115774204</v>
      </c>
      <c r="D181" s="5">
        <v>3.69964973730298</v>
      </c>
      <c r="E181" s="30"/>
    </row>
    <row r="182" spans="1:5" ht="15.75" customHeight="1" x14ac:dyDescent="0.3">
      <c r="A182" s="33">
        <v>40602</v>
      </c>
      <c r="B182" s="10" t="s">
        <v>137</v>
      </c>
      <c r="C182" s="1">
        <v>0.63246661981728702</v>
      </c>
      <c r="D182" s="5">
        <v>1.76710466696874</v>
      </c>
      <c r="E182" s="30"/>
    </row>
    <row r="183" spans="1:5" ht="15.75" customHeight="1" x14ac:dyDescent="0.3">
      <c r="A183" s="33">
        <v>40603</v>
      </c>
      <c r="B183" s="10" t="s">
        <v>45</v>
      </c>
      <c r="C183" s="1">
        <v>1.1235955056179801</v>
      </c>
      <c r="D183" s="5">
        <v>3.1638418079095998</v>
      </c>
      <c r="E183" s="30"/>
    </row>
    <row r="184" spans="1:5" ht="15.75" customHeight="1" x14ac:dyDescent="0.3">
      <c r="A184" s="33">
        <v>40701</v>
      </c>
      <c r="B184" s="10" t="s">
        <v>215</v>
      </c>
      <c r="C184" s="1">
        <v>0.80225498699046005</v>
      </c>
      <c r="D184" s="5">
        <v>4.8933209647495399</v>
      </c>
      <c r="E184" s="30"/>
    </row>
    <row r="185" spans="1:5" ht="15.75" customHeight="1" x14ac:dyDescent="0.3">
      <c r="A185" s="33">
        <v>40702</v>
      </c>
      <c r="B185" s="10" t="s">
        <v>47</v>
      </c>
      <c r="C185" s="1">
        <v>1.2722646310432599</v>
      </c>
      <c r="D185" s="5">
        <v>4.2517576163374597</v>
      </c>
      <c r="E185" s="30"/>
    </row>
    <row r="186" spans="1:5" ht="15.75" customHeight="1" x14ac:dyDescent="0.3">
      <c r="A186" s="33">
        <v>40801</v>
      </c>
      <c r="B186" s="10" t="s">
        <v>322</v>
      </c>
      <c r="C186" s="1">
        <v>0.355641771742645</v>
      </c>
      <c r="D186" s="5">
        <v>1.69871416774802</v>
      </c>
      <c r="E186" s="30"/>
    </row>
    <row r="187" spans="1:5" ht="15.75" customHeight="1" x14ac:dyDescent="0.3">
      <c r="A187" s="33">
        <v>40802</v>
      </c>
      <c r="B187" s="10" t="s">
        <v>69</v>
      </c>
      <c r="C187" s="1">
        <v>0.44576523031203602</v>
      </c>
      <c r="D187" s="5">
        <v>1.55968806238752</v>
      </c>
      <c r="E187" s="30"/>
    </row>
    <row r="188" spans="1:5" ht="15.75" customHeight="1" x14ac:dyDescent="0.3">
      <c r="A188" s="33">
        <v>40901</v>
      </c>
      <c r="B188" s="10" t="s">
        <v>173</v>
      </c>
      <c r="C188" s="1">
        <v>0.72738772928526296</v>
      </c>
      <c r="D188" s="5">
        <v>3.6953526243266901</v>
      </c>
      <c r="E188" s="30"/>
    </row>
    <row r="189" spans="1:5" ht="15.75" customHeight="1" x14ac:dyDescent="0.3">
      <c r="A189" s="33">
        <v>40902</v>
      </c>
      <c r="B189" s="10" t="s">
        <v>0</v>
      </c>
      <c r="C189" s="1">
        <v>0.26385224274406299</v>
      </c>
      <c r="D189" s="5">
        <v>2.69784172661871</v>
      </c>
      <c r="E189" s="30"/>
    </row>
    <row r="190" spans="1:5" ht="15.75" customHeight="1" x14ac:dyDescent="0.3">
      <c r="A190" s="33">
        <v>40903</v>
      </c>
      <c r="B190" s="10" t="s">
        <v>23</v>
      </c>
      <c r="C190" s="1">
        <v>0</v>
      </c>
      <c r="D190" s="5">
        <v>0.75349838536060298</v>
      </c>
      <c r="E190" s="30"/>
    </row>
    <row r="191" spans="1:5" ht="15.75" customHeight="1" x14ac:dyDescent="0.3">
      <c r="A191" s="33">
        <v>41001</v>
      </c>
      <c r="B191" s="10" t="s">
        <v>125</v>
      </c>
      <c r="C191" s="1">
        <v>0.12822861329913901</v>
      </c>
      <c r="D191" s="5">
        <v>1.19411274645932</v>
      </c>
      <c r="E191" s="30"/>
    </row>
    <row r="192" spans="1:5" ht="15.75" customHeight="1" x14ac:dyDescent="0.3">
      <c r="A192" s="33">
        <v>41101</v>
      </c>
      <c r="B192" s="10" t="s">
        <v>127</v>
      </c>
      <c r="C192" s="1">
        <v>0.56887444128403097</v>
      </c>
      <c r="D192" s="5">
        <v>2.4440619621342501</v>
      </c>
      <c r="E192" s="30"/>
    </row>
    <row r="193" spans="1:5" ht="15.75" customHeight="1" x14ac:dyDescent="0.3">
      <c r="A193" s="33">
        <v>41201</v>
      </c>
      <c r="B193" s="10" t="s">
        <v>152</v>
      </c>
      <c r="C193" s="1">
        <v>0.119142176330421</v>
      </c>
      <c r="D193" s="5">
        <v>1.0945832163906799</v>
      </c>
      <c r="E193" s="30"/>
    </row>
    <row r="194" spans="1:5" ht="15.75" customHeight="1" x14ac:dyDescent="0.3">
      <c r="A194" s="33">
        <v>41202</v>
      </c>
      <c r="B194" s="10" t="s">
        <v>55</v>
      </c>
      <c r="C194" s="1">
        <v>0.306435137895812</v>
      </c>
      <c r="D194" s="5">
        <v>0.93240093240093203</v>
      </c>
      <c r="E194" s="30"/>
    </row>
    <row r="195" spans="1:5" ht="15.75" customHeight="1" x14ac:dyDescent="0.3">
      <c r="A195" s="33">
        <v>41301</v>
      </c>
      <c r="B195" s="10" t="s">
        <v>134</v>
      </c>
      <c r="C195" s="1">
        <v>0.177430801987225</v>
      </c>
      <c r="D195" s="5">
        <v>0.62777923097044197</v>
      </c>
      <c r="E195" s="30"/>
    </row>
    <row r="196" spans="1:5" ht="15.75" customHeight="1" x14ac:dyDescent="0.3">
      <c r="A196" s="33">
        <v>41401</v>
      </c>
      <c r="B196" s="10" t="s">
        <v>323</v>
      </c>
      <c r="C196" s="1">
        <v>0.51530766899060299</v>
      </c>
      <c r="D196" s="5">
        <v>1.7156518070594899</v>
      </c>
      <c r="E196" s="30"/>
    </row>
    <row r="197" spans="1:5" ht="15.75" customHeight="1" x14ac:dyDescent="0.3">
      <c r="A197" s="33">
        <v>41501</v>
      </c>
      <c r="B197" s="10" t="s">
        <v>1</v>
      </c>
      <c r="C197" s="1">
        <v>0</v>
      </c>
      <c r="D197" s="5">
        <v>1.40350877192982</v>
      </c>
      <c r="E197" s="30"/>
    </row>
    <row r="198" spans="1:5" ht="15.75" customHeight="1" x14ac:dyDescent="0.3">
      <c r="A198" s="33">
        <v>41502</v>
      </c>
      <c r="B198" s="10" t="s">
        <v>5</v>
      </c>
      <c r="C198" s="1">
        <v>0.31847133757961799</v>
      </c>
      <c r="D198" s="5">
        <v>0</v>
      </c>
      <c r="E198" s="30"/>
    </row>
    <row r="199" spans="1:5" ht="15.75" customHeight="1" x14ac:dyDescent="0.3">
      <c r="A199" s="33">
        <v>41503</v>
      </c>
      <c r="B199" s="10" t="s">
        <v>8</v>
      </c>
      <c r="C199" s="1">
        <v>0</v>
      </c>
      <c r="D199" s="5">
        <v>1.6216216216216199</v>
      </c>
      <c r="E199" s="30"/>
    </row>
    <row r="200" spans="1:5" ht="15.75" customHeight="1" x14ac:dyDescent="0.3">
      <c r="A200" s="33">
        <v>41601</v>
      </c>
      <c r="B200" s="10" t="s">
        <v>385</v>
      </c>
      <c r="C200" s="1">
        <v>0.16061676839062</v>
      </c>
      <c r="D200" s="5">
        <v>0.84277060837503304</v>
      </c>
      <c r="E200" s="30"/>
    </row>
    <row r="201" spans="1:5" ht="15.75" customHeight="1" x14ac:dyDescent="0.3">
      <c r="A201" s="33">
        <v>50101</v>
      </c>
      <c r="B201" s="10" t="s">
        <v>302</v>
      </c>
      <c r="C201" s="1">
        <v>2.07139373247165</v>
      </c>
      <c r="D201" s="5">
        <v>6.5520734616515801</v>
      </c>
      <c r="E201" s="30"/>
    </row>
    <row r="202" spans="1:5" ht="15.75" customHeight="1" x14ac:dyDescent="0.3">
      <c r="A202" s="33">
        <v>50102</v>
      </c>
      <c r="B202" s="10" t="s">
        <v>34</v>
      </c>
      <c r="C202" s="1">
        <v>9.3434128939097902E-2</v>
      </c>
      <c r="D202" s="5">
        <v>0.83013603069410502</v>
      </c>
      <c r="E202" s="30"/>
    </row>
    <row r="203" spans="1:5" ht="15.75" customHeight="1" x14ac:dyDescent="0.3">
      <c r="A203" s="33">
        <v>50103</v>
      </c>
      <c r="B203" s="10" t="s">
        <v>207</v>
      </c>
      <c r="C203" s="1">
        <v>0.26927784577723402</v>
      </c>
      <c r="D203" s="5">
        <v>2.4635721796605101</v>
      </c>
      <c r="E203" s="30"/>
    </row>
    <row r="204" spans="1:5" ht="15.75" customHeight="1" x14ac:dyDescent="0.3">
      <c r="A204" s="33">
        <v>50104</v>
      </c>
      <c r="B204" s="10" t="s">
        <v>387</v>
      </c>
      <c r="C204" s="1">
        <v>7.2411296162201294E-2</v>
      </c>
      <c r="D204" s="5">
        <v>0.85698982324584905</v>
      </c>
      <c r="E204" s="30"/>
    </row>
    <row r="205" spans="1:5" ht="15.75" customHeight="1" x14ac:dyDescent="0.3">
      <c r="A205" s="33">
        <v>50201</v>
      </c>
      <c r="B205" s="10" t="s">
        <v>264</v>
      </c>
      <c r="C205" s="1">
        <v>0.40802448146888798</v>
      </c>
      <c r="D205" s="5">
        <v>3.0777636131852102</v>
      </c>
      <c r="E205" s="30"/>
    </row>
    <row r="206" spans="1:5" ht="15.75" customHeight="1" x14ac:dyDescent="0.3">
      <c r="A206" s="33">
        <v>50202</v>
      </c>
      <c r="B206" s="10" t="s">
        <v>228</v>
      </c>
      <c r="C206" s="1">
        <v>0.17035775127768299</v>
      </c>
      <c r="D206" s="5">
        <v>1.2611097766034101</v>
      </c>
      <c r="E206" s="30"/>
    </row>
    <row r="207" spans="1:5" ht="15.75" customHeight="1" x14ac:dyDescent="0.3">
      <c r="A207" s="33">
        <v>50203</v>
      </c>
      <c r="B207" s="10" t="s">
        <v>295</v>
      </c>
      <c r="C207" s="1">
        <v>1.4349713005739899</v>
      </c>
      <c r="D207" s="5">
        <v>6.5185427217774903</v>
      </c>
      <c r="E207" s="30"/>
    </row>
    <row r="208" spans="1:5" ht="15.75" customHeight="1" x14ac:dyDescent="0.3">
      <c r="A208" s="33">
        <v>50204</v>
      </c>
      <c r="B208" s="10" t="s">
        <v>389</v>
      </c>
      <c r="C208" s="1">
        <v>0.14255167498218099</v>
      </c>
      <c r="D208" s="5">
        <v>1.4957264957265</v>
      </c>
      <c r="E208" s="30"/>
    </row>
    <row r="209" spans="1:5" ht="15.75" customHeight="1" x14ac:dyDescent="0.3">
      <c r="A209" s="33">
        <v>50301</v>
      </c>
      <c r="B209" s="10" t="s">
        <v>266</v>
      </c>
      <c r="C209" s="1">
        <v>0.2186688533552</v>
      </c>
      <c r="D209" s="5">
        <v>1.7341040462427699</v>
      </c>
      <c r="E209" s="30"/>
    </row>
    <row r="210" spans="1:5" ht="15.75" customHeight="1" x14ac:dyDescent="0.3">
      <c r="A210" s="33">
        <v>50302</v>
      </c>
      <c r="B210" s="10" t="s">
        <v>219</v>
      </c>
      <c r="C210" s="1">
        <v>0.19564685742235299</v>
      </c>
      <c r="D210" s="5">
        <v>2.29071220324865</v>
      </c>
      <c r="E210" s="30"/>
    </row>
    <row r="211" spans="1:5" ht="15.75" customHeight="1" x14ac:dyDescent="0.3">
      <c r="A211" s="33">
        <v>50303</v>
      </c>
      <c r="B211" s="10" t="s">
        <v>15</v>
      </c>
      <c r="C211" s="1">
        <v>0.11318619128466299</v>
      </c>
      <c r="D211" s="5">
        <v>0.85123631941629496</v>
      </c>
      <c r="E211" s="30"/>
    </row>
    <row r="212" spans="1:5" ht="15.75" customHeight="1" x14ac:dyDescent="0.3">
      <c r="A212" s="33">
        <v>50401</v>
      </c>
      <c r="B212" s="10" t="s">
        <v>119</v>
      </c>
      <c r="C212" s="1">
        <v>0.309453814018258</v>
      </c>
      <c r="D212" s="5">
        <v>1.7065715741212399</v>
      </c>
      <c r="E212" s="30"/>
    </row>
    <row r="213" spans="1:5" ht="15.75" customHeight="1" x14ac:dyDescent="0.3">
      <c r="A213" s="33">
        <v>50402</v>
      </c>
      <c r="B213" s="10" t="s">
        <v>46</v>
      </c>
      <c r="C213" s="1">
        <v>0.176153253330397</v>
      </c>
      <c r="D213" s="5">
        <v>1.03006971178858</v>
      </c>
      <c r="E213" s="30"/>
    </row>
    <row r="214" spans="1:5" ht="15.75" customHeight="1" x14ac:dyDescent="0.3">
      <c r="A214" s="33">
        <v>50403</v>
      </c>
      <c r="B214" s="10" t="s">
        <v>52</v>
      </c>
      <c r="C214" s="1">
        <v>0.12112822287593</v>
      </c>
      <c r="D214" s="5">
        <v>1.2355399430682601</v>
      </c>
      <c r="E214" s="30"/>
    </row>
    <row r="215" spans="1:5" ht="15.75" customHeight="1" x14ac:dyDescent="0.3">
      <c r="A215" s="33">
        <v>50404</v>
      </c>
      <c r="B215" s="10" t="s">
        <v>42</v>
      </c>
      <c r="C215" s="1">
        <v>0.111188325225851</v>
      </c>
      <c r="D215" s="5">
        <v>1.1474544974940599</v>
      </c>
      <c r="E215" s="30"/>
    </row>
    <row r="216" spans="1:5" ht="15.75" customHeight="1" x14ac:dyDescent="0.3">
      <c r="A216" s="33">
        <v>50405</v>
      </c>
      <c r="B216" s="31" t="s">
        <v>324</v>
      </c>
      <c r="C216" s="1">
        <v>6.9524913093858595E-2</v>
      </c>
      <c r="D216" s="5">
        <v>1.13317100580633</v>
      </c>
      <c r="E216" s="30"/>
    </row>
    <row r="217" spans="1:5" ht="15.75" customHeight="1" x14ac:dyDescent="0.3">
      <c r="A217" s="33">
        <v>50501</v>
      </c>
      <c r="B217" s="10" t="s">
        <v>392</v>
      </c>
      <c r="C217" s="1">
        <v>0.15962965919067801</v>
      </c>
      <c r="D217" s="5">
        <v>0.78734858681022901</v>
      </c>
      <c r="E217" s="30"/>
    </row>
    <row r="218" spans="1:5" ht="15.75" customHeight="1" x14ac:dyDescent="0.3">
      <c r="A218" s="33">
        <v>50502</v>
      </c>
      <c r="B218" s="10" t="s">
        <v>61</v>
      </c>
      <c r="C218" s="1">
        <v>0.71842410196987205</v>
      </c>
      <c r="D218" s="5">
        <v>2.9254861469626601</v>
      </c>
      <c r="E218" s="30"/>
    </row>
    <row r="219" spans="1:5" ht="15.75" customHeight="1" x14ac:dyDescent="0.3">
      <c r="A219" s="33">
        <v>50601</v>
      </c>
      <c r="B219" s="10" t="s">
        <v>114</v>
      </c>
      <c r="C219" s="1">
        <v>0.32362459546925598</v>
      </c>
      <c r="D219" s="5">
        <v>1.6778523489932899</v>
      </c>
      <c r="E219" s="30"/>
    </row>
    <row r="220" spans="1:5" ht="15.75" customHeight="1" x14ac:dyDescent="0.3">
      <c r="A220" s="33">
        <v>50602</v>
      </c>
      <c r="B220" s="10" t="s">
        <v>234</v>
      </c>
      <c r="C220" s="1">
        <v>0.64408396946564905</v>
      </c>
      <c r="D220" s="5">
        <v>1.34432694031188</v>
      </c>
      <c r="E220" s="30"/>
    </row>
    <row r="221" spans="1:5" ht="15.75" customHeight="1" x14ac:dyDescent="0.3">
      <c r="A221" s="33">
        <v>50701</v>
      </c>
      <c r="B221" s="10" t="s">
        <v>395</v>
      </c>
      <c r="C221" s="1">
        <v>0.104843782763682</v>
      </c>
      <c r="D221" s="5">
        <v>1.04062880549098</v>
      </c>
      <c r="E221" s="30"/>
    </row>
    <row r="222" spans="1:5" ht="15.75" customHeight="1" x14ac:dyDescent="0.3">
      <c r="A222" s="33">
        <v>50702</v>
      </c>
      <c r="B222" s="10" t="s">
        <v>78</v>
      </c>
      <c r="C222" s="1">
        <v>0.15538290788013301</v>
      </c>
      <c r="D222" s="5">
        <v>0.93926111458985595</v>
      </c>
      <c r="E222" s="30"/>
    </row>
    <row r="223" spans="1:5" ht="15.75" customHeight="1" x14ac:dyDescent="0.3">
      <c r="A223" s="33">
        <v>50801</v>
      </c>
      <c r="B223" s="10" t="s">
        <v>290</v>
      </c>
      <c r="C223" s="1">
        <v>1.64156371636487</v>
      </c>
      <c r="D223" s="5">
        <v>5.0278301669810004</v>
      </c>
      <c r="E223" s="30"/>
    </row>
    <row r="224" spans="1:5" ht="15.75" customHeight="1" x14ac:dyDescent="0.3">
      <c r="A224" s="33">
        <v>50802</v>
      </c>
      <c r="B224" s="10" t="s">
        <v>120</v>
      </c>
      <c r="C224" s="1">
        <v>1.13874041366489</v>
      </c>
      <c r="D224" s="5">
        <v>5.3095345684591004</v>
      </c>
      <c r="E224" s="30"/>
    </row>
    <row r="225" spans="1:5" ht="15.75" customHeight="1" x14ac:dyDescent="0.3">
      <c r="A225" s="33">
        <v>50901</v>
      </c>
      <c r="B225" s="10" t="s">
        <v>398</v>
      </c>
      <c r="C225" s="1">
        <v>1.65909884736291</v>
      </c>
      <c r="D225" s="5">
        <v>4.4462025316455698</v>
      </c>
      <c r="E225" s="30"/>
    </row>
    <row r="226" spans="1:5" ht="15.75" customHeight="1" x14ac:dyDescent="0.3">
      <c r="A226" s="33">
        <v>50902</v>
      </c>
      <c r="B226" s="10" t="s">
        <v>13</v>
      </c>
      <c r="C226" s="1">
        <v>2.3297491039426501</v>
      </c>
      <c r="D226" s="5">
        <v>7.4660633484162897</v>
      </c>
      <c r="E226" s="30"/>
    </row>
    <row r="227" spans="1:5" ht="15.75" customHeight="1" x14ac:dyDescent="0.3">
      <c r="A227" s="33">
        <v>51001</v>
      </c>
      <c r="B227" s="10" t="s">
        <v>86</v>
      </c>
      <c r="C227" s="1">
        <v>5.4112554112554099</v>
      </c>
      <c r="D227" s="5">
        <v>12.664041994750701</v>
      </c>
      <c r="E227" s="30"/>
    </row>
    <row r="228" spans="1:5" ht="15.75" customHeight="1" x14ac:dyDescent="0.3">
      <c r="A228" s="33">
        <v>51002</v>
      </c>
      <c r="B228" s="10" t="s">
        <v>16</v>
      </c>
      <c r="C228" s="1">
        <v>0</v>
      </c>
      <c r="D228" s="5">
        <v>0.55865921787709505</v>
      </c>
      <c r="E228" s="30"/>
    </row>
    <row r="229" spans="1:5" ht="15.75" customHeight="1" x14ac:dyDescent="0.3">
      <c r="A229" s="33">
        <v>51003</v>
      </c>
      <c r="B229" s="10" t="s">
        <v>60</v>
      </c>
      <c r="C229" s="1">
        <v>0.61601642710472304</v>
      </c>
      <c r="D229" s="5">
        <v>2.57309941520468</v>
      </c>
      <c r="E229" s="30"/>
    </row>
    <row r="230" spans="1:5" ht="15.75" customHeight="1" x14ac:dyDescent="0.3">
      <c r="A230" s="33">
        <v>51101</v>
      </c>
      <c r="B230" s="10" t="s">
        <v>265</v>
      </c>
      <c r="C230" s="1">
        <v>0.225903614457831</v>
      </c>
      <c r="D230" s="5">
        <v>1.1161454304342999</v>
      </c>
      <c r="E230" s="30"/>
    </row>
    <row r="231" spans="1:5" ht="15.75" customHeight="1" x14ac:dyDescent="0.3">
      <c r="A231" s="33">
        <v>51102</v>
      </c>
      <c r="B231" s="10" t="s">
        <v>325</v>
      </c>
      <c r="C231" s="1">
        <v>0.54945054945054905</v>
      </c>
      <c r="D231" s="5">
        <v>2.6833915528739301</v>
      </c>
      <c r="E231" s="30"/>
    </row>
    <row r="232" spans="1:5" ht="15.75" customHeight="1" x14ac:dyDescent="0.3">
      <c r="A232" s="33">
        <v>51103</v>
      </c>
      <c r="B232" s="10" t="s">
        <v>175</v>
      </c>
      <c r="C232" s="1">
        <v>0.113470578699951</v>
      </c>
      <c r="D232" s="5">
        <v>0.64403595867435903</v>
      </c>
      <c r="E232" s="30"/>
    </row>
    <row r="233" spans="1:5" ht="15.75" customHeight="1" x14ac:dyDescent="0.3">
      <c r="A233" s="33">
        <v>51201</v>
      </c>
      <c r="B233" s="10" t="s">
        <v>289</v>
      </c>
      <c r="C233" s="1">
        <v>3.5612773783648199</v>
      </c>
      <c r="D233" s="5">
        <v>11.223142479894401</v>
      </c>
      <c r="E233" s="30"/>
    </row>
    <row r="234" spans="1:5" ht="15.75" customHeight="1" x14ac:dyDescent="0.3">
      <c r="A234" s="33">
        <v>51202</v>
      </c>
      <c r="B234" s="10" t="s">
        <v>130</v>
      </c>
      <c r="C234" s="1">
        <v>0.71656050955413997</v>
      </c>
      <c r="D234" s="5">
        <v>2.58493353028065</v>
      </c>
      <c r="E234" s="30"/>
    </row>
    <row r="235" spans="1:5" ht="15.75" customHeight="1" x14ac:dyDescent="0.3">
      <c r="A235" s="33">
        <v>51203</v>
      </c>
      <c r="B235" s="10" t="s">
        <v>166</v>
      </c>
      <c r="C235" s="1">
        <v>0.44247787610619499</v>
      </c>
      <c r="D235" s="5">
        <v>3.4646840148698899</v>
      </c>
      <c r="E235" s="30"/>
    </row>
    <row r="236" spans="1:5" ht="15.75" customHeight="1" x14ac:dyDescent="0.3">
      <c r="A236" s="33">
        <v>51204</v>
      </c>
      <c r="B236" s="31" t="s">
        <v>402</v>
      </c>
      <c r="C236" s="1">
        <v>0.223313979455114</v>
      </c>
      <c r="D236" s="5">
        <v>2.0713073005093401</v>
      </c>
      <c r="E236" s="30"/>
    </row>
    <row r="237" spans="1:5" ht="15.75" customHeight="1" x14ac:dyDescent="0.3">
      <c r="A237" s="33">
        <v>51301</v>
      </c>
      <c r="B237" s="10" t="s">
        <v>104</v>
      </c>
      <c r="C237" s="1">
        <v>0.170454545454545</v>
      </c>
      <c r="D237" s="5">
        <v>0.57498802108289404</v>
      </c>
      <c r="E237" s="30"/>
    </row>
    <row r="238" spans="1:5" ht="15.75" customHeight="1" x14ac:dyDescent="0.3">
      <c r="A238" s="33">
        <v>51302</v>
      </c>
      <c r="B238" s="10" t="s">
        <v>169</v>
      </c>
      <c r="C238" s="1">
        <v>0.52401746724890796</v>
      </c>
      <c r="D238" s="5">
        <v>1.96229318968834</v>
      </c>
      <c r="E238" s="30"/>
    </row>
    <row r="239" spans="1:5" ht="15.75" customHeight="1" x14ac:dyDescent="0.3">
      <c r="A239" s="33">
        <v>51401</v>
      </c>
      <c r="B239" s="10" t="s">
        <v>151</v>
      </c>
      <c r="C239" s="1">
        <v>0.44802867383512501</v>
      </c>
      <c r="D239" s="5">
        <v>3.2045240339302499</v>
      </c>
      <c r="E239" s="30"/>
    </row>
    <row r="240" spans="1:5" ht="15.75" customHeight="1" x14ac:dyDescent="0.3">
      <c r="A240" s="33">
        <v>51402</v>
      </c>
      <c r="B240" s="10" t="s">
        <v>25</v>
      </c>
      <c r="C240" s="1">
        <v>1.5133876600698499</v>
      </c>
      <c r="D240" s="5">
        <v>1.36645962732919</v>
      </c>
      <c r="E240" s="30"/>
    </row>
    <row r="241" spans="1:5" ht="15.75" customHeight="1" x14ac:dyDescent="0.3">
      <c r="A241" s="33">
        <v>51501</v>
      </c>
      <c r="B241" s="10" t="s">
        <v>293</v>
      </c>
      <c r="C241" s="1">
        <v>1.1604552555233201</v>
      </c>
      <c r="D241" s="5">
        <v>4.6337944496308197</v>
      </c>
      <c r="E241" s="30"/>
    </row>
    <row r="242" spans="1:5" ht="15.75" customHeight="1" x14ac:dyDescent="0.3">
      <c r="A242" s="33">
        <v>51601</v>
      </c>
      <c r="B242" s="10" t="s">
        <v>29</v>
      </c>
      <c r="C242" s="1">
        <v>0.91383812010443899</v>
      </c>
      <c r="D242" s="5">
        <v>3.4693877551020398</v>
      </c>
      <c r="E242" s="30"/>
    </row>
    <row r="243" spans="1:5" ht="15.75" customHeight="1" x14ac:dyDescent="0.3">
      <c r="A243" s="33">
        <v>60101</v>
      </c>
      <c r="B243" s="10" t="s">
        <v>76</v>
      </c>
      <c r="C243" s="1">
        <v>1.7792051920341401</v>
      </c>
      <c r="D243" s="5">
        <v>6.0550143758314396</v>
      </c>
      <c r="E243" s="30"/>
    </row>
    <row r="244" spans="1:5" ht="15.75" customHeight="1" x14ac:dyDescent="0.3">
      <c r="A244" s="33">
        <v>60201</v>
      </c>
      <c r="B244" s="10" t="s">
        <v>274</v>
      </c>
      <c r="C244" s="1">
        <v>0.34490687514371099</v>
      </c>
      <c r="D244" s="5">
        <v>1.48761980830671</v>
      </c>
      <c r="E244" s="30"/>
    </row>
    <row r="245" spans="1:5" ht="15.75" customHeight="1" x14ac:dyDescent="0.3">
      <c r="A245" s="33">
        <v>60202</v>
      </c>
      <c r="B245" s="10" t="s">
        <v>254</v>
      </c>
      <c r="C245" s="1">
        <v>1.3939656774673199</v>
      </c>
      <c r="D245" s="5">
        <v>6.4546151319391196</v>
      </c>
      <c r="E245" s="30"/>
    </row>
    <row r="246" spans="1:5" ht="15.75" customHeight="1" x14ac:dyDescent="0.3">
      <c r="A246" s="33">
        <v>60301</v>
      </c>
      <c r="B246" s="10" t="s">
        <v>297</v>
      </c>
      <c r="C246" s="1">
        <v>1.4480046761251899</v>
      </c>
      <c r="D246" s="5">
        <v>5.24457117788989</v>
      </c>
      <c r="E246" s="30"/>
    </row>
    <row r="247" spans="1:5" ht="15.75" customHeight="1" x14ac:dyDescent="0.3">
      <c r="A247" s="33">
        <v>60302</v>
      </c>
      <c r="B247" s="10" t="s">
        <v>193</v>
      </c>
      <c r="C247" s="1">
        <v>1.02725654019997</v>
      </c>
      <c r="D247" s="5">
        <v>2.2408596514218302</v>
      </c>
      <c r="E247" s="30"/>
    </row>
    <row r="248" spans="1:5" ht="15.75" customHeight="1" x14ac:dyDescent="0.3">
      <c r="A248" s="33">
        <v>60303</v>
      </c>
      <c r="B248" s="10" t="s">
        <v>326</v>
      </c>
      <c r="C248" s="1">
        <v>1.51868422710946</v>
      </c>
      <c r="D248" s="5">
        <v>5.5018322475570001</v>
      </c>
      <c r="E248" s="30"/>
    </row>
    <row r="249" spans="1:5" ht="15.75" customHeight="1" x14ac:dyDescent="0.3">
      <c r="A249" s="33">
        <v>60401</v>
      </c>
      <c r="B249" s="10" t="s">
        <v>235</v>
      </c>
      <c r="C249" s="1">
        <v>0.186716457722059</v>
      </c>
      <c r="D249" s="5">
        <v>1.4519263747570601</v>
      </c>
      <c r="E249" s="30"/>
    </row>
    <row r="250" spans="1:5" ht="15.75" customHeight="1" x14ac:dyDescent="0.3">
      <c r="A250" s="33">
        <v>60402</v>
      </c>
      <c r="B250" s="10" t="s">
        <v>105</v>
      </c>
      <c r="C250" s="1">
        <v>0.156372165754496</v>
      </c>
      <c r="D250" s="5">
        <v>1.1578541103820901</v>
      </c>
      <c r="E250" s="30"/>
    </row>
    <row r="251" spans="1:5" ht="15.75" customHeight="1" x14ac:dyDescent="0.3">
      <c r="A251" s="33">
        <v>60501</v>
      </c>
      <c r="B251" s="10" t="s">
        <v>271</v>
      </c>
      <c r="C251" s="1">
        <v>0.60235465912202202</v>
      </c>
      <c r="D251" s="5">
        <v>3.5901548331379902</v>
      </c>
      <c r="E251" s="30"/>
    </row>
    <row r="252" spans="1:5" ht="15.75" customHeight="1" x14ac:dyDescent="0.3">
      <c r="A252" s="33">
        <v>60502</v>
      </c>
      <c r="B252" s="10" t="s">
        <v>88</v>
      </c>
      <c r="C252" s="1">
        <v>0.27894002789400302</v>
      </c>
      <c r="D252" s="5">
        <v>1.15617544503579</v>
      </c>
      <c r="E252" s="30"/>
    </row>
    <row r="253" spans="1:5" ht="15.75" customHeight="1" x14ac:dyDescent="0.3">
      <c r="A253" s="33">
        <v>60601</v>
      </c>
      <c r="B253" s="10" t="s">
        <v>223</v>
      </c>
      <c r="C253" s="1">
        <v>0.78034377306759495</v>
      </c>
      <c r="D253" s="5">
        <v>1.97716513505987</v>
      </c>
      <c r="E253" s="30"/>
    </row>
    <row r="254" spans="1:5" ht="15.75" customHeight="1" x14ac:dyDescent="0.3">
      <c r="A254" s="33">
        <v>70101</v>
      </c>
      <c r="B254" s="10" t="s">
        <v>304</v>
      </c>
      <c r="C254" s="1">
        <v>2.8502878435525099</v>
      </c>
      <c r="D254" s="5">
        <v>6.9248099050476402</v>
      </c>
      <c r="E254" s="30"/>
    </row>
    <row r="255" spans="1:5" ht="15.75" customHeight="1" x14ac:dyDescent="0.3">
      <c r="A255" s="33">
        <v>70102</v>
      </c>
      <c r="B255" s="10" t="s">
        <v>263</v>
      </c>
      <c r="C255" s="1">
        <v>1.41259564449676</v>
      </c>
      <c r="D255" s="5">
        <v>6.4342800379283904</v>
      </c>
      <c r="E255" s="30"/>
    </row>
    <row r="256" spans="1:5" ht="15.75" customHeight="1" x14ac:dyDescent="0.3">
      <c r="A256" s="33">
        <v>70103</v>
      </c>
      <c r="B256" s="10" t="s">
        <v>188</v>
      </c>
      <c r="C256" s="1">
        <v>1.30835083185269</v>
      </c>
      <c r="D256" s="5">
        <v>5.3468888261319796</v>
      </c>
      <c r="E256" s="30"/>
    </row>
    <row r="257" spans="1:5" ht="15.75" customHeight="1" x14ac:dyDescent="0.3">
      <c r="A257" s="33">
        <v>70104</v>
      </c>
      <c r="B257" s="10" t="s">
        <v>294</v>
      </c>
      <c r="C257" s="1">
        <v>1.9514946418499699</v>
      </c>
      <c r="D257" s="5">
        <v>6.4639293650912002</v>
      </c>
      <c r="E257" s="30"/>
    </row>
    <row r="258" spans="1:5" ht="15.75" customHeight="1" x14ac:dyDescent="0.3">
      <c r="A258" s="33">
        <v>70105</v>
      </c>
      <c r="B258" s="10" t="s">
        <v>291</v>
      </c>
      <c r="C258" s="1">
        <v>1.4386033356090899</v>
      </c>
      <c r="D258" s="5">
        <v>4.8430117360158498</v>
      </c>
      <c r="E258" s="30"/>
    </row>
    <row r="259" spans="1:5" ht="15.75" customHeight="1" x14ac:dyDescent="0.3">
      <c r="A259" s="33">
        <v>70201</v>
      </c>
      <c r="B259" s="10" t="s">
        <v>298</v>
      </c>
      <c r="C259" s="1">
        <v>1.92735994517732</v>
      </c>
      <c r="D259" s="5">
        <v>6.39604434165404</v>
      </c>
      <c r="E259" s="30"/>
    </row>
    <row r="260" spans="1:5" ht="15.75" customHeight="1" x14ac:dyDescent="0.3">
      <c r="A260" s="33">
        <v>70202</v>
      </c>
      <c r="B260" s="10" t="s">
        <v>91</v>
      </c>
      <c r="C260" s="1">
        <v>2.2033049574361501</v>
      </c>
      <c r="D260" s="5">
        <v>4.4062733383121699</v>
      </c>
      <c r="E260" s="30"/>
    </row>
    <row r="261" spans="1:5" ht="15.75" customHeight="1" x14ac:dyDescent="0.3">
      <c r="A261" s="33">
        <v>70301</v>
      </c>
      <c r="B261" s="10" t="s">
        <v>279</v>
      </c>
      <c r="C261" s="1">
        <v>1.19370591427021</v>
      </c>
      <c r="D261" s="5">
        <v>3.2167284126531799</v>
      </c>
      <c r="E261" s="30"/>
    </row>
    <row r="262" spans="1:5" ht="15.75" customHeight="1" x14ac:dyDescent="0.3">
      <c r="A262" s="33">
        <v>70302</v>
      </c>
      <c r="B262" s="10" t="s">
        <v>201</v>
      </c>
      <c r="C262" s="1">
        <v>0.47134706028280798</v>
      </c>
      <c r="D262" s="5">
        <v>1.84229918938836</v>
      </c>
      <c r="E262" s="30"/>
    </row>
    <row r="263" spans="1:5" ht="15.75" customHeight="1" x14ac:dyDescent="0.3">
      <c r="A263" s="33">
        <v>70303</v>
      </c>
      <c r="B263" s="10" t="s">
        <v>79</v>
      </c>
      <c r="C263" s="1">
        <v>0.59549128030625298</v>
      </c>
      <c r="D263" s="5">
        <v>1.90930787589499</v>
      </c>
      <c r="E263" s="30"/>
    </row>
    <row r="264" spans="1:5" ht="15.75" customHeight="1" x14ac:dyDescent="0.3">
      <c r="A264" s="33">
        <v>70401</v>
      </c>
      <c r="B264" s="10" t="s">
        <v>164</v>
      </c>
      <c r="C264" s="1">
        <v>1.9534497090606799</v>
      </c>
      <c r="D264" s="5">
        <v>6.1497768226153102</v>
      </c>
      <c r="E264" s="30"/>
    </row>
    <row r="265" spans="1:5" ht="15.75" customHeight="1" x14ac:dyDescent="0.3">
      <c r="A265" s="33">
        <v>70402</v>
      </c>
      <c r="B265" s="10" t="s">
        <v>225</v>
      </c>
      <c r="C265" s="1">
        <v>1.4830508474576301</v>
      </c>
      <c r="D265" s="5">
        <v>4.6426027071954401</v>
      </c>
      <c r="E265" s="30"/>
    </row>
    <row r="266" spans="1:5" ht="15.75" customHeight="1" x14ac:dyDescent="0.3">
      <c r="A266" s="33">
        <v>70403</v>
      </c>
      <c r="B266" s="10" t="s">
        <v>278</v>
      </c>
      <c r="C266" s="1">
        <v>1.1221329503119499</v>
      </c>
      <c r="D266" s="5">
        <v>4.7548291233283804</v>
      </c>
      <c r="E266" s="30"/>
    </row>
    <row r="267" spans="1:5" ht="15.75" customHeight="1" x14ac:dyDescent="0.3">
      <c r="A267" s="33">
        <v>70404</v>
      </c>
      <c r="B267" s="10" t="s">
        <v>327</v>
      </c>
      <c r="C267" s="1">
        <v>0.70479804825155901</v>
      </c>
      <c r="D267" s="5">
        <v>3.8878842676311001</v>
      </c>
      <c r="E267" s="30"/>
    </row>
    <row r="268" spans="1:5" ht="15.75" customHeight="1" x14ac:dyDescent="0.3">
      <c r="A268" s="33">
        <v>70501</v>
      </c>
      <c r="B268" s="10" t="s">
        <v>328</v>
      </c>
      <c r="C268" s="1">
        <v>1.16234390009606</v>
      </c>
      <c r="D268" s="5">
        <v>2.9848338173604398</v>
      </c>
      <c r="E268" s="30"/>
    </row>
    <row r="269" spans="1:5" ht="15.75" customHeight="1" x14ac:dyDescent="0.3">
      <c r="A269" s="33">
        <v>70502</v>
      </c>
      <c r="B269" s="10" t="s">
        <v>272</v>
      </c>
      <c r="C269" s="1">
        <v>0.72101236021188897</v>
      </c>
      <c r="D269" s="5">
        <v>3.1627056672760498</v>
      </c>
      <c r="E269" s="30"/>
    </row>
    <row r="270" spans="1:5" ht="15.75" customHeight="1" x14ac:dyDescent="0.3">
      <c r="A270" s="33">
        <v>70503</v>
      </c>
      <c r="B270" s="10" t="s">
        <v>162</v>
      </c>
      <c r="C270" s="1">
        <v>2.3360119603812399</v>
      </c>
      <c r="D270" s="5">
        <v>5.9565807327001403</v>
      </c>
      <c r="E270" s="30"/>
    </row>
    <row r="271" spans="1:5" ht="15.75" customHeight="1" x14ac:dyDescent="0.3">
      <c r="A271" s="33">
        <v>70601</v>
      </c>
      <c r="B271" s="10" t="s">
        <v>158</v>
      </c>
      <c r="C271" s="1">
        <v>1.3409961685823799</v>
      </c>
      <c r="D271" s="5">
        <v>4.4563695753616397</v>
      </c>
      <c r="E271" s="30"/>
    </row>
    <row r="272" spans="1:5" ht="15.75" customHeight="1" x14ac:dyDescent="0.3">
      <c r="A272" s="33">
        <v>70602</v>
      </c>
      <c r="B272" s="10" t="s">
        <v>256</v>
      </c>
      <c r="C272" s="1">
        <v>0.49405795166243799</v>
      </c>
      <c r="D272" s="5">
        <v>2.67512753514993</v>
      </c>
      <c r="E272" s="30"/>
    </row>
    <row r="273" spans="1:5" ht="15.75" customHeight="1" x14ac:dyDescent="0.3">
      <c r="A273" s="33">
        <v>70603</v>
      </c>
      <c r="B273" s="10" t="s">
        <v>329</v>
      </c>
      <c r="C273" s="1">
        <v>1.2048192771084301</v>
      </c>
      <c r="D273" s="5">
        <v>5.0747621205255999</v>
      </c>
      <c r="E273" s="30"/>
    </row>
    <row r="274" spans="1:5" ht="15.75" customHeight="1" x14ac:dyDescent="0.3">
      <c r="A274" s="33">
        <v>70701</v>
      </c>
      <c r="B274" s="10" t="s">
        <v>74</v>
      </c>
      <c r="C274" s="1">
        <v>0.91594827586206895</v>
      </c>
      <c r="D274" s="5">
        <v>2.0770392749244699</v>
      </c>
      <c r="E274" s="30"/>
    </row>
    <row r="275" spans="1:5" ht="15.75" customHeight="1" x14ac:dyDescent="0.3">
      <c r="A275" s="33">
        <v>70702</v>
      </c>
      <c r="B275" s="10" t="s">
        <v>95</v>
      </c>
      <c r="C275" s="1">
        <v>0.66786812254850003</v>
      </c>
      <c r="D275" s="5">
        <v>2.05041522745646</v>
      </c>
      <c r="E275" s="30"/>
    </row>
    <row r="276" spans="1:5" ht="15.75" customHeight="1" x14ac:dyDescent="0.3">
      <c r="A276" s="33">
        <v>70703</v>
      </c>
      <c r="B276" s="10" t="s">
        <v>250</v>
      </c>
      <c r="C276" s="1">
        <v>0.47647409172126298</v>
      </c>
      <c r="D276" s="5">
        <v>2.9339321935670801</v>
      </c>
      <c r="E276" s="30"/>
    </row>
    <row r="277" spans="1:5" ht="15.75" customHeight="1" x14ac:dyDescent="0.3">
      <c r="A277" s="33">
        <v>70704</v>
      </c>
      <c r="B277" s="10" t="s">
        <v>73</v>
      </c>
      <c r="C277" s="1">
        <v>0.678175092478422</v>
      </c>
      <c r="D277" s="5">
        <v>3.10296191819464</v>
      </c>
      <c r="E277" s="30"/>
    </row>
    <row r="278" spans="1:5" ht="15.75" customHeight="1" x14ac:dyDescent="0.3">
      <c r="A278" s="33">
        <v>70705</v>
      </c>
      <c r="B278" s="10" t="s">
        <v>141</v>
      </c>
      <c r="C278" s="1">
        <v>0.34129692832764502</v>
      </c>
      <c r="D278" s="5">
        <v>2.2900763358778602</v>
      </c>
      <c r="E278" s="30"/>
    </row>
    <row r="279" spans="1:5" ht="15.75" customHeight="1" x14ac:dyDescent="0.3">
      <c r="A279" s="33">
        <v>70706</v>
      </c>
      <c r="B279" s="10" t="s">
        <v>221</v>
      </c>
      <c r="C279" s="1">
        <v>2.10992445949466</v>
      </c>
      <c r="D279" s="5">
        <v>5.4501290420525299</v>
      </c>
      <c r="E279" s="30"/>
    </row>
    <row r="280" spans="1:5" ht="15.75" customHeight="1" x14ac:dyDescent="0.3">
      <c r="A280" s="33">
        <v>70707</v>
      </c>
      <c r="B280" s="10" t="s">
        <v>53</v>
      </c>
      <c r="C280" s="1">
        <v>1.28865979381443</v>
      </c>
      <c r="D280" s="5">
        <v>3.6077235772357699</v>
      </c>
      <c r="E280" s="30"/>
    </row>
    <row r="281" spans="1:5" ht="15.75" customHeight="1" x14ac:dyDescent="0.3">
      <c r="A281" s="33">
        <v>70801</v>
      </c>
      <c r="B281" s="10" t="s">
        <v>257</v>
      </c>
      <c r="C281" s="1">
        <v>0.91227193201699597</v>
      </c>
      <c r="D281" s="5">
        <v>3.2829940906106398</v>
      </c>
      <c r="E281" s="30"/>
    </row>
    <row r="282" spans="1:5" ht="15.75" customHeight="1" x14ac:dyDescent="0.3">
      <c r="A282" s="33">
        <v>70802</v>
      </c>
      <c r="B282" s="10" t="s">
        <v>10</v>
      </c>
      <c r="C282" s="1">
        <v>0.299102691924227</v>
      </c>
      <c r="D282" s="5">
        <v>1.6064257028112401</v>
      </c>
      <c r="E282" s="30"/>
    </row>
    <row r="283" spans="1:5" ht="15.75" customHeight="1" x14ac:dyDescent="0.3">
      <c r="A283" s="33">
        <v>70803</v>
      </c>
      <c r="B283" s="10" t="s">
        <v>36</v>
      </c>
      <c r="C283" s="1">
        <v>0.13468013468013501</v>
      </c>
      <c r="D283" s="5">
        <v>0.90744101633393803</v>
      </c>
      <c r="E283" s="30"/>
    </row>
    <row r="284" spans="1:5" ht="15.75" customHeight="1" x14ac:dyDescent="0.3">
      <c r="A284" s="33">
        <v>70804</v>
      </c>
      <c r="B284" s="10" t="s">
        <v>330</v>
      </c>
      <c r="C284" s="1">
        <v>0.16806722689075601</v>
      </c>
      <c r="D284" s="5">
        <v>2.0703933747412</v>
      </c>
      <c r="E284" s="30"/>
    </row>
    <row r="285" spans="1:5" ht="15.75" customHeight="1" x14ac:dyDescent="0.3">
      <c r="A285" s="33">
        <v>70805</v>
      </c>
      <c r="B285" s="10" t="s">
        <v>331</v>
      </c>
      <c r="C285" s="1">
        <v>0.90180360721442898</v>
      </c>
      <c r="D285" s="5">
        <v>1.9819819819819799</v>
      </c>
      <c r="E285" s="30"/>
    </row>
    <row r="286" spans="1:5" ht="15.75" customHeight="1" x14ac:dyDescent="0.3">
      <c r="A286" s="33">
        <v>70901</v>
      </c>
      <c r="B286" s="10" t="s">
        <v>192</v>
      </c>
      <c r="C286" s="1">
        <v>2.6085141903172002</v>
      </c>
      <c r="D286" s="5">
        <v>5.9933407325194201</v>
      </c>
      <c r="E286" s="30"/>
    </row>
    <row r="287" spans="1:5" ht="15.75" customHeight="1" x14ac:dyDescent="0.3">
      <c r="A287" s="33">
        <v>70902</v>
      </c>
      <c r="B287" s="10" t="s">
        <v>160</v>
      </c>
      <c r="C287" s="1">
        <v>0.39263803680981602</v>
      </c>
      <c r="D287" s="5">
        <v>3.5780382479950599</v>
      </c>
      <c r="E287" s="30"/>
    </row>
    <row r="288" spans="1:5" ht="15.75" customHeight="1" x14ac:dyDescent="0.3">
      <c r="A288" s="33">
        <v>70903</v>
      </c>
      <c r="B288" s="10" t="s">
        <v>122</v>
      </c>
      <c r="C288" s="1">
        <v>0.76662908680946995</v>
      </c>
      <c r="D288" s="5">
        <v>3.5742279354130702</v>
      </c>
      <c r="E288" s="30"/>
    </row>
    <row r="289" spans="1:5" ht="15.75" customHeight="1" x14ac:dyDescent="0.3">
      <c r="A289" s="33">
        <v>70904</v>
      </c>
      <c r="B289" s="10" t="s">
        <v>20</v>
      </c>
      <c r="C289" s="1">
        <v>0.27835768963117602</v>
      </c>
      <c r="D289" s="5">
        <v>1.77153329260843</v>
      </c>
      <c r="E289" s="30"/>
    </row>
    <row r="290" spans="1:5" ht="15.75" customHeight="1" x14ac:dyDescent="0.3">
      <c r="A290" s="33">
        <v>71001</v>
      </c>
      <c r="B290" s="10" t="s">
        <v>300</v>
      </c>
      <c r="C290" s="1">
        <v>1.56745079212674</v>
      </c>
      <c r="D290" s="5">
        <v>6.3997917557592503</v>
      </c>
      <c r="E290" s="30"/>
    </row>
    <row r="291" spans="1:5" ht="15.75" customHeight="1" x14ac:dyDescent="0.3">
      <c r="A291" s="33">
        <v>71002</v>
      </c>
      <c r="B291" s="10" t="s">
        <v>332</v>
      </c>
      <c r="C291" s="1">
        <v>0.44900577293136601</v>
      </c>
      <c r="D291" s="5">
        <v>2.86259541984733</v>
      </c>
      <c r="E291" s="30"/>
    </row>
    <row r="292" spans="1:5" ht="15.75" customHeight="1" x14ac:dyDescent="0.3">
      <c r="A292" s="33">
        <v>71003</v>
      </c>
      <c r="B292" s="10" t="s">
        <v>230</v>
      </c>
      <c r="C292" s="1">
        <v>0.81653483031385599</v>
      </c>
      <c r="D292" s="5">
        <v>4.7136910788615101</v>
      </c>
      <c r="E292" s="30"/>
    </row>
    <row r="293" spans="1:5" ht="15.75" customHeight="1" x14ac:dyDescent="0.3">
      <c r="A293" s="33">
        <v>71004</v>
      </c>
      <c r="B293" s="10" t="s">
        <v>161</v>
      </c>
      <c r="C293" s="1">
        <v>0.61173083843109</v>
      </c>
      <c r="D293" s="5">
        <v>3.27664869348818</v>
      </c>
      <c r="E293" s="30"/>
    </row>
    <row r="294" spans="1:5" ht="15.75" customHeight="1" x14ac:dyDescent="0.3">
      <c r="A294" s="33">
        <v>71005</v>
      </c>
      <c r="B294" s="10" t="s">
        <v>9</v>
      </c>
      <c r="C294" s="1">
        <v>0.41617895695148899</v>
      </c>
      <c r="D294" s="5">
        <v>3.9061402276239998</v>
      </c>
      <c r="E294" s="30"/>
    </row>
    <row r="295" spans="1:5" ht="15.75" customHeight="1" x14ac:dyDescent="0.3">
      <c r="A295" s="33">
        <v>71101</v>
      </c>
      <c r="B295" s="10" t="s">
        <v>248</v>
      </c>
      <c r="C295" s="1">
        <v>1.12937812723374</v>
      </c>
      <c r="D295" s="5">
        <v>4.3106015485407996</v>
      </c>
      <c r="E295" s="30"/>
    </row>
    <row r="296" spans="1:5" ht="15.75" customHeight="1" x14ac:dyDescent="0.3">
      <c r="A296" s="33">
        <v>71102</v>
      </c>
      <c r="B296" s="10" t="s">
        <v>75</v>
      </c>
      <c r="C296" s="1">
        <v>1.10436223081171</v>
      </c>
      <c r="D296" s="5">
        <v>4.28738904706079</v>
      </c>
      <c r="E296" s="30"/>
    </row>
    <row r="297" spans="1:5" ht="15.75" customHeight="1" x14ac:dyDescent="0.3">
      <c r="A297" s="33">
        <v>71103</v>
      </c>
      <c r="B297" s="10" t="s">
        <v>44</v>
      </c>
      <c r="C297" s="1">
        <v>1.5465729349736399</v>
      </c>
      <c r="D297" s="5">
        <v>5.1326412918108399</v>
      </c>
      <c r="E297" s="30"/>
    </row>
    <row r="298" spans="1:5" ht="15.75" customHeight="1" x14ac:dyDescent="0.3">
      <c r="A298" s="33">
        <v>71104</v>
      </c>
      <c r="B298" s="10" t="s">
        <v>285</v>
      </c>
      <c r="C298" s="1">
        <v>0.61623334702740795</v>
      </c>
      <c r="D298" s="5">
        <v>4.1225848110068002</v>
      </c>
      <c r="E298" s="30"/>
    </row>
    <row r="299" spans="1:5" ht="15.75" customHeight="1" x14ac:dyDescent="0.3">
      <c r="A299" s="33">
        <v>71105</v>
      </c>
      <c r="B299" s="10" t="s">
        <v>333</v>
      </c>
      <c r="C299" s="1">
        <v>0.57923045097227999</v>
      </c>
      <c r="D299" s="5">
        <v>2.74704311331553</v>
      </c>
      <c r="E299" s="30"/>
    </row>
    <row r="300" spans="1:5" ht="15.75" customHeight="1" x14ac:dyDescent="0.3">
      <c r="A300" s="33">
        <v>71106</v>
      </c>
      <c r="B300" s="10" t="s">
        <v>239</v>
      </c>
      <c r="C300" s="1">
        <v>1.0597761371755201</v>
      </c>
      <c r="D300" s="5">
        <v>4.0237467018469699</v>
      </c>
      <c r="E300" s="30"/>
    </row>
    <row r="301" spans="1:5" ht="15.75" customHeight="1" x14ac:dyDescent="0.3">
      <c r="A301" s="33">
        <v>71201</v>
      </c>
      <c r="B301" s="10" t="s">
        <v>212</v>
      </c>
      <c r="C301" s="1">
        <v>1.0448061080972499</v>
      </c>
      <c r="D301" s="5">
        <v>2.7031593174522701</v>
      </c>
      <c r="E301" s="30"/>
    </row>
    <row r="302" spans="1:5" ht="15.75" customHeight="1" x14ac:dyDescent="0.3">
      <c r="A302" s="33">
        <v>71301</v>
      </c>
      <c r="B302" s="10" t="s">
        <v>209</v>
      </c>
      <c r="C302" s="1">
        <v>0.76846449409420803</v>
      </c>
      <c r="D302" s="5">
        <v>2.4016979445933901</v>
      </c>
      <c r="E302" s="30"/>
    </row>
    <row r="303" spans="1:5" ht="15.75" customHeight="1" x14ac:dyDescent="0.3">
      <c r="A303" s="33">
        <v>71302</v>
      </c>
      <c r="B303" s="10" t="s">
        <v>58</v>
      </c>
      <c r="C303" s="1">
        <v>0.60463553913335599</v>
      </c>
      <c r="D303" s="5">
        <v>3.2289312237649299</v>
      </c>
      <c r="E303" s="30"/>
    </row>
    <row r="304" spans="1:5" ht="15.75" customHeight="1" x14ac:dyDescent="0.3">
      <c r="A304" s="33">
        <v>71401</v>
      </c>
      <c r="B304" s="10" t="s">
        <v>206</v>
      </c>
      <c r="C304" s="1">
        <v>1.74106558450059</v>
      </c>
      <c r="D304" s="5">
        <v>5.6524035921817202</v>
      </c>
      <c r="E304" s="30"/>
    </row>
    <row r="305" spans="1:5" ht="15.75" customHeight="1" x14ac:dyDescent="0.3">
      <c r="A305" s="33">
        <v>71402</v>
      </c>
      <c r="B305" s="10" t="s">
        <v>165</v>
      </c>
      <c r="C305" s="1">
        <v>2.6076934159343002</v>
      </c>
      <c r="D305" s="5">
        <v>8.7007565875293498</v>
      </c>
      <c r="E305" s="30"/>
    </row>
    <row r="306" spans="1:5" ht="15.75" customHeight="1" x14ac:dyDescent="0.3">
      <c r="A306" s="33">
        <v>71403</v>
      </c>
      <c r="B306" s="10" t="s">
        <v>334</v>
      </c>
      <c r="C306" s="1">
        <v>1.0961214165261399</v>
      </c>
      <c r="D306" s="5">
        <v>2.47955684515959</v>
      </c>
      <c r="E306" s="30"/>
    </row>
    <row r="307" spans="1:5" ht="15.75" customHeight="1" x14ac:dyDescent="0.3">
      <c r="A307" s="33">
        <v>71501</v>
      </c>
      <c r="B307" s="10" t="s">
        <v>335</v>
      </c>
      <c r="C307" s="1">
        <v>1.06963311584127</v>
      </c>
      <c r="D307" s="5">
        <v>4.5372535917140002</v>
      </c>
      <c r="E307" s="30"/>
    </row>
    <row r="308" spans="1:5" ht="15.75" customHeight="1" x14ac:dyDescent="0.3">
      <c r="A308" s="33">
        <v>71502</v>
      </c>
      <c r="B308" s="10" t="s">
        <v>77</v>
      </c>
      <c r="C308" s="1">
        <v>0.60046189376443404</v>
      </c>
      <c r="D308" s="5">
        <v>1.7828843106180701</v>
      </c>
      <c r="E308" s="30"/>
    </row>
    <row r="309" spans="1:5" ht="15.75" customHeight="1" x14ac:dyDescent="0.3">
      <c r="A309" s="33">
        <v>71503</v>
      </c>
      <c r="B309" s="10" t="s">
        <v>88</v>
      </c>
      <c r="C309" s="1">
        <v>0.34614053305642101</v>
      </c>
      <c r="D309" s="5">
        <v>2.6737967914438499</v>
      </c>
      <c r="E309" s="30"/>
    </row>
    <row r="310" spans="1:5" ht="15.75" customHeight="1" x14ac:dyDescent="0.3">
      <c r="A310" s="33">
        <v>80101</v>
      </c>
      <c r="B310" s="10" t="s">
        <v>301</v>
      </c>
      <c r="C310" s="1">
        <v>2.4081388390185499</v>
      </c>
      <c r="D310" s="5">
        <v>8.1277213352685092</v>
      </c>
      <c r="E310" s="30"/>
    </row>
    <row r="311" spans="1:5" ht="15.75" customHeight="1" x14ac:dyDescent="0.3">
      <c r="A311" s="33">
        <v>80102</v>
      </c>
      <c r="B311" s="10" t="s">
        <v>75</v>
      </c>
      <c r="C311" s="1">
        <v>0.258397932816538</v>
      </c>
      <c r="D311" s="5">
        <v>2.0963172804532602</v>
      </c>
      <c r="E311" s="30"/>
    </row>
    <row r="312" spans="1:5" ht="15.75" customHeight="1" x14ac:dyDescent="0.3">
      <c r="A312" s="33">
        <v>80201</v>
      </c>
      <c r="B312" s="10" t="s">
        <v>296</v>
      </c>
      <c r="C312" s="1">
        <v>1.3452914798206299</v>
      </c>
      <c r="D312" s="5">
        <v>6.3734020092341304</v>
      </c>
      <c r="E312" s="30"/>
    </row>
    <row r="313" spans="1:5" ht="15.75" customHeight="1" x14ac:dyDescent="0.3">
      <c r="A313" s="33">
        <v>80202</v>
      </c>
      <c r="B313" s="10" t="s">
        <v>287</v>
      </c>
      <c r="C313" s="1">
        <v>1.97307763230684</v>
      </c>
      <c r="D313" s="5">
        <v>7.18072289156627</v>
      </c>
      <c r="E313" s="30"/>
    </row>
    <row r="314" spans="1:5" ht="15.75" customHeight="1" x14ac:dyDescent="0.3">
      <c r="A314" s="33">
        <v>80301</v>
      </c>
      <c r="B314" s="10" t="s">
        <v>216</v>
      </c>
      <c r="C314" s="1">
        <v>0.95313741064336799</v>
      </c>
      <c r="D314" s="5">
        <v>4.1331303023711099</v>
      </c>
      <c r="E314" s="30"/>
    </row>
    <row r="315" spans="1:5" ht="15.75" customHeight="1" x14ac:dyDescent="0.3">
      <c r="A315" s="33">
        <v>80302</v>
      </c>
      <c r="B315" s="10" t="s">
        <v>276</v>
      </c>
      <c r="C315" s="1">
        <v>1.42245720040282</v>
      </c>
      <c r="D315" s="5">
        <v>3.2271304704735502</v>
      </c>
      <c r="E315" s="30"/>
    </row>
    <row r="316" spans="1:5" ht="15.75" customHeight="1" x14ac:dyDescent="0.3">
      <c r="A316" s="33">
        <v>80303</v>
      </c>
      <c r="B316" s="10" t="s">
        <v>35</v>
      </c>
      <c r="C316" s="1">
        <v>1.5743263699667001</v>
      </c>
      <c r="D316" s="5">
        <v>5.0822489565430899</v>
      </c>
      <c r="E316" s="30"/>
    </row>
    <row r="317" spans="1:5" ht="15.75" customHeight="1" x14ac:dyDescent="0.3">
      <c r="A317" s="33">
        <v>80304</v>
      </c>
      <c r="B317" s="10" t="s">
        <v>246</v>
      </c>
      <c r="C317" s="1">
        <v>3.6023054755043198</v>
      </c>
      <c r="D317" s="5">
        <v>7.3145780051150897</v>
      </c>
      <c r="E317" s="30"/>
    </row>
    <row r="318" spans="1:5" ht="15.75" customHeight="1" x14ac:dyDescent="0.3">
      <c r="A318" s="33">
        <v>80401</v>
      </c>
      <c r="B318" s="10" t="s">
        <v>204</v>
      </c>
      <c r="C318" s="1">
        <v>1.6307513104251601</v>
      </c>
      <c r="D318" s="5">
        <v>5.9903381642512104</v>
      </c>
      <c r="E318" s="30"/>
    </row>
    <row r="319" spans="1:5" ht="15.75" customHeight="1" x14ac:dyDescent="0.3">
      <c r="A319" s="33">
        <v>80402</v>
      </c>
      <c r="B319" s="10" t="s">
        <v>98</v>
      </c>
      <c r="C319" s="1">
        <v>0.84713130535233006</v>
      </c>
      <c r="D319" s="5">
        <v>2.69156825048064</v>
      </c>
      <c r="E319" s="30"/>
    </row>
    <row r="320" spans="1:5" ht="15.75" customHeight="1" x14ac:dyDescent="0.3">
      <c r="A320" s="33">
        <v>80501</v>
      </c>
      <c r="B320" s="10" t="s">
        <v>262</v>
      </c>
      <c r="C320" s="1">
        <v>0.81311830871391799</v>
      </c>
      <c r="D320" s="5">
        <v>4.3621700879765397</v>
      </c>
      <c r="E320" s="30"/>
    </row>
    <row r="321" spans="1:5" ht="15.75" customHeight="1" x14ac:dyDescent="0.3">
      <c r="A321" s="33">
        <v>80601</v>
      </c>
      <c r="B321" s="10" t="s">
        <v>83</v>
      </c>
      <c r="C321" s="1">
        <v>0.27173913043478298</v>
      </c>
      <c r="D321" s="5">
        <v>3.0375223347230502</v>
      </c>
      <c r="E321" s="30"/>
    </row>
    <row r="322" spans="1:5" ht="15.75" customHeight="1" x14ac:dyDescent="0.3">
      <c r="A322" s="33">
        <v>80602</v>
      </c>
      <c r="B322" s="10" t="s">
        <v>214</v>
      </c>
      <c r="C322" s="1">
        <v>0.51080550098231803</v>
      </c>
      <c r="D322" s="5">
        <v>2.7931453245176101</v>
      </c>
      <c r="E322" s="30"/>
    </row>
    <row r="323" spans="1:5" ht="15.75" customHeight="1" x14ac:dyDescent="0.3">
      <c r="A323" s="33">
        <v>80701</v>
      </c>
      <c r="B323" s="10" t="s">
        <v>64</v>
      </c>
      <c r="C323" s="1">
        <v>1.09849871841816</v>
      </c>
      <c r="D323" s="5">
        <v>3.99568034557235</v>
      </c>
      <c r="E323" s="30"/>
    </row>
    <row r="324" spans="1:5" ht="15.75" customHeight="1" x14ac:dyDescent="0.3">
      <c r="A324" s="33">
        <v>80702</v>
      </c>
      <c r="B324" s="10" t="s">
        <v>44</v>
      </c>
      <c r="C324" s="1">
        <v>0.80160320641282601</v>
      </c>
      <c r="D324" s="5">
        <v>5.2010489510489499</v>
      </c>
      <c r="E324" s="30"/>
    </row>
    <row r="325" spans="1:5" ht="15.75" customHeight="1" x14ac:dyDescent="0.3">
      <c r="A325" s="33">
        <v>80703</v>
      </c>
      <c r="B325" s="10" t="s">
        <v>2</v>
      </c>
      <c r="C325" s="1">
        <v>1.6</v>
      </c>
      <c r="D325" s="5">
        <v>2.8761061946902702</v>
      </c>
      <c r="E325" s="30"/>
    </row>
    <row r="326" spans="1:5" ht="15.75" customHeight="1" x14ac:dyDescent="0.3">
      <c r="A326" s="33">
        <v>80801</v>
      </c>
      <c r="B326" s="10" t="s">
        <v>142</v>
      </c>
      <c r="C326" s="1">
        <v>1.2793672947196999</v>
      </c>
      <c r="D326" s="5">
        <v>4.9778761061946897</v>
      </c>
      <c r="E326" s="30"/>
    </row>
    <row r="327" spans="1:5" ht="15.75" customHeight="1" x14ac:dyDescent="0.3">
      <c r="A327" s="33">
        <v>80802</v>
      </c>
      <c r="B327" s="10" t="s">
        <v>118</v>
      </c>
      <c r="C327" s="1">
        <v>0.60767185719711403</v>
      </c>
      <c r="D327" s="5">
        <v>3.00464354001639</v>
      </c>
      <c r="E327" s="30"/>
    </row>
    <row r="328" spans="1:5" ht="15.75" customHeight="1" x14ac:dyDescent="0.3">
      <c r="A328" s="33">
        <v>80803</v>
      </c>
      <c r="B328" s="10" t="s">
        <v>17</v>
      </c>
      <c r="C328" s="1">
        <v>0.53222945002956801</v>
      </c>
      <c r="D328" s="5">
        <v>4.8793014894709801</v>
      </c>
      <c r="E328" s="30"/>
    </row>
    <row r="329" spans="1:5" ht="15.75" customHeight="1" x14ac:dyDescent="0.3">
      <c r="A329" s="33">
        <v>80901</v>
      </c>
      <c r="B329" s="31" t="s">
        <v>432</v>
      </c>
      <c r="C329" s="1">
        <v>0.16920473773265701</v>
      </c>
      <c r="D329" s="5">
        <v>0.55248618784530401</v>
      </c>
      <c r="E329" s="30"/>
    </row>
    <row r="330" spans="1:5" ht="15.75" customHeight="1" x14ac:dyDescent="0.3">
      <c r="A330" s="33">
        <v>90101</v>
      </c>
      <c r="B330" s="10" t="s">
        <v>281</v>
      </c>
      <c r="C330" s="1">
        <v>2.3058505100978599</v>
      </c>
      <c r="D330" s="5">
        <v>7.3832203319329501</v>
      </c>
      <c r="E330" s="30"/>
    </row>
    <row r="331" spans="1:5" ht="15.75" customHeight="1" x14ac:dyDescent="0.3">
      <c r="A331" s="33">
        <v>90102</v>
      </c>
      <c r="B331" s="10" t="s">
        <v>115</v>
      </c>
      <c r="C331" s="1">
        <v>0.55729710902124696</v>
      </c>
      <c r="D331" s="5">
        <v>4.2916093535075701</v>
      </c>
      <c r="E331" s="30"/>
    </row>
    <row r="332" spans="1:5" ht="15.75" customHeight="1" x14ac:dyDescent="0.3">
      <c r="A332" s="33">
        <v>90103</v>
      </c>
      <c r="B332" s="10" t="s">
        <v>4</v>
      </c>
      <c r="C332" s="1">
        <v>0.31347962382445099</v>
      </c>
      <c r="D332" s="5">
        <v>0.83777608530083802</v>
      </c>
      <c r="E332" s="30"/>
    </row>
    <row r="333" spans="1:5" ht="15.75" customHeight="1" x14ac:dyDescent="0.3">
      <c r="A333" s="33">
        <v>90104</v>
      </c>
      <c r="B333" s="10" t="s">
        <v>81</v>
      </c>
      <c r="C333" s="1">
        <v>0.20942408376963401</v>
      </c>
      <c r="D333" s="5">
        <v>1.7941952506596299</v>
      </c>
      <c r="E333" s="30"/>
    </row>
    <row r="334" spans="1:5" ht="15.75" customHeight="1" x14ac:dyDescent="0.3">
      <c r="A334" s="33">
        <v>90201</v>
      </c>
      <c r="B334" s="10" t="s">
        <v>131</v>
      </c>
      <c r="C334" s="1">
        <v>1.61038961038961</v>
      </c>
      <c r="D334" s="5">
        <v>4.2490118577075098</v>
      </c>
      <c r="E334" s="30"/>
    </row>
    <row r="335" spans="1:5" ht="15.75" customHeight="1" x14ac:dyDescent="0.3">
      <c r="A335" s="33">
        <v>90202</v>
      </c>
      <c r="B335" s="10" t="s">
        <v>9</v>
      </c>
      <c r="C335" s="1">
        <v>0.39643211100099102</v>
      </c>
      <c r="D335" s="5">
        <v>0.78226857887874801</v>
      </c>
      <c r="E335" s="30"/>
    </row>
    <row r="336" spans="1:5" ht="15.75" customHeight="1" x14ac:dyDescent="0.3">
      <c r="A336" s="33">
        <v>90203</v>
      </c>
      <c r="B336" s="10" t="s">
        <v>37</v>
      </c>
      <c r="C336" s="1">
        <v>0.177619893428064</v>
      </c>
      <c r="D336" s="5">
        <v>2.04359673024523</v>
      </c>
      <c r="E336" s="30"/>
    </row>
    <row r="337" spans="1:5" ht="15.75" customHeight="1" x14ac:dyDescent="0.3">
      <c r="A337" s="33">
        <v>90301</v>
      </c>
      <c r="B337" s="10" t="s">
        <v>336</v>
      </c>
      <c r="C337" s="1">
        <v>0.5</v>
      </c>
      <c r="D337" s="5">
        <v>2.6820713843614601</v>
      </c>
      <c r="E337" s="30"/>
    </row>
    <row r="338" spans="1:5" ht="15.75" customHeight="1" x14ac:dyDescent="0.3">
      <c r="A338" s="33">
        <v>90302</v>
      </c>
      <c r="B338" s="10" t="s">
        <v>59</v>
      </c>
      <c r="C338" s="1">
        <v>0.62800147765053604</v>
      </c>
      <c r="D338" s="5">
        <v>1.3685700802265199</v>
      </c>
      <c r="E338" s="30"/>
    </row>
    <row r="339" spans="1:5" ht="15.75" customHeight="1" x14ac:dyDescent="0.3">
      <c r="A339" s="33">
        <v>90303</v>
      </c>
      <c r="B339" s="10" t="s">
        <v>337</v>
      </c>
      <c r="C339" s="1">
        <v>0.460829493087558</v>
      </c>
      <c r="D339" s="5">
        <v>4.1807909604519802</v>
      </c>
      <c r="E339" s="30"/>
    </row>
    <row r="340" spans="1:5" ht="15.75" customHeight="1" x14ac:dyDescent="0.3">
      <c r="A340" s="33">
        <v>90401</v>
      </c>
      <c r="B340" s="10" t="s">
        <v>437</v>
      </c>
      <c r="C340" s="1">
        <v>0.30581039755351702</v>
      </c>
      <c r="D340" s="5">
        <v>2.0673813169984698</v>
      </c>
      <c r="E340" s="30"/>
    </row>
    <row r="341" spans="1:5" ht="15.75" customHeight="1" x14ac:dyDescent="0.3">
      <c r="A341" s="33">
        <v>90402</v>
      </c>
      <c r="B341" s="10" t="s">
        <v>14</v>
      </c>
      <c r="C341" s="1">
        <v>1.4519056261343</v>
      </c>
      <c r="D341" s="5">
        <v>2.07813798836243</v>
      </c>
      <c r="E341" s="30"/>
    </row>
    <row r="342" spans="1:5" ht="15.75" customHeight="1" x14ac:dyDescent="0.3">
      <c r="A342" s="33">
        <v>90501</v>
      </c>
      <c r="B342" s="10" t="s">
        <v>26</v>
      </c>
      <c r="C342" s="1">
        <v>0.29644268774703603</v>
      </c>
      <c r="D342" s="5">
        <v>4.4684129429892101</v>
      </c>
      <c r="E342" s="30"/>
    </row>
    <row r="343" spans="1:5" ht="15.75" customHeight="1" x14ac:dyDescent="0.3">
      <c r="A343" s="33">
        <v>90502</v>
      </c>
      <c r="B343" s="10" t="s">
        <v>439</v>
      </c>
      <c r="C343" s="1">
        <v>1.51351351351351</v>
      </c>
      <c r="D343" s="5">
        <v>3.8240917782026802</v>
      </c>
      <c r="E343" s="30"/>
    </row>
    <row r="344" spans="1:5" ht="15.75" customHeight="1" x14ac:dyDescent="0.3">
      <c r="A344" s="33">
        <v>90503</v>
      </c>
      <c r="B344" s="10" t="s">
        <v>24</v>
      </c>
      <c r="C344" s="1">
        <v>0.120192307692308</v>
      </c>
      <c r="D344" s="5">
        <v>0.81466395112016299</v>
      </c>
      <c r="E344" s="30"/>
    </row>
    <row r="345" spans="1:5" ht="15.75" customHeight="1" x14ac:dyDescent="0.3">
      <c r="B345" s="12"/>
      <c r="C345" s="4"/>
      <c r="D345" s="3"/>
    </row>
    <row r="346" spans="1:5" ht="15.75" customHeight="1" x14ac:dyDescent="0.3">
      <c r="B346" s="12"/>
      <c r="C346" s="4"/>
      <c r="D346" s="3"/>
    </row>
    <row r="347" spans="1:5" ht="15.75" customHeight="1" x14ac:dyDescent="0.3">
      <c r="B347" s="12"/>
      <c r="C347" s="4"/>
      <c r="D347" s="3"/>
    </row>
    <row r="348" spans="1:5" ht="15.75" customHeight="1" x14ac:dyDescent="0.3">
      <c r="B348" s="12"/>
      <c r="C348" s="4"/>
    </row>
    <row r="349" spans="1:5" ht="15.75" customHeight="1" x14ac:dyDescent="0.3">
      <c r="B349" s="12"/>
      <c r="C349" s="4"/>
    </row>
    <row r="350" spans="1:5" ht="15.75" customHeight="1" x14ac:dyDescent="0.3">
      <c r="B350" s="12"/>
      <c r="C350" s="4"/>
      <c r="D350" s="4"/>
    </row>
    <row r="351" spans="1:5" ht="15.75" customHeight="1" x14ac:dyDescent="0.3">
      <c r="B351" s="12"/>
      <c r="C351" s="4"/>
      <c r="D351" s="4"/>
    </row>
    <row r="352" spans="1:5" ht="15.75" customHeight="1" x14ac:dyDescent="0.3">
      <c r="B352" s="12"/>
      <c r="C352" s="4"/>
      <c r="D352" s="4"/>
    </row>
    <row r="353" spans="2:4" ht="15.75" customHeight="1" x14ac:dyDescent="0.3">
      <c r="B353" s="13"/>
      <c r="C353" s="4"/>
      <c r="D353" s="4"/>
    </row>
    <row r="354" spans="2:4" ht="15.75" customHeight="1" x14ac:dyDescent="0.3">
      <c r="B354" s="13"/>
      <c r="D354" s="2"/>
    </row>
    <row r="355" spans="2:4" ht="15.75" customHeight="1" x14ac:dyDescent="0.3">
      <c r="B355" s="13"/>
    </row>
    <row r="356" spans="2:4" ht="15.75" customHeight="1" x14ac:dyDescent="0.3">
      <c r="B356" s="13"/>
    </row>
    <row r="357" spans="2:4" ht="15.75" customHeight="1" x14ac:dyDescent="0.3">
      <c r="B357" s="13"/>
    </row>
    <row r="358" spans="2:4" ht="15.75" customHeight="1" x14ac:dyDescent="0.3">
      <c r="B358" s="13"/>
    </row>
    <row r="359" spans="2:4" ht="15.75" customHeight="1" x14ac:dyDescent="0.3">
      <c r="B359" s="13"/>
    </row>
    <row r="360" spans="2:4" ht="15.75" customHeight="1" x14ac:dyDescent="0.3">
      <c r="B360" s="13"/>
    </row>
    <row r="361" spans="2:4" ht="15.75" customHeight="1" x14ac:dyDescent="0.3">
      <c r="B361" s="13"/>
    </row>
    <row r="362" spans="2:4" ht="15.75" customHeight="1" x14ac:dyDescent="0.3">
      <c r="B362" s="13"/>
    </row>
    <row r="363" spans="2:4" ht="15.75" customHeight="1" x14ac:dyDescent="0.3">
      <c r="B363" s="13"/>
    </row>
    <row r="364" spans="2:4" ht="15.75" customHeight="1" x14ac:dyDescent="0.3">
      <c r="B364" s="13"/>
    </row>
    <row r="365" spans="2:4" ht="15.75" customHeight="1" x14ac:dyDescent="0.3">
      <c r="B365" s="13"/>
    </row>
    <row r="366" spans="2:4" ht="15.75" customHeight="1" x14ac:dyDescent="0.3">
      <c r="B366" s="13"/>
    </row>
    <row r="367" spans="2:4" ht="15.75" customHeight="1" x14ac:dyDescent="0.3">
      <c r="B367" s="13"/>
    </row>
    <row r="368" spans="2:4" ht="15.75" customHeight="1" x14ac:dyDescent="0.3">
      <c r="B368" s="13"/>
    </row>
    <row r="369" spans="2:2" ht="15.75" customHeight="1" x14ac:dyDescent="0.3">
      <c r="B369" s="13"/>
    </row>
    <row r="370" spans="2:2" ht="15.75" customHeight="1" x14ac:dyDescent="0.3">
      <c r="B370" s="13"/>
    </row>
    <row r="371" spans="2:2" ht="15.75" customHeight="1" x14ac:dyDescent="0.3">
      <c r="B371" s="13"/>
    </row>
    <row r="372" spans="2:2" ht="15.75" customHeight="1" x14ac:dyDescent="0.3">
      <c r="B372" s="13"/>
    </row>
    <row r="373" spans="2:2" ht="15.75" customHeight="1" x14ac:dyDescent="0.3">
      <c r="B373" s="13"/>
    </row>
    <row r="374" spans="2:2" ht="15.75" customHeight="1" x14ac:dyDescent="0.3">
      <c r="B374" s="13"/>
    </row>
    <row r="375" spans="2:2" ht="15.75" customHeight="1" x14ac:dyDescent="0.3">
      <c r="B375" s="13"/>
    </row>
    <row r="376" spans="2:2" ht="15.75" customHeight="1" x14ac:dyDescent="0.3">
      <c r="B376" s="13"/>
    </row>
    <row r="377" spans="2:2" ht="15.75" customHeight="1" x14ac:dyDescent="0.3">
      <c r="B377" s="13"/>
    </row>
    <row r="378" spans="2:2" ht="15.75" customHeight="1" x14ac:dyDescent="0.3">
      <c r="B378" s="13"/>
    </row>
    <row r="379" spans="2:2" ht="15.75" customHeight="1" x14ac:dyDescent="0.3">
      <c r="B379" s="13"/>
    </row>
    <row r="380" spans="2:2" ht="15.75" customHeight="1" x14ac:dyDescent="0.3">
      <c r="B380" s="13"/>
    </row>
    <row r="381" spans="2:2" ht="15.75" customHeight="1" x14ac:dyDescent="0.3">
      <c r="B381" s="13"/>
    </row>
    <row r="382" spans="2:2" ht="15.75" customHeight="1" x14ac:dyDescent="0.3">
      <c r="B382" s="13"/>
    </row>
    <row r="383" spans="2:2" ht="15.75" customHeight="1" x14ac:dyDescent="0.3">
      <c r="B383" s="13"/>
    </row>
    <row r="384" spans="2:2" ht="15.75" customHeight="1" x14ac:dyDescent="0.3">
      <c r="B384" s="13"/>
    </row>
    <row r="385" spans="2:2" ht="15.75" customHeight="1" x14ac:dyDescent="0.3">
      <c r="B385" s="13"/>
    </row>
    <row r="386" spans="2:2" ht="15.75" customHeight="1" x14ac:dyDescent="0.3">
      <c r="B386" s="13"/>
    </row>
    <row r="387" spans="2:2" ht="15.75" customHeight="1" x14ac:dyDescent="0.3">
      <c r="B387" s="13"/>
    </row>
    <row r="388" spans="2:2" ht="15.75" customHeight="1" x14ac:dyDescent="0.3">
      <c r="B388" s="13"/>
    </row>
    <row r="389" spans="2:2" ht="15.75" customHeight="1" x14ac:dyDescent="0.3">
      <c r="B389" s="13"/>
    </row>
    <row r="390" spans="2:2" ht="15.75" customHeight="1" x14ac:dyDescent="0.3">
      <c r="B390" s="13"/>
    </row>
    <row r="391" spans="2:2" ht="15.75" customHeight="1" x14ac:dyDescent="0.3">
      <c r="B391" s="13"/>
    </row>
    <row r="392" spans="2:2" ht="15.75" customHeight="1" x14ac:dyDescent="0.3">
      <c r="B392" s="13"/>
    </row>
    <row r="393" spans="2:2" ht="15.75" customHeight="1" x14ac:dyDescent="0.3">
      <c r="B393" s="13"/>
    </row>
    <row r="394" spans="2:2" ht="15.75" customHeight="1" x14ac:dyDescent="0.3">
      <c r="B394" s="13"/>
    </row>
    <row r="395" spans="2:2" ht="15.75" customHeight="1" x14ac:dyDescent="0.3">
      <c r="B395" s="13"/>
    </row>
    <row r="396" spans="2:2" ht="15.75" customHeight="1" x14ac:dyDescent="0.3">
      <c r="B396" s="13"/>
    </row>
    <row r="397" spans="2:2" ht="15.75" customHeight="1" x14ac:dyDescent="0.3">
      <c r="B397" s="13"/>
    </row>
    <row r="398" spans="2:2" ht="15.75" customHeight="1" x14ac:dyDescent="0.3">
      <c r="B398" s="13"/>
    </row>
    <row r="399" spans="2:2" ht="15.75" customHeight="1" x14ac:dyDescent="0.3">
      <c r="B399" s="13"/>
    </row>
    <row r="400" spans="2:2" ht="15.75" customHeight="1" x14ac:dyDescent="0.3">
      <c r="B400" s="13"/>
    </row>
    <row r="401" spans="2:2" ht="15.75" customHeight="1" x14ac:dyDescent="0.3">
      <c r="B401" s="13"/>
    </row>
    <row r="402" spans="2:2" ht="15.75" customHeight="1" x14ac:dyDescent="0.3">
      <c r="B402" s="13"/>
    </row>
    <row r="403" spans="2:2" ht="15.75" customHeight="1" x14ac:dyDescent="0.3">
      <c r="B403" s="13"/>
    </row>
    <row r="404" spans="2:2" ht="15.75" customHeight="1" x14ac:dyDescent="0.3">
      <c r="B404" s="13"/>
    </row>
    <row r="405" spans="2:2" ht="15.75" customHeight="1" x14ac:dyDescent="0.3">
      <c r="B405" s="13"/>
    </row>
    <row r="406" spans="2:2" ht="15.75" customHeight="1" x14ac:dyDescent="0.3">
      <c r="B406" s="13"/>
    </row>
    <row r="407" spans="2:2" ht="15.75" customHeight="1" x14ac:dyDescent="0.3">
      <c r="B407" s="13"/>
    </row>
    <row r="408" spans="2:2" ht="15.75" customHeight="1" x14ac:dyDescent="0.3">
      <c r="B408" s="13"/>
    </row>
    <row r="409" spans="2:2" ht="15.75" customHeight="1" x14ac:dyDescent="0.3">
      <c r="B409" s="13"/>
    </row>
    <row r="410" spans="2:2" ht="15.75" customHeight="1" x14ac:dyDescent="0.3">
      <c r="B410" s="13"/>
    </row>
    <row r="411" spans="2:2" ht="15.75" customHeight="1" x14ac:dyDescent="0.3">
      <c r="B411" s="13"/>
    </row>
    <row r="412" spans="2:2" ht="15.75" customHeight="1" x14ac:dyDescent="0.3">
      <c r="B412" s="13"/>
    </row>
    <row r="413" spans="2:2" ht="15.75" customHeight="1" x14ac:dyDescent="0.3">
      <c r="B413" s="13"/>
    </row>
    <row r="414" spans="2:2" ht="15.75" customHeight="1" x14ac:dyDescent="0.3">
      <c r="B414" s="13"/>
    </row>
    <row r="415" spans="2:2" ht="15.75" customHeight="1" x14ac:dyDescent="0.3">
      <c r="B415" s="13"/>
    </row>
    <row r="416" spans="2:2" ht="15.75" customHeight="1" x14ac:dyDescent="0.3">
      <c r="B416" s="13"/>
    </row>
    <row r="417" spans="2:2" ht="15.75" customHeight="1" x14ac:dyDescent="0.3">
      <c r="B417" s="13"/>
    </row>
    <row r="418" spans="2:2" ht="15.75" customHeight="1" x14ac:dyDescent="0.3">
      <c r="B418" s="13"/>
    </row>
    <row r="419" spans="2:2" ht="15.75" customHeight="1" x14ac:dyDescent="0.3">
      <c r="B419" s="13"/>
    </row>
    <row r="420" spans="2:2" ht="15.75" customHeight="1" x14ac:dyDescent="0.3">
      <c r="B420" s="13"/>
    </row>
    <row r="421" spans="2:2" ht="15.75" customHeight="1" x14ac:dyDescent="0.3">
      <c r="B421" s="13"/>
    </row>
    <row r="422" spans="2:2" ht="15.75" customHeight="1" x14ac:dyDescent="0.3">
      <c r="B422" s="13"/>
    </row>
    <row r="423" spans="2:2" ht="15.75" customHeight="1" x14ac:dyDescent="0.3">
      <c r="B423" s="13"/>
    </row>
    <row r="424" spans="2:2" ht="15.75" customHeight="1" x14ac:dyDescent="0.3">
      <c r="B424" s="13"/>
    </row>
    <row r="425" spans="2:2" ht="15.75" customHeight="1" x14ac:dyDescent="0.3">
      <c r="B425" s="13"/>
    </row>
    <row r="426" spans="2:2" ht="15.75" customHeight="1" x14ac:dyDescent="0.3">
      <c r="B426" s="13"/>
    </row>
    <row r="427" spans="2:2" ht="15.75" customHeight="1" x14ac:dyDescent="0.3">
      <c r="B427" s="13"/>
    </row>
    <row r="428" spans="2:2" ht="15.75" customHeight="1" x14ac:dyDescent="0.3">
      <c r="B428" s="13"/>
    </row>
    <row r="429" spans="2:2" ht="15.75" customHeight="1" x14ac:dyDescent="0.3">
      <c r="B429" s="13"/>
    </row>
    <row r="430" spans="2:2" ht="15.75" customHeight="1" x14ac:dyDescent="0.3">
      <c r="B430" s="13"/>
    </row>
    <row r="431" spans="2:2" ht="15.75" customHeight="1" x14ac:dyDescent="0.3">
      <c r="B431" s="13"/>
    </row>
    <row r="432" spans="2:2" ht="15.75" customHeight="1" x14ac:dyDescent="0.3">
      <c r="B432" s="13"/>
    </row>
    <row r="433" spans="2:2" ht="15.75" customHeight="1" x14ac:dyDescent="0.3">
      <c r="B433" s="13"/>
    </row>
    <row r="434" spans="2:2" ht="15.75" customHeight="1" x14ac:dyDescent="0.3">
      <c r="B434" s="13"/>
    </row>
    <row r="435" spans="2:2" ht="15.75" customHeight="1" x14ac:dyDescent="0.3">
      <c r="B435" s="13"/>
    </row>
    <row r="436" spans="2:2" ht="15.75" customHeight="1" x14ac:dyDescent="0.3">
      <c r="B436" s="13"/>
    </row>
    <row r="437" spans="2:2" ht="15.75" customHeight="1" x14ac:dyDescent="0.3">
      <c r="B437" s="13"/>
    </row>
    <row r="438" spans="2:2" ht="15.75" customHeight="1" x14ac:dyDescent="0.3">
      <c r="B438" s="13"/>
    </row>
    <row r="439" spans="2:2" ht="15.75" customHeight="1" x14ac:dyDescent="0.3">
      <c r="B439" s="13"/>
    </row>
    <row r="440" spans="2:2" ht="15.75" customHeight="1" x14ac:dyDescent="0.3">
      <c r="B440" s="13"/>
    </row>
    <row r="441" spans="2:2" ht="15.75" customHeight="1" x14ac:dyDescent="0.3">
      <c r="B441" s="13"/>
    </row>
    <row r="442" spans="2:2" ht="15.75" customHeight="1" x14ac:dyDescent="0.3">
      <c r="B442" s="13"/>
    </row>
    <row r="443" spans="2:2" ht="15.75" customHeight="1" x14ac:dyDescent="0.3">
      <c r="B443" s="13"/>
    </row>
    <row r="444" spans="2:2" ht="15.75" customHeight="1" x14ac:dyDescent="0.3">
      <c r="B444" s="13"/>
    </row>
    <row r="445" spans="2:2" ht="15.75" customHeight="1" x14ac:dyDescent="0.3">
      <c r="B445" s="13"/>
    </row>
    <row r="446" spans="2:2" ht="15.75" customHeight="1" x14ac:dyDescent="0.3">
      <c r="B446" s="13"/>
    </row>
    <row r="447" spans="2:2" ht="15.75" customHeight="1" x14ac:dyDescent="0.3">
      <c r="B447" s="13"/>
    </row>
    <row r="448" spans="2:2" ht="15.75" customHeight="1" x14ac:dyDescent="0.3">
      <c r="B448" s="13"/>
    </row>
    <row r="449" spans="2:2" ht="15.75" customHeight="1" x14ac:dyDescent="0.3">
      <c r="B449" s="13"/>
    </row>
    <row r="450" spans="2:2" ht="15.75" customHeight="1" x14ac:dyDescent="0.3">
      <c r="B450" s="13"/>
    </row>
    <row r="451" spans="2:2" ht="15.75" customHeight="1" x14ac:dyDescent="0.3">
      <c r="B451" s="13"/>
    </row>
    <row r="452" spans="2:2" ht="15.75" customHeight="1" x14ac:dyDescent="0.3">
      <c r="B452" s="13"/>
    </row>
    <row r="453" spans="2:2" ht="15.75" customHeight="1" x14ac:dyDescent="0.3">
      <c r="B453" s="13"/>
    </row>
    <row r="454" spans="2:2" ht="15.75" customHeight="1" x14ac:dyDescent="0.3">
      <c r="B454" s="13"/>
    </row>
    <row r="455" spans="2:2" ht="15.75" customHeight="1" x14ac:dyDescent="0.3">
      <c r="B455" s="13"/>
    </row>
    <row r="456" spans="2:2" ht="15.75" customHeight="1" x14ac:dyDescent="0.3">
      <c r="B456" s="13"/>
    </row>
    <row r="457" spans="2:2" ht="15.75" customHeight="1" x14ac:dyDescent="0.3">
      <c r="B457" s="13"/>
    </row>
    <row r="458" spans="2:2" ht="15.75" customHeight="1" x14ac:dyDescent="0.3">
      <c r="B458" s="13"/>
    </row>
    <row r="459" spans="2:2" ht="15.75" customHeight="1" x14ac:dyDescent="0.3">
      <c r="B459" s="13"/>
    </row>
    <row r="460" spans="2:2" ht="15.75" customHeight="1" x14ac:dyDescent="0.3">
      <c r="B460" s="13"/>
    </row>
    <row r="461" spans="2:2" ht="15.75" customHeight="1" x14ac:dyDescent="0.3">
      <c r="B461" s="13"/>
    </row>
    <row r="462" spans="2:2" ht="15.75" customHeight="1" x14ac:dyDescent="0.3">
      <c r="B462" s="13"/>
    </row>
    <row r="463" spans="2:2" ht="15.75" customHeight="1" x14ac:dyDescent="0.3">
      <c r="B463" s="13"/>
    </row>
    <row r="464" spans="2:2" ht="15.75" customHeight="1" x14ac:dyDescent="0.3">
      <c r="B464" s="13"/>
    </row>
    <row r="465" spans="2:2" ht="15.75" customHeight="1" x14ac:dyDescent="0.3">
      <c r="B465" s="13"/>
    </row>
    <row r="466" spans="2:2" ht="15.75" customHeight="1" x14ac:dyDescent="0.3">
      <c r="B466" s="13"/>
    </row>
    <row r="467" spans="2:2" ht="15.75" customHeight="1" x14ac:dyDescent="0.3">
      <c r="B467" s="13"/>
    </row>
    <row r="468" spans="2:2" ht="15.75" customHeight="1" x14ac:dyDescent="0.3">
      <c r="B468" s="13"/>
    </row>
    <row r="469" spans="2:2" ht="15.75" customHeight="1" x14ac:dyDescent="0.3">
      <c r="B469" s="13"/>
    </row>
    <row r="470" spans="2:2" ht="15.75" customHeight="1" x14ac:dyDescent="0.3">
      <c r="B470" s="13"/>
    </row>
    <row r="471" spans="2:2" ht="15.75" customHeight="1" x14ac:dyDescent="0.3">
      <c r="B471" s="13"/>
    </row>
    <row r="472" spans="2:2" ht="15.75" customHeight="1" x14ac:dyDescent="0.3">
      <c r="B472" s="13"/>
    </row>
    <row r="473" spans="2:2" ht="15.75" customHeight="1" x14ac:dyDescent="0.3">
      <c r="B473" s="13"/>
    </row>
    <row r="474" spans="2:2" ht="15.75" customHeight="1" x14ac:dyDescent="0.3">
      <c r="B474" s="13"/>
    </row>
    <row r="475" spans="2:2" ht="15.75" customHeight="1" x14ac:dyDescent="0.3">
      <c r="B475" s="13"/>
    </row>
    <row r="476" spans="2:2" ht="15.75" customHeight="1" x14ac:dyDescent="0.3">
      <c r="B476" s="13"/>
    </row>
    <row r="477" spans="2:2" ht="15.75" customHeight="1" x14ac:dyDescent="0.3">
      <c r="B477" s="13"/>
    </row>
    <row r="478" spans="2:2" ht="15.75" customHeight="1" x14ac:dyDescent="0.3">
      <c r="B478" s="13"/>
    </row>
    <row r="479" spans="2:2" ht="15.75" customHeight="1" x14ac:dyDescent="0.3">
      <c r="B479" s="13"/>
    </row>
    <row r="480" spans="2:2" ht="15.75" customHeight="1" x14ac:dyDescent="0.3">
      <c r="B480" s="13"/>
    </row>
    <row r="481" spans="2:2" ht="15.75" customHeight="1" x14ac:dyDescent="0.3">
      <c r="B481" s="13"/>
    </row>
    <row r="482" spans="2:2" ht="15.75" customHeight="1" x14ac:dyDescent="0.3">
      <c r="B482" s="13"/>
    </row>
    <row r="483" spans="2:2" ht="15.75" customHeight="1" x14ac:dyDescent="0.3">
      <c r="B483" s="13"/>
    </row>
    <row r="484" spans="2:2" ht="15.75" customHeight="1" x14ac:dyDescent="0.3">
      <c r="B484" s="13"/>
    </row>
    <row r="485" spans="2:2" ht="15.75" customHeight="1" x14ac:dyDescent="0.3">
      <c r="B485" s="13"/>
    </row>
    <row r="486" spans="2:2" ht="15.75" customHeight="1" x14ac:dyDescent="0.3">
      <c r="B486" s="13"/>
    </row>
    <row r="487" spans="2:2" ht="15.75" customHeight="1" x14ac:dyDescent="0.3">
      <c r="B487" s="13"/>
    </row>
    <row r="488" spans="2:2" ht="15.75" customHeight="1" x14ac:dyDescent="0.3">
      <c r="B488" s="13"/>
    </row>
    <row r="489" spans="2:2" ht="15.75" customHeight="1" x14ac:dyDescent="0.3">
      <c r="B489" s="13"/>
    </row>
    <row r="490" spans="2:2" ht="15.75" customHeight="1" x14ac:dyDescent="0.3">
      <c r="B490" s="13"/>
    </row>
    <row r="491" spans="2:2" ht="15.75" customHeight="1" x14ac:dyDescent="0.3">
      <c r="B491" s="13"/>
    </row>
    <row r="492" spans="2:2" ht="15.75" customHeight="1" x14ac:dyDescent="0.3">
      <c r="B492" s="13"/>
    </row>
    <row r="493" spans="2:2" ht="15.75" customHeight="1" x14ac:dyDescent="0.3">
      <c r="B493" s="13"/>
    </row>
    <row r="494" spans="2:2" ht="15.75" customHeight="1" x14ac:dyDescent="0.3">
      <c r="B494" s="13"/>
    </row>
    <row r="495" spans="2:2" ht="15.75" customHeight="1" x14ac:dyDescent="0.3">
      <c r="B495" s="13"/>
    </row>
    <row r="496" spans="2:2" ht="15.75" customHeight="1" x14ac:dyDescent="0.3">
      <c r="B496" s="13"/>
    </row>
    <row r="497" spans="2:2" ht="15.75" customHeight="1" x14ac:dyDescent="0.3">
      <c r="B497" s="13"/>
    </row>
    <row r="498" spans="2:2" ht="15.75" customHeight="1" x14ac:dyDescent="0.3">
      <c r="B498" s="13"/>
    </row>
    <row r="499" spans="2:2" ht="15.75" customHeight="1" x14ac:dyDescent="0.3">
      <c r="B499" s="13"/>
    </row>
    <row r="500" spans="2:2" ht="15.75" customHeight="1" x14ac:dyDescent="0.3">
      <c r="B500" s="13"/>
    </row>
    <row r="501" spans="2:2" ht="15.75" customHeight="1" x14ac:dyDescent="0.3">
      <c r="B501" s="13"/>
    </row>
    <row r="502" spans="2:2" ht="15.75" customHeight="1" x14ac:dyDescent="0.3">
      <c r="B502" s="13"/>
    </row>
    <row r="503" spans="2:2" ht="15.75" customHeight="1" x14ac:dyDescent="0.3">
      <c r="B503" s="13"/>
    </row>
    <row r="504" spans="2:2" ht="15.75" customHeight="1" x14ac:dyDescent="0.3">
      <c r="B504" s="13"/>
    </row>
    <row r="505" spans="2:2" ht="15.75" customHeight="1" x14ac:dyDescent="0.3">
      <c r="B505" s="13"/>
    </row>
    <row r="506" spans="2:2" ht="15.75" customHeight="1" x14ac:dyDescent="0.3">
      <c r="B506" s="13"/>
    </row>
    <row r="507" spans="2:2" ht="15.75" customHeight="1" x14ac:dyDescent="0.3">
      <c r="B507" s="13"/>
    </row>
    <row r="508" spans="2:2" ht="15.75" customHeight="1" x14ac:dyDescent="0.3">
      <c r="B508" s="13"/>
    </row>
    <row r="509" spans="2:2" ht="15.75" customHeight="1" x14ac:dyDescent="0.3">
      <c r="B509" s="13"/>
    </row>
    <row r="510" spans="2:2" ht="15.75" customHeight="1" x14ac:dyDescent="0.3">
      <c r="B510" s="13"/>
    </row>
    <row r="511" spans="2:2" ht="15.75" customHeight="1" x14ac:dyDescent="0.3">
      <c r="B511" s="13"/>
    </row>
    <row r="512" spans="2:2" ht="15.75" customHeight="1" x14ac:dyDescent="0.3">
      <c r="B512" s="13"/>
    </row>
    <row r="513" spans="2:2" ht="15.75" customHeight="1" x14ac:dyDescent="0.3">
      <c r="B513" s="13"/>
    </row>
    <row r="514" spans="2:2" ht="15.75" customHeight="1" x14ac:dyDescent="0.3">
      <c r="B514" s="13"/>
    </row>
    <row r="515" spans="2:2" ht="15.75" customHeight="1" x14ac:dyDescent="0.3">
      <c r="B515" s="13"/>
    </row>
    <row r="516" spans="2:2" ht="15.75" customHeight="1" x14ac:dyDescent="0.3">
      <c r="B516" s="13"/>
    </row>
    <row r="517" spans="2:2" ht="15.75" customHeight="1" x14ac:dyDescent="0.3">
      <c r="B517" s="13"/>
    </row>
    <row r="518" spans="2:2" ht="15.75" customHeight="1" x14ac:dyDescent="0.3">
      <c r="B518" s="13"/>
    </row>
    <row r="519" spans="2:2" ht="15.75" customHeight="1" x14ac:dyDescent="0.3">
      <c r="B519" s="13"/>
    </row>
    <row r="520" spans="2:2" ht="15.75" customHeight="1" x14ac:dyDescent="0.3">
      <c r="B520" s="13"/>
    </row>
    <row r="521" spans="2:2" ht="15.75" customHeight="1" x14ac:dyDescent="0.3">
      <c r="B521" s="13"/>
    </row>
    <row r="522" spans="2:2" ht="15.75" customHeight="1" x14ac:dyDescent="0.3">
      <c r="B522" s="13"/>
    </row>
    <row r="523" spans="2:2" ht="15.75" customHeight="1" x14ac:dyDescent="0.3">
      <c r="B523" s="13"/>
    </row>
    <row r="524" spans="2:2" ht="15.75" customHeight="1" x14ac:dyDescent="0.3">
      <c r="B524" s="13"/>
    </row>
    <row r="525" spans="2:2" ht="15.75" customHeight="1" x14ac:dyDescent="0.3">
      <c r="B525" s="13"/>
    </row>
    <row r="526" spans="2:2" ht="15.75" customHeight="1" x14ac:dyDescent="0.3">
      <c r="B526" s="13"/>
    </row>
    <row r="527" spans="2:2" ht="15.75" customHeight="1" x14ac:dyDescent="0.3">
      <c r="B527" s="13"/>
    </row>
    <row r="528" spans="2:2" ht="15.75" customHeight="1" x14ac:dyDescent="0.3">
      <c r="B528" s="13"/>
    </row>
    <row r="529" spans="2:2" ht="15.75" customHeight="1" x14ac:dyDescent="0.3">
      <c r="B529" s="13"/>
    </row>
    <row r="530" spans="2:2" ht="15.75" customHeight="1" x14ac:dyDescent="0.3">
      <c r="B530" s="13"/>
    </row>
    <row r="531" spans="2:2" ht="15.75" customHeight="1" x14ac:dyDescent="0.3">
      <c r="B531" s="13"/>
    </row>
    <row r="532" spans="2:2" ht="15.75" customHeight="1" x14ac:dyDescent="0.3">
      <c r="B532" s="13"/>
    </row>
    <row r="533" spans="2:2" ht="15.75" customHeight="1" x14ac:dyDescent="0.3">
      <c r="B533" s="13"/>
    </row>
    <row r="534" spans="2:2" ht="15.75" customHeight="1" x14ac:dyDescent="0.3">
      <c r="B534" s="13"/>
    </row>
    <row r="535" spans="2:2" ht="15.75" customHeight="1" x14ac:dyDescent="0.3">
      <c r="B535" s="13"/>
    </row>
    <row r="536" spans="2:2" ht="15.75" customHeight="1" x14ac:dyDescent="0.3">
      <c r="B536" s="13"/>
    </row>
    <row r="537" spans="2:2" ht="15.75" customHeight="1" x14ac:dyDescent="0.3">
      <c r="B537" s="13"/>
    </row>
    <row r="538" spans="2:2" ht="15.75" customHeight="1" x14ac:dyDescent="0.3">
      <c r="B538" s="13"/>
    </row>
    <row r="539" spans="2:2" ht="15.75" customHeight="1" x14ac:dyDescent="0.3">
      <c r="B539" s="13"/>
    </row>
    <row r="540" spans="2:2" ht="15.75" customHeight="1" x14ac:dyDescent="0.3">
      <c r="B540" s="13"/>
    </row>
    <row r="541" spans="2:2" ht="15.75" customHeight="1" x14ac:dyDescent="0.3">
      <c r="B541" s="13"/>
    </row>
    <row r="542" spans="2:2" ht="15.75" customHeight="1" x14ac:dyDescent="0.3">
      <c r="B542" s="13"/>
    </row>
    <row r="543" spans="2:2" ht="15.75" customHeight="1" x14ac:dyDescent="0.3">
      <c r="B543" s="13"/>
    </row>
    <row r="544" spans="2:2" ht="15.75" customHeight="1" x14ac:dyDescent="0.3">
      <c r="B544" s="13"/>
    </row>
    <row r="545" spans="2:2" ht="15.75" customHeight="1" x14ac:dyDescent="0.3">
      <c r="B545" s="13"/>
    </row>
    <row r="546" spans="2:2" ht="15.75" customHeight="1" x14ac:dyDescent="0.3">
      <c r="B546" s="13"/>
    </row>
    <row r="547" spans="2:2" ht="15.75" customHeight="1" x14ac:dyDescent="0.3">
      <c r="B547" s="13"/>
    </row>
    <row r="548" spans="2:2" ht="15.75" customHeight="1" x14ac:dyDescent="0.3">
      <c r="B548" s="13"/>
    </row>
    <row r="549" spans="2:2" ht="15.75" customHeight="1" x14ac:dyDescent="0.3">
      <c r="B549" s="13"/>
    </row>
    <row r="550" spans="2:2" ht="15.75" customHeight="1" x14ac:dyDescent="0.3">
      <c r="B550" s="13"/>
    </row>
    <row r="551" spans="2:2" ht="15.75" customHeight="1" x14ac:dyDescent="0.3">
      <c r="B551" s="13"/>
    </row>
    <row r="552" spans="2:2" ht="15.75" customHeight="1" x14ac:dyDescent="0.3">
      <c r="B552" s="13"/>
    </row>
    <row r="553" spans="2:2" ht="15.75" customHeight="1" x14ac:dyDescent="0.3">
      <c r="B553" s="13"/>
    </row>
    <row r="554" spans="2:2" ht="15.75" customHeight="1" x14ac:dyDescent="0.3">
      <c r="B554" s="13"/>
    </row>
    <row r="555" spans="2:2" ht="15.75" customHeight="1" x14ac:dyDescent="0.3">
      <c r="B555" s="13"/>
    </row>
    <row r="556" spans="2:2" ht="15.75" customHeight="1" x14ac:dyDescent="0.3">
      <c r="B556" s="13"/>
    </row>
    <row r="557" spans="2:2" ht="15.75" customHeight="1" x14ac:dyDescent="0.3">
      <c r="B557" s="13"/>
    </row>
    <row r="558" spans="2:2" ht="15.75" customHeight="1" x14ac:dyDescent="0.3">
      <c r="B558" s="13"/>
    </row>
    <row r="559" spans="2:2" ht="15.75" customHeight="1" x14ac:dyDescent="0.3">
      <c r="B559" s="13"/>
    </row>
    <row r="560" spans="2:2" ht="15.75" customHeight="1" x14ac:dyDescent="0.3">
      <c r="B560" s="13"/>
    </row>
    <row r="561" spans="2:2" ht="15.75" customHeight="1" x14ac:dyDescent="0.3">
      <c r="B561" s="13"/>
    </row>
    <row r="562" spans="2:2" ht="15.75" customHeight="1" x14ac:dyDescent="0.3">
      <c r="B562" s="13"/>
    </row>
    <row r="563" spans="2:2" ht="15.75" customHeight="1" x14ac:dyDescent="0.3">
      <c r="B563" s="13"/>
    </row>
    <row r="564" spans="2:2" ht="15.75" customHeight="1" x14ac:dyDescent="0.3">
      <c r="B564" s="13"/>
    </row>
    <row r="565" spans="2:2" ht="15.75" customHeight="1" x14ac:dyDescent="0.3">
      <c r="B565" s="13"/>
    </row>
    <row r="566" spans="2:2" ht="15.75" customHeight="1" x14ac:dyDescent="0.3">
      <c r="B566" s="13"/>
    </row>
    <row r="567" spans="2:2" ht="15.75" customHeight="1" x14ac:dyDescent="0.3">
      <c r="B567" s="13"/>
    </row>
    <row r="568" spans="2:2" ht="15.75" customHeight="1" x14ac:dyDescent="0.3">
      <c r="B568" s="13"/>
    </row>
    <row r="569" spans="2:2" ht="15.75" customHeight="1" x14ac:dyDescent="0.3">
      <c r="B569" s="13"/>
    </row>
    <row r="570" spans="2:2" ht="15.75" customHeight="1" x14ac:dyDescent="0.3">
      <c r="B570" s="13"/>
    </row>
    <row r="571" spans="2:2" ht="15.75" customHeight="1" x14ac:dyDescent="0.3">
      <c r="B571" s="13"/>
    </row>
    <row r="572" spans="2:2" ht="15.75" customHeight="1" x14ac:dyDescent="0.3">
      <c r="B572" s="13"/>
    </row>
    <row r="573" spans="2:2" ht="15.75" customHeight="1" x14ac:dyDescent="0.3">
      <c r="B573" s="13"/>
    </row>
    <row r="574" spans="2:2" ht="15.75" customHeight="1" x14ac:dyDescent="0.3">
      <c r="B574" s="13"/>
    </row>
    <row r="575" spans="2:2" ht="15.75" customHeight="1" x14ac:dyDescent="0.3">
      <c r="B575" s="13"/>
    </row>
    <row r="576" spans="2:2" ht="15.75" customHeight="1" x14ac:dyDescent="0.3">
      <c r="B576" s="13"/>
    </row>
    <row r="577" spans="2:2" ht="15.75" customHeight="1" x14ac:dyDescent="0.3">
      <c r="B577" s="13"/>
    </row>
    <row r="578" spans="2:2" ht="15.75" customHeight="1" x14ac:dyDescent="0.3">
      <c r="B578" s="13"/>
    </row>
    <row r="579" spans="2:2" ht="15.75" customHeight="1" x14ac:dyDescent="0.3">
      <c r="B579" s="13"/>
    </row>
    <row r="580" spans="2:2" ht="15.75" customHeight="1" x14ac:dyDescent="0.3">
      <c r="B580" s="13"/>
    </row>
    <row r="581" spans="2:2" ht="15.75" customHeight="1" x14ac:dyDescent="0.3">
      <c r="B581" s="13"/>
    </row>
    <row r="582" spans="2:2" ht="15.75" customHeight="1" x14ac:dyDescent="0.3">
      <c r="B582" s="13"/>
    </row>
    <row r="583" spans="2:2" ht="15.75" customHeight="1" x14ac:dyDescent="0.3">
      <c r="B583" s="13"/>
    </row>
    <row r="584" spans="2:2" ht="15.75" customHeight="1" x14ac:dyDescent="0.3">
      <c r="B584" s="13"/>
    </row>
    <row r="585" spans="2:2" ht="15.75" customHeight="1" x14ac:dyDescent="0.3">
      <c r="B585" s="13"/>
    </row>
    <row r="586" spans="2:2" ht="15.75" customHeight="1" x14ac:dyDescent="0.3">
      <c r="B586" s="13"/>
    </row>
    <row r="587" spans="2:2" ht="15.75" customHeight="1" x14ac:dyDescent="0.3">
      <c r="B587" s="13"/>
    </row>
    <row r="588" spans="2:2" ht="15.75" customHeight="1" x14ac:dyDescent="0.3">
      <c r="B588" s="13"/>
    </row>
    <row r="589" spans="2:2" ht="15.75" customHeight="1" x14ac:dyDescent="0.3">
      <c r="B589" s="13"/>
    </row>
    <row r="590" spans="2:2" ht="15.75" customHeight="1" x14ac:dyDescent="0.3">
      <c r="B590" s="13"/>
    </row>
    <row r="591" spans="2:2" ht="15.75" customHeight="1" x14ac:dyDescent="0.3">
      <c r="B591" s="13"/>
    </row>
    <row r="592" spans="2:2" ht="15.75" customHeight="1" x14ac:dyDescent="0.3">
      <c r="B592" s="13"/>
    </row>
    <row r="593" spans="2:2" ht="15.75" customHeight="1" x14ac:dyDescent="0.3">
      <c r="B593" s="13"/>
    </row>
    <row r="594" spans="2:2" ht="15.75" customHeight="1" x14ac:dyDescent="0.3">
      <c r="B594" s="13"/>
    </row>
    <row r="595" spans="2:2" ht="15.75" customHeight="1" x14ac:dyDescent="0.3">
      <c r="B595" s="13"/>
    </row>
    <row r="596" spans="2:2" ht="15.75" customHeight="1" x14ac:dyDescent="0.3">
      <c r="B596" s="13"/>
    </row>
    <row r="597" spans="2:2" ht="15.75" customHeight="1" x14ac:dyDescent="0.3">
      <c r="B597" s="13"/>
    </row>
    <row r="598" spans="2:2" ht="15.75" customHeight="1" x14ac:dyDescent="0.3">
      <c r="B598" s="13"/>
    </row>
    <row r="599" spans="2:2" ht="15.75" customHeight="1" x14ac:dyDescent="0.3">
      <c r="B599" s="13"/>
    </row>
    <row r="600" spans="2:2" ht="15.75" customHeight="1" x14ac:dyDescent="0.3">
      <c r="B600" s="13"/>
    </row>
    <row r="601" spans="2:2" ht="15.75" customHeight="1" x14ac:dyDescent="0.3">
      <c r="B601" s="13"/>
    </row>
    <row r="602" spans="2:2" ht="15.75" customHeight="1" x14ac:dyDescent="0.3">
      <c r="B602" s="13"/>
    </row>
    <row r="603" spans="2:2" ht="15.75" customHeight="1" x14ac:dyDescent="0.3">
      <c r="B603" s="13"/>
    </row>
    <row r="604" spans="2:2" ht="15.75" customHeight="1" x14ac:dyDescent="0.3">
      <c r="B604" s="13"/>
    </row>
    <row r="605" spans="2:2" ht="15.75" customHeight="1" x14ac:dyDescent="0.3">
      <c r="B605" s="13"/>
    </row>
    <row r="606" spans="2:2" ht="15.75" customHeight="1" x14ac:dyDescent="0.3">
      <c r="B606" s="13"/>
    </row>
    <row r="607" spans="2:2" ht="15.75" customHeight="1" x14ac:dyDescent="0.3">
      <c r="B607" s="13"/>
    </row>
    <row r="608" spans="2:2" ht="15.75" customHeight="1" x14ac:dyDescent="0.3">
      <c r="B608" s="13"/>
    </row>
    <row r="609" spans="2:2" ht="15.75" customHeight="1" x14ac:dyDescent="0.3">
      <c r="B609" s="13"/>
    </row>
    <row r="610" spans="2:2" ht="15.75" customHeight="1" x14ac:dyDescent="0.3">
      <c r="B610" s="13"/>
    </row>
    <row r="611" spans="2:2" ht="15.75" customHeight="1" x14ac:dyDescent="0.3">
      <c r="B611" s="13"/>
    </row>
    <row r="612" spans="2:2" ht="15.75" customHeight="1" x14ac:dyDescent="0.3">
      <c r="B612" s="13"/>
    </row>
    <row r="613" spans="2:2" ht="15.75" customHeight="1" x14ac:dyDescent="0.3">
      <c r="B613" s="13"/>
    </row>
    <row r="614" spans="2:2" ht="15.75" customHeight="1" x14ac:dyDescent="0.3">
      <c r="B614" s="13"/>
    </row>
    <row r="615" spans="2:2" ht="15.75" customHeight="1" x14ac:dyDescent="0.3">
      <c r="B615" s="13"/>
    </row>
    <row r="616" spans="2:2" ht="15.75" customHeight="1" x14ac:dyDescent="0.3">
      <c r="B616" s="13"/>
    </row>
    <row r="617" spans="2:2" ht="15.75" customHeight="1" x14ac:dyDescent="0.3">
      <c r="B617" s="13"/>
    </row>
    <row r="618" spans="2:2" ht="15.75" customHeight="1" x14ac:dyDescent="0.3">
      <c r="B618" s="13"/>
    </row>
    <row r="619" spans="2:2" ht="15.75" customHeight="1" x14ac:dyDescent="0.3">
      <c r="B619" s="13"/>
    </row>
    <row r="620" spans="2:2" ht="15.75" customHeight="1" x14ac:dyDescent="0.3">
      <c r="B620" s="13"/>
    </row>
    <row r="621" spans="2:2" ht="15.75" customHeight="1" x14ac:dyDescent="0.3">
      <c r="B621" s="13"/>
    </row>
    <row r="622" spans="2:2" ht="15.75" customHeight="1" x14ac:dyDescent="0.3">
      <c r="B622" s="13"/>
    </row>
    <row r="623" spans="2:2" ht="15.75" customHeight="1" x14ac:dyDescent="0.3">
      <c r="B623" s="13"/>
    </row>
    <row r="624" spans="2:2" ht="15.75" customHeight="1" x14ac:dyDescent="0.3">
      <c r="B624" s="13"/>
    </row>
    <row r="625" spans="2:2" ht="15.75" customHeight="1" x14ac:dyDescent="0.3">
      <c r="B625" s="13"/>
    </row>
    <row r="626" spans="2:2" ht="15.75" customHeight="1" x14ac:dyDescent="0.3">
      <c r="B626" s="13"/>
    </row>
    <row r="627" spans="2:2" ht="15.75" customHeight="1" x14ac:dyDescent="0.3">
      <c r="B627" s="13"/>
    </row>
    <row r="628" spans="2:2" ht="15.75" customHeight="1" x14ac:dyDescent="0.3">
      <c r="B628" s="13"/>
    </row>
    <row r="629" spans="2:2" ht="15.75" customHeight="1" x14ac:dyDescent="0.3">
      <c r="B629" s="13"/>
    </row>
    <row r="630" spans="2:2" ht="15.75" customHeight="1" x14ac:dyDescent="0.3">
      <c r="B630" s="13"/>
    </row>
    <row r="631" spans="2:2" ht="15.75" customHeight="1" x14ac:dyDescent="0.3">
      <c r="B631" s="13"/>
    </row>
    <row r="632" spans="2:2" ht="15.75" customHeight="1" x14ac:dyDescent="0.3">
      <c r="B632" s="13"/>
    </row>
    <row r="633" spans="2:2" ht="15.75" customHeight="1" x14ac:dyDescent="0.3">
      <c r="B633" s="13"/>
    </row>
    <row r="634" spans="2:2" ht="15.75" customHeight="1" x14ac:dyDescent="0.3">
      <c r="B634" s="13"/>
    </row>
    <row r="635" spans="2:2" ht="15.75" customHeight="1" x14ac:dyDescent="0.3">
      <c r="B635" s="13"/>
    </row>
    <row r="636" spans="2:2" ht="15.75" customHeight="1" x14ac:dyDescent="0.3">
      <c r="B636" s="13"/>
    </row>
    <row r="637" spans="2:2" ht="15.75" customHeight="1" x14ac:dyDescent="0.3">
      <c r="B637" s="13"/>
    </row>
    <row r="638" spans="2:2" ht="15.75" customHeight="1" x14ac:dyDescent="0.3">
      <c r="B638" s="13"/>
    </row>
    <row r="639" spans="2:2" ht="15.75" customHeight="1" x14ac:dyDescent="0.3">
      <c r="B639" s="13"/>
    </row>
    <row r="640" spans="2:2" ht="15.75" customHeight="1" x14ac:dyDescent="0.3">
      <c r="B640" s="13"/>
    </row>
    <row r="641" spans="2:2" ht="15.75" customHeight="1" x14ac:dyDescent="0.3">
      <c r="B641" s="13"/>
    </row>
    <row r="642" spans="2:2" ht="15.75" customHeight="1" x14ac:dyDescent="0.3">
      <c r="B642" s="13"/>
    </row>
    <row r="643" spans="2:2" ht="15.75" customHeight="1" x14ac:dyDescent="0.3">
      <c r="B643" s="13"/>
    </row>
    <row r="644" spans="2:2" ht="15.75" customHeight="1" x14ac:dyDescent="0.3">
      <c r="B644" s="13"/>
    </row>
    <row r="645" spans="2:2" ht="15.75" customHeight="1" x14ac:dyDescent="0.3">
      <c r="B645" s="13"/>
    </row>
    <row r="646" spans="2:2" ht="15.75" customHeight="1" x14ac:dyDescent="0.3">
      <c r="B646" s="13"/>
    </row>
    <row r="647" spans="2:2" ht="15.75" customHeight="1" x14ac:dyDescent="0.3">
      <c r="B647" s="13"/>
    </row>
    <row r="648" spans="2:2" ht="15.75" customHeight="1" x14ac:dyDescent="0.3">
      <c r="B648" s="13"/>
    </row>
    <row r="649" spans="2:2" ht="15.75" customHeight="1" x14ac:dyDescent="0.3">
      <c r="B649" s="13"/>
    </row>
    <row r="650" spans="2:2" ht="15.75" customHeight="1" x14ac:dyDescent="0.3">
      <c r="B650" s="13"/>
    </row>
    <row r="651" spans="2:2" ht="15.75" customHeight="1" x14ac:dyDescent="0.3">
      <c r="B651" s="13"/>
    </row>
    <row r="652" spans="2:2" ht="15.75" customHeight="1" x14ac:dyDescent="0.3">
      <c r="B652" s="13"/>
    </row>
    <row r="653" spans="2:2" ht="15.75" customHeight="1" x14ac:dyDescent="0.3">
      <c r="B653" s="13"/>
    </row>
    <row r="654" spans="2:2" ht="15.75" customHeight="1" x14ac:dyDescent="0.3">
      <c r="B654" s="13"/>
    </row>
    <row r="655" spans="2:2" ht="15.75" customHeight="1" x14ac:dyDescent="0.3">
      <c r="B655" s="13"/>
    </row>
    <row r="656" spans="2:2" ht="15.75" customHeight="1" x14ac:dyDescent="0.3">
      <c r="B656" s="13"/>
    </row>
    <row r="657" spans="2:2" ht="15.75" customHeight="1" x14ac:dyDescent="0.3">
      <c r="B657" s="13"/>
    </row>
    <row r="658" spans="2:2" ht="15.75" customHeight="1" x14ac:dyDescent="0.3">
      <c r="B658" s="13"/>
    </row>
    <row r="659" spans="2:2" ht="15.75" customHeight="1" x14ac:dyDescent="0.3">
      <c r="B659" s="13"/>
    </row>
    <row r="660" spans="2:2" ht="15.75" customHeight="1" x14ac:dyDescent="0.3">
      <c r="B660" s="13"/>
    </row>
    <row r="661" spans="2:2" ht="15.75" customHeight="1" x14ac:dyDescent="0.3">
      <c r="B661" s="13"/>
    </row>
    <row r="662" spans="2:2" ht="15.75" customHeight="1" x14ac:dyDescent="0.3">
      <c r="B662" s="13"/>
    </row>
    <row r="663" spans="2:2" ht="15.75" customHeight="1" x14ac:dyDescent="0.3">
      <c r="B663" s="13"/>
    </row>
    <row r="664" spans="2:2" ht="15.75" customHeight="1" x14ac:dyDescent="0.3">
      <c r="B664" s="13"/>
    </row>
    <row r="665" spans="2:2" ht="15.75" customHeight="1" x14ac:dyDescent="0.3">
      <c r="B665" s="13"/>
    </row>
    <row r="666" spans="2:2" ht="15.75" customHeight="1" x14ac:dyDescent="0.3">
      <c r="B666" s="13"/>
    </row>
    <row r="667" spans="2:2" ht="15.75" customHeight="1" x14ac:dyDescent="0.3">
      <c r="B667" s="13"/>
    </row>
    <row r="668" spans="2:2" ht="15.75" customHeight="1" x14ac:dyDescent="0.3">
      <c r="B668" s="13"/>
    </row>
    <row r="669" spans="2:2" ht="15.75" customHeight="1" x14ac:dyDescent="0.3">
      <c r="B669" s="13"/>
    </row>
    <row r="670" spans="2:2" ht="15.75" customHeight="1" x14ac:dyDescent="0.3">
      <c r="B670" s="13"/>
    </row>
    <row r="671" spans="2:2" ht="15.75" customHeight="1" x14ac:dyDescent="0.3">
      <c r="B671" s="13"/>
    </row>
    <row r="672" spans="2:2" ht="15.75" customHeight="1" x14ac:dyDescent="0.3">
      <c r="B672" s="13"/>
    </row>
    <row r="673" spans="2:2" ht="15.75" customHeight="1" x14ac:dyDescent="0.3">
      <c r="B673" s="13"/>
    </row>
    <row r="674" spans="2:2" ht="15.75" customHeight="1" x14ac:dyDescent="0.3">
      <c r="B674" s="13"/>
    </row>
    <row r="675" spans="2:2" ht="15.75" customHeight="1" x14ac:dyDescent="0.3">
      <c r="B675" s="13"/>
    </row>
    <row r="676" spans="2:2" ht="15.75" customHeight="1" x14ac:dyDescent="0.3">
      <c r="B676" s="13"/>
    </row>
    <row r="677" spans="2:2" ht="15.75" customHeight="1" x14ac:dyDescent="0.3">
      <c r="B677" s="13"/>
    </row>
    <row r="678" spans="2:2" ht="15.75" customHeight="1" x14ac:dyDescent="0.3">
      <c r="B678" s="13"/>
    </row>
    <row r="679" spans="2:2" ht="15.75" customHeight="1" x14ac:dyDescent="0.3">
      <c r="B679" s="13"/>
    </row>
    <row r="680" spans="2:2" ht="15.75" customHeight="1" x14ac:dyDescent="0.3">
      <c r="B680" s="13"/>
    </row>
    <row r="681" spans="2:2" ht="15.75" customHeight="1" x14ac:dyDescent="0.3">
      <c r="B681" s="13"/>
    </row>
    <row r="682" spans="2:2" ht="15.75" customHeight="1" x14ac:dyDescent="0.3">
      <c r="B682" s="13"/>
    </row>
    <row r="683" spans="2:2" ht="15.75" customHeight="1" x14ac:dyDescent="0.3">
      <c r="B683" s="13"/>
    </row>
    <row r="684" spans="2:2" ht="15.75" customHeight="1" x14ac:dyDescent="0.3">
      <c r="B684" s="13"/>
    </row>
    <row r="685" spans="2:2" ht="15.75" customHeight="1" x14ac:dyDescent="0.3">
      <c r="B685" s="13"/>
    </row>
    <row r="686" spans="2:2" ht="15.75" customHeight="1" x14ac:dyDescent="0.3">
      <c r="B686" s="13"/>
    </row>
    <row r="687" spans="2:2" ht="15.75" customHeight="1" x14ac:dyDescent="0.3">
      <c r="B687" s="13"/>
    </row>
    <row r="688" spans="2:2" ht="15.75" customHeight="1" x14ac:dyDescent="0.3">
      <c r="B688" s="13"/>
    </row>
    <row r="689" spans="2:2" ht="15.75" customHeight="1" x14ac:dyDescent="0.3">
      <c r="B689" s="13"/>
    </row>
    <row r="690" spans="2:2" ht="15.75" customHeight="1" x14ac:dyDescent="0.3">
      <c r="B690" s="13"/>
    </row>
    <row r="691" spans="2:2" ht="15.75" customHeight="1" x14ac:dyDescent="0.3">
      <c r="B691" s="13"/>
    </row>
    <row r="692" spans="2:2" ht="15.75" customHeight="1" x14ac:dyDescent="0.3">
      <c r="B692" s="13"/>
    </row>
    <row r="693" spans="2:2" ht="15.75" customHeight="1" x14ac:dyDescent="0.3">
      <c r="B693" s="13"/>
    </row>
    <row r="694" spans="2:2" ht="15.75" customHeight="1" x14ac:dyDescent="0.3">
      <c r="B694" s="13"/>
    </row>
    <row r="695" spans="2:2" ht="15.75" customHeight="1" x14ac:dyDescent="0.3">
      <c r="B695" s="13"/>
    </row>
    <row r="696" spans="2:2" ht="15.75" customHeight="1" x14ac:dyDescent="0.3">
      <c r="B696" s="13"/>
    </row>
    <row r="697" spans="2:2" ht="15.75" customHeight="1" x14ac:dyDescent="0.3">
      <c r="B697" s="13"/>
    </row>
    <row r="698" spans="2:2" ht="15.75" customHeight="1" x14ac:dyDescent="0.3">
      <c r="B698" s="13"/>
    </row>
    <row r="699" spans="2:2" ht="15.75" customHeight="1" x14ac:dyDescent="0.3">
      <c r="B699" s="13"/>
    </row>
    <row r="700" spans="2:2" ht="15.75" customHeight="1" x14ac:dyDescent="0.3">
      <c r="B700" s="13"/>
    </row>
    <row r="701" spans="2:2" ht="15.75" customHeight="1" x14ac:dyDescent="0.3">
      <c r="B701" s="13"/>
    </row>
    <row r="702" spans="2:2" ht="15.75" customHeight="1" x14ac:dyDescent="0.3">
      <c r="B702" s="13"/>
    </row>
    <row r="703" spans="2:2" ht="15.75" customHeight="1" x14ac:dyDescent="0.3">
      <c r="B703" s="13"/>
    </row>
    <row r="704" spans="2:2" ht="15.75" customHeight="1" x14ac:dyDescent="0.3">
      <c r="B704" s="13"/>
    </row>
    <row r="705" spans="2:2" ht="15.75" customHeight="1" x14ac:dyDescent="0.3">
      <c r="B705" s="13"/>
    </row>
    <row r="706" spans="2:2" ht="15.75" customHeight="1" x14ac:dyDescent="0.3">
      <c r="B706" s="13"/>
    </row>
    <row r="707" spans="2:2" ht="15.75" customHeight="1" x14ac:dyDescent="0.3">
      <c r="B707" s="13"/>
    </row>
    <row r="708" spans="2:2" ht="15.75" customHeight="1" x14ac:dyDescent="0.3">
      <c r="B708" s="13"/>
    </row>
    <row r="709" spans="2:2" ht="15.75" customHeight="1" x14ac:dyDescent="0.3">
      <c r="B709" s="13"/>
    </row>
    <row r="710" spans="2:2" ht="15.75" customHeight="1" x14ac:dyDescent="0.3">
      <c r="B710" s="13"/>
    </row>
    <row r="711" spans="2:2" ht="15.75" customHeight="1" x14ac:dyDescent="0.3">
      <c r="B711" s="13"/>
    </row>
    <row r="712" spans="2:2" ht="15.75" customHeight="1" x14ac:dyDescent="0.3">
      <c r="B712" s="13"/>
    </row>
    <row r="713" spans="2:2" ht="15.75" customHeight="1" x14ac:dyDescent="0.3">
      <c r="B713" s="13"/>
    </row>
    <row r="714" spans="2:2" ht="15.75" customHeight="1" x14ac:dyDescent="0.3">
      <c r="B714" s="13"/>
    </row>
    <row r="715" spans="2:2" ht="15.75" customHeight="1" x14ac:dyDescent="0.3">
      <c r="B715" s="13"/>
    </row>
    <row r="716" spans="2:2" ht="15.75" customHeight="1" x14ac:dyDescent="0.3">
      <c r="B716" s="13"/>
    </row>
    <row r="717" spans="2:2" ht="15.75" customHeight="1" x14ac:dyDescent="0.3">
      <c r="B717" s="13"/>
    </row>
    <row r="718" spans="2:2" ht="15.75" customHeight="1" x14ac:dyDescent="0.3">
      <c r="B718" s="13"/>
    </row>
    <row r="719" spans="2:2" ht="15.75" customHeight="1" x14ac:dyDescent="0.3">
      <c r="B719" s="13"/>
    </row>
    <row r="720" spans="2:2" ht="15.75" customHeight="1" x14ac:dyDescent="0.3">
      <c r="B720" s="13"/>
    </row>
    <row r="721" spans="2:2" ht="15.75" customHeight="1" x14ac:dyDescent="0.3">
      <c r="B721" s="13"/>
    </row>
    <row r="722" spans="2:2" ht="15.75" customHeight="1" x14ac:dyDescent="0.3">
      <c r="B722" s="13"/>
    </row>
    <row r="723" spans="2:2" ht="15.75" customHeight="1" x14ac:dyDescent="0.3">
      <c r="B723" s="13"/>
    </row>
    <row r="724" spans="2:2" ht="15.75" customHeight="1" x14ac:dyDescent="0.3">
      <c r="B724" s="13"/>
    </row>
    <row r="725" spans="2:2" ht="15.75" customHeight="1" x14ac:dyDescent="0.3">
      <c r="B725" s="13"/>
    </row>
    <row r="726" spans="2:2" ht="15.75" customHeight="1" x14ac:dyDescent="0.3">
      <c r="B726" s="13"/>
    </row>
    <row r="727" spans="2:2" ht="15.75" customHeight="1" x14ac:dyDescent="0.3">
      <c r="B727" s="13"/>
    </row>
    <row r="728" spans="2:2" ht="15.75" customHeight="1" x14ac:dyDescent="0.3">
      <c r="B728" s="13"/>
    </row>
    <row r="729" spans="2:2" ht="15.75" customHeight="1" x14ac:dyDescent="0.3">
      <c r="B729" s="13"/>
    </row>
    <row r="730" spans="2:2" ht="15.75" customHeight="1" x14ac:dyDescent="0.3">
      <c r="B730" s="13"/>
    </row>
    <row r="731" spans="2:2" ht="15.75" customHeight="1" x14ac:dyDescent="0.3">
      <c r="B731" s="13"/>
    </row>
    <row r="732" spans="2:2" ht="15.75" customHeight="1" x14ac:dyDescent="0.3">
      <c r="B732" s="13"/>
    </row>
    <row r="733" spans="2:2" ht="15.75" customHeight="1" x14ac:dyDescent="0.3">
      <c r="B733" s="13"/>
    </row>
    <row r="734" spans="2:2" ht="15.75" customHeight="1" x14ac:dyDescent="0.3">
      <c r="B734" s="13"/>
    </row>
    <row r="735" spans="2:2" ht="15.75" customHeight="1" x14ac:dyDescent="0.3">
      <c r="B735" s="13"/>
    </row>
    <row r="736" spans="2:2" ht="15.75" customHeight="1" x14ac:dyDescent="0.3">
      <c r="B736" s="13"/>
    </row>
    <row r="737" spans="2:2" ht="15.75" customHeight="1" x14ac:dyDescent="0.3">
      <c r="B737" s="13"/>
    </row>
    <row r="738" spans="2:2" ht="15.75" customHeight="1" x14ac:dyDescent="0.3">
      <c r="B738" s="13"/>
    </row>
    <row r="739" spans="2:2" ht="15.75" customHeight="1" x14ac:dyDescent="0.3">
      <c r="B739" s="13"/>
    </row>
    <row r="740" spans="2:2" ht="15.75" customHeight="1" x14ac:dyDescent="0.3">
      <c r="B740" s="13"/>
    </row>
    <row r="741" spans="2:2" ht="15.75" customHeight="1" x14ac:dyDescent="0.3">
      <c r="B741" s="13"/>
    </row>
    <row r="742" spans="2:2" ht="15.75" customHeight="1" x14ac:dyDescent="0.3">
      <c r="B742" s="13"/>
    </row>
    <row r="743" spans="2:2" ht="15.75" customHeight="1" x14ac:dyDescent="0.3">
      <c r="B743" s="13"/>
    </row>
    <row r="744" spans="2:2" ht="15.75" customHeight="1" x14ac:dyDescent="0.3">
      <c r="B744" s="13"/>
    </row>
    <row r="745" spans="2:2" ht="15.75" customHeight="1" x14ac:dyDescent="0.3">
      <c r="B745" s="13"/>
    </row>
    <row r="746" spans="2:2" ht="15.75" customHeight="1" x14ac:dyDescent="0.3">
      <c r="B746" s="13"/>
    </row>
    <row r="747" spans="2:2" ht="15.75" customHeight="1" x14ac:dyDescent="0.3">
      <c r="B747" s="13"/>
    </row>
    <row r="748" spans="2:2" ht="15.75" customHeight="1" x14ac:dyDescent="0.3">
      <c r="B748" s="13"/>
    </row>
    <row r="749" spans="2:2" ht="15.75" customHeight="1" x14ac:dyDescent="0.3">
      <c r="B749" s="13"/>
    </row>
    <row r="750" spans="2:2" ht="15.75" customHeight="1" x14ac:dyDescent="0.3">
      <c r="B750" s="13"/>
    </row>
    <row r="751" spans="2:2" ht="15.75" customHeight="1" x14ac:dyDescent="0.3">
      <c r="B751" s="13"/>
    </row>
    <row r="752" spans="2:2" ht="15.75" customHeight="1" x14ac:dyDescent="0.3">
      <c r="B752" s="13"/>
    </row>
    <row r="753" spans="2:2" ht="15.75" customHeight="1" x14ac:dyDescent="0.3">
      <c r="B753" s="13"/>
    </row>
    <row r="754" spans="2:2" ht="15.75" customHeight="1" x14ac:dyDescent="0.3">
      <c r="B754" s="13"/>
    </row>
    <row r="755" spans="2:2" ht="15.75" customHeight="1" x14ac:dyDescent="0.3">
      <c r="B755" s="13"/>
    </row>
    <row r="756" spans="2:2" ht="15.75" customHeight="1" x14ac:dyDescent="0.3">
      <c r="B756" s="13"/>
    </row>
    <row r="757" spans="2:2" ht="15.75" customHeight="1" x14ac:dyDescent="0.3">
      <c r="B757" s="13"/>
    </row>
    <row r="758" spans="2:2" ht="15.75" customHeight="1" x14ac:dyDescent="0.3">
      <c r="B758" s="13"/>
    </row>
    <row r="759" spans="2:2" ht="15.75" customHeight="1" x14ac:dyDescent="0.3">
      <c r="B759" s="13"/>
    </row>
    <row r="760" spans="2:2" ht="15.75" customHeight="1" x14ac:dyDescent="0.3">
      <c r="B760" s="13"/>
    </row>
    <row r="761" spans="2:2" ht="15.75" customHeight="1" x14ac:dyDescent="0.3">
      <c r="B761" s="13"/>
    </row>
    <row r="762" spans="2:2" ht="15.75" customHeight="1" x14ac:dyDescent="0.3">
      <c r="B762" s="13"/>
    </row>
    <row r="763" spans="2:2" ht="15.75" customHeight="1" x14ac:dyDescent="0.3">
      <c r="B763" s="13"/>
    </row>
    <row r="764" spans="2:2" ht="15.75" customHeight="1" x14ac:dyDescent="0.3">
      <c r="B764" s="13"/>
    </row>
    <row r="765" spans="2:2" ht="15.75" customHeight="1" x14ac:dyDescent="0.3">
      <c r="B765" s="13"/>
    </row>
    <row r="766" spans="2:2" ht="15.75" customHeight="1" x14ac:dyDescent="0.3">
      <c r="B766" s="13"/>
    </row>
    <row r="767" spans="2:2" ht="15.75" customHeight="1" x14ac:dyDescent="0.3">
      <c r="B767" s="13"/>
    </row>
    <row r="768" spans="2:2" ht="15.75" customHeight="1" x14ac:dyDescent="0.3">
      <c r="B768" s="13"/>
    </row>
    <row r="769" spans="2:2" ht="15.75" customHeight="1" x14ac:dyDescent="0.3">
      <c r="B769" s="13"/>
    </row>
    <row r="770" spans="2:2" ht="15.75" customHeight="1" x14ac:dyDescent="0.3">
      <c r="B770" s="13"/>
    </row>
    <row r="771" spans="2:2" ht="15.75" customHeight="1" x14ac:dyDescent="0.3">
      <c r="B771" s="13"/>
    </row>
    <row r="772" spans="2:2" ht="15.75" customHeight="1" x14ac:dyDescent="0.3">
      <c r="B772" s="13"/>
    </row>
    <row r="773" spans="2:2" ht="15.75" customHeight="1" x14ac:dyDescent="0.3">
      <c r="B773" s="13"/>
    </row>
    <row r="774" spans="2:2" ht="15.75" customHeight="1" x14ac:dyDescent="0.3">
      <c r="B774" s="13"/>
    </row>
    <row r="775" spans="2:2" ht="15.75" customHeight="1" x14ac:dyDescent="0.3">
      <c r="B775" s="13"/>
    </row>
    <row r="776" spans="2:2" ht="15.75" customHeight="1" x14ac:dyDescent="0.3">
      <c r="B776" s="13"/>
    </row>
    <row r="777" spans="2:2" ht="15.75" customHeight="1" x14ac:dyDescent="0.3">
      <c r="B777" s="13"/>
    </row>
    <row r="778" spans="2:2" ht="15.75" customHeight="1" x14ac:dyDescent="0.3">
      <c r="B778" s="13"/>
    </row>
    <row r="779" spans="2:2" ht="15.75" customHeight="1" x14ac:dyDescent="0.3">
      <c r="B779" s="13"/>
    </row>
    <row r="780" spans="2:2" ht="15.75" customHeight="1" x14ac:dyDescent="0.3">
      <c r="B780" s="13"/>
    </row>
    <row r="781" spans="2:2" ht="15.75" customHeight="1" x14ac:dyDescent="0.3">
      <c r="B781" s="13"/>
    </row>
    <row r="782" spans="2:2" ht="15.75" customHeight="1" x14ac:dyDescent="0.3">
      <c r="B782" s="13"/>
    </row>
    <row r="783" spans="2:2" ht="15.75" customHeight="1" x14ac:dyDescent="0.3">
      <c r="B783" s="13"/>
    </row>
    <row r="784" spans="2:2" ht="15.75" customHeight="1" x14ac:dyDescent="0.3">
      <c r="B784" s="13"/>
    </row>
    <row r="785" spans="2:2" ht="15.75" customHeight="1" x14ac:dyDescent="0.3">
      <c r="B785" s="13"/>
    </row>
    <row r="786" spans="2:2" ht="15.75" customHeight="1" x14ac:dyDescent="0.3">
      <c r="B786" s="13"/>
    </row>
    <row r="787" spans="2:2" ht="15.75" customHeight="1" x14ac:dyDescent="0.3">
      <c r="B787" s="13"/>
    </row>
    <row r="788" spans="2:2" ht="15.75" customHeight="1" x14ac:dyDescent="0.3">
      <c r="B788" s="13"/>
    </row>
    <row r="789" spans="2:2" ht="15.75" customHeight="1" x14ac:dyDescent="0.3">
      <c r="B789" s="13"/>
    </row>
    <row r="790" spans="2:2" ht="15.75" customHeight="1" x14ac:dyDescent="0.3">
      <c r="B790" s="13"/>
    </row>
    <row r="791" spans="2:2" ht="15.75" customHeight="1" x14ac:dyDescent="0.3">
      <c r="B791" s="13"/>
    </row>
    <row r="792" spans="2:2" ht="15.75" customHeight="1" x14ac:dyDescent="0.3">
      <c r="B792" s="13"/>
    </row>
    <row r="793" spans="2:2" ht="15.75" customHeight="1" x14ac:dyDescent="0.3">
      <c r="B793" s="13"/>
    </row>
    <row r="794" spans="2:2" ht="15.75" customHeight="1" x14ac:dyDescent="0.3">
      <c r="B794" s="13"/>
    </row>
    <row r="795" spans="2:2" ht="15.75" customHeight="1" x14ac:dyDescent="0.3">
      <c r="B795" s="13"/>
    </row>
    <row r="796" spans="2:2" ht="15.75" customHeight="1" x14ac:dyDescent="0.3">
      <c r="B796" s="13"/>
    </row>
    <row r="797" spans="2:2" ht="15.75" customHeight="1" x14ac:dyDescent="0.3">
      <c r="B797" s="13"/>
    </row>
    <row r="798" spans="2:2" ht="15.75" customHeight="1" x14ac:dyDescent="0.3">
      <c r="B798" s="13"/>
    </row>
    <row r="799" spans="2:2" ht="15.75" customHeight="1" x14ac:dyDescent="0.3">
      <c r="B799" s="13"/>
    </row>
    <row r="800" spans="2:2" ht="15.75" customHeight="1" x14ac:dyDescent="0.3">
      <c r="B800" s="13"/>
    </row>
    <row r="801" spans="2:2" ht="15.75" customHeight="1" x14ac:dyDescent="0.3">
      <c r="B801" s="13"/>
    </row>
    <row r="802" spans="2:2" ht="15.75" customHeight="1" x14ac:dyDescent="0.3">
      <c r="B802" s="13"/>
    </row>
    <row r="803" spans="2:2" ht="15.75" customHeight="1" x14ac:dyDescent="0.3">
      <c r="B803" s="13"/>
    </row>
    <row r="804" spans="2:2" ht="15.75" customHeight="1" x14ac:dyDescent="0.3">
      <c r="B804" s="13"/>
    </row>
    <row r="805" spans="2:2" ht="15.75" customHeight="1" x14ac:dyDescent="0.3">
      <c r="B805" s="13"/>
    </row>
    <row r="806" spans="2:2" ht="15.75" customHeight="1" x14ac:dyDescent="0.3">
      <c r="B806" s="13"/>
    </row>
    <row r="807" spans="2:2" ht="15.75" customHeight="1" x14ac:dyDescent="0.3">
      <c r="B807" s="13"/>
    </row>
    <row r="808" spans="2:2" ht="15.75" customHeight="1" x14ac:dyDescent="0.3">
      <c r="B808" s="13"/>
    </row>
    <row r="809" spans="2:2" ht="15.75" customHeight="1" x14ac:dyDescent="0.3">
      <c r="B809" s="13"/>
    </row>
    <row r="810" spans="2:2" ht="15.75" customHeight="1" x14ac:dyDescent="0.3">
      <c r="B810" s="13"/>
    </row>
    <row r="811" spans="2:2" ht="15.75" customHeight="1" x14ac:dyDescent="0.3">
      <c r="B811" s="13"/>
    </row>
    <row r="812" spans="2:2" ht="15.75" customHeight="1" x14ac:dyDescent="0.3">
      <c r="B812" s="13"/>
    </row>
    <row r="813" spans="2:2" ht="15.75" customHeight="1" x14ac:dyDescent="0.3">
      <c r="B813" s="13"/>
    </row>
    <row r="814" spans="2:2" ht="15.75" customHeight="1" x14ac:dyDescent="0.3">
      <c r="B814" s="13"/>
    </row>
    <row r="815" spans="2:2" ht="15.75" customHeight="1" x14ac:dyDescent="0.3">
      <c r="B815" s="13"/>
    </row>
    <row r="816" spans="2:2" ht="15.75" customHeight="1" x14ac:dyDescent="0.3">
      <c r="B816" s="13"/>
    </row>
    <row r="817" spans="2:2" ht="15.75" customHeight="1" x14ac:dyDescent="0.3">
      <c r="B817" s="13"/>
    </row>
    <row r="818" spans="2:2" ht="15.75" customHeight="1" x14ac:dyDescent="0.3">
      <c r="B818" s="13"/>
    </row>
    <row r="819" spans="2:2" ht="15.75" customHeight="1" x14ac:dyDescent="0.3">
      <c r="B819" s="13"/>
    </row>
    <row r="820" spans="2:2" ht="15.75" customHeight="1" x14ac:dyDescent="0.3">
      <c r="B820" s="13"/>
    </row>
    <row r="821" spans="2:2" ht="15.75" customHeight="1" x14ac:dyDescent="0.3">
      <c r="B821" s="13"/>
    </row>
    <row r="822" spans="2:2" ht="15.75" customHeight="1" x14ac:dyDescent="0.3">
      <c r="B822" s="13"/>
    </row>
    <row r="823" spans="2:2" ht="15.75" customHeight="1" x14ac:dyDescent="0.3">
      <c r="B823" s="13"/>
    </row>
    <row r="824" spans="2:2" ht="15.75" customHeight="1" x14ac:dyDescent="0.3">
      <c r="B824" s="13"/>
    </row>
    <row r="825" spans="2:2" ht="15.75" customHeight="1" x14ac:dyDescent="0.3">
      <c r="B825" s="13"/>
    </row>
    <row r="826" spans="2:2" ht="15.75" customHeight="1" x14ac:dyDescent="0.3">
      <c r="B826" s="13"/>
    </row>
    <row r="827" spans="2:2" ht="15.75" customHeight="1" x14ac:dyDescent="0.3">
      <c r="B827" s="13"/>
    </row>
    <row r="828" spans="2:2" ht="15.75" customHeight="1" x14ac:dyDescent="0.3">
      <c r="B828" s="13"/>
    </row>
    <row r="829" spans="2:2" ht="15.75" customHeight="1" x14ac:dyDescent="0.3">
      <c r="B829" s="13"/>
    </row>
    <row r="830" spans="2:2" ht="15.75" customHeight="1" x14ac:dyDescent="0.3">
      <c r="B830" s="13"/>
    </row>
    <row r="831" spans="2:2" ht="15.75" customHeight="1" x14ac:dyDescent="0.3">
      <c r="B831" s="13"/>
    </row>
    <row r="832" spans="2:2" ht="15.75" customHeight="1" x14ac:dyDescent="0.3">
      <c r="B832" s="13"/>
    </row>
    <row r="833" spans="2:2" ht="15.75" customHeight="1" x14ac:dyDescent="0.3">
      <c r="B833" s="13"/>
    </row>
    <row r="834" spans="2:2" ht="15.75" customHeight="1" x14ac:dyDescent="0.3">
      <c r="B834" s="13"/>
    </row>
    <row r="835" spans="2:2" ht="15.75" customHeight="1" x14ac:dyDescent="0.3">
      <c r="B835" s="13"/>
    </row>
    <row r="836" spans="2:2" ht="15.75" customHeight="1" x14ac:dyDescent="0.3">
      <c r="B836" s="13"/>
    </row>
    <row r="837" spans="2:2" ht="15.75" customHeight="1" x14ac:dyDescent="0.3">
      <c r="B837" s="13"/>
    </row>
    <row r="838" spans="2:2" ht="15.75" customHeight="1" x14ac:dyDescent="0.3">
      <c r="B838" s="13"/>
    </row>
    <row r="839" spans="2:2" ht="15.75" customHeight="1" x14ac:dyDescent="0.3">
      <c r="B839" s="13"/>
    </row>
    <row r="840" spans="2:2" ht="15.75" customHeight="1" x14ac:dyDescent="0.3">
      <c r="B840" s="13"/>
    </row>
    <row r="841" spans="2:2" ht="15.75" customHeight="1" x14ac:dyDescent="0.3">
      <c r="B841" s="13"/>
    </row>
    <row r="842" spans="2:2" ht="15.75" customHeight="1" x14ac:dyDescent="0.3">
      <c r="B842" s="13"/>
    </row>
    <row r="843" spans="2:2" ht="15.75" customHeight="1" x14ac:dyDescent="0.3">
      <c r="B843" s="13"/>
    </row>
    <row r="844" spans="2:2" ht="15.75" customHeight="1" x14ac:dyDescent="0.3">
      <c r="B844" s="13"/>
    </row>
    <row r="845" spans="2:2" ht="15.75" customHeight="1" x14ac:dyDescent="0.3">
      <c r="B845" s="13"/>
    </row>
    <row r="846" spans="2:2" ht="15.75" customHeight="1" x14ac:dyDescent="0.3">
      <c r="B846" s="13"/>
    </row>
    <row r="847" spans="2:2" ht="15.75" customHeight="1" x14ac:dyDescent="0.3">
      <c r="B847" s="13"/>
    </row>
    <row r="848" spans="2:2" ht="15.75" customHeight="1" x14ac:dyDescent="0.3">
      <c r="B848" s="13"/>
    </row>
    <row r="849" spans="2:2" ht="15.75" customHeight="1" x14ac:dyDescent="0.3">
      <c r="B849" s="13"/>
    </row>
    <row r="850" spans="2:2" ht="15.75" customHeight="1" x14ac:dyDescent="0.3">
      <c r="B850" s="13"/>
    </row>
    <row r="851" spans="2:2" ht="15.75" customHeight="1" x14ac:dyDescent="0.3">
      <c r="B851" s="13"/>
    </row>
    <row r="852" spans="2:2" ht="15.75" customHeight="1" x14ac:dyDescent="0.3">
      <c r="B852" s="13"/>
    </row>
    <row r="853" spans="2:2" ht="15.75" customHeight="1" x14ac:dyDescent="0.3">
      <c r="B853" s="13"/>
    </row>
    <row r="854" spans="2:2" ht="15.75" customHeight="1" x14ac:dyDescent="0.3">
      <c r="B854" s="13"/>
    </row>
    <row r="855" spans="2:2" ht="15.75" customHeight="1" x14ac:dyDescent="0.3">
      <c r="B855" s="13"/>
    </row>
    <row r="856" spans="2:2" ht="15.75" customHeight="1" x14ac:dyDescent="0.3">
      <c r="B856" s="13"/>
    </row>
    <row r="857" spans="2:2" ht="15.75" customHeight="1" x14ac:dyDescent="0.3">
      <c r="B857" s="13"/>
    </row>
    <row r="858" spans="2:2" ht="15.75" customHeight="1" x14ac:dyDescent="0.3">
      <c r="B858" s="13"/>
    </row>
    <row r="859" spans="2:2" ht="15.75" customHeight="1" x14ac:dyDescent="0.3">
      <c r="B859" s="13"/>
    </row>
    <row r="860" spans="2:2" ht="15.75" customHeight="1" x14ac:dyDescent="0.3">
      <c r="B860" s="13"/>
    </row>
    <row r="861" spans="2:2" ht="15.75" customHeight="1" x14ac:dyDescent="0.3">
      <c r="B861" s="13"/>
    </row>
    <row r="862" spans="2:2" ht="15.75" customHeight="1" x14ac:dyDescent="0.3">
      <c r="B862" s="13"/>
    </row>
    <row r="863" spans="2:2" ht="15.75" customHeight="1" x14ac:dyDescent="0.3">
      <c r="B863" s="13"/>
    </row>
    <row r="864" spans="2:2" ht="15.75" customHeight="1" x14ac:dyDescent="0.3">
      <c r="B864" s="13"/>
    </row>
    <row r="865" spans="2:2" ht="15.75" customHeight="1" x14ac:dyDescent="0.3">
      <c r="B865" s="13"/>
    </row>
    <row r="866" spans="2:2" ht="15.75" customHeight="1" x14ac:dyDescent="0.3">
      <c r="B866" s="13"/>
    </row>
    <row r="867" spans="2:2" ht="15.75" customHeight="1" x14ac:dyDescent="0.3">
      <c r="B867" s="13"/>
    </row>
    <row r="868" spans="2:2" ht="15.75" customHeight="1" x14ac:dyDescent="0.3">
      <c r="B868" s="13"/>
    </row>
    <row r="869" spans="2:2" ht="15.75" customHeight="1" x14ac:dyDescent="0.3">
      <c r="B869" s="13"/>
    </row>
    <row r="870" spans="2:2" ht="15.75" customHeight="1" x14ac:dyDescent="0.3">
      <c r="B870" s="13"/>
    </row>
    <row r="871" spans="2:2" ht="15.75" customHeight="1" x14ac:dyDescent="0.3">
      <c r="B871" s="13"/>
    </row>
    <row r="872" spans="2:2" ht="15.75" customHeight="1" x14ac:dyDescent="0.3">
      <c r="B872" s="13"/>
    </row>
    <row r="873" spans="2:2" ht="15.75" customHeight="1" x14ac:dyDescent="0.3">
      <c r="B873" s="13"/>
    </row>
    <row r="874" spans="2:2" ht="15.75" customHeight="1" x14ac:dyDescent="0.3">
      <c r="B874" s="13"/>
    </row>
    <row r="875" spans="2:2" ht="15.75" customHeight="1" x14ac:dyDescent="0.3">
      <c r="B875" s="13"/>
    </row>
    <row r="876" spans="2:2" ht="15.75" customHeight="1" x14ac:dyDescent="0.3">
      <c r="B876" s="13"/>
    </row>
    <row r="877" spans="2:2" ht="15.75" customHeight="1" x14ac:dyDescent="0.3">
      <c r="B877" s="13"/>
    </row>
    <row r="878" spans="2:2" ht="15.75" customHeight="1" x14ac:dyDescent="0.3">
      <c r="B878" s="13"/>
    </row>
    <row r="879" spans="2:2" ht="15.75" customHeight="1" x14ac:dyDescent="0.3">
      <c r="B879" s="13"/>
    </row>
    <row r="880" spans="2:2" ht="15.75" customHeight="1" x14ac:dyDescent="0.3">
      <c r="B880" s="13"/>
    </row>
    <row r="881" spans="2:2" ht="15.75" customHeight="1" x14ac:dyDescent="0.3">
      <c r="B881" s="13"/>
    </row>
    <row r="882" spans="2:2" ht="15.75" customHeight="1" x14ac:dyDescent="0.3">
      <c r="B882" s="13"/>
    </row>
    <row r="883" spans="2:2" ht="15.75" customHeight="1" x14ac:dyDescent="0.3">
      <c r="B883" s="13"/>
    </row>
    <row r="884" spans="2:2" ht="15.75" customHeight="1" x14ac:dyDescent="0.3">
      <c r="B884" s="13"/>
    </row>
    <row r="885" spans="2:2" ht="15.75" customHeight="1" x14ac:dyDescent="0.3">
      <c r="B885" s="13"/>
    </row>
    <row r="886" spans="2:2" ht="15.75" customHeight="1" x14ac:dyDescent="0.3">
      <c r="B886" s="13"/>
    </row>
    <row r="887" spans="2:2" ht="15.75" customHeight="1" x14ac:dyDescent="0.3">
      <c r="B887" s="13"/>
    </row>
    <row r="888" spans="2:2" ht="15.75" customHeight="1" x14ac:dyDescent="0.3">
      <c r="B888" s="13"/>
    </row>
    <row r="889" spans="2:2" ht="15.75" customHeight="1" x14ac:dyDescent="0.3">
      <c r="B889" s="13"/>
    </row>
    <row r="890" spans="2:2" ht="15.75" customHeight="1" x14ac:dyDescent="0.3">
      <c r="B890" s="13"/>
    </row>
    <row r="891" spans="2:2" ht="15.75" customHeight="1" x14ac:dyDescent="0.3">
      <c r="B891" s="13"/>
    </row>
    <row r="892" spans="2:2" ht="15.75" customHeight="1" x14ac:dyDescent="0.3">
      <c r="B892" s="13"/>
    </row>
    <row r="893" spans="2:2" ht="15.75" customHeight="1" x14ac:dyDescent="0.3">
      <c r="B893" s="13"/>
    </row>
    <row r="894" spans="2:2" ht="15.75" customHeight="1" x14ac:dyDescent="0.3">
      <c r="B894" s="13"/>
    </row>
    <row r="895" spans="2:2" ht="15.75" customHeight="1" x14ac:dyDescent="0.3">
      <c r="B895" s="13"/>
    </row>
    <row r="896" spans="2:2" ht="15.75" customHeight="1" x14ac:dyDescent="0.3">
      <c r="B896" s="13"/>
    </row>
    <row r="897" spans="2:2" ht="15.75" customHeight="1" x14ac:dyDescent="0.3">
      <c r="B897" s="13"/>
    </row>
    <row r="898" spans="2:2" ht="15.75" customHeight="1" x14ac:dyDescent="0.3">
      <c r="B898" s="13"/>
    </row>
    <row r="899" spans="2:2" ht="15.75" customHeight="1" x14ac:dyDescent="0.3">
      <c r="B899" s="13"/>
    </row>
    <row r="900" spans="2:2" ht="15.75" customHeight="1" x14ac:dyDescent="0.3">
      <c r="B900" s="13"/>
    </row>
    <row r="901" spans="2:2" ht="15.75" customHeight="1" x14ac:dyDescent="0.3">
      <c r="B901" s="13"/>
    </row>
    <row r="902" spans="2:2" ht="15.75" customHeight="1" x14ac:dyDescent="0.3">
      <c r="B902" s="13"/>
    </row>
    <row r="903" spans="2:2" ht="15.75" customHeight="1" x14ac:dyDescent="0.3">
      <c r="B903" s="13"/>
    </row>
    <row r="904" spans="2:2" ht="15.75" customHeight="1" x14ac:dyDescent="0.3">
      <c r="B904" s="13"/>
    </row>
    <row r="905" spans="2:2" ht="15.75" customHeight="1" x14ac:dyDescent="0.3">
      <c r="B905" s="13"/>
    </row>
    <row r="906" spans="2:2" ht="15.75" customHeight="1" x14ac:dyDescent="0.3">
      <c r="B906" s="13"/>
    </row>
    <row r="907" spans="2:2" ht="15.75" customHeight="1" x14ac:dyDescent="0.3">
      <c r="B907" s="13"/>
    </row>
    <row r="908" spans="2:2" ht="15.75" customHeight="1" x14ac:dyDescent="0.3">
      <c r="B908" s="13"/>
    </row>
    <row r="909" spans="2:2" ht="15.75" customHeight="1" x14ac:dyDescent="0.3">
      <c r="B909" s="13"/>
    </row>
    <row r="910" spans="2:2" ht="15.75" customHeight="1" x14ac:dyDescent="0.3">
      <c r="B910" s="13"/>
    </row>
    <row r="911" spans="2:2" ht="15.75" customHeight="1" x14ac:dyDescent="0.3">
      <c r="B911" s="13"/>
    </row>
    <row r="912" spans="2:2" ht="15.75" customHeight="1" x14ac:dyDescent="0.3">
      <c r="B912" s="13"/>
    </row>
    <row r="913" spans="2:2" ht="15.75" customHeight="1" x14ac:dyDescent="0.3">
      <c r="B913" s="13"/>
    </row>
    <row r="914" spans="2:2" ht="15.75" customHeight="1" x14ac:dyDescent="0.3">
      <c r="B914" s="13"/>
    </row>
    <row r="915" spans="2:2" ht="15.75" customHeight="1" x14ac:dyDescent="0.3">
      <c r="B915" s="13"/>
    </row>
    <row r="916" spans="2:2" ht="15.75" customHeight="1" x14ac:dyDescent="0.3">
      <c r="B916" s="13"/>
    </row>
    <row r="917" spans="2:2" ht="15.75" customHeight="1" x14ac:dyDescent="0.3">
      <c r="B917" s="13"/>
    </row>
    <row r="918" spans="2:2" ht="15.75" customHeight="1" x14ac:dyDescent="0.3">
      <c r="B918" s="13"/>
    </row>
    <row r="919" spans="2:2" ht="15.75" customHeight="1" x14ac:dyDescent="0.3">
      <c r="B919" s="13"/>
    </row>
    <row r="920" spans="2:2" ht="15.75" customHeight="1" x14ac:dyDescent="0.3">
      <c r="B920" s="13"/>
    </row>
    <row r="921" spans="2:2" ht="15.75" customHeight="1" x14ac:dyDescent="0.3">
      <c r="B921" s="13"/>
    </row>
    <row r="922" spans="2:2" ht="15.75" customHeight="1" x14ac:dyDescent="0.3">
      <c r="B922" s="13"/>
    </row>
    <row r="923" spans="2:2" ht="15.75" customHeight="1" x14ac:dyDescent="0.3">
      <c r="B923" s="13"/>
    </row>
    <row r="924" spans="2:2" ht="15.75" customHeight="1" x14ac:dyDescent="0.3">
      <c r="B924" s="13"/>
    </row>
    <row r="925" spans="2:2" ht="15.75" customHeight="1" x14ac:dyDescent="0.3">
      <c r="B925" s="13"/>
    </row>
    <row r="926" spans="2:2" ht="15.75" customHeight="1" x14ac:dyDescent="0.3">
      <c r="B926" s="13"/>
    </row>
    <row r="927" spans="2:2" ht="15.75" customHeight="1" x14ac:dyDescent="0.3">
      <c r="B927" s="13"/>
    </row>
    <row r="928" spans="2:2" ht="15.75" customHeight="1" x14ac:dyDescent="0.3">
      <c r="B928" s="13"/>
    </row>
    <row r="929" spans="2:2" ht="15.75" customHeight="1" x14ac:dyDescent="0.3">
      <c r="B929" s="13"/>
    </row>
    <row r="930" spans="2:2" ht="15.75" customHeight="1" x14ac:dyDescent="0.3">
      <c r="B930" s="13"/>
    </row>
    <row r="931" spans="2:2" ht="15.75" customHeight="1" x14ac:dyDescent="0.3">
      <c r="B931" s="13"/>
    </row>
    <row r="932" spans="2:2" ht="15.75" customHeight="1" x14ac:dyDescent="0.3">
      <c r="B932" s="13"/>
    </row>
    <row r="933" spans="2:2" ht="15.75" customHeight="1" x14ac:dyDescent="0.3">
      <c r="B933" s="13"/>
    </row>
    <row r="934" spans="2:2" ht="15.75" customHeight="1" x14ac:dyDescent="0.3">
      <c r="B934" s="13"/>
    </row>
    <row r="935" spans="2:2" ht="15.75" customHeight="1" x14ac:dyDescent="0.3">
      <c r="B935" s="13"/>
    </row>
    <row r="936" spans="2:2" ht="15.75" customHeight="1" x14ac:dyDescent="0.3">
      <c r="B936" s="13"/>
    </row>
    <row r="937" spans="2:2" ht="15.75" customHeight="1" x14ac:dyDescent="0.3">
      <c r="B937" s="13"/>
    </row>
    <row r="938" spans="2:2" ht="15.75" customHeight="1" x14ac:dyDescent="0.3">
      <c r="B938" s="13"/>
    </row>
    <row r="939" spans="2:2" ht="15.75" customHeight="1" x14ac:dyDescent="0.3">
      <c r="B939" s="13"/>
    </row>
    <row r="940" spans="2:2" ht="15.75" customHeight="1" x14ac:dyDescent="0.3">
      <c r="B940" s="13"/>
    </row>
    <row r="941" spans="2:2" ht="15.75" customHeight="1" x14ac:dyDescent="0.3">
      <c r="B941" s="13"/>
    </row>
    <row r="942" spans="2:2" ht="15.75" customHeight="1" x14ac:dyDescent="0.3">
      <c r="B942" s="13"/>
    </row>
    <row r="943" spans="2:2" ht="15.75" customHeight="1" x14ac:dyDescent="0.3">
      <c r="B943" s="13"/>
    </row>
    <row r="944" spans="2:2" ht="15.75" customHeight="1" x14ac:dyDescent="0.3">
      <c r="B944" s="13"/>
    </row>
    <row r="945" spans="2:2" ht="15.75" customHeight="1" x14ac:dyDescent="0.3">
      <c r="B945" s="13"/>
    </row>
    <row r="946" spans="2:2" ht="15.75" customHeight="1" x14ac:dyDescent="0.3">
      <c r="B946" s="13"/>
    </row>
    <row r="947" spans="2:2" ht="15.75" customHeight="1" x14ac:dyDescent="0.3">
      <c r="B947" s="13"/>
    </row>
    <row r="948" spans="2:2" ht="15.75" customHeight="1" x14ac:dyDescent="0.3">
      <c r="B948" s="13"/>
    </row>
    <row r="949" spans="2:2" ht="15.75" customHeight="1" x14ac:dyDescent="0.3">
      <c r="B949" s="13"/>
    </row>
    <row r="950" spans="2:2" ht="15.75" customHeight="1" x14ac:dyDescent="0.3">
      <c r="B950" s="13"/>
    </row>
    <row r="951" spans="2:2" ht="15.75" customHeight="1" x14ac:dyDescent="0.3">
      <c r="B951" s="13"/>
    </row>
    <row r="952" spans="2:2" ht="15.75" customHeight="1" x14ac:dyDescent="0.3">
      <c r="B952" s="13"/>
    </row>
    <row r="953" spans="2:2" ht="15.75" customHeight="1" x14ac:dyDescent="0.3">
      <c r="B953" s="13"/>
    </row>
    <row r="954" spans="2:2" ht="15.75" customHeight="1" x14ac:dyDescent="0.3">
      <c r="B954" s="13"/>
    </row>
    <row r="955" spans="2:2" ht="15.75" customHeight="1" x14ac:dyDescent="0.3">
      <c r="B955" s="13"/>
    </row>
    <row r="956" spans="2:2" ht="15.75" customHeight="1" x14ac:dyDescent="0.3">
      <c r="B956" s="13"/>
    </row>
    <row r="957" spans="2:2" ht="15.75" customHeight="1" x14ac:dyDescent="0.3">
      <c r="B957" s="13"/>
    </row>
    <row r="958" spans="2:2" ht="15.75" customHeight="1" x14ac:dyDescent="0.3">
      <c r="B958" s="13"/>
    </row>
    <row r="959" spans="2:2" ht="15.75" customHeight="1" x14ac:dyDescent="0.3">
      <c r="B959" s="13"/>
    </row>
    <row r="960" spans="2:2" ht="15.75" customHeight="1" x14ac:dyDescent="0.3">
      <c r="B960" s="13"/>
    </row>
    <row r="961" spans="2:2" ht="15.75" customHeight="1" x14ac:dyDescent="0.3">
      <c r="B961" s="13"/>
    </row>
    <row r="962" spans="2:2" ht="15.75" customHeight="1" x14ac:dyDescent="0.3">
      <c r="B962" s="13"/>
    </row>
    <row r="963" spans="2:2" ht="15.75" customHeight="1" x14ac:dyDescent="0.3">
      <c r="B963" s="13"/>
    </row>
    <row r="964" spans="2:2" ht="15.75" customHeight="1" x14ac:dyDescent="0.3">
      <c r="B964" s="13"/>
    </row>
    <row r="965" spans="2:2" ht="15.75" customHeight="1" x14ac:dyDescent="0.3">
      <c r="B965" s="13"/>
    </row>
    <row r="966" spans="2:2" ht="15.75" customHeight="1" x14ac:dyDescent="0.3">
      <c r="B966" s="13"/>
    </row>
    <row r="967" spans="2:2" ht="15.75" customHeight="1" x14ac:dyDescent="0.3">
      <c r="B967" s="13"/>
    </row>
    <row r="968" spans="2:2" ht="15.75" customHeight="1" x14ac:dyDescent="0.3">
      <c r="B968" s="13"/>
    </row>
    <row r="969" spans="2:2" ht="15.75" customHeight="1" x14ac:dyDescent="0.3">
      <c r="B969" s="13"/>
    </row>
    <row r="970" spans="2:2" ht="15.75" customHeight="1" x14ac:dyDescent="0.3">
      <c r="B970" s="13"/>
    </row>
    <row r="971" spans="2:2" ht="15.75" customHeight="1" x14ac:dyDescent="0.3">
      <c r="B971" s="13"/>
    </row>
    <row r="972" spans="2:2" ht="15.75" customHeight="1" x14ac:dyDescent="0.3">
      <c r="B972" s="13"/>
    </row>
    <row r="973" spans="2:2" ht="15.75" customHeight="1" x14ac:dyDescent="0.3">
      <c r="B973" s="13"/>
    </row>
    <row r="974" spans="2:2" ht="15.75" customHeight="1" x14ac:dyDescent="0.3">
      <c r="B974" s="13"/>
    </row>
    <row r="975" spans="2:2" ht="15.75" customHeight="1" x14ac:dyDescent="0.3">
      <c r="B975" s="13"/>
    </row>
    <row r="976" spans="2:2" ht="15.75" customHeight="1" x14ac:dyDescent="0.3">
      <c r="B976" s="13"/>
    </row>
    <row r="977" spans="2:2" ht="15.75" customHeight="1" x14ac:dyDescent="0.3">
      <c r="B977" s="13"/>
    </row>
    <row r="978" spans="2:2" ht="15.75" customHeight="1" x14ac:dyDescent="0.3">
      <c r="B978" s="13"/>
    </row>
    <row r="979" spans="2:2" ht="15.75" customHeight="1" x14ac:dyDescent="0.3">
      <c r="B979" s="13"/>
    </row>
    <row r="980" spans="2:2" ht="15.75" customHeight="1" x14ac:dyDescent="0.3">
      <c r="B980" s="13"/>
    </row>
    <row r="981" spans="2:2" ht="15.75" customHeight="1" x14ac:dyDescent="0.3">
      <c r="B981" s="13"/>
    </row>
    <row r="982" spans="2:2" ht="15.75" customHeight="1" x14ac:dyDescent="0.3">
      <c r="B982" s="13"/>
    </row>
    <row r="983" spans="2:2" ht="15.75" customHeight="1" x14ac:dyDescent="0.3">
      <c r="B983" s="13"/>
    </row>
    <row r="984" spans="2:2" ht="15.75" customHeight="1" x14ac:dyDescent="0.3">
      <c r="B984" s="13"/>
    </row>
    <row r="985" spans="2:2" ht="15.75" customHeight="1" x14ac:dyDescent="0.3">
      <c r="B985" s="13"/>
    </row>
    <row r="986" spans="2:2" ht="15.75" customHeight="1" x14ac:dyDescent="0.3">
      <c r="B986" s="13"/>
    </row>
    <row r="987" spans="2:2" ht="15.75" customHeight="1" x14ac:dyDescent="0.3">
      <c r="B987" s="13"/>
    </row>
    <row r="988" spans="2:2" ht="15.75" customHeight="1" x14ac:dyDescent="0.3">
      <c r="B988" s="13"/>
    </row>
    <row r="989" spans="2:2" ht="15.75" customHeight="1" x14ac:dyDescent="0.3">
      <c r="B989" s="13"/>
    </row>
    <row r="990" spans="2:2" ht="15.75" customHeight="1" x14ac:dyDescent="0.3">
      <c r="B990" s="13"/>
    </row>
    <row r="991" spans="2:2" ht="15.75" customHeight="1" x14ac:dyDescent="0.3">
      <c r="B991" s="13"/>
    </row>
    <row r="992" spans="2:2" ht="15.75" customHeight="1" x14ac:dyDescent="0.3">
      <c r="B992" s="13"/>
    </row>
    <row r="993" spans="2:2" ht="15.75" customHeight="1" x14ac:dyDescent="0.3">
      <c r="B993" s="13"/>
    </row>
    <row r="994" spans="2:2" ht="15.75" customHeight="1" x14ac:dyDescent="0.3">
      <c r="B994" s="13"/>
    </row>
    <row r="995" spans="2:2" ht="15.75" customHeight="1" x14ac:dyDescent="0.3">
      <c r="B995" s="13"/>
    </row>
    <row r="996" spans="2:2" ht="15.75" customHeight="1" x14ac:dyDescent="0.3">
      <c r="B996" s="13"/>
    </row>
    <row r="997" spans="2:2" ht="15.75" customHeight="1" x14ac:dyDescent="0.3">
      <c r="B997" s="13"/>
    </row>
    <row r="998" spans="2:2" ht="15.75" customHeight="1" x14ac:dyDescent="0.3">
      <c r="B998" s="13"/>
    </row>
    <row r="999" spans="2:2" ht="15.75" customHeight="1" x14ac:dyDescent="0.3">
      <c r="B999" s="13"/>
    </row>
    <row r="1000" spans="2:2" ht="15.75" customHeight="1" x14ac:dyDescent="0.3">
      <c r="B1000" s="13"/>
    </row>
    <row r="1001" spans="2:2" ht="15" customHeight="1" x14ac:dyDescent="0.3">
      <c r="B1001" s="13"/>
    </row>
    <row r="1002" spans="2:2" ht="15" customHeight="1" x14ac:dyDescent="0.3">
      <c r="B1002" s="13"/>
    </row>
    <row r="1003" spans="2:2" ht="15" customHeight="1" x14ac:dyDescent="0.3">
      <c r="B1003" s="13"/>
    </row>
    <row r="1004" spans="2:2" ht="15" customHeight="1" x14ac:dyDescent="0.3">
      <c r="B1004" s="13"/>
    </row>
    <row r="1005" spans="2:2" ht="15" customHeight="1" x14ac:dyDescent="0.3">
      <c r="B1005" s="13"/>
    </row>
    <row r="1006" spans="2:2" ht="15" customHeight="1" x14ac:dyDescent="0.3">
      <c r="B1006" s="13"/>
    </row>
    <row r="1007" spans="2:2" ht="15" customHeight="1" x14ac:dyDescent="0.3">
      <c r="B1007" s="13"/>
    </row>
    <row r="1008" spans="2:2" ht="15" customHeight="1" x14ac:dyDescent="0.3">
      <c r="B1008" s="13"/>
    </row>
    <row r="1009" spans="2:2" ht="15" customHeight="1" x14ac:dyDescent="0.3">
      <c r="B1009" s="13"/>
    </row>
    <row r="1010" spans="2:2" ht="15" customHeight="1" x14ac:dyDescent="0.3">
      <c r="B1010" s="13"/>
    </row>
  </sheetData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3DACB-5E3B-4F2C-A65A-451C61BF1967}">
  <sheetPr>
    <tabColor rgb="FFC00000"/>
  </sheetPr>
  <dimension ref="A1:D1010"/>
  <sheetViews>
    <sheetView workbookViewId="0">
      <selection activeCell="D9" sqref="D9"/>
    </sheetView>
  </sheetViews>
  <sheetFormatPr baseColWidth="10" defaultColWidth="12.59765625" defaultRowHeight="15" customHeight="1" x14ac:dyDescent="0.25"/>
  <cols>
    <col min="1" max="1" width="12.59765625" style="11"/>
    <col min="2" max="2" width="11.69921875" customWidth="1"/>
    <col min="3" max="3" width="21.8984375" customWidth="1"/>
    <col min="4" max="4" width="22.09765625" customWidth="1"/>
    <col min="5" max="24" width="9.3984375" customWidth="1"/>
  </cols>
  <sheetData>
    <row r="1" spans="1:4" ht="96.75" customHeight="1" x14ac:dyDescent="0.25">
      <c r="A1" s="8" t="s">
        <v>306</v>
      </c>
      <c r="B1" s="9" t="s">
        <v>340</v>
      </c>
      <c r="C1" s="141" t="s">
        <v>549</v>
      </c>
      <c r="D1" s="141" t="s">
        <v>550</v>
      </c>
    </row>
    <row r="2" spans="1:4" ht="14.4" x14ac:dyDescent="0.3">
      <c r="A2" s="33">
        <v>10101</v>
      </c>
      <c r="B2" s="10" t="s">
        <v>11</v>
      </c>
      <c r="C2" s="14">
        <v>2633.7516390362052</v>
      </c>
      <c r="D2" s="14">
        <v>9010.117206325298</v>
      </c>
    </row>
    <row r="3" spans="1:4" ht="14.4" x14ac:dyDescent="0.3">
      <c r="A3" s="33">
        <v>10102</v>
      </c>
      <c r="B3" s="10" t="s">
        <v>39</v>
      </c>
      <c r="C3" s="14">
        <v>40.246553552492124</v>
      </c>
      <c r="D3" s="14">
        <v>151.7891816920941</v>
      </c>
    </row>
    <row r="4" spans="1:4" ht="14.4" x14ac:dyDescent="0.3">
      <c r="A4" s="33">
        <v>10103</v>
      </c>
      <c r="B4" s="10" t="s">
        <v>18</v>
      </c>
      <c r="C4" s="14">
        <v>7.3958466453674241</v>
      </c>
      <c r="D4" s="14">
        <v>69.693467336683398</v>
      </c>
    </row>
    <row r="5" spans="1:4" ht="14.4" x14ac:dyDescent="0.3">
      <c r="A5" s="33">
        <v>10201</v>
      </c>
      <c r="B5" s="10" t="s">
        <v>307</v>
      </c>
      <c r="C5" s="14">
        <v>21.476433844406571</v>
      </c>
      <c r="D5" s="14">
        <v>48.666174298375303</v>
      </c>
    </row>
    <row r="6" spans="1:4" ht="14.4" x14ac:dyDescent="0.3">
      <c r="A6" s="33">
        <v>10202</v>
      </c>
      <c r="B6" s="10" t="s">
        <v>65</v>
      </c>
      <c r="C6" s="14">
        <v>7.3704379562043645</v>
      </c>
      <c r="D6" s="14">
        <v>88.438735177865652</v>
      </c>
    </row>
    <row r="7" spans="1:4" ht="14.4" x14ac:dyDescent="0.3">
      <c r="A7" s="33">
        <v>10301</v>
      </c>
      <c r="B7" s="10" t="s">
        <v>72</v>
      </c>
      <c r="C7" s="14">
        <v>55.968421052631456</v>
      </c>
      <c r="D7" s="14">
        <v>148.50955414012762</v>
      </c>
    </row>
    <row r="8" spans="1:4" ht="14.4" x14ac:dyDescent="0.3">
      <c r="A8" s="33">
        <v>10302</v>
      </c>
      <c r="B8" s="10" t="s">
        <v>80</v>
      </c>
      <c r="C8" s="14">
        <v>22.795843256116051</v>
      </c>
      <c r="D8" s="14">
        <v>111.01669474651528</v>
      </c>
    </row>
    <row r="9" spans="1:4" ht="14.4" x14ac:dyDescent="0.3">
      <c r="A9" s="33">
        <v>10303</v>
      </c>
      <c r="B9" s="10" t="s">
        <v>308</v>
      </c>
      <c r="C9" s="14">
        <v>11.596706490151769</v>
      </c>
      <c r="D9" s="14">
        <v>72.887454271572949</v>
      </c>
    </row>
    <row r="10" spans="1:4" ht="14.4" x14ac:dyDescent="0.3">
      <c r="A10" s="33">
        <v>10304</v>
      </c>
      <c r="B10" s="10" t="s">
        <v>99</v>
      </c>
      <c r="C10" s="14">
        <v>11.386813186813187</v>
      </c>
      <c r="D10" s="14">
        <v>70.29530201342277</v>
      </c>
    </row>
    <row r="11" spans="1:4" ht="14.4" x14ac:dyDescent="0.3">
      <c r="A11" s="33">
        <v>10401</v>
      </c>
      <c r="B11" s="10" t="s">
        <v>106</v>
      </c>
      <c r="C11" s="14">
        <v>36.561067111296389</v>
      </c>
      <c r="D11" s="14">
        <v>131.0175054704597</v>
      </c>
    </row>
    <row r="12" spans="1:4" ht="14.4" x14ac:dyDescent="0.3">
      <c r="A12" s="33">
        <v>10402</v>
      </c>
      <c r="B12" s="10" t="s">
        <v>117</v>
      </c>
      <c r="C12" s="14">
        <v>17.987096774193549</v>
      </c>
      <c r="D12" s="14">
        <v>81.085579803166212</v>
      </c>
    </row>
    <row r="13" spans="1:4" ht="14.4" x14ac:dyDescent="0.3">
      <c r="A13" s="33">
        <v>10403</v>
      </c>
      <c r="B13" s="10" t="s">
        <v>121</v>
      </c>
      <c r="C13" s="14">
        <v>14.854289940828409</v>
      </c>
      <c r="D13" s="14">
        <v>80.830595206032783</v>
      </c>
    </row>
    <row r="14" spans="1:4" ht="14.4" x14ac:dyDescent="0.3">
      <c r="A14" s="33">
        <v>10404</v>
      </c>
      <c r="B14" s="10" t="s">
        <v>84</v>
      </c>
      <c r="C14" s="14">
        <v>19.521000000000001</v>
      </c>
      <c r="D14" s="14">
        <v>49.917579551382424</v>
      </c>
    </row>
    <row r="15" spans="1:4" ht="14.4" x14ac:dyDescent="0.3">
      <c r="A15" s="33">
        <v>10405</v>
      </c>
      <c r="B15" s="10" t="s">
        <v>126</v>
      </c>
      <c r="C15" s="14">
        <v>12.512048192771088</v>
      </c>
      <c r="D15" s="14">
        <v>52.854230377166303</v>
      </c>
    </row>
    <row r="16" spans="1:4" ht="14.4" x14ac:dyDescent="0.3">
      <c r="A16" s="33">
        <v>10501</v>
      </c>
      <c r="B16" s="10" t="s">
        <v>129</v>
      </c>
      <c r="C16" s="14">
        <v>135.48737769080233</v>
      </c>
      <c r="D16" s="14">
        <v>394.67532881626204</v>
      </c>
    </row>
    <row r="17" spans="1:4" ht="14.4" x14ac:dyDescent="0.3">
      <c r="A17" s="33">
        <v>10502</v>
      </c>
      <c r="B17" s="10" t="s">
        <v>309</v>
      </c>
      <c r="C17" s="14">
        <v>28.921708185053383</v>
      </c>
      <c r="D17" s="14">
        <v>60.033333333333459</v>
      </c>
    </row>
    <row r="18" spans="1:4" ht="14.4" x14ac:dyDescent="0.3">
      <c r="A18" s="33">
        <v>10601</v>
      </c>
      <c r="B18" s="10" t="s">
        <v>136</v>
      </c>
      <c r="C18" s="14">
        <v>15.907258064516148</v>
      </c>
      <c r="D18" s="14">
        <v>118.6505260318314</v>
      </c>
    </row>
    <row r="19" spans="1:4" ht="14.4" x14ac:dyDescent="0.3">
      <c r="A19" s="33">
        <v>10602</v>
      </c>
      <c r="B19" s="10" t="s">
        <v>139</v>
      </c>
      <c r="C19" s="14">
        <v>4.2037267080745329</v>
      </c>
      <c r="D19" s="14">
        <v>72.195625257944712</v>
      </c>
    </row>
    <row r="20" spans="1:4" ht="14.4" x14ac:dyDescent="0.3">
      <c r="A20" s="33">
        <v>10701</v>
      </c>
      <c r="B20" s="10" t="s">
        <v>143</v>
      </c>
      <c r="C20" s="14">
        <v>38.299074219362922</v>
      </c>
      <c r="D20" s="14">
        <v>245.71820956256317</v>
      </c>
    </row>
    <row r="21" spans="1:4" ht="15.75" customHeight="1" x14ac:dyDescent="0.3">
      <c r="A21" s="33">
        <v>10702</v>
      </c>
      <c r="B21" s="10" t="s">
        <v>147</v>
      </c>
      <c r="C21" s="14">
        <v>31.76182707993479</v>
      </c>
      <c r="D21" s="14">
        <v>205.02117680500294</v>
      </c>
    </row>
    <row r="22" spans="1:4" ht="15.75" customHeight="1" x14ac:dyDescent="0.3">
      <c r="A22" s="33">
        <v>10703</v>
      </c>
      <c r="B22" s="10" t="s">
        <v>87</v>
      </c>
      <c r="C22" s="14">
        <v>8.3796501105972485</v>
      </c>
      <c r="D22" s="14">
        <v>70.284531301755592</v>
      </c>
    </row>
    <row r="23" spans="1:4" ht="15.75" customHeight="1" x14ac:dyDescent="0.3">
      <c r="A23" s="33">
        <v>10704</v>
      </c>
      <c r="B23" s="10" t="s">
        <v>150</v>
      </c>
      <c r="C23" s="14">
        <v>6.3422720624085827</v>
      </c>
      <c r="D23" s="14">
        <v>109.94451019066429</v>
      </c>
    </row>
    <row r="24" spans="1:4" ht="15.75" customHeight="1" x14ac:dyDescent="0.3">
      <c r="A24" s="33">
        <v>10801</v>
      </c>
      <c r="B24" s="10" t="s">
        <v>154</v>
      </c>
      <c r="C24" s="14">
        <v>28.35984095427434</v>
      </c>
      <c r="D24" s="14">
        <v>136.08632796365157</v>
      </c>
    </row>
    <row r="25" spans="1:4" ht="15.75" customHeight="1" x14ac:dyDescent="0.3">
      <c r="A25" s="33">
        <v>10901</v>
      </c>
      <c r="B25" s="10" t="s">
        <v>71</v>
      </c>
      <c r="C25" s="14">
        <v>16.64120225422668</v>
      </c>
      <c r="D25" s="14">
        <v>84.845109641489714</v>
      </c>
    </row>
    <row r="26" spans="1:4" ht="15.75" customHeight="1" x14ac:dyDescent="0.3">
      <c r="A26" s="33">
        <v>10902</v>
      </c>
      <c r="B26" s="10" t="s">
        <v>157</v>
      </c>
      <c r="C26" s="14">
        <v>15.606060606060602</v>
      </c>
      <c r="D26" s="14">
        <v>83.4964185990045</v>
      </c>
    </row>
    <row r="27" spans="1:4" ht="15.75" customHeight="1" x14ac:dyDescent="0.3">
      <c r="A27" s="33">
        <v>10903</v>
      </c>
      <c r="B27" s="10" t="s">
        <v>89</v>
      </c>
      <c r="C27" s="14">
        <v>12.368062317429407</v>
      </c>
      <c r="D27" s="14">
        <v>49.180772086117351</v>
      </c>
    </row>
    <row r="28" spans="1:4" ht="15.75" customHeight="1" x14ac:dyDescent="0.3">
      <c r="A28" s="33">
        <v>11001</v>
      </c>
      <c r="B28" s="10" t="s">
        <v>348</v>
      </c>
      <c r="C28" s="14">
        <v>31.062015503875955</v>
      </c>
      <c r="D28" s="14">
        <v>161.04142011834344</v>
      </c>
    </row>
    <row r="29" spans="1:4" ht="15.75" customHeight="1" x14ac:dyDescent="0.3">
      <c r="A29" s="33">
        <v>11002</v>
      </c>
      <c r="B29" s="10" t="s">
        <v>33</v>
      </c>
      <c r="C29" s="14">
        <v>1.1025917926565905</v>
      </c>
      <c r="D29" s="14">
        <v>36.561232765612324</v>
      </c>
    </row>
    <row r="30" spans="1:4" ht="15.75" customHeight="1" x14ac:dyDescent="0.3">
      <c r="A30" s="33">
        <v>11003</v>
      </c>
      <c r="B30" s="10" t="s">
        <v>146</v>
      </c>
      <c r="C30" s="14">
        <v>29.759919300605254</v>
      </c>
      <c r="D30" s="14">
        <v>77.401144310235139</v>
      </c>
    </row>
    <row r="31" spans="1:4" ht="15.75" customHeight="1" x14ac:dyDescent="0.3">
      <c r="A31" s="33">
        <v>20101</v>
      </c>
      <c r="B31" s="10" t="s">
        <v>310</v>
      </c>
      <c r="C31" s="14">
        <v>10627.501516219516</v>
      </c>
      <c r="D31" s="14">
        <v>26819.984310024931</v>
      </c>
    </row>
    <row r="32" spans="1:4" ht="15.75" customHeight="1" x14ac:dyDescent="0.3">
      <c r="A32" s="33">
        <v>20102</v>
      </c>
      <c r="B32" s="10" t="s">
        <v>168</v>
      </c>
      <c r="C32" s="14">
        <v>20.690034062190989</v>
      </c>
      <c r="D32" s="14">
        <v>155.15387664499806</v>
      </c>
    </row>
    <row r="33" spans="1:4" ht="15.75" customHeight="1" x14ac:dyDescent="0.3">
      <c r="A33" s="33">
        <v>20103</v>
      </c>
      <c r="B33" s="10" t="s">
        <v>170</v>
      </c>
      <c r="C33" s="14">
        <v>97.020252025202979</v>
      </c>
      <c r="D33" s="14">
        <v>414.46490791438481</v>
      </c>
    </row>
    <row r="34" spans="1:4" ht="15.75" customHeight="1" x14ac:dyDescent="0.3">
      <c r="A34" s="33">
        <v>20104</v>
      </c>
      <c r="B34" s="10" t="s">
        <v>174</v>
      </c>
      <c r="C34" s="14">
        <v>125.87315436241609</v>
      </c>
      <c r="D34" s="14">
        <v>1308.9028444772814</v>
      </c>
    </row>
    <row r="35" spans="1:4" ht="15.75" customHeight="1" x14ac:dyDescent="0.3">
      <c r="A35" s="33">
        <v>20105</v>
      </c>
      <c r="B35" s="10" t="s">
        <v>178</v>
      </c>
      <c r="C35" s="14">
        <v>6960.0164220471834</v>
      </c>
      <c r="D35" s="14">
        <v>28871.106753389173</v>
      </c>
    </row>
    <row r="36" spans="1:4" ht="15.75" customHeight="1" x14ac:dyDescent="0.3">
      <c r="A36" s="33">
        <v>20201</v>
      </c>
      <c r="B36" s="10" t="s">
        <v>181</v>
      </c>
      <c r="C36" s="14">
        <v>98.619214616616816</v>
      </c>
      <c r="D36" s="14">
        <v>481.1701542636772</v>
      </c>
    </row>
    <row r="37" spans="1:4" ht="15.75" customHeight="1" x14ac:dyDescent="0.3">
      <c r="A37" s="33">
        <v>20202</v>
      </c>
      <c r="B37" s="10" t="s">
        <v>183</v>
      </c>
      <c r="C37" s="14">
        <v>12.409307244843987</v>
      </c>
      <c r="D37" s="14">
        <v>122.59361723149935</v>
      </c>
    </row>
    <row r="38" spans="1:4" ht="15.75" customHeight="1" x14ac:dyDescent="0.3">
      <c r="A38" s="33">
        <v>20203</v>
      </c>
      <c r="B38" s="10" t="s">
        <v>159</v>
      </c>
      <c r="C38" s="14">
        <v>20.269246435845218</v>
      </c>
      <c r="D38" s="14">
        <v>128.04390725209683</v>
      </c>
    </row>
    <row r="39" spans="1:4" ht="15.75" customHeight="1" x14ac:dyDescent="0.3">
      <c r="A39" s="33">
        <v>20204</v>
      </c>
      <c r="B39" s="10" t="s">
        <v>187</v>
      </c>
      <c r="C39" s="14">
        <v>20.972433253744285</v>
      </c>
      <c r="D39" s="14">
        <v>93.492033739456446</v>
      </c>
    </row>
    <row r="40" spans="1:4" ht="15.75" customHeight="1" x14ac:dyDescent="0.3">
      <c r="A40" s="33">
        <v>20205</v>
      </c>
      <c r="B40" s="10" t="s">
        <v>189</v>
      </c>
      <c r="C40" s="14">
        <v>7.3349282296650511</v>
      </c>
      <c r="D40" s="14">
        <v>67.830154731918043</v>
      </c>
    </row>
    <row r="41" spans="1:4" ht="15.75" customHeight="1" x14ac:dyDescent="0.3">
      <c r="A41" s="33">
        <v>20206</v>
      </c>
      <c r="B41" s="10" t="s">
        <v>103</v>
      </c>
      <c r="C41" s="14">
        <v>32.536109646810665</v>
      </c>
      <c r="D41" s="14">
        <v>67.37083482622721</v>
      </c>
    </row>
    <row r="42" spans="1:4" ht="15.75" customHeight="1" x14ac:dyDescent="0.3">
      <c r="A42" s="33">
        <v>20301</v>
      </c>
      <c r="B42" s="10" t="s">
        <v>196</v>
      </c>
      <c r="C42" s="14">
        <v>18.180901759530794</v>
      </c>
      <c r="D42" s="14">
        <v>158.55405749173275</v>
      </c>
    </row>
    <row r="43" spans="1:4" ht="15.75" customHeight="1" x14ac:dyDescent="0.3">
      <c r="A43" s="33">
        <v>20302</v>
      </c>
      <c r="B43" s="10" t="s">
        <v>82</v>
      </c>
      <c r="C43" s="14">
        <v>9.4022903583302586</v>
      </c>
      <c r="D43" s="14">
        <v>108.46452108963047</v>
      </c>
    </row>
    <row r="44" spans="1:4" ht="15.75" customHeight="1" x14ac:dyDescent="0.3">
      <c r="A44" s="33">
        <v>20303</v>
      </c>
      <c r="B44" s="10" t="s">
        <v>30</v>
      </c>
      <c r="C44" s="14">
        <v>7.363870967741927</v>
      </c>
      <c r="D44" s="14">
        <v>51.939567170273598</v>
      </c>
    </row>
    <row r="45" spans="1:4" ht="15.75" customHeight="1" x14ac:dyDescent="0.3">
      <c r="A45" s="33">
        <v>20304</v>
      </c>
      <c r="B45" s="10" t="s">
        <v>148</v>
      </c>
      <c r="C45" s="14">
        <v>8.1144024514811086</v>
      </c>
      <c r="D45" s="14">
        <v>28.853974121996302</v>
      </c>
    </row>
    <row r="46" spans="1:4" ht="15.75" customHeight="1" x14ac:dyDescent="0.3">
      <c r="A46" s="33">
        <v>20305</v>
      </c>
      <c r="B46" s="10" t="s">
        <v>93</v>
      </c>
      <c r="C46" s="14">
        <v>5.3761969904240789</v>
      </c>
      <c r="D46" s="14">
        <v>20.734024179620029</v>
      </c>
    </row>
    <row r="47" spans="1:4" ht="15.75" customHeight="1" x14ac:dyDescent="0.3">
      <c r="A47" s="33">
        <v>20306</v>
      </c>
      <c r="B47" s="10" t="s">
        <v>97</v>
      </c>
      <c r="C47" s="14">
        <v>6.3730999539382829</v>
      </c>
      <c r="D47" s="14">
        <v>53.675149311867074</v>
      </c>
    </row>
    <row r="48" spans="1:4" ht="15.75" customHeight="1" x14ac:dyDescent="0.3">
      <c r="A48" s="33">
        <v>20307</v>
      </c>
      <c r="B48" s="10" t="s">
        <v>12</v>
      </c>
      <c r="C48" s="14">
        <v>1.040498442367602</v>
      </c>
      <c r="D48" s="14">
        <v>38.244648318042842</v>
      </c>
    </row>
    <row r="49" spans="1:4" ht="15.75" customHeight="1" x14ac:dyDescent="0.3">
      <c r="A49" s="33">
        <v>20308</v>
      </c>
      <c r="B49" s="10" t="s">
        <v>311</v>
      </c>
      <c r="C49" s="14">
        <v>13.652037617554841</v>
      </c>
      <c r="D49" s="14">
        <v>48.856240126382296</v>
      </c>
    </row>
    <row r="50" spans="1:4" ht="15.75" customHeight="1" x14ac:dyDescent="0.3">
      <c r="A50" s="33">
        <v>20401</v>
      </c>
      <c r="B50" s="10" t="s">
        <v>124</v>
      </c>
      <c r="C50" s="14">
        <v>9.263971983073116</v>
      </c>
      <c r="D50" s="14">
        <v>91.042368094000693</v>
      </c>
    </row>
    <row r="51" spans="1:4" ht="15.75" customHeight="1" x14ac:dyDescent="0.3">
      <c r="A51" s="33">
        <v>20402</v>
      </c>
      <c r="B51" s="10" t="s">
        <v>112</v>
      </c>
      <c r="C51" s="14">
        <v>11.365255634964281</v>
      </c>
      <c r="D51" s="14">
        <v>116.9981761809224</v>
      </c>
    </row>
    <row r="52" spans="1:4" ht="15.75" customHeight="1" x14ac:dyDescent="0.3">
      <c r="A52" s="33">
        <v>20403</v>
      </c>
      <c r="B52" s="10" t="s">
        <v>312</v>
      </c>
      <c r="C52" s="14">
        <v>16.545054945054915</v>
      </c>
      <c r="D52" s="14">
        <v>136.6195768743292</v>
      </c>
    </row>
    <row r="53" spans="1:4" ht="15.75" customHeight="1" x14ac:dyDescent="0.3">
      <c r="A53" s="33">
        <v>20404</v>
      </c>
      <c r="B53" s="10" t="s">
        <v>116</v>
      </c>
      <c r="C53" s="14">
        <v>3.0975689881734563</v>
      </c>
      <c r="D53" s="14">
        <v>15.413820283762481</v>
      </c>
    </row>
    <row r="54" spans="1:4" ht="15.75" customHeight="1" x14ac:dyDescent="0.3">
      <c r="A54" s="33">
        <v>20405</v>
      </c>
      <c r="B54" s="10" t="s">
        <v>222</v>
      </c>
      <c r="C54" s="14">
        <v>7.1723892967084799</v>
      </c>
      <c r="D54" s="14">
        <v>67.796860572484078</v>
      </c>
    </row>
    <row r="55" spans="1:4" ht="15.75" customHeight="1" x14ac:dyDescent="0.3">
      <c r="A55" s="33">
        <v>20501</v>
      </c>
      <c r="B55" s="10" t="s">
        <v>226</v>
      </c>
      <c r="C55" s="14">
        <v>12.605755621953106</v>
      </c>
      <c r="D55" s="14">
        <v>75.235685752330255</v>
      </c>
    </row>
    <row r="56" spans="1:4" ht="15.75" customHeight="1" x14ac:dyDescent="0.3">
      <c r="A56" s="33">
        <v>20502</v>
      </c>
      <c r="B56" s="10" t="s">
        <v>101</v>
      </c>
      <c r="C56" s="14">
        <v>8.2643015521064136</v>
      </c>
      <c r="D56" s="14">
        <v>34.214723926380337</v>
      </c>
    </row>
    <row r="57" spans="1:4" ht="15.75" customHeight="1" x14ac:dyDescent="0.3">
      <c r="A57" s="33">
        <v>20503</v>
      </c>
      <c r="B57" s="10" t="s">
        <v>182</v>
      </c>
      <c r="C57" s="14">
        <v>7.3616037008481037</v>
      </c>
      <c r="D57" s="14">
        <v>61.808768154921971</v>
      </c>
    </row>
    <row r="58" spans="1:4" ht="15.75" customHeight="1" x14ac:dyDescent="0.3">
      <c r="A58" s="33">
        <v>20601</v>
      </c>
      <c r="B58" s="10" t="s">
        <v>233</v>
      </c>
      <c r="C58" s="14">
        <v>86.974658869395711</v>
      </c>
      <c r="D58" s="14">
        <v>313.50158513085159</v>
      </c>
    </row>
    <row r="59" spans="1:4" ht="15.75" customHeight="1" x14ac:dyDescent="0.3">
      <c r="A59" s="33">
        <v>20602</v>
      </c>
      <c r="B59" s="10" t="s">
        <v>236</v>
      </c>
      <c r="C59" s="14">
        <v>131.97255717255743</v>
      </c>
      <c r="D59" s="14">
        <v>418.42154898031379</v>
      </c>
    </row>
    <row r="60" spans="1:4" ht="15.75" customHeight="1" x14ac:dyDescent="0.3">
      <c r="A60" s="33">
        <v>20603</v>
      </c>
      <c r="B60" s="10" t="s">
        <v>203</v>
      </c>
      <c r="C60" s="14">
        <v>11.495796356842609</v>
      </c>
      <c r="D60" s="14">
        <v>80.406943105110869</v>
      </c>
    </row>
    <row r="61" spans="1:4" ht="15.75" customHeight="1" x14ac:dyDescent="0.3">
      <c r="A61" s="33">
        <v>20604</v>
      </c>
      <c r="B61" s="10" t="s">
        <v>54</v>
      </c>
      <c r="C61" s="14">
        <v>2.0827943078913327</v>
      </c>
      <c r="D61" s="14">
        <v>20.890287769784162</v>
      </c>
    </row>
    <row r="62" spans="1:4" ht="15.75" customHeight="1" x14ac:dyDescent="0.3">
      <c r="A62" s="33">
        <v>20605</v>
      </c>
      <c r="B62" s="10" t="s">
        <v>62</v>
      </c>
      <c r="C62" s="14">
        <v>4.1017241379310283</v>
      </c>
      <c r="D62" s="14">
        <v>15.546984572230024</v>
      </c>
    </row>
    <row r="63" spans="1:4" ht="15.75" customHeight="1" x14ac:dyDescent="0.3">
      <c r="A63" s="33">
        <v>20606</v>
      </c>
      <c r="B63" s="10" t="s">
        <v>140</v>
      </c>
      <c r="C63" s="14">
        <v>132.0853816300131</v>
      </c>
      <c r="D63" s="14">
        <v>281.56716023268098</v>
      </c>
    </row>
    <row r="64" spans="1:4" ht="15.75" customHeight="1" x14ac:dyDescent="0.3">
      <c r="A64" s="33">
        <v>20607</v>
      </c>
      <c r="B64" s="10" t="s">
        <v>167</v>
      </c>
      <c r="C64" s="14">
        <v>90.365676461091581</v>
      </c>
      <c r="D64" s="14">
        <v>686.94450867052012</v>
      </c>
    </row>
    <row r="65" spans="1:4" ht="15.75" customHeight="1" x14ac:dyDescent="0.3">
      <c r="A65" s="33">
        <v>20608</v>
      </c>
      <c r="B65" s="10" t="s">
        <v>200</v>
      </c>
      <c r="C65" s="14">
        <v>39.90038160273145</v>
      </c>
      <c r="D65" s="14">
        <v>249.34241623800887</v>
      </c>
    </row>
    <row r="66" spans="1:4" ht="15.75" customHeight="1" x14ac:dyDescent="0.3">
      <c r="A66" s="33">
        <v>20701</v>
      </c>
      <c r="B66" s="10" t="s">
        <v>241</v>
      </c>
      <c r="C66" s="14">
        <v>58.546276469188712</v>
      </c>
      <c r="D66" s="14">
        <v>242.75429815016307</v>
      </c>
    </row>
    <row r="67" spans="1:4" ht="15.75" customHeight="1" x14ac:dyDescent="0.3">
      <c r="A67" s="33">
        <v>20702</v>
      </c>
      <c r="B67" s="10" t="s">
        <v>41</v>
      </c>
      <c r="C67" s="14">
        <v>10.754892823858334</v>
      </c>
      <c r="D67" s="14">
        <v>92.006688963210465</v>
      </c>
    </row>
    <row r="68" spans="1:4" ht="15.75" customHeight="1" x14ac:dyDescent="0.3">
      <c r="A68" s="33">
        <v>20801</v>
      </c>
      <c r="B68" s="10" t="s">
        <v>244</v>
      </c>
      <c r="C68" s="14">
        <v>405.94674624124792</v>
      </c>
      <c r="D68" s="14">
        <v>3018.4202323604409</v>
      </c>
    </row>
    <row r="69" spans="1:4" ht="15.75" customHeight="1" x14ac:dyDescent="0.3">
      <c r="A69" s="33">
        <v>20802</v>
      </c>
      <c r="B69" s="10" t="s">
        <v>186</v>
      </c>
      <c r="C69" s="14">
        <v>14.03864032539221</v>
      </c>
      <c r="D69" s="14">
        <v>171.74405567369024</v>
      </c>
    </row>
    <row r="70" spans="1:4" ht="15.75" customHeight="1" x14ac:dyDescent="0.3">
      <c r="A70" s="33">
        <v>20803</v>
      </c>
      <c r="B70" s="10" t="s">
        <v>217</v>
      </c>
      <c r="C70" s="14">
        <v>51.901800327332239</v>
      </c>
      <c r="D70" s="14">
        <v>148.33377308707111</v>
      </c>
    </row>
    <row r="71" spans="1:4" ht="15.75" customHeight="1" x14ac:dyDescent="0.3">
      <c r="A71" s="33">
        <v>20804</v>
      </c>
      <c r="B71" s="10" t="s">
        <v>113</v>
      </c>
      <c r="C71" s="14">
        <v>127.1549142390416</v>
      </c>
      <c r="D71" s="14">
        <v>296.55178147268407</v>
      </c>
    </row>
    <row r="72" spans="1:4" ht="15.75" customHeight="1" x14ac:dyDescent="0.3">
      <c r="A72" s="33">
        <v>20805</v>
      </c>
      <c r="B72" s="10" t="s">
        <v>90</v>
      </c>
      <c r="C72" s="14">
        <v>2.081584392550992</v>
      </c>
      <c r="D72" s="14">
        <v>60.603950713866801</v>
      </c>
    </row>
    <row r="73" spans="1:4" ht="15.75" customHeight="1" x14ac:dyDescent="0.3">
      <c r="A73" s="33">
        <v>20806</v>
      </c>
      <c r="B73" s="10" t="s">
        <v>210</v>
      </c>
      <c r="C73" s="14">
        <v>8.4148895899053944</v>
      </c>
      <c r="D73" s="14">
        <v>148.76830601092851</v>
      </c>
    </row>
    <row r="74" spans="1:4" ht="15.75" customHeight="1" x14ac:dyDescent="0.3">
      <c r="A74" s="33">
        <v>20807</v>
      </c>
      <c r="B74" s="10" t="s">
        <v>123</v>
      </c>
      <c r="C74" s="14">
        <v>6.2019527235354692</v>
      </c>
      <c r="D74" s="14">
        <v>52.544163708498466</v>
      </c>
    </row>
    <row r="75" spans="1:4" ht="15.75" customHeight="1" x14ac:dyDescent="0.3">
      <c r="A75" s="33">
        <v>20901</v>
      </c>
      <c r="B75" s="10" t="s">
        <v>253</v>
      </c>
      <c r="C75" s="14">
        <v>6.1395348837209305</v>
      </c>
      <c r="D75" s="14">
        <v>71.814892975580022</v>
      </c>
    </row>
    <row r="76" spans="1:4" ht="15.75" customHeight="1" x14ac:dyDescent="0.3">
      <c r="A76" s="33">
        <v>20902</v>
      </c>
      <c r="B76" s="10" t="s">
        <v>172</v>
      </c>
      <c r="C76" s="14">
        <v>10.500839395635152</v>
      </c>
      <c r="D76" s="14">
        <v>81.010853904524055</v>
      </c>
    </row>
    <row r="77" spans="1:4" ht="15.75" customHeight="1" x14ac:dyDescent="0.3">
      <c r="A77" s="33">
        <v>20903</v>
      </c>
      <c r="B77" s="10" t="s">
        <v>198</v>
      </c>
      <c r="C77" s="14">
        <v>1.0445040214477199</v>
      </c>
      <c r="D77" s="14">
        <v>65.700385769395652</v>
      </c>
    </row>
    <row r="78" spans="1:4" ht="15.75" customHeight="1" x14ac:dyDescent="0.3">
      <c r="A78" s="33">
        <v>20904</v>
      </c>
      <c r="B78" s="10" t="s">
        <v>107</v>
      </c>
      <c r="C78" s="14">
        <v>5.2431118314424738</v>
      </c>
      <c r="D78" s="14">
        <v>41.608876560333002</v>
      </c>
    </row>
    <row r="79" spans="1:4" ht="15.75" customHeight="1" x14ac:dyDescent="0.3">
      <c r="A79" s="33">
        <v>20905</v>
      </c>
      <c r="B79" s="10" t="s">
        <v>191</v>
      </c>
      <c r="C79" s="14">
        <v>2.0597355965399058</v>
      </c>
      <c r="D79" s="14">
        <v>64.913681812428806</v>
      </c>
    </row>
    <row r="80" spans="1:4" ht="15.75" customHeight="1" x14ac:dyDescent="0.3">
      <c r="A80" s="33">
        <v>21001</v>
      </c>
      <c r="B80" s="10" t="s">
        <v>138</v>
      </c>
      <c r="C80" s="14">
        <v>9.2872212578448412</v>
      </c>
      <c r="D80" s="14">
        <v>87.936478454680511</v>
      </c>
    </row>
    <row r="81" spans="1:4" ht="15.75" customHeight="1" x14ac:dyDescent="0.3">
      <c r="A81" s="33">
        <v>21002</v>
      </c>
      <c r="B81" s="10" t="s">
        <v>231</v>
      </c>
      <c r="C81" s="14">
        <v>18.861796643632758</v>
      </c>
      <c r="D81" s="14">
        <v>159.68861454046632</v>
      </c>
    </row>
    <row r="82" spans="1:4" ht="15.75" customHeight="1" x14ac:dyDescent="0.3">
      <c r="A82" s="33">
        <v>21003</v>
      </c>
      <c r="B82" s="10" t="s">
        <v>149</v>
      </c>
      <c r="C82" s="14">
        <v>6.1494331844726879</v>
      </c>
      <c r="D82" s="14">
        <v>133.09524344990402</v>
      </c>
    </row>
    <row r="83" spans="1:4" ht="15.75" customHeight="1" x14ac:dyDescent="0.3">
      <c r="A83" s="33">
        <v>21004</v>
      </c>
      <c r="B83" s="10" t="s">
        <v>268</v>
      </c>
      <c r="C83" s="14">
        <v>19.981722319859387</v>
      </c>
      <c r="D83" s="14">
        <v>219.8540720027967</v>
      </c>
    </row>
    <row r="84" spans="1:4" ht="15.75" customHeight="1" x14ac:dyDescent="0.3">
      <c r="A84" s="33">
        <v>21005</v>
      </c>
      <c r="B84" s="10" t="s">
        <v>132</v>
      </c>
      <c r="C84" s="14">
        <v>2.0478348439073528</v>
      </c>
      <c r="D84" s="14">
        <v>30.970621048716982</v>
      </c>
    </row>
    <row r="85" spans="1:4" ht="15.75" customHeight="1" x14ac:dyDescent="0.3">
      <c r="A85" s="33">
        <v>21006</v>
      </c>
      <c r="B85" s="10" t="s">
        <v>67</v>
      </c>
      <c r="C85" s="14">
        <v>18.238493723849366</v>
      </c>
      <c r="D85" s="14">
        <v>78.7938485002541</v>
      </c>
    </row>
    <row r="86" spans="1:4" ht="15.75" customHeight="1" x14ac:dyDescent="0.3">
      <c r="A86" s="33">
        <v>21101</v>
      </c>
      <c r="B86" s="10" t="s">
        <v>245</v>
      </c>
      <c r="C86" s="14">
        <v>83.893330789046814</v>
      </c>
      <c r="D86" s="14">
        <v>256.64822416562583</v>
      </c>
    </row>
    <row r="87" spans="1:4" ht="15.75" customHeight="1" x14ac:dyDescent="0.3">
      <c r="A87" s="33">
        <v>21102</v>
      </c>
      <c r="B87" s="10" t="s">
        <v>273</v>
      </c>
      <c r="C87" s="14">
        <v>31.601941747572805</v>
      </c>
      <c r="D87" s="14">
        <v>199.84472049689387</v>
      </c>
    </row>
    <row r="88" spans="1:4" ht="15.75" customHeight="1" x14ac:dyDescent="0.3">
      <c r="A88" s="33">
        <v>21103</v>
      </c>
      <c r="B88" s="10" t="s">
        <v>94</v>
      </c>
      <c r="C88" s="14">
        <v>25.119574844995572</v>
      </c>
      <c r="D88" s="14">
        <v>114.05141202027514</v>
      </c>
    </row>
    <row r="89" spans="1:4" ht="15.75" customHeight="1" x14ac:dyDescent="0.3">
      <c r="A89" s="33">
        <v>21104</v>
      </c>
      <c r="B89" s="10" t="s">
        <v>258</v>
      </c>
      <c r="C89" s="14">
        <v>110.66604230078831</v>
      </c>
      <c r="D89" s="14">
        <v>435.81311286291105</v>
      </c>
    </row>
    <row r="90" spans="1:4" ht="15.75" customHeight="1" x14ac:dyDescent="0.3">
      <c r="A90" s="33">
        <v>21105</v>
      </c>
      <c r="B90" s="10" t="s">
        <v>70</v>
      </c>
      <c r="C90" s="14">
        <v>39.589636531446473</v>
      </c>
      <c r="D90" s="14">
        <v>252.25625092469312</v>
      </c>
    </row>
    <row r="91" spans="1:4" ht="15.75" customHeight="1" x14ac:dyDescent="0.3">
      <c r="A91" s="33">
        <v>21201</v>
      </c>
      <c r="B91" s="10" t="s">
        <v>255</v>
      </c>
      <c r="C91" s="14">
        <v>35.374384582922985</v>
      </c>
      <c r="D91" s="14">
        <v>637.4413309982491</v>
      </c>
    </row>
    <row r="92" spans="1:4" ht="15.75" customHeight="1" x14ac:dyDescent="0.3">
      <c r="A92" s="33">
        <v>21202</v>
      </c>
      <c r="B92" s="10" t="s">
        <v>267</v>
      </c>
      <c r="C92" s="14">
        <v>25.422251244796382</v>
      </c>
      <c r="D92" s="14">
        <v>530.62896139104475</v>
      </c>
    </row>
    <row r="93" spans="1:4" ht="15.75" customHeight="1" x14ac:dyDescent="0.3">
      <c r="A93" s="33">
        <v>21203</v>
      </c>
      <c r="B93" s="10" t="s">
        <v>277</v>
      </c>
      <c r="C93" s="14">
        <v>19.650462170489519</v>
      </c>
      <c r="D93" s="14">
        <v>242.2845946607882</v>
      </c>
    </row>
    <row r="94" spans="1:4" ht="15.75" customHeight="1" x14ac:dyDescent="0.3">
      <c r="A94" s="33">
        <v>21204</v>
      </c>
      <c r="B94" s="10" t="s">
        <v>199</v>
      </c>
      <c r="C94" s="14">
        <v>4.2550544323483628</v>
      </c>
      <c r="D94" s="14">
        <v>60.154150197628603</v>
      </c>
    </row>
    <row r="95" spans="1:4" ht="15.75" customHeight="1" x14ac:dyDescent="0.3">
      <c r="A95" s="33">
        <v>21301</v>
      </c>
      <c r="B95" s="10" t="s">
        <v>261</v>
      </c>
      <c r="C95" s="14">
        <v>45.900804643186888</v>
      </c>
      <c r="D95" s="14">
        <v>346.75322487232233</v>
      </c>
    </row>
    <row r="96" spans="1:4" ht="15.75" customHeight="1" x14ac:dyDescent="0.3">
      <c r="A96" s="33">
        <v>21302</v>
      </c>
      <c r="B96" s="10" t="s">
        <v>232</v>
      </c>
      <c r="C96" s="14">
        <v>2.0445168295331158</v>
      </c>
      <c r="D96" s="14">
        <v>49.149054905490544</v>
      </c>
    </row>
    <row r="97" spans="1:4" ht="15.75" customHeight="1" x14ac:dyDescent="0.3">
      <c r="A97" s="33">
        <v>21303</v>
      </c>
      <c r="B97" s="10" t="s">
        <v>218</v>
      </c>
      <c r="C97" s="14">
        <v>17.675700090334217</v>
      </c>
      <c r="D97" s="14">
        <v>111.1982528871781</v>
      </c>
    </row>
    <row r="98" spans="1:4" ht="15.75" customHeight="1" x14ac:dyDescent="0.3">
      <c r="A98" s="33">
        <v>21304</v>
      </c>
      <c r="B98" s="10" t="s">
        <v>249</v>
      </c>
      <c r="C98" s="14">
        <v>19.39115229935301</v>
      </c>
      <c r="D98" s="14">
        <v>128.53596911919547</v>
      </c>
    </row>
    <row r="99" spans="1:4" ht="15.75" customHeight="1" x14ac:dyDescent="0.3">
      <c r="A99" s="33">
        <v>21305</v>
      </c>
      <c r="B99" s="10" t="s">
        <v>280</v>
      </c>
      <c r="C99" s="14">
        <v>79.558437909720936</v>
      </c>
      <c r="D99" s="14">
        <v>632.24444279235718</v>
      </c>
    </row>
    <row r="100" spans="1:4" ht="15.75" customHeight="1" x14ac:dyDescent="0.3">
      <c r="A100" s="33">
        <v>21306</v>
      </c>
      <c r="B100" s="10" t="s">
        <v>229</v>
      </c>
      <c r="C100" s="14">
        <v>22.566086395873651</v>
      </c>
      <c r="D100" s="14">
        <v>102.0697180963931</v>
      </c>
    </row>
    <row r="101" spans="1:4" ht="15.75" customHeight="1" x14ac:dyDescent="0.3">
      <c r="A101" s="33">
        <v>21307</v>
      </c>
      <c r="B101" s="10" t="s">
        <v>100</v>
      </c>
      <c r="C101" s="14">
        <v>9.8327137546468446</v>
      </c>
      <c r="D101" s="14">
        <v>65.41159207630227</v>
      </c>
    </row>
    <row r="102" spans="1:4" ht="15.75" customHeight="1" x14ac:dyDescent="0.3">
      <c r="A102" s="33">
        <v>21401</v>
      </c>
      <c r="B102" s="10" t="s">
        <v>284</v>
      </c>
      <c r="C102" s="14">
        <v>232.23280234938113</v>
      </c>
      <c r="D102" s="14">
        <v>670.72598067083595</v>
      </c>
    </row>
    <row r="103" spans="1:4" ht="15.75" customHeight="1" x14ac:dyDescent="0.3">
      <c r="A103" s="33">
        <v>21402</v>
      </c>
      <c r="B103" s="10" t="s">
        <v>220</v>
      </c>
      <c r="C103" s="14">
        <v>26.720396655648489</v>
      </c>
      <c r="D103" s="14">
        <v>181.21885157096381</v>
      </c>
    </row>
    <row r="104" spans="1:4" ht="15.75" customHeight="1" x14ac:dyDescent="0.3">
      <c r="A104" s="33">
        <v>21501</v>
      </c>
      <c r="B104" s="10" t="s">
        <v>194</v>
      </c>
      <c r="C104" s="14">
        <v>40.872770199370422</v>
      </c>
      <c r="D104" s="14">
        <v>160.39614316064731</v>
      </c>
    </row>
    <row r="105" spans="1:4" ht="15.75" customHeight="1" x14ac:dyDescent="0.3">
      <c r="A105" s="33">
        <v>21502</v>
      </c>
      <c r="B105" s="10" t="s">
        <v>133</v>
      </c>
      <c r="C105" s="14">
        <v>179.8501978518938</v>
      </c>
      <c r="D105" s="14">
        <v>298.48605150214604</v>
      </c>
    </row>
    <row r="106" spans="1:4" ht="15.75" customHeight="1" x14ac:dyDescent="0.3">
      <c r="A106" s="33">
        <v>21601</v>
      </c>
      <c r="B106" s="10" t="s">
        <v>313</v>
      </c>
      <c r="C106" s="14">
        <v>11.39692500784434</v>
      </c>
      <c r="D106" s="14">
        <v>105.25282063089993</v>
      </c>
    </row>
    <row r="107" spans="1:4" ht="15.75" customHeight="1" x14ac:dyDescent="0.3">
      <c r="A107" s="33">
        <v>21602</v>
      </c>
      <c r="B107" s="10" t="s">
        <v>108</v>
      </c>
      <c r="C107" s="14">
        <v>4.1869651086240989</v>
      </c>
      <c r="D107" s="14">
        <v>26.342501637197131</v>
      </c>
    </row>
    <row r="108" spans="1:4" ht="15.75" customHeight="1" x14ac:dyDescent="0.3">
      <c r="A108" s="33">
        <v>21701</v>
      </c>
      <c r="B108" s="10" t="s">
        <v>251</v>
      </c>
      <c r="C108" s="14">
        <v>454.09105939208933</v>
      </c>
      <c r="D108" s="14">
        <v>813.44091796875</v>
      </c>
    </row>
    <row r="109" spans="1:4" ht="15.75" customHeight="1" x14ac:dyDescent="0.3">
      <c r="A109" s="33">
        <v>21702</v>
      </c>
      <c r="B109" s="10" t="s">
        <v>184</v>
      </c>
      <c r="C109" s="14">
        <v>122.29674418604664</v>
      </c>
      <c r="D109" s="14">
        <v>280.75657894736844</v>
      </c>
    </row>
    <row r="110" spans="1:4" ht="15.75" customHeight="1" x14ac:dyDescent="0.3">
      <c r="A110" s="33">
        <v>21703</v>
      </c>
      <c r="B110" s="10" t="s">
        <v>135</v>
      </c>
      <c r="C110" s="14">
        <v>7.2034514078110732</v>
      </c>
      <c r="D110" s="14">
        <v>63.662935586061067</v>
      </c>
    </row>
    <row r="111" spans="1:4" ht="15.75" customHeight="1" x14ac:dyDescent="0.3">
      <c r="A111" s="33">
        <v>21801</v>
      </c>
      <c r="B111" s="10" t="s">
        <v>314</v>
      </c>
      <c r="C111" s="14">
        <v>7.2595031990967032</v>
      </c>
      <c r="D111" s="14">
        <v>33.167007498295845</v>
      </c>
    </row>
    <row r="112" spans="1:4" ht="15.75" customHeight="1" x14ac:dyDescent="0.3">
      <c r="A112" s="33">
        <v>21802</v>
      </c>
      <c r="B112" s="10" t="s">
        <v>197</v>
      </c>
      <c r="C112" s="14">
        <v>3.1809872029250461</v>
      </c>
      <c r="D112" s="14">
        <v>33.080459770114921</v>
      </c>
    </row>
    <row r="113" spans="1:4" ht="15.75" customHeight="1" x14ac:dyDescent="0.3">
      <c r="A113" s="33">
        <v>21803</v>
      </c>
      <c r="B113" s="10" t="s">
        <v>49</v>
      </c>
      <c r="C113" s="14">
        <v>1.0336581045172715</v>
      </c>
      <c r="D113" s="14">
        <v>13.491157556270123</v>
      </c>
    </row>
    <row r="114" spans="1:4" ht="15.75" customHeight="1" x14ac:dyDescent="0.3">
      <c r="A114" s="33">
        <v>21901</v>
      </c>
      <c r="B114" s="10" t="s">
        <v>50</v>
      </c>
      <c r="C114" s="14">
        <v>11.678296146044634</v>
      </c>
      <c r="D114" s="14">
        <v>79.140338983050739</v>
      </c>
    </row>
    <row r="115" spans="1:4" ht="15.75" customHeight="1" x14ac:dyDescent="0.3">
      <c r="A115" s="33">
        <v>21902</v>
      </c>
      <c r="B115" s="10" t="s">
        <v>28</v>
      </c>
      <c r="C115" s="14">
        <v>3.2025316455696187</v>
      </c>
      <c r="D115" s="14">
        <v>28.926605504587172</v>
      </c>
    </row>
    <row r="116" spans="1:4" ht="15.75" customHeight="1" x14ac:dyDescent="0.3">
      <c r="A116" s="33">
        <v>22001</v>
      </c>
      <c r="B116" s="10" t="s">
        <v>260</v>
      </c>
      <c r="C116" s="14">
        <v>254.62538733953073</v>
      </c>
      <c r="D116" s="14">
        <v>1365.521897381707</v>
      </c>
    </row>
    <row r="117" spans="1:4" ht="15.75" customHeight="1" x14ac:dyDescent="0.3">
      <c r="A117" s="33">
        <v>22002</v>
      </c>
      <c r="B117" s="10" t="s">
        <v>185</v>
      </c>
      <c r="C117" s="14">
        <v>20.488578680203052</v>
      </c>
      <c r="D117" s="14">
        <v>80.749532127261531</v>
      </c>
    </row>
    <row r="118" spans="1:4" ht="15.75" customHeight="1" x14ac:dyDescent="0.3">
      <c r="A118" s="33">
        <v>30101</v>
      </c>
      <c r="B118" s="10" t="s">
        <v>51</v>
      </c>
      <c r="C118" s="14">
        <v>6046.9022397723584</v>
      </c>
      <c r="D118" s="14">
        <v>23510.260094989233</v>
      </c>
    </row>
    <row r="119" spans="1:4" ht="15.75" customHeight="1" x14ac:dyDescent="0.3">
      <c r="A119" s="33">
        <v>30201</v>
      </c>
      <c r="B119" s="10" t="s">
        <v>252</v>
      </c>
      <c r="C119" s="14">
        <v>70.008362202843159</v>
      </c>
      <c r="D119" s="14">
        <v>444.98873779928203</v>
      </c>
    </row>
    <row r="120" spans="1:4" ht="15.75" customHeight="1" x14ac:dyDescent="0.3">
      <c r="A120" s="33">
        <v>30202</v>
      </c>
      <c r="B120" s="10" t="s">
        <v>145</v>
      </c>
      <c r="C120" s="14">
        <v>7.391493636972533</v>
      </c>
      <c r="D120" s="14">
        <v>61.096694214876038</v>
      </c>
    </row>
    <row r="121" spans="1:4" ht="15.75" customHeight="1" x14ac:dyDescent="0.3">
      <c r="A121" s="33">
        <v>30203</v>
      </c>
      <c r="B121" s="10" t="s">
        <v>56</v>
      </c>
      <c r="C121" s="14">
        <v>4.2416413373860324</v>
      </c>
      <c r="D121" s="14">
        <v>58.518875502007958</v>
      </c>
    </row>
    <row r="122" spans="1:4" ht="15.75" customHeight="1" x14ac:dyDescent="0.3">
      <c r="A122" s="33">
        <v>30301</v>
      </c>
      <c r="B122" s="10" t="s">
        <v>211</v>
      </c>
      <c r="C122" s="14">
        <v>29.471208586094239</v>
      </c>
      <c r="D122" s="14">
        <v>171.54579991557628</v>
      </c>
    </row>
    <row r="123" spans="1:4" ht="15.75" customHeight="1" x14ac:dyDescent="0.3">
      <c r="A123" s="33">
        <v>30302</v>
      </c>
      <c r="B123" s="10" t="s">
        <v>177</v>
      </c>
      <c r="C123" s="14">
        <v>4.2128428313351964</v>
      </c>
      <c r="D123" s="14">
        <v>64.380558930741202</v>
      </c>
    </row>
    <row r="124" spans="1:4" ht="15.75" customHeight="1" x14ac:dyDescent="0.3">
      <c r="A124" s="33">
        <v>30303</v>
      </c>
      <c r="B124" s="10" t="s">
        <v>66</v>
      </c>
      <c r="C124" s="14">
        <v>9.5226860254083832</v>
      </c>
      <c r="D124" s="14">
        <v>43.94020676166523</v>
      </c>
    </row>
    <row r="125" spans="1:4" ht="15.75" customHeight="1" x14ac:dyDescent="0.3">
      <c r="A125" s="33">
        <v>30401</v>
      </c>
      <c r="B125" s="10" t="s">
        <v>171</v>
      </c>
      <c r="C125" s="14">
        <v>25.180183237190349</v>
      </c>
      <c r="D125" s="14">
        <v>263.26337448559673</v>
      </c>
    </row>
    <row r="126" spans="1:4" ht="15.75" customHeight="1" x14ac:dyDescent="0.3">
      <c r="A126" s="33">
        <v>30402</v>
      </c>
      <c r="B126" s="10" t="s">
        <v>153</v>
      </c>
      <c r="C126" s="14">
        <v>7.4763920547053191</v>
      </c>
      <c r="D126" s="14">
        <v>63.53960992053922</v>
      </c>
    </row>
    <row r="127" spans="1:4" ht="15.75" customHeight="1" x14ac:dyDescent="0.3">
      <c r="A127" s="33">
        <v>30403</v>
      </c>
      <c r="B127" s="10" t="s">
        <v>259</v>
      </c>
      <c r="C127" s="14">
        <v>99.177897574124259</v>
      </c>
      <c r="D127" s="14">
        <v>844.64437450826154</v>
      </c>
    </row>
    <row r="128" spans="1:4" ht="15.75" customHeight="1" x14ac:dyDescent="0.3">
      <c r="A128" s="33">
        <v>30404</v>
      </c>
      <c r="B128" s="10" t="s">
        <v>155</v>
      </c>
      <c r="C128" s="14">
        <v>8.5627530364372539</v>
      </c>
      <c r="D128" s="14">
        <v>34.592794017675153</v>
      </c>
    </row>
    <row r="129" spans="1:4" ht="15.75" customHeight="1" x14ac:dyDescent="0.3">
      <c r="A129" s="33">
        <v>30501</v>
      </c>
      <c r="B129" s="10" t="s">
        <v>179</v>
      </c>
      <c r="C129" s="14">
        <v>22.149204864359209</v>
      </c>
      <c r="D129" s="14">
        <v>185.35676959619929</v>
      </c>
    </row>
    <row r="130" spans="1:4" ht="15.75" customHeight="1" x14ac:dyDescent="0.3">
      <c r="A130" s="33">
        <v>30502</v>
      </c>
      <c r="B130" s="10" t="s">
        <v>238</v>
      </c>
      <c r="C130" s="14">
        <v>7.4249051550992959</v>
      </c>
      <c r="D130" s="14">
        <v>101.20621094489668</v>
      </c>
    </row>
    <row r="131" spans="1:4" ht="15.75" customHeight="1" x14ac:dyDescent="0.3">
      <c r="A131" s="33">
        <v>30601</v>
      </c>
      <c r="B131" s="10" t="s">
        <v>128</v>
      </c>
      <c r="C131" s="14">
        <v>6.1937487062719834</v>
      </c>
      <c r="D131" s="14">
        <v>55.07491059664973</v>
      </c>
    </row>
    <row r="132" spans="1:4" ht="15.75" customHeight="1" x14ac:dyDescent="0.3">
      <c r="A132" s="33">
        <v>30602</v>
      </c>
      <c r="B132" s="10" t="s">
        <v>48</v>
      </c>
      <c r="C132" s="14">
        <v>3.1515270164447933</v>
      </c>
      <c r="D132" s="14">
        <v>43.186715135492378</v>
      </c>
    </row>
    <row r="133" spans="1:4" ht="15.75" customHeight="1" x14ac:dyDescent="0.3">
      <c r="A133" s="33">
        <v>30701</v>
      </c>
      <c r="B133" s="10" t="s">
        <v>269</v>
      </c>
      <c r="C133" s="14">
        <v>52.540124193933565</v>
      </c>
      <c r="D133" s="14">
        <v>390.34348318074223</v>
      </c>
    </row>
    <row r="134" spans="1:4" ht="15.75" customHeight="1" x14ac:dyDescent="0.3">
      <c r="A134" s="33">
        <v>30702</v>
      </c>
      <c r="B134" s="10" t="s">
        <v>176</v>
      </c>
      <c r="C134" s="14">
        <v>11.621621621621637</v>
      </c>
      <c r="D134" s="14">
        <v>144.9411764705884</v>
      </c>
    </row>
    <row r="135" spans="1:4" ht="15.75" customHeight="1" x14ac:dyDescent="0.3">
      <c r="A135" s="33">
        <v>30703</v>
      </c>
      <c r="B135" s="10" t="s">
        <v>96</v>
      </c>
      <c r="C135" s="14">
        <v>0</v>
      </c>
      <c r="D135" s="14">
        <v>23.889318511358145</v>
      </c>
    </row>
    <row r="136" spans="1:4" ht="15.75" customHeight="1" x14ac:dyDescent="0.3">
      <c r="A136" s="33">
        <v>30801</v>
      </c>
      <c r="B136" s="10" t="s">
        <v>202</v>
      </c>
      <c r="C136" s="14">
        <v>126.83720930232549</v>
      </c>
      <c r="D136" s="14">
        <v>555.05048814504892</v>
      </c>
    </row>
    <row r="137" spans="1:4" ht="15.75" customHeight="1" x14ac:dyDescent="0.3">
      <c r="A137" s="33">
        <v>30802</v>
      </c>
      <c r="B137" s="10" t="s">
        <v>315</v>
      </c>
      <c r="C137" s="14">
        <v>12.76978417266186</v>
      </c>
      <c r="D137" s="14">
        <v>56.562530894710889</v>
      </c>
    </row>
    <row r="138" spans="1:4" ht="15.75" customHeight="1" x14ac:dyDescent="0.3">
      <c r="A138" s="33">
        <v>30803</v>
      </c>
      <c r="B138" s="10" t="s">
        <v>19</v>
      </c>
      <c r="C138" s="14">
        <v>67.822149481723898</v>
      </c>
      <c r="D138" s="14">
        <v>331.05075053609704</v>
      </c>
    </row>
    <row r="139" spans="1:4" ht="15.75" customHeight="1" x14ac:dyDescent="0.3">
      <c r="A139" s="33">
        <v>30901</v>
      </c>
      <c r="B139" s="10" t="s">
        <v>299</v>
      </c>
      <c r="C139" s="14">
        <v>985.29073036358068</v>
      </c>
      <c r="D139" s="14">
        <v>5406.7760608226627</v>
      </c>
    </row>
    <row r="140" spans="1:4" ht="15.75" customHeight="1" x14ac:dyDescent="0.3">
      <c r="A140" s="33">
        <v>30902</v>
      </c>
      <c r="B140" s="10" t="s">
        <v>292</v>
      </c>
      <c r="C140" s="14">
        <v>132.07292576419215</v>
      </c>
      <c r="D140" s="14">
        <v>1297.3318272114664</v>
      </c>
    </row>
    <row r="141" spans="1:4" ht="15.75" customHeight="1" x14ac:dyDescent="0.3">
      <c r="A141" s="33">
        <v>30903</v>
      </c>
      <c r="B141" s="10" t="s">
        <v>283</v>
      </c>
      <c r="C141" s="14">
        <v>343.02939664438861</v>
      </c>
      <c r="D141" s="14">
        <v>2211.4339520021754</v>
      </c>
    </row>
    <row r="142" spans="1:4" ht="15.75" customHeight="1" x14ac:dyDescent="0.3">
      <c r="A142" s="33">
        <v>30904</v>
      </c>
      <c r="B142" s="10" t="s">
        <v>288</v>
      </c>
      <c r="C142" s="14">
        <v>244.29427017133568</v>
      </c>
      <c r="D142" s="14">
        <v>1596.7772290702649</v>
      </c>
    </row>
    <row r="143" spans="1:4" ht="15.75" customHeight="1" x14ac:dyDescent="0.3">
      <c r="A143" s="33">
        <v>30905</v>
      </c>
      <c r="B143" s="10" t="s">
        <v>213</v>
      </c>
      <c r="C143" s="14">
        <v>457.70696007169255</v>
      </c>
      <c r="D143" s="14">
        <v>2373.3165595426499</v>
      </c>
    </row>
    <row r="144" spans="1:4" ht="15.75" customHeight="1" x14ac:dyDescent="0.3">
      <c r="A144" s="33">
        <v>31001</v>
      </c>
      <c r="B144" s="10" t="s">
        <v>303</v>
      </c>
      <c r="C144" s="14">
        <v>1115.1656689636438</v>
      </c>
      <c r="D144" s="14">
        <v>6919.3640386279876</v>
      </c>
    </row>
    <row r="145" spans="1:4" ht="15.75" customHeight="1" x14ac:dyDescent="0.3">
      <c r="A145" s="33">
        <v>31002</v>
      </c>
      <c r="B145" s="10" t="s">
        <v>275</v>
      </c>
      <c r="C145" s="14">
        <v>39.940587449933204</v>
      </c>
      <c r="D145" s="14">
        <v>358.08852163953145</v>
      </c>
    </row>
    <row r="146" spans="1:4" ht="15.75" customHeight="1" x14ac:dyDescent="0.3">
      <c r="A146" s="33">
        <v>31003</v>
      </c>
      <c r="B146" s="10" t="s">
        <v>195</v>
      </c>
      <c r="C146" s="14">
        <v>228.46264291411842</v>
      </c>
      <c r="D146" s="14">
        <v>1306.067458238753</v>
      </c>
    </row>
    <row r="147" spans="1:4" ht="15.75" customHeight="1" x14ac:dyDescent="0.3">
      <c r="A147" s="33">
        <v>31101</v>
      </c>
      <c r="B147" s="10" t="s">
        <v>63</v>
      </c>
      <c r="C147" s="14">
        <v>15.806954032665439</v>
      </c>
      <c r="D147" s="14">
        <v>121.11176470588239</v>
      </c>
    </row>
    <row r="148" spans="1:4" ht="15.75" customHeight="1" x14ac:dyDescent="0.3">
      <c r="A148" s="33">
        <v>31201</v>
      </c>
      <c r="B148" s="10" t="s">
        <v>180</v>
      </c>
      <c r="C148" s="14">
        <v>22.106379907621271</v>
      </c>
      <c r="D148" s="14">
        <v>119.28902424459582</v>
      </c>
    </row>
    <row r="149" spans="1:4" ht="15.75" customHeight="1" x14ac:dyDescent="0.3">
      <c r="A149" s="33">
        <v>31202</v>
      </c>
      <c r="B149" s="10" t="s">
        <v>205</v>
      </c>
      <c r="C149" s="14">
        <v>8.5533391153512603</v>
      </c>
      <c r="D149" s="14">
        <v>80.257647237863239</v>
      </c>
    </row>
    <row r="150" spans="1:4" ht="15.75" customHeight="1" x14ac:dyDescent="0.3">
      <c r="A150" s="33">
        <v>31203</v>
      </c>
      <c r="B150" s="10" t="s">
        <v>242</v>
      </c>
      <c r="C150" s="14">
        <v>12.622080679405549</v>
      </c>
      <c r="D150" s="14">
        <v>64.420076454764242</v>
      </c>
    </row>
    <row r="151" spans="1:4" ht="15.75" customHeight="1" x14ac:dyDescent="0.3">
      <c r="A151" s="33">
        <v>31204</v>
      </c>
      <c r="B151" s="10" t="s">
        <v>237</v>
      </c>
      <c r="C151" s="14">
        <v>77.68671755725191</v>
      </c>
      <c r="D151" s="14">
        <v>547.34502642960092</v>
      </c>
    </row>
    <row r="152" spans="1:4" ht="15.75" customHeight="1" x14ac:dyDescent="0.3">
      <c r="A152" s="33">
        <v>31205</v>
      </c>
      <c r="B152" s="10" t="s">
        <v>270</v>
      </c>
      <c r="C152" s="14">
        <v>172.15299007157694</v>
      </c>
      <c r="D152" s="14">
        <v>1308.0271902458589</v>
      </c>
    </row>
    <row r="153" spans="1:4" ht="15.75" customHeight="1" x14ac:dyDescent="0.3">
      <c r="A153" s="33">
        <v>31206</v>
      </c>
      <c r="B153" s="10" t="s">
        <v>223</v>
      </c>
      <c r="C153" s="14">
        <v>109.74087643678159</v>
      </c>
      <c r="D153" s="14">
        <v>927.07618967262931</v>
      </c>
    </row>
    <row r="154" spans="1:4" ht="15.75" customHeight="1" x14ac:dyDescent="0.3">
      <c r="A154" s="33">
        <v>31301</v>
      </c>
      <c r="B154" s="10" t="s">
        <v>224</v>
      </c>
      <c r="C154" s="14">
        <v>43.321816725775065</v>
      </c>
      <c r="D154" s="14">
        <v>333.98722044728424</v>
      </c>
    </row>
    <row r="155" spans="1:4" ht="15.75" customHeight="1" x14ac:dyDescent="0.3">
      <c r="A155" s="33">
        <v>31302</v>
      </c>
      <c r="B155" s="10" t="s">
        <v>38</v>
      </c>
      <c r="C155" s="14">
        <v>4.172562553925796</v>
      </c>
      <c r="D155" s="14">
        <v>39.647258818529544</v>
      </c>
    </row>
    <row r="156" spans="1:4" ht="15.75" customHeight="1" x14ac:dyDescent="0.3">
      <c r="A156" s="33">
        <v>31303</v>
      </c>
      <c r="B156" s="10" t="s">
        <v>21</v>
      </c>
      <c r="C156" s="14">
        <v>4.0833876221498366</v>
      </c>
      <c r="D156" s="14">
        <v>34.547400611620745</v>
      </c>
    </row>
    <row r="157" spans="1:4" ht="15.75" customHeight="1" x14ac:dyDescent="0.3">
      <c r="A157" s="34">
        <v>31304</v>
      </c>
      <c r="B157" s="10" t="s">
        <v>316</v>
      </c>
      <c r="C157" s="14">
        <v>1.0511473596903531</v>
      </c>
      <c r="D157" s="14">
        <v>33.041397463508019</v>
      </c>
    </row>
    <row r="158" spans="1:4" ht="15.75" customHeight="1" x14ac:dyDescent="0.3">
      <c r="A158" s="33">
        <v>31401</v>
      </c>
      <c r="B158" s="10" t="s">
        <v>240</v>
      </c>
      <c r="C158" s="14">
        <v>159.71948818897621</v>
      </c>
      <c r="D158" s="14">
        <v>1001.175453759723</v>
      </c>
    </row>
    <row r="159" spans="1:4" ht="15.75" customHeight="1" x14ac:dyDescent="0.3">
      <c r="A159" s="33">
        <v>31402</v>
      </c>
      <c r="B159" s="10" t="s">
        <v>163</v>
      </c>
      <c r="C159" s="14">
        <v>10.790872147546114</v>
      </c>
      <c r="D159" s="14">
        <v>113.62598081952909</v>
      </c>
    </row>
    <row r="160" spans="1:4" ht="15.75" customHeight="1" x14ac:dyDescent="0.3">
      <c r="A160" s="33">
        <v>31403</v>
      </c>
      <c r="B160" s="10" t="s">
        <v>156</v>
      </c>
      <c r="C160" s="14">
        <v>37.728172817281724</v>
      </c>
      <c r="D160" s="14">
        <v>232.96375451263546</v>
      </c>
    </row>
    <row r="161" spans="1:4" ht="15.75" customHeight="1" x14ac:dyDescent="0.3">
      <c r="A161" s="33">
        <v>31404</v>
      </c>
      <c r="B161" s="10" t="s">
        <v>7</v>
      </c>
      <c r="C161" s="14">
        <v>2.1453154875717035</v>
      </c>
      <c r="D161" s="14">
        <v>13.750360750360779</v>
      </c>
    </row>
    <row r="162" spans="1:4" ht="15.75" customHeight="1" x14ac:dyDescent="0.3">
      <c r="A162" s="33">
        <v>31405</v>
      </c>
      <c r="B162" s="10" t="s">
        <v>317</v>
      </c>
      <c r="C162" s="14">
        <v>1.0685383980181664</v>
      </c>
      <c r="D162" s="14">
        <v>27.166091670773877</v>
      </c>
    </row>
    <row r="163" spans="1:4" ht="15.75" customHeight="1" x14ac:dyDescent="0.3">
      <c r="A163" s="33">
        <v>31501</v>
      </c>
      <c r="B163" s="10" t="s">
        <v>318</v>
      </c>
      <c r="C163" s="14">
        <v>4.158530691155149</v>
      </c>
      <c r="D163" s="14">
        <v>33.210810810810806</v>
      </c>
    </row>
    <row r="164" spans="1:4" ht="15.75" customHeight="1" x14ac:dyDescent="0.3">
      <c r="A164" s="33">
        <v>31601</v>
      </c>
      <c r="B164" s="10" t="s">
        <v>282</v>
      </c>
      <c r="C164" s="14">
        <v>23.097708333333365</v>
      </c>
      <c r="D164" s="14">
        <v>128.90482279868519</v>
      </c>
    </row>
    <row r="165" spans="1:4" ht="15.75" customHeight="1" x14ac:dyDescent="0.3">
      <c r="A165" s="33">
        <v>31602</v>
      </c>
      <c r="B165" s="10" t="s">
        <v>243</v>
      </c>
      <c r="C165" s="14">
        <v>112.3341860227152</v>
      </c>
      <c r="D165" s="14">
        <v>688.06324000557231</v>
      </c>
    </row>
    <row r="166" spans="1:4" ht="15.75" customHeight="1" x14ac:dyDescent="0.3">
      <c r="A166" s="33">
        <v>40101</v>
      </c>
      <c r="B166" s="10" t="s">
        <v>57</v>
      </c>
      <c r="C166" s="14">
        <v>2543.1946418533698</v>
      </c>
      <c r="D166" s="14">
        <v>10306.163285889548</v>
      </c>
    </row>
    <row r="167" spans="1:4" ht="15.75" customHeight="1" x14ac:dyDescent="0.3">
      <c r="A167" s="33">
        <v>40102</v>
      </c>
      <c r="B167" s="10" t="s">
        <v>286</v>
      </c>
      <c r="C167" s="14">
        <v>98.811326468806783</v>
      </c>
      <c r="D167" s="14">
        <v>493.50198161733687</v>
      </c>
    </row>
    <row r="168" spans="1:4" ht="15.75" customHeight="1" x14ac:dyDescent="0.3">
      <c r="A168" s="33">
        <v>40103</v>
      </c>
      <c r="B168" s="10" t="s">
        <v>32</v>
      </c>
      <c r="C168" s="14">
        <v>2.0592778125652256</v>
      </c>
      <c r="D168" s="14">
        <v>80.533439209458194</v>
      </c>
    </row>
    <row r="169" spans="1:4" ht="15.75" customHeight="1" x14ac:dyDescent="0.3">
      <c r="A169" s="33">
        <v>40104</v>
      </c>
      <c r="B169" s="10" t="s">
        <v>227</v>
      </c>
      <c r="C169" s="14">
        <v>15.772923667786834</v>
      </c>
      <c r="D169" s="14">
        <v>182.453485765523</v>
      </c>
    </row>
    <row r="170" spans="1:4" ht="15.75" customHeight="1" x14ac:dyDescent="0.3">
      <c r="A170" s="33">
        <v>40201</v>
      </c>
      <c r="B170" s="10" t="s">
        <v>247</v>
      </c>
      <c r="C170" s="14">
        <v>117.67242313947183</v>
      </c>
      <c r="D170" s="14">
        <v>600.52973977695137</v>
      </c>
    </row>
    <row r="171" spans="1:4" ht="15.75" customHeight="1" x14ac:dyDescent="0.3">
      <c r="A171" s="33">
        <v>40202</v>
      </c>
      <c r="B171" s="10" t="s">
        <v>319</v>
      </c>
      <c r="C171" s="14">
        <v>4.1576801087449091</v>
      </c>
      <c r="D171" s="14">
        <v>44.44550084889655</v>
      </c>
    </row>
    <row r="172" spans="1:4" ht="15.75" customHeight="1" x14ac:dyDescent="0.3">
      <c r="A172" s="33">
        <v>40301</v>
      </c>
      <c r="B172" s="10" t="s">
        <v>190</v>
      </c>
      <c r="C172" s="14">
        <v>12.395327102803741</v>
      </c>
      <c r="D172" s="14">
        <v>159.0399524375741</v>
      </c>
    </row>
    <row r="173" spans="1:4" ht="15.75" customHeight="1" x14ac:dyDescent="0.3">
      <c r="A173" s="33">
        <v>40302</v>
      </c>
      <c r="B173" s="10" t="s">
        <v>320</v>
      </c>
      <c r="C173" s="14">
        <v>1.0404814004376344</v>
      </c>
      <c r="D173" s="14">
        <v>23.828676470588302</v>
      </c>
    </row>
    <row r="174" spans="1:4" ht="15.75" customHeight="1" x14ac:dyDescent="0.3">
      <c r="A174" s="33">
        <v>40401</v>
      </c>
      <c r="B174" s="10" t="s">
        <v>110</v>
      </c>
      <c r="C174" s="14">
        <v>6.3895253682487674</v>
      </c>
      <c r="D174" s="14">
        <v>77.141764405915154</v>
      </c>
    </row>
    <row r="175" spans="1:4" ht="15.75" customHeight="1" x14ac:dyDescent="0.3">
      <c r="A175" s="33">
        <v>40402</v>
      </c>
      <c r="B175" s="10" t="s">
        <v>144</v>
      </c>
      <c r="C175" s="14">
        <v>16.956688386354923</v>
      </c>
      <c r="D175" s="14">
        <v>68.107594936708864</v>
      </c>
    </row>
    <row r="176" spans="1:4" ht="15.75" customHeight="1" x14ac:dyDescent="0.3">
      <c r="A176" s="33">
        <v>40501</v>
      </c>
      <c r="B176" s="10" t="s">
        <v>6</v>
      </c>
      <c r="C176" s="14">
        <v>6.3302752293577953</v>
      </c>
      <c r="D176" s="14">
        <v>62.987296747967548</v>
      </c>
    </row>
    <row r="177" spans="1:4" ht="15.75" customHeight="1" x14ac:dyDescent="0.3">
      <c r="A177" s="33">
        <v>40502</v>
      </c>
      <c r="B177" s="10" t="s">
        <v>111</v>
      </c>
      <c r="C177" s="14">
        <v>4.1517450682852877</v>
      </c>
      <c r="D177" s="14">
        <v>32.161213845424278</v>
      </c>
    </row>
    <row r="178" spans="1:4" ht="15.75" customHeight="1" x14ac:dyDescent="0.3">
      <c r="A178" s="33">
        <v>40503</v>
      </c>
      <c r="B178" s="10" t="s">
        <v>40</v>
      </c>
      <c r="C178" s="14">
        <v>2.0915032679738559</v>
      </c>
      <c r="D178" s="14">
        <v>6.1664656212303965</v>
      </c>
    </row>
    <row r="179" spans="1:4" ht="15.75" customHeight="1" x14ac:dyDescent="0.3">
      <c r="A179" s="33">
        <v>40504</v>
      </c>
      <c r="B179" s="10" t="s">
        <v>321</v>
      </c>
      <c r="C179" s="14">
        <v>0</v>
      </c>
      <c r="D179" s="14">
        <v>9.2714617169373597</v>
      </c>
    </row>
    <row r="180" spans="1:4" ht="15.75" customHeight="1" x14ac:dyDescent="0.3">
      <c r="A180" s="33">
        <v>40505</v>
      </c>
      <c r="B180" s="10" t="s">
        <v>22</v>
      </c>
      <c r="C180" s="14">
        <v>0</v>
      </c>
      <c r="D180" s="14">
        <v>11.467967967967978</v>
      </c>
    </row>
    <row r="181" spans="1:4" ht="15.75" customHeight="1" x14ac:dyDescent="0.3">
      <c r="A181" s="33">
        <v>40601</v>
      </c>
      <c r="B181" s="10" t="s">
        <v>208</v>
      </c>
      <c r="C181" s="14">
        <v>21.024602026049191</v>
      </c>
      <c r="D181" s="14">
        <v>174.66046409807367</v>
      </c>
    </row>
    <row r="182" spans="1:4" ht="15.75" customHeight="1" x14ac:dyDescent="0.3">
      <c r="A182" s="33">
        <v>40602</v>
      </c>
      <c r="B182" s="10" t="s">
        <v>137</v>
      </c>
      <c r="C182" s="14">
        <v>18.752635277582559</v>
      </c>
      <c r="D182" s="14">
        <v>41.703670140462258</v>
      </c>
    </row>
    <row r="183" spans="1:4" ht="15.75" customHeight="1" x14ac:dyDescent="0.3">
      <c r="A183" s="33">
        <v>40603</v>
      </c>
      <c r="B183" s="10" t="s">
        <v>45</v>
      </c>
      <c r="C183" s="14">
        <v>15.865168539325879</v>
      </c>
      <c r="D183" s="14">
        <v>59.543502824858663</v>
      </c>
    </row>
    <row r="184" spans="1:4" ht="15.75" customHeight="1" x14ac:dyDescent="0.3">
      <c r="A184" s="33">
        <v>40701</v>
      </c>
      <c r="B184" s="10" t="s">
        <v>215</v>
      </c>
      <c r="C184" s="14">
        <v>77.963139635732901</v>
      </c>
      <c r="D184" s="14">
        <v>447.7388682745829</v>
      </c>
    </row>
    <row r="185" spans="1:4" ht="15.75" customHeight="1" x14ac:dyDescent="0.3">
      <c r="A185" s="33">
        <v>40702</v>
      </c>
      <c r="B185" s="10" t="s">
        <v>47</v>
      </c>
      <c r="C185" s="14">
        <v>26.615776081424997</v>
      </c>
      <c r="D185" s="14">
        <v>133.63274188148637</v>
      </c>
    </row>
    <row r="186" spans="1:4" ht="15.75" customHeight="1" x14ac:dyDescent="0.3">
      <c r="A186" s="33">
        <v>40801</v>
      </c>
      <c r="B186" s="10" t="s">
        <v>322</v>
      </c>
      <c r="C186" s="14">
        <v>23.141610087293909</v>
      </c>
      <c r="D186" s="14">
        <v>149.38492391176089</v>
      </c>
    </row>
    <row r="187" spans="1:4" ht="15.75" customHeight="1" x14ac:dyDescent="0.3">
      <c r="A187" s="33">
        <v>40802</v>
      </c>
      <c r="B187" s="10" t="s">
        <v>69</v>
      </c>
      <c r="C187" s="14">
        <v>6.2407132243685037</v>
      </c>
      <c r="D187" s="14">
        <v>27.450509898020353</v>
      </c>
    </row>
    <row r="188" spans="1:4" ht="15.75" customHeight="1" x14ac:dyDescent="0.3">
      <c r="A188" s="33">
        <v>40901</v>
      </c>
      <c r="B188" s="10" t="s">
        <v>173</v>
      </c>
      <c r="C188" s="14">
        <v>24.083807716635057</v>
      </c>
      <c r="D188" s="14">
        <v>309.81836402354969</v>
      </c>
    </row>
    <row r="189" spans="1:4" ht="15.75" customHeight="1" x14ac:dyDescent="0.3">
      <c r="A189" s="33">
        <v>40902</v>
      </c>
      <c r="B189" s="10" t="s">
        <v>0</v>
      </c>
      <c r="C189" s="14">
        <v>1.0158311345646427</v>
      </c>
      <c r="D189" s="14">
        <v>15.72841726618708</v>
      </c>
    </row>
    <row r="190" spans="1:4" ht="15.75" customHeight="1" x14ac:dyDescent="0.3">
      <c r="A190" s="33">
        <v>40903</v>
      </c>
      <c r="B190" s="10" t="s">
        <v>23</v>
      </c>
      <c r="C190" s="14">
        <v>0</v>
      </c>
      <c r="D190" s="14">
        <v>7.2863293864370311</v>
      </c>
    </row>
    <row r="191" spans="1:4" ht="15.75" customHeight="1" x14ac:dyDescent="0.3">
      <c r="A191" s="33">
        <v>41001</v>
      </c>
      <c r="B191" s="10" t="s">
        <v>125</v>
      </c>
      <c r="C191" s="14">
        <v>7.2615863711302424</v>
      </c>
      <c r="D191" s="14">
        <v>88.567342404887768</v>
      </c>
    </row>
    <row r="192" spans="1:4" ht="15.75" customHeight="1" x14ac:dyDescent="0.3">
      <c r="A192" s="33">
        <v>41101</v>
      </c>
      <c r="B192" s="10" t="s">
        <v>127</v>
      </c>
      <c r="C192" s="14">
        <v>14.767980495733443</v>
      </c>
      <c r="D192" s="14">
        <v>73.786230636833011</v>
      </c>
    </row>
    <row r="193" spans="1:4" ht="15.75" customHeight="1" x14ac:dyDescent="0.3">
      <c r="A193" s="33">
        <v>41201</v>
      </c>
      <c r="B193" s="10" t="s">
        <v>152</v>
      </c>
      <c r="C193" s="14">
        <v>3.2394757744241471</v>
      </c>
      <c r="D193" s="14">
        <v>40.64187482458594</v>
      </c>
    </row>
    <row r="194" spans="1:4" ht="15.75" customHeight="1" x14ac:dyDescent="0.3">
      <c r="A194" s="33">
        <v>41202</v>
      </c>
      <c r="B194" s="10" t="s">
        <v>55</v>
      </c>
      <c r="C194" s="14">
        <v>3.1685393258426959</v>
      </c>
      <c r="D194" s="14">
        <v>16.643356643356636</v>
      </c>
    </row>
    <row r="195" spans="1:4" ht="15.75" customHeight="1" x14ac:dyDescent="0.3">
      <c r="A195" s="33">
        <v>41301</v>
      </c>
      <c r="B195" s="10" t="s">
        <v>134</v>
      </c>
      <c r="C195" s="14">
        <v>5.2430801987224989</v>
      </c>
      <c r="D195" s="14">
        <v>24.797279623332461</v>
      </c>
    </row>
    <row r="196" spans="1:4" ht="15.75" customHeight="1" x14ac:dyDescent="0.3">
      <c r="A196" s="33">
        <v>41401</v>
      </c>
      <c r="B196" s="10" t="s">
        <v>323</v>
      </c>
      <c r="C196" s="14">
        <v>35.453167626553487</v>
      </c>
      <c r="D196" s="14">
        <v>127.5243988187319</v>
      </c>
    </row>
    <row r="197" spans="1:4" ht="15.75" customHeight="1" x14ac:dyDescent="0.3">
      <c r="A197" s="33">
        <v>41501</v>
      </c>
      <c r="B197" s="10" t="s">
        <v>1</v>
      </c>
      <c r="C197" s="14">
        <v>0</v>
      </c>
      <c r="D197" s="14">
        <v>8.2526315789473426</v>
      </c>
    </row>
    <row r="198" spans="1:4" ht="15.75" customHeight="1" x14ac:dyDescent="0.3">
      <c r="A198" s="33">
        <v>41502</v>
      </c>
      <c r="B198" s="10" t="s">
        <v>5</v>
      </c>
      <c r="C198" s="14">
        <v>1.0732484076433126</v>
      </c>
      <c r="D198" s="14">
        <v>0</v>
      </c>
    </row>
    <row r="199" spans="1:4" ht="15.75" customHeight="1" x14ac:dyDescent="0.3">
      <c r="A199" s="33">
        <v>41503</v>
      </c>
      <c r="B199" s="10" t="s">
        <v>8</v>
      </c>
      <c r="C199" s="14">
        <v>0</v>
      </c>
      <c r="D199" s="14">
        <v>9.2432432432432332</v>
      </c>
    </row>
    <row r="200" spans="1:4" ht="15.75" customHeight="1" x14ac:dyDescent="0.3">
      <c r="A200" s="33">
        <v>41601</v>
      </c>
      <c r="B200" s="10" t="s">
        <v>385</v>
      </c>
      <c r="C200" s="14">
        <v>5.2457436556376491</v>
      </c>
      <c r="D200" s="14">
        <v>33.053463260468796</v>
      </c>
    </row>
    <row r="201" spans="1:4" ht="15.75" customHeight="1" x14ac:dyDescent="0.3">
      <c r="A201" s="33">
        <v>50101</v>
      </c>
      <c r="B201" s="10" t="s">
        <v>302</v>
      </c>
      <c r="C201" s="14">
        <v>1474.3352030240217</v>
      </c>
      <c r="D201" s="14">
        <v>6359.90114702134</v>
      </c>
    </row>
    <row r="202" spans="1:4" ht="15.75" customHeight="1" x14ac:dyDescent="0.3">
      <c r="A202" s="33">
        <v>50102</v>
      </c>
      <c r="B202" s="10" t="s">
        <v>34</v>
      </c>
      <c r="C202" s="14">
        <v>11.627877346470735</v>
      </c>
      <c r="D202" s="14">
        <v>123.3167073596093</v>
      </c>
    </row>
    <row r="203" spans="1:4" ht="15.75" customHeight="1" x14ac:dyDescent="0.3">
      <c r="A203" s="33">
        <v>50103</v>
      </c>
      <c r="B203" s="10" t="s">
        <v>207</v>
      </c>
      <c r="C203" s="14">
        <v>11.694736842105273</v>
      </c>
      <c r="D203" s="14">
        <v>170.5038305543039</v>
      </c>
    </row>
    <row r="204" spans="1:4" ht="15.75" customHeight="1" x14ac:dyDescent="0.3">
      <c r="A204" s="33">
        <v>50104</v>
      </c>
      <c r="B204" s="10" t="s">
        <v>387</v>
      </c>
      <c r="C204" s="14">
        <v>1.0369297610427226</v>
      </c>
      <c r="D204" s="14">
        <v>16.394215318693092</v>
      </c>
    </row>
    <row r="205" spans="1:4" ht="15.75" customHeight="1" x14ac:dyDescent="0.3">
      <c r="A205" s="33">
        <v>50201</v>
      </c>
      <c r="B205" s="10" t="s">
        <v>264</v>
      </c>
      <c r="C205" s="14">
        <v>38.350221013260786</v>
      </c>
      <c r="D205" s="14">
        <v>352.68093243489324</v>
      </c>
    </row>
    <row r="206" spans="1:4" ht="15.75" customHeight="1" x14ac:dyDescent="0.3">
      <c r="A206" s="33">
        <v>50202</v>
      </c>
      <c r="B206" s="10" t="s">
        <v>228</v>
      </c>
      <c r="C206" s="14">
        <v>12.512776831345816</v>
      </c>
      <c r="D206" s="14">
        <v>109.07338457842894</v>
      </c>
    </row>
    <row r="207" spans="1:4" ht="15.75" customHeight="1" x14ac:dyDescent="0.3">
      <c r="A207" s="33">
        <v>50203</v>
      </c>
      <c r="B207" s="10" t="s">
        <v>295</v>
      </c>
      <c r="C207" s="14">
        <v>221.43042139157239</v>
      </c>
      <c r="D207" s="14">
        <v>1258.7305995752333</v>
      </c>
    </row>
    <row r="208" spans="1:4" ht="15.75" customHeight="1" x14ac:dyDescent="0.3">
      <c r="A208" s="33">
        <v>50204</v>
      </c>
      <c r="B208" s="10" t="s">
        <v>389</v>
      </c>
      <c r="C208" s="14">
        <v>4.2722736992159644</v>
      </c>
      <c r="D208" s="14">
        <v>58.811965811965976</v>
      </c>
    </row>
    <row r="209" spans="1:4" ht="15.75" customHeight="1" x14ac:dyDescent="0.3">
      <c r="A209" s="33">
        <v>50301</v>
      </c>
      <c r="B209" s="10" t="s">
        <v>266</v>
      </c>
      <c r="C209" s="14">
        <v>33.917725843925069</v>
      </c>
      <c r="D209" s="14">
        <v>311.70520231213789</v>
      </c>
    </row>
    <row r="210" spans="1:4" ht="15.75" customHeight="1" x14ac:dyDescent="0.3">
      <c r="A210" s="33">
        <v>50302</v>
      </c>
      <c r="B210" s="10" t="s">
        <v>219</v>
      </c>
      <c r="C210" s="14">
        <v>8.5556370750794972</v>
      </c>
      <c r="D210" s="14">
        <v>115.47480216576446</v>
      </c>
    </row>
    <row r="211" spans="1:4" ht="15.75" customHeight="1" x14ac:dyDescent="0.3">
      <c r="A211" s="33">
        <v>50303</v>
      </c>
      <c r="B211" s="10" t="s">
        <v>15</v>
      </c>
      <c r="C211" s="14">
        <v>6.3338992642897409</v>
      </c>
      <c r="D211" s="14">
        <v>65.255776246453166</v>
      </c>
    </row>
    <row r="212" spans="1:4" ht="15.75" customHeight="1" x14ac:dyDescent="0.3">
      <c r="A212" s="33">
        <v>50401</v>
      </c>
      <c r="B212" s="10" t="s">
        <v>119</v>
      </c>
      <c r="C212" s="14">
        <v>21.411109391923272</v>
      </c>
      <c r="D212" s="14">
        <v>139.92180336220045</v>
      </c>
    </row>
    <row r="213" spans="1:4" ht="15.75" customHeight="1" x14ac:dyDescent="0.3">
      <c r="A213" s="33">
        <v>50402</v>
      </c>
      <c r="B213" s="10" t="s">
        <v>46</v>
      </c>
      <c r="C213" s="14">
        <v>17.10095783331494</v>
      </c>
      <c r="D213" s="14">
        <v>102.3477265633133</v>
      </c>
    </row>
    <row r="214" spans="1:4" ht="15.75" customHeight="1" x14ac:dyDescent="0.3">
      <c r="A214" s="33">
        <v>50403</v>
      </c>
      <c r="B214" s="10" t="s">
        <v>52</v>
      </c>
      <c r="C214" s="14">
        <v>14.846686277902741</v>
      </c>
      <c r="D214" s="14">
        <v>213.30361577130441</v>
      </c>
    </row>
    <row r="215" spans="1:4" ht="15.75" customHeight="1" x14ac:dyDescent="0.3">
      <c r="A215" s="33">
        <v>50404</v>
      </c>
      <c r="B215" s="10" t="s">
        <v>42</v>
      </c>
      <c r="C215" s="14">
        <v>8.4358582348853162</v>
      </c>
      <c r="D215" s="14">
        <v>91.027565286203767</v>
      </c>
    </row>
    <row r="216" spans="1:4" ht="15.75" customHeight="1" x14ac:dyDescent="0.3">
      <c r="A216" s="33">
        <v>50405</v>
      </c>
      <c r="B216" s="31" t="s">
        <v>324</v>
      </c>
      <c r="C216" s="14">
        <v>6.3670915411355695</v>
      </c>
      <c r="D216" s="14">
        <v>126.45055253792837</v>
      </c>
    </row>
    <row r="217" spans="1:4" ht="15.75" customHeight="1" x14ac:dyDescent="0.3">
      <c r="A217" s="33">
        <v>50501</v>
      </c>
      <c r="B217" s="10" t="s">
        <v>392</v>
      </c>
      <c r="C217" s="14">
        <v>21.658552158991192</v>
      </c>
      <c r="D217" s="14">
        <v>120.84226110363396</v>
      </c>
    </row>
    <row r="218" spans="1:4" ht="15.75" customHeight="1" x14ac:dyDescent="0.3">
      <c r="A218" s="33">
        <v>50502</v>
      </c>
      <c r="B218" s="10" t="s">
        <v>61</v>
      </c>
      <c r="C218" s="14">
        <v>32.767323290845866</v>
      </c>
      <c r="D218" s="14">
        <v>176.34830493890917</v>
      </c>
    </row>
    <row r="219" spans="1:4" ht="15.75" customHeight="1" x14ac:dyDescent="0.3">
      <c r="A219" s="33">
        <v>50601</v>
      </c>
      <c r="B219" s="10" t="s">
        <v>114</v>
      </c>
      <c r="C219" s="14">
        <v>47.478964401294547</v>
      </c>
      <c r="D219" s="14">
        <v>270.38590604026871</v>
      </c>
    </row>
    <row r="220" spans="1:4" ht="15.75" customHeight="1" x14ac:dyDescent="0.3">
      <c r="A220" s="33">
        <v>50602</v>
      </c>
      <c r="B220" s="10" t="s">
        <v>234</v>
      </c>
      <c r="C220" s="14">
        <v>28.648854961832072</v>
      </c>
      <c r="D220" s="14">
        <v>77.997849076895278</v>
      </c>
    </row>
    <row r="221" spans="1:4" ht="15.75" customHeight="1" x14ac:dyDescent="0.3">
      <c r="A221" s="33">
        <v>50701</v>
      </c>
      <c r="B221" s="10" t="s">
        <v>395</v>
      </c>
      <c r="C221" s="14">
        <v>10.443489201090365</v>
      </c>
      <c r="D221" s="14">
        <v>97.12188641647316</v>
      </c>
    </row>
    <row r="222" spans="1:4" ht="15.75" customHeight="1" x14ac:dyDescent="0.3">
      <c r="A222" s="33">
        <v>50702</v>
      </c>
      <c r="B222" s="10" t="s">
        <v>78</v>
      </c>
      <c r="C222" s="14">
        <v>7.2004439511653633</v>
      </c>
      <c r="D222" s="14">
        <v>46.615529117094546</v>
      </c>
    </row>
    <row r="223" spans="1:4" ht="15.75" customHeight="1" x14ac:dyDescent="0.3">
      <c r="A223" s="33">
        <v>50801</v>
      </c>
      <c r="B223" s="10" t="s">
        <v>290</v>
      </c>
      <c r="C223" s="14">
        <v>314.67134878998189</v>
      </c>
      <c r="D223" s="14">
        <v>1148.3564101384604</v>
      </c>
    </row>
    <row r="224" spans="1:4" ht="15.75" customHeight="1" x14ac:dyDescent="0.3">
      <c r="A224" s="33">
        <v>50802</v>
      </c>
      <c r="B224" s="10" t="s">
        <v>120</v>
      </c>
      <c r="C224" s="14">
        <v>52.438996049268184</v>
      </c>
      <c r="D224" s="14">
        <v>245.08811568007206</v>
      </c>
    </row>
    <row r="225" spans="1:4" ht="15.75" customHeight="1" x14ac:dyDescent="0.3">
      <c r="A225" s="33">
        <v>50901</v>
      </c>
      <c r="B225" s="10" t="s">
        <v>398</v>
      </c>
      <c r="C225" s="14">
        <v>103.0798113866576</v>
      </c>
      <c r="D225" s="14">
        <v>299.58512658227846</v>
      </c>
    </row>
    <row r="226" spans="1:4" ht="15.75" customHeight="1" x14ac:dyDescent="0.3">
      <c r="A226" s="33">
        <v>50902</v>
      </c>
      <c r="B226" s="10" t="s">
        <v>13</v>
      </c>
      <c r="C226" s="14">
        <v>13.559139784946224</v>
      </c>
      <c r="D226" s="14">
        <v>70.106334841628964</v>
      </c>
    </row>
    <row r="227" spans="1:4" ht="15.75" customHeight="1" x14ac:dyDescent="0.3">
      <c r="A227" s="33">
        <v>51001</v>
      </c>
      <c r="B227" s="10" t="s">
        <v>86</v>
      </c>
      <c r="C227" s="14">
        <v>81.926406926406898</v>
      </c>
      <c r="D227" s="14">
        <v>204.27099737532879</v>
      </c>
    </row>
    <row r="228" spans="1:4" ht="15.75" customHeight="1" x14ac:dyDescent="0.3">
      <c r="A228" s="33">
        <v>51002</v>
      </c>
      <c r="B228" s="10" t="s">
        <v>16</v>
      </c>
      <c r="C228" s="14">
        <v>0</v>
      </c>
      <c r="D228" s="14">
        <v>3.1229050279329615</v>
      </c>
    </row>
    <row r="229" spans="1:4" ht="15.75" customHeight="1" x14ac:dyDescent="0.3">
      <c r="A229" s="33">
        <v>51003</v>
      </c>
      <c r="B229" s="10" t="s">
        <v>60</v>
      </c>
      <c r="C229" s="14">
        <v>6.2833675564681757</v>
      </c>
      <c r="D229" s="14">
        <v>23.440935672514634</v>
      </c>
    </row>
    <row r="230" spans="1:4" ht="15.75" customHeight="1" x14ac:dyDescent="0.3">
      <c r="A230" s="33">
        <v>51101</v>
      </c>
      <c r="B230" s="10" t="s">
        <v>265</v>
      </c>
      <c r="C230" s="14">
        <v>22.131777108433702</v>
      </c>
      <c r="D230" s="14">
        <v>105.48690463034569</v>
      </c>
    </row>
    <row r="231" spans="1:4" ht="15.75" customHeight="1" x14ac:dyDescent="0.3">
      <c r="A231" s="33">
        <v>51102</v>
      </c>
      <c r="B231" s="10" t="s">
        <v>325</v>
      </c>
      <c r="C231" s="14">
        <v>28.967032967032946</v>
      </c>
      <c r="D231" s="14">
        <v>177.61368688472544</v>
      </c>
    </row>
    <row r="232" spans="1:4" ht="15.75" customHeight="1" x14ac:dyDescent="0.3">
      <c r="A232" s="33">
        <v>51103</v>
      </c>
      <c r="B232" s="10" t="s">
        <v>175</v>
      </c>
      <c r="C232" s="14">
        <v>7.3755876154968147</v>
      </c>
      <c r="D232" s="14">
        <v>50.183281899906056</v>
      </c>
    </row>
    <row r="233" spans="1:4" ht="15.75" customHeight="1" x14ac:dyDescent="0.3">
      <c r="A233" s="33">
        <v>51201</v>
      </c>
      <c r="B233" s="10" t="s">
        <v>289</v>
      </c>
      <c r="C233" s="14">
        <v>454.45460625313473</v>
      </c>
      <c r="D233" s="14">
        <v>1970.7838194694568</v>
      </c>
    </row>
    <row r="234" spans="1:4" ht="15.75" customHeight="1" x14ac:dyDescent="0.3">
      <c r="A234" s="33">
        <v>51202</v>
      </c>
      <c r="B234" s="10" t="s">
        <v>130</v>
      </c>
      <c r="C234" s="14">
        <v>28.648089171974515</v>
      </c>
      <c r="D234" s="14">
        <v>109.91137370753324</v>
      </c>
    </row>
    <row r="235" spans="1:4" ht="15.75" customHeight="1" x14ac:dyDescent="0.3">
      <c r="A235" s="33">
        <v>51203</v>
      </c>
      <c r="B235" s="10" t="s">
        <v>166</v>
      </c>
      <c r="C235" s="14">
        <v>16.451327433628332</v>
      </c>
      <c r="D235" s="14">
        <v>244.95315985130122</v>
      </c>
    </row>
    <row r="236" spans="1:4" ht="15.75" customHeight="1" x14ac:dyDescent="0.3">
      <c r="A236" s="33">
        <v>51204</v>
      </c>
      <c r="B236" s="31" t="s">
        <v>402</v>
      </c>
      <c r="C236" s="14">
        <v>5.3372041089772244</v>
      </c>
      <c r="D236" s="14">
        <v>63.464855687606175</v>
      </c>
    </row>
    <row r="237" spans="1:4" ht="15.75" customHeight="1" x14ac:dyDescent="0.3">
      <c r="A237" s="33">
        <v>51301</v>
      </c>
      <c r="B237" s="10" t="s">
        <v>104</v>
      </c>
      <c r="C237" s="14">
        <v>3.1721590909090822</v>
      </c>
      <c r="D237" s="14">
        <v>12.431241015812168</v>
      </c>
    </row>
    <row r="238" spans="1:4" ht="15.75" customHeight="1" x14ac:dyDescent="0.3">
      <c r="A238" s="33">
        <v>51302</v>
      </c>
      <c r="B238" s="10" t="s">
        <v>169</v>
      </c>
      <c r="C238" s="14">
        <v>13.19999999999999</v>
      </c>
      <c r="D238" s="14">
        <v>53.021161985378946</v>
      </c>
    </row>
    <row r="239" spans="1:4" ht="15.75" customHeight="1" x14ac:dyDescent="0.3">
      <c r="A239" s="33">
        <v>51401</v>
      </c>
      <c r="B239" s="10" t="s">
        <v>151</v>
      </c>
      <c r="C239" s="14">
        <v>10.318100358422928</v>
      </c>
      <c r="D239" s="14">
        <v>70.403393025447585</v>
      </c>
    </row>
    <row r="240" spans="1:4" ht="15.75" customHeight="1" x14ac:dyDescent="0.3">
      <c r="A240" s="33">
        <v>51402</v>
      </c>
      <c r="B240" s="10" t="s">
        <v>25</v>
      </c>
      <c r="C240" s="14">
        <v>13.227008149010487</v>
      </c>
      <c r="D240" s="14">
        <v>11.587577639751531</v>
      </c>
    </row>
    <row r="241" spans="1:4" ht="15.75" customHeight="1" x14ac:dyDescent="0.3">
      <c r="A241" s="33">
        <v>51501</v>
      </c>
      <c r="B241" s="10" t="s">
        <v>293</v>
      </c>
      <c r="C241" s="14">
        <v>228.42401249721033</v>
      </c>
      <c r="D241" s="14">
        <v>1147.1421539506057</v>
      </c>
    </row>
    <row r="242" spans="1:4" ht="15.75" customHeight="1" x14ac:dyDescent="0.3">
      <c r="A242" s="33">
        <v>51601</v>
      </c>
      <c r="B242" s="10" t="s">
        <v>29</v>
      </c>
      <c r="C242" s="14">
        <v>7.3289817232376011</v>
      </c>
      <c r="D242" s="14">
        <v>36.151020408163255</v>
      </c>
    </row>
    <row r="243" spans="1:4" ht="15.75" customHeight="1" x14ac:dyDescent="0.3">
      <c r="A243" s="33">
        <v>60101</v>
      </c>
      <c r="B243" s="10" t="s">
        <v>76</v>
      </c>
      <c r="C243" s="14">
        <v>1726.8787673364159</v>
      </c>
      <c r="D243" s="14">
        <v>7483.3922670900765</v>
      </c>
    </row>
    <row r="244" spans="1:4" ht="15.75" customHeight="1" x14ac:dyDescent="0.3">
      <c r="A244" s="33">
        <v>60201</v>
      </c>
      <c r="B244" s="10" t="s">
        <v>274</v>
      </c>
      <c r="C244" s="14">
        <v>31.762474131984348</v>
      </c>
      <c r="D244" s="14">
        <v>154.16204073482436</v>
      </c>
    </row>
    <row r="245" spans="1:4" ht="15.75" customHeight="1" x14ac:dyDescent="0.3">
      <c r="A245" s="33">
        <v>60202</v>
      </c>
      <c r="B245" s="10" t="s">
        <v>254</v>
      </c>
      <c r="C245" s="14">
        <v>239.92937240567511</v>
      </c>
      <c r="D245" s="14">
        <v>1235.7360670097444</v>
      </c>
    </row>
    <row r="246" spans="1:4" ht="15.75" customHeight="1" x14ac:dyDescent="0.3">
      <c r="A246" s="33">
        <v>60301</v>
      </c>
      <c r="B246" s="10" t="s">
        <v>297</v>
      </c>
      <c r="C246" s="14">
        <v>590.91622827992876</v>
      </c>
      <c r="D246" s="14">
        <v>2519.8066681289765</v>
      </c>
    </row>
    <row r="247" spans="1:4" ht="15.75" customHeight="1" x14ac:dyDescent="0.3">
      <c r="A247" s="33">
        <v>60302</v>
      </c>
      <c r="B247" s="10" t="s">
        <v>193</v>
      </c>
      <c r="C247" s="14">
        <v>83.988494726749551</v>
      </c>
      <c r="D247" s="14">
        <v>179.60490106145969</v>
      </c>
    </row>
    <row r="248" spans="1:4" ht="15.75" customHeight="1" x14ac:dyDescent="0.3">
      <c r="A248" s="33">
        <v>60303</v>
      </c>
      <c r="B248" s="10" t="s">
        <v>326</v>
      </c>
      <c r="C248" s="14">
        <v>267.81996345075328</v>
      </c>
      <c r="D248" s="14">
        <v>1157.2003766286639</v>
      </c>
    </row>
    <row r="249" spans="1:4" ht="15.75" customHeight="1" x14ac:dyDescent="0.3">
      <c r="A249" s="33">
        <v>60401</v>
      </c>
      <c r="B249" s="10" t="s">
        <v>235</v>
      </c>
      <c r="C249" s="14">
        <v>15.03254201120297</v>
      </c>
      <c r="D249" s="14">
        <v>132.24145421287304</v>
      </c>
    </row>
    <row r="250" spans="1:4" ht="15.75" customHeight="1" x14ac:dyDescent="0.3">
      <c r="A250" s="33">
        <v>60402</v>
      </c>
      <c r="B250" s="10" t="s">
        <v>105</v>
      </c>
      <c r="C250" s="14">
        <v>4.253322908522291</v>
      </c>
      <c r="D250" s="14">
        <v>31.262060980316434</v>
      </c>
    </row>
    <row r="251" spans="1:4" ht="15.75" customHeight="1" x14ac:dyDescent="0.3">
      <c r="A251" s="33">
        <v>60501</v>
      </c>
      <c r="B251" s="10" t="s">
        <v>271</v>
      </c>
      <c r="C251" s="14">
        <v>70.969425937756625</v>
      </c>
      <c r="D251" s="14">
        <v>607.45419776694791</v>
      </c>
    </row>
    <row r="252" spans="1:4" ht="15.75" customHeight="1" x14ac:dyDescent="0.3">
      <c r="A252" s="33">
        <v>60502</v>
      </c>
      <c r="B252" s="10" t="s">
        <v>88</v>
      </c>
      <c r="C252" s="14">
        <v>14.91771269177128</v>
      </c>
      <c r="D252" s="14">
        <v>65.416406680124993</v>
      </c>
    </row>
    <row r="253" spans="1:4" ht="15.75" customHeight="1" x14ac:dyDescent="0.3">
      <c r="A253" s="33">
        <v>60601</v>
      </c>
      <c r="B253" s="10" t="s">
        <v>223</v>
      </c>
      <c r="C253" s="14">
        <v>80.734366761573369</v>
      </c>
      <c r="D253" s="14">
        <v>222.94514062935096</v>
      </c>
    </row>
    <row r="254" spans="1:4" ht="15.75" customHeight="1" x14ac:dyDescent="0.3">
      <c r="A254" s="33">
        <v>70101</v>
      </c>
      <c r="B254" s="10" t="s">
        <v>304</v>
      </c>
      <c r="C254" s="14">
        <v>19309.617030687703</v>
      </c>
      <c r="D254" s="14">
        <v>55413.159837379826</v>
      </c>
    </row>
    <row r="255" spans="1:4" ht="15.75" customHeight="1" x14ac:dyDescent="0.3">
      <c r="A255" s="33">
        <v>70102</v>
      </c>
      <c r="B255" s="10" t="s">
        <v>263</v>
      </c>
      <c r="C255" s="14">
        <v>325.61742201294811</v>
      </c>
      <c r="D255" s="14">
        <v>3086.331105793111</v>
      </c>
    </row>
    <row r="256" spans="1:4" ht="15.75" customHeight="1" x14ac:dyDescent="0.3">
      <c r="A256" s="33">
        <v>70103</v>
      </c>
      <c r="B256" s="10" t="s">
        <v>188</v>
      </c>
      <c r="C256" s="14">
        <v>91.649975771280936</v>
      </c>
      <c r="D256" s="14">
        <v>619.6509460604351</v>
      </c>
    </row>
    <row r="257" spans="1:4" ht="15.75" customHeight="1" x14ac:dyDescent="0.3">
      <c r="A257" s="33">
        <v>70104</v>
      </c>
      <c r="B257" s="10" t="s">
        <v>294</v>
      </c>
      <c r="C257" s="14">
        <v>774.39210377890504</v>
      </c>
      <c r="D257" s="14">
        <v>4637.0936479291258</v>
      </c>
    </row>
    <row r="258" spans="1:4" ht="15.75" customHeight="1" x14ac:dyDescent="0.3">
      <c r="A258" s="33">
        <v>70105</v>
      </c>
      <c r="B258" s="10" t="s">
        <v>291</v>
      </c>
      <c r="C258" s="14">
        <v>329.26753145420849</v>
      </c>
      <c r="D258" s="14">
        <v>1350.3285322359391</v>
      </c>
    </row>
    <row r="259" spans="1:4" ht="15.75" customHeight="1" x14ac:dyDescent="0.3">
      <c r="A259" s="33">
        <v>70201</v>
      </c>
      <c r="B259" s="10" t="s">
        <v>298</v>
      </c>
      <c r="C259" s="14">
        <v>774.6252355662167</v>
      </c>
      <c r="D259" s="14">
        <v>4353.4675811468223</v>
      </c>
    </row>
    <row r="260" spans="1:4" ht="15.75" customHeight="1" x14ac:dyDescent="0.3">
      <c r="A260" s="33">
        <v>70202</v>
      </c>
      <c r="B260" s="10" t="s">
        <v>91</v>
      </c>
      <c r="C260" s="14">
        <v>104.08412618928374</v>
      </c>
      <c r="D260" s="14">
        <v>188.76474981329338</v>
      </c>
    </row>
    <row r="261" spans="1:4" ht="15.75" customHeight="1" x14ac:dyDescent="0.3">
      <c r="A261" s="33">
        <v>70301</v>
      </c>
      <c r="B261" s="10" t="s">
        <v>279</v>
      </c>
      <c r="C261" s="14">
        <v>244.96039066738979</v>
      </c>
      <c r="D261" s="14">
        <v>974.18619977201547</v>
      </c>
    </row>
    <row r="262" spans="1:4" ht="15.75" customHeight="1" x14ac:dyDescent="0.3">
      <c r="A262" s="33">
        <v>70302</v>
      </c>
      <c r="B262" s="10" t="s">
        <v>201</v>
      </c>
      <c r="C262" s="14">
        <v>20.913669064748191</v>
      </c>
      <c r="D262" s="14">
        <v>133.10611643330901</v>
      </c>
    </row>
    <row r="263" spans="1:4" ht="15.75" customHeight="1" x14ac:dyDescent="0.3">
      <c r="A263" s="33">
        <v>70303</v>
      </c>
      <c r="B263" s="10" t="s">
        <v>79</v>
      </c>
      <c r="C263" s="14">
        <v>15.685240323266703</v>
      </c>
      <c r="D263" s="14">
        <v>85.040572792362852</v>
      </c>
    </row>
    <row r="264" spans="1:4" ht="15.75" customHeight="1" x14ac:dyDescent="0.3">
      <c r="A264" s="33">
        <v>70401</v>
      </c>
      <c r="B264" s="10" t="s">
        <v>164</v>
      </c>
      <c r="C264" s="14">
        <v>103.57190357439724</v>
      </c>
      <c r="D264" s="14">
        <v>396.66060505868751</v>
      </c>
    </row>
    <row r="265" spans="1:4" ht="15.75" customHeight="1" x14ac:dyDescent="0.3">
      <c r="A265" s="33">
        <v>70402</v>
      </c>
      <c r="B265" s="10" t="s">
        <v>225</v>
      </c>
      <c r="C265" s="14">
        <v>123.30084745762737</v>
      </c>
      <c r="D265" s="14">
        <v>412.68095464260267</v>
      </c>
    </row>
    <row r="266" spans="1:4" ht="15.75" customHeight="1" x14ac:dyDescent="0.3">
      <c r="A266" s="33">
        <v>70403</v>
      </c>
      <c r="B266" s="10" t="s">
        <v>278</v>
      </c>
      <c r="C266" s="14">
        <v>274.75425288388095</v>
      </c>
      <c r="D266" s="14">
        <v>1508.4695393759287</v>
      </c>
    </row>
    <row r="267" spans="1:4" ht="15.75" customHeight="1" x14ac:dyDescent="0.3">
      <c r="A267" s="33">
        <v>70404</v>
      </c>
      <c r="B267" s="10" t="s">
        <v>327</v>
      </c>
      <c r="C267" s="14">
        <v>28.953103822174043</v>
      </c>
      <c r="D267" s="14">
        <v>182.18625678119338</v>
      </c>
    </row>
    <row r="268" spans="1:4" ht="15.75" customHeight="1" x14ac:dyDescent="0.3">
      <c r="A268" s="33">
        <v>70501</v>
      </c>
      <c r="B268" s="10" t="s">
        <v>328</v>
      </c>
      <c r="C268" s="14">
        <v>136.72651296829955</v>
      </c>
      <c r="D268" s="14">
        <v>589.7733139722493</v>
      </c>
    </row>
    <row r="269" spans="1:4" ht="15.75" customHeight="1" x14ac:dyDescent="0.3">
      <c r="A269" s="33">
        <v>70502</v>
      </c>
      <c r="B269" s="10" t="s">
        <v>272</v>
      </c>
      <c r="C269" s="14">
        <v>114.06415538552083</v>
      </c>
      <c r="D269" s="14">
        <v>748.1696526508224</v>
      </c>
    </row>
    <row r="270" spans="1:4" ht="15.75" customHeight="1" x14ac:dyDescent="0.3">
      <c r="A270" s="33">
        <v>70503</v>
      </c>
      <c r="B270" s="10" t="s">
        <v>162</v>
      </c>
      <c r="C270" s="14">
        <v>139.83367594842102</v>
      </c>
      <c r="D270" s="14">
        <v>465.14938941655396</v>
      </c>
    </row>
    <row r="271" spans="1:4" ht="15.75" customHeight="1" x14ac:dyDescent="0.3">
      <c r="A271" s="33">
        <v>70601</v>
      </c>
      <c r="B271" s="10" t="s">
        <v>158</v>
      </c>
      <c r="C271" s="14">
        <v>101.71455938697351</v>
      </c>
      <c r="D271" s="14">
        <v>410.20881941203896</v>
      </c>
    </row>
    <row r="272" spans="1:4" ht="15.75" customHeight="1" x14ac:dyDescent="0.3">
      <c r="A272" s="33">
        <v>70602</v>
      </c>
      <c r="B272" s="10" t="s">
        <v>256</v>
      </c>
      <c r="C272" s="14">
        <v>40.893176659099993</v>
      </c>
      <c r="D272" s="14">
        <v>228.29538384969501</v>
      </c>
    </row>
    <row r="273" spans="1:4" ht="15.75" customHeight="1" x14ac:dyDescent="0.3">
      <c r="A273" s="33">
        <v>70603</v>
      </c>
      <c r="B273" s="10" t="s">
        <v>329</v>
      </c>
      <c r="C273" s="14">
        <v>28.469879518072201</v>
      </c>
      <c r="D273" s="14">
        <v>125.44811961939283</v>
      </c>
    </row>
    <row r="274" spans="1:4" ht="15.75" customHeight="1" x14ac:dyDescent="0.3">
      <c r="A274" s="33">
        <v>70701</v>
      </c>
      <c r="B274" s="10" t="s">
        <v>74</v>
      </c>
      <c r="C274" s="14">
        <v>18.612068965517238</v>
      </c>
      <c r="D274" s="14">
        <v>57.845543806646489</v>
      </c>
    </row>
    <row r="275" spans="1:4" ht="15.75" customHeight="1" x14ac:dyDescent="0.3">
      <c r="A275" s="33">
        <v>70702</v>
      </c>
      <c r="B275" s="10" t="s">
        <v>95</v>
      </c>
      <c r="C275" s="14">
        <v>75.00159016219655</v>
      </c>
      <c r="D275" s="14">
        <v>298.70449033585709</v>
      </c>
    </row>
    <row r="276" spans="1:4" ht="15.75" customHeight="1" x14ac:dyDescent="0.3">
      <c r="A276" s="33">
        <v>70703</v>
      </c>
      <c r="B276" s="10" t="s">
        <v>250</v>
      </c>
      <c r="C276" s="14">
        <v>54.599166170339522</v>
      </c>
      <c r="D276" s="14">
        <v>435.07280498406232</v>
      </c>
    </row>
    <row r="277" spans="1:4" ht="15.75" customHeight="1" x14ac:dyDescent="0.3">
      <c r="A277" s="33">
        <v>70704</v>
      </c>
      <c r="B277" s="10" t="s">
        <v>73</v>
      </c>
      <c r="C277" s="14">
        <v>12.247842170160302</v>
      </c>
      <c r="D277" s="14">
        <v>70.344146685472495</v>
      </c>
    </row>
    <row r="278" spans="1:4" ht="15.75" customHeight="1" x14ac:dyDescent="0.3">
      <c r="A278" s="33">
        <v>70705</v>
      </c>
      <c r="B278" s="10" t="s">
        <v>141</v>
      </c>
      <c r="C278" s="14">
        <v>12.941979522184299</v>
      </c>
      <c r="D278" s="14">
        <v>123.709923664122</v>
      </c>
    </row>
    <row r="279" spans="1:4" ht="15.75" customHeight="1" x14ac:dyDescent="0.3">
      <c r="A279" s="33">
        <v>70706</v>
      </c>
      <c r="B279" s="10" t="s">
        <v>221</v>
      </c>
      <c r="C279" s="14">
        <v>273.53060692888772</v>
      </c>
      <c r="D279" s="14">
        <v>773.3188097768334</v>
      </c>
    </row>
    <row r="280" spans="1:4" ht="15.75" customHeight="1" x14ac:dyDescent="0.3">
      <c r="A280" s="33">
        <v>70707</v>
      </c>
      <c r="B280" s="10" t="s">
        <v>53</v>
      </c>
      <c r="C280" s="14">
        <v>23.711340206185511</v>
      </c>
      <c r="D280" s="14">
        <v>77.241361788617837</v>
      </c>
    </row>
    <row r="281" spans="1:4" ht="15.75" customHeight="1" x14ac:dyDescent="0.3">
      <c r="A281" s="33">
        <v>70801</v>
      </c>
      <c r="B281" s="10" t="s">
        <v>257</v>
      </c>
      <c r="C281" s="14">
        <v>79.969757560609864</v>
      </c>
      <c r="D281" s="14">
        <v>317.39986868023669</v>
      </c>
    </row>
    <row r="282" spans="1:4" ht="15.75" customHeight="1" x14ac:dyDescent="0.3">
      <c r="A282" s="33">
        <v>70802</v>
      </c>
      <c r="B282" s="10" t="s">
        <v>10</v>
      </c>
      <c r="C282" s="14">
        <v>3.257228315054832</v>
      </c>
      <c r="D282" s="14">
        <v>21.28514056224893</v>
      </c>
    </row>
    <row r="283" spans="1:4" ht="15.75" customHeight="1" x14ac:dyDescent="0.3">
      <c r="A283" s="33">
        <v>70803</v>
      </c>
      <c r="B283" s="10" t="s">
        <v>36</v>
      </c>
      <c r="C283" s="14">
        <v>2.1212121212121264</v>
      </c>
      <c r="D283" s="14">
        <v>15.635208711433751</v>
      </c>
    </row>
    <row r="284" spans="1:4" ht="15.75" customHeight="1" x14ac:dyDescent="0.3">
      <c r="A284" s="33">
        <v>70804</v>
      </c>
      <c r="B284" s="10" t="s">
        <v>330</v>
      </c>
      <c r="C284" s="14">
        <v>2.089075630252097</v>
      </c>
      <c r="D284" s="14">
        <v>21.407867494824011</v>
      </c>
    </row>
    <row r="285" spans="1:4" ht="15.75" customHeight="1" x14ac:dyDescent="0.3">
      <c r="A285" s="33">
        <v>70805</v>
      </c>
      <c r="B285" s="10" t="s">
        <v>331</v>
      </c>
      <c r="C285" s="14">
        <v>9.8657314629258543</v>
      </c>
      <c r="D285" s="14">
        <v>23.288288288288264</v>
      </c>
    </row>
    <row r="286" spans="1:4" ht="15.75" customHeight="1" x14ac:dyDescent="0.3">
      <c r="A286" s="33">
        <v>70901</v>
      </c>
      <c r="B286" s="10" t="s">
        <v>192</v>
      </c>
      <c r="C286" s="14">
        <v>138.77295492487505</v>
      </c>
      <c r="D286" s="14">
        <v>399.09655937846816</v>
      </c>
    </row>
    <row r="287" spans="1:4" ht="15.75" customHeight="1" x14ac:dyDescent="0.3">
      <c r="A287" s="33">
        <v>70902</v>
      </c>
      <c r="B287" s="10" t="s">
        <v>160</v>
      </c>
      <c r="C287" s="14">
        <v>17.578404907975461</v>
      </c>
      <c r="D287" s="14">
        <v>182.76619370758766</v>
      </c>
    </row>
    <row r="288" spans="1:4" ht="15.75" customHeight="1" x14ac:dyDescent="0.3">
      <c r="A288" s="33">
        <v>70903</v>
      </c>
      <c r="B288" s="10" t="s">
        <v>122</v>
      </c>
      <c r="C288" s="14">
        <v>36.966854565952644</v>
      </c>
      <c r="D288" s="14">
        <v>236.61388932434522</v>
      </c>
    </row>
    <row r="289" spans="1:4" ht="15.75" customHeight="1" x14ac:dyDescent="0.3">
      <c r="A289" s="33">
        <v>70904</v>
      </c>
      <c r="B289" s="10" t="s">
        <v>20</v>
      </c>
      <c r="C289" s="14">
        <v>4.2254697286012526</v>
      </c>
      <c r="D289" s="14">
        <v>30.541233964569333</v>
      </c>
    </row>
    <row r="290" spans="1:4" ht="15.75" customHeight="1" x14ac:dyDescent="0.3">
      <c r="A290" s="33">
        <v>71001</v>
      </c>
      <c r="B290" s="10" t="s">
        <v>300</v>
      </c>
      <c r="C290" s="14">
        <v>731.98384541526627</v>
      </c>
      <c r="D290" s="14">
        <v>3699.2076306639619</v>
      </c>
    </row>
    <row r="291" spans="1:4" ht="15.75" customHeight="1" x14ac:dyDescent="0.3">
      <c r="A291" s="33">
        <v>71002</v>
      </c>
      <c r="B291" s="10" t="s">
        <v>332</v>
      </c>
      <c r="C291" s="14">
        <v>24.237331622835139</v>
      </c>
      <c r="D291" s="14">
        <v>196.3167938931299</v>
      </c>
    </row>
    <row r="292" spans="1:4" ht="15.75" customHeight="1" x14ac:dyDescent="0.3">
      <c r="A292" s="33">
        <v>71003</v>
      </c>
      <c r="B292" s="10" t="s">
        <v>230</v>
      </c>
      <c r="C292" s="14">
        <v>75.137535085481034</v>
      </c>
      <c r="D292" s="14">
        <v>453.64562942963175</v>
      </c>
    </row>
    <row r="293" spans="1:4" ht="15.75" customHeight="1" x14ac:dyDescent="0.3">
      <c r="A293" s="33">
        <v>71004</v>
      </c>
      <c r="B293" s="10" t="s">
        <v>161</v>
      </c>
      <c r="C293" s="14">
        <v>39.08348326736234</v>
      </c>
      <c r="D293" s="14">
        <v>252.66238075487357</v>
      </c>
    </row>
    <row r="294" spans="1:4" ht="15.75" customHeight="1" x14ac:dyDescent="0.3">
      <c r="A294" s="33">
        <v>71005</v>
      </c>
      <c r="B294" s="10" t="s">
        <v>9</v>
      </c>
      <c r="C294" s="14">
        <v>36.619586422161518</v>
      </c>
      <c r="D294" s="14">
        <v>303.93677111142341</v>
      </c>
    </row>
    <row r="295" spans="1:4" ht="15.75" customHeight="1" x14ac:dyDescent="0.3">
      <c r="A295" s="33">
        <v>71101</v>
      </c>
      <c r="B295" s="10" t="s">
        <v>248</v>
      </c>
      <c r="C295" s="14">
        <v>86.386132952108767</v>
      </c>
      <c r="D295" s="14">
        <v>616.54533948779056</v>
      </c>
    </row>
    <row r="296" spans="1:4" ht="15.75" customHeight="1" x14ac:dyDescent="0.3">
      <c r="A296" s="33">
        <v>71102</v>
      </c>
      <c r="B296" s="10" t="s">
        <v>75</v>
      </c>
      <c r="C296" s="14">
        <v>64.947542794036664</v>
      </c>
      <c r="D296" s="14">
        <v>272.59219561212501</v>
      </c>
    </row>
    <row r="297" spans="1:4" ht="15.75" customHeight="1" x14ac:dyDescent="0.3">
      <c r="A297" s="33">
        <v>71103</v>
      </c>
      <c r="B297" s="10" t="s">
        <v>44</v>
      </c>
      <c r="C297" s="14">
        <v>48.345869947275986</v>
      </c>
      <c r="D297" s="14">
        <v>190.47231833910027</v>
      </c>
    </row>
    <row r="298" spans="1:4" ht="15.75" customHeight="1" x14ac:dyDescent="0.3">
      <c r="A298" s="33">
        <v>71104</v>
      </c>
      <c r="B298" s="10" t="s">
        <v>285</v>
      </c>
      <c r="C298" s="14">
        <v>118.05182229004053</v>
      </c>
      <c r="D298" s="14">
        <v>881.28495504892362</v>
      </c>
    </row>
    <row r="299" spans="1:4" ht="15.75" customHeight="1" x14ac:dyDescent="0.3">
      <c r="A299" s="33">
        <v>71105</v>
      </c>
      <c r="B299" s="10" t="s">
        <v>333</v>
      </c>
      <c r="C299" s="14">
        <v>15.338022341745976</v>
      </c>
      <c r="D299" s="14">
        <v>74.939336131247657</v>
      </c>
    </row>
    <row r="300" spans="1:4" ht="15.75" customHeight="1" x14ac:dyDescent="0.3">
      <c r="A300" s="33">
        <v>71106</v>
      </c>
      <c r="B300" s="10" t="s">
        <v>239</v>
      </c>
      <c r="C300" s="14">
        <v>98.580376280066872</v>
      </c>
      <c r="D300" s="14">
        <v>465.66820580474979</v>
      </c>
    </row>
    <row r="301" spans="1:4" ht="15.75" customHeight="1" x14ac:dyDescent="0.3">
      <c r="A301" s="33">
        <v>71201</v>
      </c>
      <c r="B301" s="10" t="s">
        <v>212</v>
      </c>
      <c r="C301" s="14">
        <v>58.571830419931828</v>
      </c>
      <c r="D301" s="14">
        <v>172.4075012671058</v>
      </c>
    </row>
    <row r="302" spans="1:4" ht="15.75" customHeight="1" x14ac:dyDescent="0.3">
      <c r="A302" s="33">
        <v>71301</v>
      </c>
      <c r="B302" s="10" t="s">
        <v>209</v>
      </c>
      <c r="C302" s="14">
        <v>57.865376405293866</v>
      </c>
      <c r="D302" s="14">
        <v>225.97575960679208</v>
      </c>
    </row>
    <row r="303" spans="1:4" ht="15.75" customHeight="1" x14ac:dyDescent="0.3">
      <c r="A303" s="33">
        <v>71302</v>
      </c>
      <c r="B303" s="10" t="s">
        <v>58</v>
      </c>
      <c r="C303" s="14">
        <v>20.309707759489427</v>
      </c>
      <c r="D303" s="14">
        <v>104.87568614788492</v>
      </c>
    </row>
    <row r="304" spans="1:4" ht="15.75" customHeight="1" x14ac:dyDescent="0.3">
      <c r="A304" s="33">
        <v>71401</v>
      </c>
      <c r="B304" s="10" t="s">
        <v>206</v>
      </c>
      <c r="C304" s="14">
        <v>154.55439193611736</v>
      </c>
      <c r="D304" s="14">
        <v>467.22768092974098</v>
      </c>
    </row>
    <row r="305" spans="1:4" ht="15.75" customHeight="1" x14ac:dyDescent="0.3">
      <c r="A305" s="33">
        <v>71402</v>
      </c>
      <c r="B305" s="10" t="s">
        <v>165</v>
      </c>
      <c r="C305" s="14">
        <v>205.48624117562284</v>
      </c>
      <c r="D305" s="14">
        <v>729.64544743021133</v>
      </c>
    </row>
    <row r="306" spans="1:4" ht="15.75" customHeight="1" x14ac:dyDescent="0.3">
      <c r="A306" s="33">
        <v>71403</v>
      </c>
      <c r="B306" s="10" t="s">
        <v>334</v>
      </c>
      <c r="C306" s="14">
        <v>28.751264755480648</v>
      </c>
      <c r="D306" s="14">
        <v>102.60406225270384</v>
      </c>
    </row>
    <row r="307" spans="1:4" ht="15.75" customHeight="1" x14ac:dyDescent="0.3">
      <c r="A307" s="33">
        <v>71501</v>
      </c>
      <c r="B307" s="10" t="s">
        <v>335</v>
      </c>
      <c r="C307" s="14">
        <v>116.04449673761938</v>
      </c>
      <c r="D307" s="14">
        <v>733.44704310056807</v>
      </c>
    </row>
    <row r="308" spans="1:4" ht="15.75" customHeight="1" x14ac:dyDescent="0.3">
      <c r="A308" s="33">
        <v>71502</v>
      </c>
      <c r="B308" s="10" t="s">
        <v>77</v>
      </c>
      <c r="C308" s="14">
        <v>15.215704387990758</v>
      </c>
      <c r="D308" s="14">
        <v>47.674326465927194</v>
      </c>
    </row>
    <row r="309" spans="1:4" ht="15.75" customHeight="1" x14ac:dyDescent="0.3">
      <c r="A309" s="33">
        <v>71503</v>
      </c>
      <c r="B309" s="10" t="s">
        <v>88</v>
      </c>
      <c r="C309" s="14">
        <v>22.062997577016276</v>
      </c>
      <c r="D309" s="14">
        <v>253.10160427807483</v>
      </c>
    </row>
    <row r="310" spans="1:4" ht="15.75" customHeight="1" x14ac:dyDescent="0.3">
      <c r="A310" s="33">
        <v>80101</v>
      </c>
      <c r="B310" s="10" t="s">
        <v>301</v>
      </c>
      <c r="C310" s="14">
        <v>1126.7922441651697</v>
      </c>
      <c r="D310" s="14">
        <v>4712.2089985486236</v>
      </c>
    </row>
    <row r="311" spans="1:4" ht="15.75" customHeight="1" x14ac:dyDescent="0.3">
      <c r="A311" s="33">
        <v>80102</v>
      </c>
      <c r="B311" s="10" t="s">
        <v>75</v>
      </c>
      <c r="C311" s="14">
        <v>6.4987080103359309</v>
      </c>
      <c r="D311" s="14">
        <v>78.737677053824456</v>
      </c>
    </row>
    <row r="312" spans="1:4" ht="15.75" customHeight="1" x14ac:dyDescent="0.3">
      <c r="A312" s="33">
        <v>80201</v>
      </c>
      <c r="B312" s="10" t="s">
        <v>296</v>
      </c>
      <c r="C312" s="14">
        <v>485.35426008968687</v>
      </c>
      <c r="D312" s="14">
        <v>2945.6589406278304</v>
      </c>
    </row>
    <row r="313" spans="1:4" ht="15.75" customHeight="1" x14ac:dyDescent="0.3">
      <c r="A313" s="33">
        <v>80202</v>
      </c>
      <c r="B313" s="10" t="s">
        <v>287</v>
      </c>
      <c r="C313" s="14">
        <v>352.49031901161698</v>
      </c>
      <c r="D313" s="14">
        <v>1277.1633734939767</v>
      </c>
    </row>
    <row r="314" spans="1:4" ht="15.75" customHeight="1" x14ac:dyDescent="0.3">
      <c r="A314" s="33">
        <v>80301</v>
      </c>
      <c r="B314" s="10" t="s">
        <v>216</v>
      </c>
      <c r="C314" s="14">
        <v>51.888800635424957</v>
      </c>
      <c r="D314" s="14">
        <v>203.35001087665862</v>
      </c>
    </row>
    <row r="315" spans="1:4" ht="15.75" customHeight="1" x14ac:dyDescent="0.3">
      <c r="A315" s="33">
        <v>80302</v>
      </c>
      <c r="B315" s="10" t="s">
        <v>276</v>
      </c>
      <c r="C315" s="14">
        <v>242.67119838872108</v>
      </c>
      <c r="D315" s="14">
        <v>656.01108203786328</v>
      </c>
    </row>
    <row r="316" spans="1:4" ht="15.75" customHeight="1" x14ac:dyDescent="0.3">
      <c r="A316" s="33">
        <v>80303</v>
      </c>
      <c r="B316" s="10" t="s">
        <v>35</v>
      </c>
      <c r="C316" s="14">
        <v>58.407508325764574</v>
      </c>
      <c r="D316" s="14">
        <v>223.11072919224165</v>
      </c>
    </row>
    <row r="317" spans="1:4" ht="15.75" customHeight="1" x14ac:dyDescent="0.3">
      <c r="A317" s="33">
        <v>80304</v>
      </c>
      <c r="B317" s="10" t="s">
        <v>246</v>
      </c>
      <c r="C317" s="14">
        <v>300.14409221901997</v>
      </c>
      <c r="D317" s="14">
        <v>759.10690537084406</v>
      </c>
    </row>
    <row r="318" spans="1:4" ht="15.75" customHeight="1" x14ac:dyDescent="0.3">
      <c r="A318" s="33">
        <v>80401</v>
      </c>
      <c r="B318" s="10" t="s">
        <v>204</v>
      </c>
      <c r="C318" s="14">
        <v>119.37099592312171</v>
      </c>
      <c r="D318" s="14">
        <v>456.46376811594223</v>
      </c>
    </row>
    <row r="319" spans="1:4" ht="15.75" customHeight="1" x14ac:dyDescent="0.3">
      <c r="A319" s="33">
        <v>80402</v>
      </c>
      <c r="B319" s="10" t="s">
        <v>98</v>
      </c>
      <c r="C319" s="14">
        <v>22.931844435887573</v>
      </c>
      <c r="D319" s="14">
        <v>102.62949739082681</v>
      </c>
    </row>
    <row r="320" spans="1:4" ht="15.75" customHeight="1" x14ac:dyDescent="0.3">
      <c r="A320" s="33">
        <v>80501</v>
      </c>
      <c r="B320" s="10" t="s">
        <v>262</v>
      </c>
      <c r="C320" s="14">
        <v>64.455888331752277</v>
      </c>
      <c r="D320" s="14">
        <v>376.93511730205279</v>
      </c>
    </row>
    <row r="321" spans="1:4" ht="15.75" customHeight="1" x14ac:dyDescent="0.3">
      <c r="A321" s="33">
        <v>80601</v>
      </c>
      <c r="B321" s="10" t="s">
        <v>83</v>
      </c>
      <c r="C321" s="14">
        <v>4.2690217391304408</v>
      </c>
      <c r="D321" s="14">
        <v>53.126265634306144</v>
      </c>
    </row>
    <row r="322" spans="1:4" ht="15.75" customHeight="1" x14ac:dyDescent="0.3">
      <c r="A322" s="33">
        <v>80602</v>
      </c>
      <c r="B322" s="10" t="s">
        <v>214</v>
      </c>
      <c r="C322" s="14">
        <v>29.00353634577602</v>
      </c>
      <c r="D322" s="14">
        <v>219.26190797463238</v>
      </c>
    </row>
    <row r="323" spans="1:4" ht="15.75" customHeight="1" x14ac:dyDescent="0.3">
      <c r="A323" s="33">
        <v>80701</v>
      </c>
      <c r="B323" s="10" t="s">
        <v>64</v>
      </c>
      <c r="C323" s="14">
        <v>33.09776638593916</v>
      </c>
      <c r="D323" s="14">
        <v>118.71166306695451</v>
      </c>
    </row>
    <row r="324" spans="1:4" ht="15.75" customHeight="1" x14ac:dyDescent="0.3">
      <c r="A324" s="33">
        <v>80702</v>
      </c>
      <c r="B324" s="10" t="s">
        <v>44</v>
      </c>
      <c r="C324" s="14">
        <v>17.058116232464936</v>
      </c>
      <c r="D324" s="14">
        <v>127.32167832167829</v>
      </c>
    </row>
    <row r="325" spans="1:4" ht="15.75" customHeight="1" x14ac:dyDescent="0.3">
      <c r="A325" s="33">
        <v>80703</v>
      </c>
      <c r="B325" s="10" t="s">
        <v>2</v>
      </c>
      <c r="C325" s="14">
        <v>6.5120000000000005</v>
      </c>
      <c r="D325" s="14">
        <v>13.891592920354006</v>
      </c>
    </row>
    <row r="326" spans="1:4" ht="15.75" customHeight="1" x14ac:dyDescent="0.3">
      <c r="A326" s="33">
        <v>80801</v>
      </c>
      <c r="B326" s="10" t="s">
        <v>142</v>
      </c>
      <c r="C326" s="14">
        <v>59.042800651314145</v>
      </c>
      <c r="D326" s="14">
        <v>242.77101769911502</v>
      </c>
    </row>
    <row r="327" spans="1:4" ht="15.75" customHeight="1" x14ac:dyDescent="0.3">
      <c r="A327" s="33">
        <v>80802</v>
      </c>
      <c r="B327" s="10" t="s">
        <v>118</v>
      </c>
      <c r="C327" s="14">
        <v>16.868970755791885</v>
      </c>
      <c r="D327" s="14">
        <v>116.27970499863429</v>
      </c>
    </row>
    <row r="328" spans="1:4" ht="15.75" customHeight="1" x14ac:dyDescent="0.3">
      <c r="A328" s="33">
        <v>80803</v>
      </c>
      <c r="B328" s="10" t="s">
        <v>17</v>
      </c>
      <c r="C328" s="14">
        <v>9.4630396215257182</v>
      </c>
      <c r="D328" s="14">
        <v>101.00154083204929</v>
      </c>
    </row>
    <row r="329" spans="1:4" ht="15.75" customHeight="1" x14ac:dyDescent="0.3">
      <c r="A329" s="33">
        <v>80901</v>
      </c>
      <c r="B329" s="31" t="s">
        <v>432</v>
      </c>
      <c r="C329" s="14">
        <v>2.0778341793570281</v>
      </c>
      <c r="D329" s="14">
        <v>8.309392265193372</v>
      </c>
    </row>
    <row r="330" spans="1:4" ht="15.75" customHeight="1" x14ac:dyDescent="0.3">
      <c r="A330" s="33">
        <v>90101</v>
      </c>
      <c r="B330" s="10" t="s">
        <v>281</v>
      </c>
      <c r="C330" s="14">
        <v>482.59145325838114</v>
      </c>
      <c r="D330" s="14">
        <v>1901.0315710660961</v>
      </c>
    </row>
    <row r="331" spans="1:4" ht="15.75" customHeight="1" x14ac:dyDescent="0.3">
      <c r="A331" s="33">
        <v>90102</v>
      </c>
      <c r="B331" s="10" t="s">
        <v>115</v>
      </c>
      <c r="C331" s="14">
        <v>18.006269592476489</v>
      </c>
      <c r="D331" s="14">
        <v>169.60440165061917</v>
      </c>
    </row>
    <row r="332" spans="1:4" ht="15.75" customHeight="1" x14ac:dyDescent="0.3">
      <c r="A332" s="33">
        <v>90103</v>
      </c>
      <c r="B332" s="10" t="s">
        <v>4</v>
      </c>
      <c r="C332" s="14">
        <v>3.153605015673977</v>
      </c>
      <c r="D332" s="14">
        <v>11.393754760091397</v>
      </c>
    </row>
    <row r="333" spans="1:4" ht="15.75" customHeight="1" x14ac:dyDescent="0.3">
      <c r="A333" s="33">
        <v>90104</v>
      </c>
      <c r="B333" s="10" t="s">
        <v>81</v>
      </c>
      <c r="C333" s="14">
        <v>4.2450261780104812</v>
      </c>
      <c r="D333" s="14">
        <v>35.614775725593653</v>
      </c>
    </row>
    <row r="334" spans="1:4" ht="15.75" customHeight="1" x14ac:dyDescent="0.3">
      <c r="A334" s="33">
        <v>90201</v>
      </c>
      <c r="B334" s="10" t="s">
        <v>131</v>
      </c>
      <c r="C334" s="14">
        <v>33.496103896103889</v>
      </c>
      <c r="D334" s="14">
        <v>136.43577075098813</v>
      </c>
    </row>
    <row r="335" spans="1:4" ht="15.75" customHeight="1" x14ac:dyDescent="0.3">
      <c r="A335" s="33">
        <v>90202</v>
      </c>
      <c r="B335" s="10" t="s">
        <v>9</v>
      </c>
      <c r="C335" s="14">
        <v>4.1110009910802763</v>
      </c>
      <c r="D335" s="14">
        <v>12.164276401564532</v>
      </c>
    </row>
    <row r="336" spans="1:4" ht="15.75" customHeight="1" x14ac:dyDescent="0.3">
      <c r="A336" s="33">
        <v>90203</v>
      </c>
      <c r="B336" s="10" t="s">
        <v>37</v>
      </c>
      <c r="C336" s="14">
        <v>4.2788632326820615</v>
      </c>
      <c r="D336" s="14">
        <v>78.35149863760212</v>
      </c>
    </row>
    <row r="337" spans="1:4" ht="15.75" customHeight="1" x14ac:dyDescent="0.3">
      <c r="A337" s="33">
        <v>90301</v>
      </c>
      <c r="B337" s="10" t="s">
        <v>336</v>
      </c>
      <c r="C337" s="14">
        <v>15.23</v>
      </c>
      <c r="D337" s="14">
        <v>135.52506705178459</v>
      </c>
    </row>
    <row r="338" spans="1:4" ht="15.75" customHeight="1" x14ac:dyDescent="0.3">
      <c r="A338" s="33">
        <v>90302</v>
      </c>
      <c r="B338" s="10" t="s">
        <v>59</v>
      </c>
      <c r="C338" s="14">
        <v>18.073882526782427</v>
      </c>
      <c r="D338" s="14">
        <v>59.72439830108533</v>
      </c>
    </row>
    <row r="339" spans="1:4" ht="15.75" customHeight="1" x14ac:dyDescent="0.3">
      <c r="A339" s="33">
        <v>90303</v>
      </c>
      <c r="B339" s="10" t="s">
        <v>337</v>
      </c>
      <c r="C339" s="14">
        <v>14.087557603686649</v>
      </c>
      <c r="D339" s="14">
        <v>195.1175141242939</v>
      </c>
    </row>
    <row r="340" spans="1:4" ht="15.75" customHeight="1" x14ac:dyDescent="0.3">
      <c r="A340" s="33">
        <v>90401</v>
      </c>
      <c r="B340" s="10" t="s">
        <v>437</v>
      </c>
      <c r="C340" s="14">
        <v>3.2538226299694215</v>
      </c>
      <c r="D340" s="14">
        <v>27.888973966309358</v>
      </c>
    </row>
    <row r="341" spans="1:4" ht="15.75" customHeight="1" x14ac:dyDescent="0.3">
      <c r="A341" s="33">
        <v>90402</v>
      </c>
      <c r="B341" s="10" t="s">
        <v>14</v>
      </c>
      <c r="C341" s="14">
        <v>9.1760435571687768</v>
      </c>
      <c r="D341" s="14">
        <v>26.226101413133868</v>
      </c>
    </row>
    <row r="342" spans="1:4" ht="15.75" customHeight="1" x14ac:dyDescent="0.3">
      <c r="A342" s="33">
        <v>90501</v>
      </c>
      <c r="B342" s="10" t="s">
        <v>26</v>
      </c>
      <c r="C342" s="14">
        <v>3.2104743083004004</v>
      </c>
      <c r="D342" s="14">
        <v>31.368258859784255</v>
      </c>
    </row>
    <row r="343" spans="1:4" ht="15.75" customHeight="1" x14ac:dyDescent="0.3">
      <c r="A343" s="33">
        <v>90502</v>
      </c>
      <c r="B343" s="10" t="s">
        <v>439</v>
      </c>
      <c r="C343" s="14">
        <v>15.271351351351315</v>
      </c>
      <c r="D343" s="14">
        <v>41.912045889101378</v>
      </c>
    </row>
    <row r="344" spans="1:4" ht="15.75" customHeight="1" x14ac:dyDescent="0.3">
      <c r="A344" s="33">
        <v>90503</v>
      </c>
      <c r="B344" s="10" t="s">
        <v>24</v>
      </c>
      <c r="C344" s="14">
        <v>1.2055288461538494</v>
      </c>
      <c r="D344" s="14">
        <v>8.4725050916496958</v>
      </c>
    </row>
    <row r="345" spans="1:4" ht="15.75" customHeight="1" x14ac:dyDescent="0.3">
      <c r="B345" s="12"/>
      <c r="D345" s="3"/>
    </row>
    <row r="346" spans="1:4" ht="15.75" customHeight="1" x14ac:dyDescent="0.3">
      <c r="B346" s="12"/>
      <c r="D346" s="3"/>
    </row>
    <row r="347" spans="1:4" ht="15.75" customHeight="1" x14ac:dyDescent="0.3">
      <c r="B347" s="12"/>
      <c r="D347" s="3"/>
    </row>
    <row r="348" spans="1:4" ht="15.75" customHeight="1" x14ac:dyDescent="0.3">
      <c r="B348" s="12"/>
    </row>
    <row r="349" spans="1:4" ht="15.75" customHeight="1" x14ac:dyDescent="0.3">
      <c r="B349" s="12"/>
    </row>
    <row r="350" spans="1:4" ht="15.75" customHeight="1" x14ac:dyDescent="0.3">
      <c r="B350" s="12"/>
      <c r="D350" s="4"/>
    </row>
    <row r="351" spans="1:4" ht="15.75" customHeight="1" x14ac:dyDescent="0.3">
      <c r="B351" s="12"/>
      <c r="D351" s="4"/>
    </row>
    <row r="352" spans="1:4" ht="15.75" customHeight="1" x14ac:dyDescent="0.3">
      <c r="B352" s="12"/>
      <c r="D352" s="4"/>
    </row>
    <row r="353" spans="2:4" ht="15.75" customHeight="1" x14ac:dyDescent="0.3">
      <c r="B353" s="13"/>
      <c r="D353" s="4"/>
    </row>
    <row r="354" spans="2:4" ht="15.75" customHeight="1" x14ac:dyDescent="0.3">
      <c r="B354" s="13"/>
      <c r="D354" s="2"/>
    </row>
    <row r="355" spans="2:4" ht="15.75" customHeight="1" x14ac:dyDescent="0.3">
      <c r="B355" s="13"/>
    </row>
    <row r="356" spans="2:4" ht="15.75" customHeight="1" x14ac:dyDescent="0.3">
      <c r="B356" s="13"/>
    </row>
    <row r="357" spans="2:4" ht="15.75" customHeight="1" x14ac:dyDescent="0.3">
      <c r="B357" s="13"/>
    </row>
    <row r="358" spans="2:4" ht="15.75" customHeight="1" x14ac:dyDescent="0.3">
      <c r="B358" s="13"/>
    </row>
    <row r="359" spans="2:4" ht="15.75" customHeight="1" x14ac:dyDescent="0.3">
      <c r="B359" s="13"/>
    </row>
    <row r="360" spans="2:4" ht="15.75" customHeight="1" x14ac:dyDescent="0.3">
      <c r="B360" s="13"/>
    </row>
    <row r="361" spans="2:4" ht="15.75" customHeight="1" x14ac:dyDescent="0.3">
      <c r="B361" s="13"/>
    </row>
    <row r="362" spans="2:4" ht="15.75" customHeight="1" x14ac:dyDescent="0.3">
      <c r="B362" s="13"/>
    </row>
    <row r="363" spans="2:4" ht="15.75" customHeight="1" x14ac:dyDescent="0.3">
      <c r="B363" s="13"/>
    </row>
    <row r="364" spans="2:4" ht="15.75" customHeight="1" x14ac:dyDescent="0.3">
      <c r="B364" s="13"/>
    </row>
    <row r="365" spans="2:4" ht="15.75" customHeight="1" x14ac:dyDescent="0.3">
      <c r="B365" s="13"/>
    </row>
    <row r="366" spans="2:4" ht="15.75" customHeight="1" x14ac:dyDescent="0.3">
      <c r="B366" s="13"/>
    </row>
    <row r="367" spans="2:4" ht="15.75" customHeight="1" x14ac:dyDescent="0.3">
      <c r="B367" s="13"/>
    </row>
    <row r="368" spans="2:4" ht="15.75" customHeight="1" x14ac:dyDescent="0.3">
      <c r="B368" s="13"/>
    </row>
    <row r="369" spans="2:2" ht="15.75" customHeight="1" x14ac:dyDescent="0.3">
      <c r="B369" s="13"/>
    </row>
    <row r="370" spans="2:2" ht="15.75" customHeight="1" x14ac:dyDescent="0.3">
      <c r="B370" s="13"/>
    </row>
    <row r="371" spans="2:2" ht="15.75" customHeight="1" x14ac:dyDescent="0.3">
      <c r="B371" s="13"/>
    </row>
    <row r="372" spans="2:2" ht="15.75" customHeight="1" x14ac:dyDescent="0.3">
      <c r="B372" s="13"/>
    </row>
    <row r="373" spans="2:2" ht="15.75" customHeight="1" x14ac:dyDescent="0.3">
      <c r="B373" s="13"/>
    </row>
    <row r="374" spans="2:2" ht="15.75" customHeight="1" x14ac:dyDescent="0.3">
      <c r="B374" s="13"/>
    </row>
    <row r="375" spans="2:2" ht="15.75" customHeight="1" x14ac:dyDescent="0.3">
      <c r="B375" s="13"/>
    </row>
    <row r="376" spans="2:2" ht="15.75" customHeight="1" x14ac:dyDescent="0.3">
      <c r="B376" s="13"/>
    </row>
    <row r="377" spans="2:2" ht="15.75" customHeight="1" x14ac:dyDescent="0.3">
      <c r="B377" s="13"/>
    </row>
    <row r="378" spans="2:2" ht="15.75" customHeight="1" x14ac:dyDescent="0.3">
      <c r="B378" s="13"/>
    </row>
    <row r="379" spans="2:2" ht="15.75" customHeight="1" x14ac:dyDescent="0.3">
      <c r="B379" s="13"/>
    </row>
    <row r="380" spans="2:2" ht="15.75" customHeight="1" x14ac:dyDescent="0.3">
      <c r="B380" s="13"/>
    </row>
    <row r="381" spans="2:2" ht="15.75" customHeight="1" x14ac:dyDescent="0.3">
      <c r="B381" s="13"/>
    </row>
    <row r="382" spans="2:2" ht="15.75" customHeight="1" x14ac:dyDescent="0.3">
      <c r="B382" s="13"/>
    </row>
    <row r="383" spans="2:2" ht="15.75" customHeight="1" x14ac:dyDescent="0.3">
      <c r="B383" s="13"/>
    </row>
    <row r="384" spans="2:2" ht="15.75" customHeight="1" x14ac:dyDescent="0.3">
      <c r="B384" s="13"/>
    </row>
    <row r="385" spans="2:2" ht="15.75" customHeight="1" x14ac:dyDescent="0.3">
      <c r="B385" s="13"/>
    </row>
    <row r="386" spans="2:2" ht="15.75" customHeight="1" x14ac:dyDescent="0.3">
      <c r="B386" s="13"/>
    </row>
    <row r="387" spans="2:2" ht="15.75" customHeight="1" x14ac:dyDescent="0.3">
      <c r="B387" s="13"/>
    </row>
    <row r="388" spans="2:2" ht="15.75" customHeight="1" x14ac:dyDescent="0.3">
      <c r="B388" s="13"/>
    </row>
    <row r="389" spans="2:2" ht="15.75" customHeight="1" x14ac:dyDescent="0.3">
      <c r="B389" s="13"/>
    </row>
    <row r="390" spans="2:2" ht="15.75" customHeight="1" x14ac:dyDescent="0.3">
      <c r="B390" s="13"/>
    </row>
    <row r="391" spans="2:2" ht="15.75" customHeight="1" x14ac:dyDescent="0.3">
      <c r="B391" s="13"/>
    </row>
    <row r="392" spans="2:2" ht="15.75" customHeight="1" x14ac:dyDescent="0.3">
      <c r="B392" s="13"/>
    </row>
    <row r="393" spans="2:2" ht="15.75" customHeight="1" x14ac:dyDescent="0.3">
      <c r="B393" s="13"/>
    </row>
    <row r="394" spans="2:2" ht="15.75" customHeight="1" x14ac:dyDescent="0.3">
      <c r="B394" s="13"/>
    </row>
    <row r="395" spans="2:2" ht="15.75" customHeight="1" x14ac:dyDescent="0.3">
      <c r="B395" s="13"/>
    </row>
    <row r="396" spans="2:2" ht="15.75" customHeight="1" x14ac:dyDescent="0.3">
      <c r="B396" s="13"/>
    </row>
    <row r="397" spans="2:2" ht="15.75" customHeight="1" x14ac:dyDescent="0.3">
      <c r="B397" s="13"/>
    </row>
    <row r="398" spans="2:2" ht="15.75" customHeight="1" x14ac:dyDescent="0.3">
      <c r="B398" s="13"/>
    </row>
    <row r="399" spans="2:2" ht="15.75" customHeight="1" x14ac:dyDescent="0.3">
      <c r="B399" s="13"/>
    </row>
    <row r="400" spans="2:2" ht="15.75" customHeight="1" x14ac:dyDescent="0.3">
      <c r="B400" s="13"/>
    </row>
    <row r="401" spans="2:2" ht="15.75" customHeight="1" x14ac:dyDescent="0.3">
      <c r="B401" s="13"/>
    </row>
    <row r="402" spans="2:2" ht="15.75" customHeight="1" x14ac:dyDescent="0.3">
      <c r="B402" s="13"/>
    </row>
    <row r="403" spans="2:2" ht="15.75" customHeight="1" x14ac:dyDescent="0.3">
      <c r="B403" s="13"/>
    </row>
    <row r="404" spans="2:2" ht="15.75" customHeight="1" x14ac:dyDescent="0.3">
      <c r="B404" s="13"/>
    </row>
    <row r="405" spans="2:2" ht="15.75" customHeight="1" x14ac:dyDescent="0.3">
      <c r="B405" s="13"/>
    </row>
    <row r="406" spans="2:2" ht="15.75" customHeight="1" x14ac:dyDescent="0.3">
      <c r="B406" s="13"/>
    </row>
    <row r="407" spans="2:2" ht="15.75" customHeight="1" x14ac:dyDescent="0.3">
      <c r="B407" s="13"/>
    </row>
    <row r="408" spans="2:2" ht="15.75" customHeight="1" x14ac:dyDescent="0.3">
      <c r="B408" s="13"/>
    </row>
    <row r="409" spans="2:2" ht="15.75" customHeight="1" x14ac:dyDescent="0.3">
      <c r="B409" s="13"/>
    </row>
    <row r="410" spans="2:2" ht="15.75" customHeight="1" x14ac:dyDescent="0.3">
      <c r="B410" s="13"/>
    </row>
    <row r="411" spans="2:2" ht="15.75" customHeight="1" x14ac:dyDescent="0.3">
      <c r="B411" s="13"/>
    </row>
    <row r="412" spans="2:2" ht="15.75" customHeight="1" x14ac:dyDescent="0.3">
      <c r="B412" s="13"/>
    </row>
    <row r="413" spans="2:2" ht="15.75" customHeight="1" x14ac:dyDescent="0.3">
      <c r="B413" s="13"/>
    </row>
    <row r="414" spans="2:2" ht="15.75" customHeight="1" x14ac:dyDescent="0.3">
      <c r="B414" s="13"/>
    </row>
    <row r="415" spans="2:2" ht="15.75" customHeight="1" x14ac:dyDescent="0.3">
      <c r="B415" s="13"/>
    </row>
    <row r="416" spans="2:2" ht="15.75" customHeight="1" x14ac:dyDescent="0.3">
      <c r="B416" s="13"/>
    </row>
    <row r="417" spans="2:2" ht="15.75" customHeight="1" x14ac:dyDescent="0.3">
      <c r="B417" s="13"/>
    </row>
    <row r="418" spans="2:2" ht="15.75" customHeight="1" x14ac:dyDescent="0.3">
      <c r="B418" s="13"/>
    </row>
    <row r="419" spans="2:2" ht="15.75" customHeight="1" x14ac:dyDescent="0.3">
      <c r="B419" s="13"/>
    </row>
    <row r="420" spans="2:2" ht="15.75" customHeight="1" x14ac:dyDescent="0.3">
      <c r="B420" s="13"/>
    </row>
    <row r="421" spans="2:2" ht="15.75" customHeight="1" x14ac:dyDescent="0.3">
      <c r="B421" s="13"/>
    </row>
    <row r="422" spans="2:2" ht="15.75" customHeight="1" x14ac:dyDescent="0.3">
      <c r="B422" s="13"/>
    </row>
    <row r="423" spans="2:2" ht="15.75" customHeight="1" x14ac:dyDescent="0.3">
      <c r="B423" s="13"/>
    </row>
    <row r="424" spans="2:2" ht="15.75" customHeight="1" x14ac:dyDescent="0.3">
      <c r="B424" s="13"/>
    </row>
    <row r="425" spans="2:2" ht="15.75" customHeight="1" x14ac:dyDescent="0.3">
      <c r="B425" s="13"/>
    </row>
    <row r="426" spans="2:2" ht="15.75" customHeight="1" x14ac:dyDescent="0.3">
      <c r="B426" s="13"/>
    </row>
    <row r="427" spans="2:2" ht="15.75" customHeight="1" x14ac:dyDescent="0.3">
      <c r="B427" s="13"/>
    </row>
    <row r="428" spans="2:2" ht="15.75" customHeight="1" x14ac:dyDescent="0.3">
      <c r="B428" s="13"/>
    </row>
    <row r="429" spans="2:2" ht="15.75" customHeight="1" x14ac:dyDescent="0.3">
      <c r="B429" s="13"/>
    </row>
    <row r="430" spans="2:2" ht="15.75" customHeight="1" x14ac:dyDescent="0.3">
      <c r="B430" s="13"/>
    </row>
    <row r="431" spans="2:2" ht="15.75" customHeight="1" x14ac:dyDescent="0.3">
      <c r="B431" s="13"/>
    </row>
    <row r="432" spans="2:2" ht="15.75" customHeight="1" x14ac:dyDescent="0.3">
      <c r="B432" s="13"/>
    </row>
    <row r="433" spans="2:2" ht="15.75" customHeight="1" x14ac:dyDescent="0.3">
      <c r="B433" s="13"/>
    </row>
    <row r="434" spans="2:2" ht="15.75" customHeight="1" x14ac:dyDescent="0.3">
      <c r="B434" s="13"/>
    </row>
    <row r="435" spans="2:2" ht="15.75" customHeight="1" x14ac:dyDescent="0.3">
      <c r="B435" s="13"/>
    </row>
    <row r="436" spans="2:2" ht="15.75" customHeight="1" x14ac:dyDescent="0.3">
      <c r="B436" s="13"/>
    </row>
    <row r="437" spans="2:2" ht="15.75" customHeight="1" x14ac:dyDescent="0.3">
      <c r="B437" s="13"/>
    </row>
    <row r="438" spans="2:2" ht="15.75" customHeight="1" x14ac:dyDescent="0.3">
      <c r="B438" s="13"/>
    </row>
    <row r="439" spans="2:2" ht="15.75" customHeight="1" x14ac:dyDescent="0.3">
      <c r="B439" s="13"/>
    </row>
    <row r="440" spans="2:2" ht="15.75" customHeight="1" x14ac:dyDescent="0.3">
      <c r="B440" s="13"/>
    </row>
    <row r="441" spans="2:2" ht="15.75" customHeight="1" x14ac:dyDescent="0.3">
      <c r="B441" s="13"/>
    </row>
    <row r="442" spans="2:2" ht="15.75" customHeight="1" x14ac:dyDescent="0.3">
      <c r="B442" s="13"/>
    </row>
    <row r="443" spans="2:2" ht="15.75" customHeight="1" x14ac:dyDescent="0.3">
      <c r="B443" s="13"/>
    </row>
    <row r="444" spans="2:2" ht="15.75" customHeight="1" x14ac:dyDescent="0.3">
      <c r="B444" s="13"/>
    </row>
    <row r="445" spans="2:2" ht="15.75" customHeight="1" x14ac:dyDescent="0.3">
      <c r="B445" s="13"/>
    </row>
    <row r="446" spans="2:2" ht="15.75" customHeight="1" x14ac:dyDescent="0.3">
      <c r="B446" s="13"/>
    </row>
    <row r="447" spans="2:2" ht="15.75" customHeight="1" x14ac:dyDescent="0.3">
      <c r="B447" s="13"/>
    </row>
    <row r="448" spans="2:2" ht="15.75" customHeight="1" x14ac:dyDescent="0.3">
      <c r="B448" s="13"/>
    </row>
    <row r="449" spans="2:2" ht="15.75" customHeight="1" x14ac:dyDescent="0.3">
      <c r="B449" s="13"/>
    </row>
    <row r="450" spans="2:2" ht="15.75" customHeight="1" x14ac:dyDescent="0.3">
      <c r="B450" s="13"/>
    </row>
    <row r="451" spans="2:2" ht="15.75" customHeight="1" x14ac:dyDescent="0.3">
      <c r="B451" s="13"/>
    </row>
    <row r="452" spans="2:2" ht="15.75" customHeight="1" x14ac:dyDescent="0.3">
      <c r="B452" s="13"/>
    </row>
    <row r="453" spans="2:2" ht="15.75" customHeight="1" x14ac:dyDescent="0.3">
      <c r="B453" s="13"/>
    </row>
    <row r="454" spans="2:2" ht="15.75" customHeight="1" x14ac:dyDescent="0.3">
      <c r="B454" s="13"/>
    </row>
    <row r="455" spans="2:2" ht="15.75" customHeight="1" x14ac:dyDescent="0.3">
      <c r="B455" s="13"/>
    </row>
    <row r="456" spans="2:2" ht="15.75" customHeight="1" x14ac:dyDescent="0.3">
      <c r="B456" s="13"/>
    </row>
    <row r="457" spans="2:2" ht="15.75" customHeight="1" x14ac:dyDescent="0.3">
      <c r="B457" s="13"/>
    </row>
    <row r="458" spans="2:2" ht="15.75" customHeight="1" x14ac:dyDescent="0.3">
      <c r="B458" s="13"/>
    </row>
    <row r="459" spans="2:2" ht="15.75" customHeight="1" x14ac:dyDescent="0.3">
      <c r="B459" s="13"/>
    </row>
    <row r="460" spans="2:2" ht="15.75" customHeight="1" x14ac:dyDescent="0.3">
      <c r="B460" s="13"/>
    </row>
    <row r="461" spans="2:2" ht="15.75" customHeight="1" x14ac:dyDescent="0.3">
      <c r="B461" s="13"/>
    </row>
    <row r="462" spans="2:2" ht="15.75" customHeight="1" x14ac:dyDescent="0.3">
      <c r="B462" s="13"/>
    </row>
    <row r="463" spans="2:2" ht="15.75" customHeight="1" x14ac:dyDescent="0.3">
      <c r="B463" s="13"/>
    </row>
    <row r="464" spans="2:2" ht="15.75" customHeight="1" x14ac:dyDescent="0.3">
      <c r="B464" s="13"/>
    </row>
    <row r="465" spans="2:2" ht="15.75" customHeight="1" x14ac:dyDescent="0.3">
      <c r="B465" s="13"/>
    </row>
    <row r="466" spans="2:2" ht="15.75" customHeight="1" x14ac:dyDescent="0.3">
      <c r="B466" s="13"/>
    </row>
    <row r="467" spans="2:2" ht="15.75" customHeight="1" x14ac:dyDescent="0.3">
      <c r="B467" s="13"/>
    </row>
    <row r="468" spans="2:2" ht="15.75" customHeight="1" x14ac:dyDescent="0.3">
      <c r="B468" s="13"/>
    </row>
    <row r="469" spans="2:2" ht="15.75" customHeight="1" x14ac:dyDescent="0.3">
      <c r="B469" s="13"/>
    </row>
    <row r="470" spans="2:2" ht="15.75" customHeight="1" x14ac:dyDescent="0.3">
      <c r="B470" s="13"/>
    </row>
    <row r="471" spans="2:2" ht="15.75" customHeight="1" x14ac:dyDescent="0.3">
      <c r="B471" s="13"/>
    </row>
    <row r="472" spans="2:2" ht="15.75" customHeight="1" x14ac:dyDescent="0.3">
      <c r="B472" s="13"/>
    </row>
    <row r="473" spans="2:2" ht="15.75" customHeight="1" x14ac:dyDescent="0.3">
      <c r="B473" s="13"/>
    </row>
    <row r="474" spans="2:2" ht="15.75" customHeight="1" x14ac:dyDescent="0.3">
      <c r="B474" s="13"/>
    </row>
    <row r="475" spans="2:2" ht="15.75" customHeight="1" x14ac:dyDescent="0.3">
      <c r="B475" s="13"/>
    </row>
    <row r="476" spans="2:2" ht="15.75" customHeight="1" x14ac:dyDescent="0.3">
      <c r="B476" s="13"/>
    </row>
    <row r="477" spans="2:2" ht="15.75" customHeight="1" x14ac:dyDescent="0.3">
      <c r="B477" s="13"/>
    </row>
    <row r="478" spans="2:2" ht="15.75" customHeight="1" x14ac:dyDescent="0.3">
      <c r="B478" s="13"/>
    </row>
    <row r="479" spans="2:2" ht="15.75" customHeight="1" x14ac:dyDescent="0.3">
      <c r="B479" s="13"/>
    </row>
    <row r="480" spans="2:2" ht="15.75" customHeight="1" x14ac:dyDescent="0.3">
      <c r="B480" s="13"/>
    </row>
    <row r="481" spans="2:2" ht="15.75" customHeight="1" x14ac:dyDescent="0.3">
      <c r="B481" s="13"/>
    </row>
    <row r="482" spans="2:2" ht="15.75" customHeight="1" x14ac:dyDescent="0.3">
      <c r="B482" s="13"/>
    </row>
    <row r="483" spans="2:2" ht="15.75" customHeight="1" x14ac:dyDescent="0.3">
      <c r="B483" s="13"/>
    </row>
    <row r="484" spans="2:2" ht="15.75" customHeight="1" x14ac:dyDescent="0.3">
      <c r="B484" s="13"/>
    </row>
    <row r="485" spans="2:2" ht="15.75" customHeight="1" x14ac:dyDescent="0.3">
      <c r="B485" s="13"/>
    </row>
    <row r="486" spans="2:2" ht="15.75" customHeight="1" x14ac:dyDescent="0.3">
      <c r="B486" s="13"/>
    </row>
    <row r="487" spans="2:2" ht="15.75" customHeight="1" x14ac:dyDescent="0.3">
      <c r="B487" s="13"/>
    </row>
    <row r="488" spans="2:2" ht="15.75" customHeight="1" x14ac:dyDescent="0.3">
      <c r="B488" s="13"/>
    </row>
    <row r="489" spans="2:2" ht="15.75" customHeight="1" x14ac:dyDescent="0.3">
      <c r="B489" s="13"/>
    </row>
    <row r="490" spans="2:2" ht="15.75" customHeight="1" x14ac:dyDescent="0.3">
      <c r="B490" s="13"/>
    </row>
    <row r="491" spans="2:2" ht="15.75" customHeight="1" x14ac:dyDescent="0.3">
      <c r="B491" s="13"/>
    </row>
    <row r="492" spans="2:2" ht="15.75" customHeight="1" x14ac:dyDescent="0.3">
      <c r="B492" s="13"/>
    </row>
    <row r="493" spans="2:2" ht="15.75" customHeight="1" x14ac:dyDescent="0.3">
      <c r="B493" s="13"/>
    </row>
    <row r="494" spans="2:2" ht="15.75" customHeight="1" x14ac:dyDescent="0.3">
      <c r="B494" s="13"/>
    </row>
    <row r="495" spans="2:2" ht="15.75" customHeight="1" x14ac:dyDescent="0.3">
      <c r="B495" s="13"/>
    </row>
    <row r="496" spans="2:2" ht="15.75" customHeight="1" x14ac:dyDescent="0.3">
      <c r="B496" s="13"/>
    </row>
    <row r="497" spans="2:2" ht="15.75" customHeight="1" x14ac:dyDescent="0.3">
      <c r="B497" s="13"/>
    </row>
    <row r="498" spans="2:2" ht="15.75" customHeight="1" x14ac:dyDescent="0.3">
      <c r="B498" s="13"/>
    </row>
    <row r="499" spans="2:2" ht="15.75" customHeight="1" x14ac:dyDescent="0.3">
      <c r="B499" s="13"/>
    </row>
    <row r="500" spans="2:2" ht="15.75" customHeight="1" x14ac:dyDescent="0.3">
      <c r="B500" s="13"/>
    </row>
    <row r="501" spans="2:2" ht="15.75" customHeight="1" x14ac:dyDescent="0.3">
      <c r="B501" s="13"/>
    </row>
    <row r="502" spans="2:2" ht="15.75" customHeight="1" x14ac:dyDescent="0.3">
      <c r="B502" s="13"/>
    </row>
    <row r="503" spans="2:2" ht="15.75" customHeight="1" x14ac:dyDescent="0.3">
      <c r="B503" s="13"/>
    </row>
    <row r="504" spans="2:2" ht="15.75" customHeight="1" x14ac:dyDescent="0.3">
      <c r="B504" s="13"/>
    </row>
    <row r="505" spans="2:2" ht="15.75" customHeight="1" x14ac:dyDescent="0.3">
      <c r="B505" s="13"/>
    </row>
    <row r="506" spans="2:2" ht="15.75" customHeight="1" x14ac:dyDescent="0.3">
      <c r="B506" s="13"/>
    </row>
    <row r="507" spans="2:2" ht="15.75" customHeight="1" x14ac:dyDescent="0.3">
      <c r="B507" s="13"/>
    </row>
    <row r="508" spans="2:2" ht="15.75" customHeight="1" x14ac:dyDescent="0.3">
      <c r="B508" s="13"/>
    </row>
    <row r="509" spans="2:2" ht="15.75" customHeight="1" x14ac:dyDescent="0.3">
      <c r="B509" s="13"/>
    </row>
    <row r="510" spans="2:2" ht="15.75" customHeight="1" x14ac:dyDescent="0.3">
      <c r="B510" s="13"/>
    </row>
    <row r="511" spans="2:2" ht="15.75" customHeight="1" x14ac:dyDescent="0.3">
      <c r="B511" s="13"/>
    </row>
    <row r="512" spans="2:2" ht="15.75" customHeight="1" x14ac:dyDescent="0.3">
      <c r="B512" s="13"/>
    </row>
    <row r="513" spans="2:2" ht="15.75" customHeight="1" x14ac:dyDescent="0.3">
      <c r="B513" s="13"/>
    </row>
    <row r="514" spans="2:2" ht="15.75" customHeight="1" x14ac:dyDescent="0.3">
      <c r="B514" s="13"/>
    </row>
    <row r="515" spans="2:2" ht="15.75" customHeight="1" x14ac:dyDescent="0.3">
      <c r="B515" s="13"/>
    </row>
    <row r="516" spans="2:2" ht="15.75" customHeight="1" x14ac:dyDescent="0.3">
      <c r="B516" s="13"/>
    </row>
    <row r="517" spans="2:2" ht="15.75" customHeight="1" x14ac:dyDescent="0.3">
      <c r="B517" s="13"/>
    </row>
    <row r="518" spans="2:2" ht="15.75" customHeight="1" x14ac:dyDescent="0.3">
      <c r="B518" s="13"/>
    </row>
    <row r="519" spans="2:2" ht="15.75" customHeight="1" x14ac:dyDescent="0.3">
      <c r="B519" s="13"/>
    </row>
    <row r="520" spans="2:2" ht="15.75" customHeight="1" x14ac:dyDescent="0.3">
      <c r="B520" s="13"/>
    </row>
    <row r="521" spans="2:2" ht="15.75" customHeight="1" x14ac:dyDescent="0.3">
      <c r="B521" s="13"/>
    </row>
    <row r="522" spans="2:2" ht="15.75" customHeight="1" x14ac:dyDescent="0.3">
      <c r="B522" s="13"/>
    </row>
    <row r="523" spans="2:2" ht="15.75" customHeight="1" x14ac:dyDescent="0.3">
      <c r="B523" s="13"/>
    </row>
    <row r="524" spans="2:2" ht="15.75" customHeight="1" x14ac:dyDescent="0.3">
      <c r="B524" s="13"/>
    </row>
    <row r="525" spans="2:2" ht="15.75" customHeight="1" x14ac:dyDescent="0.3">
      <c r="B525" s="13"/>
    </row>
    <row r="526" spans="2:2" ht="15.75" customHeight="1" x14ac:dyDescent="0.3">
      <c r="B526" s="13"/>
    </row>
    <row r="527" spans="2:2" ht="15.75" customHeight="1" x14ac:dyDescent="0.3">
      <c r="B527" s="13"/>
    </row>
    <row r="528" spans="2:2" ht="15.75" customHeight="1" x14ac:dyDescent="0.3">
      <c r="B528" s="13"/>
    </row>
    <row r="529" spans="2:2" ht="15.75" customHeight="1" x14ac:dyDescent="0.3">
      <c r="B529" s="13"/>
    </row>
    <row r="530" spans="2:2" ht="15.75" customHeight="1" x14ac:dyDescent="0.3">
      <c r="B530" s="13"/>
    </row>
    <row r="531" spans="2:2" ht="15.75" customHeight="1" x14ac:dyDescent="0.3">
      <c r="B531" s="13"/>
    </row>
    <row r="532" spans="2:2" ht="15.75" customHeight="1" x14ac:dyDescent="0.3">
      <c r="B532" s="13"/>
    </row>
    <row r="533" spans="2:2" ht="15.75" customHeight="1" x14ac:dyDescent="0.3">
      <c r="B533" s="13"/>
    </row>
    <row r="534" spans="2:2" ht="15.75" customHeight="1" x14ac:dyDescent="0.3">
      <c r="B534" s="13"/>
    </row>
    <row r="535" spans="2:2" ht="15.75" customHeight="1" x14ac:dyDescent="0.3">
      <c r="B535" s="13"/>
    </row>
    <row r="536" spans="2:2" ht="15.75" customHeight="1" x14ac:dyDescent="0.3">
      <c r="B536" s="13"/>
    </row>
    <row r="537" spans="2:2" ht="15.75" customHeight="1" x14ac:dyDescent="0.3">
      <c r="B537" s="13"/>
    </row>
    <row r="538" spans="2:2" ht="15.75" customHeight="1" x14ac:dyDescent="0.3">
      <c r="B538" s="13"/>
    </row>
    <row r="539" spans="2:2" ht="15.75" customHeight="1" x14ac:dyDescent="0.3">
      <c r="B539" s="13"/>
    </row>
    <row r="540" spans="2:2" ht="15.75" customHeight="1" x14ac:dyDescent="0.3">
      <c r="B540" s="13"/>
    </row>
    <row r="541" spans="2:2" ht="15.75" customHeight="1" x14ac:dyDescent="0.3">
      <c r="B541" s="13"/>
    </row>
    <row r="542" spans="2:2" ht="15.75" customHeight="1" x14ac:dyDescent="0.3">
      <c r="B542" s="13"/>
    </row>
    <row r="543" spans="2:2" ht="15.75" customHeight="1" x14ac:dyDescent="0.3">
      <c r="B543" s="13"/>
    </row>
    <row r="544" spans="2:2" ht="15.75" customHeight="1" x14ac:dyDescent="0.3">
      <c r="B544" s="13"/>
    </row>
    <row r="545" spans="2:2" ht="15.75" customHeight="1" x14ac:dyDescent="0.3">
      <c r="B545" s="13"/>
    </row>
    <row r="546" spans="2:2" ht="15.75" customHeight="1" x14ac:dyDescent="0.3">
      <c r="B546" s="13"/>
    </row>
    <row r="547" spans="2:2" ht="15.75" customHeight="1" x14ac:dyDescent="0.3">
      <c r="B547" s="13"/>
    </row>
    <row r="548" spans="2:2" ht="15.75" customHeight="1" x14ac:dyDescent="0.3">
      <c r="B548" s="13"/>
    </row>
    <row r="549" spans="2:2" ht="15.75" customHeight="1" x14ac:dyDescent="0.3">
      <c r="B549" s="13"/>
    </row>
    <row r="550" spans="2:2" ht="15.75" customHeight="1" x14ac:dyDescent="0.3">
      <c r="B550" s="13"/>
    </row>
    <row r="551" spans="2:2" ht="15.75" customHeight="1" x14ac:dyDescent="0.3">
      <c r="B551" s="13"/>
    </row>
    <row r="552" spans="2:2" ht="15.75" customHeight="1" x14ac:dyDescent="0.3">
      <c r="B552" s="13"/>
    </row>
    <row r="553" spans="2:2" ht="15.75" customHeight="1" x14ac:dyDescent="0.3">
      <c r="B553" s="13"/>
    </row>
    <row r="554" spans="2:2" ht="15.75" customHeight="1" x14ac:dyDescent="0.3">
      <c r="B554" s="13"/>
    </row>
    <row r="555" spans="2:2" ht="15.75" customHeight="1" x14ac:dyDescent="0.3">
      <c r="B555" s="13"/>
    </row>
    <row r="556" spans="2:2" ht="15.75" customHeight="1" x14ac:dyDescent="0.3">
      <c r="B556" s="13"/>
    </row>
    <row r="557" spans="2:2" ht="15.75" customHeight="1" x14ac:dyDescent="0.3">
      <c r="B557" s="13"/>
    </row>
    <row r="558" spans="2:2" ht="15.75" customHeight="1" x14ac:dyDescent="0.3">
      <c r="B558" s="13"/>
    </row>
    <row r="559" spans="2:2" ht="15.75" customHeight="1" x14ac:dyDescent="0.3">
      <c r="B559" s="13"/>
    </row>
    <row r="560" spans="2:2" ht="15.75" customHeight="1" x14ac:dyDescent="0.3">
      <c r="B560" s="13"/>
    </row>
    <row r="561" spans="2:2" ht="15.75" customHeight="1" x14ac:dyDescent="0.3">
      <c r="B561" s="13"/>
    </row>
    <row r="562" spans="2:2" ht="15.75" customHeight="1" x14ac:dyDescent="0.3">
      <c r="B562" s="13"/>
    </row>
    <row r="563" spans="2:2" ht="15.75" customHeight="1" x14ac:dyDescent="0.3">
      <c r="B563" s="13"/>
    </row>
    <row r="564" spans="2:2" ht="15.75" customHeight="1" x14ac:dyDescent="0.3">
      <c r="B564" s="13"/>
    </row>
    <row r="565" spans="2:2" ht="15.75" customHeight="1" x14ac:dyDescent="0.3">
      <c r="B565" s="13"/>
    </row>
    <row r="566" spans="2:2" ht="15.75" customHeight="1" x14ac:dyDescent="0.3">
      <c r="B566" s="13"/>
    </row>
    <row r="567" spans="2:2" ht="15.75" customHeight="1" x14ac:dyDescent="0.3">
      <c r="B567" s="13"/>
    </row>
    <row r="568" spans="2:2" ht="15.75" customHeight="1" x14ac:dyDescent="0.3">
      <c r="B568" s="13"/>
    </row>
    <row r="569" spans="2:2" ht="15.75" customHeight="1" x14ac:dyDescent="0.3">
      <c r="B569" s="13"/>
    </row>
    <row r="570" spans="2:2" ht="15.75" customHeight="1" x14ac:dyDescent="0.3">
      <c r="B570" s="13"/>
    </row>
    <row r="571" spans="2:2" ht="15.75" customHeight="1" x14ac:dyDescent="0.3">
      <c r="B571" s="13"/>
    </row>
    <row r="572" spans="2:2" ht="15.75" customHeight="1" x14ac:dyDescent="0.3">
      <c r="B572" s="13"/>
    </row>
    <row r="573" spans="2:2" ht="15.75" customHeight="1" x14ac:dyDescent="0.3">
      <c r="B573" s="13"/>
    </row>
    <row r="574" spans="2:2" ht="15.75" customHeight="1" x14ac:dyDescent="0.3">
      <c r="B574" s="13"/>
    </row>
    <row r="575" spans="2:2" ht="15.75" customHeight="1" x14ac:dyDescent="0.3">
      <c r="B575" s="13"/>
    </row>
    <row r="576" spans="2:2" ht="15.75" customHeight="1" x14ac:dyDescent="0.3">
      <c r="B576" s="13"/>
    </row>
    <row r="577" spans="2:2" ht="15.75" customHeight="1" x14ac:dyDescent="0.3">
      <c r="B577" s="13"/>
    </row>
    <row r="578" spans="2:2" ht="15.75" customHeight="1" x14ac:dyDescent="0.3">
      <c r="B578" s="13"/>
    </row>
    <row r="579" spans="2:2" ht="15.75" customHeight="1" x14ac:dyDescent="0.3">
      <c r="B579" s="13"/>
    </row>
    <row r="580" spans="2:2" ht="15.75" customHeight="1" x14ac:dyDescent="0.3">
      <c r="B580" s="13"/>
    </row>
    <row r="581" spans="2:2" ht="15.75" customHeight="1" x14ac:dyDescent="0.3">
      <c r="B581" s="13"/>
    </row>
    <row r="582" spans="2:2" ht="15.75" customHeight="1" x14ac:dyDescent="0.3">
      <c r="B582" s="13"/>
    </row>
    <row r="583" spans="2:2" ht="15.75" customHeight="1" x14ac:dyDescent="0.3">
      <c r="B583" s="13"/>
    </row>
    <row r="584" spans="2:2" ht="15.75" customHeight="1" x14ac:dyDescent="0.3">
      <c r="B584" s="13"/>
    </row>
    <row r="585" spans="2:2" ht="15.75" customHeight="1" x14ac:dyDescent="0.3">
      <c r="B585" s="13"/>
    </row>
    <row r="586" spans="2:2" ht="15.75" customHeight="1" x14ac:dyDescent="0.3">
      <c r="B586" s="13"/>
    </row>
    <row r="587" spans="2:2" ht="15.75" customHeight="1" x14ac:dyDescent="0.3">
      <c r="B587" s="13"/>
    </row>
    <row r="588" spans="2:2" ht="15.75" customHeight="1" x14ac:dyDescent="0.3">
      <c r="B588" s="13"/>
    </row>
    <row r="589" spans="2:2" ht="15.75" customHeight="1" x14ac:dyDescent="0.3">
      <c r="B589" s="13"/>
    </row>
    <row r="590" spans="2:2" ht="15.75" customHeight="1" x14ac:dyDescent="0.3">
      <c r="B590" s="13"/>
    </row>
    <row r="591" spans="2:2" ht="15.75" customHeight="1" x14ac:dyDescent="0.3">
      <c r="B591" s="13"/>
    </row>
    <row r="592" spans="2:2" ht="15.75" customHeight="1" x14ac:dyDescent="0.3">
      <c r="B592" s="13"/>
    </row>
    <row r="593" spans="2:2" ht="15.75" customHeight="1" x14ac:dyDescent="0.3">
      <c r="B593" s="13"/>
    </row>
    <row r="594" spans="2:2" ht="15.75" customHeight="1" x14ac:dyDescent="0.3">
      <c r="B594" s="13"/>
    </row>
    <row r="595" spans="2:2" ht="15.75" customHeight="1" x14ac:dyDescent="0.3">
      <c r="B595" s="13"/>
    </row>
    <row r="596" spans="2:2" ht="15.75" customHeight="1" x14ac:dyDescent="0.3">
      <c r="B596" s="13"/>
    </row>
    <row r="597" spans="2:2" ht="15.75" customHeight="1" x14ac:dyDescent="0.3">
      <c r="B597" s="13"/>
    </row>
    <row r="598" spans="2:2" ht="15.75" customHeight="1" x14ac:dyDescent="0.3">
      <c r="B598" s="13"/>
    </row>
    <row r="599" spans="2:2" ht="15.75" customHeight="1" x14ac:dyDescent="0.3">
      <c r="B599" s="13"/>
    </row>
    <row r="600" spans="2:2" ht="15.75" customHeight="1" x14ac:dyDescent="0.3">
      <c r="B600" s="13"/>
    </row>
    <row r="601" spans="2:2" ht="15.75" customHeight="1" x14ac:dyDescent="0.3">
      <c r="B601" s="13"/>
    </row>
    <row r="602" spans="2:2" ht="15.75" customHeight="1" x14ac:dyDescent="0.3">
      <c r="B602" s="13"/>
    </row>
    <row r="603" spans="2:2" ht="15.75" customHeight="1" x14ac:dyDescent="0.3">
      <c r="B603" s="13"/>
    </row>
    <row r="604" spans="2:2" ht="15.75" customHeight="1" x14ac:dyDescent="0.3">
      <c r="B604" s="13"/>
    </row>
    <row r="605" spans="2:2" ht="15.75" customHeight="1" x14ac:dyDescent="0.3">
      <c r="B605" s="13"/>
    </row>
    <row r="606" spans="2:2" ht="15.75" customHeight="1" x14ac:dyDescent="0.3">
      <c r="B606" s="13"/>
    </row>
    <row r="607" spans="2:2" ht="15.75" customHeight="1" x14ac:dyDescent="0.3">
      <c r="B607" s="13"/>
    </row>
    <row r="608" spans="2:2" ht="15.75" customHeight="1" x14ac:dyDescent="0.3">
      <c r="B608" s="13"/>
    </row>
    <row r="609" spans="2:2" ht="15.75" customHeight="1" x14ac:dyDescent="0.3">
      <c r="B609" s="13"/>
    </row>
    <row r="610" spans="2:2" ht="15.75" customHeight="1" x14ac:dyDescent="0.3">
      <c r="B610" s="13"/>
    </row>
    <row r="611" spans="2:2" ht="15.75" customHeight="1" x14ac:dyDescent="0.3">
      <c r="B611" s="13"/>
    </row>
    <row r="612" spans="2:2" ht="15.75" customHeight="1" x14ac:dyDescent="0.3">
      <c r="B612" s="13"/>
    </row>
    <row r="613" spans="2:2" ht="15.75" customHeight="1" x14ac:dyDescent="0.3">
      <c r="B613" s="13"/>
    </row>
    <row r="614" spans="2:2" ht="15.75" customHeight="1" x14ac:dyDescent="0.3">
      <c r="B614" s="13"/>
    </row>
    <row r="615" spans="2:2" ht="15.75" customHeight="1" x14ac:dyDescent="0.3">
      <c r="B615" s="13"/>
    </row>
    <row r="616" spans="2:2" ht="15.75" customHeight="1" x14ac:dyDescent="0.3">
      <c r="B616" s="13"/>
    </row>
    <row r="617" spans="2:2" ht="15.75" customHeight="1" x14ac:dyDescent="0.3">
      <c r="B617" s="13"/>
    </row>
    <row r="618" spans="2:2" ht="15.75" customHeight="1" x14ac:dyDescent="0.3">
      <c r="B618" s="13"/>
    </row>
    <row r="619" spans="2:2" ht="15.75" customHeight="1" x14ac:dyDescent="0.3">
      <c r="B619" s="13"/>
    </row>
    <row r="620" spans="2:2" ht="15.75" customHeight="1" x14ac:dyDescent="0.3">
      <c r="B620" s="13"/>
    </row>
    <row r="621" spans="2:2" ht="15.75" customHeight="1" x14ac:dyDescent="0.3">
      <c r="B621" s="13"/>
    </row>
    <row r="622" spans="2:2" ht="15.75" customHeight="1" x14ac:dyDescent="0.3">
      <c r="B622" s="13"/>
    </row>
    <row r="623" spans="2:2" ht="15.75" customHeight="1" x14ac:dyDescent="0.3">
      <c r="B623" s="13"/>
    </row>
    <row r="624" spans="2:2" ht="15.75" customHeight="1" x14ac:dyDescent="0.3">
      <c r="B624" s="13"/>
    </row>
    <row r="625" spans="2:2" ht="15.75" customHeight="1" x14ac:dyDescent="0.3">
      <c r="B625" s="13"/>
    </row>
    <row r="626" spans="2:2" ht="15.75" customHeight="1" x14ac:dyDescent="0.3">
      <c r="B626" s="13"/>
    </row>
    <row r="627" spans="2:2" ht="15.75" customHeight="1" x14ac:dyDescent="0.3">
      <c r="B627" s="13"/>
    </row>
    <row r="628" spans="2:2" ht="15.75" customHeight="1" x14ac:dyDescent="0.3">
      <c r="B628" s="13"/>
    </row>
    <row r="629" spans="2:2" ht="15.75" customHeight="1" x14ac:dyDescent="0.3">
      <c r="B629" s="13"/>
    </row>
    <row r="630" spans="2:2" ht="15.75" customHeight="1" x14ac:dyDescent="0.3">
      <c r="B630" s="13"/>
    </row>
    <row r="631" spans="2:2" ht="15.75" customHeight="1" x14ac:dyDescent="0.3">
      <c r="B631" s="13"/>
    </row>
    <row r="632" spans="2:2" ht="15.75" customHeight="1" x14ac:dyDescent="0.3">
      <c r="B632" s="13"/>
    </row>
    <row r="633" spans="2:2" ht="15.75" customHeight="1" x14ac:dyDescent="0.3">
      <c r="B633" s="13"/>
    </row>
    <row r="634" spans="2:2" ht="15.75" customHeight="1" x14ac:dyDescent="0.3">
      <c r="B634" s="13"/>
    </row>
    <row r="635" spans="2:2" ht="15.75" customHeight="1" x14ac:dyDescent="0.3">
      <c r="B635" s="13"/>
    </row>
    <row r="636" spans="2:2" ht="15.75" customHeight="1" x14ac:dyDescent="0.3">
      <c r="B636" s="13"/>
    </row>
    <row r="637" spans="2:2" ht="15.75" customHeight="1" x14ac:dyDescent="0.3">
      <c r="B637" s="13"/>
    </row>
    <row r="638" spans="2:2" ht="15.75" customHeight="1" x14ac:dyDescent="0.3">
      <c r="B638" s="13"/>
    </row>
    <row r="639" spans="2:2" ht="15.75" customHeight="1" x14ac:dyDescent="0.3">
      <c r="B639" s="13"/>
    </row>
    <row r="640" spans="2:2" ht="15.75" customHeight="1" x14ac:dyDescent="0.3">
      <c r="B640" s="13"/>
    </row>
    <row r="641" spans="2:2" ht="15.75" customHeight="1" x14ac:dyDescent="0.3">
      <c r="B641" s="13"/>
    </row>
    <row r="642" spans="2:2" ht="15.75" customHeight="1" x14ac:dyDescent="0.3">
      <c r="B642" s="13"/>
    </row>
    <row r="643" spans="2:2" ht="15.75" customHeight="1" x14ac:dyDescent="0.3">
      <c r="B643" s="13"/>
    </row>
    <row r="644" spans="2:2" ht="15.75" customHeight="1" x14ac:dyDescent="0.3">
      <c r="B644" s="13"/>
    </row>
    <row r="645" spans="2:2" ht="15.75" customHeight="1" x14ac:dyDescent="0.3">
      <c r="B645" s="13"/>
    </row>
    <row r="646" spans="2:2" ht="15.75" customHeight="1" x14ac:dyDescent="0.3">
      <c r="B646" s="13"/>
    </row>
    <row r="647" spans="2:2" ht="15.75" customHeight="1" x14ac:dyDescent="0.3">
      <c r="B647" s="13"/>
    </row>
    <row r="648" spans="2:2" ht="15.75" customHeight="1" x14ac:dyDescent="0.3">
      <c r="B648" s="13"/>
    </row>
    <row r="649" spans="2:2" ht="15.75" customHeight="1" x14ac:dyDescent="0.3">
      <c r="B649" s="13"/>
    </row>
    <row r="650" spans="2:2" ht="15.75" customHeight="1" x14ac:dyDescent="0.3">
      <c r="B650" s="13"/>
    </row>
    <row r="651" spans="2:2" ht="15.75" customHeight="1" x14ac:dyDescent="0.3">
      <c r="B651" s="13"/>
    </row>
    <row r="652" spans="2:2" ht="15.75" customHeight="1" x14ac:dyDescent="0.3">
      <c r="B652" s="13"/>
    </row>
    <row r="653" spans="2:2" ht="15.75" customHeight="1" x14ac:dyDescent="0.3">
      <c r="B653" s="13"/>
    </row>
    <row r="654" spans="2:2" ht="15.75" customHeight="1" x14ac:dyDescent="0.3">
      <c r="B654" s="13"/>
    </row>
    <row r="655" spans="2:2" ht="15.75" customHeight="1" x14ac:dyDescent="0.3">
      <c r="B655" s="13"/>
    </row>
    <row r="656" spans="2:2" ht="15.75" customHeight="1" x14ac:dyDescent="0.3">
      <c r="B656" s="13"/>
    </row>
    <row r="657" spans="2:2" ht="15.75" customHeight="1" x14ac:dyDescent="0.3">
      <c r="B657" s="13"/>
    </row>
    <row r="658" spans="2:2" ht="15.75" customHeight="1" x14ac:dyDescent="0.3">
      <c r="B658" s="13"/>
    </row>
    <row r="659" spans="2:2" ht="15.75" customHeight="1" x14ac:dyDescent="0.3">
      <c r="B659" s="13"/>
    </row>
    <row r="660" spans="2:2" ht="15.75" customHeight="1" x14ac:dyDescent="0.3">
      <c r="B660" s="13"/>
    </row>
    <row r="661" spans="2:2" ht="15.75" customHeight="1" x14ac:dyDescent="0.3">
      <c r="B661" s="13"/>
    </row>
    <row r="662" spans="2:2" ht="15.75" customHeight="1" x14ac:dyDescent="0.3">
      <c r="B662" s="13"/>
    </row>
    <row r="663" spans="2:2" ht="15.75" customHeight="1" x14ac:dyDescent="0.3">
      <c r="B663" s="13"/>
    </row>
    <row r="664" spans="2:2" ht="15.75" customHeight="1" x14ac:dyDescent="0.3">
      <c r="B664" s="13"/>
    </row>
    <row r="665" spans="2:2" ht="15.75" customHeight="1" x14ac:dyDescent="0.3">
      <c r="B665" s="13"/>
    </row>
    <row r="666" spans="2:2" ht="15.75" customHeight="1" x14ac:dyDescent="0.3">
      <c r="B666" s="13"/>
    </row>
    <row r="667" spans="2:2" ht="15.75" customHeight="1" x14ac:dyDescent="0.3">
      <c r="B667" s="13"/>
    </row>
    <row r="668" spans="2:2" ht="15.75" customHeight="1" x14ac:dyDescent="0.3">
      <c r="B668" s="13"/>
    </row>
    <row r="669" spans="2:2" ht="15.75" customHeight="1" x14ac:dyDescent="0.3">
      <c r="B669" s="13"/>
    </row>
    <row r="670" spans="2:2" ht="15.75" customHeight="1" x14ac:dyDescent="0.3">
      <c r="B670" s="13"/>
    </row>
    <row r="671" spans="2:2" ht="15.75" customHeight="1" x14ac:dyDescent="0.3">
      <c r="B671" s="13"/>
    </row>
    <row r="672" spans="2:2" ht="15.75" customHeight="1" x14ac:dyDescent="0.3">
      <c r="B672" s="13"/>
    </row>
    <row r="673" spans="2:2" ht="15.75" customHeight="1" x14ac:dyDescent="0.3">
      <c r="B673" s="13"/>
    </row>
    <row r="674" spans="2:2" ht="15.75" customHeight="1" x14ac:dyDescent="0.3">
      <c r="B674" s="13"/>
    </row>
    <row r="675" spans="2:2" ht="15.75" customHeight="1" x14ac:dyDescent="0.3">
      <c r="B675" s="13"/>
    </row>
    <row r="676" spans="2:2" ht="15.75" customHeight="1" x14ac:dyDescent="0.3">
      <c r="B676" s="13"/>
    </row>
    <row r="677" spans="2:2" ht="15.75" customHeight="1" x14ac:dyDescent="0.3">
      <c r="B677" s="13"/>
    </row>
    <row r="678" spans="2:2" ht="15.75" customHeight="1" x14ac:dyDescent="0.3">
      <c r="B678" s="13"/>
    </row>
    <row r="679" spans="2:2" ht="15.75" customHeight="1" x14ac:dyDescent="0.3">
      <c r="B679" s="13"/>
    </row>
    <row r="680" spans="2:2" ht="15.75" customHeight="1" x14ac:dyDescent="0.3">
      <c r="B680" s="13"/>
    </row>
    <row r="681" spans="2:2" ht="15.75" customHeight="1" x14ac:dyDescent="0.3">
      <c r="B681" s="13"/>
    </row>
    <row r="682" spans="2:2" ht="15.75" customHeight="1" x14ac:dyDescent="0.3">
      <c r="B682" s="13"/>
    </row>
    <row r="683" spans="2:2" ht="15.75" customHeight="1" x14ac:dyDescent="0.3">
      <c r="B683" s="13"/>
    </row>
    <row r="684" spans="2:2" ht="15.75" customHeight="1" x14ac:dyDescent="0.3">
      <c r="B684" s="13"/>
    </row>
    <row r="685" spans="2:2" ht="15.75" customHeight="1" x14ac:dyDescent="0.3">
      <c r="B685" s="13"/>
    </row>
    <row r="686" spans="2:2" ht="15.75" customHeight="1" x14ac:dyDescent="0.3">
      <c r="B686" s="13"/>
    </row>
    <row r="687" spans="2:2" ht="15.75" customHeight="1" x14ac:dyDescent="0.3">
      <c r="B687" s="13"/>
    </row>
    <row r="688" spans="2:2" ht="15.75" customHeight="1" x14ac:dyDescent="0.3">
      <c r="B688" s="13"/>
    </row>
    <row r="689" spans="2:2" ht="15.75" customHeight="1" x14ac:dyDescent="0.3">
      <c r="B689" s="13"/>
    </row>
    <row r="690" spans="2:2" ht="15.75" customHeight="1" x14ac:dyDescent="0.3">
      <c r="B690" s="13"/>
    </row>
    <row r="691" spans="2:2" ht="15.75" customHeight="1" x14ac:dyDescent="0.3">
      <c r="B691" s="13"/>
    </row>
    <row r="692" spans="2:2" ht="15.75" customHeight="1" x14ac:dyDescent="0.3">
      <c r="B692" s="13"/>
    </row>
    <row r="693" spans="2:2" ht="15.75" customHeight="1" x14ac:dyDescent="0.3">
      <c r="B693" s="13"/>
    </row>
    <row r="694" spans="2:2" ht="15.75" customHeight="1" x14ac:dyDescent="0.3">
      <c r="B694" s="13"/>
    </row>
    <row r="695" spans="2:2" ht="15.75" customHeight="1" x14ac:dyDescent="0.3">
      <c r="B695" s="13"/>
    </row>
    <row r="696" spans="2:2" ht="15.75" customHeight="1" x14ac:dyDescent="0.3">
      <c r="B696" s="13"/>
    </row>
    <row r="697" spans="2:2" ht="15.75" customHeight="1" x14ac:dyDescent="0.3">
      <c r="B697" s="13"/>
    </row>
    <row r="698" spans="2:2" ht="15.75" customHeight="1" x14ac:dyDescent="0.3">
      <c r="B698" s="13"/>
    </row>
    <row r="699" spans="2:2" ht="15.75" customHeight="1" x14ac:dyDescent="0.3">
      <c r="B699" s="13"/>
    </row>
    <row r="700" spans="2:2" ht="15.75" customHeight="1" x14ac:dyDescent="0.3">
      <c r="B700" s="13"/>
    </row>
    <row r="701" spans="2:2" ht="15.75" customHeight="1" x14ac:dyDescent="0.3">
      <c r="B701" s="13"/>
    </row>
    <row r="702" spans="2:2" ht="15.75" customHeight="1" x14ac:dyDescent="0.3">
      <c r="B702" s="13"/>
    </row>
    <row r="703" spans="2:2" ht="15.75" customHeight="1" x14ac:dyDescent="0.3">
      <c r="B703" s="13"/>
    </row>
    <row r="704" spans="2:2" ht="15.75" customHeight="1" x14ac:dyDescent="0.3">
      <c r="B704" s="13"/>
    </row>
    <row r="705" spans="2:2" ht="15.75" customHeight="1" x14ac:dyDescent="0.3">
      <c r="B705" s="13"/>
    </row>
    <row r="706" spans="2:2" ht="15.75" customHeight="1" x14ac:dyDescent="0.3">
      <c r="B706" s="13"/>
    </row>
    <row r="707" spans="2:2" ht="15.75" customHeight="1" x14ac:dyDescent="0.3">
      <c r="B707" s="13"/>
    </row>
    <row r="708" spans="2:2" ht="15.75" customHeight="1" x14ac:dyDescent="0.3">
      <c r="B708" s="13"/>
    </row>
    <row r="709" spans="2:2" ht="15.75" customHeight="1" x14ac:dyDescent="0.3">
      <c r="B709" s="13"/>
    </row>
    <row r="710" spans="2:2" ht="15.75" customHeight="1" x14ac:dyDescent="0.3">
      <c r="B710" s="13"/>
    </row>
    <row r="711" spans="2:2" ht="15.75" customHeight="1" x14ac:dyDescent="0.3">
      <c r="B711" s="13"/>
    </row>
    <row r="712" spans="2:2" ht="15.75" customHeight="1" x14ac:dyDescent="0.3">
      <c r="B712" s="13"/>
    </row>
    <row r="713" spans="2:2" ht="15.75" customHeight="1" x14ac:dyDescent="0.3">
      <c r="B713" s="13"/>
    </row>
    <row r="714" spans="2:2" ht="15.75" customHeight="1" x14ac:dyDescent="0.3">
      <c r="B714" s="13"/>
    </row>
    <row r="715" spans="2:2" ht="15.75" customHeight="1" x14ac:dyDescent="0.3">
      <c r="B715" s="13"/>
    </row>
    <row r="716" spans="2:2" ht="15.75" customHeight="1" x14ac:dyDescent="0.3">
      <c r="B716" s="13"/>
    </row>
    <row r="717" spans="2:2" ht="15.75" customHeight="1" x14ac:dyDescent="0.3">
      <c r="B717" s="13"/>
    </row>
    <row r="718" spans="2:2" ht="15.75" customHeight="1" x14ac:dyDescent="0.3">
      <c r="B718" s="13"/>
    </row>
    <row r="719" spans="2:2" ht="15.75" customHeight="1" x14ac:dyDescent="0.3">
      <c r="B719" s="13"/>
    </row>
    <row r="720" spans="2:2" ht="15.75" customHeight="1" x14ac:dyDescent="0.3">
      <c r="B720" s="13"/>
    </row>
    <row r="721" spans="2:2" ht="15.75" customHeight="1" x14ac:dyDescent="0.3">
      <c r="B721" s="13"/>
    </row>
    <row r="722" spans="2:2" ht="15.75" customHeight="1" x14ac:dyDescent="0.3">
      <c r="B722" s="13"/>
    </row>
    <row r="723" spans="2:2" ht="15.75" customHeight="1" x14ac:dyDescent="0.3">
      <c r="B723" s="13"/>
    </row>
    <row r="724" spans="2:2" ht="15.75" customHeight="1" x14ac:dyDescent="0.3">
      <c r="B724" s="13"/>
    </row>
    <row r="725" spans="2:2" ht="15.75" customHeight="1" x14ac:dyDescent="0.3">
      <c r="B725" s="13"/>
    </row>
    <row r="726" spans="2:2" ht="15.75" customHeight="1" x14ac:dyDescent="0.3">
      <c r="B726" s="13"/>
    </row>
    <row r="727" spans="2:2" ht="15.75" customHeight="1" x14ac:dyDescent="0.3">
      <c r="B727" s="13"/>
    </row>
    <row r="728" spans="2:2" ht="15.75" customHeight="1" x14ac:dyDescent="0.3">
      <c r="B728" s="13"/>
    </row>
    <row r="729" spans="2:2" ht="15.75" customHeight="1" x14ac:dyDescent="0.3">
      <c r="B729" s="13"/>
    </row>
    <row r="730" spans="2:2" ht="15.75" customHeight="1" x14ac:dyDescent="0.3">
      <c r="B730" s="13"/>
    </row>
    <row r="731" spans="2:2" ht="15.75" customHeight="1" x14ac:dyDescent="0.3">
      <c r="B731" s="13"/>
    </row>
    <row r="732" spans="2:2" ht="15.75" customHeight="1" x14ac:dyDescent="0.3">
      <c r="B732" s="13"/>
    </row>
    <row r="733" spans="2:2" ht="15.75" customHeight="1" x14ac:dyDescent="0.3">
      <c r="B733" s="13"/>
    </row>
    <row r="734" spans="2:2" ht="15.75" customHeight="1" x14ac:dyDescent="0.3">
      <c r="B734" s="13"/>
    </row>
    <row r="735" spans="2:2" ht="15.75" customHeight="1" x14ac:dyDescent="0.3">
      <c r="B735" s="13"/>
    </row>
    <row r="736" spans="2:2" ht="15.75" customHeight="1" x14ac:dyDescent="0.3">
      <c r="B736" s="13"/>
    </row>
    <row r="737" spans="2:2" ht="15.75" customHeight="1" x14ac:dyDescent="0.3">
      <c r="B737" s="13"/>
    </row>
    <row r="738" spans="2:2" ht="15.75" customHeight="1" x14ac:dyDescent="0.3">
      <c r="B738" s="13"/>
    </row>
    <row r="739" spans="2:2" ht="15.75" customHeight="1" x14ac:dyDescent="0.3">
      <c r="B739" s="13"/>
    </row>
    <row r="740" spans="2:2" ht="15.75" customHeight="1" x14ac:dyDescent="0.3">
      <c r="B740" s="13"/>
    </row>
    <row r="741" spans="2:2" ht="15.75" customHeight="1" x14ac:dyDescent="0.3">
      <c r="B741" s="13"/>
    </row>
    <row r="742" spans="2:2" ht="15.75" customHeight="1" x14ac:dyDescent="0.3">
      <c r="B742" s="13"/>
    </row>
    <row r="743" spans="2:2" ht="15.75" customHeight="1" x14ac:dyDescent="0.3">
      <c r="B743" s="13"/>
    </row>
    <row r="744" spans="2:2" ht="15.75" customHeight="1" x14ac:dyDescent="0.3">
      <c r="B744" s="13"/>
    </row>
    <row r="745" spans="2:2" ht="15.75" customHeight="1" x14ac:dyDescent="0.3">
      <c r="B745" s="13"/>
    </row>
    <row r="746" spans="2:2" ht="15.75" customHeight="1" x14ac:dyDescent="0.3">
      <c r="B746" s="13"/>
    </row>
    <row r="747" spans="2:2" ht="15.75" customHeight="1" x14ac:dyDescent="0.3">
      <c r="B747" s="13"/>
    </row>
    <row r="748" spans="2:2" ht="15.75" customHeight="1" x14ac:dyDescent="0.3">
      <c r="B748" s="13"/>
    </row>
    <row r="749" spans="2:2" ht="15.75" customHeight="1" x14ac:dyDescent="0.3">
      <c r="B749" s="13"/>
    </row>
    <row r="750" spans="2:2" ht="15.75" customHeight="1" x14ac:dyDescent="0.3">
      <c r="B750" s="13"/>
    </row>
    <row r="751" spans="2:2" ht="15.75" customHeight="1" x14ac:dyDescent="0.3">
      <c r="B751" s="13"/>
    </row>
    <row r="752" spans="2:2" ht="15.75" customHeight="1" x14ac:dyDescent="0.3">
      <c r="B752" s="13"/>
    </row>
    <row r="753" spans="2:2" ht="15.75" customHeight="1" x14ac:dyDescent="0.3">
      <c r="B753" s="13"/>
    </row>
    <row r="754" spans="2:2" ht="15.75" customHeight="1" x14ac:dyDescent="0.3">
      <c r="B754" s="13"/>
    </row>
    <row r="755" spans="2:2" ht="15.75" customHeight="1" x14ac:dyDescent="0.3">
      <c r="B755" s="13"/>
    </row>
    <row r="756" spans="2:2" ht="15.75" customHeight="1" x14ac:dyDescent="0.3">
      <c r="B756" s="13"/>
    </row>
    <row r="757" spans="2:2" ht="15.75" customHeight="1" x14ac:dyDescent="0.3">
      <c r="B757" s="13"/>
    </row>
    <row r="758" spans="2:2" ht="15.75" customHeight="1" x14ac:dyDescent="0.3">
      <c r="B758" s="13"/>
    </row>
    <row r="759" spans="2:2" ht="15.75" customHeight="1" x14ac:dyDescent="0.3">
      <c r="B759" s="13"/>
    </row>
    <row r="760" spans="2:2" ht="15.75" customHeight="1" x14ac:dyDescent="0.3">
      <c r="B760" s="13"/>
    </row>
    <row r="761" spans="2:2" ht="15.75" customHeight="1" x14ac:dyDescent="0.3">
      <c r="B761" s="13"/>
    </row>
    <row r="762" spans="2:2" ht="15.75" customHeight="1" x14ac:dyDescent="0.3">
      <c r="B762" s="13"/>
    </row>
    <row r="763" spans="2:2" ht="15.75" customHeight="1" x14ac:dyDescent="0.3">
      <c r="B763" s="13"/>
    </row>
    <row r="764" spans="2:2" ht="15.75" customHeight="1" x14ac:dyDescent="0.3">
      <c r="B764" s="13"/>
    </row>
    <row r="765" spans="2:2" ht="15.75" customHeight="1" x14ac:dyDescent="0.3">
      <c r="B765" s="13"/>
    </row>
    <row r="766" spans="2:2" ht="15.75" customHeight="1" x14ac:dyDescent="0.3">
      <c r="B766" s="13"/>
    </row>
    <row r="767" spans="2:2" ht="15.75" customHeight="1" x14ac:dyDescent="0.3">
      <c r="B767" s="13"/>
    </row>
    <row r="768" spans="2:2" ht="15.75" customHeight="1" x14ac:dyDescent="0.3">
      <c r="B768" s="13"/>
    </row>
    <row r="769" spans="2:2" ht="15.75" customHeight="1" x14ac:dyDescent="0.3">
      <c r="B769" s="13"/>
    </row>
    <row r="770" spans="2:2" ht="15.75" customHeight="1" x14ac:dyDescent="0.3">
      <c r="B770" s="13"/>
    </row>
    <row r="771" spans="2:2" ht="15.75" customHeight="1" x14ac:dyDescent="0.3">
      <c r="B771" s="13"/>
    </row>
    <row r="772" spans="2:2" ht="15.75" customHeight="1" x14ac:dyDescent="0.3">
      <c r="B772" s="13"/>
    </row>
    <row r="773" spans="2:2" ht="15.75" customHeight="1" x14ac:dyDescent="0.3">
      <c r="B773" s="13"/>
    </row>
    <row r="774" spans="2:2" ht="15.75" customHeight="1" x14ac:dyDescent="0.3">
      <c r="B774" s="13"/>
    </row>
    <row r="775" spans="2:2" ht="15.75" customHeight="1" x14ac:dyDescent="0.3">
      <c r="B775" s="13"/>
    </row>
    <row r="776" spans="2:2" ht="15.75" customHeight="1" x14ac:dyDescent="0.3">
      <c r="B776" s="13"/>
    </row>
    <row r="777" spans="2:2" ht="15.75" customHeight="1" x14ac:dyDescent="0.3">
      <c r="B777" s="13"/>
    </row>
    <row r="778" spans="2:2" ht="15.75" customHeight="1" x14ac:dyDescent="0.3">
      <c r="B778" s="13"/>
    </row>
    <row r="779" spans="2:2" ht="15.75" customHeight="1" x14ac:dyDescent="0.3">
      <c r="B779" s="13"/>
    </row>
    <row r="780" spans="2:2" ht="15.75" customHeight="1" x14ac:dyDescent="0.3">
      <c r="B780" s="13"/>
    </row>
    <row r="781" spans="2:2" ht="15.75" customHeight="1" x14ac:dyDescent="0.3">
      <c r="B781" s="13"/>
    </row>
    <row r="782" spans="2:2" ht="15.75" customHeight="1" x14ac:dyDescent="0.3">
      <c r="B782" s="13"/>
    </row>
    <row r="783" spans="2:2" ht="15.75" customHeight="1" x14ac:dyDescent="0.3">
      <c r="B783" s="13"/>
    </row>
    <row r="784" spans="2:2" ht="15.75" customHeight="1" x14ac:dyDescent="0.3">
      <c r="B784" s="13"/>
    </row>
    <row r="785" spans="2:2" ht="15.75" customHeight="1" x14ac:dyDescent="0.3">
      <c r="B785" s="13"/>
    </row>
    <row r="786" spans="2:2" ht="15.75" customHeight="1" x14ac:dyDescent="0.3">
      <c r="B786" s="13"/>
    </row>
    <row r="787" spans="2:2" ht="15.75" customHeight="1" x14ac:dyDescent="0.3">
      <c r="B787" s="13"/>
    </row>
    <row r="788" spans="2:2" ht="15.75" customHeight="1" x14ac:dyDescent="0.3">
      <c r="B788" s="13"/>
    </row>
    <row r="789" spans="2:2" ht="15.75" customHeight="1" x14ac:dyDescent="0.3">
      <c r="B789" s="13"/>
    </row>
    <row r="790" spans="2:2" ht="15.75" customHeight="1" x14ac:dyDescent="0.3">
      <c r="B790" s="13"/>
    </row>
    <row r="791" spans="2:2" ht="15.75" customHeight="1" x14ac:dyDescent="0.3">
      <c r="B791" s="13"/>
    </row>
    <row r="792" spans="2:2" ht="15.75" customHeight="1" x14ac:dyDescent="0.3">
      <c r="B792" s="13"/>
    </row>
    <row r="793" spans="2:2" ht="15.75" customHeight="1" x14ac:dyDescent="0.3">
      <c r="B793" s="13"/>
    </row>
    <row r="794" spans="2:2" ht="15.75" customHeight="1" x14ac:dyDescent="0.3">
      <c r="B794" s="13"/>
    </row>
    <row r="795" spans="2:2" ht="15.75" customHeight="1" x14ac:dyDescent="0.3">
      <c r="B795" s="13"/>
    </row>
    <row r="796" spans="2:2" ht="15.75" customHeight="1" x14ac:dyDescent="0.3">
      <c r="B796" s="13"/>
    </row>
    <row r="797" spans="2:2" ht="15.75" customHeight="1" x14ac:dyDescent="0.3">
      <c r="B797" s="13"/>
    </row>
    <row r="798" spans="2:2" ht="15.75" customHeight="1" x14ac:dyDescent="0.3">
      <c r="B798" s="13"/>
    </row>
    <row r="799" spans="2:2" ht="15.75" customHeight="1" x14ac:dyDescent="0.3">
      <c r="B799" s="13"/>
    </row>
    <row r="800" spans="2:2" ht="15.75" customHeight="1" x14ac:dyDescent="0.3">
      <c r="B800" s="13"/>
    </row>
    <row r="801" spans="2:2" ht="15.75" customHeight="1" x14ac:dyDescent="0.3">
      <c r="B801" s="13"/>
    </row>
    <row r="802" spans="2:2" ht="15.75" customHeight="1" x14ac:dyDescent="0.3">
      <c r="B802" s="13"/>
    </row>
    <row r="803" spans="2:2" ht="15.75" customHeight="1" x14ac:dyDescent="0.3">
      <c r="B803" s="13"/>
    </row>
    <row r="804" spans="2:2" ht="15.75" customHeight="1" x14ac:dyDescent="0.3">
      <c r="B804" s="13"/>
    </row>
    <row r="805" spans="2:2" ht="15.75" customHeight="1" x14ac:dyDescent="0.3">
      <c r="B805" s="13"/>
    </row>
    <row r="806" spans="2:2" ht="15.75" customHeight="1" x14ac:dyDescent="0.3">
      <c r="B806" s="13"/>
    </row>
    <row r="807" spans="2:2" ht="15.75" customHeight="1" x14ac:dyDescent="0.3">
      <c r="B807" s="13"/>
    </row>
    <row r="808" spans="2:2" ht="15.75" customHeight="1" x14ac:dyDescent="0.3">
      <c r="B808" s="13"/>
    </row>
    <row r="809" spans="2:2" ht="15.75" customHeight="1" x14ac:dyDescent="0.3">
      <c r="B809" s="13"/>
    </row>
    <row r="810" spans="2:2" ht="15.75" customHeight="1" x14ac:dyDescent="0.3">
      <c r="B810" s="13"/>
    </row>
    <row r="811" spans="2:2" ht="15.75" customHeight="1" x14ac:dyDescent="0.3">
      <c r="B811" s="13"/>
    </row>
    <row r="812" spans="2:2" ht="15.75" customHeight="1" x14ac:dyDescent="0.3">
      <c r="B812" s="13"/>
    </row>
    <row r="813" spans="2:2" ht="15.75" customHeight="1" x14ac:dyDescent="0.3">
      <c r="B813" s="13"/>
    </row>
    <row r="814" spans="2:2" ht="15.75" customHeight="1" x14ac:dyDescent="0.3">
      <c r="B814" s="13"/>
    </row>
    <row r="815" spans="2:2" ht="15.75" customHeight="1" x14ac:dyDescent="0.3">
      <c r="B815" s="13"/>
    </row>
    <row r="816" spans="2:2" ht="15.75" customHeight="1" x14ac:dyDescent="0.3">
      <c r="B816" s="13"/>
    </row>
    <row r="817" spans="2:2" ht="15.75" customHeight="1" x14ac:dyDescent="0.3">
      <c r="B817" s="13"/>
    </row>
    <row r="818" spans="2:2" ht="15.75" customHeight="1" x14ac:dyDescent="0.3">
      <c r="B818" s="13"/>
    </row>
    <row r="819" spans="2:2" ht="15.75" customHeight="1" x14ac:dyDescent="0.3">
      <c r="B819" s="13"/>
    </row>
    <row r="820" spans="2:2" ht="15.75" customHeight="1" x14ac:dyDescent="0.3">
      <c r="B820" s="13"/>
    </row>
    <row r="821" spans="2:2" ht="15.75" customHeight="1" x14ac:dyDescent="0.3">
      <c r="B821" s="13"/>
    </row>
    <row r="822" spans="2:2" ht="15.75" customHeight="1" x14ac:dyDescent="0.3">
      <c r="B822" s="13"/>
    </row>
    <row r="823" spans="2:2" ht="15.75" customHeight="1" x14ac:dyDescent="0.3">
      <c r="B823" s="13"/>
    </row>
    <row r="824" spans="2:2" ht="15.75" customHeight="1" x14ac:dyDescent="0.3">
      <c r="B824" s="13"/>
    </row>
    <row r="825" spans="2:2" ht="15.75" customHeight="1" x14ac:dyDescent="0.3">
      <c r="B825" s="13"/>
    </row>
    <row r="826" spans="2:2" ht="15.75" customHeight="1" x14ac:dyDescent="0.3">
      <c r="B826" s="13"/>
    </row>
    <row r="827" spans="2:2" ht="15.75" customHeight="1" x14ac:dyDescent="0.3">
      <c r="B827" s="13"/>
    </row>
    <row r="828" spans="2:2" ht="15.75" customHeight="1" x14ac:dyDescent="0.3">
      <c r="B828" s="13"/>
    </row>
    <row r="829" spans="2:2" ht="15.75" customHeight="1" x14ac:dyDescent="0.3">
      <c r="B829" s="13"/>
    </row>
    <row r="830" spans="2:2" ht="15.75" customHeight="1" x14ac:dyDescent="0.3">
      <c r="B830" s="13"/>
    </row>
    <row r="831" spans="2:2" ht="15.75" customHeight="1" x14ac:dyDescent="0.3">
      <c r="B831" s="13"/>
    </row>
    <row r="832" spans="2:2" ht="15.75" customHeight="1" x14ac:dyDescent="0.3">
      <c r="B832" s="13"/>
    </row>
    <row r="833" spans="2:2" ht="15.75" customHeight="1" x14ac:dyDescent="0.3">
      <c r="B833" s="13"/>
    </row>
    <row r="834" spans="2:2" ht="15.75" customHeight="1" x14ac:dyDescent="0.3">
      <c r="B834" s="13"/>
    </row>
    <row r="835" spans="2:2" ht="15.75" customHeight="1" x14ac:dyDescent="0.3">
      <c r="B835" s="13"/>
    </row>
    <row r="836" spans="2:2" ht="15.75" customHeight="1" x14ac:dyDescent="0.3">
      <c r="B836" s="13"/>
    </row>
    <row r="837" spans="2:2" ht="15.75" customHeight="1" x14ac:dyDescent="0.3">
      <c r="B837" s="13"/>
    </row>
    <row r="838" spans="2:2" ht="15.75" customHeight="1" x14ac:dyDescent="0.3">
      <c r="B838" s="13"/>
    </row>
    <row r="839" spans="2:2" ht="15.75" customHeight="1" x14ac:dyDescent="0.3">
      <c r="B839" s="13"/>
    </row>
    <row r="840" spans="2:2" ht="15.75" customHeight="1" x14ac:dyDescent="0.3">
      <c r="B840" s="13"/>
    </row>
    <row r="841" spans="2:2" ht="15.75" customHeight="1" x14ac:dyDescent="0.3">
      <c r="B841" s="13"/>
    </row>
    <row r="842" spans="2:2" ht="15.75" customHeight="1" x14ac:dyDescent="0.3">
      <c r="B842" s="13"/>
    </row>
    <row r="843" spans="2:2" ht="15.75" customHeight="1" x14ac:dyDescent="0.3">
      <c r="B843" s="13"/>
    </row>
    <row r="844" spans="2:2" ht="15.75" customHeight="1" x14ac:dyDescent="0.3">
      <c r="B844" s="13"/>
    </row>
    <row r="845" spans="2:2" ht="15.75" customHeight="1" x14ac:dyDescent="0.3">
      <c r="B845" s="13"/>
    </row>
    <row r="846" spans="2:2" ht="15.75" customHeight="1" x14ac:dyDescent="0.3">
      <c r="B846" s="13"/>
    </row>
    <row r="847" spans="2:2" ht="15.75" customHeight="1" x14ac:dyDescent="0.3">
      <c r="B847" s="13"/>
    </row>
    <row r="848" spans="2:2" ht="15.75" customHeight="1" x14ac:dyDescent="0.3">
      <c r="B848" s="13"/>
    </row>
    <row r="849" spans="2:2" ht="15.75" customHeight="1" x14ac:dyDescent="0.3">
      <c r="B849" s="13"/>
    </row>
    <row r="850" spans="2:2" ht="15.75" customHeight="1" x14ac:dyDescent="0.3">
      <c r="B850" s="13"/>
    </row>
    <row r="851" spans="2:2" ht="15.75" customHeight="1" x14ac:dyDescent="0.3">
      <c r="B851" s="13"/>
    </row>
    <row r="852" spans="2:2" ht="15.75" customHeight="1" x14ac:dyDescent="0.3">
      <c r="B852" s="13"/>
    </row>
    <row r="853" spans="2:2" ht="15.75" customHeight="1" x14ac:dyDescent="0.3">
      <c r="B853" s="13"/>
    </row>
    <row r="854" spans="2:2" ht="15.75" customHeight="1" x14ac:dyDescent="0.3">
      <c r="B854" s="13"/>
    </row>
    <row r="855" spans="2:2" ht="15.75" customHeight="1" x14ac:dyDescent="0.3">
      <c r="B855" s="13"/>
    </row>
    <row r="856" spans="2:2" ht="15.75" customHeight="1" x14ac:dyDescent="0.3">
      <c r="B856" s="13"/>
    </row>
    <row r="857" spans="2:2" ht="15.75" customHeight="1" x14ac:dyDescent="0.3">
      <c r="B857" s="13"/>
    </row>
    <row r="858" spans="2:2" ht="15.75" customHeight="1" x14ac:dyDescent="0.3">
      <c r="B858" s="13"/>
    </row>
    <row r="859" spans="2:2" ht="15.75" customHeight="1" x14ac:dyDescent="0.3">
      <c r="B859" s="13"/>
    </row>
    <row r="860" spans="2:2" ht="15.75" customHeight="1" x14ac:dyDescent="0.3">
      <c r="B860" s="13"/>
    </row>
    <row r="861" spans="2:2" ht="15.75" customHeight="1" x14ac:dyDescent="0.3">
      <c r="B861" s="13"/>
    </row>
    <row r="862" spans="2:2" ht="15.75" customHeight="1" x14ac:dyDescent="0.3">
      <c r="B862" s="13"/>
    </row>
    <row r="863" spans="2:2" ht="15.75" customHeight="1" x14ac:dyDescent="0.3">
      <c r="B863" s="13"/>
    </row>
    <row r="864" spans="2:2" ht="15.75" customHeight="1" x14ac:dyDescent="0.3">
      <c r="B864" s="13"/>
    </row>
    <row r="865" spans="2:2" ht="15.75" customHeight="1" x14ac:dyDescent="0.3">
      <c r="B865" s="13"/>
    </row>
    <row r="866" spans="2:2" ht="15.75" customHeight="1" x14ac:dyDescent="0.3">
      <c r="B866" s="13"/>
    </row>
    <row r="867" spans="2:2" ht="15.75" customHeight="1" x14ac:dyDescent="0.3">
      <c r="B867" s="13"/>
    </row>
    <row r="868" spans="2:2" ht="15.75" customHeight="1" x14ac:dyDescent="0.3">
      <c r="B868" s="13"/>
    </row>
    <row r="869" spans="2:2" ht="15.75" customHeight="1" x14ac:dyDescent="0.3">
      <c r="B869" s="13"/>
    </row>
    <row r="870" spans="2:2" ht="15.75" customHeight="1" x14ac:dyDescent="0.3">
      <c r="B870" s="13"/>
    </row>
    <row r="871" spans="2:2" ht="15.75" customHeight="1" x14ac:dyDescent="0.3">
      <c r="B871" s="13"/>
    </row>
    <row r="872" spans="2:2" ht="15.75" customHeight="1" x14ac:dyDescent="0.3">
      <c r="B872" s="13"/>
    </row>
    <row r="873" spans="2:2" ht="15.75" customHeight="1" x14ac:dyDescent="0.3">
      <c r="B873" s="13"/>
    </row>
    <row r="874" spans="2:2" ht="15.75" customHeight="1" x14ac:dyDescent="0.3">
      <c r="B874" s="13"/>
    </row>
    <row r="875" spans="2:2" ht="15.75" customHeight="1" x14ac:dyDescent="0.3">
      <c r="B875" s="13"/>
    </row>
    <row r="876" spans="2:2" ht="15.75" customHeight="1" x14ac:dyDescent="0.3">
      <c r="B876" s="13"/>
    </row>
    <row r="877" spans="2:2" ht="15.75" customHeight="1" x14ac:dyDescent="0.3">
      <c r="B877" s="13"/>
    </row>
    <row r="878" spans="2:2" ht="15.75" customHeight="1" x14ac:dyDescent="0.3">
      <c r="B878" s="13"/>
    </row>
    <row r="879" spans="2:2" ht="15.75" customHeight="1" x14ac:dyDescent="0.3">
      <c r="B879" s="13"/>
    </row>
    <row r="880" spans="2:2" ht="15.75" customHeight="1" x14ac:dyDescent="0.3">
      <c r="B880" s="13"/>
    </row>
    <row r="881" spans="2:2" ht="15.75" customHeight="1" x14ac:dyDescent="0.3">
      <c r="B881" s="13"/>
    </row>
    <row r="882" spans="2:2" ht="15.75" customHeight="1" x14ac:dyDescent="0.3">
      <c r="B882" s="13"/>
    </row>
    <row r="883" spans="2:2" ht="15.75" customHeight="1" x14ac:dyDescent="0.3">
      <c r="B883" s="13"/>
    </row>
    <row r="884" spans="2:2" ht="15.75" customHeight="1" x14ac:dyDescent="0.3">
      <c r="B884" s="13"/>
    </row>
    <row r="885" spans="2:2" ht="15.75" customHeight="1" x14ac:dyDescent="0.3">
      <c r="B885" s="13"/>
    </row>
    <row r="886" spans="2:2" ht="15.75" customHeight="1" x14ac:dyDescent="0.3">
      <c r="B886" s="13"/>
    </row>
    <row r="887" spans="2:2" ht="15.75" customHeight="1" x14ac:dyDescent="0.3">
      <c r="B887" s="13"/>
    </row>
    <row r="888" spans="2:2" ht="15.75" customHeight="1" x14ac:dyDescent="0.3">
      <c r="B888" s="13"/>
    </row>
    <row r="889" spans="2:2" ht="15.75" customHeight="1" x14ac:dyDescent="0.3">
      <c r="B889" s="13"/>
    </row>
    <row r="890" spans="2:2" ht="15.75" customHeight="1" x14ac:dyDescent="0.3">
      <c r="B890" s="13"/>
    </row>
    <row r="891" spans="2:2" ht="15.75" customHeight="1" x14ac:dyDescent="0.3">
      <c r="B891" s="13"/>
    </row>
    <row r="892" spans="2:2" ht="15.75" customHeight="1" x14ac:dyDescent="0.3">
      <c r="B892" s="13"/>
    </row>
    <row r="893" spans="2:2" ht="15.75" customHeight="1" x14ac:dyDescent="0.3">
      <c r="B893" s="13"/>
    </row>
    <row r="894" spans="2:2" ht="15.75" customHeight="1" x14ac:dyDescent="0.3">
      <c r="B894" s="13"/>
    </row>
    <row r="895" spans="2:2" ht="15.75" customHeight="1" x14ac:dyDescent="0.3">
      <c r="B895" s="13"/>
    </row>
    <row r="896" spans="2:2" ht="15.75" customHeight="1" x14ac:dyDescent="0.3">
      <c r="B896" s="13"/>
    </row>
    <row r="897" spans="2:2" ht="15.75" customHeight="1" x14ac:dyDescent="0.3">
      <c r="B897" s="13"/>
    </row>
    <row r="898" spans="2:2" ht="15.75" customHeight="1" x14ac:dyDescent="0.3">
      <c r="B898" s="13"/>
    </row>
    <row r="899" spans="2:2" ht="15.75" customHeight="1" x14ac:dyDescent="0.3">
      <c r="B899" s="13"/>
    </row>
    <row r="900" spans="2:2" ht="15.75" customHeight="1" x14ac:dyDescent="0.3">
      <c r="B900" s="13"/>
    </row>
    <row r="901" spans="2:2" ht="15.75" customHeight="1" x14ac:dyDescent="0.3">
      <c r="B901" s="13"/>
    </row>
    <row r="902" spans="2:2" ht="15.75" customHeight="1" x14ac:dyDescent="0.3">
      <c r="B902" s="13"/>
    </row>
    <row r="903" spans="2:2" ht="15.75" customHeight="1" x14ac:dyDescent="0.3">
      <c r="B903" s="13"/>
    </row>
    <row r="904" spans="2:2" ht="15.75" customHeight="1" x14ac:dyDescent="0.3">
      <c r="B904" s="13"/>
    </row>
    <row r="905" spans="2:2" ht="15.75" customHeight="1" x14ac:dyDescent="0.3">
      <c r="B905" s="13"/>
    </row>
    <row r="906" spans="2:2" ht="15.75" customHeight="1" x14ac:dyDescent="0.3">
      <c r="B906" s="13"/>
    </row>
    <row r="907" spans="2:2" ht="15.75" customHeight="1" x14ac:dyDescent="0.3">
      <c r="B907" s="13"/>
    </row>
    <row r="908" spans="2:2" ht="15.75" customHeight="1" x14ac:dyDescent="0.3">
      <c r="B908" s="13"/>
    </row>
    <row r="909" spans="2:2" ht="15.75" customHeight="1" x14ac:dyDescent="0.3">
      <c r="B909" s="13"/>
    </row>
    <row r="910" spans="2:2" ht="15.75" customHeight="1" x14ac:dyDescent="0.3">
      <c r="B910" s="13"/>
    </row>
    <row r="911" spans="2:2" ht="15.75" customHeight="1" x14ac:dyDescent="0.3">
      <c r="B911" s="13"/>
    </row>
    <row r="912" spans="2:2" ht="15.75" customHeight="1" x14ac:dyDescent="0.3">
      <c r="B912" s="13"/>
    </row>
    <row r="913" spans="2:2" ht="15.75" customHeight="1" x14ac:dyDescent="0.3">
      <c r="B913" s="13"/>
    </row>
    <row r="914" spans="2:2" ht="15.75" customHeight="1" x14ac:dyDescent="0.3">
      <c r="B914" s="13"/>
    </row>
    <row r="915" spans="2:2" ht="15.75" customHeight="1" x14ac:dyDescent="0.3">
      <c r="B915" s="13"/>
    </row>
    <row r="916" spans="2:2" ht="15.75" customHeight="1" x14ac:dyDescent="0.3">
      <c r="B916" s="13"/>
    </row>
    <row r="917" spans="2:2" ht="15.75" customHeight="1" x14ac:dyDescent="0.3">
      <c r="B917" s="13"/>
    </row>
    <row r="918" spans="2:2" ht="15.75" customHeight="1" x14ac:dyDescent="0.3">
      <c r="B918" s="13"/>
    </row>
    <row r="919" spans="2:2" ht="15.75" customHeight="1" x14ac:dyDescent="0.3">
      <c r="B919" s="13"/>
    </row>
    <row r="920" spans="2:2" ht="15.75" customHeight="1" x14ac:dyDescent="0.3">
      <c r="B920" s="13"/>
    </row>
    <row r="921" spans="2:2" ht="15.75" customHeight="1" x14ac:dyDescent="0.3">
      <c r="B921" s="13"/>
    </row>
    <row r="922" spans="2:2" ht="15.75" customHeight="1" x14ac:dyDescent="0.3">
      <c r="B922" s="13"/>
    </row>
    <row r="923" spans="2:2" ht="15.75" customHeight="1" x14ac:dyDescent="0.3">
      <c r="B923" s="13"/>
    </row>
    <row r="924" spans="2:2" ht="15.75" customHeight="1" x14ac:dyDescent="0.3">
      <c r="B924" s="13"/>
    </row>
    <row r="925" spans="2:2" ht="15.75" customHeight="1" x14ac:dyDescent="0.3">
      <c r="B925" s="13"/>
    </row>
    <row r="926" spans="2:2" ht="15.75" customHeight="1" x14ac:dyDescent="0.3">
      <c r="B926" s="13"/>
    </row>
    <row r="927" spans="2:2" ht="15.75" customHeight="1" x14ac:dyDescent="0.3">
      <c r="B927" s="13"/>
    </row>
    <row r="928" spans="2:2" ht="15.75" customHeight="1" x14ac:dyDescent="0.3">
      <c r="B928" s="13"/>
    </row>
    <row r="929" spans="2:2" ht="15.75" customHeight="1" x14ac:dyDescent="0.3">
      <c r="B929" s="13"/>
    </row>
    <row r="930" spans="2:2" ht="15.75" customHeight="1" x14ac:dyDescent="0.3">
      <c r="B930" s="13"/>
    </row>
    <row r="931" spans="2:2" ht="15.75" customHeight="1" x14ac:dyDescent="0.3">
      <c r="B931" s="13"/>
    </row>
    <row r="932" spans="2:2" ht="15.75" customHeight="1" x14ac:dyDescent="0.3">
      <c r="B932" s="13"/>
    </row>
    <row r="933" spans="2:2" ht="15.75" customHeight="1" x14ac:dyDescent="0.3">
      <c r="B933" s="13"/>
    </row>
    <row r="934" spans="2:2" ht="15.75" customHeight="1" x14ac:dyDescent="0.3">
      <c r="B934" s="13"/>
    </row>
    <row r="935" spans="2:2" ht="15.75" customHeight="1" x14ac:dyDescent="0.3">
      <c r="B935" s="13"/>
    </row>
    <row r="936" spans="2:2" ht="15.75" customHeight="1" x14ac:dyDescent="0.3">
      <c r="B936" s="13"/>
    </row>
    <row r="937" spans="2:2" ht="15.75" customHeight="1" x14ac:dyDescent="0.3">
      <c r="B937" s="13"/>
    </row>
    <row r="938" spans="2:2" ht="15.75" customHeight="1" x14ac:dyDescent="0.3">
      <c r="B938" s="13"/>
    </row>
    <row r="939" spans="2:2" ht="15.75" customHeight="1" x14ac:dyDescent="0.3">
      <c r="B939" s="13"/>
    </row>
    <row r="940" spans="2:2" ht="15.75" customHeight="1" x14ac:dyDescent="0.3">
      <c r="B940" s="13"/>
    </row>
    <row r="941" spans="2:2" ht="15.75" customHeight="1" x14ac:dyDescent="0.3">
      <c r="B941" s="13"/>
    </row>
    <row r="942" spans="2:2" ht="15.75" customHeight="1" x14ac:dyDescent="0.3">
      <c r="B942" s="13"/>
    </row>
    <row r="943" spans="2:2" ht="15.75" customHeight="1" x14ac:dyDescent="0.3">
      <c r="B943" s="13"/>
    </row>
    <row r="944" spans="2:2" ht="15.75" customHeight="1" x14ac:dyDescent="0.3">
      <c r="B944" s="13"/>
    </row>
    <row r="945" spans="2:2" ht="15.75" customHeight="1" x14ac:dyDescent="0.3">
      <c r="B945" s="13"/>
    </row>
    <row r="946" spans="2:2" ht="15.75" customHeight="1" x14ac:dyDescent="0.3">
      <c r="B946" s="13"/>
    </row>
    <row r="947" spans="2:2" ht="15.75" customHeight="1" x14ac:dyDescent="0.3">
      <c r="B947" s="13"/>
    </row>
    <row r="948" spans="2:2" ht="15.75" customHeight="1" x14ac:dyDescent="0.3">
      <c r="B948" s="13"/>
    </row>
    <row r="949" spans="2:2" ht="15.75" customHeight="1" x14ac:dyDescent="0.3">
      <c r="B949" s="13"/>
    </row>
    <row r="950" spans="2:2" ht="15.75" customHeight="1" x14ac:dyDescent="0.3">
      <c r="B950" s="13"/>
    </row>
    <row r="951" spans="2:2" ht="15.75" customHeight="1" x14ac:dyDescent="0.3">
      <c r="B951" s="13"/>
    </row>
    <row r="952" spans="2:2" ht="15.75" customHeight="1" x14ac:dyDescent="0.3">
      <c r="B952" s="13"/>
    </row>
    <row r="953" spans="2:2" ht="15.75" customHeight="1" x14ac:dyDescent="0.3">
      <c r="B953" s="13"/>
    </row>
    <row r="954" spans="2:2" ht="15.75" customHeight="1" x14ac:dyDescent="0.3">
      <c r="B954" s="13"/>
    </row>
    <row r="955" spans="2:2" ht="15.75" customHeight="1" x14ac:dyDescent="0.3">
      <c r="B955" s="13"/>
    </row>
    <row r="956" spans="2:2" ht="15.75" customHeight="1" x14ac:dyDescent="0.3">
      <c r="B956" s="13"/>
    </row>
    <row r="957" spans="2:2" ht="15.75" customHeight="1" x14ac:dyDescent="0.3">
      <c r="B957" s="13"/>
    </row>
    <row r="958" spans="2:2" ht="15.75" customHeight="1" x14ac:dyDescent="0.3">
      <c r="B958" s="13"/>
    </row>
    <row r="959" spans="2:2" ht="15.75" customHeight="1" x14ac:dyDescent="0.3">
      <c r="B959" s="13"/>
    </row>
    <row r="960" spans="2:2" ht="15.75" customHeight="1" x14ac:dyDescent="0.3">
      <c r="B960" s="13"/>
    </row>
    <row r="961" spans="2:2" ht="15.75" customHeight="1" x14ac:dyDescent="0.3">
      <c r="B961" s="13"/>
    </row>
    <row r="962" spans="2:2" ht="15.75" customHeight="1" x14ac:dyDescent="0.3">
      <c r="B962" s="13"/>
    </row>
    <row r="963" spans="2:2" ht="15.75" customHeight="1" x14ac:dyDescent="0.3">
      <c r="B963" s="13"/>
    </row>
    <row r="964" spans="2:2" ht="15.75" customHeight="1" x14ac:dyDescent="0.3">
      <c r="B964" s="13"/>
    </row>
    <row r="965" spans="2:2" ht="15.75" customHeight="1" x14ac:dyDescent="0.3">
      <c r="B965" s="13"/>
    </row>
    <row r="966" spans="2:2" ht="15.75" customHeight="1" x14ac:dyDescent="0.3">
      <c r="B966" s="13"/>
    </row>
    <row r="967" spans="2:2" ht="15.75" customHeight="1" x14ac:dyDescent="0.3">
      <c r="B967" s="13"/>
    </row>
    <row r="968" spans="2:2" ht="15.75" customHeight="1" x14ac:dyDescent="0.3">
      <c r="B968" s="13"/>
    </row>
    <row r="969" spans="2:2" ht="15.75" customHeight="1" x14ac:dyDescent="0.3">
      <c r="B969" s="13"/>
    </row>
    <row r="970" spans="2:2" ht="15.75" customHeight="1" x14ac:dyDescent="0.3">
      <c r="B970" s="13"/>
    </row>
    <row r="971" spans="2:2" ht="15.75" customHeight="1" x14ac:dyDescent="0.3">
      <c r="B971" s="13"/>
    </row>
    <row r="972" spans="2:2" ht="15.75" customHeight="1" x14ac:dyDescent="0.3">
      <c r="B972" s="13"/>
    </row>
    <row r="973" spans="2:2" ht="15.75" customHeight="1" x14ac:dyDescent="0.3">
      <c r="B973" s="13"/>
    </row>
    <row r="974" spans="2:2" ht="15.75" customHeight="1" x14ac:dyDescent="0.3">
      <c r="B974" s="13"/>
    </row>
    <row r="975" spans="2:2" ht="15.75" customHeight="1" x14ac:dyDescent="0.3">
      <c r="B975" s="13"/>
    </row>
    <row r="976" spans="2:2" ht="15.75" customHeight="1" x14ac:dyDescent="0.3">
      <c r="B976" s="13"/>
    </row>
    <row r="977" spans="2:2" ht="15.75" customHeight="1" x14ac:dyDescent="0.3">
      <c r="B977" s="13"/>
    </row>
    <row r="978" spans="2:2" ht="15.75" customHeight="1" x14ac:dyDescent="0.3">
      <c r="B978" s="13"/>
    </row>
    <row r="979" spans="2:2" ht="15.75" customHeight="1" x14ac:dyDescent="0.3">
      <c r="B979" s="13"/>
    </row>
    <row r="980" spans="2:2" ht="15.75" customHeight="1" x14ac:dyDescent="0.3">
      <c r="B980" s="13"/>
    </row>
    <row r="981" spans="2:2" ht="15.75" customHeight="1" x14ac:dyDescent="0.3">
      <c r="B981" s="13"/>
    </row>
    <row r="982" spans="2:2" ht="15.75" customHeight="1" x14ac:dyDescent="0.3">
      <c r="B982" s="13"/>
    </row>
    <row r="983" spans="2:2" ht="15.75" customHeight="1" x14ac:dyDescent="0.3">
      <c r="B983" s="13"/>
    </row>
    <row r="984" spans="2:2" ht="15.75" customHeight="1" x14ac:dyDescent="0.3">
      <c r="B984" s="13"/>
    </row>
    <row r="985" spans="2:2" ht="15.75" customHeight="1" x14ac:dyDescent="0.3">
      <c r="B985" s="13"/>
    </row>
    <row r="986" spans="2:2" ht="15.75" customHeight="1" x14ac:dyDescent="0.3">
      <c r="B986" s="13"/>
    </row>
    <row r="987" spans="2:2" ht="15.75" customHeight="1" x14ac:dyDescent="0.3">
      <c r="B987" s="13"/>
    </row>
    <row r="988" spans="2:2" ht="15.75" customHeight="1" x14ac:dyDescent="0.3">
      <c r="B988" s="13"/>
    </row>
    <row r="989" spans="2:2" ht="15.75" customHeight="1" x14ac:dyDescent="0.3">
      <c r="B989" s="13"/>
    </row>
    <row r="990" spans="2:2" ht="15.75" customHeight="1" x14ac:dyDescent="0.3">
      <c r="B990" s="13"/>
    </row>
    <row r="991" spans="2:2" ht="15.75" customHeight="1" x14ac:dyDescent="0.3">
      <c r="B991" s="13"/>
    </row>
    <row r="992" spans="2:2" ht="15.75" customHeight="1" x14ac:dyDescent="0.3">
      <c r="B992" s="13"/>
    </row>
    <row r="993" spans="2:2" ht="15.75" customHeight="1" x14ac:dyDescent="0.3">
      <c r="B993" s="13"/>
    </row>
    <row r="994" spans="2:2" ht="15.75" customHeight="1" x14ac:dyDescent="0.3">
      <c r="B994" s="13"/>
    </row>
    <row r="995" spans="2:2" ht="15.75" customHeight="1" x14ac:dyDescent="0.3">
      <c r="B995" s="13"/>
    </row>
    <row r="996" spans="2:2" ht="15.75" customHeight="1" x14ac:dyDescent="0.3">
      <c r="B996" s="13"/>
    </row>
    <row r="997" spans="2:2" ht="15.75" customHeight="1" x14ac:dyDescent="0.3">
      <c r="B997" s="13"/>
    </row>
    <row r="998" spans="2:2" ht="15.75" customHeight="1" x14ac:dyDescent="0.3">
      <c r="B998" s="13"/>
    </row>
    <row r="999" spans="2:2" ht="15.75" customHeight="1" x14ac:dyDescent="0.3">
      <c r="B999" s="13"/>
    </row>
    <row r="1000" spans="2:2" ht="15.75" customHeight="1" x14ac:dyDescent="0.3">
      <c r="B1000" s="13"/>
    </row>
    <row r="1001" spans="2:2" ht="15" customHeight="1" x14ac:dyDescent="0.3">
      <c r="B1001" s="13"/>
    </row>
    <row r="1002" spans="2:2" ht="15" customHeight="1" x14ac:dyDescent="0.3">
      <c r="B1002" s="13"/>
    </row>
    <row r="1003" spans="2:2" ht="15" customHeight="1" x14ac:dyDescent="0.3">
      <c r="B1003" s="13"/>
    </row>
    <row r="1004" spans="2:2" ht="15" customHeight="1" x14ac:dyDescent="0.3">
      <c r="B1004" s="13"/>
    </row>
    <row r="1005" spans="2:2" ht="15" customHeight="1" x14ac:dyDescent="0.3">
      <c r="B1005" s="13"/>
    </row>
    <row r="1006" spans="2:2" ht="15" customHeight="1" x14ac:dyDescent="0.3">
      <c r="B1006" s="13"/>
    </row>
    <row r="1007" spans="2:2" ht="15" customHeight="1" x14ac:dyDescent="0.3">
      <c r="B1007" s="13"/>
    </row>
    <row r="1008" spans="2:2" ht="15" customHeight="1" x14ac:dyDescent="0.3">
      <c r="B1008" s="13"/>
    </row>
    <row r="1009" spans="2:2" ht="15" customHeight="1" x14ac:dyDescent="0.3">
      <c r="B1009" s="13"/>
    </row>
    <row r="1010" spans="2:2" ht="15" customHeight="1" x14ac:dyDescent="0.3">
      <c r="B1010" s="13"/>
    </row>
  </sheetData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1C3D9-F2F7-4FE3-AC64-069F191FB904}">
  <sheetPr>
    <tabColor rgb="FFC00000"/>
  </sheetPr>
  <dimension ref="A1:D12"/>
  <sheetViews>
    <sheetView workbookViewId="0">
      <selection activeCell="C12" sqref="C12"/>
    </sheetView>
  </sheetViews>
  <sheetFormatPr baseColWidth="10" defaultColWidth="11" defaultRowHeight="14.4" x14ac:dyDescent="0.3"/>
  <cols>
    <col min="1" max="1" width="17.19921875" style="15" customWidth="1"/>
    <col min="2" max="2" width="13.19921875" style="15" customWidth="1"/>
    <col min="3" max="3" width="21" style="15" customWidth="1"/>
    <col min="4" max="4" width="21.8984375" style="15" customWidth="1"/>
    <col min="5" max="16384" width="11" style="15"/>
  </cols>
  <sheetData>
    <row r="1" spans="1:4" ht="78.75" customHeight="1" x14ac:dyDescent="0.3">
      <c r="A1" s="146" t="s">
        <v>440</v>
      </c>
      <c r="B1" s="146" t="s">
        <v>3</v>
      </c>
      <c r="C1" s="146" t="s">
        <v>547</v>
      </c>
      <c r="D1" s="146" t="s">
        <v>548</v>
      </c>
    </row>
    <row r="2" spans="1:4" x14ac:dyDescent="0.3">
      <c r="A2" s="16">
        <v>1</v>
      </c>
      <c r="B2" s="16" t="s">
        <v>27</v>
      </c>
      <c r="C2" s="17">
        <v>1.3906441828554901</v>
      </c>
      <c r="D2" s="17">
        <v>3.8183320577338602</v>
      </c>
    </row>
    <row r="3" spans="1:4" x14ac:dyDescent="0.3">
      <c r="A3" s="16">
        <v>2</v>
      </c>
      <c r="B3" s="16" t="s">
        <v>43</v>
      </c>
      <c r="C3" s="17">
        <v>1.5858982151737899</v>
      </c>
      <c r="D3" s="17">
        <v>4.4605643388851401</v>
      </c>
    </row>
    <row r="4" spans="1:4" x14ac:dyDescent="0.3">
      <c r="A4" s="16">
        <v>3</v>
      </c>
      <c r="B4" s="16" t="s">
        <v>51</v>
      </c>
      <c r="C4" s="17">
        <v>1.37816279884089</v>
      </c>
      <c r="D4" s="17">
        <v>5.2225732944226504</v>
      </c>
    </row>
    <row r="5" spans="1:4" x14ac:dyDescent="0.3">
      <c r="A5" s="16">
        <v>4</v>
      </c>
      <c r="B5" s="16" t="s">
        <v>57</v>
      </c>
      <c r="C5" s="17">
        <v>1.4195322173366201</v>
      </c>
      <c r="D5" s="17">
        <v>4.7843188292626504</v>
      </c>
    </row>
    <row r="6" spans="1:4" x14ac:dyDescent="0.3">
      <c r="A6" s="16">
        <v>5</v>
      </c>
      <c r="B6" s="16" t="s">
        <v>302</v>
      </c>
      <c r="C6" s="17">
        <v>0.968343433487308</v>
      </c>
      <c r="D6" s="17">
        <v>3.7686001412562198</v>
      </c>
    </row>
    <row r="7" spans="1:4" x14ac:dyDescent="0.3">
      <c r="A7" s="16">
        <v>6</v>
      </c>
      <c r="B7" s="16" t="s">
        <v>76</v>
      </c>
      <c r="C7" s="17">
        <v>1.36824756329743</v>
      </c>
      <c r="D7" s="17">
        <v>4.98819983399442</v>
      </c>
    </row>
    <row r="8" spans="1:4" x14ac:dyDescent="0.3">
      <c r="A8" s="16">
        <v>7</v>
      </c>
      <c r="B8" s="16" t="s">
        <v>85</v>
      </c>
      <c r="C8" s="17">
        <v>2.1672384911426499</v>
      </c>
      <c r="D8" s="17">
        <v>5.9142302515380099</v>
      </c>
    </row>
    <row r="9" spans="1:4" x14ac:dyDescent="0.3">
      <c r="A9" s="16">
        <v>8</v>
      </c>
      <c r="B9" s="16" t="s">
        <v>92</v>
      </c>
      <c r="C9" s="17">
        <v>1.6742900997697601</v>
      </c>
      <c r="D9" s="17">
        <v>5.9701343405124803</v>
      </c>
    </row>
    <row r="10" spans="1:4" x14ac:dyDescent="0.3">
      <c r="A10" s="16">
        <v>9</v>
      </c>
      <c r="B10" s="16" t="s">
        <v>102</v>
      </c>
      <c r="C10" s="17">
        <v>1.3515725476441001</v>
      </c>
      <c r="D10" s="17">
        <v>4.6592874437910803</v>
      </c>
    </row>
    <row r="11" spans="1:4" x14ac:dyDescent="0.3">
      <c r="A11" s="16">
        <v>10</v>
      </c>
      <c r="B11" s="16" t="s">
        <v>408</v>
      </c>
      <c r="C11" s="17">
        <v>1.3313151478115401</v>
      </c>
      <c r="D11" s="17">
        <v>4.3290876922895736</v>
      </c>
    </row>
    <row r="12" spans="1:4" x14ac:dyDescent="0.3">
      <c r="A12" s="16">
        <v>11</v>
      </c>
      <c r="B12" s="16" t="s">
        <v>109</v>
      </c>
      <c r="C12" s="17">
        <v>1.6189470667785599</v>
      </c>
      <c r="D12" s="17">
        <v>4.9800577446618304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19191-980B-4229-8F53-D341734F0C26}">
  <sheetPr>
    <tabColor rgb="FFC00000"/>
  </sheetPr>
  <dimension ref="A1:G14"/>
  <sheetViews>
    <sheetView tabSelected="1" workbookViewId="0">
      <selection activeCell="G15" sqref="G15"/>
    </sheetView>
  </sheetViews>
  <sheetFormatPr baseColWidth="10" defaultColWidth="11" defaultRowHeight="14.4" x14ac:dyDescent="0.3"/>
  <cols>
    <col min="1" max="1" width="17.19921875" style="15" customWidth="1"/>
    <col min="2" max="2" width="13.19921875" style="15" customWidth="1"/>
    <col min="3" max="3" width="17.59765625" style="15" customWidth="1"/>
    <col min="4" max="4" width="17.19921875" style="15" customWidth="1"/>
    <col min="5" max="16384" width="11" style="15"/>
  </cols>
  <sheetData>
    <row r="1" spans="1:7" ht="87" thickBot="1" x14ac:dyDescent="0.35">
      <c r="A1" s="146" t="s">
        <v>440</v>
      </c>
      <c r="B1" s="146" t="s">
        <v>3</v>
      </c>
      <c r="C1" s="146" t="s">
        <v>549</v>
      </c>
      <c r="D1" s="146" t="s">
        <v>550</v>
      </c>
      <c r="F1" s="166" t="s">
        <v>3</v>
      </c>
      <c r="G1" s="167" t="s">
        <v>551</v>
      </c>
    </row>
    <row r="2" spans="1:7" ht="15" thickBot="1" x14ac:dyDescent="0.35">
      <c r="A2" s="16">
        <v>1</v>
      </c>
      <c r="B2" s="16" t="s">
        <v>27</v>
      </c>
      <c r="C2" s="165">
        <v>3292.2805707012299</v>
      </c>
      <c r="D2" s="165">
        <v>11988.493528308156</v>
      </c>
      <c r="F2" s="168" t="s">
        <v>27</v>
      </c>
      <c r="G2" s="169">
        <v>9266</v>
      </c>
    </row>
    <row r="3" spans="1:7" ht="15" thickBot="1" x14ac:dyDescent="0.35">
      <c r="A3" s="16">
        <v>2</v>
      </c>
      <c r="B3" s="16" t="s">
        <v>43</v>
      </c>
      <c r="C3" s="165">
        <v>21136.518373211089</v>
      </c>
      <c r="D3" s="165">
        <v>74840.0621681091</v>
      </c>
      <c r="F3" s="168" t="s">
        <v>43</v>
      </c>
      <c r="G3" s="169">
        <v>54824</v>
      </c>
    </row>
    <row r="4" spans="1:7" ht="15" thickBot="1" x14ac:dyDescent="0.35">
      <c r="A4" s="16">
        <v>3</v>
      </c>
      <c r="B4" s="16" t="s">
        <v>51</v>
      </c>
      <c r="C4" s="165">
        <v>10880.416135684976</v>
      </c>
      <c r="D4" s="165">
        <v>54610.882167789328</v>
      </c>
      <c r="F4" s="168" t="s">
        <v>51</v>
      </c>
      <c r="G4" s="169">
        <v>34899</v>
      </c>
    </row>
    <row r="5" spans="1:7" ht="15" thickBot="1" x14ac:dyDescent="0.35">
      <c r="A5" s="16">
        <v>4</v>
      </c>
      <c r="B5" s="16" t="s">
        <v>57</v>
      </c>
      <c r="C5" s="165">
        <v>3094.6086244381781</v>
      </c>
      <c r="D5" s="165">
        <v>13884.188928896796</v>
      </c>
      <c r="F5" s="168" t="s">
        <v>57</v>
      </c>
      <c r="G5" s="169">
        <v>5554</v>
      </c>
    </row>
    <row r="6" spans="1:7" ht="15" thickBot="1" x14ac:dyDescent="0.35">
      <c r="A6" s="16">
        <v>5</v>
      </c>
      <c r="B6" s="16" t="s">
        <v>302</v>
      </c>
      <c r="C6" s="165">
        <v>3422.9778361656154</v>
      </c>
      <c r="D6" s="165">
        <v>16378.298527898118</v>
      </c>
      <c r="F6" s="168" t="s">
        <v>68</v>
      </c>
      <c r="G6" s="169">
        <v>8351</v>
      </c>
    </row>
    <row r="7" spans="1:7" ht="15" thickBot="1" x14ac:dyDescent="0.35">
      <c r="A7" s="16">
        <v>6</v>
      </c>
      <c r="B7" s="16" t="s">
        <v>76</v>
      </c>
      <c r="C7" s="165">
        <v>3124.3522633627827</v>
      </c>
      <c r="D7" s="165">
        <v>13760.148770066968</v>
      </c>
      <c r="F7" s="168" t="s">
        <v>76</v>
      </c>
      <c r="G7" s="169">
        <v>10050</v>
      </c>
    </row>
    <row r="8" spans="1:7" ht="15" thickBot="1" x14ac:dyDescent="0.35">
      <c r="A8" s="16">
        <v>7</v>
      </c>
      <c r="B8" s="16" t="s">
        <v>85</v>
      </c>
      <c r="C8" s="165">
        <v>25822.798328659053</v>
      </c>
      <c r="D8" s="165">
        <v>89071.796984010842</v>
      </c>
      <c r="F8" s="168" t="s">
        <v>85</v>
      </c>
      <c r="G8" s="169">
        <v>58283</v>
      </c>
    </row>
    <row r="9" spans="1:7" ht="15" thickBot="1" x14ac:dyDescent="0.35">
      <c r="A9" s="16">
        <v>8</v>
      </c>
      <c r="B9" s="16" t="s">
        <v>92</v>
      </c>
      <c r="C9" s="165">
        <v>2996.0249332310018</v>
      </c>
      <c r="D9" s="165">
        <v>12755.132317161509</v>
      </c>
      <c r="F9" s="168" t="s">
        <v>92</v>
      </c>
      <c r="G9" s="169">
        <v>5604</v>
      </c>
    </row>
    <row r="10" spans="1:7" ht="15" thickBot="1" x14ac:dyDescent="0.35">
      <c r="A10" s="16">
        <v>9</v>
      </c>
      <c r="B10" s="16" t="s">
        <v>102</v>
      </c>
      <c r="C10" s="165">
        <v>628.35959312521857</v>
      </c>
      <c r="D10" s="165">
        <v>2850.458872362507</v>
      </c>
      <c r="F10" s="168" t="s">
        <v>102</v>
      </c>
      <c r="G10" s="169">
        <v>3038</v>
      </c>
    </row>
    <row r="11" spans="1:7" ht="15" thickBot="1" x14ac:dyDescent="0.35">
      <c r="A11" s="16">
        <v>10</v>
      </c>
      <c r="B11" s="16" t="s">
        <v>408</v>
      </c>
      <c r="C11" s="165">
        <v>886.92215147204809</v>
      </c>
      <c r="D11" s="165">
        <v>3337.4668654937241</v>
      </c>
      <c r="F11" s="168" t="s">
        <v>109</v>
      </c>
      <c r="G11" s="169">
        <v>189869</v>
      </c>
    </row>
    <row r="12" spans="1:7" x14ac:dyDescent="0.3">
      <c r="A12" s="16">
        <v>11</v>
      </c>
      <c r="B12" s="16" t="s">
        <v>109</v>
      </c>
      <c r="C12" s="165">
        <v>74079.601797476003</v>
      </c>
      <c r="D12" s="165">
        <v>289789.51036129444</v>
      </c>
    </row>
    <row r="14" spans="1:7" x14ac:dyDescent="0.3">
      <c r="C14" s="15">
        <f>D12/C12</f>
        <v>3.9118664697137717</v>
      </c>
      <c r="G14" s="15">
        <f>351386/G11</f>
        <v>1.8506759923947564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7B745-BA7E-4A10-BE5D-5C6C197AD947}">
  <sheetPr>
    <tabColor rgb="FFC00000"/>
  </sheetPr>
  <dimension ref="A1:J7"/>
  <sheetViews>
    <sheetView workbookViewId="0">
      <selection activeCell="C7" sqref="C7"/>
    </sheetView>
  </sheetViews>
  <sheetFormatPr baseColWidth="10" defaultColWidth="8" defaultRowHeight="14.4" x14ac:dyDescent="0.3"/>
  <cols>
    <col min="1" max="1" width="12.8984375" style="24" customWidth="1"/>
    <col min="2" max="2" width="24.3984375" style="24" customWidth="1"/>
    <col min="3" max="8" width="12.8984375" style="24" customWidth="1"/>
    <col min="9" max="16384" width="8" style="24"/>
  </cols>
  <sheetData>
    <row r="1" spans="1:10" s="23" customFormat="1" ht="31.2" customHeight="1" x14ac:dyDescent="0.3">
      <c r="A1" s="18" t="s">
        <v>305</v>
      </c>
      <c r="B1" s="18" t="s">
        <v>441</v>
      </c>
      <c r="C1" s="19" t="s">
        <v>442</v>
      </c>
      <c r="D1" s="19" t="s">
        <v>443</v>
      </c>
      <c r="E1" s="20" t="s">
        <v>444</v>
      </c>
      <c r="F1" s="20" t="s">
        <v>445</v>
      </c>
      <c r="G1" s="21" t="s">
        <v>446</v>
      </c>
      <c r="H1" s="21" t="s">
        <v>447</v>
      </c>
      <c r="I1" s="22" t="s">
        <v>448</v>
      </c>
      <c r="J1" s="22" t="s">
        <v>449</v>
      </c>
    </row>
    <row r="2" spans="1:10" ht="72" x14ac:dyDescent="0.3">
      <c r="A2" s="35">
        <v>8</v>
      </c>
      <c r="B2" s="139" t="s">
        <v>546</v>
      </c>
      <c r="C2" s="35">
        <v>100</v>
      </c>
      <c r="D2" s="35">
        <v>4.82</v>
      </c>
      <c r="E2" s="35">
        <v>4.82</v>
      </c>
      <c r="F2" s="35">
        <v>2.82</v>
      </c>
      <c r="G2" s="35">
        <v>2.82</v>
      </c>
      <c r="H2" s="35">
        <v>0.81799999999999995</v>
      </c>
      <c r="I2" s="35">
        <v>0.81799999999999995</v>
      </c>
      <c r="J2" s="35">
        <v>0</v>
      </c>
    </row>
    <row r="6" spans="1:10" x14ac:dyDescent="0.3">
      <c r="D6"/>
      <c r="E6"/>
      <c r="F6"/>
    </row>
    <row r="7" spans="1:10" x14ac:dyDescent="0.3">
      <c r="D7"/>
      <c r="E7"/>
      <c r="F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179FB-64A8-4EDD-A4DB-F3A114A15560}">
  <sheetPr>
    <outlinePr summaryBelow="0" summaryRight="0"/>
  </sheetPr>
  <dimension ref="A1:AB1000"/>
  <sheetViews>
    <sheetView workbookViewId="0">
      <selection activeCell="E9" sqref="E9"/>
    </sheetView>
  </sheetViews>
  <sheetFormatPr baseColWidth="10" defaultColWidth="12.59765625" defaultRowHeight="15" customHeight="1" x14ac:dyDescent="0.3"/>
  <cols>
    <col min="1" max="6" width="12.59765625" style="27"/>
    <col min="11" max="16384" width="12.59765625" style="27"/>
  </cols>
  <sheetData>
    <row r="1" spans="1:28" ht="15" customHeight="1" x14ac:dyDescent="0.3">
      <c r="A1" s="36" t="s">
        <v>450</v>
      </c>
      <c r="B1" s="36" t="s">
        <v>451</v>
      </c>
      <c r="C1" s="37" t="s">
        <v>491</v>
      </c>
      <c r="D1" s="38" t="s">
        <v>452</v>
      </c>
      <c r="E1" s="37" t="s">
        <v>492</v>
      </c>
      <c r="F1" s="38" t="s">
        <v>452</v>
      </c>
      <c r="K1" s="25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pans="1:28" ht="15" customHeight="1" x14ac:dyDescent="0.3">
      <c r="A2" s="39">
        <v>10101</v>
      </c>
      <c r="B2" s="39" t="s">
        <v>11</v>
      </c>
      <c r="C2" s="29">
        <v>2.5452039921493301</v>
      </c>
      <c r="D2" s="40" t="str">
        <f>IF(C2&lt;=0.818,"Rojo",
   IF(C2&lt;=2.822,"Naranja",
   IF(C2&lt;=4.82,"Amarillo","Verde")))</f>
        <v>Naranja</v>
      </c>
      <c r="E2" s="41">
        <v>6.3049698795180698</v>
      </c>
      <c r="F2" s="40" t="str">
        <f>IF(E2&lt;=0.818,"Rojo",
   IF(E2&lt;=2.822,"Naranja",
   IF(E2&lt;=4.82,"Amarillo","Verde")))</f>
        <v>Verde</v>
      </c>
      <c r="K2" s="30"/>
    </row>
    <row r="3" spans="1:28" ht="15" customHeight="1" x14ac:dyDescent="0.3">
      <c r="A3" s="39">
        <v>10102</v>
      </c>
      <c r="B3" s="39" t="s">
        <v>39</v>
      </c>
      <c r="C3" s="29">
        <v>1.0074231177094399</v>
      </c>
      <c r="D3" s="40" t="str">
        <f t="shared" ref="D3:D66" si="0">IF(C3&lt;=0.818,"Rojo",
   IF(C3&lt;=2.822,"Naranja",
   IF(C3&lt;=4.82,"Amarillo","Verde")))</f>
        <v>Naranja</v>
      </c>
      <c r="E3" s="41">
        <v>2.85318010699425</v>
      </c>
      <c r="F3" s="40" t="str">
        <f t="shared" ref="F3:F66" si="1">IF(E3&lt;=0.818,"Rojo",
   IF(E3&lt;=2.822,"Naranja",
   IF(E3&lt;=4.82,"Amarillo","Verde")))</f>
        <v>Amarillo</v>
      </c>
      <c r="K3" s="30"/>
    </row>
    <row r="4" spans="1:28" ht="15" customHeight="1" x14ac:dyDescent="0.3">
      <c r="A4" s="39">
        <v>10103</v>
      </c>
      <c r="B4" s="39" t="s">
        <v>18</v>
      </c>
      <c r="C4" s="29">
        <v>0.11182108626198101</v>
      </c>
      <c r="D4" s="40" t="str">
        <f t="shared" si="0"/>
        <v>Rojo</v>
      </c>
      <c r="E4" s="41">
        <v>0.90995518131196496</v>
      </c>
      <c r="F4" s="40" t="str">
        <f t="shared" si="1"/>
        <v>Naranja</v>
      </c>
      <c r="K4" s="30"/>
    </row>
    <row r="5" spans="1:28" ht="15" customHeight="1" x14ac:dyDescent="0.3">
      <c r="A5" s="39">
        <v>10201</v>
      </c>
      <c r="B5" s="39" t="s">
        <v>31</v>
      </c>
      <c r="C5" s="29">
        <v>0.56785917092561</v>
      </c>
      <c r="D5" s="40" t="str">
        <f t="shared" si="0"/>
        <v>Rojo</v>
      </c>
      <c r="E5" s="41">
        <v>1.15706548498277</v>
      </c>
      <c r="F5" s="40" t="str">
        <f t="shared" si="1"/>
        <v>Naranja</v>
      </c>
      <c r="K5" s="30"/>
    </row>
    <row r="6" spans="1:28" ht="15" customHeight="1" x14ac:dyDescent="0.3">
      <c r="A6" s="39">
        <v>10202</v>
      </c>
      <c r="B6" s="39" t="s">
        <v>65</v>
      </c>
      <c r="C6" s="29">
        <v>0.127737226277372</v>
      </c>
      <c r="D6" s="40" t="str">
        <f t="shared" si="0"/>
        <v>Rojo</v>
      </c>
      <c r="E6" s="41">
        <v>0.98814229249011898</v>
      </c>
      <c r="F6" s="40" t="str">
        <f t="shared" si="1"/>
        <v>Naranja</v>
      </c>
      <c r="K6" s="30"/>
    </row>
    <row r="7" spans="1:28" ht="15" customHeight="1" x14ac:dyDescent="0.3">
      <c r="A7" s="39">
        <v>10301</v>
      </c>
      <c r="B7" s="39" t="s">
        <v>342</v>
      </c>
      <c r="C7" s="29">
        <v>1.14035087719298</v>
      </c>
      <c r="D7" s="40" t="str">
        <f t="shared" si="0"/>
        <v>Naranja</v>
      </c>
      <c r="E7" s="41">
        <v>1.9108280254777099</v>
      </c>
      <c r="F7" s="40" t="str">
        <f t="shared" si="1"/>
        <v>Naranja</v>
      </c>
      <c r="K7" s="30"/>
    </row>
    <row r="8" spans="1:28" ht="15" customHeight="1" x14ac:dyDescent="0.3">
      <c r="A8" s="39">
        <v>10302</v>
      </c>
      <c r="B8" s="39" t="s">
        <v>80</v>
      </c>
      <c r="C8" s="29">
        <v>0.45464386230785903</v>
      </c>
      <c r="D8" s="40" t="str">
        <f t="shared" si="0"/>
        <v>Rojo</v>
      </c>
      <c r="E8" s="41">
        <v>1.6235258079338299</v>
      </c>
      <c r="F8" s="40" t="str">
        <f t="shared" si="1"/>
        <v>Naranja</v>
      </c>
      <c r="K8" s="30"/>
    </row>
    <row r="9" spans="1:28" ht="15" customHeight="1" x14ac:dyDescent="0.3">
      <c r="A9" s="39">
        <v>10303</v>
      </c>
      <c r="B9" s="39" t="s">
        <v>453</v>
      </c>
      <c r="C9" s="29">
        <v>0.35518243461414301</v>
      </c>
      <c r="D9" s="40" t="str">
        <f t="shared" si="0"/>
        <v>Rojo</v>
      </c>
      <c r="E9" s="41">
        <v>1.46330966214762</v>
      </c>
      <c r="F9" s="40" t="str">
        <f t="shared" si="1"/>
        <v>Naranja</v>
      </c>
      <c r="K9" s="30"/>
    </row>
    <row r="10" spans="1:28" ht="15" customHeight="1" x14ac:dyDescent="0.3">
      <c r="A10" s="39">
        <v>10304</v>
      </c>
      <c r="B10" s="39" t="s">
        <v>99</v>
      </c>
      <c r="C10" s="29">
        <v>0.402930402930403</v>
      </c>
      <c r="D10" s="40" t="str">
        <f t="shared" si="0"/>
        <v>Rojo</v>
      </c>
      <c r="E10" s="41">
        <v>1.34228187919463</v>
      </c>
      <c r="F10" s="40" t="str">
        <f t="shared" si="1"/>
        <v>Naranja</v>
      </c>
      <c r="K10" s="30"/>
    </row>
    <row r="11" spans="1:28" ht="15" customHeight="1" x14ac:dyDescent="0.3">
      <c r="A11" s="39">
        <v>10401</v>
      </c>
      <c r="B11" s="39" t="s">
        <v>106</v>
      </c>
      <c r="C11" s="29">
        <v>0.729470612755315</v>
      </c>
      <c r="D11" s="40" t="str">
        <f t="shared" si="0"/>
        <v>Rojo</v>
      </c>
      <c r="E11" s="41">
        <v>2.48657250845435</v>
      </c>
      <c r="F11" s="40" t="str">
        <f t="shared" si="1"/>
        <v>Naranja</v>
      </c>
      <c r="K11" s="30"/>
    </row>
    <row r="12" spans="1:28" ht="15" customHeight="1" x14ac:dyDescent="0.3">
      <c r="A12" s="39">
        <v>10402</v>
      </c>
      <c r="B12" s="39" t="s">
        <v>117</v>
      </c>
      <c r="C12" s="29">
        <v>0.49853372434017601</v>
      </c>
      <c r="D12" s="40" t="str">
        <f t="shared" si="0"/>
        <v>Rojo</v>
      </c>
      <c r="E12" s="41">
        <v>1.6474112109542101</v>
      </c>
      <c r="F12" s="40" t="str">
        <f t="shared" si="1"/>
        <v>Naranja</v>
      </c>
      <c r="K12" s="30"/>
    </row>
    <row r="13" spans="1:28" ht="15" customHeight="1" x14ac:dyDescent="0.3">
      <c r="A13" s="39">
        <v>10403</v>
      </c>
      <c r="B13" s="39" t="s">
        <v>121</v>
      </c>
      <c r="C13" s="29">
        <v>0.51775147928994103</v>
      </c>
      <c r="D13" s="40" t="str">
        <f t="shared" si="0"/>
        <v>Rojo</v>
      </c>
      <c r="E13" s="41">
        <v>2.0468623754376498</v>
      </c>
      <c r="F13" s="40" t="str">
        <f t="shared" si="1"/>
        <v>Naranja</v>
      </c>
      <c r="K13" s="30"/>
    </row>
    <row r="14" spans="1:28" ht="15" customHeight="1" x14ac:dyDescent="0.3">
      <c r="A14" s="39">
        <v>10404</v>
      </c>
      <c r="B14" s="39" t="s">
        <v>454</v>
      </c>
      <c r="C14" s="29">
        <v>0.9</v>
      </c>
      <c r="D14" s="40" t="str">
        <f t="shared" si="0"/>
        <v>Naranja</v>
      </c>
      <c r="E14" s="41">
        <v>2.4517475221700602</v>
      </c>
      <c r="F14" s="40" t="str">
        <f t="shared" si="1"/>
        <v>Naranja</v>
      </c>
      <c r="K14" s="30"/>
    </row>
    <row r="15" spans="1:28" ht="15" customHeight="1" x14ac:dyDescent="0.3">
      <c r="A15" s="39">
        <v>10405</v>
      </c>
      <c r="B15" s="39" t="s">
        <v>126</v>
      </c>
      <c r="C15" s="29">
        <v>0.60240963855421703</v>
      </c>
      <c r="D15" s="40" t="str">
        <f t="shared" si="0"/>
        <v>Rojo</v>
      </c>
      <c r="E15" s="41">
        <v>1.7329255861366</v>
      </c>
      <c r="F15" s="40" t="str">
        <f t="shared" si="1"/>
        <v>Naranja</v>
      </c>
      <c r="K15" s="30"/>
    </row>
    <row r="16" spans="1:28" ht="15" customHeight="1" x14ac:dyDescent="0.3">
      <c r="A16" s="39">
        <v>10501</v>
      </c>
      <c r="B16" s="39" t="s">
        <v>129</v>
      </c>
      <c r="C16" s="29">
        <v>1.2426614481409</v>
      </c>
      <c r="D16" s="40" t="str">
        <f t="shared" si="0"/>
        <v>Naranja</v>
      </c>
      <c r="E16" s="41">
        <v>2.9732961339178998</v>
      </c>
      <c r="F16" s="40" t="str">
        <f t="shared" si="1"/>
        <v>Amarillo</v>
      </c>
      <c r="K16" s="30"/>
    </row>
    <row r="17" spans="1:11" ht="15" customHeight="1" x14ac:dyDescent="0.3">
      <c r="A17" s="39">
        <v>10502</v>
      </c>
      <c r="B17" s="39" t="s">
        <v>455</v>
      </c>
      <c r="C17" s="29">
        <v>0.80071174377224197</v>
      </c>
      <c r="D17" s="40" t="str">
        <f t="shared" si="0"/>
        <v>Rojo</v>
      </c>
      <c r="E17" s="41">
        <v>1.6666666666666701</v>
      </c>
      <c r="F17" s="40" t="str">
        <f t="shared" si="1"/>
        <v>Naranja</v>
      </c>
      <c r="K17" s="30"/>
    </row>
    <row r="18" spans="1:11" ht="15" customHeight="1" x14ac:dyDescent="0.3">
      <c r="A18" s="39">
        <v>10601</v>
      </c>
      <c r="B18" s="39" t="s">
        <v>136</v>
      </c>
      <c r="C18" s="29">
        <v>0.241935483870968</v>
      </c>
      <c r="D18" s="40" t="str">
        <f t="shared" si="0"/>
        <v>Rojo</v>
      </c>
      <c r="E18" s="41">
        <v>1.4971675209063899</v>
      </c>
      <c r="F18" s="40" t="str">
        <f t="shared" si="1"/>
        <v>Naranja</v>
      </c>
      <c r="K18" s="30"/>
    </row>
    <row r="19" spans="1:11" ht="15" customHeight="1" x14ac:dyDescent="0.3">
      <c r="A19" s="39">
        <v>10602</v>
      </c>
      <c r="B19" s="39" t="s">
        <v>139</v>
      </c>
      <c r="C19" s="29">
        <v>9.9378881987577605E-2</v>
      </c>
      <c r="D19" s="40" t="str">
        <f t="shared" si="0"/>
        <v>Rojo</v>
      </c>
      <c r="E19" s="41">
        <v>1.4032191498142801</v>
      </c>
      <c r="F19" s="40" t="str">
        <f t="shared" si="1"/>
        <v>Naranja</v>
      </c>
      <c r="K19" s="30"/>
    </row>
    <row r="20" spans="1:11" ht="15" customHeight="1" x14ac:dyDescent="0.3">
      <c r="A20" s="39">
        <v>10701</v>
      </c>
      <c r="B20" s="39" t="s">
        <v>143</v>
      </c>
      <c r="C20" s="29">
        <v>0.564883100580574</v>
      </c>
      <c r="D20" s="40" t="str">
        <f t="shared" si="0"/>
        <v>Rojo</v>
      </c>
      <c r="E20" s="41">
        <v>2.95015259409969</v>
      </c>
      <c r="F20" s="40" t="str">
        <f t="shared" si="1"/>
        <v>Amarillo</v>
      </c>
      <c r="K20" s="30"/>
    </row>
    <row r="21" spans="1:11" ht="15" customHeight="1" x14ac:dyDescent="0.3">
      <c r="A21" s="39">
        <v>10702</v>
      </c>
      <c r="B21" s="39" t="s">
        <v>147</v>
      </c>
      <c r="C21" s="29">
        <v>0.24469820554649299</v>
      </c>
      <c r="D21" s="40" t="str">
        <f t="shared" si="0"/>
        <v>Rojo</v>
      </c>
      <c r="E21" s="41">
        <v>1.40704945992041</v>
      </c>
      <c r="F21" s="40" t="str">
        <f t="shared" si="1"/>
        <v>Naranja</v>
      </c>
      <c r="K21" s="30"/>
    </row>
    <row r="22" spans="1:11" ht="15" customHeight="1" x14ac:dyDescent="0.3">
      <c r="A22" s="39">
        <v>10703</v>
      </c>
      <c r="B22" s="39" t="s">
        <v>87</v>
      </c>
      <c r="C22" s="29">
        <v>0.16086869093102801</v>
      </c>
      <c r="D22" s="40" t="str">
        <f t="shared" si="0"/>
        <v>Rojo</v>
      </c>
      <c r="E22" s="41">
        <v>0.73975930219719599</v>
      </c>
      <c r="F22" s="40" t="str">
        <f t="shared" si="1"/>
        <v>Rojo</v>
      </c>
      <c r="K22" s="30"/>
    </row>
    <row r="23" spans="1:11" ht="15" customHeight="1" x14ac:dyDescent="0.3">
      <c r="A23" s="39">
        <v>10704</v>
      </c>
      <c r="B23" s="39" t="s">
        <v>150</v>
      </c>
      <c r="C23" s="29">
        <v>9.7513408093612905E-2</v>
      </c>
      <c r="D23" s="40" t="str">
        <f t="shared" si="0"/>
        <v>Rojo</v>
      </c>
      <c r="E23" s="41">
        <v>1.3938198553583201</v>
      </c>
      <c r="F23" s="40" t="str">
        <f t="shared" si="1"/>
        <v>Naranja</v>
      </c>
      <c r="K23" s="30"/>
    </row>
    <row r="24" spans="1:11" ht="14.4" x14ac:dyDescent="0.3">
      <c r="A24" s="39">
        <v>10801</v>
      </c>
      <c r="B24" s="39" t="s">
        <v>154</v>
      </c>
      <c r="C24" s="29">
        <v>0.59642147117296196</v>
      </c>
      <c r="D24" s="40" t="str">
        <f t="shared" si="0"/>
        <v>Rojo</v>
      </c>
      <c r="E24" s="41">
        <v>2.7054935976869099</v>
      </c>
      <c r="F24" s="40" t="str">
        <f t="shared" si="1"/>
        <v>Naranja</v>
      </c>
      <c r="K24" s="30"/>
    </row>
    <row r="25" spans="1:11" ht="14.4" x14ac:dyDescent="0.3">
      <c r="A25" s="39">
        <v>10901</v>
      </c>
      <c r="B25" s="39" t="s">
        <v>71</v>
      </c>
      <c r="C25" s="29">
        <v>1.0018785222291799</v>
      </c>
      <c r="D25" s="40" t="str">
        <f t="shared" si="0"/>
        <v>Naranja</v>
      </c>
      <c r="E25" s="41">
        <v>2.7845457709711101</v>
      </c>
      <c r="F25" s="40" t="str">
        <f t="shared" si="1"/>
        <v>Naranja</v>
      </c>
      <c r="K25" s="30"/>
    </row>
    <row r="26" spans="1:11" ht="14.4" x14ac:dyDescent="0.3">
      <c r="A26" s="39">
        <v>10902</v>
      </c>
      <c r="B26" s="39" t="s">
        <v>157</v>
      </c>
      <c r="C26" s="29">
        <v>0.20202020202020199</v>
      </c>
      <c r="D26" s="40" t="str">
        <f t="shared" si="0"/>
        <v>Rojo</v>
      </c>
      <c r="E26" s="41">
        <v>0.97122738861235902</v>
      </c>
      <c r="F26" s="40" t="str">
        <f t="shared" si="1"/>
        <v>Naranja</v>
      </c>
      <c r="K26" s="30"/>
    </row>
    <row r="27" spans="1:11" ht="14.4" x14ac:dyDescent="0.3">
      <c r="A27" s="39">
        <v>10903</v>
      </c>
      <c r="B27" s="39" t="s">
        <v>89</v>
      </c>
      <c r="C27" s="29">
        <v>0.58422590068159697</v>
      </c>
      <c r="D27" s="40" t="str">
        <f t="shared" si="0"/>
        <v>Rojo</v>
      </c>
      <c r="E27" s="41">
        <v>1.74461766889384</v>
      </c>
      <c r="F27" s="40" t="str">
        <f t="shared" si="1"/>
        <v>Naranja</v>
      </c>
      <c r="K27" s="30"/>
    </row>
    <row r="28" spans="1:11" ht="14.4" x14ac:dyDescent="0.3">
      <c r="A28" s="39">
        <v>11001</v>
      </c>
      <c r="B28" s="39" t="s">
        <v>456</v>
      </c>
      <c r="C28" s="29">
        <v>0.775193798449612</v>
      </c>
      <c r="D28" s="40" t="str">
        <f t="shared" si="0"/>
        <v>Rojo</v>
      </c>
      <c r="E28" s="41">
        <v>2.4852071005917198</v>
      </c>
      <c r="F28" s="40" t="str">
        <f t="shared" si="1"/>
        <v>Naranja</v>
      </c>
      <c r="K28" s="30"/>
    </row>
    <row r="29" spans="1:11" ht="14.4" x14ac:dyDescent="0.3">
      <c r="A29" s="39">
        <v>11002</v>
      </c>
      <c r="B29" s="39" t="s">
        <v>457</v>
      </c>
      <c r="C29" s="29">
        <v>0.107991360691145</v>
      </c>
      <c r="D29" s="40" t="str">
        <f t="shared" si="0"/>
        <v>Rojo</v>
      </c>
      <c r="E29" s="41">
        <v>2.8386050283860502</v>
      </c>
      <c r="F29" s="40" t="str">
        <f t="shared" si="1"/>
        <v>Amarillo</v>
      </c>
      <c r="K29" s="30"/>
    </row>
    <row r="30" spans="1:11" ht="14.4" x14ac:dyDescent="0.3">
      <c r="A30" s="39">
        <v>11003</v>
      </c>
      <c r="B30" s="39" t="s">
        <v>146</v>
      </c>
      <c r="C30" s="29">
        <v>0.90786819098856797</v>
      </c>
      <c r="D30" s="40" t="str">
        <f t="shared" si="0"/>
        <v>Naranja</v>
      </c>
      <c r="E30" s="41">
        <v>2.2886204704386501</v>
      </c>
      <c r="F30" s="40" t="str">
        <f t="shared" si="1"/>
        <v>Naranja</v>
      </c>
      <c r="K30" s="30"/>
    </row>
    <row r="31" spans="1:11" ht="14.4" x14ac:dyDescent="0.3">
      <c r="A31" s="39">
        <v>20101</v>
      </c>
      <c r="B31" s="39" t="s">
        <v>310</v>
      </c>
      <c r="C31" s="29">
        <v>2.90556247094288</v>
      </c>
      <c r="D31" s="40" t="str">
        <f t="shared" si="0"/>
        <v>Amarillo</v>
      </c>
      <c r="E31" s="41">
        <v>6.6070628878510602</v>
      </c>
      <c r="F31" s="40" t="str">
        <f t="shared" si="1"/>
        <v>Verde</v>
      </c>
      <c r="K31" s="30"/>
    </row>
    <row r="32" spans="1:11" ht="14.4" x14ac:dyDescent="0.3">
      <c r="A32" s="39">
        <v>20102</v>
      </c>
      <c r="B32" s="42" t="s">
        <v>168</v>
      </c>
      <c r="C32" s="29">
        <v>0.21975607076145501</v>
      </c>
      <c r="D32" s="40" t="str">
        <f t="shared" si="0"/>
        <v>Rojo</v>
      </c>
      <c r="E32" s="41">
        <v>1.1970826066275599</v>
      </c>
      <c r="F32" s="40" t="str">
        <f t="shared" si="1"/>
        <v>Naranja</v>
      </c>
      <c r="K32" s="30"/>
    </row>
    <row r="33" spans="1:11" ht="14.4" x14ac:dyDescent="0.3">
      <c r="A33" s="39">
        <v>20103</v>
      </c>
      <c r="B33" s="42" t="s">
        <v>170</v>
      </c>
      <c r="C33" s="29">
        <v>1.03510351035104</v>
      </c>
      <c r="D33" s="40" t="str">
        <f t="shared" si="0"/>
        <v>Naranja</v>
      </c>
      <c r="E33" s="41">
        <v>3.2769205243072799</v>
      </c>
      <c r="F33" s="40" t="str">
        <f t="shared" si="1"/>
        <v>Amarillo</v>
      </c>
      <c r="K33" s="30"/>
    </row>
    <row r="34" spans="1:11" ht="14.4" x14ac:dyDescent="0.3">
      <c r="A34" s="39">
        <v>20104</v>
      </c>
      <c r="B34" s="42" t="s">
        <v>174</v>
      </c>
      <c r="C34" s="29">
        <v>1.1217641418983699</v>
      </c>
      <c r="D34" s="40" t="str">
        <f t="shared" si="0"/>
        <v>Naranja</v>
      </c>
      <c r="E34" s="41">
        <v>5.0732668390592304</v>
      </c>
      <c r="F34" s="40" t="str">
        <f t="shared" si="1"/>
        <v>Verde</v>
      </c>
      <c r="K34" s="30"/>
    </row>
    <row r="35" spans="1:11" ht="14.4" x14ac:dyDescent="0.3">
      <c r="A35" s="39">
        <v>20105</v>
      </c>
      <c r="B35" s="42" t="s">
        <v>178</v>
      </c>
      <c r="C35" s="29">
        <v>1.8706251856637299</v>
      </c>
      <c r="D35" s="40" t="str">
        <f t="shared" si="0"/>
        <v>Naranja</v>
      </c>
      <c r="E35" s="41">
        <v>6.3234787115643103</v>
      </c>
      <c r="F35" s="40" t="str">
        <f t="shared" si="1"/>
        <v>Verde</v>
      </c>
      <c r="K35" s="30"/>
    </row>
    <row r="36" spans="1:11" ht="14.4" x14ac:dyDescent="0.3">
      <c r="A36" s="39">
        <v>20201</v>
      </c>
      <c r="B36" s="42" t="s">
        <v>181</v>
      </c>
      <c r="C36" s="29">
        <v>0.40697926137593599</v>
      </c>
      <c r="D36" s="40" t="str">
        <f t="shared" si="0"/>
        <v>Rojo</v>
      </c>
      <c r="E36" s="41">
        <v>1.65333523782317</v>
      </c>
      <c r="F36" s="40" t="str">
        <f t="shared" si="1"/>
        <v>Naranja</v>
      </c>
      <c r="K36" s="30"/>
    </row>
    <row r="37" spans="1:11" ht="14.4" x14ac:dyDescent="0.3">
      <c r="A37" s="39">
        <v>20202</v>
      </c>
      <c r="B37" s="42" t="s">
        <v>458</v>
      </c>
      <c r="C37" s="29">
        <v>0.15864621893178199</v>
      </c>
      <c r="D37" s="40" t="str">
        <f t="shared" si="0"/>
        <v>Rojo</v>
      </c>
      <c r="E37" s="41">
        <v>1.16589269834997</v>
      </c>
      <c r="F37" s="40" t="str">
        <f t="shared" si="1"/>
        <v>Naranja</v>
      </c>
      <c r="K37" s="30"/>
    </row>
    <row r="38" spans="1:11" ht="14.4" x14ac:dyDescent="0.3">
      <c r="A38" s="39">
        <v>20203</v>
      </c>
      <c r="B38" s="42" t="s">
        <v>187</v>
      </c>
      <c r="C38" s="29">
        <v>0.77393075356415497</v>
      </c>
      <c r="D38" s="40" t="str">
        <f t="shared" si="0"/>
        <v>Rojo</v>
      </c>
      <c r="E38" s="41">
        <v>2.9847064627528401</v>
      </c>
      <c r="F38" s="40" t="str">
        <f t="shared" si="1"/>
        <v>Amarillo</v>
      </c>
      <c r="K38" s="30"/>
    </row>
    <row r="39" spans="1:11" ht="14.4" x14ac:dyDescent="0.3">
      <c r="A39" s="39">
        <v>20204</v>
      </c>
      <c r="B39" s="42" t="s">
        <v>189</v>
      </c>
      <c r="C39" s="29">
        <v>0.43412198827870602</v>
      </c>
      <c r="D39" s="40" t="str">
        <f t="shared" si="0"/>
        <v>Rojo</v>
      </c>
      <c r="E39" s="41">
        <v>1.68697282099344</v>
      </c>
      <c r="F39" s="40" t="str">
        <f t="shared" si="1"/>
        <v>Naranja</v>
      </c>
      <c r="K39" s="30"/>
    </row>
    <row r="40" spans="1:11" ht="14.4" x14ac:dyDescent="0.3">
      <c r="A40" s="39">
        <v>20205</v>
      </c>
      <c r="B40" s="42" t="s">
        <v>103</v>
      </c>
      <c r="C40" s="29">
        <v>0.152240104393214</v>
      </c>
      <c r="D40" s="40" t="str">
        <f t="shared" si="0"/>
        <v>Rojo</v>
      </c>
      <c r="E40" s="41">
        <v>1.16948542641238</v>
      </c>
      <c r="F40" s="40" t="str">
        <f t="shared" si="1"/>
        <v>Naranja</v>
      </c>
      <c r="K40" s="30"/>
    </row>
    <row r="41" spans="1:11" ht="14.4" x14ac:dyDescent="0.3">
      <c r="A41" s="39">
        <v>20206</v>
      </c>
      <c r="B41" s="42" t="s">
        <v>159</v>
      </c>
      <c r="C41" s="29">
        <v>1.6341591987348401</v>
      </c>
      <c r="D41" s="40" t="str">
        <f t="shared" si="0"/>
        <v>Naranja</v>
      </c>
      <c r="E41" s="41">
        <v>2.2930849158007902</v>
      </c>
      <c r="F41" s="40" t="str">
        <f t="shared" si="1"/>
        <v>Naranja</v>
      </c>
      <c r="K41" s="30"/>
    </row>
    <row r="42" spans="1:11" ht="14.4" x14ac:dyDescent="0.3">
      <c r="A42" s="39">
        <v>20301</v>
      </c>
      <c r="B42" s="42" t="s">
        <v>459</v>
      </c>
      <c r="C42" s="29">
        <v>0.31158357771261003</v>
      </c>
      <c r="D42" s="40" t="str">
        <f t="shared" si="0"/>
        <v>Rojo</v>
      </c>
      <c r="E42" s="41">
        <v>1.9333502925464301</v>
      </c>
      <c r="F42" s="40" t="str">
        <f t="shared" si="1"/>
        <v>Naranja</v>
      </c>
      <c r="K42" s="30"/>
    </row>
    <row r="43" spans="1:11" ht="14.4" x14ac:dyDescent="0.3">
      <c r="A43" s="39">
        <v>20302</v>
      </c>
      <c r="B43" s="42" t="s">
        <v>82</v>
      </c>
      <c r="C43" s="29">
        <v>0.110823790173624</v>
      </c>
      <c r="D43" s="40" t="str">
        <f t="shared" si="0"/>
        <v>Rojo</v>
      </c>
      <c r="E43" s="41">
        <v>1.13137082601054</v>
      </c>
      <c r="F43" s="40" t="str">
        <f t="shared" si="1"/>
        <v>Naranja</v>
      </c>
      <c r="K43" s="30"/>
    </row>
    <row r="44" spans="1:11" ht="14.4" x14ac:dyDescent="0.3">
      <c r="A44" s="39">
        <v>20303</v>
      </c>
      <c r="B44" s="42" t="s">
        <v>30</v>
      </c>
      <c r="C44" s="29">
        <v>0.12903225806451599</v>
      </c>
      <c r="D44" s="40" t="str">
        <f t="shared" si="0"/>
        <v>Rojo</v>
      </c>
      <c r="E44" s="41">
        <v>0.68054988430651997</v>
      </c>
      <c r="F44" s="40" t="str">
        <f t="shared" si="1"/>
        <v>Rojo</v>
      </c>
      <c r="K44" s="30"/>
    </row>
    <row r="45" spans="1:11" ht="14.4" x14ac:dyDescent="0.3">
      <c r="A45" s="39">
        <v>20304</v>
      </c>
      <c r="B45" s="42" t="s">
        <v>148</v>
      </c>
      <c r="C45" s="29">
        <v>0.40858018386108302</v>
      </c>
      <c r="D45" s="40" t="str">
        <f t="shared" si="0"/>
        <v>Rojo</v>
      </c>
      <c r="E45" s="41">
        <v>0.86260012322858903</v>
      </c>
      <c r="F45" s="40" t="str">
        <f t="shared" si="1"/>
        <v>Naranja</v>
      </c>
      <c r="K45" s="30"/>
    </row>
    <row r="46" spans="1:11" ht="14.4" x14ac:dyDescent="0.3">
      <c r="A46" s="39">
        <v>20305</v>
      </c>
      <c r="B46" s="42" t="s">
        <v>93</v>
      </c>
      <c r="C46" s="29">
        <v>0.34199726402188801</v>
      </c>
      <c r="D46" s="40" t="str">
        <f t="shared" si="0"/>
        <v>Rojo</v>
      </c>
      <c r="E46" s="41">
        <v>0.863557858376511</v>
      </c>
      <c r="F46" s="40" t="str">
        <f t="shared" si="1"/>
        <v>Naranja</v>
      </c>
      <c r="K46" s="30"/>
    </row>
    <row r="47" spans="1:11" ht="14.4" x14ac:dyDescent="0.3">
      <c r="A47" s="39">
        <v>20306</v>
      </c>
      <c r="B47" s="42" t="s">
        <v>460</v>
      </c>
      <c r="C47" s="29">
        <v>0.276370336250576</v>
      </c>
      <c r="D47" s="40" t="str">
        <f t="shared" si="0"/>
        <v>Rojo</v>
      </c>
      <c r="E47" s="41">
        <v>1.32433134250844</v>
      </c>
      <c r="F47" s="40" t="str">
        <f t="shared" si="1"/>
        <v>Naranja</v>
      </c>
      <c r="K47" s="30"/>
    </row>
    <row r="48" spans="1:11" ht="14.4" x14ac:dyDescent="0.3">
      <c r="A48" s="39">
        <v>20307</v>
      </c>
      <c r="B48" s="42" t="s">
        <v>12</v>
      </c>
      <c r="C48" s="29">
        <v>0.31152647975077902</v>
      </c>
      <c r="D48" s="40" t="str">
        <f t="shared" si="0"/>
        <v>Rojo</v>
      </c>
      <c r="E48" s="41">
        <v>1.61642638706859</v>
      </c>
      <c r="F48" s="40" t="str">
        <f t="shared" si="1"/>
        <v>Naranja</v>
      </c>
      <c r="K48" s="30"/>
    </row>
    <row r="49" spans="1:11" ht="14.4" x14ac:dyDescent="0.3">
      <c r="A49" s="39">
        <v>20308</v>
      </c>
      <c r="B49" s="42" t="s">
        <v>311</v>
      </c>
      <c r="C49" s="29">
        <v>0.31347962382445099</v>
      </c>
      <c r="D49" s="40" t="str">
        <f t="shared" si="0"/>
        <v>Rojo</v>
      </c>
      <c r="E49" s="41">
        <v>0.92812006319115303</v>
      </c>
      <c r="F49" s="40" t="str">
        <f t="shared" si="1"/>
        <v>Naranja</v>
      </c>
      <c r="K49" s="30"/>
    </row>
    <row r="50" spans="1:11" ht="14.4" x14ac:dyDescent="0.3">
      <c r="A50" s="39">
        <v>20401</v>
      </c>
      <c r="B50" s="42" t="s">
        <v>124</v>
      </c>
      <c r="C50" s="29">
        <v>0.13132934481249101</v>
      </c>
      <c r="D50" s="40" t="str">
        <f t="shared" si="0"/>
        <v>Rojo</v>
      </c>
      <c r="E50" s="41">
        <v>0.99423793921590797</v>
      </c>
      <c r="F50" s="40" t="str">
        <f t="shared" si="1"/>
        <v>Naranja</v>
      </c>
      <c r="K50" s="30"/>
    </row>
    <row r="51" spans="1:11" ht="14.4" x14ac:dyDescent="0.3">
      <c r="A51" s="39">
        <v>20402</v>
      </c>
      <c r="B51" s="42" t="s">
        <v>112</v>
      </c>
      <c r="C51" s="29">
        <v>0.120945574491479</v>
      </c>
      <c r="D51" s="40" t="str">
        <f t="shared" si="0"/>
        <v>Rojo</v>
      </c>
      <c r="E51" s="41">
        <v>1.03045777858836</v>
      </c>
      <c r="F51" s="40" t="str">
        <f t="shared" si="1"/>
        <v>Naranja</v>
      </c>
      <c r="K51" s="30"/>
    </row>
    <row r="52" spans="1:11" ht="14.4" x14ac:dyDescent="0.3">
      <c r="A52" s="39">
        <v>20403</v>
      </c>
      <c r="B52" s="42" t="s">
        <v>312</v>
      </c>
      <c r="C52" s="29">
        <v>0.195360195360195</v>
      </c>
      <c r="D52" s="40" t="str">
        <f t="shared" si="0"/>
        <v>Rojo</v>
      </c>
      <c r="E52" s="41">
        <v>1.2771765623476601</v>
      </c>
      <c r="F52" s="40" t="str">
        <f t="shared" si="1"/>
        <v>Naranja</v>
      </c>
      <c r="K52" s="30"/>
    </row>
    <row r="53" spans="1:11" ht="14.4" x14ac:dyDescent="0.3">
      <c r="A53" s="39">
        <v>20404</v>
      </c>
      <c r="B53" s="42" t="s">
        <v>116</v>
      </c>
      <c r="C53" s="29">
        <v>9.8554533508541403E-2</v>
      </c>
      <c r="D53" s="40" t="str">
        <f t="shared" si="0"/>
        <v>Rojo</v>
      </c>
      <c r="E53" s="41">
        <v>0.39411455596426698</v>
      </c>
      <c r="F53" s="40" t="str">
        <f t="shared" si="1"/>
        <v>Rojo</v>
      </c>
      <c r="K53" s="30"/>
    </row>
    <row r="54" spans="1:11" ht="14.4" x14ac:dyDescent="0.3">
      <c r="A54" s="39">
        <v>20405</v>
      </c>
      <c r="B54" s="42" t="s">
        <v>222</v>
      </c>
      <c r="C54" s="29">
        <v>0.165758939142789</v>
      </c>
      <c r="D54" s="40" t="str">
        <f t="shared" si="0"/>
        <v>Rojo</v>
      </c>
      <c r="E54" s="41">
        <v>1.20036934441367</v>
      </c>
      <c r="F54" s="40" t="str">
        <f t="shared" si="1"/>
        <v>Naranja</v>
      </c>
      <c r="K54" s="30"/>
    </row>
    <row r="55" spans="1:11" ht="14.4" x14ac:dyDescent="0.3">
      <c r="A55" s="39">
        <v>20501</v>
      </c>
      <c r="B55" s="42" t="s">
        <v>226</v>
      </c>
      <c r="C55" s="29">
        <v>0.188708916496304</v>
      </c>
      <c r="D55" s="40" t="str">
        <f t="shared" si="0"/>
        <v>Rojo</v>
      </c>
      <c r="E55" s="41">
        <v>0.69431234544416998</v>
      </c>
      <c r="F55" s="40" t="str">
        <f t="shared" si="1"/>
        <v>Rojo</v>
      </c>
      <c r="K55" s="30"/>
    </row>
    <row r="56" spans="1:11" ht="14.4" x14ac:dyDescent="0.3">
      <c r="A56" s="39">
        <v>20502</v>
      </c>
      <c r="B56" s="42" t="s">
        <v>101</v>
      </c>
      <c r="C56" s="29">
        <v>0.17738359201773801</v>
      </c>
      <c r="D56" s="40" t="str">
        <f t="shared" si="0"/>
        <v>Rojo</v>
      </c>
      <c r="E56" s="41">
        <v>0.65307737977439095</v>
      </c>
      <c r="F56" s="40" t="str">
        <f t="shared" si="1"/>
        <v>Rojo</v>
      </c>
      <c r="K56" s="30"/>
    </row>
    <row r="57" spans="1:11" ht="14.4" x14ac:dyDescent="0.3">
      <c r="A57" s="39">
        <v>20503</v>
      </c>
      <c r="B57" s="42" t="s">
        <v>182</v>
      </c>
      <c r="C57" s="29">
        <v>0.26985350809560499</v>
      </c>
      <c r="D57" s="40" t="str">
        <f t="shared" si="0"/>
        <v>Rojo</v>
      </c>
      <c r="E57" s="41">
        <v>1.58687466379774</v>
      </c>
      <c r="F57" s="40" t="str">
        <f t="shared" si="1"/>
        <v>Naranja</v>
      </c>
      <c r="K57" s="30"/>
    </row>
    <row r="58" spans="1:11" ht="14.4" x14ac:dyDescent="0.3">
      <c r="A58" s="39">
        <v>20601</v>
      </c>
      <c r="B58" s="42" t="s">
        <v>233</v>
      </c>
      <c r="C58" s="29">
        <v>0.68226120857699801</v>
      </c>
      <c r="D58" s="40" t="str">
        <f t="shared" si="0"/>
        <v>Rojo</v>
      </c>
      <c r="E58" s="41">
        <v>1.86485982470318</v>
      </c>
      <c r="F58" s="40" t="str">
        <f t="shared" si="1"/>
        <v>Naranja</v>
      </c>
      <c r="K58" s="30"/>
    </row>
    <row r="59" spans="1:11" ht="14.4" x14ac:dyDescent="0.3">
      <c r="A59" s="39">
        <v>20602</v>
      </c>
      <c r="B59" s="42" t="s">
        <v>236</v>
      </c>
      <c r="C59" s="29">
        <v>1.74636174636175</v>
      </c>
      <c r="D59" s="40" t="str">
        <f t="shared" si="0"/>
        <v>Naranja</v>
      </c>
      <c r="E59" s="41">
        <v>4.6563715666627399</v>
      </c>
      <c r="F59" s="40" t="str">
        <f t="shared" si="1"/>
        <v>Amarillo</v>
      </c>
      <c r="K59" s="30"/>
    </row>
    <row r="60" spans="1:11" ht="14.4" x14ac:dyDescent="0.3">
      <c r="A60" s="39">
        <v>20603</v>
      </c>
      <c r="B60" s="42" t="s">
        <v>203</v>
      </c>
      <c r="C60" s="29">
        <v>0.25688930406352201</v>
      </c>
      <c r="D60" s="40" t="str">
        <f t="shared" si="0"/>
        <v>Rojo</v>
      </c>
      <c r="E60" s="41">
        <v>1.50433944069431</v>
      </c>
      <c r="F60" s="40" t="str">
        <f t="shared" si="1"/>
        <v>Naranja</v>
      </c>
      <c r="K60" s="30"/>
    </row>
    <row r="61" spans="1:11" ht="14.4" x14ac:dyDescent="0.3">
      <c r="A61" s="39">
        <v>20604</v>
      </c>
      <c r="B61" s="42" t="s">
        <v>54</v>
      </c>
      <c r="C61" s="29">
        <v>0.12936610608020699</v>
      </c>
      <c r="D61" s="40" t="str">
        <f t="shared" si="0"/>
        <v>Rojo</v>
      </c>
      <c r="E61" s="41">
        <v>0.89928057553956797</v>
      </c>
      <c r="F61" s="40" t="str">
        <f t="shared" si="1"/>
        <v>Naranja</v>
      </c>
      <c r="K61" s="30"/>
    </row>
    <row r="62" spans="1:11" ht="14.4" x14ac:dyDescent="0.3">
      <c r="A62" s="39">
        <v>20605</v>
      </c>
      <c r="B62" s="42" t="s">
        <v>62</v>
      </c>
      <c r="C62" s="29">
        <v>0.17241379310344801</v>
      </c>
      <c r="D62" s="40" t="str">
        <f t="shared" si="0"/>
        <v>Rojo</v>
      </c>
      <c r="E62" s="41">
        <v>0.701262272089762</v>
      </c>
      <c r="F62" s="40" t="str">
        <f t="shared" si="1"/>
        <v>Rojo</v>
      </c>
      <c r="K62" s="30"/>
    </row>
    <row r="63" spans="1:11" ht="14.4" x14ac:dyDescent="0.3">
      <c r="A63" s="39">
        <v>20606</v>
      </c>
      <c r="B63" s="42" t="s">
        <v>140</v>
      </c>
      <c r="C63" s="29">
        <v>2.71668822768435</v>
      </c>
      <c r="D63" s="40" t="str">
        <f t="shared" si="0"/>
        <v>Naranja</v>
      </c>
      <c r="E63" s="41">
        <v>6.9539925965097797</v>
      </c>
      <c r="F63" s="40" t="str">
        <f t="shared" si="1"/>
        <v>Verde</v>
      </c>
      <c r="K63" s="30"/>
    </row>
    <row r="64" spans="1:11" ht="14.4" x14ac:dyDescent="0.3">
      <c r="A64" s="39">
        <v>20607</v>
      </c>
      <c r="B64" s="42" t="s">
        <v>167</v>
      </c>
      <c r="C64" s="29">
        <v>1.3722957701001</v>
      </c>
      <c r="D64" s="40" t="str">
        <f t="shared" si="0"/>
        <v>Naranja</v>
      </c>
      <c r="E64" s="41">
        <v>6.1753371868978801</v>
      </c>
      <c r="F64" s="40" t="str">
        <f t="shared" si="1"/>
        <v>Verde</v>
      </c>
      <c r="K64" s="30"/>
    </row>
    <row r="65" spans="1:11" ht="14.4" x14ac:dyDescent="0.3">
      <c r="A65" s="39">
        <v>20608</v>
      </c>
      <c r="B65" s="42" t="s">
        <v>200</v>
      </c>
      <c r="C65" s="29">
        <v>0.76320546294436598</v>
      </c>
      <c r="D65" s="40" t="str">
        <f t="shared" si="0"/>
        <v>Rojo</v>
      </c>
      <c r="E65" s="41">
        <v>3.2670652022799902</v>
      </c>
      <c r="F65" s="40" t="str">
        <f t="shared" si="1"/>
        <v>Amarillo</v>
      </c>
      <c r="K65" s="30"/>
    </row>
    <row r="66" spans="1:11" ht="14.4" x14ac:dyDescent="0.3">
      <c r="A66" s="39">
        <v>20701</v>
      </c>
      <c r="B66" s="42" t="s">
        <v>241</v>
      </c>
      <c r="C66" s="29">
        <v>0.65429455151082605</v>
      </c>
      <c r="D66" s="40" t="str">
        <f t="shared" si="0"/>
        <v>Rojo</v>
      </c>
      <c r="E66" s="41">
        <v>2.5244831338411302</v>
      </c>
      <c r="F66" s="40" t="str">
        <f t="shared" si="1"/>
        <v>Naranja</v>
      </c>
      <c r="K66" s="30"/>
    </row>
    <row r="67" spans="1:11" ht="14.4" x14ac:dyDescent="0.3">
      <c r="A67" s="39">
        <v>20702</v>
      </c>
      <c r="B67" s="42" t="s">
        <v>41</v>
      </c>
      <c r="C67" s="29">
        <v>0.31065548306927598</v>
      </c>
      <c r="D67" s="40" t="str">
        <f t="shared" ref="D67:D130" si="2">IF(C67&lt;=0.818,"Rojo",
   IF(C67&lt;=2.822,"Naranja",
   IF(C67&lt;=4.82,"Amarillo","Verde")))</f>
        <v>Rojo</v>
      </c>
      <c r="E67" s="41">
        <v>1.75585284280936</v>
      </c>
      <c r="F67" s="40" t="str">
        <f t="shared" ref="F67:F130" si="3">IF(E67&lt;=0.818,"Rojo",
   IF(E67&lt;=2.822,"Naranja",
   IF(E67&lt;=4.82,"Amarillo","Verde")))</f>
        <v>Naranja</v>
      </c>
      <c r="K67" s="30"/>
    </row>
    <row r="68" spans="1:11" ht="14.4" x14ac:dyDescent="0.3">
      <c r="A68" s="39">
        <v>20801</v>
      </c>
      <c r="B68" s="42" t="s">
        <v>244</v>
      </c>
      <c r="C68" s="29">
        <v>1.0817169746355999</v>
      </c>
      <c r="D68" s="40" t="str">
        <f t="shared" si="2"/>
        <v>Naranja</v>
      </c>
      <c r="E68" s="41">
        <v>5.0563190705582297</v>
      </c>
      <c r="F68" s="40" t="str">
        <f t="shared" si="3"/>
        <v>Verde</v>
      </c>
      <c r="K68" s="30"/>
    </row>
    <row r="69" spans="1:11" ht="14.4" x14ac:dyDescent="0.3">
      <c r="A69" s="39">
        <v>20802</v>
      </c>
      <c r="B69" s="42" t="s">
        <v>461</v>
      </c>
      <c r="C69" s="29">
        <v>0.37768739105171401</v>
      </c>
      <c r="D69" s="40" t="str">
        <f t="shared" si="2"/>
        <v>Rojo</v>
      </c>
      <c r="E69" s="41">
        <v>3.2089696501063201</v>
      </c>
      <c r="F69" s="40" t="str">
        <f t="shared" si="3"/>
        <v>Amarillo</v>
      </c>
      <c r="K69" s="30"/>
    </row>
    <row r="70" spans="1:11" ht="14.4" x14ac:dyDescent="0.3">
      <c r="A70" s="39">
        <v>20803</v>
      </c>
      <c r="B70" s="42" t="s">
        <v>217</v>
      </c>
      <c r="C70" s="29">
        <v>0.87288597926895795</v>
      </c>
      <c r="D70" s="40" t="str">
        <f t="shared" si="2"/>
        <v>Naranja</v>
      </c>
      <c r="E70" s="41">
        <v>1.71503957783641</v>
      </c>
      <c r="F70" s="40" t="str">
        <f t="shared" si="3"/>
        <v>Naranja</v>
      </c>
      <c r="K70" s="30"/>
    </row>
    <row r="71" spans="1:11" ht="14.4" x14ac:dyDescent="0.3">
      <c r="A71" s="39">
        <v>20804</v>
      </c>
      <c r="B71" s="42" t="s">
        <v>113</v>
      </c>
      <c r="C71" s="29">
        <v>3.2670841274162798</v>
      </c>
      <c r="D71" s="40" t="str">
        <f t="shared" si="2"/>
        <v>Amarillo</v>
      </c>
      <c r="E71" s="41">
        <v>6.6745843230403796</v>
      </c>
      <c r="F71" s="40" t="str">
        <f t="shared" si="3"/>
        <v>Verde</v>
      </c>
      <c r="K71" s="30"/>
    </row>
    <row r="72" spans="1:11" ht="14.4" x14ac:dyDescent="0.3">
      <c r="A72" s="39">
        <v>20805</v>
      </c>
      <c r="B72" s="42" t="s">
        <v>462</v>
      </c>
      <c r="C72" s="29">
        <v>5.9119125036949501E-2</v>
      </c>
      <c r="D72" s="40" t="str">
        <f t="shared" si="2"/>
        <v>Rojo</v>
      </c>
      <c r="E72" s="41">
        <v>1.1539213768824601</v>
      </c>
      <c r="F72" s="40" t="str">
        <f t="shared" si="3"/>
        <v>Naranja</v>
      </c>
      <c r="K72" s="30"/>
    </row>
    <row r="73" spans="1:11" ht="14.4" x14ac:dyDescent="0.3">
      <c r="A73" s="39">
        <v>20806</v>
      </c>
      <c r="B73" s="42" t="s">
        <v>463</v>
      </c>
      <c r="C73" s="29">
        <v>0.10094637223974801</v>
      </c>
      <c r="D73" s="40" t="str">
        <f t="shared" si="2"/>
        <v>Rojo</v>
      </c>
      <c r="E73" s="41">
        <v>1.4207650273224</v>
      </c>
      <c r="F73" s="40" t="str">
        <f t="shared" si="3"/>
        <v>Naranja</v>
      </c>
      <c r="K73" s="30"/>
    </row>
    <row r="74" spans="1:11" ht="14.4" x14ac:dyDescent="0.3">
      <c r="A74" s="39">
        <v>20807</v>
      </c>
      <c r="B74" s="42" t="s">
        <v>123</v>
      </c>
      <c r="C74" s="29">
        <v>0.154162384378212</v>
      </c>
      <c r="D74" s="40" t="str">
        <f t="shared" si="2"/>
        <v>Rojo</v>
      </c>
      <c r="E74" s="41">
        <v>1.06494048861975</v>
      </c>
      <c r="F74" s="40" t="str">
        <f t="shared" si="3"/>
        <v>Naranja</v>
      </c>
      <c r="K74" s="30"/>
    </row>
    <row r="75" spans="1:11" ht="14.4" x14ac:dyDescent="0.3">
      <c r="A75" s="39">
        <v>20901</v>
      </c>
      <c r="B75" s="42" t="s">
        <v>253</v>
      </c>
      <c r="C75" s="29">
        <v>9.0607067351253401E-2</v>
      </c>
      <c r="D75" s="40" t="str">
        <f t="shared" si="2"/>
        <v>Rojo</v>
      </c>
      <c r="E75" s="41">
        <v>1.0551703346397301</v>
      </c>
      <c r="F75" s="40" t="str">
        <f t="shared" si="3"/>
        <v>Naranja</v>
      </c>
      <c r="K75" s="30"/>
    </row>
    <row r="76" spans="1:11" ht="14.4" x14ac:dyDescent="0.3">
      <c r="A76" s="39">
        <v>20902</v>
      </c>
      <c r="B76" s="42" t="s">
        <v>172</v>
      </c>
      <c r="C76" s="29">
        <v>0.13989927252378301</v>
      </c>
      <c r="D76" s="40" t="str">
        <f t="shared" si="2"/>
        <v>Rojo</v>
      </c>
      <c r="E76" s="41">
        <v>0.75881279416002301</v>
      </c>
      <c r="F76" s="40" t="str">
        <f t="shared" si="3"/>
        <v>Rojo</v>
      </c>
      <c r="K76" s="30"/>
    </row>
    <row r="77" spans="1:11" ht="14.4" x14ac:dyDescent="0.3">
      <c r="A77" s="39">
        <v>20903</v>
      </c>
      <c r="B77" s="42" t="s">
        <v>198</v>
      </c>
      <c r="C77" s="29">
        <v>2.68096514745308E-2</v>
      </c>
      <c r="D77" s="40" t="str">
        <f t="shared" si="2"/>
        <v>Rojo</v>
      </c>
      <c r="E77" s="41">
        <v>0.90012858979854304</v>
      </c>
      <c r="F77" s="40" t="str">
        <f t="shared" si="3"/>
        <v>Naranja</v>
      </c>
      <c r="K77" s="30"/>
    </row>
    <row r="78" spans="1:11" ht="14.4" x14ac:dyDescent="0.3">
      <c r="A78" s="39">
        <v>20904</v>
      </c>
      <c r="B78" s="42" t="s">
        <v>107</v>
      </c>
      <c r="C78" s="29">
        <v>0.20259319286871999</v>
      </c>
      <c r="D78" s="40" t="str">
        <f t="shared" si="2"/>
        <v>Rojo</v>
      </c>
      <c r="E78" s="41">
        <v>1.3869625520111</v>
      </c>
      <c r="F78" s="40" t="str">
        <f t="shared" si="3"/>
        <v>Naranja</v>
      </c>
      <c r="K78" s="30"/>
    </row>
    <row r="79" spans="1:11" ht="14.4" x14ac:dyDescent="0.3">
      <c r="A79" s="39">
        <v>20905</v>
      </c>
      <c r="B79" s="42" t="s">
        <v>191</v>
      </c>
      <c r="C79" s="29">
        <v>3.2642402480822598E-2</v>
      </c>
      <c r="D79" s="40" t="str">
        <f t="shared" si="2"/>
        <v>Rojo</v>
      </c>
      <c r="E79" s="41">
        <v>0.79736742184533604</v>
      </c>
      <c r="F79" s="40" t="str">
        <f t="shared" si="3"/>
        <v>Rojo</v>
      </c>
      <c r="K79" s="30"/>
    </row>
    <row r="80" spans="1:11" ht="14.4" x14ac:dyDescent="0.3">
      <c r="A80" s="39">
        <v>21001</v>
      </c>
      <c r="B80" s="42" t="s">
        <v>138</v>
      </c>
      <c r="C80" s="29">
        <v>0.12017625851248501</v>
      </c>
      <c r="D80" s="40" t="str">
        <f t="shared" si="2"/>
        <v>Rojo</v>
      </c>
      <c r="E80" s="41">
        <v>0.78937592867756301</v>
      </c>
      <c r="F80" s="40" t="str">
        <f t="shared" si="3"/>
        <v>Rojo</v>
      </c>
      <c r="K80" s="30"/>
    </row>
    <row r="81" spans="1:11" ht="14.4" x14ac:dyDescent="0.3">
      <c r="A81" s="39">
        <v>21002</v>
      </c>
      <c r="B81" s="42" t="s">
        <v>231</v>
      </c>
      <c r="C81" s="29">
        <v>0.44422507403751199</v>
      </c>
      <c r="D81" s="40" t="str">
        <f t="shared" si="2"/>
        <v>Rojo</v>
      </c>
      <c r="E81" s="41">
        <v>2.6063100137174202</v>
      </c>
      <c r="F81" s="40" t="str">
        <f t="shared" si="3"/>
        <v>Naranja</v>
      </c>
      <c r="K81" s="30"/>
    </row>
    <row r="82" spans="1:11" ht="14.4" x14ac:dyDescent="0.3">
      <c r="A82" s="39">
        <v>21003</v>
      </c>
      <c r="B82" s="42" t="s">
        <v>149</v>
      </c>
      <c r="C82" s="29">
        <v>0.10305736860185501</v>
      </c>
      <c r="D82" s="40" t="str">
        <f t="shared" si="2"/>
        <v>Rojo</v>
      </c>
      <c r="E82" s="41">
        <v>1.4393343078826</v>
      </c>
      <c r="F82" s="40" t="str">
        <f t="shared" si="3"/>
        <v>Naranja</v>
      </c>
      <c r="K82" s="30"/>
    </row>
    <row r="83" spans="1:11" ht="14.4" x14ac:dyDescent="0.3">
      <c r="A83" s="39">
        <v>21004</v>
      </c>
      <c r="B83" s="42" t="s">
        <v>268</v>
      </c>
      <c r="C83" s="29">
        <v>0.222612770943175</v>
      </c>
      <c r="D83" s="40" t="str">
        <f t="shared" si="2"/>
        <v>Rojo</v>
      </c>
      <c r="E83" s="41">
        <v>1.8350227193289099</v>
      </c>
      <c r="F83" s="40" t="str">
        <f t="shared" si="3"/>
        <v>Naranja</v>
      </c>
      <c r="K83" s="30"/>
    </row>
    <row r="84" spans="1:11" ht="14.4" x14ac:dyDescent="0.3">
      <c r="A84" s="39">
        <v>21005</v>
      </c>
      <c r="B84" s="42" t="s">
        <v>132</v>
      </c>
      <c r="C84" s="29">
        <v>5.0352467270896303E-2</v>
      </c>
      <c r="D84" s="40" t="str">
        <f t="shared" si="2"/>
        <v>Rojo</v>
      </c>
      <c r="E84" s="41">
        <v>0.55782818891781305</v>
      </c>
      <c r="F84" s="40" t="str">
        <f t="shared" si="3"/>
        <v>Rojo</v>
      </c>
      <c r="K84" s="30"/>
    </row>
    <row r="85" spans="1:11" ht="14.4" x14ac:dyDescent="0.3">
      <c r="A85" s="39">
        <v>21006</v>
      </c>
      <c r="B85" s="42" t="s">
        <v>67</v>
      </c>
      <c r="C85" s="29">
        <v>0.62761506276150603</v>
      </c>
      <c r="D85" s="40" t="str">
        <f t="shared" si="2"/>
        <v>Rojo</v>
      </c>
      <c r="E85" s="41">
        <v>1.9064565327910501</v>
      </c>
      <c r="F85" s="40" t="str">
        <f t="shared" si="3"/>
        <v>Naranja</v>
      </c>
      <c r="K85" s="30"/>
    </row>
    <row r="86" spans="1:11" ht="14.4" x14ac:dyDescent="0.3">
      <c r="A86" s="39">
        <v>21101</v>
      </c>
      <c r="B86" s="42" t="s">
        <v>245</v>
      </c>
      <c r="C86" s="29">
        <v>0.78236809464745705</v>
      </c>
      <c r="D86" s="40" t="str">
        <f t="shared" si="2"/>
        <v>Rojo</v>
      </c>
      <c r="E86" s="41">
        <v>2.2309477065857601</v>
      </c>
      <c r="F86" s="40" t="str">
        <f t="shared" si="3"/>
        <v>Naranja</v>
      </c>
      <c r="K86" s="30"/>
    </row>
    <row r="87" spans="1:11" ht="14.4" x14ac:dyDescent="0.3">
      <c r="A87" s="39">
        <v>21102</v>
      </c>
      <c r="B87" s="42" t="s">
        <v>273</v>
      </c>
      <c r="C87" s="29">
        <v>0.30401098362263401</v>
      </c>
      <c r="D87" s="40" t="str">
        <f t="shared" si="2"/>
        <v>Rojo</v>
      </c>
      <c r="E87" s="41">
        <v>1.37634105025409</v>
      </c>
      <c r="F87" s="40" t="str">
        <f t="shared" si="3"/>
        <v>Naranja</v>
      </c>
      <c r="K87" s="30"/>
    </row>
    <row r="88" spans="1:11" ht="14.4" x14ac:dyDescent="0.3">
      <c r="A88" s="39">
        <v>21103</v>
      </c>
      <c r="B88" s="42" t="s">
        <v>94</v>
      </c>
      <c r="C88" s="29">
        <v>0.70859167404782997</v>
      </c>
      <c r="D88" s="40" t="str">
        <f t="shared" si="2"/>
        <v>Rojo</v>
      </c>
      <c r="E88" s="41">
        <v>2.6309437605599801</v>
      </c>
      <c r="F88" s="40" t="str">
        <f t="shared" si="3"/>
        <v>Naranja</v>
      </c>
      <c r="K88" s="30"/>
    </row>
    <row r="89" spans="1:11" ht="14.4" x14ac:dyDescent="0.3">
      <c r="A89" s="39">
        <v>21104</v>
      </c>
      <c r="B89" s="42" t="s">
        <v>258</v>
      </c>
      <c r="C89" s="29">
        <v>0.83508936236634701</v>
      </c>
      <c r="D89" s="40" t="str">
        <f t="shared" si="2"/>
        <v>Naranja</v>
      </c>
      <c r="E89" s="41">
        <v>2.6981990642825102</v>
      </c>
      <c r="F89" s="40" t="str">
        <f t="shared" si="3"/>
        <v>Naranja</v>
      </c>
      <c r="K89" s="30"/>
    </row>
    <row r="90" spans="1:11" ht="14.4" x14ac:dyDescent="0.3">
      <c r="A90" s="39">
        <v>21105</v>
      </c>
      <c r="B90" s="42" t="s">
        <v>70</v>
      </c>
      <c r="C90" s="29">
        <v>0.171405968443722</v>
      </c>
      <c r="D90" s="40" t="str">
        <f t="shared" si="2"/>
        <v>Rojo</v>
      </c>
      <c r="E90" s="41">
        <v>0.91729545790797495</v>
      </c>
      <c r="F90" s="40" t="str">
        <f t="shared" si="3"/>
        <v>Naranja</v>
      </c>
      <c r="K90" s="30"/>
    </row>
    <row r="91" spans="1:11" ht="14.4" x14ac:dyDescent="0.3">
      <c r="A91" s="39">
        <v>21201</v>
      </c>
      <c r="B91" s="42" t="s">
        <v>255</v>
      </c>
      <c r="C91" s="29">
        <v>0.23210015473343601</v>
      </c>
      <c r="D91" s="40" t="str">
        <f t="shared" si="2"/>
        <v>Rojo</v>
      </c>
      <c r="E91" s="41">
        <v>2.2219789842381799</v>
      </c>
      <c r="F91" s="40" t="str">
        <f t="shared" si="3"/>
        <v>Naranja</v>
      </c>
      <c r="K91" s="30"/>
    </row>
    <row r="92" spans="1:11" ht="14.4" x14ac:dyDescent="0.3">
      <c r="A92" s="39">
        <v>21202</v>
      </c>
      <c r="B92" s="42" t="s">
        <v>267</v>
      </c>
      <c r="C92" s="29">
        <v>0.195902375316301</v>
      </c>
      <c r="D92" s="40" t="str">
        <f t="shared" si="2"/>
        <v>Rojo</v>
      </c>
      <c r="E92" s="41">
        <v>2.3744975226699099</v>
      </c>
      <c r="F92" s="40" t="str">
        <f t="shared" si="3"/>
        <v>Naranja</v>
      </c>
      <c r="K92" s="30"/>
    </row>
    <row r="93" spans="1:11" ht="14.4" x14ac:dyDescent="0.3">
      <c r="A93" s="39">
        <v>21203</v>
      </c>
      <c r="B93" s="42" t="s">
        <v>277</v>
      </c>
      <c r="C93" s="29">
        <v>0.21682072349651901</v>
      </c>
      <c r="D93" s="40" t="str">
        <f t="shared" si="2"/>
        <v>Rojo</v>
      </c>
      <c r="E93" s="41">
        <v>1.8940321658910899</v>
      </c>
      <c r="F93" s="40" t="str">
        <f t="shared" si="3"/>
        <v>Naranja</v>
      </c>
      <c r="K93" s="30"/>
    </row>
    <row r="94" spans="1:11" ht="14.4" x14ac:dyDescent="0.3">
      <c r="A94" s="39">
        <v>21204</v>
      </c>
      <c r="B94" s="42" t="s">
        <v>199</v>
      </c>
      <c r="C94" s="29">
        <v>0.12441679626749599</v>
      </c>
      <c r="D94" s="40" t="str">
        <f t="shared" si="2"/>
        <v>Rojo</v>
      </c>
      <c r="E94" s="41">
        <v>1.25164690382082</v>
      </c>
      <c r="F94" s="40" t="str">
        <f t="shared" si="3"/>
        <v>Naranja</v>
      </c>
      <c r="K94" s="30"/>
    </row>
    <row r="95" spans="1:11" ht="14.4" x14ac:dyDescent="0.3">
      <c r="A95" s="39">
        <v>21301</v>
      </c>
      <c r="B95" s="42" t="s">
        <v>464</v>
      </c>
      <c r="C95" s="29">
        <v>0.29019918216594098</v>
      </c>
      <c r="D95" s="40" t="str">
        <f t="shared" si="2"/>
        <v>Rojo</v>
      </c>
      <c r="E95" s="41">
        <v>1.7480124256305001</v>
      </c>
      <c r="F95" s="40" t="str">
        <f t="shared" si="3"/>
        <v>Naranja</v>
      </c>
      <c r="K95" s="30"/>
    </row>
    <row r="96" spans="1:11" ht="14.4" x14ac:dyDescent="0.3">
      <c r="A96" s="39">
        <v>21302</v>
      </c>
      <c r="B96" s="42" t="s">
        <v>232</v>
      </c>
      <c r="C96" s="29">
        <v>3.61925443358668E-2</v>
      </c>
      <c r="D96" s="40" t="str">
        <f t="shared" si="2"/>
        <v>Rojo</v>
      </c>
      <c r="E96" s="41">
        <v>0.84608460846084599</v>
      </c>
      <c r="F96" s="40" t="str">
        <f t="shared" si="3"/>
        <v>Naranja</v>
      </c>
      <c r="K96" s="30"/>
    </row>
    <row r="97" spans="1:11" ht="14.4" x14ac:dyDescent="0.3">
      <c r="A97" s="39">
        <v>21303</v>
      </c>
      <c r="B97" s="42" t="s">
        <v>218</v>
      </c>
      <c r="C97" s="29">
        <v>0.38392050587172499</v>
      </c>
      <c r="D97" s="40" t="str">
        <f t="shared" si="2"/>
        <v>Rojo</v>
      </c>
      <c r="E97" s="41">
        <v>1.58424637251999</v>
      </c>
      <c r="F97" s="40" t="str">
        <f t="shared" si="3"/>
        <v>Naranja</v>
      </c>
      <c r="K97" s="30"/>
    </row>
    <row r="98" spans="1:11" ht="14.4" x14ac:dyDescent="0.3">
      <c r="A98" s="39">
        <v>21304</v>
      </c>
      <c r="B98" s="42" t="s">
        <v>249</v>
      </c>
      <c r="C98" s="29">
        <v>0.314740339220143</v>
      </c>
      <c r="D98" s="40" t="str">
        <f t="shared" si="2"/>
        <v>Rojo</v>
      </c>
      <c r="E98" s="41">
        <v>1.4270674932740699</v>
      </c>
      <c r="F98" s="40" t="str">
        <f t="shared" si="3"/>
        <v>Naranja</v>
      </c>
      <c r="K98" s="30"/>
    </row>
    <row r="99" spans="1:11" ht="14.4" x14ac:dyDescent="0.3">
      <c r="A99" s="39">
        <v>21305</v>
      </c>
      <c r="B99" s="42" t="s">
        <v>280</v>
      </c>
      <c r="C99" s="29">
        <v>0.70237872260723</v>
      </c>
      <c r="D99" s="40" t="str">
        <f t="shared" si="2"/>
        <v>Rojo</v>
      </c>
      <c r="E99" s="41">
        <v>4.4903724630138999</v>
      </c>
      <c r="F99" s="40" t="str">
        <f t="shared" si="3"/>
        <v>Amarillo</v>
      </c>
      <c r="K99" s="30"/>
    </row>
    <row r="100" spans="1:11" ht="14.4" x14ac:dyDescent="0.3">
      <c r="A100" s="39">
        <v>21306</v>
      </c>
      <c r="B100" s="42" t="s">
        <v>229</v>
      </c>
      <c r="C100" s="29">
        <v>0.45132172791747299</v>
      </c>
      <c r="D100" s="40" t="str">
        <f t="shared" si="2"/>
        <v>Rojo</v>
      </c>
      <c r="E100" s="41">
        <v>1.4852985753258601</v>
      </c>
      <c r="F100" s="40" t="str">
        <f t="shared" si="3"/>
        <v>Naranja</v>
      </c>
      <c r="K100" s="30"/>
    </row>
    <row r="101" spans="1:11" ht="14.4" x14ac:dyDescent="0.3">
      <c r="A101" s="39">
        <v>21307</v>
      </c>
      <c r="B101" s="42" t="s">
        <v>100</v>
      </c>
      <c r="C101" s="29">
        <v>0.37174721189591098</v>
      </c>
      <c r="D101" s="40" t="str">
        <f t="shared" si="2"/>
        <v>Rojo</v>
      </c>
      <c r="E101" s="41">
        <v>2.2743947175348498</v>
      </c>
      <c r="F101" s="40" t="str">
        <f t="shared" si="3"/>
        <v>Naranja</v>
      </c>
      <c r="K101" s="30"/>
    </row>
    <row r="102" spans="1:11" ht="14.4" x14ac:dyDescent="0.3">
      <c r="A102" s="39">
        <v>21401</v>
      </c>
      <c r="B102" s="42" t="s">
        <v>284</v>
      </c>
      <c r="C102" s="29">
        <v>1.9934146124410399</v>
      </c>
      <c r="D102" s="40" t="str">
        <f t="shared" si="2"/>
        <v>Naranja</v>
      </c>
      <c r="E102" s="41">
        <v>4.0363843092666301</v>
      </c>
      <c r="F102" s="40" t="str">
        <f t="shared" si="3"/>
        <v>Amarillo</v>
      </c>
      <c r="K102" s="30"/>
    </row>
    <row r="103" spans="1:11" ht="14.4" x14ac:dyDescent="0.3">
      <c r="A103" s="39">
        <v>21402</v>
      </c>
      <c r="B103" s="42" t="s">
        <v>220</v>
      </c>
      <c r="C103" s="29">
        <v>0.25277075636787899</v>
      </c>
      <c r="D103" s="40" t="str">
        <f t="shared" si="2"/>
        <v>Rojo</v>
      </c>
      <c r="E103" s="41">
        <v>1.1985373781148401</v>
      </c>
      <c r="F103" s="40" t="str">
        <f t="shared" si="3"/>
        <v>Naranja</v>
      </c>
      <c r="K103" s="30"/>
    </row>
    <row r="104" spans="1:11" ht="14.4" x14ac:dyDescent="0.3">
      <c r="A104" s="39">
        <v>21501</v>
      </c>
      <c r="B104" s="42" t="s">
        <v>194</v>
      </c>
      <c r="C104" s="29">
        <v>0.97061909758656895</v>
      </c>
      <c r="D104" s="40" t="str">
        <f t="shared" si="2"/>
        <v>Naranja</v>
      </c>
      <c r="E104" s="41">
        <v>2.4840660238601102</v>
      </c>
      <c r="F104" s="40" t="str">
        <f t="shared" si="3"/>
        <v>Naranja</v>
      </c>
      <c r="K104" s="30"/>
    </row>
    <row r="105" spans="1:11" ht="14.4" x14ac:dyDescent="0.3">
      <c r="A105" s="39">
        <v>21502</v>
      </c>
      <c r="B105" s="42" t="s">
        <v>133</v>
      </c>
      <c r="C105" s="29">
        <v>4.80497456189938</v>
      </c>
      <c r="D105" s="40" t="str">
        <f t="shared" si="2"/>
        <v>Amarillo</v>
      </c>
      <c r="E105" s="41">
        <v>6.0729613733905596</v>
      </c>
      <c r="F105" s="40" t="str">
        <f t="shared" si="3"/>
        <v>Verde</v>
      </c>
      <c r="K105" s="30"/>
    </row>
    <row r="106" spans="1:11" ht="14.4" x14ac:dyDescent="0.3">
      <c r="A106" s="39">
        <v>21601</v>
      </c>
      <c r="B106" s="42" t="s">
        <v>465</v>
      </c>
      <c r="C106" s="29">
        <v>0.17257609036711599</v>
      </c>
      <c r="D106" s="40" t="str">
        <f t="shared" si="2"/>
        <v>Rojo</v>
      </c>
      <c r="E106" s="41">
        <v>1.1743034768593099</v>
      </c>
      <c r="F106" s="40" t="str">
        <f t="shared" si="3"/>
        <v>Naranja</v>
      </c>
      <c r="K106" s="30"/>
    </row>
    <row r="107" spans="1:11" ht="14.4" x14ac:dyDescent="0.3">
      <c r="A107" s="39">
        <v>21602</v>
      </c>
      <c r="B107" s="42" t="s">
        <v>108</v>
      </c>
      <c r="C107" s="29">
        <v>0.26333113890717602</v>
      </c>
      <c r="D107" s="40" t="str">
        <f t="shared" si="2"/>
        <v>Rojo</v>
      </c>
      <c r="E107" s="41">
        <v>0.81859855926653602</v>
      </c>
      <c r="F107" s="40" t="str">
        <f t="shared" si="3"/>
        <v>Naranja</v>
      </c>
      <c r="K107" s="30"/>
    </row>
    <row r="108" spans="1:11" ht="14.4" x14ac:dyDescent="0.3">
      <c r="A108" s="39">
        <v>21701</v>
      </c>
      <c r="B108" s="42" t="s">
        <v>251</v>
      </c>
      <c r="C108" s="29">
        <v>5.5068040188223302</v>
      </c>
      <c r="D108" s="40" t="str">
        <f t="shared" si="2"/>
        <v>Verde</v>
      </c>
      <c r="E108" s="41">
        <v>7.666015625</v>
      </c>
      <c r="F108" s="40" t="str">
        <f t="shared" si="3"/>
        <v>Verde</v>
      </c>
      <c r="K108" s="30"/>
    </row>
    <row r="109" spans="1:11" ht="14.4" x14ac:dyDescent="0.3">
      <c r="A109" s="39">
        <v>21702</v>
      </c>
      <c r="B109" s="42" t="s">
        <v>184</v>
      </c>
      <c r="C109" s="29">
        <v>3.6279069767441898</v>
      </c>
      <c r="D109" s="40" t="str">
        <f t="shared" si="2"/>
        <v>Amarillo</v>
      </c>
      <c r="E109" s="41">
        <v>4.9342105263157903</v>
      </c>
      <c r="F109" s="40" t="str">
        <f t="shared" si="3"/>
        <v>Verde</v>
      </c>
      <c r="K109" s="30"/>
    </row>
    <row r="110" spans="1:11" ht="14.4" x14ac:dyDescent="0.3">
      <c r="A110" s="39">
        <v>21703</v>
      </c>
      <c r="B110" s="42" t="s">
        <v>135</v>
      </c>
      <c r="C110" s="29">
        <v>0.21192854980320899</v>
      </c>
      <c r="D110" s="40" t="str">
        <f t="shared" si="2"/>
        <v>Rojo</v>
      </c>
      <c r="E110" s="41">
        <v>1.3093980992608201</v>
      </c>
      <c r="F110" s="40" t="str">
        <f t="shared" si="3"/>
        <v>Naranja</v>
      </c>
      <c r="K110" s="30"/>
    </row>
    <row r="111" spans="1:11" ht="14.4" x14ac:dyDescent="0.3">
      <c r="A111" s="39">
        <v>21801</v>
      </c>
      <c r="B111" s="42" t="s">
        <v>314</v>
      </c>
      <c r="C111" s="29">
        <v>0.13172751223184001</v>
      </c>
      <c r="D111" s="40" t="str">
        <f t="shared" si="2"/>
        <v>Rojo</v>
      </c>
      <c r="E111" s="41">
        <v>0.54533060668029998</v>
      </c>
      <c r="F111" s="40" t="str">
        <f t="shared" si="3"/>
        <v>Rojo</v>
      </c>
      <c r="K111" s="30"/>
    </row>
    <row r="112" spans="1:11" ht="14.4" x14ac:dyDescent="0.3">
      <c r="A112" s="39">
        <v>21802</v>
      </c>
      <c r="B112" s="42" t="s">
        <v>197</v>
      </c>
      <c r="C112" s="29">
        <v>7.8349438495690801E-2</v>
      </c>
      <c r="D112" s="40" t="str">
        <f t="shared" si="2"/>
        <v>Rojo</v>
      </c>
      <c r="E112" s="41">
        <v>0.76628352490421403</v>
      </c>
      <c r="F112" s="40" t="str">
        <f t="shared" si="3"/>
        <v>Rojo</v>
      </c>
      <c r="K112" s="30"/>
    </row>
    <row r="113" spans="1:11" ht="14.4" x14ac:dyDescent="0.3">
      <c r="A113" s="39">
        <v>21803</v>
      </c>
      <c r="B113" s="42" t="s">
        <v>49</v>
      </c>
      <c r="C113" s="29">
        <v>8.8573959255978704E-2</v>
      </c>
      <c r="D113" s="40" t="str">
        <f t="shared" si="2"/>
        <v>Rojo</v>
      </c>
      <c r="E113" s="41">
        <v>1.04501607717042</v>
      </c>
      <c r="F113" s="40" t="str">
        <f t="shared" si="3"/>
        <v>Naranja</v>
      </c>
      <c r="K113" s="30"/>
    </row>
    <row r="114" spans="1:11" ht="14.4" x14ac:dyDescent="0.3">
      <c r="A114" s="39">
        <v>21901</v>
      </c>
      <c r="B114" s="42" t="s">
        <v>50</v>
      </c>
      <c r="C114" s="29">
        <v>0.44624746450304298</v>
      </c>
      <c r="D114" s="40" t="str">
        <f t="shared" si="2"/>
        <v>Rojo</v>
      </c>
      <c r="E114" s="41">
        <v>1.74011299435028</v>
      </c>
      <c r="F114" s="40" t="str">
        <f t="shared" si="3"/>
        <v>Naranja</v>
      </c>
      <c r="K114" s="30"/>
    </row>
    <row r="115" spans="1:11" ht="14.4" x14ac:dyDescent="0.3">
      <c r="A115" s="39">
        <v>21902</v>
      </c>
      <c r="B115" s="42" t="s">
        <v>28</v>
      </c>
      <c r="C115" s="29">
        <v>0.21097046413502099</v>
      </c>
      <c r="D115" s="40" t="str">
        <f t="shared" si="2"/>
        <v>Rojo</v>
      </c>
      <c r="E115" s="41">
        <v>0.91743119266055095</v>
      </c>
      <c r="F115" s="40" t="str">
        <f t="shared" si="3"/>
        <v>Naranja</v>
      </c>
      <c r="K115" s="30"/>
    </row>
    <row r="116" spans="1:11" ht="14.4" x14ac:dyDescent="0.3">
      <c r="A116" s="39">
        <v>22001</v>
      </c>
      <c r="B116" s="42" t="s">
        <v>260</v>
      </c>
      <c r="C116" s="29">
        <v>0.90379223845359302</v>
      </c>
      <c r="D116" s="40" t="str">
        <f t="shared" si="2"/>
        <v>Naranja</v>
      </c>
      <c r="E116" s="41">
        <v>3.8628625102735699</v>
      </c>
      <c r="F116" s="40" t="str">
        <f t="shared" si="3"/>
        <v>Amarillo</v>
      </c>
      <c r="K116" s="30"/>
    </row>
    <row r="117" spans="1:11" ht="14.4" x14ac:dyDescent="0.3">
      <c r="A117" s="39">
        <v>22002</v>
      </c>
      <c r="B117" s="42" t="s">
        <v>185</v>
      </c>
      <c r="C117" s="29">
        <v>0.31725888324873103</v>
      </c>
      <c r="D117" s="40" t="str">
        <f t="shared" si="2"/>
        <v>Rojo</v>
      </c>
      <c r="E117" s="41">
        <v>1.2320648783530901</v>
      </c>
      <c r="F117" s="40" t="str">
        <f t="shared" si="3"/>
        <v>Naranja</v>
      </c>
      <c r="K117" s="30"/>
    </row>
    <row r="118" spans="1:11" ht="14.4" x14ac:dyDescent="0.3">
      <c r="A118" s="39">
        <v>30101</v>
      </c>
      <c r="B118" s="42" t="s">
        <v>51</v>
      </c>
      <c r="C118" s="29">
        <v>2.18261898290995</v>
      </c>
      <c r="D118" s="40" t="str">
        <f t="shared" si="2"/>
        <v>Naranja</v>
      </c>
      <c r="E118" s="41">
        <v>7.0517099967574</v>
      </c>
      <c r="F118" s="40" t="str">
        <f t="shared" si="3"/>
        <v>Verde</v>
      </c>
      <c r="K118" s="30"/>
    </row>
    <row r="119" spans="1:11" ht="14.4" x14ac:dyDescent="0.3">
      <c r="A119" s="39">
        <v>30201</v>
      </c>
      <c r="B119" s="42" t="s">
        <v>252</v>
      </c>
      <c r="C119" s="29">
        <v>0.77649026400668997</v>
      </c>
      <c r="D119" s="40" t="str">
        <f t="shared" si="2"/>
        <v>Rojo</v>
      </c>
      <c r="E119" s="41">
        <v>3.52048052056394</v>
      </c>
      <c r="F119" s="40" t="str">
        <f t="shared" si="3"/>
        <v>Amarillo</v>
      </c>
      <c r="K119" s="30"/>
    </row>
    <row r="120" spans="1:11" ht="14.4" x14ac:dyDescent="0.3">
      <c r="A120" s="39">
        <v>30202</v>
      </c>
      <c r="B120" s="42" t="s">
        <v>145</v>
      </c>
      <c r="C120" s="29">
        <v>0.23442732752846601</v>
      </c>
      <c r="D120" s="40" t="str">
        <f t="shared" si="2"/>
        <v>Rojo</v>
      </c>
      <c r="E120" s="41">
        <v>1.6253443526170801</v>
      </c>
      <c r="F120" s="40" t="str">
        <f t="shared" si="3"/>
        <v>Naranja</v>
      </c>
      <c r="K120" s="30"/>
    </row>
    <row r="121" spans="1:11" ht="14.4" x14ac:dyDescent="0.3">
      <c r="A121" s="39">
        <v>30203</v>
      </c>
      <c r="B121" s="42" t="s">
        <v>56</v>
      </c>
      <c r="C121" s="29">
        <v>0.151975683890578</v>
      </c>
      <c r="D121" s="40" t="str">
        <f t="shared" si="2"/>
        <v>Rojo</v>
      </c>
      <c r="E121" s="41">
        <v>1.49933065595716</v>
      </c>
      <c r="F121" s="40" t="str">
        <f t="shared" si="3"/>
        <v>Naranja</v>
      </c>
      <c r="K121" s="30"/>
    </row>
    <row r="122" spans="1:11" ht="14.4" x14ac:dyDescent="0.3">
      <c r="A122" s="39">
        <v>30301</v>
      </c>
      <c r="B122" s="42" t="s">
        <v>369</v>
      </c>
      <c r="C122" s="29">
        <v>0.26131591227251499</v>
      </c>
      <c r="D122" s="40" t="str">
        <f t="shared" si="2"/>
        <v>Rojo</v>
      </c>
      <c r="E122" s="41">
        <v>1.38455044322499</v>
      </c>
      <c r="F122" s="40" t="str">
        <f t="shared" si="3"/>
        <v>Naranja</v>
      </c>
      <c r="K122" s="30"/>
    </row>
    <row r="123" spans="1:11" ht="14.4" x14ac:dyDescent="0.3">
      <c r="A123" s="39">
        <v>30302</v>
      </c>
      <c r="B123" s="42" t="s">
        <v>177</v>
      </c>
      <c r="C123" s="29">
        <v>6.5692231893578604E-2</v>
      </c>
      <c r="D123" s="40" t="str">
        <f t="shared" si="2"/>
        <v>Rojo</v>
      </c>
      <c r="E123" s="41">
        <v>0.75334143377885798</v>
      </c>
      <c r="F123" s="40" t="str">
        <f t="shared" si="3"/>
        <v>Rojo</v>
      </c>
      <c r="K123" s="30"/>
    </row>
    <row r="124" spans="1:11" ht="14.4" x14ac:dyDescent="0.3">
      <c r="A124" s="39">
        <v>30303</v>
      </c>
      <c r="B124" s="42" t="s">
        <v>66</v>
      </c>
      <c r="C124" s="29">
        <v>0.108892921960073</v>
      </c>
      <c r="D124" s="40" t="str">
        <f t="shared" si="2"/>
        <v>Rojo</v>
      </c>
      <c r="E124" s="41">
        <v>0.39117071807767501</v>
      </c>
      <c r="F124" s="40" t="str">
        <f t="shared" si="3"/>
        <v>Rojo</v>
      </c>
      <c r="K124" s="30"/>
    </row>
    <row r="125" spans="1:11" ht="14.4" x14ac:dyDescent="0.3">
      <c r="A125" s="39">
        <v>30401</v>
      </c>
      <c r="B125" s="42" t="s">
        <v>171</v>
      </c>
      <c r="C125" s="29">
        <v>0.746521886664404</v>
      </c>
      <c r="D125" s="40" t="str">
        <f t="shared" si="2"/>
        <v>Rojo</v>
      </c>
      <c r="E125" s="41">
        <v>4.41939524065128</v>
      </c>
      <c r="F125" s="40" t="str">
        <f t="shared" si="3"/>
        <v>Amarillo</v>
      </c>
      <c r="K125" s="30"/>
    </row>
    <row r="126" spans="1:11" ht="14.4" x14ac:dyDescent="0.3">
      <c r="A126" s="39">
        <v>30402</v>
      </c>
      <c r="B126" s="42" t="s">
        <v>153</v>
      </c>
      <c r="C126" s="29">
        <v>0.22793878215565</v>
      </c>
      <c r="D126" s="40" t="str">
        <f t="shared" si="2"/>
        <v>Rojo</v>
      </c>
      <c r="E126" s="41">
        <v>1.44473874307729</v>
      </c>
      <c r="F126" s="40" t="str">
        <f t="shared" si="3"/>
        <v>Naranja</v>
      </c>
      <c r="K126" s="30"/>
    </row>
    <row r="127" spans="1:11" ht="14.4" x14ac:dyDescent="0.3">
      <c r="A127" s="39">
        <v>30403</v>
      </c>
      <c r="B127" s="42" t="s">
        <v>259</v>
      </c>
      <c r="C127" s="29">
        <v>1.3477088948787099</v>
      </c>
      <c r="D127" s="40" t="str">
        <f t="shared" si="2"/>
        <v>Naranja</v>
      </c>
      <c r="E127" s="41">
        <v>5.78642443315929</v>
      </c>
      <c r="F127" s="40" t="str">
        <f t="shared" si="3"/>
        <v>Verde</v>
      </c>
      <c r="K127" s="30"/>
    </row>
    <row r="128" spans="1:11" ht="14.4" x14ac:dyDescent="0.3">
      <c r="A128" s="39">
        <v>30404</v>
      </c>
      <c r="B128" s="42" t="s">
        <v>155</v>
      </c>
      <c r="C128" s="29">
        <v>0.40485829959514202</v>
      </c>
      <c r="D128" s="40" t="str">
        <f t="shared" si="2"/>
        <v>Rojo</v>
      </c>
      <c r="E128" s="41">
        <v>1.1216859279401801</v>
      </c>
      <c r="F128" s="40" t="str">
        <f t="shared" si="3"/>
        <v>Naranja</v>
      </c>
      <c r="K128" s="30"/>
    </row>
    <row r="129" spans="1:11" ht="14.4" x14ac:dyDescent="0.3">
      <c r="A129" s="39">
        <v>30501</v>
      </c>
      <c r="B129" s="42" t="s">
        <v>179</v>
      </c>
      <c r="C129" s="29">
        <v>0.49111318989710001</v>
      </c>
      <c r="D129" s="40" t="str">
        <f t="shared" si="2"/>
        <v>Rojo</v>
      </c>
      <c r="E129" s="41">
        <v>2.8186856690419599</v>
      </c>
      <c r="F129" s="40" t="str">
        <f t="shared" si="3"/>
        <v>Naranja</v>
      </c>
      <c r="K129" s="30"/>
    </row>
    <row r="130" spans="1:11" ht="14.4" x14ac:dyDescent="0.3">
      <c r="A130" s="39">
        <v>30502</v>
      </c>
      <c r="B130" s="42" t="s">
        <v>238</v>
      </c>
      <c r="C130" s="29">
        <v>0.156215130551216</v>
      </c>
      <c r="D130" s="40" t="str">
        <f t="shared" si="2"/>
        <v>Rojo</v>
      </c>
      <c r="E130" s="41">
        <v>1.8367733383828799</v>
      </c>
      <c r="F130" s="40" t="str">
        <f t="shared" si="3"/>
        <v>Naranja</v>
      </c>
      <c r="K130" s="30"/>
    </row>
    <row r="131" spans="1:11" ht="14.4" x14ac:dyDescent="0.3">
      <c r="A131" s="39">
        <v>30601</v>
      </c>
      <c r="B131" s="42" t="s">
        <v>128</v>
      </c>
      <c r="C131" s="29">
        <v>0.124197888635893</v>
      </c>
      <c r="D131" s="40" t="str">
        <f t="shared" ref="D131:D194" si="4">IF(C131&lt;=0.818,"Rojo",
   IF(C131&lt;=2.822,"Naranja",
   IF(C131&lt;=4.82,"Amarillo","Verde")))</f>
        <v>Rojo</v>
      </c>
      <c r="E131" s="41">
        <v>0.99755317146621503</v>
      </c>
      <c r="F131" s="40" t="str">
        <f t="shared" ref="F131:F194" si="5">IF(E131&lt;=0.818,"Rojo",
   IF(E131&lt;=2.822,"Naranja",
   IF(E131&lt;=4.82,"Amarillo","Verde")))</f>
        <v>Naranja</v>
      </c>
      <c r="K131" s="30"/>
    </row>
    <row r="132" spans="1:11" ht="14.4" x14ac:dyDescent="0.3">
      <c r="A132" s="39">
        <v>30602</v>
      </c>
      <c r="B132" s="42" t="s">
        <v>48</v>
      </c>
      <c r="C132" s="29">
        <v>5.8731401722787797E-2</v>
      </c>
      <c r="D132" s="40" t="str">
        <f t="shared" si="4"/>
        <v>Rojo</v>
      </c>
      <c r="E132" s="41">
        <v>0.69398545935227995</v>
      </c>
      <c r="F132" s="40" t="str">
        <f t="shared" si="5"/>
        <v>Rojo</v>
      </c>
      <c r="K132" s="30"/>
    </row>
    <row r="133" spans="1:11" ht="14.4" x14ac:dyDescent="0.3">
      <c r="A133" s="39">
        <v>30701</v>
      </c>
      <c r="B133" s="42" t="s">
        <v>269</v>
      </c>
      <c r="C133" s="29">
        <v>0.58514449486505804</v>
      </c>
      <c r="D133" s="40" t="str">
        <f t="shared" si="4"/>
        <v>Rojo</v>
      </c>
      <c r="E133" s="41">
        <v>3.8370538010492701</v>
      </c>
      <c r="F133" s="40" t="str">
        <f t="shared" si="5"/>
        <v>Amarillo</v>
      </c>
      <c r="K133" s="30"/>
    </row>
    <row r="134" spans="1:11" ht="14.4" x14ac:dyDescent="0.3">
      <c r="A134" s="39">
        <v>30702</v>
      </c>
      <c r="B134" s="42" t="s">
        <v>466</v>
      </c>
      <c r="C134" s="29">
        <v>0.40950040950041</v>
      </c>
      <c r="D134" s="40" t="str">
        <f t="shared" si="4"/>
        <v>Rojo</v>
      </c>
      <c r="E134" s="41">
        <v>3.3613445378151301</v>
      </c>
      <c r="F134" s="40" t="str">
        <f t="shared" si="5"/>
        <v>Amarillo</v>
      </c>
      <c r="K134" s="30"/>
    </row>
    <row r="135" spans="1:11" ht="14.4" x14ac:dyDescent="0.3">
      <c r="A135" s="39">
        <v>30703</v>
      </c>
      <c r="B135" s="42" t="s">
        <v>96</v>
      </c>
      <c r="C135" s="29">
        <v>0</v>
      </c>
      <c r="D135" s="40" t="str">
        <f t="shared" si="4"/>
        <v>Rojo</v>
      </c>
      <c r="E135" s="41">
        <v>1.11164813919768</v>
      </c>
      <c r="F135" s="40" t="str">
        <f t="shared" si="5"/>
        <v>Naranja</v>
      </c>
      <c r="K135" s="30"/>
    </row>
    <row r="136" spans="1:11" ht="14.4" x14ac:dyDescent="0.3">
      <c r="A136" s="39">
        <v>30801</v>
      </c>
      <c r="B136" s="42" t="s">
        <v>202</v>
      </c>
      <c r="C136" s="29">
        <v>1.3081395348837199</v>
      </c>
      <c r="D136" s="40" t="str">
        <f t="shared" si="4"/>
        <v>Naranja</v>
      </c>
      <c r="E136" s="41">
        <v>4.9093444909344504</v>
      </c>
      <c r="F136" s="40" t="str">
        <f t="shared" si="5"/>
        <v>Verde</v>
      </c>
      <c r="K136" s="30"/>
    </row>
    <row r="137" spans="1:11" ht="14.4" x14ac:dyDescent="0.3">
      <c r="A137" s="39">
        <v>30802</v>
      </c>
      <c r="B137" s="42" t="s">
        <v>315</v>
      </c>
      <c r="C137" s="29">
        <v>0.35971223021582699</v>
      </c>
      <c r="D137" s="40" t="str">
        <f t="shared" si="4"/>
        <v>Rojo</v>
      </c>
      <c r="E137" s="41">
        <v>1.3346515076618899</v>
      </c>
      <c r="F137" s="40" t="str">
        <f t="shared" si="5"/>
        <v>Naranja</v>
      </c>
      <c r="K137" s="30"/>
    </row>
    <row r="138" spans="1:11" ht="14.4" x14ac:dyDescent="0.3">
      <c r="A138" s="39">
        <v>30803</v>
      </c>
      <c r="B138" s="42" t="s">
        <v>19</v>
      </c>
      <c r="C138" s="29">
        <v>3.3278777959629</v>
      </c>
      <c r="D138" s="40" t="str">
        <f t="shared" si="4"/>
        <v>Amarillo</v>
      </c>
      <c r="E138" s="41">
        <v>7.3862282582797203</v>
      </c>
      <c r="F138" s="40" t="str">
        <f t="shared" si="5"/>
        <v>Verde</v>
      </c>
      <c r="K138" s="30"/>
    </row>
    <row r="139" spans="1:11" ht="14.4" x14ac:dyDescent="0.3">
      <c r="A139" s="39">
        <v>30901</v>
      </c>
      <c r="B139" s="42" t="s">
        <v>299</v>
      </c>
      <c r="C139" s="29">
        <v>1.6943076545725599</v>
      </c>
      <c r="D139" s="40" t="str">
        <f t="shared" si="4"/>
        <v>Naranja</v>
      </c>
      <c r="E139" s="41">
        <v>6.6645006173240597</v>
      </c>
      <c r="F139" s="40" t="str">
        <f t="shared" si="5"/>
        <v>Verde</v>
      </c>
      <c r="K139" s="30"/>
    </row>
    <row r="140" spans="1:11" ht="14.4" x14ac:dyDescent="0.3">
      <c r="A140" s="39">
        <v>30902</v>
      </c>
      <c r="B140" s="42" t="s">
        <v>467</v>
      </c>
      <c r="C140" s="29">
        <v>0.74235807860262004</v>
      </c>
      <c r="D140" s="40" t="str">
        <f t="shared" si="4"/>
        <v>Rojo</v>
      </c>
      <c r="E140" s="41">
        <v>4.82997701865773</v>
      </c>
      <c r="F140" s="40" t="str">
        <f t="shared" si="5"/>
        <v>Verde</v>
      </c>
      <c r="K140" s="30"/>
    </row>
    <row r="141" spans="1:11" ht="14.4" x14ac:dyDescent="0.3">
      <c r="A141" s="39">
        <v>30903</v>
      </c>
      <c r="B141" s="42" t="s">
        <v>283</v>
      </c>
      <c r="C141" s="29">
        <v>1.4581483385521301</v>
      </c>
      <c r="D141" s="40" t="str">
        <f t="shared" si="4"/>
        <v>Naranja</v>
      </c>
      <c r="E141" s="41">
        <v>7.0942960092460403</v>
      </c>
      <c r="F141" s="40" t="str">
        <f t="shared" si="5"/>
        <v>Verde</v>
      </c>
      <c r="K141" s="30"/>
    </row>
    <row r="142" spans="1:11" ht="14.4" x14ac:dyDescent="0.3">
      <c r="A142" s="39">
        <v>30904</v>
      </c>
      <c r="B142" s="42" t="s">
        <v>288</v>
      </c>
      <c r="C142" s="29">
        <v>1.1388479332960499</v>
      </c>
      <c r="D142" s="40" t="str">
        <f t="shared" si="4"/>
        <v>Naranja</v>
      </c>
      <c r="E142" s="41">
        <v>5.9104872263483301</v>
      </c>
      <c r="F142" s="40" t="str">
        <f t="shared" si="5"/>
        <v>Verde</v>
      </c>
      <c r="K142" s="30"/>
    </row>
    <row r="143" spans="1:11" ht="14.4" x14ac:dyDescent="0.3">
      <c r="A143" s="39">
        <v>30905</v>
      </c>
      <c r="B143" s="42" t="s">
        <v>213</v>
      </c>
      <c r="C143" s="29">
        <v>2.03624415015434</v>
      </c>
      <c r="D143" s="40" t="str">
        <f t="shared" si="4"/>
        <v>Naranja</v>
      </c>
      <c r="E143" s="41">
        <v>7.2284486935176497</v>
      </c>
      <c r="F143" s="40" t="str">
        <f t="shared" si="5"/>
        <v>Verde</v>
      </c>
      <c r="K143" s="30"/>
    </row>
    <row r="144" spans="1:11" ht="14.4" x14ac:dyDescent="0.3">
      <c r="A144" s="39">
        <v>31001</v>
      </c>
      <c r="B144" s="42" t="s">
        <v>303</v>
      </c>
      <c r="C144" s="29">
        <v>1.53198932432636</v>
      </c>
      <c r="D144" s="40" t="str">
        <f t="shared" si="4"/>
        <v>Naranja</v>
      </c>
      <c r="E144" s="41">
        <v>6.3932624699738403</v>
      </c>
      <c r="F144" s="40" t="str">
        <f t="shared" si="5"/>
        <v>Verde</v>
      </c>
      <c r="K144" s="30"/>
    </row>
    <row r="145" spans="1:11" ht="14.4" x14ac:dyDescent="0.3">
      <c r="A145" s="39">
        <v>31002</v>
      </c>
      <c r="B145" s="42" t="s">
        <v>275</v>
      </c>
      <c r="C145" s="29">
        <v>0.422785936804628</v>
      </c>
      <c r="D145" s="40" t="str">
        <f t="shared" si="4"/>
        <v>Rojo</v>
      </c>
      <c r="E145" s="41">
        <v>2.7980037633968702</v>
      </c>
      <c r="F145" s="40" t="str">
        <f t="shared" si="5"/>
        <v>Naranja</v>
      </c>
      <c r="K145" s="30"/>
    </row>
    <row r="146" spans="1:11" ht="14.4" x14ac:dyDescent="0.3">
      <c r="A146" s="39">
        <v>31003</v>
      </c>
      <c r="B146" s="42" t="s">
        <v>195</v>
      </c>
      <c r="C146" s="29">
        <v>0.638128157404945</v>
      </c>
      <c r="D146" s="40" t="str">
        <f t="shared" si="4"/>
        <v>Rojo</v>
      </c>
      <c r="E146" s="41">
        <v>2.43874046912287</v>
      </c>
      <c r="F146" s="40" t="str">
        <f t="shared" si="5"/>
        <v>Naranja</v>
      </c>
      <c r="K146" s="30"/>
    </row>
    <row r="147" spans="1:11" ht="14.4" x14ac:dyDescent="0.3">
      <c r="A147" s="39">
        <v>31101</v>
      </c>
      <c r="B147" s="42" t="s">
        <v>63</v>
      </c>
      <c r="C147" s="29">
        <v>0.12628388617612399</v>
      </c>
      <c r="D147" s="40" t="str">
        <f t="shared" si="4"/>
        <v>Rojo</v>
      </c>
      <c r="E147" s="41">
        <v>0.88235294117647101</v>
      </c>
      <c r="F147" s="40" t="str">
        <f t="shared" si="5"/>
        <v>Naranja</v>
      </c>
      <c r="K147" s="30"/>
    </row>
    <row r="148" spans="1:11" ht="14.4" x14ac:dyDescent="0.3">
      <c r="A148" s="39">
        <v>31201</v>
      </c>
      <c r="B148" s="42" t="s">
        <v>180</v>
      </c>
      <c r="C148" s="29">
        <v>0.30311778290993102</v>
      </c>
      <c r="D148" s="40" t="str">
        <f t="shared" si="4"/>
        <v>Rojo</v>
      </c>
      <c r="E148" s="41">
        <v>1.3495760181535901</v>
      </c>
      <c r="F148" s="40" t="str">
        <f t="shared" si="5"/>
        <v>Naranja</v>
      </c>
      <c r="K148" s="30"/>
    </row>
    <row r="149" spans="1:11" ht="14.4" x14ac:dyDescent="0.3">
      <c r="A149" s="39">
        <v>31202</v>
      </c>
      <c r="B149" s="42" t="s">
        <v>205</v>
      </c>
      <c r="C149" s="29">
        <v>0.17346053772766701</v>
      </c>
      <c r="D149" s="40" t="str">
        <f t="shared" si="4"/>
        <v>Rojo</v>
      </c>
      <c r="E149" s="41">
        <v>1.1718155531882499</v>
      </c>
      <c r="F149" s="40" t="str">
        <f t="shared" si="5"/>
        <v>Naranja</v>
      </c>
      <c r="K149" s="30"/>
    </row>
    <row r="150" spans="1:11" ht="14.4" x14ac:dyDescent="0.3">
      <c r="A150" s="39">
        <v>31203</v>
      </c>
      <c r="B150" s="42" t="s">
        <v>242</v>
      </c>
      <c r="C150" s="29">
        <v>0.21231422505307901</v>
      </c>
      <c r="D150" s="40" t="str">
        <f t="shared" si="4"/>
        <v>Rojo</v>
      </c>
      <c r="E150" s="41">
        <v>0.86365567039501601</v>
      </c>
      <c r="F150" s="40" t="str">
        <f t="shared" si="5"/>
        <v>Naranja</v>
      </c>
      <c r="K150" s="30"/>
    </row>
    <row r="151" spans="1:11" ht="14.4" x14ac:dyDescent="0.3">
      <c r="A151" s="39">
        <v>31204</v>
      </c>
      <c r="B151" s="42" t="s">
        <v>237</v>
      </c>
      <c r="C151" s="29">
        <v>0.73282442748091603</v>
      </c>
      <c r="D151" s="40" t="str">
        <f t="shared" si="4"/>
        <v>Rojo</v>
      </c>
      <c r="E151" s="41">
        <v>3.60403652090341</v>
      </c>
      <c r="F151" s="40" t="str">
        <f t="shared" si="5"/>
        <v>Amarillo</v>
      </c>
      <c r="K151" s="30"/>
    </row>
    <row r="152" spans="1:11" ht="14.4" x14ac:dyDescent="0.3">
      <c r="A152" s="39">
        <v>31205</v>
      </c>
      <c r="B152" s="42" t="s">
        <v>270</v>
      </c>
      <c r="C152" s="29">
        <v>0.75271299930731905</v>
      </c>
      <c r="D152" s="40" t="str">
        <f t="shared" si="4"/>
        <v>Rojo</v>
      </c>
      <c r="E152" s="41">
        <v>3.6091473711325501</v>
      </c>
      <c r="F152" s="40" t="str">
        <f t="shared" si="5"/>
        <v>Amarillo</v>
      </c>
      <c r="K152" s="30"/>
    </row>
    <row r="153" spans="1:11" ht="14.4" x14ac:dyDescent="0.3">
      <c r="A153" s="39">
        <v>31206</v>
      </c>
      <c r="B153" s="42" t="s">
        <v>223</v>
      </c>
      <c r="C153" s="29">
        <v>0.73994252873563204</v>
      </c>
      <c r="D153" s="40" t="str">
        <f t="shared" si="4"/>
        <v>Rojo</v>
      </c>
      <c r="E153" s="41">
        <v>3.7715153560580501</v>
      </c>
      <c r="F153" s="40" t="str">
        <f t="shared" si="5"/>
        <v>Amarillo</v>
      </c>
      <c r="K153" s="30"/>
    </row>
    <row r="154" spans="1:11" ht="14.4" x14ac:dyDescent="0.3">
      <c r="A154" s="39">
        <v>31301</v>
      </c>
      <c r="B154" s="42" t="s">
        <v>224</v>
      </c>
      <c r="C154" s="29">
        <v>0.469053883994966</v>
      </c>
      <c r="D154" s="40" t="str">
        <f t="shared" si="4"/>
        <v>Rojo</v>
      </c>
      <c r="E154" s="41">
        <v>3.0351437699680499</v>
      </c>
      <c r="F154" s="40" t="str">
        <f t="shared" si="5"/>
        <v>Amarillo</v>
      </c>
      <c r="K154" s="30"/>
    </row>
    <row r="155" spans="1:11" ht="14.4" x14ac:dyDescent="0.3">
      <c r="A155" s="39">
        <v>31302</v>
      </c>
      <c r="B155" s="42" t="s">
        <v>38</v>
      </c>
      <c r="C155" s="29">
        <v>0.172562553925798</v>
      </c>
      <c r="D155" s="40" t="str">
        <f t="shared" si="4"/>
        <v>Rojo</v>
      </c>
      <c r="E155" s="41">
        <v>1.6149596260093499</v>
      </c>
      <c r="F155" s="40" t="str">
        <f t="shared" si="5"/>
        <v>Naranja</v>
      </c>
      <c r="K155" s="30"/>
    </row>
    <row r="156" spans="1:11" ht="14.4" x14ac:dyDescent="0.3">
      <c r="A156" s="39">
        <v>31303</v>
      </c>
      <c r="B156" s="42" t="s">
        <v>21</v>
      </c>
      <c r="C156" s="29">
        <v>0.26058631921824099</v>
      </c>
      <c r="D156" s="40" t="str">
        <f t="shared" si="4"/>
        <v>Rojo</v>
      </c>
      <c r="E156" s="41">
        <v>1.6819571865443399</v>
      </c>
      <c r="F156" s="40" t="str">
        <f t="shared" si="5"/>
        <v>Naranja</v>
      </c>
      <c r="K156" s="30"/>
    </row>
    <row r="157" spans="1:11" ht="14.4" x14ac:dyDescent="0.3">
      <c r="A157" s="39">
        <v>31304</v>
      </c>
      <c r="B157" s="42" t="s">
        <v>316</v>
      </c>
      <c r="C157" s="29">
        <v>2.7647221454243899E-2</v>
      </c>
      <c r="D157" s="40" t="str">
        <f t="shared" si="4"/>
        <v>Rojo</v>
      </c>
      <c r="E157" s="41">
        <v>0.76573342905001196</v>
      </c>
      <c r="F157" s="40" t="str">
        <f t="shared" si="5"/>
        <v>Rojo</v>
      </c>
      <c r="K157" s="30"/>
    </row>
    <row r="158" spans="1:11" ht="14.4" x14ac:dyDescent="0.3">
      <c r="A158" s="39">
        <v>31401</v>
      </c>
      <c r="B158" s="42" t="s">
        <v>240</v>
      </c>
      <c r="C158" s="29">
        <v>1.23031496062992</v>
      </c>
      <c r="D158" s="40" t="str">
        <f t="shared" si="4"/>
        <v>Naranja</v>
      </c>
      <c r="E158" s="41">
        <v>5.1858254105445099</v>
      </c>
      <c r="F158" s="40" t="str">
        <f t="shared" si="5"/>
        <v>Verde</v>
      </c>
      <c r="K158" s="30"/>
    </row>
    <row r="159" spans="1:11" ht="14.4" x14ac:dyDescent="0.3">
      <c r="A159" s="39">
        <v>31402</v>
      </c>
      <c r="B159" s="42" t="s">
        <v>163</v>
      </c>
      <c r="C159" s="29">
        <v>0.31259768677711802</v>
      </c>
      <c r="D159" s="40" t="str">
        <f t="shared" si="4"/>
        <v>Rojo</v>
      </c>
      <c r="E159" s="41">
        <v>2.3539668700959</v>
      </c>
      <c r="F159" s="40" t="str">
        <f t="shared" si="5"/>
        <v>Naranja</v>
      </c>
      <c r="K159" s="30"/>
    </row>
    <row r="160" spans="1:11" ht="14.4" x14ac:dyDescent="0.3">
      <c r="A160" s="39">
        <v>31403</v>
      </c>
      <c r="B160" s="42" t="s">
        <v>156</v>
      </c>
      <c r="C160" s="29">
        <v>0.63006300630062995</v>
      </c>
      <c r="D160" s="40" t="str">
        <f t="shared" si="4"/>
        <v>Rojo</v>
      </c>
      <c r="E160" s="41">
        <v>3.2057761732852001</v>
      </c>
      <c r="F160" s="40" t="str">
        <f t="shared" si="5"/>
        <v>Amarillo</v>
      </c>
      <c r="K160" s="30"/>
    </row>
    <row r="161" spans="1:11" ht="14.4" x14ac:dyDescent="0.3">
      <c r="A161" s="39">
        <v>31404</v>
      </c>
      <c r="B161" s="42" t="s">
        <v>7</v>
      </c>
      <c r="C161" s="29">
        <v>0.38240917782026801</v>
      </c>
      <c r="D161" s="40" t="str">
        <f t="shared" si="4"/>
        <v>Rojo</v>
      </c>
      <c r="E161" s="41">
        <v>1.87590187590188</v>
      </c>
      <c r="F161" s="40" t="str">
        <f t="shared" si="5"/>
        <v>Naranja</v>
      </c>
      <c r="K161" s="30"/>
    </row>
    <row r="162" spans="1:11" ht="14.4" x14ac:dyDescent="0.3">
      <c r="A162" s="39">
        <v>31405</v>
      </c>
      <c r="B162" s="42" t="s">
        <v>468</v>
      </c>
      <c r="C162" s="29">
        <v>8.2576383154417801E-2</v>
      </c>
      <c r="D162" s="40" t="str">
        <f t="shared" si="4"/>
        <v>Rojo</v>
      </c>
      <c r="E162" s="41">
        <v>1.2814194184327301</v>
      </c>
      <c r="F162" s="40" t="str">
        <f t="shared" si="5"/>
        <v>Naranja</v>
      </c>
      <c r="K162" s="30"/>
    </row>
    <row r="163" spans="1:11" ht="14.4" x14ac:dyDescent="0.3">
      <c r="A163" s="39">
        <v>31501</v>
      </c>
      <c r="B163" s="42" t="s">
        <v>469</v>
      </c>
      <c r="C163" s="29">
        <v>9.6665055582406997E-2</v>
      </c>
      <c r="D163" s="40" t="str">
        <f t="shared" si="4"/>
        <v>Rojo</v>
      </c>
      <c r="E163" s="41">
        <v>0.75205640423031705</v>
      </c>
      <c r="F163" s="40" t="str">
        <f t="shared" si="5"/>
        <v>Rojo</v>
      </c>
      <c r="K163" s="30"/>
    </row>
    <row r="164" spans="1:11" ht="14.4" x14ac:dyDescent="0.3">
      <c r="A164" s="39">
        <v>31601</v>
      </c>
      <c r="B164" s="42" t="s">
        <v>282</v>
      </c>
      <c r="C164" s="29">
        <v>0.22916666666666699</v>
      </c>
      <c r="D164" s="40" t="str">
        <f t="shared" si="4"/>
        <v>Rojo</v>
      </c>
      <c r="E164" s="41">
        <v>1.1417610522469901</v>
      </c>
      <c r="F164" s="40" t="str">
        <f t="shared" si="5"/>
        <v>Naranja</v>
      </c>
      <c r="K164" s="30"/>
    </row>
    <row r="165" spans="1:11" ht="14.4" x14ac:dyDescent="0.3">
      <c r="A165" s="39">
        <v>31602</v>
      </c>
      <c r="B165" s="42" t="s">
        <v>243</v>
      </c>
      <c r="C165" s="29">
        <v>1.0846208943006199</v>
      </c>
      <c r="D165" s="40" t="str">
        <f t="shared" si="4"/>
        <v>Naranja</v>
      </c>
      <c r="E165" s="41">
        <v>4.5828109764591201</v>
      </c>
      <c r="F165" s="40" t="str">
        <f t="shared" si="5"/>
        <v>Amarillo</v>
      </c>
      <c r="K165" s="30"/>
    </row>
    <row r="166" spans="1:11" ht="14.4" x14ac:dyDescent="0.3">
      <c r="A166" s="39">
        <v>40101</v>
      </c>
      <c r="B166" s="42" t="s">
        <v>57</v>
      </c>
      <c r="C166" s="29">
        <v>2.3719184132337601</v>
      </c>
      <c r="D166" s="40" t="str">
        <f t="shared" si="4"/>
        <v>Naranja</v>
      </c>
      <c r="E166" s="41">
        <v>7.3378544170887903</v>
      </c>
      <c r="F166" s="40" t="str">
        <f t="shared" si="5"/>
        <v>Verde</v>
      </c>
      <c r="K166" s="30"/>
    </row>
    <row r="167" spans="1:11" ht="14.4" x14ac:dyDescent="0.3">
      <c r="A167" s="39">
        <v>40102</v>
      </c>
      <c r="B167" s="42" t="s">
        <v>286</v>
      </c>
      <c r="C167" s="29">
        <v>0.93882495457298598</v>
      </c>
      <c r="D167" s="40" t="str">
        <f t="shared" si="4"/>
        <v>Naranja</v>
      </c>
      <c r="E167" s="41">
        <v>3.96323467408719</v>
      </c>
      <c r="F167" s="40" t="str">
        <f t="shared" si="5"/>
        <v>Amarillo</v>
      </c>
      <c r="K167" s="30"/>
    </row>
    <row r="168" spans="1:11" ht="14.4" x14ac:dyDescent="0.3">
      <c r="A168" s="39">
        <v>40103</v>
      </c>
      <c r="B168" s="42" t="s">
        <v>32</v>
      </c>
      <c r="C168" s="29">
        <v>4.1744938426215801E-2</v>
      </c>
      <c r="D168" s="40" t="str">
        <f t="shared" si="4"/>
        <v>Rojo</v>
      </c>
      <c r="E168" s="41">
        <v>1.3940356449620599</v>
      </c>
      <c r="F168" s="40" t="str">
        <f t="shared" si="5"/>
        <v>Naranja</v>
      </c>
      <c r="K168" s="30"/>
    </row>
    <row r="169" spans="1:11" ht="14.4" x14ac:dyDescent="0.3">
      <c r="A169" s="39">
        <v>40104</v>
      </c>
      <c r="B169" s="42" t="s">
        <v>470</v>
      </c>
      <c r="C169" s="29">
        <v>0.24003840614498301</v>
      </c>
      <c r="D169" s="40" t="str">
        <f t="shared" si="4"/>
        <v>Rojo</v>
      </c>
      <c r="E169" s="41">
        <v>1.96144362250616</v>
      </c>
      <c r="F169" s="40" t="str">
        <f t="shared" si="5"/>
        <v>Naranja</v>
      </c>
      <c r="K169" s="30"/>
    </row>
    <row r="170" spans="1:11" ht="14.4" x14ac:dyDescent="0.3">
      <c r="A170" s="39">
        <v>40201</v>
      </c>
      <c r="B170" s="42" t="s">
        <v>247</v>
      </c>
      <c r="C170" s="29">
        <v>0.86734298768682705</v>
      </c>
      <c r="D170" s="40" t="str">
        <f t="shared" si="4"/>
        <v>Naranja</v>
      </c>
      <c r="E170" s="41">
        <v>3.15985130111524</v>
      </c>
      <c r="F170" s="40" t="str">
        <f t="shared" si="5"/>
        <v>Amarillo</v>
      </c>
      <c r="K170" s="30"/>
    </row>
    <row r="171" spans="1:11" ht="14.4" x14ac:dyDescent="0.3">
      <c r="A171" s="39">
        <v>40202</v>
      </c>
      <c r="B171" s="42" t="s">
        <v>319</v>
      </c>
      <c r="C171" s="29">
        <v>0.18124150430448599</v>
      </c>
      <c r="D171" s="40" t="str">
        <f t="shared" si="4"/>
        <v>Rojo</v>
      </c>
      <c r="E171" s="41">
        <v>1.46010186757216</v>
      </c>
      <c r="F171" s="40" t="str">
        <f t="shared" si="5"/>
        <v>Naranja</v>
      </c>
      <c r="K171" s="30"/>
    </row>
    <row r="172" spans="1:11" ht="14.4" x14ac:dyDescent="0.3">
      <c r="A172" s="39">
        <v>40301</v>
      </c>
      <c r="B172" s="42" t="s">
        <v>190</v>
      </c>
      <c r="C172" s="29">
        <v>0.28037383177570102</v>
      </c>
      <c r="D172" s="40" t="str">
        <f t="shared" si="4"/>
        <v>Rojo</v>
      </c>
      <c r="E172" s="41">
        <v>1.8192627824019001</v>
      </c>
      <c r="F172" s="40" t="str">
        <f t="shared" si="5"/>
        <v>Naranja</v>
      </c>
      <c r="K172" s="30"/>
    </row>
    <row r="173" spans="1:11" ht="14.4" x14ac:dyDescent="0.3">
      <c r="A173" s="39">
        <v>40302</v>
      </c>
      <c r="B173" s="42" t="s">
        <v>320</v>
      </c>
      <c r="C173" s="29">
        <v>0.109409190371991</v>
      </c>
      <c r="D173" s="40" t="str">
        <f t="shared" si="4"/>
        <v>Rojo</v>
      </c>
      <c r="E173" s="41">
        <v>1.6911764705882399</v>
      </c>
      <c r="F173" s="40" t="str">
        <f t="shared" si="5"/>
        <v>Naranja</v>
      </c>
      <c r="K173" s="30"/>
    </row>
    <row r="174" spans="1:11" ht="14.4" x14ac:dyDescent="0.3">
      <c r="A174" s="39">
        <v>40401</v>
      </c>
      <c r="B174" s="42" t="s">
        <v>110</v>
      </c>
      <c r="C174" s="29">
        <v>0.32733224222585899</v>
      </c>
      <c r="D174" s="40" t="str">
        <f t="shared" si="4"/>
        <v>Rojo</v>
      </c>
      <c r="E174" s="41">
        <v>1.9122896481386999</v>
      </c>
      <c r="F174" s="40" t="str">
        <f t="shared" si="5"/>
        <v>Naranja</v>
      </c>
      <c r="K174" s="30"/>
    </row>
    <row r="175" spans="1:11" ht="14.4" x14ac:dyDescent="0.3">
      <c r="A175" s="39">
        <v>40402</v>
      </c>
      <c r="B175" s="42" t="s">
        <v>144</v>
      </c>
      <c r="C175" s="29">
        <v>0.61326178612495197</v>
      </c>
      <c r="D175" s="40" t="str">
        <f t="shared" si="4"/>
        <v>Rojo</v>
      </c>
      <c r="E175" s="41">
        <v>1.89873417721519</v>
      </c>
      <c r="F175" s="40" t="str">
        <f t="shared" si="5"/>
        <v>Naranja</v>
      </c>
      <c r="K175" s="30"/>
    </row>
    <row r="176" spans="1:11" ht="14.4" x14ac:dyDescent="0.3">
      <c r="A176" s="39">
        <v>40501</v>
      </c>
      <c r="B176" s="42" t="s">
        <v>6</v>
      </c>
      <c r="C176" s="29">
        <v>1.8348623853210999</v>
      </c>
      <c r="D176" s="40" t="str">
        <f t="shared" si="4"/>
        <v>Naranja</v>
      </c>
      <c r="E176" s="41">
        <v>2.9979674796747999</v>
      </c>
      <c r="F176" s="40" t="str">
        <f t="shared" si="5"/>
        <v>Amarillo</v>
      </c>
      <c r="K176" s="30"/>
    </row>
    <row r="177" spans="1:11" ht="14.4" x14ac:dyDescent="0.3">
      <c r="A177" s="39">
        <v>40502</v>
      </c>
      <c r="B177" s="42" t="s">
        <v>111</v>
      </c>
      <c r="C177" s="29">
        <v>0.20232675771370801</v>
      </c>
      <c r="D177" s="40" t="str">
        <f t="shared" si="4"/>
        <v>Rojo</v>
      </c>
      <c r="E177" s="41">
        <v>1.4698909435751499</v>
      </c>
      <c r="F177" s="40" t="str">
        <f t="shared" si="5"/>
        <v>Naranja</v>
      </c>
      <c r="K177" s="30"/>
    </row>
    <row r="178" spans="1:11" ht="14.4" x14ac:dyDescent="0.3">
      <c r="A178" s="39">
        <v>40503</v>
      </c>
      <c r="B178" s="42" t="s">
        <v>40</v>
      </c>
      <c r="C178" s="29">
        <v>0.26143790849673199</v>
      </c>
      <c r="D178" s="40" t="str">
        <f t="shared" si="4"/>
        <v>Rojo</v>
      </c>
      <c r="E178" s="41">
        <v>0.72376357056694796</v>
      </c>
      <c r="F178" s="40" t="str">
        <f t="shared" si="5"/>
        <v>Rojo</v>
      </c>
      <c r="K178" s="30"/>
    </row>
    <row r="179" spans="1:11" ht="14.4" x14ac:dyDescent="0.3">
      <c r="A179" s="39">
        <v>40504</v>
      </c>
      <c r="B179" s="42" t="s">
        <v>321</v>
      </c>
      <c r="C179" s="29">
        <v>0</v>
      </c>
      <c r="D179" s="40" t="str">
        <f t="shared" si="4"/>
        <v>Rojo</v>
      </c>
      <c r="E179" s="41">
        <v>2.0881670533642702</v>
      </c>
      <c r="F179" s="40" t="str">
        <f t="shared" si="5"/>
        <v>Naranja</v>
      </c>
      <c r="K179" s="30"/>
    </row>
    <row r="180" spans="1:11" ht="14.4" x14ac:dyDescent="0.3">
      <c r="A180" s="39">
        <v>40505</v>
      </c>
      <c r="B180" s="42" t="s">
        <v>22</v>
      </c>
      <c r="C180" s="29">
        <v>0</v>
      </c>
      <c r="D180" s="40" t="str">
        <f t="shared" si="4"/>
        <v>Rojo</v>
      </c>
      <c r="E180" s="41">
        <v>0.55055055055055102</v>
      </c>
      <c r="F180" s="40" t="str">
        <f t="shared" si="5"/>
        <v>Rojo</v>
      </c>
      <c r="K180" s="30"/>
    </row>
    <row r="181" spans="1:11" ht="14.4" x14ac:dyDescent="0.3">
      <c r="A181" s="39">
        <v>40601</v>
      </c>
      <c r="B181" s="42" t="s">
        <v>208</v>
      </c>
      <c r="C181" s="29">
        <v>0.57887120115774204</v>
      </c>
      <c r="D181" s="40" t="str">
        <f t="shared" si="4"/>
        <v>Rojo</v>
      </c>
      <c r="E181" s="41">
        <v>3.69964973730298</v>
      </c>
      <c r="F181" s="40" t="str">
        <f t="shared" si="5"/>
        <v>Amarillo</v>
      </c>
      <c r="K181" s="30"/>
    </row>
    <row r="182" spans="1:11" ht="14.4" x14ac:dyDescent="0.3">
      <c r="A182" s="39">
        <v>40602</v>
      </c>
      <c r="B182" s="42" t="s">
        <v>137</v>
      </c>
      <c r="C182" s="29">
        <v>0.63246661981728702</v>
      </c>
      <c r="D182" s="40" t="str">
        <f t="shared" si="4"/>
        <v>Rojo</v>
      </c>
      <c r="E182" s="41">
        <v>1.76710466696874</v>
      </c>
      <c r="F182" s="40" t="str">
        <f t="shared" si="5"/>
        <v>Naranja</v>
      </c>
      <c r="K182" s="30"/>
    </row>
    <row r="183" spans="1:11" ht="14.4" x14ac:dyDescent="0.3">
      <c r="A183" s="39">
        <v>40603</v>
      </c>
      <c r="B183" s="42" t="s">
        <v>45</v>
      </c>
      <c r="C183" s="29">
        <v>1.1235955056179801</v>
      </c>
      <c r="D183" s="40" t="str">
        <f t="shared" si="4"/>
        <v>Naranja</v>
      </c>
      <c r="E183" s="41">
        <v>3.1638418079095998</v>
      </c>
      <c r="F183" s="40" t="str">
        <f t="shared" si="5"/>
        <v>Amarillo</v>
      </c>
      <c r="K183" s="30"/>
    </row>
    <row r="184" spans="1:11" ht="14.4" x14ac:dyDescent="0.3">
      <c r="A184" s="39">
        <v>40701</v>
      </c>
      <c r="B184" s="42" t="s">
        <v>215</v>
      </c>
      <c r="C184" s="29">
        <v>0.80225498699046005</v>
      </c>
      <c r="D184" s="40" t="str">
        <f t="shared" si="4"/>
        <v>Rojo</v>
      </c>
      <c r="E184" s="41">
        <v>4.8933209647495399</v>
      </c>
      <c r="F184" s="40" t="str">
        <f t="shared" si="5"/>
        <v>Verde</v>
      </c>
      <c r="K184" s="30"/>
    </row>
    <row r="185" spans="1:11" ht="14.4" x14ac:dyDescent="0.3">
      <c r="A185" s="39">
        <v>40702</v>
      </c>
      <c r="B185" s="42" t="s">
        <v>47</v>
      </c>
      <c r="C185" s="29">
        <v>1.2722646310432599</v>
      </c>
      <c r="D185" s="40" t="str">
        <f t="shared" si="4"/>
        <v>Naranja</v>
      </c>
      <c r="E185" s="41">
        <v>4.2517576163374597</v>
      </c>
      <c r="F185" s="40" t="str">
        <f t="shared" si="5"/>
        <v>Amarillo</v>
      </c>
      <c r="K185" s="30"/>
    </row>
    <row r="186" spans="1:11" ht="14.4" x14ac:dyDescent="0.3">
      <c r="A186" s="39">
        <v>40801</v>
      </c>
      <c r="B186" s="42" t="s">
        <v>471</v>
      </c>
      <c r="C186" s="29">
        <v>0.355641771742645</v>
      </c>
      <c r="D186" s="40" t="str">
        <f t="shared" si="4"/>
        <v>Rojo</v>
      </c>
      <c r="E186" s="41">
        <v>1.69871416774802</v>
      </c>
      <c r="F186" s="40" t="str">
        <f t="shared" si="5"/>
        <v>Naranja</v>
      </c>
      <c r="K186" s="30"/>
    </row>
    <row r="187" spans="1:11" ht="14.4" x14ac:dyDescent="0.3">
      <c r="A187" s="39">
        <v>40802</v>
      </c>
      <c r="B187" s="42" t="s">
        <v>69</v>
      </c>
      <c r="C187" s="29">
        <v>0.44576523031203602</v>
      </c>
      <c r="D187" s="40" t="str">
        <f t="shared" si="4"/>
        <v>Rojo</v>
      </c>
      <c r="E187" s="41">
        <v>1.55968806238752</v>
      </c>
      <c r="F187" s="40" t="str">
        <f t="shared" si="5"/>
        <v>Naranja</v>
      </c>
      <c r="K187" s="30"/>
    </row>
    <row r="188" spans="1:11" ht="14.4" x14ac:dyDescent="0.3">
      <c r="A188" s="39">
        <v>40901</v>
      </c>
      <c r="B188" s="42" t="s">
        <v>173</v>
      </c>
      <c r="C188" s="29">
        <v>0.72738772928526296</v>
      </c>
      <c r="D188" s="40" t="str">
        <f t="shared" si="4"/>
        <v>Rojo</v>
      </c>
      <c r="E188" s="41">
        <v>3.6953526243266901</v>
      </c>
      <c r="F188" s="40" t="str">
        <f t="shared" si="5"/>
        <v>Amarillo</v>
      </c>
      <c r="K188" s="30"/>
    </row>
    <row r="189" spans="1:11" ht="14.4" x14ac:dyDescent="0.3">
      <c r="A189" s="39">
        <v>40902</v>
      </c>
      <c r="B189" s="42" t="s">
        <v>0</v>
      </c>
      <c r="C189" s="29">
        <v>0.26385224274406299</v>
      </c>
      <c r="D189" s="40" t="str">
        <f t="shared" si="4"/>
        <v>Rojo</v>
      </c>
      <c r="E189" s="41">
        <v>2.69784172661871</v>
      </c>
      <c r="F189" s="40" t="str">
        <f t="shared" si="5"/>
        <v>Naranja</v>
      </c>
      <c r="K189" s="30"/>
    </row>
    <row r="190" spans="1:11" ht="14.4" x14ac:dyDescent="0.3">
      <c r="A190" s="39">
        <v>40903</v>
      </c>
      <c r="B190" s="42" t="s">
        <v>472</v>
      </c>
      <c r="C190" s="29">
        <v>0</v>
      </c>
      <c r="D190" s="40" t="str">
        <f t="shared" si="4"/>
        <v>Rojo</v>
      </c>
      <c r="E190" s="41">
        <v>0.75349838536060298</v>
      </c>
      <c r="F190" s="40" t="str">
        <f t="shared" si="5"/>
        <v>Rojo</v>
      </c>
      <c r="K190" s="30"/>
    </row>
    <row r="191" spans="1:11" ht="14.4" x14ac:dyDescent="0.3">
      <c r="A191" s="39">
        <v>41001</v>
      </c>
      <c r="B191" s="42" t="s">
        <v>125</v>
      </c>
      <c r="C191" s="29">
        <v>0.12822861329913901</v>
      </c>
      <c r="D191" s="40" t="str">
        <f t="shared" si="4"/>
        <v>Rojo</v>
      </c>
      <c r="E191" s="41">
        <v>1.19411274645932</v>
      </c>
      <c r="F191" s="40" t="str">
        <f t="shared" si="5"/>
        <v>Naranja</v>
      </c>
      <c r="K191" s="30"/>
    </row>
    <row r="192" spans="1:11" ht="14.4" x14ac:dyDescent="0.3">
      <c r="A192" s="39">
        <v>41101</v>
      </c>
      <c r="B192" s="42" t="s">
        <v>127</v>
      </c>
      <c r="C192" s="29">
        <v>0.56887444128403097</v>
      </c>
      <c r="D192" s="40" t="str">
        <f t="shared" si="4"/>
        <v>Rojo</v>
      </c>
      <c r="E192" s="41">
        <v>2.4440619621342501</v>
      </c>
      <c r="F192" s="40" t="str">
        <f t="shared" si="5"/>
        <v>Naranja</v>
      </c>
      <c r="K192" s="30"/>
    </row>
    <row r="193" spans="1:11" ht="14.4" x14ac:dyDescent="0.3">
      <c r="A193" s="39">
        <v>41201</v>
      </c>
      <c r="B193" s="42" t="s">
        <v>473</v>
      </c>
      <c r="C193" s="29">
        <v>0.119142176330421</v>
      </c>
      <c r="D193" s="40" t="str">
        <f t="shared" si="4"/>
        <v>Rojo</v>
      </c>
      <c r="E193" s="41">
        <v>1.0945832163906799</v>
      </c>
      <c r="F193" s="40" t="str">
        <f t="shared" si="5"/>
        <v>Naranja</v>
      </c>
      <c r="K193" s="30"/>
    </row>
    <row r="194" spans="1:11" ht="14.4" x14ac:dyDescent="0.3">
      <c r="A194" s="39">
        <v>41202</v>
      </c>
      <c r="B194" s="42" t="s">
        <v>55</v>
      </c>
      <c r="C194" s="29">
        <v>0.306435137895812</v>
      </c>
      <c r="D194" s="40" t="str">
        <f t="shared" si="4"/>
        <v>Rojo</v>
      </c>
      <c r="E194" s="41">
        <v>0.93240093240093203</v>
      </c>
      <c r="F194" s="40" t="str">
        <f t="shared" si="5"/>
        <v>Naranja</v>
      </c>
      <c r="K194" s="30"/>
    </row>
    <row r="195" spans="1:11" ht="14.4" x14ac:dyDescent="0.3">
      <c r="A195" s="39">
        <v>41301</v>
      </c>
      <c r="B195" s="42" t="s">
        <v>180</v>
      </c>
      <c r="C195" s="29">
        <v>0.177430801987225</v>
      </c>
      <c r="D195" s="40" t="str">
        <f t="shared" ref="D195:D258" si="6">IF(C195&lt;=0.818,"Rojo",
   IF(C195&lt;=2.822,"Naranja",
   IF(C195&lt;=4.82,"Amarillo","Verde")))</f>
        <v>Rojo</v>
      </c>
      <c r="E195" s="41">
        <v>0.62777923097044197</v>
      </c>
      <c r="F195" s="40" t="str">
        <f t="shared" ref="F195:F258" si="7">IF(E195&lt;=0.818,"Rojo",
   IF(E195&lt;=2.822,"Naranja",
   IF(E195&lt;=4.82,"Amarillo","Verde")))</f>
        <v>Rojo</v>
      </c>
      <c r="K195" s="30"/>
    </row>
    <row r="196" spans="1:11" ht="14.4" x14ac:dyDescent="0.3">
      <c r="A196" s="39">
        <v>41401</v>
      </c>
      <c r="B196" s="42" t="s">
        <v>323</v>
      </c>
      <c r="C196" s="29">
        <v>0.51530766899060299</v>
      </c>
      <c r="D196" s="40" t="str">
        <f t="shared" si="6"/>
        <v>Rojo</v>
      </c>
      <c r="E196" s="41">
        <v>1.7156518070594899</v>
      </c>
      <c r="F196" s="40" t="str">
        <f t="shared" si="7"/>
        <v>Naranja</v>
      </c>
      <c r="K196" s="30"/>
    </row>
    <row r="197" spans="1:11" ht="14.4" x14ac:dyDescent="0.3">
      <c r="A197" s="39">
        <v>41501</v>
      </c>
      <c r="B197" s="42" t="s">
        <v>1</v>
      </c>
      <c r="C197" s="29">
        <v>0</v>
      </c>
      <c r="D197" s="40" t="str">
        <f t="shared" si="6"/>
        <v>Rojo</v>
      </c>
      <c r="E197" s="41">
        <v>1.40350877192982</v>
      </c>
      <c r="F197" s="40" t="str">
        <f t="shared" si="7"/>
        <v>Naranja</v>
      </c>
      <c r="K197" s="30"/>
    </row>
    <row r="198" spans="1:11" ht="14.4" x14ac:dyDescent="0.3">
      <c r="A198" s="39">
        <v>41502</v>
      </c>
      <c r="B198" s="42" t="s">
        <v>5</v>
      </c>
      <c r="C198" s="29">
        <v>0.31847133757961799</v>
      </c>
      <c r="D198" s="40" t="str">
        <f t="shared" si="6"/>
        <v>Rojo</v>
      </c>
      <c r="E198" s="41">
        <v>0</v>
      </c>
      <c r="F198" s="40" t="str">
        <f t="shared" si="7"/>
        <v>Rojo</v>
      </c>
      <c r="K198" s="30"/>
    </row>
    <row r="199" spans="1:11" ht="14.4" x14ac:dyDescent="0.3">
      <c r="A199" s="39">
        <v>41503</v>
      </c>
      <c r="B199" s="42" t="s">
        <v>8</v>
      </c>
      <c r="C199" s="29">
        <v>0</v>
      </c>
      <c r="D199" s="40" t="str">
        <f t="shared" si="6"/>
        <v>Rojo</v>
      </c>
      <c r="E199" s="41">
        <v>1.6216216216216199</v>
      </c>
      <c r="F199" s="40" t="str">
        <f t="shared" si="7"/>
        <v>Naranja</v>
      </c>
      <c r="K199" s="30"/>
    </row>
    <row r="200" spans="1:11" ht="14.4" x14ac:dyDescent="0.3">
      <c r="A200" s="39">
        <v>41601</v>
      </c>
      <c r="B200" s="42" t="s">
        <v>474</v>
      </c>
      <c r="C200" s="29">
        <v>0.16061676839062</v>
      </c>
      <c r="D200" s="40" t="str">
        <f t="shared" si="6"/>
        <v>Rojo</v>
      </c>
      <c r="E200" s="41">
        <v>0.84277060837503304</v>
      </c>
      <c r="F200" s="40" t="str">
        <f t="shared" si="7"/>
        <v>Naranja</v>
      </c>
      <c r="K200" s="30"/>
    </row>
    <row r="201" spans="1:11" ht="14.4" x14ac:dyDescent="0.3">
      <c r="A201" s="39">
        <v>50101</v>
      </c>
      <c r="B201" s="42" t="s">
        <v>302</v>
      </c>
      <c r="C201" s="29">
        <v>2.07139373247165</v>
      </c>
      <c r="D201" s="40" t="str">
        <f t="shared" si="6"/>
        <v>Naranja</v>
      </c>
      <c r="E201" s="41">
        <v>6.5520734616515801</v>
      </c>
      <c r="F201" s="40" t="str">
        <f t="shared" si="7"/>
        <v>Verde</v>
      </c>
      <c r="K201" s="30"/>
    </row>
    <row r="202" spans="1:11" ht="14.4" x14ac:dyDescent="0.3">
      <c r="A202" s="39">
        <v>50102</v>
      </c>
      <c r="B202" s="42" t="s">
        <v>34</v>
      </c>
      <c r="C202" s="29">
        <v>9.3434128939097902E-2</v>
      </c>
      <c r="D202" s="40" t="str">
        <f t="shared" si="6"/>
        <v>Rojo</v>
      </c>
      <c r="E202" s="41">
        <v>0.83013603069410502</v>
      </c>
      <c r="F202" s="40" t="str">
        <f t="shared" si="7"/>
        <v>Naranja</v>
      </c>
      <c r="K202" s="30"/>
    </row>
    <row r="203" spans="1:11" ht="14.4" x14ac:dyDescent="0.3">
      <c r="A203" s="39">
        <v>50103</v>
      </c>
      <c r="B203" s="42" t="s">
        <v>207</v>
      </c>
      <c r="C203" s="29">
        <v>0.26927784577723402</v>
      </c>
      <c r="D203" s="40" t="str">
        <f t="shared" si="6"/>
        <v>Rojo</v>
      </c>
      <c r="E203" s="41">
        <v>2.4635721796605101</v>
      </c>
      <c r="F203" s="40" t="str">
        <f t="shared" si="7"/>
        <v>Naranja</v>
      </c>
      <c r="K203" s="30"/>
    </row>
    <row r="204" spans="1:11" ht="14.4" x14ac:dyDescent="0.3">
      <c r="A204" s="39">
        <v>50104</v>
      </c>
      <c r="B204" s="42" t="s">
        <v>475</v>
      </c>
      <c r="C204" s="29">
        <v>7.2411296162201294E-2</v>
      </c>
      <c r="D204" s="40" t="str">
        <f t="shared" si="6"/>
        <v>Rojo</v>
      </c>
      <c r="E204" s="41">
        <v>0.85698982324584905</v>
      </c>
      <c r="F204" s="40" t="str">
        <f t="shared" si="7"/>
        <v>Naranja</v>
      </c>
      <c r="K204" s="30"/>
    </row>
    <row r="205" spans="1:11" ht="14.4" x14ac:dyDescent="0.3">
      <c r="A205" s="39">
        <v>50201</v>
      </c>
      <c r="B205" s="42" t="s">
        <v>264</v>
      </c>
      <c r="C205" s="29">
        <v>0.40802448146888798</v>
      </c>
      <c r="D205" s="40" t="str">
        <f t="shared" si="6"/>
        <v>Rojo</v>
      </c>
      <c r="E205" s="41">
        <v>3.0777636131852102</v>
      </c>
      <c r="F205" s="40" t="str">
        <f t="shared" si="7"/>
        <v>Amarillo</v>
      </c>
      <c r="K205" s="30"/>
    </row>
    <row r="206" spans="1:11" ht="14.4" x14ac:dyDescent="0.3">
      <c r="A206" s="39">
        <v>50202</v>
      </c>
      <c r="B206" s="42" t="s">
        <v>228</v>
      </c>
      <c r="C206" s="29">
        <v>0.17035775127768299</v>
      </c>
      <c r="D206" s="40" t="str">
        <f t="shared" si="6"/>
        <v>Rojo</v>
      </c>
      <c r="E206" s="41">
        <v>1.2611097766034101</v>
      </c>
      <c r="F206" s="40" t="str">
        <f t="shared" si="7"/>
        <v>Naranja</v>
      </c>
      <c r="K206" s="30"/>
    </row>
    <row r="207" spans="1:11" ht="14.4" x14ac:dyDescent="0.3">
      <c r="A207" s="39">
        <v>50203</v>
      </c>
      <c r="B207" s="42" t="s">
        <v>295</v>
      </c>
      <c r="C207" s="29">
        <v>1.4349713005739899</v>
      </c>
      <c r="D207" s="40" t="str">
        <f t="shared" si="6"/>
        <v>Naranja</v>
      </c>
      <c r="E207" s="41">
        <v>6.5185427217774903</v>
      </c>
      <c r="F207" s="40" t="str">
        <f t="shared" si="7"/>
        <v>Verde</v>
      </c>
      <c r="K207" s="30"/>
    </row>
    <row r="208" spans="1:11" ht="14.4" x14ac:dyDescent="0.3">
      <c r="A208" s="39">
        <v>50204</v>
      </c>
      <c r="B208" s="42" t="s">
        <v>476</v>
      </c>
      <c r="C208" s="29">
        <v>0.14255167498218099</v>
      </c>
      <c r="D208" s="40" t="str">
        <f t="shared" si="6"/>
        <v>Rojo</v>
      </c>
      <c r="E208" s="41">
        <v>1.4957264957265</v>
      </c>
      <c r="F208" s="40" t="str">
        <f t="shared" si="7"/>
        <v>Naranja</v>
      </c>
      <c r="K208" s="30"/>
    </row>
    <row r="209" spans="1:11" ht="14.4" x14ac:dyDescent="0.3">
      <c r="A209" s="39">
        <v>50301</v>
      </c>
      <c r="B209" s="42" t="s">
        <v>266</v>
      </c>
      <c r="C209" s="29">
        <v>0.2186688533552</v>
      </c>
      <c r="D209" s="40" t="str">
        <f t="shared" si="6"/>
        <v>Rojo</v>
      </c>
      <c r="E209" s="41">
        <v>1.7341040462427699</v>
      </c>
      <c r="F209" s="40" t="str">
        <f t="shared" si="7"/>
        <v>Naranja</v>
      </c>
      <c r="K209" s="30"/>
    </row>
    <row r="210" spans="1:11" ht="14.4" x14ac:dyDescent="0.3">
      <c r="A210" s="39">
        <v>50302</v>
      </c>
      <c r="B210" s="42" t="s">
        <v>219</v>
      </c>
      <c r="C210" s="29">
        <v>0.19564685742235299</v>
      </c>
      <c r="D210" s="40" t="str">
        <f t="shared" si="6"/>
        <v>Rojo</v>
      </c>
      <c r="E210" s="41">
        <v>2.29071220324865</v>
      </c>
      <c r="F210" s="40" t="str">
        <f t="shared" si="7"/>
        <v>Naranja</v>
      </c>
      <c r="K210" s="30"/>
    </row>
    <row r="211" spans="1:11" ht="14.4" x14ac:dyDescent="0.3">
      <c r="A211" s="39">
        <v>50303</v>
      </c>
      <c r="B211" s="42" t="s">
        <v>15</v>
      </c>
      <c r="C211" s="29">
        <v>0.11318619128466299</v>
      </c>
      <c r="D211" s="40" t="str">
        <f t="shared" si="6"/>
        <v>Rojo</v>
      </c>
      <c r="E211" s="41">
        <v>0.85123631941629496</v>
      </c>
      <c r="F211" s="40" t="str">
        <f t="shared" si="7"/>
        <v>Naranja</v>
      </c>
      <c r="K211" s="30"/>
    </row>
    <row r="212" spans="1:11" ht="14.4" x14ac:dyDescent="0.3">
      <c r="A212" s="39">
        <v>50401</v>
      </c>
      <c r="B212" s="42" t="s">
        <v>119</v>
      </c>
      <c r="C212" s="29">
        <v>0.309453814018258</v>
      </c>
      <c r="D212" s="40" t="str">
        <f t="shared" si="6"/>
        <v>Rojo</v>
      </c>
      <c r="E212" s="41">
        <v>1.7065715741212399</v>
      </c>
      <c r="F212" s="40" t="str">
        <f t="shared" si="7"/>
        <v>Naranja</v>
      </c>
      <c r="K212" s="30"/>
    </row>
    <row r="213" spans="1:11" ht="14.4" x14ac:dyDescent="0.3">
      <c r="A213" s="39">
        <v>50402</v>
      </c>
      <c r="B213" s="42" t="s">
        <v>46</v>
      </c>
      <c r="C213" s="29">
        <v>0.176153253330397</v>
      </c>
      <c r="D213" s="40" t="str">
        <f t="shared" si="6"/>
        <v>Rojo</v>
      </c>
      <c r="E213" s="41">
        <v>1.03006971178858</v>
      </c>
      <c r="F213" s="40" t="str">
        <f t="shared" si="7"/>
        <v>Naranja</v>
      </c>
      <c r="K213" s="30"/>
    </row>
    <row r="214" spans="1:11" ht="14.4" x14ac:dyDescent="0.3">
      <c r="A214" s="39">
        <v>50403</v>
      </c>
      <c r="B214" s="42" t="s">
        <v>52</v>
      </c>
      <c r="C214" s="29">
        <v>0.12112822287593</v>
      </c>
      <c r="D214" s="40" t="str">
        <f t="shared" si="6"/>
        <v>Rojo</v>
      </c>
      <c r="E214" s="41">
        <v>1.2355399430682601</v>
      </c>
      <c r="F214" s="40" t="str">
        <f t="shared" si="7"/>
        <v>Naranja</v>
      </c>
      <c r="K214" s="30"/>
    </row>
    <row r="215" spans="1:11" ht="14.4" x14ac:dyDescent="0.3">
      <c r="A215" s="39">
        <v>50404</v>
      </c>
      <c r="B215" s="42" t="s">
        <v>42</v>
      </c>
      <c r="C215" s="29">
        <v>0.111188325225851</v>
      </c>
      <c r="D215" s="40" t="str">
        <f t="shared" si="6"/>
        <v>Rojo</v>
      </c>
      <c r="E215" s="41">
        <v>1.1474544974940599</v>
      </c>
      <c r="F215" s="40" t="str">
        <f t="shared" si="7"/>
        <v>Naranja</v>
      </c>
      <c r="K215" s="30"/>
    </row>
    <row r="216" spans="1:11" ht="14.4" x14ac:dyDescent="0.3">
      <c r="A216" s="39">
        <v>50405</v>
      </c>
      <c r="B216" s="42" t="s">
        <v>324</v>
      </c>
      <c r="C216" s="29">
        <v>6.9524913093858595E-2</v>
      </c>
      <c r="D216" s="40" t="str">
        <f t="shared" si="6"/>
        <v>Rojo</v>
      </c>
      <c r="E216" s="41">
        <v>1.13317100580633</v>
      </c>
      <c r="F216" s="40" t="str">
        <f t="shared" si="7"/>
        <v>Naranja</v>
      </c>
      <c r="K216" s="30"/>
    </row>
    <row r="217" spans="1:11" ht="14.4" x14ac:dyDescent="0.3">
      <c r="A217" s="39">
        <v>50501</v>
      </c>
      <c r="B217" s="42" t="s">
        <v>9</v>
      </c>
      <c r="C217" s="29">
        <v>0.15962965919067801</v>
      </c>
      <c r="D217" s="40" t="str">
        <f t="shared" si="6"/>
        <v>Rojo</v>
      </c>
      <c r="E217" s="41">
        <v>0.78734858681022901</v>
      </c>
      <c r="F217" s="40" t="str">
        <f t="shared" si="7"/>
        <v>Rojo</v>
      </c>
      <c r="K217" s="30"/>
    </row>
    <row r="218" spans="1:11" ht="14.4" x14ac:dyDescent="0.3">
      <c r="A218" s="39">
        <v>50502</v>
      </c>
      <c r="B218" s="42" t="s">
        <v>61</v>
      </c>
      <c r="C218" s="29">
        <v>0.71842410196987205</v>
      </c>
      <c r="D218" s="40" t="str">
        <f t="shared" si="6"/>
        <v>Rojo</v>
      </c>
      <c r="E218" s="41">
        <v>2.9254861469626601</v>
      </c>
      <c r="F218" s="40" t="str">
        <f t="shared" si="7"/>
        <v>Amarillo</v>
      </c>
      <c r="K218" s="30"/>
    </row>
    <row r="219" spans="1:11" ht="14.4" x14ac:dyDescent="0.3">
      <c r="A219" s="39">
        <v>50601</v>
      </c>
      <c r="B219" s="42" t="s">
        <v>114</v>
      </c>
      <c r="C219" s="29">
        <v>0.32362459546925598</v>
      </c>
      <c r="D219" s="40" t="str">
        <f t="shared" si="6"/>
        <v>Rojo</v>
      </c>
      <c r="E219" s="41">
        <v>1.6778523489932899</v>
      </c>
      <c r="F219" s="40" t="str">
        <f t="shared" si="7"/>
        <v>Naranja</v>
      </c>
      <c r="K219" s="30"/>
    </row>
    <row r="220" spans="1:11" ht="14.4" x14ac:dyDescent="0.3">
      <c r="A220" s="39">
        <v>50602</v>
      </c>
      <c r="B220" s="42" t="s">
        <v>234</v>
      </c>
      <c r="C220" s="29">
        <v>0.64408396946564905</v>
      </c>
      <c r="D220" s="40" t="str">
        <f t="shared" si="6"/>
        <v>Rojo</v>
      </c>
      <c r="E220" s="41">
        <v>1.34432694031188</v>
      </c>
      <c r="F220" s="40" t="str">
        <f t="shared" si="7"/>
        <v>Naranja</v>
      </c>
      <c r="K220" s="30"/>
    </row>
    <row r="221" spans="1:11" ht="14.4" x14ac:dyDescent="0.3">
      <c r="A221" s="39">
        <v>50701</v>
      </c>
      <c r="B221" s="42" t="s">
        <v>477</v>
      </c>
      <c r="C221" s="29">
        <v>0.104843782763682</v>
      </c>
      <c r="D221" s="40" t="str">
        <f t="shared" si="6"/>
        <v>Rojo</v>
      </c>
      <c r="E221" s="41">
        <v>1.04062880549098</v>
      </c>
      <c r="F221" s="40" t="str">
        <f t="shared" si="7"/>
        <v>Naranja</v>
      </c>
      <c r="K221" s="30"/>
    </row>
    <row r="222" spans="1:11" ht="14.4" x14ac:dyDescent="0.3">
      <c r="A222" s="39">
        <v>50702</v>
      </c>
      <c r="B222" s="42" t="s">
        <v>78</v>
      </c>
      <c r="C222" s="29">
        <v>0.15538290788013301</v>
      </c>
      <c r="D222" s="40" t="str">
        <f t="shared" si="6"/>
        <v>Rojo</v>
      </c>
      <c r="E222" s="41">
        <v>0.93926111458985595</v>
      </c>
      <c r="F222" s="40" t="str">
        <f t="shared" si="7"/>
        <v>Naranja</v>
      </c>
      <c r="K222" s="30"/>
    </row>
    <row r="223" spans="1:11" ht="14.4" x14ac:dyDescent="0.3">
      <c r="A223" s="39">
        <v>50801</v>
      </c>
      <c r="B223" s="42" t="s">
        <v>290</v>
      </c>
      <c r="C223" s="29">
        <v>1.64156371636487</v>
      </c>
      <c r="D223" s="40" t="str">
        <f t="shared" si="6"/>
        <v>Naranja</v>
      </c>
      <c r="E223" s="41">
        <v>5.0278301669810004</v>
      </c>
      <c r="F223" s="40" t="str">
        <f t="shared" si="7"/>
        <v>Verde</v>
      </c>
      <c r="K223" s="30"/>
    </row>
    <row r="224" spans="1:11" ht="14.4" x14ac:dyDescent="0.3">
      <c r="A224" s="39">
        <v>50802</v>
      </c>
      <c r="B224" s="42" t="s">
        <v>120</v>
      </c>
      <c r="C224" s="29">
        <v>1.13874041366489</v>
      </c>
      <c r="D224" s="40" t="str">
        <f t="shared" si="6"/>
        <v>Naranja</v>
      </c>
      <c r="E224" s="41">
        <v>5.3095345684591004</v>
      </c>
      <c r="F224" s="40" t="str">
        <f t="shared" si="7"/>
        <v>Verde</v>
      </c>
      <c r="K224" s="30"/>
    </row>
    <row r="225" spans="1:11" ht="14.4" x14ac:dyDescent="0.3">
      <c r="A225" s="39">
        <v>50901</v>
      </c>
      <c r="B225" s="42" t="s">
        <v>478</v>
      </c>
      <c r="C225" s="29">
        <v>1.65909884736291</v>
      </c>
      <c r="D225" s="40" t="str">
        <f t="shared" si="6"/>
        <v>Naranja</v>
      </c>
      <c r="E225" s="41">
        <v>4.4462025316455698</v>
      </c>
      <c r="F225" s="40" t="str">
        <f t="shared" si="7"/>
        <v>Amarillo</v>
      </c>
      <c r="K225" s="30"/>
    </row>
    <row r="226" spans="1:11" ht="14.4" x14ac:dyDescent="0.3">
      <c r="A226" s="39">
        <v>50902</v>
      </c>
      <c r="B226" s="42" t="s">
        <v>13</v>
      </c>
      <c r="C226" s="29">
        <v>2.3297491039426501</v>
      </c>
      <c r="D226" s="40" t="str">
        <f t="shared" si="6"/>
        <v>Naranja</v>
      </c>
      <c r="E226" s="41">
        <v>7.4660633484162897</v>
      </c>
      <c r="F226" s="40" t="str">
        <f t="shared" si="7"/>
        <v>Verde</v>
      </c>
      <c r="K226" s="30"/>
    </row>
    <row r="227" spans="1:11" ht="14.4" x14ac:dyDescent="0.3">
      <c r="A227" s="39">
        <v>51001</v>
      </c>
      <c r="B227" s="42" t="s">
        <v>479</v>
      </c>
      <c r="C227" s="29">
        <v>5.4112554112554099</v>
      </c>
      <c r="D227" s="40" t="str">
        <f t="shared" si="6"/>
        <v>Verde</v>
      </c>
      <c r="E227" s="41">
        <v>12.664041994750701</v>
      </c>
      <c r="F227" s="40" t="str">
        <f t="shared" si="7"/>
        <v>Verde</v>
      </c>
      <c r="K227" s="30"/>
    </row>
    <row r="228" spans="1:11" ht="14.4" x14ac:dyDescent="0.3">
      <c r="A228" s="39">
        <v>51002</v>
      </c>
      <c r="B228" s="42" t="s">
        <v>16</v>
      </c>
      <c r="C228" s="29">
        <v>0</v>
      </c>
      <c r="D228" s="40" t="str">
        <f t="shared" si="6"/>
        <v>Rojo</v>
      </c>
      <c r="E228" s="41">
        <v>0.55865921787709505</v>
      </c>
      <c r="F228" s="40" t="str">
        <f t="shared" si="7"/>
        <v>Rojo</v>
      </c>
      <c r="K228" s="30"/>
    </row>
    <row r="229" spans="1:11" ht="14.4" x14ac:dyDescent="0.3">
      <c r="A229" s="39">
        <v>51003</v>
      </c>
      <c r="B229" s="42" t="s">
        <v>60</v>
      </c>
      <c r="C229" s="29">
        <v>0.61601642710472304</v>
      </c>
      <c r="D229" s="40" t="str">
        <f t="shared" si="6"/>
        <v>Rojo</v>
      </c>
      <c r="E229" s="41">
        <v>2.57309941520468</v>
      </c>
      <c r="F229" s="40" t="str">
        <f t="shared" si="7"/>
        <v>Naranja</v>
      </c>
      <c r="K229" s="30"/>
    </row>
    <row r="230" spans="1:11" ht="14.4" x14ac:dyDescent="0.3">
      <c r="A230" s="39">
        <v>51101</v>
      </c>
      <c r="B230" s="42" t="s">
        <v>265</v>
      </c>
      <c r="C230" s="29">
        <v>0.225903614457831</v>
      </c>
      <c r="D230" s="40" t="str">
        <f t="shared" si="6"/>
        <v>Rojo</v>
      </c>
      <c r="E230" s="41">
        <v>1.1161454304342999</v>
      </c>
      <c r="F230" s="40" t="str">
        <f t="shared" si="7"/>
        <v>Naranja</v>
      </c>
      <c r="K230" s="30"/>
    </row>
    <row r="231" spans="1:11" ht="14.4" x14ac:dyDescent="0.3">
      <c r="A231" s="39">
        <v>51102</v>
      </c>
      <c r="B231" s="42" t="s">
        <v>325</v>
      </c>
      <c r="C231" s="29">
        <v>0.54945054945054905</v>
      </c>
      <c r="D231" s="40" t="str">
        <f t="shared" si="6"/>
        <v>Rojo</v>
      </c>
      <c r="E231" s="41">
        <v>2.6833915528739301</v>
      </c>
      <c r="F231" s="40" t="str">
        <f t="shared" si="7"/>
        <v>Naranja</v>
      </c>
      <c r="K231" s="30"/>
    </row>
    <row r="232" spans="1:11" ht="14.4" x14ac:dyDescent="0.3">
      <c r="A232" s="39">
        <v>51103</v>
      </c>
      <c r="B232" s="42" t="s">
        <v>175</v>
      </c>
      <c r="C232" s="29">
        <v>0.113470578699951</v>
      </c>
      <c r="D232" s="40" t="str">
        <f t="shared" si="6"/>
        <v>Rojo</v>
      </c>
      <c r="E232" s="41">
        <v>0.64403595867435903</v>
      </c>
      <c r="F232" s="40" t="str">
        <f t="shared" si="7"/>
        <v>Rojo</v>
      </c>
      <c r="K232" s="30"/>
    </row>
    <row r="233" spans="1:11" ht="14.4" x14ac:dyDescent="0.3">
      <c r="A233" s="39">
        <v>51201</v>
      </c>
      <c r="B233" s="42" t="s">
        <v>289</v>
      </c>
      <c r="C233" s="29">
        <v>3.5612773783648199</v>
      </c>
      <c r="D233" s="40" t="str">
        <f t="shared" si="6"/>
        <v>Amarillo</v>
      </c>
      <c r="E233" s="41">
        <v>11.223142479894401</v>
      </c>
      <c r="F233" s="40" t="str">
        <f t="shared" si="7"/>
        <v>Verde</v>
      </c>
      <c r="K233" s="30"/>
    </row>
    <row r="234" spans="1:11" ht="14.4" x14ac:dyDescent="0.3">
      <c r="A234" s="39">
        <v>51202</v>
      </c>
      <c r="B234" s="42" t="s">
        <v>130</v>
      </c>
      <c r="C234" s="29">
        <v>0.71656050955413997</v>
      </c>
      <c r="D234" s="40" t="str">
        <f t="shared" si="6"/>
        <v>Rojo</v>
      </c>
      <c r="E234" s="41">
        <v>2.58493353028065</v>
      </c>
      <c r="F234" s="40" t="str">
        <f t="shared" si="7"/>
        <v>Naranja</v>
      </c>
      <c r="K234" s="30"/>
    </row>
    <row r="235" spans="1:11" ht="14.4" x14ac:dyDescent="0.3">
      <c r="A235" s="39">
        <v>51203</v>
      </c>
      <c r="B235" s="42" t="s">
        <v>166</v>
      </c>
      <c r="C235" s="29">
        <v>0.44247787610619499</v>
      </c>
      <c r="D235" s="40" t="str">
        <f t="shared" si="6"/>
        <v>Rojo</v>
      </c>
      <c r="E235" s="41">
        <v>3.4646840148698899</v>
      </c>
      <c r="F235" s="40" t="str">
        <f t="shared" si="7"/>
        <v>Amarillo</v>
      </c>
      <c r="K235" s="30"/>
    </row>
    <row r="236" spans="1:11" ht="14.4" x14ac:dyDescent="0.3">
      <c r="A236" s="39">
        <v>51204</v>
      </c>
      <c r="B236" s="42" t="s">
        <v>402</v>
      </c>
      <c r="C236" s="29">
        <v>0.223313979455114</v>
      </c>
      <c r="D236" s="40" t="str">
        <f t="shared" si="6"/>
        <v>Rojo</v>
      </c>
      <c r="E236" s="41">
        <v>2.0713073005093401</v>
      </c>
      <c r="F236" s="40" t="str">
        <f t="shared" si="7"/>
        <v>Naranja</v>
      </c>
      <c r="K236" s="30"/>
    </row>
    <row r="237" spans="1:11" ht="14.4" x14ac:dyDescent="0.3">
      <c r="A237" s="39">
        <v>51301</v>
      </c>
      <c r="B237" s="42" t="s">
        <v>104</v>
      </c>
      <c r="C237" s="29">
        <v>0.170454545454545</v>
      </c>
      <c r="D237" s="40" t="str">
        <f t="shared" si="6"/>
        <v>Rojo</v>
      </c>
      <c r="E237" s="41">
        <v>0.57498802108289404</v>
      </c>
      <c r="F237" s="40" t="str">
        <f t="shared" si="7"/>
        <v>Rojo</v>
      </c>
      <c r="K237" s="30"/>
    </row>
    <row r="238" spans="1:11" ht="14.4" x14ac:dyDescent="0.3">
      <c r="A238" s="39">
        <v>51302</v>
      </c>
      <c r="B238" s="42" t="s">
        <v>169</v>
      </c>
      <c r="C238" s="29">
        <v>0.52401746724890796</v>
      </c>
      <c r="D238" s="40" t="str">
        <f t="shared" si="6"/>
        <v>Rojo</v>
      </c>
      <c r="E238" s="41">
        <v>1.96229318968834</v>
      </c>
      <c r="F238" s="40" t="str">
        <f t="shared" si="7"/>
        <v>Naranja</v>
      </c>
      <c r="K238" s="30"/>
    </row>
    <row r="239" spans="1:11" ht="14.4" x14ac:dyDescent="0.3">
      <c r="A239" s="39">
        <v>51401</v>
      </c>
      <c r="B239" s="42" t="s">
        <v>151</v>
      </c>
      <c r="C239" s="29">
        <v>0.44802867383512501</v>
      </c>
      <c r="D239" s="40" t="str">
        <f t="shared" si="6"/>
        <v>Rojo</v>
      </c>
      <c r="E239" s="41">
        <v>3.2045240339302499</v>
      </c>
      <c r="F239" s="40" t="str">
        <f t="shared" si="7"/>
        <v>Amarillo</v>
      </c>
      <c r="K239" s="30"/>
    </row>
    <row r="240" spans="1:11" ht="14.4" x14ac:dyDescent="0.3">
      <c r="A240" s="39">
        <v>51402</v>
      </c>
      <c r="B240" s="42" t="s">
        <v>25</v>
      </c>
      <c r="C240" s="29">
        <v>1.5133876600698499</v>
      </c>
      <c r="D240" s="40" t="str">
        <f t="shared" si="6"/>
        <v>Naranja</v>
      </c>
      <c r="E240" s="41">
        <v>1.36645962732919</v>
      </c>
      <c r="F240" s="40" t="str">
        <f t="shared" si="7"/>
        <v>Naranja</v>
      </c>
      <c r="K240" s="30"/>
    </row>
    <row r="241" spans="1:11" ht="14.4" x14ac:dyDescent="0.3">
      <c r="A241" s="39">
        <v>51501</v>
      </c>
      <c r="B241" s="42" t="s">
        <v>293</v>
      </c>
      <c r="C241" s="29">
        <v>1.1604552555233201</v>
      </c>
      <c r="D241" s="40" t="str">
        <f t="shared" si="6"/>
        <v>Naranja</v>
      </c>
      <c r="E241" s="41">
        <v>4.6337944496308197</v>
      </c>
      <c r="F241" s="40" t="str">
        <f t="shared" si="7"/>
        <v>Amarillo</v>
      </c>
      <c r="K241" s="30"/>
    </row>
    <row r="242" spans="1:11" ht="14.4" x14ac:dyDescent="0.3">
      <c r="A242" s="39">
        <v>51601</v>
      </c>
      <c r="B242" s="42" t="s">
        <v>29</v>
      </c>
      <c r="C242" s="29">
        <v>0.91383812010443899</v>
      </c>
      <c r="D242" s="40" t="str">
        <f t="shared" si="6"/>
        <v>Naranja</v>
      </c>
      <c r="E242" s="41">
        <v>3.4693877551020398</v>
      </c>
      <c r="F242" s="40" t="str">
        <f t="shared" si="7"/>
        <v>Amarillo</v>
      </c>
      <c r="K242" s="30"/>
    </row>
    <row r="243" spans="1:11" ht="14.4" x14ac:dyDescent="0.3">
      <c r="A243" s="39">
        <v>60101</v>
      </c>
      <c r="B243" s="42" t="s">
        <v>76</v>
      </c>
      <c r="C243" s="29">
        <v>1.7792051920341401</v>
      </c>
      <c r="D243" s="40" t="str">
        <f t="shared" si="6"/>
        <v>Naranja</v>
      </c>
      <c r="E243" s="41">
        <v>6.0550143758314396</v>
      </c>
      <c r="F243" s="40" t="str">
        <f t="shared" si="7"/>
        <v>Verde</v>
      </c>
      <c r="K243" s="30"/>
    </row>
    <row r="244" spans="1:11" ht="14.4" x14ac:dyDescent="0.3">
      <c r="A244" s="39">
        <v>60201</v>
      </c>
      <c r="B244" s="42" t="s">
        <v>274</v>
      </c>
      <c r="C244" s="29">
        <v>0.34490687514371099</v>
      </c>
      <c r="D244" s="40" t="str">
        <f t="shared" si="6"/>
        <v>Rojo</v>
      </c>
      <c r="E244" s="41">
        <v>1.48761980830671</v>
      </c>
      <c r="F244" s="40" t="str">
        <f t="shared" si="7"/>
        <v>Naranja</v>
      </c>
      <c r="K244" s="30"/>
    </row>
    <row r="245" spans="1:11" ht="14.4" x14ac:dyDescent="0.3">
      <c r="A245" s="39">
        <v>60202</v>
      </c>
      <c r="B245" s="42" t="s">
        <v>254</v>
      </c>
      <c r="C245" s="29">
        <v>1.3939656774673199</v>
      </c>
      <c r="D245" s="40" t="str">
        <f t="shared" si="6"/>
        <v>Naranja</v>
      </c>
      <c r="E245" s="41">
        <v>6.4546151319391196</v>
      </c>
      <c r="F245" s="40" t="str">
        <f t="shared" si="7"/>
        <v>Verde</v>
      </c>
      <c r="K245" s="30"/>
    </row>
    <row r="246" spans="1:11" ht="14.4" x14ac:dyDescent="0.3">
      <c r="A246" s="39">
        <v>60301</v>
      </c>
      <c r="B246" s="42" t="s">
        <v>297</v>
      </c>
      <c r="C246" s="29">
        <v>1.4480046761251899</v>
      </c>
      <c r="D246" s="40" t="str">
        <f t="shared" si="6"/>
        <v>Naranja</v>
      </c>
      <c r="E246" s="41">
        <v>5.24457117788989</v>
      </c>
      <c r="F246" s="40" t="str">
        <f t="shared" si="7"/>
        <v>Verde</v>
      </c>
      <c r="K246" s="30"/>
    </row>
    <row r="247" spans="1:11" ht="14.4" x14ac:dyDescent="0.3">
      <c r="A247" s="39">
        <v>60302</v>
      </c>
      <c r="B247" s="42" t="s">
        <v>193</v>
      </c>
      <c r="C247" s="29">
        <v>1.02725654019997</v>
      </c>
      <c r="D247" s="40" t="str">
        <f t="shared" si="6"/>
        <v>Naranja</v>
      </c>
      <c r="E247" s="41">
        <v>2.2408596514218302</v>
      </c>
      <c r="F247" s="40" t="str">
        <f t="shared" si="7"/>
        <v>Naranja</v>
      </c>
      <c r="K247" s="30"/>
    </row>
    <row r="248" spans="1:11" ht="14.4" x14ac:dyDescent="0.3">
      <c r="A248" s="39">
        <v>60303</v>
      </c>
      <c r="B248" s="42" t="s">
        <v>326</v>
      </c>
      <c r="C248" s="29">
        <v>1.51868422710946</v>
      </c>
      <c r="D248" s="40" t="str">
        <f t="shared" si="6"/>
        <v>Naranja</v>
      </c>
      <c r="E248" s="41">
        <v>5.5018322475570001</v>
      </c>
      <c r="F248" s="40" t="str">
        <f t="shared" si="7"/>
        <v>Verde</v>
      </c>
      <c r="K248" s="30"/>
    </row>
    <row r="249" spans="1:11" ht="14.4" x14ac:dyDescent="0.3">
      <c r="A249" s="39">
        <v>60401</v>
      </c>
      <c r="B249" s="42" t="s">
        <v>235</v>
      </c>
      <c r="C249" s="29">
        <v>0.186716457722059</v>
      </c>
      <c r="D249" s="40" t="str">
        <f t="shared" si="6"/>
        <v>Rojo</v>
      </c>
      <c r="E249" s="41">
        <v>1.4519263747570601</v>
      </c>
      <c r="F249" s="40" t="str">
        <f t="shared" si="7"/>
        <v>Naranja</v>
      </c>
      <c r="K249" s="30"/>
    </row>
    <row r="250" spans="1:11" ht="14.4" x14ac:dyDescent="0.3">
      <c r="A250" s="39">
        <v>60402</v>
      </c>
      <c r="B250" s="42" t="s">
        <v>105</v>
      </c>
      <c r="C250" s="29">
        <v>0.156372165754496</v>
      </c>
      <c r="D250" s="40" t="str">
        <f t="shared" si="6"/>
        <v>Rojo</v>
      </c>
      <c r="E250" s="41">
        <v>1.1578541103820901</v>
      </c>
      <c r="F250" s="40" t="str">
        <f t="shared" si="7"/>
        <v>Naranja</v>
      </c>
      <c r="K250" s="30"/>
    </row>
    <row r="251" spans="1:11" ht="14.4" x14ac:dyDescent="0.3">
      <c r="A251" s="39">
        <v>60501</v>
      </c>
      <c r="B251" s="42" t="s">
        <v>59</v>
      </c>
      <c r="C251" s="29">
        <v>0.60235465912202202</v>
      </c>
      <c r="D251" s="40" t="str">
        <f t="shared" si="6"/>
        <v>Rojo</v>
      </c>
      <c r="E251" s="41">
        <v>3.5901548331379902</v>
      </c>
      <c r="F251" s="40" t="str">
        <f t="shared" si="7"/>
        <v>Amarillo</v>
      </c>
      <c r="K251" s="30"/>
    </row>
    <row r="252" spans="1:11" ht="14.4" x14ac:dyDescent="0.3">
      <c r="A252" s="39">
        <v>60502</v>
      </c>
      <c r="B252" s="42" t="s">
        <v>88</v>
      </c>
      <c r="C252" s="29">
        <v>0.27894002789400302</v>
      </c>
      <c r="D252" s="40" t="str">
        <f t="shared" si="6"/>
        <v>Rojo</v>
      </c>
      <c r="E252" s="41">
        <v>1.15617544503579</v>
      </c>
      <c r="F252" s="40" t="str">
        <f t="shared" si="7"/>
        <v>Naranja</v>
      </c>
      <c r="K252" s="30"/>
    </row>
    <row r="253" spans="1:11" ht="14.4" x14ac:dyDescent="0.3">
      <c r="A253" s="39">
        <v>60601</v>
      </c>
      <c r="B253" s="42" t="s">
        <v>223</v>
      </c>
      <c r="C253" s="29">
        <v>0.78034377306759495</v>
      </c>
      <c r="D253" s="40" t="str">
        <f t="shared" si="6"/>
        <v>Rojo</v>
      </c>
      <c r="E253" s="41">
        <v>1.97716513505987</v>
      </c>
      <c r="F253" s="40" t="str">
        <f t="shared" si="7"/>
        <v>Naranja</v>
      </c>
      <c r="K253" s="30"/>
    </row>
    <row r="254" spans="1:11" ht="14.4" x14ac:dyDescent="0.3">
      <c r="A254" s="39">
        <v>70101</v>
      </c>
      <c r="B254" s="42" t="s">
        <v>304</v>
      </c>
      <c r="C254" s="29">
        <v>2.8502878435525099</v>
      </c>
      <c r="D254" s="40" t="str">
        <f t="shared" si="6"/>
        <v>Amarillo</v>
      </c>
      <c r="E254" s="41">
        <v>6.9248099050476402</v>
      </c>
      <c r="F254" s="40" t="str">
        <f t="shared" si="7"/>
        <v>Verde</v>
      </c>
      <c r="K254" s="30"/>
    </row>
    <row r="255" spans="1:11" ht="14.4" x14ac:dyDescent="0.3">
      <c r="A255" s="39">
        <v>70102</v>
      </c>
      <c r="B255" s="42" t="s">
        <v>263</v>
      </c>
      <c r="C255" s="29">
        <v>1.41259564449676</v>
      </c>
      <c r="D255" s="40" t="str">
        <f t="shared" si="6"/>
        <v>Naranja</v>
      </c>
      <c r="E255" s="41">
        <v>6.4342800379283904</v>
      </c>
      <c r="F255" s="40" t="str">
        <f t="shared" si="7"/>
        <v>Verde</v>
      </c>
      <c r="K255" s="30"/>
    </row>
    <row r="256" spans="1:11" ht="14.4" x14ac:dyDescent="0.3">
      <c r="A256" s="39">
        <v>70103</v>
      </c>
      <c r="B256" s="42" t="s">
        <v>188</v>
      </c>
      <c r="C256" s="29">
        <v>1.30835083185269</v>
      </c>
      <c r="D256" s="40" t="str">
        <f t="shared" si="6"/>
        <v>Naranja</v>
      </c>
      <c r="E256" s="41">
        <v>5.3468888261319796</v>
      </c>
      <c r="F256" s="40" t="str">
        <f t="shared" si="7"/>
        <v>Verde</v>
      </c>
      <c r="K256" s="30"/>
    </row>
    <row r="257" spans="1:11" ht="14.4" x14ac:dyDescent="0.3">
      <c r="A257" s="39">
        <v>70104</v>
      </c>
      <c r="B257" s="42" t="s">
        <v>294</v>
      </c>
      <c r="C257" s="29">
        <v>1.9514946418499699</v>
      </c>
      <c r="D257" s="40" t="str">
        <f t="shared" si="6"/>
        <v>Naranja</v>
      </c>
      <c r="E257" s="41">
        <v>6.4639293650912002</v>
      </c>
      <c r="F257" s="40" t="str">
        <f t="shared" si="7"/>
        <v>Verde</v>
      </c>
      <c r="K257" s="30"/>
    </row>
    <row r="258" spans="1:11" ht="14.4" x14ac:dyDescent="0.3">
      <c r="A258" s="39">
        <v>70105</v>
      </c>
      <c r="B258" s="42" t="s">
        <v>291</v>
      </c>
      <c r="C258" s="29">
        <v>1.4386033356090899</v>
      </c>
      <c r="D258" s="40" t="str">
        <f t="shared" si="6"/>
        <v>Naranja</v>
      </c>
      <c r="E258" s="41">
        <v>4.8430117360158498</v>
      </c>
      <c r="F258" s="40" t="str">
        <f t="shared" si="7"/>
        <v>Verde</v>
      </c>
      <c r="K258" s="30"/>
    </row>
    <row r="259" spans="1:11" ht="14.4" x14ac:dyDescent="0.3">
      <c r="A259" s="39">
        <v>70201</v>
      </c>
      <c r="B259" s="42" t="s">
        <v>298</v>
      </c>
      <c r="C259" s="29">
        <v>1.92735994517732</v>
      </c>
      <c r="D259" s="40" t="str">
        <f t="shared" ref="D259:D322" si="8">IF(C259&lt;=0.818,"Rojo",
   IF(C259&lt;=2.822,"Naranja",
   IF(C259&lt;=4.82,"Amarillo","Verde")))</f>
        <v>Naranja</v>
      </c>
      <c r="E259" s="41">
        <v>6.39604434165404</v>
      </c>
      <c r="F259" s="40" t="str">
        <f t="shared" ref="F259:F322" si="9">IF(E259&lt;=0.818,"Rojo",
   IF(E259&lt;=2.822,"Naranja",
   IF(E259&lt;=4.82,"Amarillo","Verde")))</f>
        <v>Verde</v>
      </c>
      <c r="K259" s="30"/>
    </row>
    <row r="260" spans="1:11" ht="14.4" x14ac:dyDescent="0.3">
      <c r="A260" s="39">
        <v>70202</v>
      </c>
      <c r="B260" s="42" t="s">
        <v>91</v>
      </c>
      <c r="C260" s="29">
        <v>2.2033049574361501</v>
      </c>
      <c r="D260" s="40" t="str">
        <f t="shared" si="8"/>
        <v>Naranja</v>
      </c>
      <c r="E260" s="41">
        <v>4.4062733383121699</v>
      </c>
      <c r="F260" s="40" t="str">
        <f t="shared" si="9"/>
        <v>Amarillo</v>
      </c>
      <c r="K260" s="30"/>
    </row>
    <row r="261" spans="1:11" ht="14.4" x14ac:dyDescent="0.3">
      <c r="A261" s="39">
        <v>70301</v>
      </c>
      <c r="B261" s="42" t="s">
        <v>262</v>
      </c>
      <c r="C261" s="29">
        <v>1.19370591427021</v>
      </c>
      <c r="D261" s="40" t="str">
        <f t="shared" si="8"/>
        <v>Naranja</v>
      </c>
      <c r="E261" s="41">
        <v>3.2167284126531799</v>
      </c>
      <c r="F261" s="40" t="str">
        <f t="shared" si="9"/>
        <v>Amarillo</v>
      </c>
      <c r="K261" s="30"/>
    </row>
    <row r="262" spans="1:11" ht="14.4" x14ac:dyDescent="0.3">
      <c r="A262" s="39">
        <v>70302</v>
      </c>
      <c r="B262" s="42" t="s">
        <v>480</v>
      </c>
      <c r="C262" s="29">
        <v>0.47134706028280798</v>
      </c>
      <c r="D262" s="40" t="str">
        <f t="shared" si="8"/>
        <v>Rojo</v>
      </c>
      <c r="E262" s="41">
        <v>1.84229918938836</v>
      </c>
      <c r="F262" s="40" t="str">
        <f t="shared" si="9"/>
        <v>Naranja</v>
      </c>
      <c r="K262" s="30"/>
    </row>
    <row r="263" spans="1:11" ht="14.4" x14ac:dyDescent="0.3">
      <c r="A263" s="39">
        <v>70303</v>
      </c>
      <c r="B263" s="42" t="s">
        <v>79</v>
      </c>
      <c r="C263" s="29">
        <v>0.59549128030625298</v>
      </c>
      <c r="D263" s="40" t="str">
        <f t="shared" si="8"/>
        <v>Rojo</v>
      </c>
      <c r="E263" s="41">
        <v>1.90930787589499</v>
      </c>
      <c r="F263" s="40" t="str">
        <f t="shared" si="9"/>
        <v>Naranja</v>
      </c>
      <c r="K263" s="30"/>
    </row>
    <row r="264" spans="1:11" ht="14.4" x14ac:dyDescent="0.3">
      <c r="A264" s="39">
        <v>70401</v>
      </c>
      <c r="B264" s="42" t="s">
        <v>164</v>
      </c>
      <c r="C264" s="29">
        <v>1.9534497090606799</v>
      </c>
      <c r="D264" s="40" t="str">
        <f t="shared" si="8"/>
        <v>Naranja</v>
      </c>
      <c r="E264" s="41">
        <v>6.1497768226153102</v>
      </c>
      <c r="F264" s="40" t="str">
        <f t="shared" si="9"/>
        <v>Verde</v>
      </c>
      <c r="K264" s="30"/>
    </row>
    <row r="265" spans="1:11" ht="14.4" x14ac:dyDescent="0.3">
      <c r="A265" s="39">
        <v>70402</v>
      </c>
      <c r="B265" s="42" t="s">
        <v>225</v>
      </c>
      <c r="C265" s="29">
        <v>1.4830508474576301</v>
      </c>
      <c r="D265" s="40" t="str">
        <f t="shared" si="8"/>
        <v>Naranja</v>
      </c>
      <c r="E265" s="41">
        <v>4.6426027071954401</v>
      </c>
      <c r="F265" s="40" t="str">
        <f t="shared" si="9"/>
        <v>Amarillo</v>
      </c>
      <c r="K265" s="30"/>
    </row>
    <row r="266" spans="1:11" ht="14.4" x14ac:dyDescent="0.3">
      <c r="A266" s="39">
        <v>70403</v>
      </c>
      <c r="B266" s="42" t="s">
        <v>278</v>
      </c>
      <c r="C266" s="29">
        <v>1.1221329503119499</v>
      </c>
      <c r="D266" s="40" t="str">
        <f t="shared" si="8"/>
        <v>Naranja</v>
      </c>
      <c r="E266" s="41">
        <v>4.7548291233283804</v>
      </c>
      <c r="F266" s="40" t="str">
        <f t="shared" si="9"/>
        <v>Amarillo</v>
      </c>
      <c r="K266" s="30"/>
    </row>
    <row r="267" spans="1:11" ht="14.4" x14ac:dyDescent="0.3">
      <c r="A267" s="39">
        <v>70404</v>
      </c>
      <c r="B267" s="42" t="s">
        <v>327</v>
      </c>
      <c r="C267" s="29">
        <v>0.70479804825155901</v>
      </c>
      <c r="D267" s="40" t="str">
        <f t="shared" si="8"/>
        <v>Rojo</v>
      </c>
      <c r="E267" s="41">
        <v>3.8878842676311001</v>
      </c>
      <c r="F267" s="40" t="str">
        <f t="shared" si="9"/>
        <v>Amarillo</v>
      </c>
      <c r="K267" s="30"/>
    </row>
    <row r="268" spans="1:11" ht="14.4" x14ac:dyDescent="0.3">
      <c r="A268" s="39">
        <v>70501</v>
      </c>
      <c r="B268" s="42" t="s">
        <v>481</v>
      </c>
      <c r="C268" s="29">
        <v>1.16234390009606</v>
      </c>
      <c r="D268" s="40" t="str">
        <f t="shared" si="8"/>
        <v>Naranja</v>
      </c>
      <c r="E268" s="41">
        <v>2.9848338173604398</v>
      </c>
      <c r="F268" s="40" t="str">
        <f t="shared" si="9"/>
        <v>Amarillo</v>
      </c>
      <c r="K268" s="30"/>
    </row>
    <row r="269" spans="1:11" ht="14.4" x14ac:dyDescent="0.3">
      <c r="A269" s="39">
        <v>70502</v>
      </c>
      <c r="B269" s="42" t="s">
        <v>272</v>
      </c>
      <c r="C269" s="29">
        <v>0.72101236021188897</v>
      </c>
      <c r="D269" s="40" t="str">
        <f t="shared" si="8"/>
        <v>Rojo</v>
      </c>
      <c r="E269" s="41">
        <v>3.1627056672760498</v>
      </c>
      <c r="F269" s="40" t="str">
        <f t="shared" si="9"/>
        <v>Amarillo</v>
      </c>
      <c r="K269" s="30"/>
    </row>
    <row r="270" spans="1:11" ht="14.4" x14ac:dyDescent="0.3">
      <c r="A270" s="39">
        <v>70503</v>
      </c>
      <c r="B270" s="42" t="s">
        <v>162</v>
      </c>
      <c r="C270" s="29">
        <v>2.3360119603812399</v>
      </c>
      <c r="D270" s="40" t="str">
        <f t="shared" si="8"/>
        <v>Naranja</v>
      </c>
      <c r="E270" s="41">
        <v>5.9565807327001403</v>
      </c>
      <c r="F270" s="40" t="str">
        <f t="shared" si="9"/>
        <v>Verde</v>
      </c>
      <c r="K270" s="30"/>
    </row>
    <row r="271" spans="1:11" ht="14.4" x14ac:dyDescent="0.3">
      <c r="A271" s="39">
        <v>70601</v>
      </c>
      <c r="B271" s="42" t="s">
        <v>158</v>
      </c>
      <c r="C271" s="29">
        <v>1.3409961685823799</v>
      </c>
      <c r="D271" s="40" t="str">
        <f t="shared" si="8"/>
        <v>Naranja</v>
      </c>
      <c r="E271" s="41">
        <v>4.4563695753616397</v>
      </c>
      <c r="F271" s="40" t="str">
        <f t="shared" si="9"/>
        <v>Amarillo</v>
      </c>
      <c r="K271" s="30"/>
    </row>
    <row r="272" spans="1:11" ht="14.4" x14ac:dyDescent="0.3">
      <c r="A272" s="39">
        <v>70602</v>
      </c>
      <c r="B272" s="42" t="s">
        <v>35</v>
      </c>
      <c r="C272" s="29">
        <v>0.49405795166243799</v>
      </c>
      <c r="D272" s="40" t="str">
        <f t="shared" si="8"/>
        <v>Rojo</v>
      </c>
      <c r="E272" s="41">
        <v>2.67512753514993</v>
      </c>
      <c r="F272" s="40" t="str">
        <f t="shared" si="9"/>
        <v>Naranja</v>
      </c>
      <c r="K272" s="30"/>
    </row>
    <row r="273" spans="1:11" ht="14.4" x14ac:dyDescent="0.3">
      <c r="A273" s="39">
        <v>70603</v>
      </c>
      <c r="B273" s="42" t="s">
        <v>329</v>
      </c>
      <c r="C273" s="29">
        <v>1.2048192771084301</v>
      </c>
      <c r="D273" s="40" t="str">
        <f t="shared" si="8"/>
        <v>Naranja</v>
      </c>
      <c r="E273" s="41">
        <v>5.0747621205255999</v>
      </c>
      <c r="F273" s="40" t="str">
        <f t="shared" si="9"/>
        <v>Verde</v>
      </c>
      <c r="K273" s="30"/>
    </row>
    <row r="274" spans="1:11" ht="14.4" x14ac:dyDescent="0.3">
      <c r="A274" s="39">
        <v>70701</v>
      </c>
      <c r="B274" s="42" t="s">
        <v>74</v>
      </c>
      <c r="C274" s="29">
        <v>0.91594827586206895</v>
      </c>
      <c r="D274" s="40" t="str">
        <f t="shared" si="8"/>
        <v>Naranja</v>
      </c>
      <c r="E274" s="41">
        <v>2.0770392749244699</v>
      </c>
      <c r="F274" s="40" t="str">
        <f t="shared" si="9"/>
        <v>Naranja</v>
      </c>
      <c r="K274" s="30"/>
    </row>
    <row r="275" spans="1:11" ht="14.4" x14ac:dyDescent="0.3">
      <c r="A275" s="39">
        <v>70702</v>
      </c>
      <c r="B275" s="42" t="s">
        <v>482</v>
      </c>
      <c r="C275" s="29">
        <v>0.66786812254850003</v>
      </c>
      <c r="D275" s="40" t="str">
        <f t="shared" si="8"/>
        <v>Rojo</v>
      </c>
      <c r="E275" s="41">
        <v>2.05041522745646</v>
      </c>
      <c r="F275" s="40" t="str">
        <f t="shared" si="9"/>
        <v>Naranja</v>
      </c>
      <c r="K275" s="30"/>
    </row>
    <row r="276" spans="1:11" ht="14.4" x14ac:dyDescent="0.3">
      <c r="A276" s="39">
        <v>70703</v>
      </c>
      <c r="B276" s="42" t="s">
        <v>250</v>
      </c>
      <c r="C276" s="29">
        <v>0.47647409172126298</v>
      </c>
      <c r="D276" s="40" t="str">
        <f t="shared" si="8"/>
        <v>Rojo</v>
      </c>
      <c r="E276" s="41">
        <v>2.9339321935670801</v>
      </c>
      <c r="F276" s="40" t="str">
        <f t="shared" si="9"/>
        <v>Amarillo</v>
      </c>
      <c r="K276" s="30"/>
    </row>
    <row r="277" spans="1:11" ht="14.4" x14ac:dyDescent="0.3">
      <c r="A277" s="39">
        <v>70704</v>
      </c>
      <c r="B277" s="42" t="s">
        <v>73</v>
      </c>
      <c r="C277" s="29">
        <v>0.678175092478422</v>
      </c>
      <c r="D277" s="40" t="str">
        <f t="shared" si="8"/>
        <v>Rojo</v>
      </c>
      <c r="E277" s="41">
        <v>3.10296191819464</v>
      </c>
      <c r="F277" s="40" t="str">
        <f t="shared" si="9"/>
        <v>Amarillo</v>
      </c>
      <c r="K277" s="30"/>
    </row>
    <row r="278" spans="1:11" ht="14.4" x14ac:dyDescent="0.3">
      <c r="A278" s="39">
        <v>70705</v>
      </c>
      <c r="B278" s="42" t="s">
        <v>483</v>
      </c>
      <c r="C278" s="29">
        <v>0.34129692832764502</v>
      </c>
      <c r="D278" s="40" t="str">
        <f t="shared" si="8"/>
        <v>Rojo</v>
      </c>
      <c r="E278" s="41">
        <v>2.2900763358778602</v>
      </c>
      <c r="F278" s="40" t="str">
        <f t="shared" si="9"/>
        <v>Naranja</v>
      </c>
      <c r="K278" s="30"/>
    </row>
    <row r="279" spans="1:11" ht="14.4" x14ac:dyDescent="0.3">
      <c r="A279" s="39">
        <v>70706</v>
      </c>
      <c r="B279" s="42" t="s">
        <v>221</v>
      </c>
      <c r="C279" s="29">
        <v>2.10992445949466</v>
      </c>
      <c r="D279" s="40" t="str">
        <f t="shared" si="8"/>
        <v>Naranja</v>
      </c>
      <c r="E279" s="41">
        <v>5.4501290420525299</v>
      </c>
      <c r="F279" s="40" t="str">
        <f t="shared" si="9"/>
        <v>Verde</v>
      </c>
      <c r="K279" s="30"/>
    </row>
    <row r="280" spans="1:11" ht="14.4" x14ac:dyDescent="0.3">
      <c r="A280" s="39">
        <v>70707</v>
      </c>
      <c r="B280" s="42" t="s">
        <v>53</v>
      </c>
      <c r="C280" s="29">
        <v>1.28865979381443</v>
      </c>
      <c r="D280" s="40" t="str">
        <f t="shared" si="8"/>
        <v>Naranja</v>
      </c>
      <c r="E280" s="41">
        <v>3.6077235772357699</v>
      </c>
      <c r="F280" s="40" t="str">
        <f t="shared" si="9"/>
        <v>Amarillo</v>
      </c>
      <c r="K280" s="30"/>
    </row>
    <row r="281" spans="1:11" ht="14.4" x14ac:dyDescent="0.3">
      <c r="A281" s="39">
        <v>70801</v>
      </c>
      <c r="B281" s="42" t="s">
        <v>257</v>
      </c>
      <c r="C281" s="29">
        <v>0.91227193201699597</v>
      </c>
      <c r="D281" s="40" t="str">
        <f t="shared" si="8"/>
        <v>Naranja</v>
      </c>
      <c r="E281" s="41">
        <v>3.2829940906106398</v>
      </c>
      <c r="F281" s="40" t="str">
        <f t="shared" si="9"/>
        <v>Amarillo</v>
      </c>
      <c r="K281" s="30"/>
    </row>
    <row r="282" spans="1:11" ht="14.4" x14ac:dyDescent="0.3">
      <c r="A282" s="39">
        <v>70802</v>
      </c>
      <c r="B282" s="42" t="s">
        <v>10</v>
      </c>
      <c r="C282" s="29">
        <v>0.299102691924227</v>
      </c>
      <c r="D282" s="40" t="str">
        <f t="shared" si="8"/>
        <v>Rojo</v>
      </c>
      <c r="E282" s="41">
        <v>1.6064257028112401</v>
      </c>
      <c r="F282" s="40" t="str">
        <f t="shared" si="9"/>
        <v>Naranja</v>
      </c>
      <c r="K282" s="30"/>
    </row>
    <row r="283" spans="1:11" ht="14.4" x14ac:dyDescent="0.3">
      <c r="A283" s="39">
        <v>70803</v>
      </c>
      <c r="B283" s="42" t="s">
        <v>484</v>
      </c>
      <c r="C283" s="29">
        <v>0.13468013468013501</v>
      </c>
      <c r="D283" s="40" t="str">
        <f t="shared" si="8"/>
        <v>Rojo</v>
      </c>
      <c r="E283" s="41">
        <v>0.90744101633393803</v>
      </c>
      <c r="F283" s="40" t="str">
        <f t="shared" si="9"/>
        <v>Naranja</v>
      </c>
      <c r="K283" s="30"/>
    </row>
    <row r="284" spans="1:11" ht="14.4" x14ac:dyDescent="0.3">
      <c r="A284" s="39">
        <v>70804</v>
      </c>
      <c r="B284" s="42" t="s">
        <v>330</v>
      </c>
      <c r="C284" s="29">
        <v>0.16806722689075601</v>
      </c>
      <c r="D284" s="40" t="str">
        <f t="shared" si="8"/>
        <v>Rojo</v>
      </c>
      <c r="E284" s="41">
        <v>2.0703933747412</v>
      </c>
      <c r="F284" s="40" t="str">
        <f t="shared" si="9"/>
        <v>Naranja</v>
      </c>
      <c r="K284" s="30"/>
    </row>
    <row r="285" spans="1:11" ht="14.4" x14ac:dyDescent="0.3">
      <c r="A285" s="39">
        <v>70805</v>
      </c>
      <c r="B285" s="42" t="s">
        <v>331</v>
      </c>
      <c r="C285" s="29">
        <v>0.90180360721442898</v>
      </c>
      <c r="D285" s="40" t="str">
        <f t="shared" si="8"/>
        <v>Naranja</v>
      </c>
      <c r="E285" s="41">
        <v>1.9819819819819799</v>
      </c>
      <c r="F285" s="40" t="str">
        <f t="shared" si="9"/>
        <v>Naranja</v>
      </c>
      <c r="K285" s="30"/>
    </row>
    <row r="286" spans="1:11" ht="14.4" x14ac:dyDescent="0.3">
      <c r="A286" s="39">
        <v>70901</v>
      </c>
      <c r="B286" s="42" t="s">
        <v>192</v>
      </c>
      <c r="C286" s="29">
        <v>2.6085141903172002</v>
      </c>
      <c r="D286" s="40" t="str">
        <f t="shared" si="8"/>
        <v>Naranja</v>
      </c>
      <c r="E286" s="41">
        <v>5.9933407325194201</v>
      </c>
      <c r="F286" s="40" t="str">
        <f t="shared" si="9"/>
        <v>Verde</v>
      </c>
      <c r="K286" s="30"/>
    </row>
    <row r="287" spans="1:11" ht="14.4" x14ac:dyDescent="0.3">
      <c r="A287" s="39">
        <v>70902</v>
      </c>
      <c r="B287" s="42" t="s">
        <v>485</v>
      </c>
      <c r="C287" s="29">
        <v>0.39263803680981602</v>
      </c>
      <c r="D287" s="40" t="str">
        <f t="shared" si="8"/>
        <v>Rojo</v>
      </c>
      <c r="E287" s="41">
        <v>3.5780382479950599</v>
      </c>
      <c r="F287" s="40" t="str">
        <f t="shared" si="9"/>
        <v>Amarillo</v>
      </c>
      <c r="K287" s="30"/>
    </row>
    <row r="288" spans="1:11" ht="14.4" x14ac:dyDescent="0.3">
      <c r="A288" s="39">
        <v>70903</v>
      </c>
      <c r="B288" s="42" t="s">
        <v>122</v>
      </c>
      <c r="C288" s="29">
        <v>0.76662908680946995</v>
      </c>
      <c r="D288" s="40" t="str">
        <f t="shared" si="8"/>
        <v>Rojo</v>
      </c>
      <c r="E288" s="41">
        <v>3.5742279354130702</v>
      </c>
      <c r="F288" s="40" t="str">
        <f t="shared" si="9"/>
        <v>Amarillo</v>
      </c>
      <c r="K288" s="30"/>
    </row>
    <row r="289" spans="1:11" ht="14.4" x14ac:dyDescent="0.3">
      <c r="A289" s="39">
        <v>70904</v>
      </c>
      <c r="B289" s="42" t="s">
        <v>20</v>
      </c>
      <c r="C289" s="29">
        <v>0.27835768963117602</v>
      </c>
      <c r="D289" s="40" t="str">
        <f t="shared" si="8"/>
        <v>Rojo</v>
      </c>
      <c r="E289" s="41">
        <v>1.77153329260843</v>
      </c>
      <c r="F289" s="40" t="str">
        <f t="shared" si="9"/>
        <v>Naranja</v>
      </c>
      <c r="K289" s="30"/>
    </row>
    <row r="290" spans="1:11" ht="14.4" x14ac:dyDescent="0.3">
      <c r="A290" s="39">
        <v>71001</v>
      </c>
      <c r="B290" s="42" t="s">
        <v>300</v>
      </c>
      <c r="C290" s="29">
        <v>1.56745079212674</v>
      </c>
      <c r="D290" s="40" t="str">
        <f t="shared" si="8"/>
        <v>Naranja</v>
      </c>
      <c r="E290" s="41">
        <v>6.3997917557592503</v>
      </c>
      <c r="F290" s="40" t="str">
        <f t="shared" si="9"/>
        <v>Verde</v>
      </c>
      <c r="K290" s="30"/>
    </row>
    <row r="291" spans="1:11" ht="14.4" x14ac:dyDescent="0.3">
      <c r="A291" s="39">
        <v>71002</v>
      </c>
      <c r="B291" s="42" t="s">
        <v>332</v>
      </c>
      <c r="C291" s="29">
        <v>0.44900577293136601</v>
      </c>
      <c r="D291" s="40" t="str">
        <f t="shared" si="8"/>
        <v>Rojo</v>
      </c>
      <c r="E291" s="41">
        <v>2.86259541984733</v>
      </c>
      <c r="F291" s="40" t="str">
        <f t="shared" si="9"/>
        <v>Amarillo</v>
      </c>
      <c r="K291" s="30"/>
    </row>
    <row r="292" spans="1:11" ht="14.4" x14ac:dyDescent="0.3">
      <c r="A292" s="39">
        <v>71003</v>
      </c>
      <c r="B292" s="42" t="s">
        <v>230</v>
      </c>
      <c r="C292" s="29">
        <v>0.81653483031385599</v>
      </c>
      <c r="D292" s="40" t="str">
        <f t="shared" si="8"/>
        <v>Rojo</v>
      </c>
      <c r="E292" s="41">
        <v>4.7136910788615101</v>
      </c>
      <c r="F292" s="40" t="str">
        <f t="shared" si="9"/>
        <v>Amarillo</v>
      </c>
      <c r="K292" s="30"/>
    </row>
    <row r="293" spans="1:11" ht="14.4" x14ac:dyDescent="0.3">
      <c r="A293" s="39">
        <v>71004</v>
      </c>
      <c r="B293" s="42" t="s">
        <v>161</v>
      </c>
      <c r="C293" s="29">
        <v>0.61173083843109</v>
      </c>
      <c r="D293" s="40" t="str">
        <f t="shared" si="8"/>
        <v>Rojo</v>
      </c>
      <c r="E293" s="41">
        <v>3.27664869348818</v>
      </c>
      <c r="F293" s="40" t="str">
        <f t="shared" si="9"/>
        <v>Amarillo</v>
      </c>
      <c r="K293" s="30"/>
    </row>
    <row r="294" spans="1:11" ht="14.4" x14ac:dyDescent="0.3">
      <c r="A294" s="39">
        <v>71005</v>
      </c>
      <c r="B294" s="42" t="s">
        <v>9</v>
      </c>
      <c r="C294" s="29">
        <v>0.41617895695148899</v>
      </c>
      <c r="D294" s="40" t="str">
        <f t="shared" si="8"/>
        <v>Rojo</v>
      </c>
      <c r="E294" s="41">
        <v>3.9061402276239998</v>
      </c>
      <c r="F294" s="40" t="str">
        <f t="shared" si="9"/>
        <v>Amarillo</v>
      </c>
      <c r="K294" s="30"/>
    </row>
    <row r="295" spans="1:11" ht="14.4" x14ac:dyDescent="0.3">
      <c r="A295" s="39">
        <v>71101</v>
      </c>
      <c r="B295" s="42" t="s">
        <v>248</v>
      </c>
      <c r="C295" s="29">
        <v>1.12937812723374</v>
      </c>
      <c r="D295" s="40" t="str">
        <f t="shared" si="8"/>
        <v>Naranja</v>
      </c>
      <c r="E295" s="41">
        <v>4.3106015485407996</v>
      </c>
      <c r="F295" s="40" t="str">
        <f t="shared" si="9"/>
        <v>Amarillo</v>
      </c>
      <c r="K295" s="30"/>
    </row>
    <row r="296" spans="1:11" ht="14.4" x14ac:dyDescent="0.3">
      <c r="A296" s="39">
        <v>71102</v>
      </c>
      <c r="B296" s="42" t="s">
        <v>75</v>
      </c>
      <c r="C296" s="29">
        <v>1.10436223081171</v>
      </c>
      <c r="D296" s="40" t="str">
        <f t="shared" si="8"/>
        <v>Naranja</v>
      </c>
      <c r="E296" s="41">
        <v>4.28738904706079</v>
      </c>
      <c r="F296" s="40" t="str">
        <f t="shared" si="9"/>
        <v>Amarillo</v>
      </c>
      <c r="K296" s="30"/>
    </row>
    <row r="297" spans="1:11" ht="14.4" x14ac:dyDescent="0.3">
      <c r="A297" s="39">
        <v>71103</v>
      </c>
      <c r="B297" s="42" t="s">
        <v>285</v>
      </c>
      <c r="C297" s="29">
        <v>1.5465729349736399</v>
      </c>
      <c r="D297" s="40" t="str">
        <f t="shared" si="8"/>
        <v>Naranja</v>
      </c>
      <c r="E297" s="41">
        <v>5.1326412918108399</v>
      </c>
      <c r="F297" s="40" t="str">
        <f t="shared" si="9"/>
        <v>Verde</v>
      </c>
      <c r="K297" s="30"/>
    </row>
    <row r="298" spans="1:11" ht="14.4" x14ac:dyDescent="0.3">
      <c r="A298" s="39">
        <v>71104</v>
      </c>
      <c r="B298" s="42" t="s">
        <v>333</v>
      </c>
      <c r="C298" s="29">
        <v>0.61623334702740795</v>
      </c>
      <c r="D298" s="40" t="str">
        <f t="shared" si="8"/>
        <v>Rojo</v>
      </c>
      <c r="E298" s="41">
        <v>4.1225848110068002</v>
      </c>
      <c r="F298" s="40" t="str">
        <f t="shared" si="9"/>
        <v>Amarillo</v>
      </c>
      <c r="K298" s="30"/>
    </row>
    <row r="299" spans="1:11" ht="14.4" x14ac:dyDescent="0.3">
      <c r="A299" s="39">
        <v>71105</v>
      </c>
      <c r="B299" s="42" t="s">
        <v>44</v>
      </c>
      <c r="C299" s="29">
        <v>0.57923045097227999</v>
      </c>
      <c r="D299" s="40" t="str">
        <f t="shared" si="8"/>
        <v>Rojo</v>
      </c>
      <c r="E299" s="41">
        <v>2.74704311331553</v>
      </c>
      <c r="F299" s="40" t="str">
        <f t="shared" si="9"/>
        <v>Naranja</v>
      </c>
      <c r="K299" s="30"/>
    </row>
    <row r="300" spans="1:11" ht="14.4" x14ac:dyDescent="0.3">
      <c r="A300" s="39">
        <v>71106</v>
      </c>
      <c r="B300" s="42" t="s">
        <v>239</v>
      </c>
      <c r="C300" s="29">
        <v>1.0597761371755201</v>
      </c>
      <c r="D300" s="40" t="str">
        <f t="shared" si="8"/>
        <v>Naranja</v>
      </c>
      <c r="E300" s="41">
        <v>4.0237467018469699</v>
      </c>
      <c r="F300" s="40" t="str">
        <f t="shared" si="9"/>
        <v>Amarillo</v>
      </c>
      <c r="K300" s="30"/>
    </row>
    <row r="301" spans="1:11" ht="14.4" x14ac:dyDescent="0.3">
      <c r="A301" s="39">
        <v>71201</v>
      </c>
      <c r="B301" s="42" t="s">
        <v>212</v>
      </c>
      <c r="C301" s="29">
        <v>1.0448061080972499</v>
      </c>
      <c r="D301" s="40" t="str">
        <f t="shared" si="8"/>
        <v>Naranja</v>
      </c>
      <c r="E301" s="41">
        <v>2.7031593174522701</v>
      </c>
      <c r="F301" s="40" t="str">
        <f t="shared" si="9"/>
        <v>Naranja</v>
      </c>
      <c r="K301" s="30"/>
    </row>
    <row r="302" spans="1:11" ht="14.4" x14ac:dyDescent="0.3">
      <c r="A302" s="39">
        <v>71301</v>
      </c>
      <c r="B302" s="42" t="s">
        <v>209</v>
      </c>
      <c r="C302" s="29">
        <v>0.76846449409420803</v>
      </c>
      <c r="D302" s="40" t="str">
        <f t="shared" si="8"/>
        <v>Rojo</v>
      </c>
      <c r="E302" s="41">
        <v>2.4016979445933901</v>
      </c>
      <c r="F302" s="40" t="str">
        <f t="shared" si="9"/>
        <v>Naranja</v>
      </c>
      <c r="K302" s="30"/>
    </row>
    <row r="303" spans="1:11" ht="14.4" x14ac:dyDescent="0.3">
      <c r="A303" s="39">
        <v>71302</v>
      </c>
      <c r="B303" s="42" t="s">
        <v>58</v>
      </c>
      <c r="C303" s="29">
        <v>0.60463553913335599</v>
      </c>
      <c r="D303" s="40" t="str">
        <f t="shared" si="8"/>
        <v>Rojo</v>
      </c>
      <c r="E303" s="41">
        <v>3.2289312237649299</v>
      </c>
      <c r="F303" s="40" t="str">
        <f t="shared" si="9"/>
        <v>Amarillo</v>
      </c>
      <c r="K303" s="30"/>
    </row>
    <row r="304" spans="1:11" ht="14.4" x14ac:dyDescent="0.3">
      <c r="A304" s="39">
        <v>71401</v>
      </c>
      <c r="B304" s="42" t="s">
        <v>486</v>
      </c>
      <c r="C304" s="29">
        <v>1.74106558450059</v>
      </c>
      <c r="D304" s="40" t="str">
        <f t="shared" si="8"/>
        <v>Naranja</v>
      </c>
      <c r="E304" s="41">
        <v>5.6524035921817202</v>
      </c>
      <c r="F304" s="40" t="str">
        <f t="shared" si="9"/>
        <v>Verde</v>
      </c>
      <c r="K304" s="30"/>
    </row>
    <row r="305" spans="1:11" ht="14.4" x14ac:dyDescent="0.3">
      <c r="A305" s="39">
        <v>71402</v>
      </c>
      <c r="B305" s="42" t="s">
        <v>165</v>
      </c>
      <c r="C305" s="29">
        <v>2.6076934159343002</v>
      </c>
      <c r="D305" s="40" t="str">
        <f t="shared" si="8"/>
        <v>Naranja</v>
      </c>
      <c r="E305" s="41">
        <v>8.7007565875293498</v>
      </c>
      <c r="F305" s="40" t="str">
        <f t="shared" si="9"/>
        <v>Verde</v>
      </c>
      <c r="K305" s="30"/>
    </row>
    <row r="306" spans="1:11" ht="14.4" x14ac:dyDescent="0.3">
      <c r="A306" s="39">
        <v>71403</v>
      </c>
      <c r="B306" s="42" t="s">
        <v>334</v>
      </c>
      <c r="C306" s="29">
        <v>1.0961214165261399</v>
      </c>
      <c r="D306" s="40" t="str">
        <f t="shared" si="8"/>
        <v>Naranja</v>
      </c>
      <c r="E306" s="41">
        <v>2.47955684515959</v>
      </c>
      <c r="F306" s="40" t="str">
        <f t="shared" si="9"/>
        <v>Naranja</v>
      </c>
      <c r="K306" s="30"/>
    </row>
    <row r="307" spans="1:11" ht="14.4" x14ac:dyDescent="0.3">
      <c r="A307" s="39">
        <v>71501</v>
      </c>
      <c r="B307" s="42" t="s">
        <v>335</v>
      </c>
      <c r="C307" s="29">
        <v>1.06963311584127</v>
      </c>
      <c r="D307" s="40" t="str">
        <f t="shared" si="8"/>
        <v>Naranja</v>
      </c>
      <c r="E307" s="41">
        <v>4.5372535917140002</v>
      </c>
      <c r="F307" s="40" t="str">
        <f t="shared" si="9"/>
        <v>Amarillo</v>
      </c>
      <c r="K307" s="30"/>
    </row>
    <row r="308" spans="1:11" ht="14.4" x14ac:dyDescent="0.3">
      <c r="A308" s="39">
        <v>71502</v>
      </c>
      <c r="B308" s="42" t="s">
        <v>77</v>
      </c>
      <c r="C308" s="29">
        <v>0.60046189376443404</v>
      </c>
      <c r="D308" s="40" t="str">
        <f t="shared" si="8"/>
        <v>Rojo</v>
      </c>
      <c r="E308" s="41">
        <v>1.7828843106180701</v>
      </c>
      <c r="F308" s="40" t="str">
        <f t="shared" si="9"/>
        <v>Naranja</v>
      </c>
      <c r="K308" s="30"/>
    </row>
    <row r="309" spans="1:11" ht="14.4" x14ac:dyDescent="0.3">
      <c r="A309" s="39">
        <v>71503</v>
      </c>
      <c r="B309" s="42" t="s">
        <v>88</v>
      </c>
      <c r="C309" s="29">
        <v>0.34614053305642101</v>
      </c>
      <c r="D309" s="40" t="str">
        <f t="shared" si="8"/>
        <v>Rojo</v>
      </c>
      <c r="E309" s="41">
        <v>2.6737967914438499</v>
      </c>
      <c r="F309" s="40" t="str">
        <f t="shared" si="9"/>
        <v>Naranja</v>
      </c>
      <c r="K309" s="30"/>
    </row>
    <row r="310" spans="1:11" ht="14.4" x14ac:dyDescent="0.3">
      <c r="A310" s="39">
        <v>80101</v>
      </c>
      <c r="B310" s="42" t="s">
        <v>301</v>
      </c>
      <c r="C310" s="29">
        <v>2.4081388390185499</v>
      </c>
      <c r="D310" s="40" t="str">
        <f t="shared" si="8"/>
        <v>Naranja</v>
      </c>
      <c r="E310" s="41">
        <v>8.1277213352685092</v>
      </c>
      <c r="F310" s="40" t="str">
        <f t="shared" si="9"/>
        <v>Verde</v>
      </c>
      <c r="K310" s="30"/>
    </row>
    <row r="311" spans="1:11" ht="14.4" x14ac:dyDescent="0.3">
      <c r="A311" s="39">
        <v>80102</v>
      </c>
      <c r="B311" s="42" t="s">
        <v>75</v>
      </c>
      <c r="C311" s="29">
        <v>0.258397932816538</v>
      </c>
      <c r="D311" s="40" t="str">
        <f t="shared" si="8"/>
        <v>Rojo</v>
      </c>
      <c r="E311" s="41">
        <v>2.0963172804532602</v>
      </c>
      <c r="F311" s="40" t="str">
        <f t="shared" si="9"/>
        <v>Naranja</v>
      </c>
      <c r="K311" s="30"/>
    </row>
    <row r="312" spans="1:11" ht="14.4" x14ac:dyDescent="0.3">
      <c r="A312" s="39">
        <v>80201</v>
      </c>
      <c r="B312" s="42" t="s">
        <v>296</v>
      </c>
      <c r="C312" s="29">
        <v>1.3452914798206299</v>
      </c>
      <c r="D312" s="40" t="str">
        <f t="shared" si="8"/>
        <v>Naranja</v>
      </c>
      <c r="E312" s="41">
        <v>6.3734020092341304</v>
      </c>
      <c r="F312" s="40" t="str">
        <f t="shared" si="9"/>
        <v>Verde</v>
      </c>
      <c r="K312" s="30"/>
    </row>
    <row r="313" spans="1:11" ht="14.4" x14ac:dyDescent="0.3">
      <c r="A313" s="39">
        <v>80202</v>
      </c>
      <c r="B313" s="42" t="s">
        <v>287</v>
      </c>
      <c r="C313" s="29">
        <v>1.97307763230684</v>
      </c>
      <c r="D313" s="40" t="str">
        <f t="shared" si="8"/>
        <v>Naranja</v>
      </c>
      <c r="E313" s="41">
        <v>7.18072289156627</v>
      </c>
      <c r="F313" s="40" t="str">
        <f t="shared" si="9"/>
        <v>Verde</v>
      </c>
      <c r="K313" s="30"/>
    </row>
    <row r="314" spans="1:11" ht="14.4" x14ac:dyDescent="0.3">
      <c r="A314" s="39">
        <v>80301</v>
      </c>
      <c r="B314" s="42" t="s">
        <v>216</v>
      </c>
      <c r="C314" s="29">
        <v>0.95313741064336799</v>
      </c>
      <c r="D314" s="40" t="str">
        <f t="shared" si="8"/>
        <v>Naranja</v>
      </c>
      <c r="E314" s="41">
        <v>4.1331303023711099</v>
      </c>
      <c r="F314" s="40" t="str">
        <f t="shared" si="9"/>
        <v>Amarillo</v>
      </c>
      <c r="K314" s="30"/>
    </row>
    <row r="315" spans="1:11" ht="14.4" x14ac:dyDescent="0.3">
      <c r="A315" s="39">
        <v>80302</v>
      </c>
      <c r="B315" s="42" t="s">
        <v>276</v>
      </c>
      <c r="C315" s="29">
        <v>1.42245720040282</v>
      </c>
      <c r="D315" s="40" t="str">
        <f t="shared" si="8"/>
        <v>Naranja</v>
      </c>
      <c r="E315" s="41">
        <v>3.2271304704735502</v>
      </c>
      <c r="F315" s="40" t="str">
        <f t="shared" si="9"/>
        <v>Amarillo</v>
      </c>
      <c r="K315" s="30"/>
    </row>
    <row r="316" spans="1:11" ht="14.4" x14ac:dyDescent="0.3">
      <c r="A316" s="39">
        <v>80303</v>
      </c>
      <c r="B316" s="42" t="s">
        <v>35</v>
      </c>
      <c r="C316" s="29">
        <v>1.5743263699667001</v>
      </c>
      <c r="D316" s="40" t="str">
        <f t="shared" si="8"/>
        <v>Naranja</v>
      </c>
      <c r="E316" s="41">
        <v>5.0822489565430899</v>
      </c>
      <c r="F316" s="40" t="str">
        <f t="shared" si="9"/>
        <v>Verde</v>
      </c>
      <c r="K316" s="30"/>
    </row>
    <row r="317" spans="1:11" ht="14.4" x14ac:dyDescent="0.3">
      <c r="A317" s="39">
        <v>80304</v>
      </c>
      <c r="B317" s="42" t="s">
        <v>487</v>
      </c>
      <c r="C317" s="29">
        <v>3.6023054755043198</v>
      </c>
      <c r="D317" s="40" t="str">
        <f t="shared" si="8"/>
        <v>Amarillo</v>
      </c>
      <c r="E317" s="41">
        <v>7.3145780051150897</v>
      </c>
      <c r="F317" s="40" t="str">
        <f t="shared" si="9"/>
        <v>Verde</v>
      </c>
      <c r="K317" s="30"/>
    </row>
    <row r="318" spans="1:11" ht="14.4" x14ac:dyDescent="0.3">
      <c r="A318" s="39">
        <v>80401</v>
      </c>
      <c r="B318" s="42" t="s">
        <v>488</v>
      </c>
      <c r="C318" s="29">
        <v>1.6307513104251601</v>
      </c>
      <c r="D318" s="40" t="str">
        <f t="shared" si="8"/>
        <v>Naranja</v>
      </c>
      <c r="E318" s="41">
        <v>5.9903381642512104</v>
      </c>
      <c r="F318" s="40" t="str">
        <f t="shared" si="9"/>
        <v>Verde</v>
      </c>
      <c r="K318" s="30"/>
    </row>
    <row r="319" spans="1:11" ht="14.4" x14ac:dyDescent="0.3">
      <c r="A319" s="39">
        <v>80402</v>
      </c>
      <c r="B319" s="42" t="s">
        <v>98</v>
      </c>
      <c r="C319" s="29">
        <v>0.84713130535233006</v>
      </c>
      <c r="D319" s="40" t="str">
        <f t="shared" si="8"/>
        <v>Naranja</v>
      </c>
      <c r="E319" s="41">
        <v>2.69156825048064</v>
      </c>
      <c r="F319" s="40" t="str">
        <f t="shared" si="9"/>
        <v>Naranja</v>
      </c>
      <c r="K319" s="30"/>
    </row>
    <row r="320" spans="1:11" ht="14.4" x14ac:dyDescent="0.3">
      <c r="A320" s="39">
        <v>80501</v>
      </c>
      <c r="B320" s="42" t="s">
        <v>262</v>
      </c>
      <c r="C320" s="29">
        <v>0.81311830871391799</v>
      </c>
      <c r="D320" s="40" t="str">
        <f t="shared" si="8"/>
        <v>Rojo</v>
      </c>
      <c r="E320" s="41">
        <v>4.3621700879765397</v>
      </c>
      <c r="F320" s="40" t="str">
        <f t="shared" si="9"/>
        <v>Amarillo</v>
      </c>
      <c r="K320" s="30"/>
    </row>
    <row r="321" spans="1:11" ht="14.4" x14ac:dyDescent="0.3">
      <c r="A321" s="39">
        <v>80601</v>
      </c>
      <c r="B321" s="42" t="s">
        <v>83</v>
      </c>
      <c r="C321" s="29">
        <v>0.27173913043478298</v>
      </c>
      <c r="D321" s="40" t="str">
        <f t="shared" si="8"/>
        <v>Rojo</v>
      </c>
      <c r="E321" s="41">
        <v>3.0375223347230502</v>
      </c>
      <c r="F321" s="40" t="str">
        <f t="shared" si="9"/>
        <v>Amarillo</v>
      </c>
      <c r="K321" s="30"/>
    </row>
    <row r="322" spans="1:11" ht="14.4" x14ac:dyDescent="0.3">
      <c r="A322" s="39">
        <v>80602</v>
      </c>
      <c r="B322" s="42" t="s">
        <v>214</v>
      </c>
      <c r="C322" s="29">
        <v>0.51080550098231803</v>
      </c>
      <c r="D322" s="40" t="str">
        <f t="shared" si="8"/>
        <v>Rojo</v>
      </c>
      <c r="E322" s="41">
        <v>2.7931453245176101</v>
      </c>
      <c r="F322" s="40" t="str">
        <f t="shared" si="9"/>
        <v>Naranja</v>
      </c>
      <c r="K322" s="30"/>
    </row>
    <row r="323" spans="1:11" ht="14.4" x14ac:dyDescent="0.3">
      <c r="A323" s="39">
        <v>80701</v>
      </c>
      <c r="B323" s="42" t="s">
        <v>64</v>
      </c>
      <c r="C323" s="29">
        <v>1.09849871841816</v>
      </c>
      <c r="D323" s="40" t="str">
        <f t="shared" ref="D323:D344" si="10">IF(C323&lt;=0.818,"Rojo",
   IF(C323&lt;=2.822,"Naranja",
   IF(C323&lt;=4.82,"Amarillo","Verde")))</f>
        <v>Naranja</v>
      </c>
      <c r="E323" s="41">
        <v>3.99568034557235</v>
      </c>
      <c r="F323" s="40" t="str">
        <f t="shared" ref="F323:F344" si="11">IF(E323&lt;=0.818,"Rojo",
   IF(E323&lt;=2.822,"Naranja",
   IF(E323&lt;=4.82,"Amarillo","Verde")))</f>
        <v>Amarillo</v>
      </c>
      <c r="K323" s="30"/>
    </row>
    <row r="324" spans="1:11" ht="14.4" x14ac:dyDescent="0.3">
      <c r="A324" s="39">
        <v>80702</v>
      </c>
      <c r="B324" s="42" t="s">
        <v>44</v>
      </c>
      <c r="C324" s="29">
        <v>0.80160320641282601</v>
      </c>
      <c r="D324" s="40" t="str">
        <f t="shared" si="10"/>
        <v>Rojo</v>
      </c>
      <c r="E324" s="41">
        <v>5.2010489510489499</v>
      </c>
      <c r="F324" s="40" t="str">
        <f t="shared" si="11"/>
        <v>Verde</v>
      </c>
      <c r="K324" s="30"/>
    </row>
    <row r="325" spans="1:11" ht="14.4" x14ac:dyDescent="0.3">
      <c r="A325" s="39">
        <v>80703</v>
      </c>
      <c r="B325" s="42" t="s">
        <v>2</v>
      </c>
      <c r="C325" s="29">
        <v>1.6</v>
      </c>
      <c r="D325" s="40" t="str">
        <f t="shared" si="10"/>
        <v>Naranja</v>
      </c>
      <c r="E325" s="41">
        <v>2.8761061946902702</v>
      </c>
      <c r="F325" s="40" t="str">
        <f t="shared" si="11"/>
        <v>Amarillo</v>
      </c>
      <c r="K325" s="30"/>
    </row>
    <row r="326" spans="1:11" ht="14.4" x14ac:dyDescent="0.3">
      <c r="A326" s="39">
        <v>80801</v>
      </c>
      <c r="B326" s="42" t="s">
        <v>142</v>
      </c>
      <c r="C326" s="29">
        <v>1.2793672947196999</v>
      </c>
      <c r="D326" s="40" t="str">
        <f t="shared" si="10"/>
        <v>Naranja</v>
      </c>
      <c r="E326" s="41">
        <v>4.9778761061946897</v>
      </c>
      <c r="F326" s="40" t="str">
        <f t="shared" si="11"/>
        <v>Verde</v>
      </c>
      <c r="K326" s="30"/>
    </row>
    <row r="327" spans="1:11" ht="14.4" x14ac:dyDescent="0.3">
      <c r="A327" s="39">
        <v>80802</v>
      </c>
      <c r="B327" s="42" t="s">
        <v>118</v>
      </c>
      <c r="C327" s="29">
        <v>0.60767185719711403</v>
      </c>
      <c r="D327" s="40" t="str">
        <f t="shared" si="10"/>
        <v>Rojo</v>
      </c>
      <c r="E327" s="41">
        <v>3.00464354001639</v>
      </c>
      <c r="F327" s="40" t="str">
        <f t="shared" si="11"/>
        <v>Amarillo</v>
      </c>
      <c r="K327" s="30"/>
    </row>
    <row r="328" spans="1:11" ht="14.4" x14ac:dyDescent="0.3">
      <c r="A328" s="39">
        <v>80803</v>
      </c>
      <c r="B328" s="42" t="s">
        <v>17</v>
      </c>
      <c r="C328" s="29">
        <v>0.53222945002956801</v>
      </c>
      <c r="D328" s="40" t="str">
        <f t="shared" si="10"/>
        <v>Rojo</v>
      </c>
      <c r="E328" s="41">
        <v>4.8793014894709801</v>
      </c>
      <c r="F328" s="40" t="str">
        <f t="shared" si="11"/>
        <v>Verde</v>
      </c>
      <c r="K328" s="30"/>
    </row>
    <row r="329" spans="1:11" ht="14.4" x14ac:dyDescent="0.3">
      <c r="A329" s="39">
        <v>80901</v>
      </c>
      <c r="B329" s="42" t="s">
        <v>489</v>
      </c>
      <c r="C329" s="29">
        <v>0.16920473773265701</v>
      </c>
      <c r="D329" s="40" t="str">
        <f t="shared" si="10"/>
        <v>Rojo</v>
      </c>
      <c r="E329" s="41">
        <v>0.55248618784530401</v>
      </c>
      <c r="F329" s="40" t="str">
        <f t="shared" si="11"/>
        <v>Rojo</v>
      </c>
      <c r="K329" s="30"/>
    </row>
    <row r="330" spans="1:11" ht="14.4" x14ac:dyDescent="0.3">
      <c r="A330" s="39">
        <v>90101</v>
      </c>
      <c r="B330" s="42" t="s">
        <v>281</v>
      </c>
      <c r="C330" s="29">
        <v>2.3058505100978599</v>
      </c>
      <c r="D330" s="40" t="str">
        <f t="shared" si="10"/>
        <v>Naranja</v>
      </c>
      <c r="E330" s="41">
        <v>7.3832203319329501</v>
      </c>
      <c r="F330" s="40" t="str">
        <f t="shared" si="11"/>
        <v>Verde</v>
      </c>
      <c r="K330" s="30"/>
    </row>
    <row r="331" spans="1:11" ht="14.4" x14ac:dyDescent="0.3">
      <c r="A331" s="39">
        <v>90102</v>
      </c>
      <c r="B331" s="42" t="s">
        <v>115</v>
      </c>
      <c r="C331" s="29">
        <v>0.55729710902124696</v>
      </c>
      <c r="D331" s="40" t="str">
        <f t="shared" si="10"/>
        <v>Rojo</v>
      </c>
      <c r="E331" s="41">
        <v>4.2916093535075701</v>
      </c>
      <c r="F331" s="40" t="str">
        <f t="shared" si="11"/>
        <v>Amarillo</v>
      </c>
      <c r="K331" s="30"/>
    </row>
    <row r="332" spans="1:11" ht="14.4" x14ac:dyDescent="0.3">
      <c r="A332" s="39">
        <v>90103</v>
      </c>
      <c r="B332" s="42" t="s">
        <v>4</v>
      </c>
      <c r="C332" s="29">
        <v>0.31347962382445099</v>
      </c>
      <c r="D332" s="40" t="str">
        <f t="shared" si="10"/>
        <v>Rojo</v>
      </c>
      <c r="E332" s="41">
        <v>0.83777608530083802</v>
      </c>
      <c r="F332" s="40" t="str">
        <f t="shared" si="11"/>
        <v>Naranja</v>
      </c>
      <c r="K332" s="30"/>
    </row>
    <row r="333" spans="1:11" ht="14.4" x14ac:dyDescent="0.3">
      <c r="A333" s="39">
        <v>90104</v>
      </c>
      <c r="B333" s="42" t="s">
        <v>81</v>
      </c>
      <c r="C333" s="29">
        <v>0.20942408376963401</v>
      </c>
      <c r="D333" s="40" t="str">
        <f t="shared" si="10"/>
        <v>Rojo</v>
      </c>
      <c r="E333" s="41">
        <v>1.7941952506596299</v>
      </c>
      <c r="F333" s="40" t="str">
        <f t="shared" si="11"/>
        <v>Naranja</v>
      </c>
      <c r="K333" s="30"/>
    </row>
    <row r="334" spans="1:11" ht="14.4" x14ac:dyDescent="0.3">
      <c r="A334" s="39">
        <v>90201</v>
      </c>
      <c r="B334" s="42" t="s">
        <v>131</v>
      </c>
      <c r="C334" s="29">
        <v>1.61038961038961</v>
      </c>
      <c r="D334" s="40" t="str">
        <f t="shared" si="10"/>
        <v>Naranja</v>
      </c>
      <c r="E334" s="41">
        <v>4.2490118577075098</v>
      </c>
      <c r="F334" s="40" t="str">
        <f t="shared" si="11"/>
        <v>Amarillo</v>
      </c>
      <c r="K334" s="30"/>
    </row>
    <row r="335" spans="1:11" ht="14.4" x14ac:dyDescent="0.3">
      <c r="A335" s="39">
        <v>90202</v>
      </c>
      <c r="B335" s="42" t="s">
        <v>9</v>
      </c>
      <c r="C335" s="29">
        <v>0.39643211100099102</v>
      </c>
      <c r="D335" s="40" t="str">
        <f t="shared" si="10"/>
        <v>Rojo</v>
      </c>
      <c r="E335" s="41">
        <v>0.78226857887874801</v>
      </c>
      <c r="F335" s="40" t="str">
        <f t="shared" si="11"/>
        <v>Rojo</v>
      </c>
      <c r="K335" s="30"/>
    </row>
    <row r="336" spans="1:11" ht="14.4" x14ac:dyDescent="0.3">
      <c r="A336" s="39">
        <v>90203</v>
      </c>
      <c r="B336" s="42" t="s">
        <v>37</v>
      </c>
      <c r="C336" s="29">
        <v>0.177619893428064</v>
      </c>
      <c r="D336" s="40" t="str">
        <f t="shared" si="10"/>
        <v>Rojo</v>
      </c>
      <c r="E336" s="41">
        <v>2.04359673024523</v>
      </c>
      <c r="F336" s="40" t="str">
        <f t="shared" si="11"/>
        <v>Naranja</v>
      </c>
      <c r="K336" s="30"/>
    </row>
    <row r="337" spans="1:11" ht="14.4" x14ac:dyDescent="0.3">
      <c r="A337" s="39">
        <v>90301</v>
      </c>
      <c r="B337" s="42" t="s">
        <v>336</v>
      </c>
      <c r="C337" s="29">
        <v>0.5</v>
      </c>
      <c r="D337" s="40" t="str">
        <f t="shared" si="10"/>
        <v>Rojo</v>
      </c>
      <c r="E337" s="41">
        <v>2.6820713843614601</v>
      </c>
      <c r="F337" s="40" t="str">
        <f t="shared" si="11"/>
        <v>Naranja</v>
      </c>
      <c r="K337" s="30"/>
    </row>
    <row r="338" spans="1:11" ht="14.4" x14ac:dyDescent="0.3">
      <c r="A338" s="39">
        <v>90302</v>
      </c>
      <c r="B338" s="42" t="s">
        <v>59</v>
      </c>
      <c r="C338" s="29">
        <v>0.62800147765053604</v>
      </c>
      <c r="D338" s="40" t="str">
        <f t="shared" si="10"/>
        <v>Rojo</v>
      </c>
      <c r="E338" s="41">
        <v>1.3685700802265199</v>
      </c>
      <c r="F338" s="40" t="str">
        <f t="shared" si="11"/>
        <v>Naranja</v>
      </c>
      <c r="K338" s="30"/>
    </row>
    <row r="339" spans="1:11" ht="14.4" x14ac:dyDescent="0.3">
      <c r="A339" s="39">
        <v>90303</v>
      </c>
      <c r="B339" s="42" t="s">
        <v>337</v>
      </c>
      <c r="C339" s="29">
        <v>0.460829493087558</v>
      </c>
      <c r="D339" s="40" t="str">
        <f t="shared" si="10"/>
        <v>Rojo</v>
      </c>
      <c r="E339" s="41">
        <v>4.1807909604519802</v>
      </c>
      <c r="F339" s="40" t="str">
        <f t="shared" si="11"/>
        <v>Amarillo</v>
      </c>
      <c r="K339" s="30"/>
    </row>
    <row r="340" spans="1:11" ht="14.4" x14ac:dyDescent="0.3">
      <c r="A340" s="39">
        <v>90401</v>
      </c>
      <c r="B340" s="42" t="s">
        <v>35</v>
      </c>
      <c r="C340" s="29">
        <v>0.30581039755351702</v>
      </c>
      <c r="D340" s="40" t="str">
        <f t="shared" si="10"/>
        <v>Rojo</v>
      </c>
      <c r="E340" s="41">
        <v>2.0673813169984698</v>
      </c>
      <c r="F340" s="40" t="str">
        <f t="shared" si="11"/>
        <v>Naranja</v>
      </c>
      <c r="K340" s="30"/>
    </row>
    <row r="341" spans="1:11" ht="14.4" x14ac:dyDescent="0.3">
      <c r="A341" s="39">
        <v>90402</v>
      </c>
      <c r="B341" s="42" t="s">
        <v>14</v>
      </c>
      <c r="C341" s="29">
        <v>1.4519056261343</v>
      </c>
      <c r="D341" s="40" t="str">
        <f t="shared" si="10"/>
        <v>Naranja</v>
      </c>
      <c r="E341" s="41">
        <v>2.07813798836243</v>
      </c>
      <c r="F341" s="40" t="str">
        <f t="shared" si="11"/>
        <v>Naranja</v>
      </c>
      <c r="K341" s="30"/>
    </row>
    <row r="342" spans="1:11" ht="14.4" x14ac:dyDescent="0.3">
      <c r="A342" s="39">
        <v>90501</v>
      </c>
      <c r="B342" s="42" t="s">
        <v>26</v>
      </c>
      <c r="C342" s="29">
        <v>0.29644268774703603</v>
      </c>
      <c r="D342" s="40" t="str">
        <f t="shared" si="10"/>
        <v>Rojo</v>
      </c>
      <c r="E342" s="41">
        <v>4.4684129429892101</v>
      </c>
      <c r="F342" s="40" t="str">
        <f t="shared" si="11"/>
        <v>Amarillo</v>
      </c>
      <c r="K342" s="30"/>
    </row>
    <row r="343" spans="1:11" ht="14.4" x14ac:dyDescent="0.3">
      <c r="A343" s="39">
        <v>90502</v>
      </c>
      <c r="B343" s="42" t="s">
        <v>490</v>
      </c>
      <c r="C343" s="29">
        <v>1.51351351351351</v>
      </c>
      <c r="D343" s="40" t="str">
        <f t="shared" si="10"/>
        <v>Naranja</v>
      </c>
      <c r="E343" s="41">
        <v>3.8240917782026802</v>
      </c>
      <c r="F343" s="40" t="str">
        <f t="shared" si="11"/>
        <v>Amarillo</v>
      </c>
      <c r="K343" s="30"/>
    </row>
    <row r="344" spans="1:11" ht="14.4" x14ac:dyDescent="0.3">
      <c r="A344" s="39">
        <v>90503</v>
      </c>
      <c r="B344" s="42" t="s">
        <v>24</v>
      </c>
      <c r="C344" s="29">
        <v>0.120192307692308</v>
      </c>
      <c r="D344" s="40" t="str">
        <f t="shared" si="10"/>
        <v>Rojo</v>
      </c>
      <c r="E344" s="41">
        <v>0.81466395112016299</v>
      </c>
      <c r="F344" s="40" t="str">
        <f t="shared" si="11"/>
        <v>Rojo</v>
      </c>
      <c r="K344" s="30"/>
    </row>
    <row r="345" spans="1:11" ht="14.4" x14ac:dyDescent="0.3">
      <c r="A345" s="28"/>
      <c r="B345" s="28"/>
      <c r="C345" s="28"/>
      <c r="D345" s="28"/>
      <c r="E345" s="28"/>
      <c r="F345" s="28"/>
      <c r="K345" s="28"/>
    </row>
    <row r="346" spans="1:11" ht="14.4" x14ac:dyDescent="0.3">
      <c r="A346" s="28"/>
      <c r="B346" s="28"/>
      <c r="C346" s="28"/>
      <c r="D346" s="28"/>
      <c r="E346" s="28"/>
      <c r="F346" s="28"/>
      <c r="K346" s="28"/>
    </row>
    <row r="347" spans="1:11" ht="14.4" x14ac:dyDescent="0.3">
      <c r="A347" s="28"/>
      <c r="B347" s="28"/>
      <c r="C347" s="28"/>
      <c r="D347" s="28"/>
      <c r="E347" s="28"/>
      <c r="F347" s="28"/>
      <c r="K347" s="28"/>
    </row>
    <row r="348" spans="1:11" ht="14.4" x14ac:dyDescent="0.3">
      <c r="A348" s="28"/>
      <c r="B348" s="28"/>
      <c r="C348" s="28"/>
      <c r="D348" s="28"/>
      <c r="E348" s="28"/>
      <c r="F348" s="28"/>
      <c r="K348" s="28"/>
    </row>
    <row r="349" spans="1:11" ht="14.4" x14ac:dyDescent="0.3">
      <c r="A349" s="28"/>
      <c r="B349" s="28"/>
      <c r="C349" s="28"/>
      <c r="D349" s="28"/>
      <c r="E349" s="28"/>
      <c r="F349" s="28"/>
      <c r="K349" s="28"/>
    </row>
    <row r="350" spans="1:11" ht="14.4" x14ac:dyDescent="0.3">
      <c r="A350" s="28"/>
      <c r="B350" s="28"/>
      <c r="C350" s="28"/>
      <c r="D350" s="28"/>
      <c r="E350" s="28"/>
      <c r="F350" s="28"/>
      <c r="K350" s="28"/>
    </row>
    <row r="351" spans="1:11" ht="14.4" x14ac:dyDescent="0.3">
      <c r="A351" s="28"/>
      <c r="B351" s="28"/>
      <c r="C351" s="28"/>
      <c r="D351" s="28"/>
      <c r="E351" s="28"/>
      <c r="F351" s="28"/>
      <c r="K351" s="28"/>
    </row>
    <row r="352" spans="1:11" ht="14.4" x14ac:dyDescent="0.3">
      <c r="A352" s="28"/>
      <c r="B352" s="28"/>
      <c r="C352" s="28"/>
      <c r="D352" s="28"/>
      <c r="E352" s="28"/>
      <c r="F352" s="28"/>
      <c r="K352" s="28"/>
    </row>
    <row r="353" spans="1:11" ht="14.4" x14ac:dyDescent="0.3">
      <c r="A353" s="28"/>
      <c r="B353" s="28"/>
      <c r="C353" s="28"/>
      <c r="D353" s="28"/>
      <c r="E353" s="28"/>
      <c r="F353" s="28"/>
      <c r="K353" s="28"/>
    </row>
    <row r="354" spans="1:11" ht="14.4" x14ac:dyDescent="0.3">
      <c r="A354" s="28"/>
      <c r="B354" s="28"/>
      <c r="C354" s="28"/>
      <c r="D354" s="28"/>
      <c r="E354" s="28"/>
      <c r="F354" s="28"/>
      <c r="K354" s="28"/>
    </row>
    <row r="355" spans="1:11" ht="14.4" x14ac:dyDescent="0.3">
      <c r="A355" s="28"/>
      <c r="B355" s="28"/>
      <c r="C355" s="28"/>
      <c r="D355" s="28"/>
      <c r="E355" s="28"/>
      <c r="F355" s="28"/>
      <c r="K355" s="28"/>
    </row>
    <row r="356" spans="1:11" ht="14.4" x14ac:dyDescent="0.3">
      <c r="A356" s="28"/>
      <c r="B356" s="28"/>
      <c r="C356" s="28"/>
      <c r="D356" s="28"/>
      <c r="E356" s="28"/>
      <c r="F356" s="28"/>
      <c r="K356" s="28"/>
    </row>
    <row r="357" spans="1:11" ht="14.4" x14ac:dyDescent="0.3">
      <c r="A357" s="28"/>
      <c r="B357" s="28"/>
      <c r="C357" s="28"/>
      <c r="D357" s="28"/>
      <c r="E357" s="28"/>
      <c r="F357" s="28"/>
      <c r="K357" s="28"/>
    </row>
    <row r="358" spans="1:11" ht="14.4" x14ac:dyDescent="0.3">
      <c r="A358" s="28"/>
      <c r="B358" s="28"/>
      <c r="C358" s="28"/>
      <c r="D358" s="28"/>
      <c r="E358" s="28"/>
      <c r="F358" s="28"/>
      <c r="K358" s="28"/>
    </row>
    <row r="359" spans="1:11" ht="14.4" x14ac:dyDescent="0.3">
      <c r="A359" s="28"/>
      <c r="B359" s="28"/>
      <c r="C359" s="28"/>
      <c r="D359" s="28"/>
      <c r="E359" s="28"/>
      <c r="F359" s="28"/>
      <c r="K359" s="28"/>
    </row>
    <row r="360" spans="1:11" ht="14.4" x14ac:dyDescent="0.3">
      <c r="A360" s="28"/>
      <c r="B360" s="28"/>
      <c r="C360" s="28"/>
      <c r="D360" s="28"/>
      <c r="E360" s="28"/>
      <c r="F360" s="28"/>
      <c r="K360" s="28"/>
    </row>
    <row r="361" spans="1:11" ht="14.4" x14ac:dyDescent="0.3">
      <c r="A361" s="28"/>
      <c r="B361" s="28"/>
      <c r="C361" s="28"/>
      <c r="D361" s="28"/>
      <c r="E361" s="28"/>
      <c r="F361" s="28"/>
      <c r="K361" s="28"/>
    </row>
    <row r="362" spans="1:11" ht="14.4" x14ac:dyDescent="0.3">
      <c r="A362" s="28"/>
      <c r="B362" s="28"/>
      <c r="C362" s="28"/>
      <c r="D362" s="28"/>
      <c r="E362" s="28"/>
      <c r="F362" s="28"/>
      <c r="K362" s="28"/>
    </row>
    <row r="363" spans="1:11" ht="14.4" x14ac:dyDescent="0.3">
      <c r="A363" s="28"/>
      <c r="B363" s="28"/>
      <c r="C363" s="28"/>
      <c r="D363" s="28"/>
      <c r="E363" s="28"/>
      <c r="F363" s="28"/>
      <c r="K363" s="28"/>
    </row>
    <row r="364" spans="1:11" ht="14.4" x14ac:dyDescent="0.3">
      <c r="A364" s="28"/>
      <c r="B364" s="28"/>
      <c r="C364" s="28"/>
      <c r="D364" s="28"/>
      <c r="E364" s="28"/>
      <c r="F364" s="28"/>
      <c r="K364" s="28"/>
    </row>
    <row r="365" spans="1:11" ht="14.4" x14ac:dyDescent="0.3">
      <c r="A365" s="28"/>
      <c r="B365" s="28"/>
      <c r="C365" s="28"/>
      <c r="D365" s="28"/>
      <c r="E365" s="28"/>
      <c r="F365" s="28"/>
      <c r="K365" s="28"/>
    </row>
    <row r="366" spans="1:11" ht="14.4" x14ac:dyDescent="0.3">
      <c r="A366" s="28"/>
      <c r="B366" s="28"/>
      <c r="C366" s="28"/>
      <c r="D366" s="28"/>
      <c r="E366" s="28"/>
      <c r="F366" s="28"/>
      <c r="K366" s="28"/>
    </row>
    <row r="367" spans="1:11" ht="14.4" x14ac:dyDescent="0.3">
      <c r="A367" s="28"/>
      <c r="B367" s="28"/>
      <c r="C367" s="28"/>
      <c r="D367" s="28"/>
      <c r="E367" s="28"/>
      <c r="F367" s="28"/>
      <c r="K367" s="28"/>
    </row>
    <row r="368" spans="1:11" ht="14.4" x14ac:dyDescent="0.3">
      <c r="A368" s="28"/>
      <c r="B368" s="28"/>
      <c r="C368" s="28"/>
      <c r="D368" s="28"/>
      <c r="E368" s="28"/>
      <c r="F368" s="28"/>
      <c r="K368" s="28"/>
    </row>
    <row r="369" spans="1:11" ht="14.4" x14ac:dyDescent="0.3">
      <c r="A369" s="28"/>
      <c r="B369" s="28"/>
      <c r="C369" s="28"/>
      <c r="D369" s="28"/>
      <c r="E369" s="28"/>
      <c r="F369" s="28"/>
      <c r="K369" s="28"/>
    </row>
    <row r="370" spans="1:11" ht="14.4" x14ac:dyDescent="0.3">
      <c r="A370" s="28"/>
      <c r="B370" s="28"/>
      <c r="C370" s="28"/>
      <c r="D370" s="28"/>
      <c r="E370" s="28"/>
      <c r="F370" s="28"/>
      <c r="K370" s="28"/>
    </row>
    <row r="371" spans="1:11" ht="14.4" x14ac:dyDescent="0.3">
      <c r="A371" s="28"/>
      <c r="B371" s="28"/>
      <c r="C371" s="28"/>
      <c r="D371" s="28"/>
      <c r="E371" s="28"/>
      <c r="F371" s="28"/>
      <c r="K371" s="28"/>
    </row>
    <row r="372" spans="1:11" ht="14.4" x14ac:dyDescent="0.3">
      <c r="A372" s="28"/>
      <c r="B372" s="28"/>
      <c r="C372" s="28"/>
      <c r="D372" s="28"/>
      <c r="E372" s="28"/>
      <c r="F372" s="28"/>
      <c r="K372" s="28"/>
    </row>
    <row r="373" spans="1:11" ht="14.4" x14ac:dyDescent="0.3">
      <c r="A373" s="28"/>
      <c r="B373" s="28"/>
      <c r="C373" s="28"/>
      <c r="D373" s="28"/>
      <c r="E373" s="28"/>
      <c r="F373" s="28"/>
      <c r="K373" s="28"/>
    </row>
    <row r="374" spans="1:11" ht="14.4" x14ac:dyDescent="0.3">
      <c r="A374" s="28"/>
      <c r="B374" s="28"/>
      <c r="C374" s="28"/>
      <c r="D374" s="28"/>
      <c r="E374" s="28"/>
      <c r="F374" s="28"/>
      <c r="K374" s="28"/>
    </row>
    <row r="375" spans="1:11" ht="14.4" x14ac:dyDescent="0.3">
      <c r="A375" s="28"/>
      <c r="B375" s="28"/>
      <c r="C375" s="28"/>
      <c r="D375" s="28"/>
      <c r="E375" s="28"/>
      <c r="F375" s="28"/>
      <c r="K375" s="28"/>
    </row>
    <row r="376" spans="1:11" ht="14.4" x14ac:dyDescent="0.3">
      <c r="A376" s="28"/>
      <c r="B376" s="28"/>
      <c r="C376" s="28"/>
      <c r="D376" s="28"/>
      <c r="E376" s="28"/>
      <c r="F376" s="28"/>
      <c r="K376" s="28"/>
    </row>
    <row r="377" spans="1:11" ht="14.4" x14ac:dyDescent="0.3">
      <c r="A377" s="28"/>
      <c r="B377" s="28"/>
      <c r="C377" s="28"/>
      <c r="D377" s="28"/>
      <c r="E377" s="28"/>
      <c r="F377" s="28"/>
      <c r="K377" s="28"/>
    </row>
    <row r="378" spans="1:11" ht="14.4" x14ac:dyDescent="0.3">
      <c r="A378" s="28"/>
      <c r="B378" s="28"/>
      <c r="C378" s="28"/>
      <c r="D378" s="28"/>
      <c r="E378" s="28"/>
      <c r="F378" s="28"/>
      <c r="K378" s="28"/>
    </row>
    <row r="379" spans="1:11" ht="14.4" x14ac:dyDescent="0.3">
      <c r="A379" s="28"/>
      <c r="B379" s="28"/>
      <c r="C379" s="28"/>
      <c r="D379" s="28"/>
      <c r="E379" s="28"/>
      <c r="F379" s="28"/>
      <c r="K379" s="28"/>
    </row>
    <row r="380" spans="1:11" ht="14.4" x14ac:dyDescent="0.3">
      <c r="A380" s="28"/>
      <c r="B380" s="28"/>
      <c r="C380" s="28"/>
      <c r="D380" s="28"/>
      <c r="E380" s="28"/>
      <c r="F380" s="28"/>
      <c r="K380" s="28"/>
    </row>
    <row r="381" spans="1:11" ht="14.4" x14ac:dyDescent="0.3">
      <c r="A381" s="28"/>
      <c r="B381" s="28"/>
      <c r="C381" s="28"/>
      <c r="D381" s="28"/>
      <c r="E381" s="28"/>
      <c r="F381" s="28"/>
      <c r="K381" s="28"/>
    </row>
    <row r="382" spans="1:11" ht="14.4" x14ac:dyDescent="0.3">
      <c r="A382" s="28"/>
      <c r="B382" s="28"/>
      <c r="C382" s="28"/>
      <c r="D382" s="28"/>
      <c r="E382" s="28"/>
      <c r="F382" s="28"/>
      <c r="K382" s="28"/>
    </row>
    <row r="383" spans="1:11" ht="14.4" x14ac:dyDescent="0.3">
      <c r="A383" s="28"/>
      <c r="B383" s="28"/>
      <c r="C383" s="28"/>
      <c r="D383" s="28"/>
      <c r="E383" s="28"/>
      <c r="F383" s="28"/>
      <c r="K383" s="28"/>
    </row>
    <row r="384" spans="1:11" ht="14.4" x14ac:dyDescent="0.3">
      <c r="A384" s="28"/>
      <c r="B384" s="28"/>
      <c r="C384" s="28"/>
      <c r="D384" s="28"/>
      <c r="E384" s="28"/>
      <c r="F384" s="28"/>
      <c r="K384" s="28"/>
    </row>
    <row r="385" spans="1:11" ht="14.4" x14ac:dyDescent="0.3">
      <c r="A385" s="28"/>
      <c r="B385" s="28"/>
      <c r="C385" s="28"/>
      <c r="D385" s="28"/>
      <c r="E385" s="28"/>
      <c r="F385" s="28"/>
      <c r="K385" s="28"/>
    </row>
    <row r="386" spans="1:11" ht="14.4" x14ac:dyDescent="0.3">
      <c r="A386" s="28"/>
      <c r="B386" s="28"/>
      <c r="C386" s="28"/>
      <c r="D386" s="28"/>
      <c r="E386" s="28"/>
      <c r="F386" s="28"/>
      <c r="K386" s="28"/>
    </row>
    <row r="387" spans="1:11" ht="14.4" x14ac:dyDescent="0.3">
      <c r="A387" s="28"/>
      <c r="B387" s="28"/>
      <c r="C387" s="28"/>
      <c r="D387" s="28"/>
      <c r="E387" s="28"/>
      <c r="F387" s="28"/>
      <c r="K387" s="28"/>
    </row>
    <row r="388" spans="1:11" ht="14.4" x14ac:dyDescent="0.3">
      <c r="A388" s="28"/>
      <c r="B388" s="28"/>
      <c r="C388" s="28"/>
      <c r="D388" s="28"/>
      <c r="E388" s="28"/>
      <c r="F388" s="28"/>
      <c r="K388" s="28"/>
    </row>
    <row r="389" spans="1:11" ht="14.4" x14ac:dyDescent="0.3">
      <c r="A389" s="28"/>
      <c r="B389" s="28"/>
      <c r="C389" s="28"/>
      <c r="D389" s="28"/>
      <c r="E389" s="28"/>
      <c r="F389" s="28"/>
      <c r="K389" s="28"/>
    </row>
    <row r="390" spans="1:11" ht="14.4" x14ac:dyDescent="0.3">
      <c r="A390" s="28"/>
      <c r="B390" s="28"/>
      <c r="C390" s="28"/>
      <c r="D390" s="28"/>
      <c r="E390" s="28"/>
      <c r="F390" s="28"/>
      <c r="K390" s="28"/>
    </row>
    <row r="391" spans="1:11" ht="14.4" x14ac:dyDescent="0.3">
      <c r="A391" s="28"/>
      <c r="B391" s="28"/>
      <c r="C391" s="28"/>
      <c r="D391" s="28"/>
      <c r="E391" s="28"/>
      <c r="F391" s="28"/>
      <c r="K391" s="28"/>
    </row>
    <row r="392" spans="1:11" ht="14.4" x14ac:dyDescent="0.3">
      <c r="A392" s="28"/>
      <c r="B392" s="28"/>
      <c r="C392" s="28"/>
      <c r="D392" s="28"/>
      <c r="E392" s="28"/>
      <c r="F392" s="28"/>
      <c r="K392" s="28"/>
    </row>
    <row r="393" spans="1:11" ht="14.4" x14ac:dyDescent="0.3">
      <c r="A393" s="28"/>
      <c r="B393" s="28"/>
      <c r="C393" s="28"/>
      <c r="D393" s="28"/>
      <c r="E393" s="28"/>
      <c r="F393" s="28"/>
      <c r="K393" s="28"/>
    </row>
    <row r="394" spans="1:11" ht="14.4" x14ac:dyDescent="0.3">
      <c r="A394" s="28"/>
      <c r="B394" s="28"/>
      <c r="C394" s="28"/>
      <c r="D394" s="28"/>
      <c r="E394" s="28"/>
      <c r="F394" s="28"/>
      <c r="K394" s="28"/>
    </row>
    <row r="395" spans="1:11" ht="14.4" x14ac:dyDescent="0.3">
      <c r="A395" s="28"/>
      <c r="B395" s="28"/>
      <c r="C395" s="28"/>
      <c r="D395" s="28"/>
      <c r="E395" s="28"/>
      <c r="F395" s="28"/>
      <c r="K395" s="28"/>
    </row>
    <row r="396" spans="1:11" ht="14.4" x14ac:dyDescent="0.3">
      <c r="A396" s="28"/>
      <c r="B396" s="28"/>
      <c r="C396" s="28"/>
      <c r="D396" s="28"/>
      <c r="E396" s="28"/>
      <c r="F396" s="28"/>
      <c r="K396" s="28"/>
    </row>
    <row r="397" spans="1:11" ht="14.4" x14ac:dyDescent="0.3">
      <c r="A397" s="28"/>
      <c r="B397" s="28"/>
      <c r="C397" s="28"/>
      <c r="D397" s="28"/>
      <c r="E397" s="28"/>
      <c r="F397" s="28"/>
      <c r="K397" s="28"/>
    </row>
    <row r="398" spans="1:11" ht="14.4" x14ac:dyDescent="0.3">
      <c r="A398" s="28"/>
      <c r="B398" s="28"/>
      <c r="C398" s="28"/>
      <c r="D398" s="28"/>
      <c r="E398" s="28"/>
      <c r="F398" s="28"/>
      <c r="K398" s="28"/>
    </row>
    <row r="399" spans="1:11" ht="14.4" x14ac:dyDescent="0.3">
      <c r="A399" s="28"/>
      <c r="B399" s="28"/>
      <c r="C399" s="28"/>
      <c r="D399" s="28"/>
      <c r="E399" s="28"/>
      <c r="F399" s="28"/>
      <c r="K399" s="28"/>
    </row>
    <row r="400" spans="1:11" ht="14.4" x14ac:dyDescent="0.3">
      <c r="A400" s="28"/>
      <c r="B400" s="28"/>
      <c r="C400" s="28"/>
      <c r="D400" s="28"/>
      <c r="E400" s="28"/>
      <c r="F400" s="28"/>
      <c r="K400" s="28"/>
    </row>
    <row r="401" spans="1:11" ht="14.4" x14ac:dyDescent="0.3">
      <c r="A401" s="28"/>
      <c r="B401" s="28"/>
      <c r="C401" s="28"/>
      <c r="D401" s="28"/>
      <c r="E401" s="28"/>
      <c r="F401" s="28"/>
      <c r="K401" s="28"/>
    </row>
    <row r="402" spans="1:11" ht="14.4" x14ac:dyDescent="0.3">
      <c r="A402" s="28"/>
      <c r="B402" s="28"/>
      <c r="C402" s="28"/>
      <c r="D402" s="28"/>
      <c r="E402" s="28"/>
      <c r="F402" s="28"/>
      <c r="K402" s="28"/>
    </row>
    <row r="403" spans="1:11" ht="14.4" x14ac:dyDescent="0.3">
      <c r="A403" s="28"/>
      <c r="B403" s="28"/>
      <c r="C403" s="28"/>
      <c r="D403" s="28"/>
      <c r="E403" s="28"/>
      <c r="F403" s="28"/>
      <c r="K403" s="28"/>
    </row>
    <row r="404" spans="1:11" ht="14.4" x14ac:dyDescent="0.3">
      <c r="A404" s="28"/>
      <c r="B404" s="28"/>
      <c r="C404" s="28"/>
      <c r="D404" s="28"/>
      <c r="E404" s="28"/>
      <c r="F404" s="28"/>
      <c r="K404" s="28"/>
    </row>
    <row r="405" spans="1:11" ht="14.4" x14ac:dyDescent="0.3">
      <c r="A405" s="28"/>
      <c r="B405" s="28"/>
      <c r="C405" s="28"/>
      <c r="D405" s="28"/>
      <c r="E405" s="28"/>
      <c r="F405" s="28"/>
      <c r="K405" s="28"/>
    </row>
    <row r="406" spans="1:11" ht="14.4" x14ac:dyDescent="0.3">
      <c r="A406" s="28"/>
      <c r="B406" s="28"/>
      <c r="C406" s="28"/>
      <c r="D406" s="28"/>
      <c r="E406" s="28"/>
      <c r="F406" s="28"/>
      <c r="K406" s="28"/>
    </row>
    <row r="407" spans="1:11" ht="14.4" x14ac:dyDescent="0.3">
      <c r="A407" s="28"/>
      <c r="B407" s="28"/>
      <c r="C407" s="28"/>
      <c r="D407" s="28"/>
      <c r="E407" s="28"/>
      <c r="F407" s="28"/>
      <c r="K407" s="28"/>
    </row>
    <row r="408" spans="1:11" ht="14.4" x14ac:dyDescent="0.3">
      <c r="A408" s="28"/>
      <c r="B408" s="28"/>
      <c r="C408" s="28"/>
      <c r="D408" s="28"/>
      <c r="E408" s="28"/>
      <c r="F408" s="28"/>
      <c r="K408" s="28"/>
    </row>
    <row r="409" spans="1:11" ht="14.4" x14ac:dyDescent="0.3">
      <c r="A409" s="28"/>
      <c r="B409" s="28"/>
      <c r="C409" s="28"/>
      <c r="D409" s="28"/>
      <c r="E409" s="28"/>
      <c r="F409" s="28"/>
      <c r="K409" s="28"/>
    </row>
    <row r="410" spans="1:11" ht="14.4" x14ac:dyDescent="0.3">
      <c r="A410" s="28"/>
      <c r="B410" s="28"/>
      <c r="C410" s="28"/>
      <c r="D410" s="28"/>
      <c r="E410" s="28"/>
      <c r="F410" s="28"/>
      <c r="K410" s="28"/>
    </row>
    <row r="411" spans="1:11" ht="14.4" x14ac:dyDescent="0.3">
      <c r="A411" s="28"/>
      <c r="B411" s="28"/>
      <c r="C411" s="28"/>
      <c r="D411" s="28"/>
      <c r="E411" s="28"/>
      <c r="F411" s="28"/>
      <c r="K411" s="28"/>
    </row>
    <row r="412" spans="1:11" ht="14.4" x14ac:dyDescent="0.3">
      <c r="A412" s="28"/>
      <c r="B412" s="28"/>
      <c r="C412" s="28"/>
      <c r="D412" s="28"/>
      <c r="E412" s="28"/>
      <c r="F412" s="28"/>
      <c r="K412" s="28"/>
    </row>
    <row r="413" spans="1:11" ht="14.4" x14ac:dyDescent="0.3">
      <c r="A413" s="28"/>
      <c r="B413" s="28"/>
      <c r="C413" s="28"/>
      <c r="D413" s="28"/>
      <c r="E413" s="28"/>
      <c r="F413" s="28"/>
      <c r="K413" s="28"/>
    </row>
    <row r="414" spans="1:11" ht="14.4" x14ac:dyDescent="0.3">
      <c r="A414" s="28"/>
      <c r="B414" s="28"/>
      <c r="C414" s="28"/>
      <c r="D414" s="28"/>
      <c r="E414" s="28"/>
      <c r="F414" s="28"/>
      <c r="K414" s="28"/>
    </row>
    <row r="415" spans="1:11" ht="14.4" x14ac:dyDescent="0.3">
      <c r="A415" s="28"/>
      <c r="B415" s="28"/>
      <c r="C415" s="28"/>
      <c r="D415" s="28"/>
      <c r="E415" s="28"/>
      <c r="F415" s="28"/>
      <c r="K415" s="28"/>
    </row>
    <row r="416" spans="1:11" ht="14.4" x14ac:dyDescent="0.3">
      <c r="A416" s="28"/>
      <c r="B416" s="28"/>
      <c r="C416" s="28"/>
      <c r="D416" s="28"/>
      <c r="E416" s="28"/>
      <c r="F416" s="28"/>
      <c r="K416" s="28"/>
    </row>
    <row r="417" spans="1:11" ht="14.4" x14ac:dyDescent="0.3">
      <c r="A417" s="28"/>
      <c r="B417" s="28"/>
      <c r="C417" s="28"/>
      <c r="D417" s="28"/>
      <c r="E417" s="28"/>
      <c r="F417" s="28"/>
      <c r="K417" s="28"/>
    </row>
    <row r="418" spans="1:11" ht="14.4" x14ac:dyDescent="0.3">
      <c r="A418" s="28"/>
      <c r="B418" s="28"/>
      <c r="C418" s="28"/>
      <c r="D418" s="28"/>
      <c r="E418" s="28"/>
      <c r="F418" s="28"/>
      <c r="K418" s="28"/>
    </row>
    <row r="419" spans="1:11" ht="14.4" x14ac:dyDescent="0.3">
      <c r="A419" s="28"/>
      <c r="B419" s="28"/>
      <c r="C419" s="28"/>
      <c r="D419" s="28"/>
      <c r="E419" s="28"/>
      <c r="F419" s="28"/>
      <c r="K419" s="28"/>
    </row>
    <row r="420" spans="1:11" ht="14.4" x14ac:dyDescent="0.3">
      <c r="A420" s="28"/>
      <c r="B420" s="28"/>
      <c r="C420" s="28"/>
      <c r="D420" s="28"/>
      <c r="E420" s="28"/>
      <c r="F420" s="28"/>
      <c r="K420" s="28"/>
    </row>
    <row r="421" spans="1:11" ht="14.4" x14ac:dyDescent="0.3">
      <c r="A421" s="28"/>
      <c r="B421" s="28"/>
      <c r="C421" s="28"/>
      <c r="D421" s="28"/>
      <c r="E421" s="28"/>
      <c r="F421" s="28"/>
      <c r="K421" s="28"/>
    </row>
    <row r="422" spans="1:11" ht="14.4" x14ac:dyDescent="0.3">
      <c r="A422" s="28"/>
      <c r="B422" s="28"/>
      <c r="C422" s="28"/>
      <c r="D422" s="28"/>
      <c r="E422" s="28"/>
      <c r="F422" s="28"/>
      <c r="K422" s="28"/>
    </row>
    <row r="423" spans="1:11" ht="14.4" x14ac:dyDescent="0.3">
      <c r="A423" s="28"/>
      <c r="B423" s="28"/>
      <c r="C423" s="28"/>
      <c r="D423" s="28"/>
      <c r="E423" s="28"/>
      <c r="F423" s="28"/>
      <c r="K423" s="28"/>
    </row>
    <row r="424" spans="1:11" ht="14.4" x14ac:dyDescent="0.3">
      <c r="A424" s="28"/>
      <c r="B424" s="28"/>
      <c r="C424" s="28"/>
      <c r="D424" s="28"/>
      <c r="E424" s="28"/>
      <c r="F424" s="28"/>
      <c r="K424" s="28"/>
    </row>
    <row r="425" spans="1:11" ht="14.4" x14ac:dyDescent="0.3">
      <c r="A425" s="28"/>
      <c r="B425" s="28"/>
      <c r="C425" s="28"/>
      <c r="D425" s="28"/>
      <c r="E425" s="28"/>
      <c r="F425" s="28"/>
      <c r="K425" s="28"/>
    </row>
    <row r="426" spans="1:11" ht="14.4" x14ac:dyDescent="0.3">
      <c r="A426" s="28"/>
      <c r="B426" s="28"/>
      <c r="C426" s="28"/>
      <c r="D426" s="28"/>
      <c r="E426" s="28"/>
      <c r="F426" s="28"/>
      <c r="K426" s="28"/>
    </row>
    <row r="427" spans="1:11" ht="14.4" x14ac:dyDescent="0.3">
      <c r="A427" s="28"/>
      <c r="B427" s="28"/>
      <c r="C427" s="28"/>
      <c r="D427" s="28"/>
      <c r="E427" s="28"/>
      <c r="F427" s="28"/>
      <c r="K427" s="28"/>
    </row>
    <row r="428" spans="1:11" ht="14.4" x14ac:dyDescent="0.3">
      <c r="A428" s="28"/>
      <c r="B428" s="28"/>
      <c r="C428" s="28"/>
      <c r="D428" s="28"/>
      <c r="E428" s="28"/>
      <c r="F428" s="28"/>
      <c r="K428" s="28"/>
    </row>
    <row r="429" spans="1:11" ht="14.4" x14ac:dyDescent="0.3">
      <c r="A429" s="28"/>
      <c r="B429" s="28"/>
      <c r="C429" s="28"/>
      <c r="D429" s="28"/>
      <c r="E429" s="28"/>
      <c r="F429" s="28"/>
      <c r="K429" s="28"/>
    </row>
    <row r="430" spans="1:11" ht="14.4" x14ac:dyDescent="0.3">
      <c r="A430" s="28"/>
      <c r="B430" s="28"/>
      <c r="C430" s="28"/>
      <c r="D430" s="28"/>
      <c r="E430" s="28"/>
      <c r="F430" s="28"/>
      <c r="K430" s="28"/>
    </row>
    <row r="431" spans="1:11" ht="14.4" x14ac:dyDescent="0.3">
      <c r="A431" s="28"/>
      <c r="B431" s="28"/>
      <c r="C431" s="28"/>
      <c r="D431" s="28"/>
      <c r="E431" s="28"/>
      <c r="F431" s="28"/>
      <c r="K431" s="28"/>
    </row>
    <row r="432" spans="1:11" ht="14.4" x14ac:dyDescent="0.3">
      <c r="A432" s="28"/>
      <c r="B432" s="28"/>
      <c r="C432" s="28"/>
      <c r="D432" s="28"/>
      <c r="E432" s="28"/>
      <c r="F432" s="28"/>
      <c r="K432" s="28"/>
    </row>
    <row r="433" spans="1:11" ht="14.4" x14ac:dyDescent="0.3">
      <c r="A433" s="28"/>
      <c r="B433" s="28"/>
      <c r="C433" s="28"/>
      <c r="D433" s="28"/>
      <c r="E433" s="28"/>
      <c r="F433" s="28"/>
      <c r="K433" s="28"/>
    </row>
    <row r="434" spans="1:11" ht="14.4" x14ac:dyDescent="0.3">
      <c r="A434" s="28"/>
      <c r="B434" s="28"/>
      <c r="C434" s="28"/>
      <c r="D434" s="28"/>
      <c r="E434" s="28"/>
      <c r="F434" s="28"/>
      <c r="K434" s="28"/>
    </row>
    <row r="435" spans="1:11" ht="14.4" x14ac:dyDescent="0.3">
      <c r="A435" s="28"/>
      <c r="B435" s="28"/>
      <c r="C435" s="28"/>
      <c r="D435" s="28"/>
      <c r="E435" s="28"/>
      <c r="F435" s="28"/>
      <c r="K435" s="28"/>
    </row>
    <row r="436" spans="1:11" ht="14.4" x14ac:dyDescent="0.3">
      <c r="A436" s="28"/>
      <c r="B436" s="28"/>
      <c r="C436" s="28"/>
      <c r="D436" s="28"/>
      <c r="E436" s="28"/>
      <c r="F436" s="28"/>
      <c r="K436" s="28"/>
    </row>
    <row r="437" spans="1:11" ht="14.4" x14ac:dyDescent="0.3">
      <c r="A437" s="28"/>
      <c r="B437" s="28"/>
      <c r="C437" s="28"/>
      <c r="D437" s="28"/>
      <c r="E437" s="28"/>
      <c r="F437" s="28"/>
      <c r="K437" s="28"/>
    </row>
    <row r="438" spans="1:11" ht="14.4" x14ac:dyDescent="0.3">
      <c r="A438" s="28"/>
      <c r="B438" s="28"/>
      <c r="C438" s="28"/>
      <c r="D438" s="28"/>
      <c r="E438" s="28"/>
      <c r="F438" s="28"/>
      <c r="K438" s="28"/>
    </row>
    <row r="439" spans="1:11" ht="14.4" x14ac:dyDescent="0.3">
      <c r="A439" s="28"/>
      <c r="B439" s="28"/>
      <c r="C439" s="28"/>
      <c r="D439" s="28"/>
      <c r="E439" s="28"/>
      <c r="F439" s="28"/>
      <c r="K439" s="28"/>
    </row>
    <row r="440" spans="1:11" ht="14.4" x14ac:dyDescent="0.3">
      <c r="A440" s="28"/>
      <c r="B440" s="28"/>
      <c r="C440" s="28"/>
      <c r="D440" s="28"/>
      <c r="E440" s="28"/>
      <c r="F440" s="28"/>
      <c r="K440" s="28"/>
    </row>
    <row r="441" spans="1:11" ht="14.4" x14ac:dyDescent="0.3">
      <c r="A441" s="28"/>
      <c r="B441" s="28"/>
      <c r="C441" s="28"/>
      <c r="D441" s="28"/>
      <c r="E441" s="28"/>
      <c r="F441" s="28"/>
      <c r="K441" s="28"/>
    </row>
    <row r="442" spans="1:11" ht="14.4" x14ac:dyDescent="0.3">
      <c r="A442" s="28"/>
      <c r="B442" s="28"/>
      <c r="C442" s="28"/>
      <c r="D442" s="28"/>
      <c r="E442" s="28"/>
      <c r="F442" s="28"/>
      <c r="K442" s="28"/>
    </row>
    <row r="443" spans="1:11" ht="14.4" x14ac:dyDescent="0.3">
      <c r="A443" s="28"/>
      <c r="B443" s="28"/>
      <c r="C443" s="28"/>
      <c r="D443" s="28"/>
      <c r="E443" s="28"/>
      <c r="F443" s="28"/>
      <c r="K443" s="28"/>
    </row>
    <row r="444" spans="1:11" ht="14.4" x14ac:dyDescent="0.3">
      <c r="A444" s="28"/>
      <c r="B444" s="28"/>
      <c r="C444" s="28"/>
      <c r="D444" s="28"/>
      <c r="E444" s="28"/>
      <c r="F444" s="28"/>
      <c r="K444" s="28"/>
    </row>
    <row r="445" spans="1:11" ht="14.4" x14ac:dyDescent="0.3">
      <c r="A445" s="28"/>
      <c r="B445" s="28"/>
      <c r="C445" s="28"/>
      <c r="D445" s="28"/>
      <c r="E445" s="28"/>
      <c r="F445" s="28"/>
      <c r="K445" s="28"/>
    </row>
    <row r="446" spans="1:11" ht="14.4" x14ac:dyDescent="0.3">
      <c r="A446" s="28"/>
      <c r="B446" s="28"/>
      <c r="C446" s="28"/>
      <c r="D446" s="28"/>
      <c r="E446" s="28"/>
      <c r="F446" s="28"/>
      <c r="K446" s="28"/>
    </row>
    <row r="447" spans="1:11" ht="14.4" x14ac:dyDescent="0.3">
      <c r="A447" s="28"/>
      <c r="B447" s="28"/>
      <c r="C447" s="28"/>
      <c r="D447" s="28"/>
      <c r="E447" s="28"/>
      <c r="F447" s="28"/>
      <c r="K447" s="28"/>
    </row>
    <row r="448" spans="1:11" ht="14.4" x14ac:dyDescent="0.3">
      <c r="A448" s="28"/>
      <c r="B448" s="28"/>
      <c r="C448" s="28"/>
      <c r="D448" s="28"/>
      <c r="E448" s="28"/>
      <c r="F448" s="28"/>
      <c r="K448" s="28"/>
    </row>
    <row r="449" spans="1:11" ht="14.4" x14ac:dyDescent="0.3">
      <c r="A449" s="28"/>
      <c r="B449" s="28"/>
      <c r="C449" s="28"/>
      <c r="D449" s="28"/>
      <c r="E449" s="28"/>
      <c r="F449" s="28"/>
      <c r="K449" s="28"/>
    </row>
    <row r="450" spans="1:11" ht="14.4" x14ac:dyDescent="0.3">
      <c r="A450" s="28"/>
      <c r="B450" s="28"/>
      <c r="C450" s="28"/>
      <c r="D450" s="28"/>
      <c r="E450" s="28"/>
      <c r="F450" s="28"/>
      <c r="K450" s="28"/>
    </row>
    <row r="451" spans="1:11" ht="14.4" x14ac:dyDescent="0.3">
      <c r="A451" s="28"/>
      <c r="B451" s="28"/>
      <c r="C451" s="28"/>
      <c r="D451" s="28"/>
      <c r="E451" s="28"/>
      <c r="F451" s="28"/>
      <c r="K451" s="28"/>
    </row>
    <row r="452" spans="1:11" ht="14.4" x14ac:dyDescent="0.3">
      <c r="A452" s="28"/>
      <c r="B452" s="28"/>
      <c r="C452" s="28"/>
      <c r="D452" s="28"/>
      <c r="E452" s="28"/>
      <c r="F452" s="28"/>
      <c r="K452" s="28"/>
    </row>
    <row r="453" spans="1:11" ht="14.4" x14ac:dyDescent="0.3">
      <c r="A453" s="28"/>
      <c r="B453" s="28"/>
      <c r="C453" s="28"/>
      <c r="D453" s="28"/>
      <c r="E453" s="28"/>
      <c r="F453" s="28"/>
      <c r="K453" s="28"/>
    </row>
    <row r="454" spans="1:11" ht="14.4" x14ac:dyDescent="0.3">
      <c r="A454" s="28"/>
      <c r="B454" s="28"/>
      <c r="C454" s="28"/>
      <c r="D454" s="28"/>
      <c r="E454" s="28"/>
      <c r="F454" s="28"/>
      <c r="K454" s="28"/>
    </row>
    <row r="455" spans="1:11" ht="14.4" x14ac:dyDescent="0.3">
      <c r="A455" s="28"/>
      <c r="B455" s="28"/>
      <c r="C455" s="28"/>
      <c r="D455" s="28"/>
      <c r="E455" s="28"/>
      <c r="F455" s="28"/>
      <c r="K455" s="28"/>
    </row>
    <row r="456" spans="1:11" ht="14.4" x14ac:dyDescent="0.3">
      <c r="A456" s="28"/>
      <c r="B456" s="28"/>
      <c r="C456" s="28"/>
      <c r="D456" s="28"/>
      <c r="E456" s="28"/>
      <c r="F456" s="28"/>
      <c r="K456" s="28"/>
    </row>
    <row r="457" spans="1:11" ht="14.4" x14ac:dyDescent="0.3">
      <c r="A457" s="28"/>
      <c r="B457" s="28"/>
      <c r="C457" s="28"/>
      <c r="D457" s="28"/>
      <c r="E457" s="28"/>
      <c r="F457" s="28"/>
      <c r="K457" s="28"/>
    </row>
    <row r="458" spans="1:11" ht="14.4" x14ac:dyDescent="0.3">
      <c r="A458" s="28"/>
      <c r="B458" s="28"/>
      <c r="C458" s="28"/>
      <c r="D458" s="28"/>
      <c r="E458" s="28"/>
      <c r="F458" s="28"/>
      <c r="K458" s="28"/>
    </row>
    <row r="459" spans="1:11" ht="14.4" x14ac:dyDescent="0.3">
      <c r="A459" s="28"/>
      <c r="B459" s="28"/>
      <c r="C459" s="28"/>
      <c r="D459" s="28"/>
      <c r="E459" s="28"/>
      <c r="F459" s="28"/>
      <c r="K459" s="28"/>
    </row>
    <row r="460" spans="1:11" ht="14.4" x14ac:dyDescent="0.3">
      <c r="A460" s="28"/>
      <c r="B460" s="28"/>
      <c r="C460" s="28"/>
      <c r="D460" s="28"/>
      <c r="E460" s="28"/>
      <c r="F460" s="28"/>
      <c r="K460" s="28"/>
    </row>
    <row r="461" spans="1:11" ht="14.4" x14ac:dyDescent="0.3">
      <c r="A461" s="28"/>
      <c r="B461" s="28"/>
      <c r="C461" s="28"/>
      <c r="D461" s="28"/>
      <c r="E461" s="28"/>
      <c r="F461" s="28"/>
      <c r="K461" s="28"/>
    </row>
    <row r="462" spans="1:11" ht="14.4" x14ac:dyDescent="0.3">
      <c r="A462" s="28"/>
      <c r="B462" s="28"/>
      <c r="C462" s="28"/>
      <c r="D462" s="28"/>
      <c r="E462" s="28"/>
      <c r="F462" s="28"/>
      <c r="K462" s="28"/>
    </row>
    <row r="463" spans="1:11" ht="14.4" x14ac:dyDescent="0.3">
      <c r="A463" s="28"/>
      <c r="B463" s="28"/>
      <c r="C463" s="28"/>
      <c r="D463" s="28"/>
      <c r="E463" s="28"/>
      <c r="F463" s="28"/>
      <c r="K463" s="28"/>
    </row>
    <row r="464" spans="1:11" ht="14.4" x14ac:dyDescent="0.3">
      <c r="A464" s="28"/>
      <c r="B464" s="28"/>
      <c r="C464" s="28"/>
      <c r="D464" s="28"/>
      <c r="E464" s="28"/>
      <c r="F464" s="28"/>
      <c r="K464" s="28"/>
    </row>
    <row r="465" spans="1:11" ht="14.4" x14ac:dyDescent="0.3">
      <c r="A465" s="28"/>
      <c r="B465" s="28"/>
      <c r="C465" s="28"/>
      <c r="D465" s="28"/>
      <c r="E465" s="28"/>
      <c r="F465" s="28"/>
      <c r="K465" s="28"/>
    </row>
    <row r="466" spans="1:11" ht="14.4" x14ac:dyDescent="0.3">
      <c r="A466" s="28"/>
      <c r="B466" s="28"/>
      <c r="C466" s="28"/>
      <c r="D466" s="28"/>
      <c r="E466" s="28"/>
      <c r="F466" s="28"/>
      <c r="K466" s="28"/>
    </row>
    <row r="467" spans="1:11" ht="14.4" x14ac:dyDescent="0.3">
      <c r="A467" s="28"/>
      <c r="B467" s="28"/>
      <c r="C467" s="28"/>
      <c r="D467" s="28"/>
      <c r="E467" s="28"/>
      <c r="F467" s="28"/>
      <c r="K467" s="28"/>
    </row>
    <row r="468" spans="1:11" ht="14.4" x14ac:dyDescent="0.3">
      <c r="A468" s="28"/>
      <c r="B468" s="28"/>
      <c r="C468" s="28"/>
      <c r="D468" s="28"/>
      <c r="E468" s="28"/>
      <c r="F468" s="28"/>
      <c r="K468" s="28"/>
    </row>
    <row r="469" spans="1:11" ht="14.4" x14ac:dyDescent="0.3">
      <c r="A469" s="28"/>
      <c r="B469" s="28"/>
      <c r="C469" s="28"/>
      <c r="D469" s="28"/>
      <c r="E469" s="28"/>
      <c r="F469" s="28"/>
      <c r="K469" s="28"/>
    </row>
    <row r="470" spans="1:11" ht="14.4" x14ac:dyDescent="0.3">
      <c r="A470" s="28"/>
      <c r="B470" s="28"/>
      <c r="C470" s="28"/>
      <c r="D470" s="28"/>
      <c r="E470" s="28"/>
      <c r="F470" s="28"/>
      <c r="K470" s="28"/>
    </row>
    <row r="471" spans="1:11" ht="14.4" x14ac:dyDescent="0.3">
      <c r="A471" s="28"/>
      <c r="B471" s="28"/>
      <c r="C471" s="28"/>
      <c r="D471" s="28"/>
      <c r="E471" s="28"/>
      <c r="F471" s="28"/>
      <c r="K471" s="28"/>
    </row>
    <row r="472" spans="1:11" ht="14.4" x14ac:dyDescent="0.3">
      <c r="A472" s="28"/>
      <c r="B472" s="28"/>
      <c r="C472" s="28"/>
      <c r="D472" s="28"/>
      <c r="E472" s="28"/>
      <c r="F472" s="28"/>
      <c r="K472" s="28"/>
    </row>
    <row r="473" spans="1:11" ht="14.4" x14ac:dyDescent="0.3">
      <c r="A473" s="28"/>
      <c r="B473" s="28"/>
      <c r="C473" s="28"/>
      <c r="D473" s="28"/>
      <c r="E473" s="28"/>
      <c r="F473" s="28"/>
      <c r="K473" s="28"/>
    </row>
    <row r="474" spans="1:11" ht="14.4" x14ac:dyDescent="0.3">
      <c r="A474" s="28"/>
      <c r="B474" s="28"/>
      <c r="C474" s="28"/>
      <c r="D474" s="28"/>
      <c r="E474" s="28"/>
      <c r="F474" s="28"/>
      <c r="K474" s="28"/>
    </row>
    <row r="475" spans="1:11" ht="14.4" x14ac:dyDescent="0.3">
      <c r="A475" s="28"/>
      <c r="B475" s="28"/>
      <c r="C475" s="28"/>
      <c r="D475" s="28"/>
      <c r="E475" s="28"/>
      <c r="F475" s="28"/>
      <c r="K475" s="28"/>
    </row>
    <row r="476" spans="1:11" ht="14.4" x14ac:dyDescent="0.3">
      <c r="A476" s="28"/>
      <c r="B476" s="28"/>
      <c r="C476" s="28"/>
      <c r="D476" s="28"/>
      <c r="E476" s="28"/>
      <c r="F476" s="28"/>
      <c r="K476" s="28"/>
    </row>
    <row r="477" spans="1:11" ht="14.4" x14ac:dyDescent="0.3">
      <c r="A477" s="28"/>
      <c r="B477" s="28"/>
      <c r="C477" s="28"/>
      <c r="D477" s="28"/>
      <c r="E477" s="28"/>
      <c r="F477" s="28"/>
      <c r="K477" s="28"/>
    </row>
    <row r="478" spans="1:11" ht="14.4" x14ac:dyDescent="0.3">
      <c r="A478" s="28"/>
      <c r="B478" s="28"/>
      <c r="C478" s="28"/>
      <c r="D478" s="28"/>
      <c r="E478" s="28"/>
      <c r="F478" s="28"/>
      <c r="K478" s="28"/>
    </row>
    <row r="479" spans="1:11" ht="14.4" x14ac:dyDescent="0.3">
      <c r="A479" s="28"/>
      <c r="B479" s="28"/>
      <c r="C479" s="28"/>
      <c r="D479" s="28"/>
      <c r="E479" s="28"/>
      <c r="F479" s="28"/>
      <c r="K479" s="28"/>
    </row>
    <row r="480" spans="1:11" ht="14.4" x14ac:dyDescent="0.3">
      <c r="A480" s="28"/>
      <c r="B480" s="28"/>
      <c r="C480" s="28"/>
      <c r="D480" s="28"/>
      <c r="E480" s="28"/>
      <c r="F480" s="28"/>
      <c r="K480" s="28"/>
    </row>
    <row r="481" spans="1:11" ht="14.4" x14ac:dyDescent="0.3">
      <c r="A481" s="28"/>
      <c r="B481" s="28"/>
      <c r="C481" s="28"/>
      <c r="D481" s="28"/>
      <c r="E481" s="28"/>
      <c r="F481" s="28"/>
      <c r="K481" s="28"/>
    </row>
    <row r="482" spans="1:11" ht="14.4" x14ac:dyDescent="0.3">
      <c r="A482" s="28"/>
      <c r="B482" s="28"/>
      <c r="C482" s="28"/>
      <c r="D482" s="28"/>
      <c r="E482" s="28"/>
      <c r="F482" s="28"/>
      <c r="K482" s="28"/>
    </row>
    <row r="483" spans="1:11" ht="14.4" x14ac:dyDescent="0.3">
      <c r="A483" s="28"/>
      <c r="B483" s="28"/>
      <c r="C483" s="28"/>
      <c r="D483" s="28"/>
      <c r="E483" s="28"/>
      <c r="F483" s="28"/>
      <c r="K483" s="28"/>
    </row>
    <row r="484" spans="1:11" ht="14.4" x14ac:dyDescent="0.3">
      <c r="A484" s="28"/>
      <c r="B484" s="28"/>
      <c r="C484" s="28"/>
      <c r="D484" s="28"/>
      <c r="E484" s="28"/>
      <c r="F484" s="28"/>
      <c r="K484" s="28"/>
    </row>
    <row r="485" spans="1:11" ht="14.4" x14ac:dyDescent="0.3">
      <c r="A485" s="28"/>
      <c r="B485" s="28"/>
      <c r="C485" s="28"/>
      <c r="D485" s="28"/>
      <c r="E485" s="28"/>
      <c r="F485" s="28"/>
      <c r="K485" s="28"/>
    </row>
    <row r="486" spans="1:11" ht="14.4" x14ac:dyDescent="0.3">
      <c r="A486" s="28"/>
      <c r="B486" s="28"/>
      <c r="C486" s="28"/>
      <c r="D486" s="28"/>
      <c r="E486" s="28"/>
      <c r="F486" s="28"/>
      <c r="K486" s="28"/>
    </row>
    <row r="487" spans="1:11" ht="14.4" x14ac:dyDescent="0.3">
      <c r="A487" s="28"/>
      <c r="B487" s="28"/>
      <c r="C487" s="28"/>
      <c r="D487" s="28"/>
      <c r="E487" s="28"/>
      <c r="F487" s="28"/>
      <c r="K487" s="28"/>
    </row>
    <row r="488" spans="1:11" ht="14.4" x14ac:dyDescent="0.3">
      <c r="A488" s="28"/>
      <c r="B488" s="28"/>
      <c r="C488" s="28"/>
      <c r="D488" s="28"/>
      <c r="E488" s="28"/>
      <c r="F488" s="28"/>
      <c r="K488" s="28"/>
    </row>
    <row r="489" spans="1:11" ht="14.4" x14ac:dyDescent="0.3">
      <c r="A489" s="28"/>
      <c r="B489" s="28"/>
      <c r="C489" s="28"/>
      <c r="D489" s="28"/>
      <c r="E489" s="28"/>
      <c r="F489" s="28"/>
      <c r="K489" s="28"/>
    </row>
    <row r="490" spans="1:11" ht="14.4" x14ac:dyDescent="0.3">
      <c r="A490" s="28"/>
      <c r="B490" s="28"/>
      <c r="C490" s="28"/>
      <c r="D490" s="28"/>
      <c r="E490" s="28"/>
      <c r="F490" s="28"/>
      <c r="K490" s="28"/>
    </row>
    <row r="491" spans="1:11" ht="14.4" x14ac:dyDescent="0.3">
      <c r="A491" s="28"/>
      <c r="B491" s="28"/>
      <c r="C491" s="28"/>
      <c r="D491" s="28"/>
      <c r="E491" s="28"/>
      <c r="F491" s="28"/>
      <c r="K491" s="28"/>
    </row>
    <row r="492" spans="1:11" ht="14.4" x14ac:dyDescent="0.3">
      <c r="A492" s="28"/>
      <c r="B492" s="28"/>
      <c r="C492" s="28"/>
      <c r="D492" s="28"/>
      <c r="E492" s="28"/>
      <c r="F492" s="28"/>
      <c r="K492" s="28"/>
    </row>
    <row r="493" spans="1:11" ht="14.4" x14ac:dyDescent="0.3">
      <c r="A493" s="28"/>
      <c r="B493" s="28"/>
      <c r="C493" s="28"/>
      <c r="D493" s="28"/>
      <c r="E493" s="28"/>
      <c r="F493" s="28"/>
      <c r="K493" s="28"/>
    </row>
    <row r="494" spans="1:11" ht="14.4" x14ac:dyDescent="0.3">
      <c r="A494" s="28"/>
      <c r="B494" s="28"/>
      <c r="C494" s="28"/>
      <c r="D494" s="28"/>
      <c r="E494" s="28"/>
      <c r="F494" s="28"/>
      <c r="K494" s="28"/>
    </row>
    <row r="495" spans="1:11" ht="14.4" x14ac:dyDescent="0.3">
      <c r="A495" s="28"/>
      <c r="B495" s="28"/>
      <c r="C495" s="28"/>
      <c r="D495" s="28"/>
      <c r="E495" s="28"/>
      <c r="F495" s="28"/>
      <c r="K495" s="28"/>
    </row>
    <row r="496" spans="1:11" ht="14.4" x14ac:dyDescent="0.3">
      <c r="A496" s="28"/>
      <c r="B496" s="28"/>
      <c r="C496" s="28"/>
      <c r="D496" s="28"/>
      <c r="E496" s="28"/>
      <c r="F496" s="28"/>
      <c r="K496" s="28"/>
    </row>
    <row r="497" spans="1:11" ht="14.4" x14ac:dyDescent="0.3">
      <c r="A497" s="28"/>
      <c r="B497" s="28"/>
      <c r="C497" s="28"/>
      <c r="D497" s="28"/>
      <c r="E497" s="28"/>
      <c r="F497" s="28"/>
      <c r="K497" s="28"/>
    </row>
    <row r="498" spans="1:11" ht="14.4" x14ac:dyDescent="0.3">
      <c r="A498" s="28"/>
      <c r="B498" s="28"/>
      <c r="C498" s="28"/>
      <c r="D498" s="28"/>
      <c r="E498" s="28"/>
      <c r="F498" s="28"/>
      <c r="K498" s="28"/>
    </row>
    <row r="499" spans="1:11" ht="14.4" x14ac:dyDescent="0.3">
      <c r="A499" s="28"/>
      <c r="B499" s="28"/>
      <c r="C499" s="28"/>
      <c r="D499" s="28"/>
      <c r="E499" s="28"/>
      <c r="F499" s="28"/>
      <c r="K499" s="28"/>
    </row>
    <row r="500" spans="1:11" ht="14.4" x14ac:dyDescent="0.3">
      <c r="A500" s="28"/>
      <c r="B500" s="28"/>
      <c r="C500" s="28"/>
      <c r="D500" s="28"/>
      <c r="E500" s="28"/>
      <c r="F500" s="28"/>
      <c r="K500" s="28"/>
    </row>
    <row r="501" spans="1:11" ht="14.4" x14ac:dyDescent="0.3">
      <c r="A501" s="28"/>
      <c r="B501" s="28"/>
      <c r="C501" s="28"/>
      <c r="D501" s="28"/>
      <c r="E501" s="28"/>
      <c r="F501" s="28"/>
      <c r="K501" s="28"/>
    </row>
    <row r="502" spans="1:11" ht="14.4" x14ac:dyDescent="0.3">
      <c r="A502" s="28"/>
      <c r="B502" s="28"/>
      <c r="C502" s="28"/>
      <c r="D502" s="28"/>
      <c r="E502" s="28"/>
      <c r="F502" s="28"/>
      <c r="K502" s="28"/>
    </row>
    <row r="503" spans="1:11" ht="14.4" x14ac:dyDescent="0.3">
      <c r="A503" s="28"/>
      <c r="B503" s="28"/>
      <c r="C503" s="28"/>
      <c r="D503" s="28"/>
      <c r="E503" s="28"/>
      <c r="F503" s="28"/>
      <c r="K503" s="28"/>
    </row>
    <row r="504" spans="1:11" ht="14.4" x14ac:dyDescent="0.3">
      <c r="A504" s="28"/>
      <c r="B504" s="28"/>
      <c r="C504" s="28"/>
      <c r="D504" s="28"/>
      <c r="E504" s="28"/>
      <c r="F504" s="28"/>
      <c r="K504" s="28"/>
    </row>
    <row r="505" spans="1:11" ht="14.4" x14ac:dyDescent="0.3">
      <c r="A505" s="28"/>
      <c r="B505" s="28"/>
      <c r="C505" s="28"/>
      <c r="D505" s="28"/>
      <c r="E505" s="28"/>
      <c r="F505" s="28"/>
      <c r="K505" s="28"/>
    </row>
    <row r="506" spans="1:11" ht="14.4" x14ac:dyDescent="0.3">
      <c r="A506" s="28"/>
      <c r="B506" s="28"/>
      <c r="C506" s="28"/>
      <c r="D506" s="28"/>
      <c r="E506" s="28"/>
      <c r="F506" s="28"/>
      <c r="K506" s="28"/>
    </row>
    <row r="507" spans="1:11" ht="14.4" x14ac:dyDescent="0.3">
      <c r="A507" s="28"/>
      <c r="B507" s="28"/>
      <c r="C507" s="28"/>
      <c r="D507" s="28"/>
      <c r="E507" s="28"/>
      <c r="F507" s="28"/>
      <c r="K507" s="28"/>
    </row>
    <row r="508" spans="1:11" ht="14.4" x14ac:dyDescent="0.3">
      <c r="A508" s="28"/>
      <c r="B508" s="28"/>
      <c r="C508" s="28"/>
      <c r="D508" s="28"/>
      <c r="E508" s="28"/>
      <c r="F508" s="28"/>
      <c r="K508" s="28"/>
    </row>
    <row r="509" spans="1:11" ht="14.4" x14ac:dyDescent="0.3">
      <c r="A509" s="28"/>
      <c r="B509" s="28"/>
      <c r="C509" s="28"/>
      <c r="D509" s="28"/>
      <c r="E509" s="28"/>
      <c r="F509" s="28"/>
      <c r="K509" s="28"/>
    </row>
    <row r="510" spans="1:11" ht="14.4" x14ac:dyDescent="0.3">
      <c r="A510" s="28"/>
      <c r="B510" s="28"/>
      <c r="C510" s="28"/>
      <c r="D510" s="28"/>
      <c r="E510" s="28"/>
      <c r="F510" s="28"/>
      <c r="K510" s="28"/>
    </row>
    <row r="511" spans="1:11" ht="14.4" x14ac:dyDescent="0.3">
      <c r="A511" s="28"/>
      <c r="B511" s="28"/>
      <c r="C511" s="28"/>
      <c r="D511" s="28"/>
      <c r="E511" s="28"/>
      <c r="F511" s="28"/>
      <c r="K511" s="28"/>
    </row>
    <row r="512" spans="1:11" ht="14.4" x14ac:dyDescent="0.3">
      <c r="A512" s="28"/>
      <c r="B512" s="28"/>
      <c r="C512" s="28"/>
      <c r="D512" s="28"/>
      <c r="E512" s="28"/>
      <c r="F512" s="28"/>
      <c r="K512" s="28"/>
    </row>
    <row r="513" spans="1:11" ht="14.4" x14ac:dyDescent="0.3">
      <c r="A513" s="28"/>
      <c r="B513" s="28"/>
      <c r="C513" s="28"/>
      <c r="D513" s="28"/>
      <c r="E513" s="28"/>
      <c r="F513" s="28"/>
      <c r="K513" s="28"/>
    </row>
    <row r="514" spans="1:11" ht="14.4" x14ac:dyDescent="0.3">
      <c r="A514" s="28"/>
      <c r="B514" s="28"/>
      <c r="C514" s="28"/>
      <c r="D514" s="28"/>
      <c r="E514" s="28"/>
      <c r="F514" s="28"/>
      <c r="K514" s="28"/>
    </row>
    <row r="515" spans="1:11" ht="14.4" x14ac:dyDescent="0.3">
      <c r="A515" s="28"/>
      <c r="B515" s="28"/>
      <c r="C515" s="28"/>
      <c r="D515" s="28"/>
      <c r="E515" s="28"/>
      <c r="F515" s="28"/>
      <c r="K515" s="28"/>
    </row>
    <row r="516" spans="1:11" ht="14.4" x14ac:dyDescent="0.3">
      <c r="A516" s="28"/>
      <c r="B516" s="28"/>
      <c r="C516" s="28"/>
      <c r="D516" s="28"/>
      <c r="E516" s="28"/>
      <c r="F516" s="28"/>
      <c r="K516" s="28"/>
    </row>
    <row r="517" spans="1:11" ht="14.4" x14ac:dyDescent="0.3">
      <c r="A517" s="28"/>
      <c r="B517" s="28"/>
      <c r="C517" s="28"/>
      <c r="D517" s="28"/>
      <c r="E517" s="28"/>
      <c r="F517" s="28"/>
      <c r="K517" s="28"/>
    </row>
    <row r="518" spans="1:11" ht="14.4" x14ac:dyDescent="0.3">
      <c r="A518" s="28"/>
      <c r="B518" s="28"/>
      <c r="C518" s="28"/>
      <c r="D518" s="28"/>
      <c r="E518" s="28"/>
      <c r="F518" s="28"/>
      <c r="K518" s="28"/>
    </row>
    <row r="519" spans="1:11" ht="14.4" x14ac:dyDescent="0.3">
      <c r="A519" s="28"/>
      <c r="B519" s="28"/>
      <c r="C519" s="28"/>
      <c r="D519" s="28"/>
      <c r="E519" s="28"/>
      <c r="F519" s="28"/>
      <c r="K519" s="28"/>
    </row>
    <row r="520" spans="1:11" ht="14.4" x14ac:dyDescent="0.3">
      <c r="A520" s="28"/>
      <c r="B520" s="28"/>
      <c r="C520" s="28"/>
      <c r="D520" s="28"/>
      <c r="E520" s="28"/>
      <c r="F520" s="28"/>
      <c r="K520" s="28"/>
    </row>
    <row r="521" spans="1:11" ht="14.4" x14ac:dyDescent="0.3">
      <c r="A521" s="28"/>
      <c r="B521" s="28"/>
      <c r="C521" s="28"/>
      <c r="D521" s="28"/>
      <c r="E521" s="28"/>
      <c r="F521" s="28"/>
      <c r="K521" s="28"/>
    </row>
    <row r="522" spans="1:11" ht="14.4" x14ac:dyDescent="0.3">
      <c r="A522" s="28"/>
      <c r="B522" s="28"/>
      <c r="C522" s="28"/>
      <c r="D522" s="28"/>
      <c r="E522" s="28"/>
      <c r="F522" s="28"/>
      <c r="K522" s="28"/>
    </row>
    <row r="523" spans="1:11" ht="14.4" x14ac:dyDescent="0.3">
      <c r="A523" s="28"/>
      <c r="B523" s="28"/>
      <c r="C523" s="28"/>
      <c r="D523" s="28"/>
      <c r="E523" s="28"/>
      <c r="F523" s="28"/>
      <c r="K523" s="28"/>
    </row>
    <row r="524" spans="1:11" ht="14.4" x14ac:dyDescent="0.3">
      <c r="A524" s="28"/>
      <c r="B524" s="28"/>
      <c r="C524" s="28"/>
      <c r="D524" s="28"/>
      <c r="E524" s="28"/>
      <c r="F524" s="28"/>
      <c r="K524" s="28"/>
    </row>
    <row r="525" spans="1:11" ht="14.4" x14ac:dyDescent="0.3">
      <c r="A525" s="28"/>
      <c r="B525" s="28"/>
      <c r="C525" s="28"/>
      <c r="D525" s="28"/>
      <c r="E525" s="28"/>
      <c r="F525" s="28"/>
      <c r="K525" s="28"/>
    </row>
    <row r="526" spans="1:11" ht="14.4" x14ac:dyDescent="0.3">
      <c r="A526" s="28"/>
      <c r="B526" s="28"/>
      <c r="C526" s="28"/>
      <c r="D526" s="28"/>
      <c r="E526" s="28"/>
      <c r="F526" s="28"/>
      <c r="K526" s="28"/>
    </row>
    <row r="527" spans="1:11" ht="14.4" x14ac:dyDescent="0.3">
      <c r="A527" s="28"/>
      <c r="B527" s="28"/>
      <c r="C527" s="28"/>
      <c r="D527" s="28"/>
      <c r="E527" s="28"/>
      <c r="F527" s="28"/>
      <c r="K527" s="28"/>
    </row>
    <row r="528" spans="1:11" ht="14.4" x14ac:dyDescent="0.3">
      <c r="A528" s="28"/>
      <c r="B528" s="28"/>
      <c r="C528" s="28"/>
      <c r="D528" s="28"/>
      <c r="E528" s="28"/>
      <c r="F528" s="28"/>
      <c r="K528" s="28"/>
    </row>
    <row r="529" spans="1:11" ht="14.4" x14ac:dyDescent="0.3">
      <c r="A529" s="28"/>
      <c r="B529" s="28"/>
      <c r="C529" s="28"/>
      <c r="D529" s="28"/>
      <c r="E529" s="28"/>
      <c r="F529" s="28"/>
      <c r="K529" s="28"/>
    </row>
    <row r="530" spans="1:11" ht="14.4" x14ac:dyDescent="0.3">
      <c r="A530" s="28"/>
      <c r="B530" s="28"/>
      <c r="C530" s="28"/>
      <c r="D530" s="28"/>
      <c r="E530" s="28"/>
      <c r="F530" s="28"/>
      <c r="K530" s="28"/>
    </row>
    <row r="531" spans="1:11" ht="14.4" x14ac:dyDescent="0.3">
      <c r="A531" s="28"/>
      <c r="B531" s="28"/>
      <c r="C531" s="28"/>
      <c r="D531" s="28"/>
      <c r="E531" s="28"/>
      <c r="F531" s="28"/>
      <c r="K531" s="28"/>
    </row>
    <row r="532" spans="1:11" ht="14.4" x14ac:dyDescent="0.3">
      <c r="A532" s="28"/>
      <c r="B532" s="28"/>
      <c r="C532" s="28"/>
      <c r="D532" s="28"/>
      <c r="E532" s="28"/>
      <c r="F532" s="28"/>
      <c r="K532" s="28"/>
    </row>
    <row r="533" spans="1:11" ht="14.4" x14ac:dyDescent="0.3">
      <c r="A533" s="28"/>
      <c r="B533" s="28"/>
      <c r="C533" s="28"/>
      <c r="D533" s="28"/>
      <c r="E533" s="28"/>
      <c r="F533" s="28"/>
      <c r="K533" s="28"/>
    </row>
    <row r="534" spans="1:11" ht="14.4" x14ac:dyDescent="0.3">
      <c r="A534" s="28"/>
      <c r="B534" s="28"/>
      <c r="C534" s="28"/>
      <c r="D534" s="28"/>
      <c r="E534" s="28"/>
      <c r="F534" s="28"/>
      <c r="K534" s="28"/>
    </row>
    <row r="535" spans="1:11" ht="14.4" x14ac:dyDescent="0.3">
      <c r="A535" s="28"/>
      <c r="B535" s="28"/>
      <c r="C535" s="28"/>
      <c r="D535" s="28"/>
      <c r="E535" s="28"/>
      <c r="F535" s="28"/>
      <c r="K535" s="28"/>
    </row>
    <row r="536" spans="1:11" ht="14.4" x14ac:dyDescent="0.3">
      <c r="A536" s="28"/>
      <c r="B536" s="28"/>
      <c r="C536" s="28"/>
      <c r="D536" s="28"/>
      <c r="E536" s="28"/>
      <c r="F536" s="28"/>
      <c r="K536" s="28"/>
    </row>
    <row r="537" spans="1:11" ht="14.4" x14ac:dyDescent="0.3">
      <c r="A537" s="28"/>
      <c r="B537" s="28"/>
      <c r="C537" s="28"/>
      <c r="D537" s="28"/>
      <c r="E537" s="28"/>
      <c r="F537" s="28"/>
      <c r="K537" s="28"/>
    </row>
    <row r="538" spans="1:11" ht="14.4" x14ac:dyDescent="0.3">
      <c r="A538" s="28"/>
      <c r="B538" s="28"/>
      <c r="C538" s="28"/>
      <c r="D538" s="28"/>
      <c r="E538" s="28"/>
      <c r="F538" s="28"/>
      <c r="K538" s="28"/>
    </row>
    <row r="539" spans="1:11" ht="14.4" x14ac:dyDescent="0.3">
      <c r="A539" s="28"/>
      <c r="B539" s="28"/>
      <c r="C539" s="28"/>
      <c r="D539" s="28"/>
      <c r="E539" s="28"/>
      <c r="F539" s="28"/>
      <c r="K539" s="28"/>
    </row>
    <row r="540" spans="1:11" ht="14.4" x14ac:dyDescent="0.3">
      <c r="A540" s="28"/>
      <c r="B540" s="28"/>
      <c r="C540" s="28"/>
      <c r="D540" s="28"/>
      <c r="E540" s="28"/>
      <c r="F540" s="28"/>
      <c r="K540" s="28"/>
    </row>
    <row r="541" spans="1:11" ht="14.4" x14ac:dyDescent="0.3">
      <c r="A541" s="28"/>
      <c r="B541" s="28"/>
      <c r="C541" s="28"/>
      <c r="D541" s="28"/>
      <c r="E541" s="28"/>
      <c r="F541" s="28"/>
      <c r="K541" s="28"/>
    </row>
    <row r="542" spans="1:11" ht="14.4" x14ac:dyDescent="0.3">
      <c r="A542" s="28"/>
      <c r="B542" s="28"/>
      <c r="C542" s="28"/>
      <c r="D542" s="28"/>
      <c r="E542" s="28"/>
      <c r="F542" s="28"/>
      <c r="K542" s="28"/>
    </row>
    <row r="543" spans="1:11" ht="14.4" x14ac:dyDescent="0.3">
      <c r="A543" s="28"/>
      <c r="B543" s="28"/>
      <c r="C543" s="28"/>
      <c r="D543" s="28"/>
      <c r="E543" s="28"/>
      <c r="F543" s="28"/>
      <c r="K543" s="28"/>
    </row>
    <row r="544" spans="1:11" ht="14.4" x14ac:dyDescent="0.3">
      <c r="A544" s="28"/>
      <c r="B544" s="28"/>
      <c r="C544" s="28"/>
      <c r="D544" s="28"/>
      <c r="E544" s="28"/>
      <c r="F544" s="28"/>
      <c r="K544" s="28"/>
    </row>
    <row r="545" spans="1:11" ht="14.4" x14ac:dyDescent="0.3">
      <c r="A545" s="28"/>
      <c r="B545" s="28"/>
      <c r="C545" s="28"/>
      <c r="D545" s="28"/>
      <c r="E545" s="28"/>
      <c r="F545" s="28"/>
      <c r="K545" s="28"/>
    </row>
    <row r="546" spans="1:11" ht="14.4" x14ac:dyDescent="0.3">
      <c r="A546" s="28"/>
      <c r="B546" s="28"/>
      <c r="C546" s="28"/>
      <c r="D546" s="28"/>
      <c r="E546" s="28"/>
      <c r="F546" s="28"/>
      <c r="K546" s="28"/>
    </row>
    <row r="547" spans="1:11" ht="14.4" x14ac:dyDescent="0.3">
      <c r="A547" s="28"/>
      <c r="B547" s="28"/>
      <c r="C547" s="28"/>
      <c r="D547" s="28"/>
      <c r="E547" s="28"/>
      <c r="F547" s="28"/>
      <c r="K547" s="28"/>
    </row>
    <row r="548" spans="1:11" ht="14.4" x14ac:dyDescent="0.3">
      <c r="A548" s="28"/>
      <c r="B548" s="28"/>
      <c r="C548" s="28"/>
      <c r="D548" s="28"/>
      <c r="E548" s="28"/>
      <c r="F548" s="28"/>
      <c r="K548" s="28"/>
    </row>
    <row r="549" spans="1:11" ht="14.4" x14ac:dyDescent="0.3">
      <c r="A549" s="28"/>
      <c r="B549" s="28"/>
      <c r="C549" s="28"/>
      <c r="D549" s="28"/>
      <c r="E549" s="28"/>
      <c r="F549" s="28"/>
      <c r="K549" s="28"/>
    </row>
    <row r="550" spans="1:11" ht="14.4" x14ac:dyDescent="0.3">
      <c r="A550" s="28"/>
      <c r="B550" s="28"/>
      <c r="C550" s="28"/>
      <c r="D550" s="28"/>
      <c r="E550" s="28"/>
      <c r="F550" s="28"/>
      <c r="K550" s="28"/>
    </row>
    <row r="551" spans="1:11" ht="14.4" x14ac:dyDescent="0.3">
      <c r="A551" s="28"/>
      <c r="B551" s="28"/>
      <c r="C551" s="28"/>
      <c r="D551" s="28"/>
      <c r="E551" s="28"/>
      <c r="F551" s="28"/>
      <c r="K551" s="28"/>
    </row>
    <row r="552" spans="1:11" ht="14.4" x14ac:dyDescent="0.3">
      <c r="A552" s="28"/>
      <c r="B552" s="28"/>
      <c r="C552" s="28"/>
      <c r="D552" s="28"/>
      <c r="E552" s="28"/>
      <c r="F552" s="28"/>
      <c r="K552" s="28"/>
    </row>
    <row r="553" spans="1:11" ht="14.4" x14ac:dyDescent="0.3">
      <c r="A553" s="28"/>
      <c r="B553" s="28"/>
      <c r="C553" s="28"/>
      <c r="D553" s="28"/>
      <c r="E553" s="28"/>
      <c r="F553" s="28"/>
      <c r="K553" s="28"/>
    </row>
    <row r="554" spans="1:11" ht="14.4" x14ac:dyDescent="0.3">
      <c r="A554" s="28"/>
      <c r="B554" s="28"/>
      <c r="C554" s="28"/>
      <c r="D554" s="28"/>
      <c r="E554" s="28"/>
      <c r="F554" s="28"/>
      <c r="K554" s="28"/>
    </row>
    <row r="555" spans="1:11" ht="14.4" x14ac:dyDescent="0.3">
      <c r="A555" s="28"/>
      <c r="B555" s="28"/>
      <c r="C555" s="28"/>
      <c r="D555" s="28"/>
      <c r="E555" s="28"/>
      <c r="F555" s="28"/>
      <c r="K555" s="28"/>
    </row>
    <row r="556" spans="1:11" ht="14.4" x14ac:dyDescent="0.3">
      <c r="A556" s="28"/>
      <c r="B556" s="28"/>
      <c r="C556" s="28"/>
      <c r="D556" s="28"/>
      <c r="E556" s="28"/>
      <c r="F556" s="28"/>
      <c r="K556" s="28"/>
    </row>
    <row r="557" spans="1:11" ht="14.4" x14ac:dyDescent="0.3">
      <c r="A557" s="28"/>
      <c r="B557" s="28"/>
      <c r="C557" s="28"/>
      <c r="D557" s="28"/>
      <c r="E557" s="28"/>
      <c r="F557" s="28"/>
      <c r="K557" s="28"/>
    </row>
    <row r="558" spans="1:11" ht="14.4" x14ac:dyDescent="0.3">
      <c r="A558" s="28"/>
      <c r="B558" s="28"/>
      <c r="C558" s="28"/>
      <c r="D558" s="28"/>
      <c r="E558" s="28"/>
      <c r="F558" s="28"/>
      <c r="K558" s="28"/>
    </row>
    <row r="559" spans="1:11" ht="14.4" x14ac:dyDescent="0.3">
      <c r="A559" s="28"/>
      <c r="B559" s="28"/>
      <c r="C559" s="28"/>
      <c r="D559" s="28"/>
      <c r="E559" s="28"/>
      <c r="F559" s="28"/>
      <c r="K559" s="28"/>
    </row>
    <row r="560" spans="1:11" ht="14.4" x14ac:dyDescent="0.3">
      <c r="A560" s="28"/>
      <c r="B560" s="28"/>
      <c r="C560" s="28"/>
      <c r="D560" s="28"/>
      <c r="E560" s="28"/>
      <c r="F560" s="28"/>
      <c r="K560" s="28"/>
    </row>
    <row r="561" spans="1:11" ht="14.4" x14ac:dyDescent="0.3">
      <c r="A561" s="28"/>
      <c r="B561" s="28"/>
      <c r="C561" s="28"/>
      <c r="D561" s="28"/>
      <c r="E561" s="28"/>
      <c r="F561" s="28"/>
      <c r="K561" s="28"/>
    </row>
    <row r="562" spans="1:11" ht="14.4" x14ac:dyDescent="0.3">
      <c r="A562" s="28"/>
      <c r="B562" s="28"/>
      <c r="C562" s="28"/>
      <c r="D562" s="28"/>
      <c r="E562" s="28"/>
      <c r="F562" s="28"/>
      <c r="K562" s="28"/>
    </row>
    <row r="563" spans="1:11" ht="14.4" x14ac:dyDescent="0.3">
      <c r="A563" s="28"/>
      <c r="B563" s="28"/>
      <c r="C563" s="28"/>
      <c r="D563" s="28"/>
      <c r="E563" s="28"/>
      <c r="F563" s="28"/>
      <c r="K563" s="28"/>
    </row>
    <row r="564" spans="1:11" ht="14.4" x14ac:dyDescent="0.3">
      <c r="A564" s="28"/>
      <c r="B564" s="28"/>
      <c r="C564" s="28"/>
      <c r="D564" s="28"/>
      <c r="E564" s="28"/>
      <c r="F564" s="28"/>
      <c r="K564" s="28"/>
    </row>
    <row r="565" spans="1:11" ht="14.4" x14ac:dyDescent="0.3">
      <c r="A565" s="28"/>
      <c r="B565" s="28"/>
      <c r="C565" s="28"/>
      <c r="D565" s="28"/>
      <c r="E565" s="28"/>
      <c r="F565" s="28"/>
      <c r="K565" s="28"/>
    </row>
    <row r="566" spans="1:11" ht="14.4" x14ac:dyDescent="0.3">
      <c r="A566" s="28"/>
      <c r="B566" s="28"/>
      <c r="C566" s="28"/>
      <c r="D566" s="28"/>
      <c r="E566" s="28"/>
      <c r="F566" s="28"/>
      <c r="K566" s="28"/>
    </row>
    <row r="567" spans="1:11" ht="14.4" x14ac:dyDescent="0.3">
      <c r="A567" s="28"/>
      <c r="B567" s="28"/>
      <c r="C567" s="28"/>
      <c r="D567" s="28"/>
      <c r="E567" s="28"/>
      <c r="F567" s="28"/>
      <c r="K567" s="28"/>
    </row>
    <row r="568" spans="1:11" ht="14.4" x14ac:dyDescent="0.3">
      <c r="A568" s="28"/>
      <c r="B568" s="28"/>
      <c r="C568" s="28"/>
      <c r="D568" s="28"/>
      <c r="E568" s="28"/>
      <c r="F568" s="28"/>
      <c r="K568" s="28"/>
    </row>
    <row r="569" spans="1:11" ht="14.4" x14ac:dyDescent="0.3">
      <c r="A569" s="28"/>
      <c r="B569" s="28"/>
      <c r="C569" s="28"/>
      <c r="D569" s="28"/>
      <c r="E569" s="28"/>
      <c r="F569" s="28"/>
      <c r="K569" s="28"/>
    </row>
    <row r="570" spans="1:11" ht="14.4" x14ac:dyDescent="0.3">
      <c r="A570" s="28"/>
      <c r="B570" s="28"/>
      <c r="C570" s="28"/>
      <c r="D570" s="28"/>
      <c r="E570" s="28"/>
      <c r="F570" s="28"/>
      <c r="K570" s="28"/>
    </row>
    <row r="571" spans="1:11" ht="14.4" x14ac:dyDescent="0.3">
      <c r="A571" s="28"/>
      <c r="B571" s="28"/>
      <c r="C571" s="28"/>
      <c r="D571" s="28"/>
      <c r="E571" s="28"/>
      <c r="F571" s="28"/>
      <c r="K571" s="28"/>
    </row>
    <row r="572" spans="1:11" ht="14.4" x14ac:dyDescent="0.3">
      <c r="A572" s="28"/>
      <c r="B572" s="28"/>
      <c r="C572" s="28"/>
      <c r="D572" s="28"/>
      <c r="E572" s="28"/>
      <c r="F572" s="28"/>
      <c r="K572" s="28"/>
    </row>
    <row r="573" spans="1:11" ht="14.4" x14ac:dyDescent="0.3">
      <c r="A573" s="28"/>
      <c r="B573" s="28"/>
      <c r="C573" s="28"/>
      <c r="D573" s="28"/>
      <c r="E573" s="28"/>
      <c r="F573" s="28"/>
      <c r="K573" s="28"/>
    </row>
    <row r="574" spans="1:11" ht="14.4" x14ac:dyDescent="0.3">
      <c r="A574" s="28"/>
      <c r="B574" s="28"/>
      <c r="C574" s="28"/>
      <c r="D574" s="28"/>
      <c r="E574" s="28"/>
      <c r="F574" s="28"/>
      <c r="K574" s="28"/>
    </row>
    <row r="575" spans="1:11" ht="14.4" x14ac:dyDescent="0.3">
      <c r="A575" s="28"/>
      <c r="B575" s="28"/>
      <c r="C575" s="28"/>
      <c r="D575" s="28"/>
      <c r="E575" s="28"/>
      <c r="F575" s="28"/>
      <c r="K575" s="28"/>
    </row>
    <row r="576" spans="1:11" ht="14.4" x14ac:dyDescent="0.3">
      <c r="A576" s="28"/>
      <c r="B576" s="28"/>
      <c r="C576" s="28"/>
      <c r="D576" s="28"/>
      <c r="E576" s="28"/>
      <c r="F576" s="28"/>
      <c r="K576" s="28"/>
    </row>
    <row r="577" spans="1:11" ht="14.4" x14ac:dyDescent="0.3">
      <c r="A577" s="28"/>
      <c r="B577" s="28"/>
      <c r="C577" s="28"/>
      <c r="D577" s="28"/>
      <c r="E577" s="28"/>
      <c r="F577" s="28"/>
      <c r="K577" s="28"/>
    </row>
    <row r="578" spans="1:11" ht="14.4" x14ac:dyDescent="0.3">
      <c r="A578" s="28"/>
      <c r="B578" s="28"/>
      <c r="C578" s="28"/>
      <c r="D578" s="28"/>
      <c r="E578" s="28"/>
      <c r="F578" s="28"/>
      <c r="K578" s="28"/>
    </row>
    <row r="579" spans="1:11" ht="14.4" x14ac:dyDescent="0.3">
      <c r="A579" s="28"/>
      <c r="B579" s="28"/>
      <c r="C579" s="28"/>
      <c r="D579" s="28"/>
      <c r="E579" s="28"/>
      <c r="F579" s="28"/>
      <c r="K579" s="28"/>
    </row>
    <row r="580" spans="1:11" ht="14.4" x14ac:dyDescent="0.3">
      <c r="A580" s="28"/>
      <c r="B580" s="28"/>
      <c r="C580" s="28"/>
      <c r="D580" s="28"/>
      <c r="E580" s="28"/>
      <c r="F580" s="28"/>
      <c r="K580" s="28"/>
    </row>
    <row r="581" spans="1:11" ht="14.4" x14ac:dyDescent="0.3">
      <c r="A581" s="28"/>
      <c r="B581" s="28"/>
      <c r="C581" s="28"/>
      <c r="D581" s="28"/>
      <c r="E581" s="28"/>
      <c r="F581" s="28"/>
      <c r="K581" s="28"/>
    </row>
    <row r="582" spans="1:11" ht="14.4" x14ac:dyDescent="0.3">
      <c r="A582" s="28"/>
      <c r="B582" s="28"/>
      <c r="C582" s="28"/>
      <c r="D582" s="28"/>
      <c r="E582" s="28"/>
      <c r="F582" s="28"/>
      <c r="K582" s="28"/>
    </row>
    <row r="583" spans="1:11" ht="14.4" x14ac:dyDescent="0.3">
      <c r="A583" s="28"/>
      <c r="B583" s="28"/>
      <c r="C583" s="28"/>
      <c r="D583" s="28"/>
      <c r="E583" s="28"/>
      <c r="F583" s="28"/>
      <c r="K583" s="28"/>
    </row>
    <row r="584" spans="1:11" ht="14.4" x14ac:dyDescent="0.3">
      <c r="A584" s="28"/>
      <c r="B584" s="28"/>
      <c r="C584" s="28"/>
      <c r="D584" s="28"/>
      <c r="E584" s="28"/>
      <c r="F584" s="28"/>
      <c r="K584" s="28"/>
    </row>
    <row r="585" spans="1:11" ht="14.4" x14ac:dyDescent="0.3">
      <c r="A585" s="28"/>
      <c r="B585" s="28"/>
      <c r="C585" s="28"/>
      <c r="D585" s="28"/>
      <c r="E585" s="28"/>
      <c r="F585" s="28"/>
      <c r="K585" s="28"/>
    </row>
    <row r="586" spans="1:11" ht="14.4" x14ac:dyDescent="0.3">
      <c r="A586" s="28"/>
      <c r="B586" s="28"/>
      <c r="C586" s="28"/>
      <c r="D586" s="28"/>
      <c r="E586" s="28"/>
      <c r="F586" s="28"/>
      <c r="K586" s="28"/>
    </row>
    <row r="587" spans="1:11" ht="14.4" x14ac:dyDescent="0.3">
      <c r="A587" s="28"/>
      <c r="B587" s="28"/>
      <c r="C587" s="28"/>
      <c r="D587" s="28"/>
      <c r="E587" s="28"/>
      <c r="F587" s="28"/>
      <c r="K587" s="28"/>
    </row>
    <row r="588" spans="1:11" ht="14.4" x14ac:dyDescent="0.3">
      <c r="A588" s="28"/>
      <c r="B588" s="28"/>
      <c r="C588" s="28"/>
      <c r="D588" s="28"/>
      <c r="E588" s="28"/>
      <c r="F588" s="28"/>
      <c r="K588" s="28"/>
    </row>
    <row r="589" spans="1:11" ht="14.4" x14ac:dyDescent="0.3">
      <c r="A589" s="28"/>
      <c r="B589" s="28"/>
      <c r="C589" s="28"/>
      <c r="D589" s="28"/>
      <c r="E589" s="28"/>
      <c r="F589" s="28"/>
      <c r="K589" s="28"/>
    </row>
    <row r="590" spans="1:11" ht="14.4" x14ac:dyDescent="0.3">
      <c r="A590" s="28"/>
      <c r="B590" s="28"/>
      <c r="C590" s="28"/>
      <c r="D590" s="28"/>
      <c r="E590" s="28"/>
      <c r="F590" s="28"/>
      <c r="K590" s="28"/>
    </row>
    <row r="591" spans="1:11" ht="14.4" x14ac:dyDescent="0.3">
      <c r="A591" s="28"/>
      <c r="B591" s="28"/>
      <c r="C591" s="28"/>
      <c r="D591" s="28"/>
      <c r="E591" s="28"/>
      <c r="F591" s="28"/>
      <c r="K591" s="28"/>
    </row>
    <row r="592" spans="1:11" ht="14.4" x14ac:dyDescent="0.3">
      <c r="A592" s="28"/>
      <c r="B592" s="28"/>
      <c r="C592" s="28"/>
      <c r="D592" s="28"/>
      <c r="E592" s="28"/>
      <c r="F592" s="28"/>
      <c r="K592" s="28"/>
    </row>
    <row r="593" spans="1:11" ht="14.4" x14ac:dyDescent="0.3">
      <c r="A593" s="28"/>
      <c r="B593" s="28"/>
      <c r="C593" s="28"/>
      <c r="D593" s="28"/>
      <c r="E593" s="28"/>
      <c r="F593" s="28"/>
      <c r="K593" s="28"/>
    </row>
    <row r="594" spans="1:11" ht="14.4" x14ac:dyDescent="0.3">
      <c r="A594" s="28"/>
      <c r="B594" s="28"/>
      <c r="C594" s="28"/>
      <c r="D594" s="28"/>
      <c r="E594" s="28"/>
      <c r="F594" s="28"/>
      <c r="K594" s="28"/>
    </row>
    <row r="595" spans="1:11" ht="14.4" x14ac:dyDescent="0.3">
      <c r="A595" s="28"/>
      <c r="B595" s="28"/>
      <c r="C595" s="28"/>
      <c r="D595" s="28"/>
      <c r="E595" s="28"/>
      <c r="F595" s="28"/>
      <c r="K595" s="28"/>
    </row>
    <row r="596" spans="1:11" ht="14.4" x14ac:dyDescent="0.3">
      <c r="A596" s="28"/>
      <c r="B596" s="28"/>
      <c r="C596" s="28"/>
      <c r="D596" s="28"/>
      <c r="E596" s="28"/>
      <c r="F596" s="28"/>
      <c r="K596" s="28"/>
    </row>
    <row r="597" spans="1:11" ht="14.4" x14ac:dyDescent="0.3">
      <c r="A597" s="28"/>
      <c r="B597" s="28"/>
      <c r="C597" s="28"/>
      <c r="D597" s="28"/>
      <c r="E597" s="28"/>
      <c r="F597" s="28"/>
      <c r="K597" s="28"/>
    </row>
    <row r="598" spans="1:11" ht="14.4" x14ac:dyDescent="0.3">
      <c r="A598" s="28"/>
      <c r="B598" s="28"/>
      <c r="C598" s="28"/>
      <c r="D598" s="28"/>
      <c r="E598" s="28"/>
      <c r="F598" s="28"/>
      <c r="K598" s="28"/>
    </row>
    <row r="599" spans="1:11" ht="14.4" x14ac:dyDescent="0.3">
      <c r="A599" s="28"/>
      <c r="B599" s="28"/>
      <c r="C599" s="28"/>
      <c r="D599" s="28"/>
      <c r="E599" s="28"/>
      <c r="F599" s="28"/>
      <c r="K599" s="28"/>
    </row>
    <row r="600" spans="1:11" ht="14.4" x14ac:dyDescent="0.3">
      <c r="A600" s="28"/>
      <c r="B600" s="28"/>
      <c r="C600" s="28"/>
      <c r="D600" s="28"/>
      <c r="E600" s="28"/>
      <c r="F600" s="28"/>
      <c r="K600" s="28"/>
    </row>
    <row r="601" spans="1:11" ht="14.4" x14ac:dyDescent="0.3">
      <c r="A601" s="28"/>
      <c r="B601" s="28"/>
      <c r="C601" s="28"/>
      <c r="D601" s="28"/>
      <c r="E601" s="28"/>
      <c r="F601" s="28"/>
      <c r="K601" s="28"/>
    </row>
    <row r="602" spans="1:11" ht="14.4" x14ac:dyDescent="0.3">
      <c r="A602" s="28"/>
      <c r="B602" s="28"/>
      <c r="C602" s="28"/>
      <c r="D602" s="28"/>
      <c r="E602" s="28"/>
      <c r="F602" s="28"/>
      <c r="K602" s="28"/>
    </row>
    <row r="603" spans="1:11" ht="14.4" x14ac:dyDescent="0.3">
      <c r="A603" s="28"/>
      <c r="B603" s="28"/>
      <c r="C603" s="28"/>
      <c r="D603" s="28"/>
      <c r="E603" s="28"/>
      <c r="F603" s="28"/>
      <c r="K603" s="28"/>
    </row>
    <row r="604" spans="1:11" ht="14.4" x14ac:dyDescent="0.3">
      <c r="A604" s="28"/>
      <c r="B604" s="28"/>
      <c r="C604" s="28"/>
      <c r="D604" s="28"/>
      <c r="E604" s="28"/>
      <c r="F604" s="28"/>
      <c r="K604" s="28"/>
    </row>
    <row r="605" spans="1:11" ht="14.4" x14ac:dyDescent="0.3">
      <c r="A605" s="28"/>
      <c r="B605" s="28"/>
      <c r="C605" s="28"/>
      <c r="D605" s="28"/>
      <c r="E605" s="28"/>
      <c r="F605" s="28"/>
      <c r="K605" s="28"/>
    </row>
    <row r="606" spans="1:11" ht="14.4" x14ac:dyDescent="0.3">
      <c r="A606" s="28"/>
      <c r="B606" s="28"/>
      <c r="C606" s="28"/>
      <c r="D606" s="28"/>
      <c r="E606" s="28"/>
      <c r="F606" s="28"/>
      <c r="K606" s="28"/>
    </row>
    <row r="607" spans="1:11" ht="14.4" x14ac:dyDescent="0.3">
      <c r="A607" s="28"/>
      <c r="B607" s="28"/>
      <c r="C607" s="28"/>
      <c r="D607" s="28"/>
      <c r="E607" s="28"/>
      <c r="F607" s="28"/>
      <c r="K607" s="28"/>
    </row>
    <row r="608" spans="1:11" ht="14.4" x14ac:dyDescent="0.3">
      <c r="A608" s="28"/>
      <c r="B608" s="28"/>
      <c r="C608" s="28"/>
      <c r="D608" s="28"/>
      <c r="E608" s="28"/>
      <c r="F608" s="28"/>
      <c r="K608" s="28"/>
    </row>
    <row r="609" spans="1:11" ht="14.4" x14ac:dyDescent="0.3">
      <c r="A609" s="28"/>
      <c r="B609" s="28"/>
      <c r="C609" s="28"/>
      <c r="D609" s="28"/>
      <c r="E609" s="28"/>
      <c r="F609" s="28"/>
      <c r="K609" s="28"/>
    </row>
    <row r="610" spans="1:11" ht="14.4" x14ac:dyDescent="0.3">
      <c r="A610" s="28"/>
      <c r="B610" s="28"/>
      <c r="C610" s="28"/>
      <c r="D610" s="28"/>
      <c r="E610" s="28"/>
      <c r="F610" s="28"/>
      <c r="K610" s="28"/>
    </row>
    <row r="611" spans="1:11" ht="14.4" x14ac:dyDescent="0.3">
      <c r="A611" s="28"/>
      <c r="B611" s="28"/>
      <c r="C611" s="28"/>
      <c r="D611" s="28"/>
      <c r="E611" s="28"/>
      <c r="F611" s="28"/>
      <c r="K611" s="28"/>
    </row>
    <row r="612" spans="1:11" ht="14.4" x14ac:dyDescent="0.3">
      <c r="A612" s="28"/>
      <c r="B612" s="28"/>
      <c r="C612" s="28"/>
      <c r="D612" s="28"/>
      <c r="E612" s="28"/>
      <c r="F612" s="28"/>
      <c r="K612" s="28"/>
    </row>
    <row r="613" spans="1:11" ht="14.4" x14ac:dyDescent="0.3">
      <c r="A613" s="28"/>
      <c r="B613" s="28"/>
      <c r="C613" s="28"/>
      <c r="D613" s="28"/>
      <c r="E613" s="28"/>
      <c r="F613" s="28"/>
      <c r="K613" s="28"/>
    </row>
    <row r="614" spans="1:11" ht="14.4" x14ac:dyDescent="0.3">
      <c r="A614" s="28"/>
      <c r="B614" s="28"/>
      <c r="C614" s="28"/>
      <c r="D614" s="28"/>
      <c r="E614" s="28"/>
      <c r="F614" s="28"/>
      <c r="K614" s="28"/>
    </row>
    <row r="615" spans="1:11" ht="14.4" x14ac:dyDescent="0.3">
      <c r="A615" s="28"/>
      <c r="B615" s="28"/>
      <c r="C615" s="28"/>
      <c r="D615" s="28"/>
      <c r="E615" s="28"/>
      <c r="F615" s="28"/>
      <c r="K615" s="28"/>
    </row>
    <row r="616" spans="1:11" ht="14.4" x14ac:dyDescent="0.3">
      <c r="A616" s="28"/>
      <c r="B616" s="28"/>
      <c r="C616" s="28"/>
      <c r="D616" s="28"/>
      <c r="E616" s="28"/>
      <c r="F616" s="28"/>
      <c r="K616" s="28"/>
    </row>
    <row r="617" spans="1:11" ht="14.4" x14ac:dyDescent="0.3">
      <c r="A617" s="28"/>
      <c r="B617" s="28"/>
      <c r="C617" s="28"/>
      <c r="D617" s="28"/>
      <c r="E617" s="28"/>
      <c r="F617" s="28"/>
      <c r="K617" s="28"/>
    </row>
    <row r="618" spans="1:11" ht="14.4" x14ac:dyDescent="0.3">
      <c r="A618" s="28"/>
      <c r="B618" s="28"/>
      <c r="C618" s="28"/>
      <c r="D618" s="28"/>
      <c r="E618" s="28"/>
      <c r="F618" s="28"/>
      <c r="K618" s="28"/>
    </row>
    <row r="619" spans="1:11" ht="14.4" x14ac:dyDescent="0.3">
      <c r="A619" s="28"/>
      <c r="B619" s="28"/>
      <c r="C619" s="28"/>
      <c r="D619" s="28"/>
      <c r="E619" s="28"/>
      <c r="F619" s="28"/>
      <c r="K619" s="28"/>
    </row>
    <row r="620" spans="1:11" ht="14.4" x14ac:dyDescent="0.3">
      <c r="A620" s="28"/>
      <c r="B620" s="28"/>
      <c r="C620" s="28"/>
      <c r="D620" s="28"/>
      <c r="E620" s="28"/>
      <c r="F620" s="28"/>
      <c r="K620" s="28"/>
    </row>
    <row r="621" spans="1:11" ht="14.4" x14ac:dyDescent="0.3">
      <c r="A621" s="28"/>
      <c r="B621" s="28"/>
      <c r="C621" s="28"/>
      <c r="D621" s="28"/>
      <c r="E621" s="28"/>
      <c r="F621" s="28"/>
      <c r="K621" s="28"/>
    </row>
    <row r="622" spans="1:11" ht="14.4" x14ac:dyDescent="0.3">
      <c r="A622" s="28"/>
      <c r="B622" s="28"/>
      <c r="C622" s="28"/>
      <c r="D622" s="28"/>
      <c r="E622" s="28"/>
      <c r="F622" s="28"/>
      <c r="K622" s="28"/>
    </row>
    <row r="623" spans="1:11" ht="14.4" x14ac:dyDescent="0.3">
      <c r="A623" s="28"/>
      <c r="B623" s="28"/>
      <c r="C623" s="28"/>
      <c r="D623" s="28"/>
      <c r="E623" s="28"/>
      <c r="F623" s="28"/>
      <c r="K623" s="28"/>
    </row>
    <row r="624" spans="1:11" ht="14.4" x14ac:dyDescent="0.3">
      <c r="A624" s="28"/>
      <c r="B624" s="28"/>
      <c r="C624" s="28"/>
      <c r="D624" s="28"/>
      <c r="E624" s="28"/>
      <c r="F624" s="28"/>
      <c r="K624" s="28"/>
    </row>
    <row r="625" spans="1:11" ht="14.4" x14ac:dyDescent="0.3">
      <c r="A625" s="28"/>
      <c r="B625" s="28"/>
      <c r="C625" s="28"/>
      <c r="D625" s="28"/>
      <c r="E625" s="28"/>
      <c r="F625" s="28"/>
      <c r="K625" s="28"/>
    </row>
    <row r="626" spans="1:11" ht="14.4" x14ac:dyDescent="0.3">
      <c r="A626" s="28"/>
      <c r="B626" s="28"/>
      <c r="C626" s="28"/>
      <c r="D626" s="28"/>
      <c r="E626" s="28"/>
      <c r="F626" s="28"/>
      <c r="K626" s="28"/>
    </row>
    <row r="627" spans="1:11" ht="14.4" x14ac:dyDescent="0.3">
      <c r="A627" s="28"/>
      <c r="B627" s="28"/>
      <c r="C627" s="28"/>
      <c r="D627" s="28"/>
      <c r="E627" s="28"/>
      <c r="F627" s="28"/>
      <c r="K627" s="28"/>
    </row>
    <row r="628" spans="1:11" ht="14.4" x14ac:dyDescent="0.3">
      <c r="A628" s="28"/>
      <c r="B628" s="28"/>
      <c r="C628" s="28"/>
      <c r="D628" s="28"/>
      <c r="E628" s="28"/>
      <c r="F628" s="28"/>
      <c r="K628" s="28"/>
    </row>
    <row r="629" spans="1:11" ht="14.4" x14ac:dyDescent="0.3">
      <c r="A629" s="28"/>
      <c r="B629" s="28"/>
      <c r="C629" s="28"/>
      <c r="D629" s="28"/>
      <c r="E629" s="28"/>
      <c r="F629" s="28"/>
      <c r="K629" s="28"/>
    </row>
    <row r="630" spans="1:11" ht="14.4" x14ac:dyDescent="0.3">
      <c r="A630" s="28"/>
      <c r="B630" s="28"/>
      <c r="C630" s="28"/>
      <c r="D630" s="28"/>
      <c r="E630" s="28"/>
      <c r="F630" s="28"/>
      <c r="K630" s="28"/>
    </row>
    <row r="631" spans="1:11" ht="14.4" x14ac:dyDescent="0.3">
      <c r="A631" s="28"/>
      <c r="B631" s="28"/>
      <c r="C631" s="28"/>
      <c r="D631" s="28"/>
      <c r="E631" s="28"/>
      <c r="F631" s="28"/>
      <c r="K631" s="28"/>
    </row>
    <row r="632" spans="1:11" ht="14.4" x14ac:dyDescent="0.3">
      <c r="A632" s="28"/>
      <c r="B632" s="28"/>
      <c r="C632" s="28"/>
      <c r="D632" s="28"/>
      <c r="E632" s="28"/>
      <c r="F632" s="28"/>
      <c r="K632" s="28"/>
    </row>
    <row r="633" spans="1:11" ht="14.4" x14ac:dyDescent="0.3">
      <c r="A633" s="28"/>
      <c r="B633" s="28"/>
      <c r="C633" s="28"/>
      <c r="D633" s="28"/>
      <c r="E633" s="28"/>
      <c r="F633" s="28"/>
      <c r="K633" s="28"/>
    </row>
    <row r="634" spans="1:11" ht="14.4" x14ac:dyDescent="0.3">
      <c r="A634" s="28"/>
      <c r="B634" s="28"/>
      <c r="C634" s="28"/>
      <c r="D634" s="28"/>
      <c r="E634" s="28"/>
      <c r="F634" s="28"/>
      <c r="K634" s="28"/>
    </row>
    <row r="635" spans="1:11" ht="14.4" x14ac:dyDescent="0.3">
      <c r="A635" s="28"/>
      <c r="B635" s="28"/>
      <c r="C635" s="28"/>
      <c r="D635" s="28"/>
      <c r="E635" s="28"/>
      <c r="F635" s="28"/>
      <c r="K635" s="28"/>
    </row>
    <row r="636" spans="1:11" ht="14.4" x14ac:dyDescent="0.3">
      <c r="A636" s="28"/>
      <c r="B636" s="28"/>
      <c r="C636" s="28"/>
      <c r="D636" s="28"/>
      <c r="E636" s="28"/>
      <c r="F636" s="28"/>
      <c r="K636" s="28"/>
    </row>
    <row r="637" spans="1:11" ht="14.4" x14ac:dyDescent="0.3">
      <c r="A637" s="28"/>
      <c r="B637" s="28"/>
      <c r="C637" s="28"/>
      <c r="D637" s="28"/>
      <c r="E637" s="28"/>
      <c r="F637" s="28"/>
      <c r="K637" s="28"/>
    </row>
    <row r="638" spans="1:11" ht="14.4" x14ac:dyDescent="0.3">
      <c r="A638" s="28"/>
      <c r="B638" s="28"/>
      <c r="C638" s="28"/>
      <c r="D638" s="28"/>
      <c r="E638" s="28"/>
      <c r="F638" s="28"/>
      <c r="K638" s="28"/>
    </row>
    <row r="639" spans="1:11" ht="14.4" x14ac:dyDescent="0.3">
      <c r="A639" s="28"/>
      <c r="B639" s="28"/>
      <c r="C639" s="28"/>
      <c r="D639" s="28"/>
      <c r="E639" s="28"/>
      <c r="F639" s="28"/>
      <c r="K639" s="28"/>
    </row>
    <row r="640" spans="1:11" ht="14.4" x14ac:dyDescent="0.3">
      <c r="A640" s="28"/>
      <c r="B640" s="28"/>
      <c r="C640" s="28"/>
      <c r="D640" s="28"/>
      <c r="E640" s="28"/>
      <c r="F640" s="28"/>
      <c r="K640" s="28"/>
    </row>
    <row r="641" spans="1:11" ht="14.4" x14ac:dyDescent="0.3">
      <c r="A641" s="28"/>
      <c r="B641" s="28"/>
      <c r="C641" s="28"/>
      <c r="D641" s="28"/>
      <c r="E641" s="28"/>
      <c r="F641" s="28"/>
      <c r="K641" s="28"/>
    </row>
    <row r="642" spans="1:11" ht="14.4" x14ac:dyDescent="0.3">
      <c r="A642" s="28"/>
      <c r="B642" s="28"/>
      <c r="C642" s="28"/>
      <c r="D642" s="28"/>
      <c r="E642" s="28"/>
      <c r="F642" s="28"/>
      <c r="K642" s="28"/>
    </row>
    <row r="643" spans="1:11" ht="14.4" x14ac:dyDescent="0.3">
      <c r="A643" s="28"/>
      <c r="B643" s="28"/>
      <c r="C643" s="28"/>
      <c r="D643" s="28"/>
      <c r="E643" s="28"/>
      <c r="F643" s="28"/>
      <c r="K643" s="28"/>
    </row>
    <row r="644" spans="1:11" ht="14.4" x14ac:dyDescent="0.3">
      <c r="A644" s="28"/>
      <c r="B644" s="28"/>
      <c r="C644" s="28"/>
      <c r="D644" s="28"/>
      <c r="E644" s="28"/>
      <c r="F644" s="28"/>
      <c r="K644" s="28"/>
    </row>
    <row r="645" spans="1:11" ht="14.4" x14ac:dyDescent="0.3">
      <c r="A645" s="28"/>
      <c r="B645" s="28"/>
      <c r="C645" s="28"/>
      <c r="D645" s="28"/>
      <c r="E645" s="28"/>
      <c r="F645" s="28"/>
      <c r="K645" s="28"/>
    </row>
    <row r="646" spans="1:11" ht="14.4" x14ac:dyDescent="0.3">
      <c r="A646" s="28"/>
      <c r="B646" s="28"/>
      <c r="C646" s="28"/>
      <c r="D646" s="28"/>
      <c r="E646" s="28"/>
      <c r="F646" s="28"/>
      <c r="K646" s="28"/>
    </row>
    <row r="647" spans="1:11" ht="14.4" x14ac:dyDescent="0.3">
      <c r="A647" s="28"/>
      <c r="B647" s="28"/>
      <c r="C647" s="28"/>
      <c r="D647" s="28"/>
      <c r="E647" s="28"/>
      <c r="F647" s="28"/>
      <c r="K647" s="28"/>
    </row>
    <row r="648" spans="1:11" ht="14.4" x14ac:dyDescent="0.3">
      <c r="A648" s="28"/>
      <c r="B648" s="28"/>
      <c r="C648" s="28"/>
      <c r="D648" s="28"/>
      <c r="E648" s="28"/>
      <c r="F648" s="28"/>
      <c r="K648" s="28"/>
    </row>
    <row r="649" spans="1:11" ht="14.4" x14ac:dyDescent="0.3">
      <c r="A649" s="28"/>
      <c r="B649" s="28"/>
      <c r="C649" s="28"/>
      <c r="D649" s="28"/>
      <c r="E649" s="28"/>
      <c r="F649" s="28"/>
      <c r="K649" s="28"/>
    </row>
    <row r="650" spans="1:11" ht="14.4" x14ac:dyDescent="0.3">
      <c r="A650" s="28"/>
      <c r="B650" s="28"/>
      <c r="C650" s="28"/>
      <c r="D650" s="28"/>
      <c r="E650" s="28"/>
      <c r="F650" s="28"/>
      <c r="K650" s="28"/>
    </row>
    <row r="651" spans="1:11" ht="14.4" x14ac:dyDescent="0.3">
      <c r="A651" s="28"/>
      <c r="B651" s="28"/>
      <c r="C651" s="28"/>
      <c r="D651" s="28"/>
      <c r="E651" s="28"/>
      <c r="F651" s="28"/>
      <c r="K651" s="28"/>
    </row>
    <row r="652" spans="1:11" ht="14.4" x14ac:dyDescent="0.3">
      <c r="A652" s="28"/>
      <c r="B652" s="28"/>
      <c r="C652" s="28"/>
      <c r="D652" s="28"/>
      <c r="E652" s="28"/>
      <c r="F652" s="28"/>
      <c r="K652" s="28"/>
    </row>
    <row r="653" spans="1:11" ht="14.4" x14ac:dyDescent="0.3">
      <c r="A653" s="28"/>
      <c r="B653" s="28"/>
      <c r="C653" s="28"/>
      <c r="D653" s="28"/>
      <c r="E653" s="28"/>
      <c r="F653" s="28"/>
      <c r="K653" s="28"/>
    </row>
    <row r="654" spans="1:11" ht="14.4" x14ac:dyDescent="0.3">
      <c r="A654" s="28"/>
      <c r="B654" s="28"/>
      <c r="C654" s="28"/>
      <c r="D654" s="28"/>
      <c r="E654" s="28"/>
      <c r="F654" s="28"/>
      <c r="K654" s="28"/>
    </row>
    <row r="655" spans="1:11" ht="14.4" x14ac:dyDescent="0.3">
      <c r="A655" s="28"/>
      <c r="B655" s="28"/>
      <c r="C655" s="28"/>
      <c r="D655" s="28"/>
      <c r="E655" s="28"/>
      <c r="F655" s="28"/>
      <c r="K655" s="28"/>
    </row>
    <row r="656" spans="1:11" ht="14.4" x14ac:dyDescent="0.3">
      <c r="A656" s="28"/>
      <c r="B656" s="28"/>
      <c r="C656" s="28"/>
      <c r="D656" s="28"/>
      <c r="E656" s="28"/>
      <c r="F656" s="28"/>
      <c r="K656" s="28"/>
    </row>
    <row r="657" spans="1:11" ht="14.4" x14ac:dyDescent="0.3">
      <c r="A657" s="28"/>
      <c r="B657" s="28"/>
      <c r="C657" s="28"/>
      <c r="D657" s="28"/>
      <c r="E657" s="28"/>
      <c r="F657" s="28"/>
      <c r="K657" s="28"/>
    </row>
    <row r="658" spans="1:11" ht="14.4" x14ac:dyDescent="0.3">
      <c r="A658" s="28"/>
      <c r="B658" s="28"/>
      <c r="C658" s="28"/>
      <c r="D658" s="28"/>
      <c r="E658" s="28"/>
      <c r="F658" s="28"/>
      <c r="K658" s="28"/>
    </row>
    <row r="659" spans="1:11" ht="14.4" x14ac:dyDescent="0.3">
      <c r="A659" s="28"/>
      <c r="B659" s="28"/>
      <c r="C659" s="28"/>
      <c r="D659" s="28"/>
      <c r="E659" s="28"/>
      <c r="F659" s="28"/>
      <c r="K659" s="28"/>
    </row>
    <row r="660" spans="1:11" ht="14.4" x14ac:dyDescent="0.3">
      <c r="A660" s="28"/>
      <c r="B660" s="28"/>
      <c r="C660" s="28"/>
      <c r="D660" s="28"/>
      <c r="E660" s="28"/>
      <c r="F660" s="28"/>
      <c r="K660" s="28"/>
    </row>
    <row r="661" spans="1:11" ht="14.4" x14ac:dyDescent="0.3">
      <c r="A661" s="28"/>
      <c r="B661" s="28"/>
      <c r="C661" s="28"/>
      <c r="D661" s="28"/>
      <c r="E661" s="28"/>
      <c r="F661" s="28"/>
      <c r="K661" s="28"/>
    </row>
    <row r="662" spans="1:11" ht="14.4" x14ac:dyDescent="0.3">
      <c r="A662" s="28"/>
      <c r="B662" s="28"/>
      <c r="C662" s="28"/>
      <c r="D662" s="28"/>
      <c r="E662" s="28"/>
      <c r="F662" s="28"/>
      <c r="K662" s="28"/>
    </row>
    <row r="663" spans="1:11" ht="14.4" x14ac:dyDescent="0.3">
      <c r="A663" s="28"/>
      <c r="B663" s="28"/>
      <c r="C663" s="28"/>
      <c r="D663" s="28"/>
      <c r="E663" s="28"/>
      <c r="F663" s="28"/>
      <c r="K663" s="28"/>
    </row>
    <row r="664" spans="1:11" ht="14.4" x14ac:dyDescent="0.3">
      <c r="A664" s="28"/>
      <c r="B664" s="28"/>
      <c r="C664" s="28"/>
      <c r="D664" s="28"/>
      <c r="E664" s="28"/>
      <c r="F664" s="28"/>
      <c r="K664" s="28"/>
    </row>
    <row r="665" spans="1:11" ht="14.4" x14ac:dyDescent="0.3">
      <c r="A665" s="28"/>
      <c r="B665" s="28"/>
      <c r="C665" s="28"/>
      <c r="D665" s="28"/>
      <c r="E665" s="28"/>
      <c r="F665" s="28"/>
      <c r="K665" s="28"/>
    </row>
    <row r="666" spans="1:11" ht="14.4" x14ac:dyDescent="0.3">
      <c r="A666" s="28"/>
      <c r="B666" s="28"/>
      <c r="C666" s="28"/>
      <c r="D666" s="28"/>
      <c r="E666" s="28"/>
      <c r="F666" s="28"/>
      <c r="K666" s="28"/>
    </row>
    <row r="667" spans="1:11" ht="14.4" x14ac:dyDescent="0.3">
      <c r="A667" s="28"/>
      <c r="B667" s="28"/>
      <c r="C667" s="28"/>
      <c r="D667" s="28"/>
      <c r="E667" s="28"/>
      <c r="F667" s="28"/>
      <c r="K667" s="28"/>
    </row>
    <row r="668" spans="1:11" ht="14.4" x14ac:dyDescent="0.3">
      <c r="A668" s="28"/>
      <c r="B668" s="28"/>
      <c r="C668" s="28"/>
      <c r="D668" s="28"/>
      <c r="E668" s="28"/>
      <c r="F668" s="28"/>
      <c r="K668" s="28"/>
    </row>
    <row r="669" spans="1:11" ht="14.4" x14ac:dyDescent="0.3">
      <c r="A669" s="28"/>
      <c r="B669" s="28"/>
      <c r="C669" s="28"/>
      <c r="D669" s="28"/>
      <c r="E669" s="28"/>
      <c r="F669" s="28"/>
      <c r="K669" s="28"/>
    </row>
    <row r="670" spans="1:11" ht="14.4" x14ac:dyDescent="0.3">
      <c r="A670" s="28"/>
      <c r="B670" s="28"/>
      <c r="C670" s="28"/>
      <c r="D670" s="28"/>
      <c r="E670" s="28"/>
      <c r="F670" s="28"/>
      <c r="K670" s="28"/>
    </row>
    <row r="671" spans="1:11" ht="14.4" x14ac:dyDescent="0.3">
      <c r="A671" s="28"/>
      <c r="B671" s="28"/>
      <c r="C671" s="28"/>
      <c r="D671" s="28"/>
      <c r="E671" s="28"/>
      <c r="F671" s="28"/>
      <c r="K671" s="28"/>
    </row>
    <row r="672" spans="1:11" ht="14.4" x14ac:dyDescent="0.3">
      <c r="A672" s="28"/>
      <c r="B672" s="28"/>
      <c r="C672" s="28"/>
      <c r="D672" s="28"/>
      <c r="E672" s="28"/>
      <c r="F672" s="28"/>
      <c r="K672" s="28"/>
    </row>
    <row r="673" spans="1:11" ht="14.4" x14ac:dyDescent="0.3">
      <c r="A673" s="28"/>
      <c r="B673" s="28"/>
      <c r="C673" s="28"/>
      <c r="D673" s="28"/>
      <c r="E673" s="28"/>
      <c r="F673" s="28"/>
      <c r="K673" s="28"/>
    </row>
    <row r="674" spans="1:11" ht="14.4" x14ac:dyDescent="0.3">
      <c r="A674" s="28"/>
      <c r="B674" s="28"/>
      <c r="C674" s="28"/>
      <c r="D674" s="28"/>
      <c r="E674" s="28"/>
      <c r="F674" s="28"/>
      <c r="K674" s="28"/>
    </row>
    <row r="675" spans="1:11" ht="14.4" x14ac:dyDescent="0.3">
      <c r="A675" s="28"/>
      <c r="B675" s="28"/>
      <c r="C675" s="28"/>
      <c r="D675" s="28"/>
      <c r="E675" s="28"/>
      <c r="F675" s="28"/>
      <c r="K675" s="28"/>
    </row>
    <row r="676" spans="1:11" ht="14.4" x14ac:dyDescent="0.3">
      <c r="A676" s="28"/>
      <c r="B676" s="28"/>
      <c r="C676" s="28"/>
      <c r="D676" s="28"/>
      <c r="E676" s="28"/>
      <c r="F676" s="28"/>
      <c r="K676" s="28"/>
    </row>
    <row r="677" spans="1:11" ht="14.4" x14ac:dyDescent="0.3">
      <c r="A677" s="28"/>
      <c r="B677" s="28"/>
      <c r="C677" s="28"/>
      <c r="D677" s="28"/>
      <c r="E677" s="28"/>
      <c r="F677" s="28"/>
      <c r="K677" s="28"/>
    </row>
    <row r="678" spans="1:11" ht="14.4" x14ac:dyDescent="0.3">
      <c r="A678" s="28"/>
      <c r="B678" s="28"/>
      <c r="C678" s="28"/>
      <c r="D678" s="28"/>
      <c r="E678" s="28"/>
      <c r="F678" s="28"/>
      <c r="K678" s="28"/>
    </row>
    <row r="679" spans="1:11" ht="14.4" x14ac:dyDescent="0.3">
      <c r="A679" s="28"/>
      <c r="B679" s="28"/>
      <c r="C679" s="28"/>
      <c r="D679" s="28"/>
      <c r="E679" s="28"/>
      <c r="F679" s="28"/>
      <c r="K679" s="28"/>
    </row>
    <row r="680" spans="1:11" ht="14.4" x14ac:dyDescent="0.3">
      <c r="A680" s="28"/>
      <c r="B680" s="28"/>
      <c r="C680" s="28"/>
      <c r="D680" s="28"/>
      <c r="E680" s="28"/>
      <c r="F680" s="28"/>
      <c r="K680" s="28"/>
    </row>
    <row r="681" spans="1:11" ht="14.4" x14ac:dyDescent="0.3">
      <c r="A681" s="28"/>
      <c r="B681" s="28"/>
      <c r="C681" s="28"/>
      <c r="D681" s="28"/>
      <c r="E681" s="28"/>
      <c r="F681" s="28"/>
      <c r="K681" s="28"/>
    </row>
    <row r="682" spans="1:11" ht="14.4" x14ac:dyDescent="0.3">
      <c r="A682" s="28"/>
      <c r="B682" s="28"/>
      <c r="C682" s="28"/>
      <c r="D682" s="28"/>
      <c r="E682" s="28"/>
      <c r="F682" s="28"/>
      <c r="K682" s="28"/>
    </row>
    <row r="683" spans="1:11" ht="14.4" x14ac:dyDescent="0.3">
      <c r="A683" s="28"/>
      <c r="B683" s="28"/>
      <c r="C683" s="28"/>
      <c r="D683" s="28"/>
      <c r="E683" s="28"/>
      <c r="F683" s="28"/>
      <c r="K683" s="28"/>
    </row>
    <row r="684" spans="1:11" ht="14.4" x14ac:dyDescent="0.3">
      <c r="A684" s="28"/>
      <c r="B684" s="28"/>
      <c r="C684" s="28"/>
      <c r="D684" s="28"/>
      <c r="E684" s="28"/>
      <c r="F684" s="28"/>
      <c r="K684" s="28"/>
    </row>
    <row r="685" spans="1:11" ht="14.4" x14ac:dyDescent="0.3">
      <c r="A685" s="28"/>
      <c r="B685" s="28"/>
      <c r="C685" s="28"/>
      <c r="D685" s="28"/>
      <c r="E685" s="28"/>
      <c r="F685" s="28"/>
      <c r="K685" s="28"/>
    </row>
    <row r="686" spans="1:11" ht="14.4" x14ac:dyDescent="0.3">
      <c r="A686" s="28"/>
      <c r="B686" s="28"/>
      <c r="C686" s="28"/>
      <c r="D686" s="28"/>
      <c r="E686" s="28"/>
      <c r="F686" s="28"/>
      <c r="K686" s="28"/>
    </row>
    <row r="687" spans="1:11" ht="14.4" x14ac:dyDescent="0.3">
      <c r="A687" s="28"/>
      <c r="B687" s="28"/>
      <c r="C687" s="28"/>
      <c r="D687" s="28"/>
      <c r="E687" s="28"/>
      <c r="F687" s="28"/>
      <c r="K687" s="28"/>
    </row>
    <row r="688" spans="1:11" ht="14.4" x14ac:dyDescent="0.3">
      <c r="A688" s="28"/>
      <c r="B688" s="28"/>
      <c r="C688" s="28"/>
      <c r="D688" s="28"/>
      <c r="E688" s="28"/>
      <c r="F688" s="28"/>
      <c r="K688" s="28"/>
    </row>
    <row r="689" spans="1:11" ht="14.4" x14ac:dyDescent="0.3">
      <c r="A689" s="28"/>
      <c r="B689" s="28"/>
      <c r="C689" s="28"/>
      <c r="D689" s="28"/>
      <c r="E689" s="28"/>
      <c r="F689" s="28"/>
      <c r="K689" s="28"/>
    </row>
    <row r="690" spans="1:11" ht="14.4" x14ac:dyDescent="0.3">
      <c r="A690" s="28"/>
      <c r="B690" s="28"/>
      <c r="C690" s="28"/>
      <c r="D690" s="28"/>
      <c r="E690" s="28"/>
      <c r="F690" s="28"/>
      <c r="K690" s="28"/>
    </row>
    <row r="691" spans="1:11" ht="14.4" x14ac:dyDescent="0.3">
      <c r="A691" s="28"/>
      <c r="B691" s="28"/>
      <c r="C691" s="28"/>
      <c r="D691" s="28"/>
      <c r="E691" s="28"/>
      <c r="F691" s="28"/>
      <c r="K691" s="28"/>
    </row>
    <row r="692" spans="1:11" ht="14.4" x14ac:dyDescent="0.3">
      <c r="A692" s="28"/>
      <c r="B692" s="28"/>
      <c r="C692" s="28"/>
      <c r="D692" s="28"/>
      <c r="E692" s="28"/>
      <c r="F692" s="28"/>
      <c r="K692" s="28"/>
    </row>
    <row r="693" spans="1:11" ht="14.4" x14ac:dyDescent="0.3">
      <c r="A693" s="28"/>
      <c r="B693" s="28"/>
      <c r="C693" s="28"/>
      <c r="D693" s="28"/>
      <c r="E693" s="28"/>
      <c r="F693" s="28"/>
      <c r="K693" s="28"/>
    </row>
    <row r="694" spans="1:11" ht="14.4" x14ac:dyDescent="0.3">
      <c r="A694" s="28"/>
      <c r="B694" s="28"/>
      <c r="C694" s="28"/>
      <c r="D694" s="28"/>
      <c r="E694" s="28"/>
      <c r="F694" s="28"/>
      <c r="K694" s="28"/>
    </row>
    <row r="695" spans="1:11" ht="14.4" x14ac:dyDescent="0.3">
      <c r="A695" s="28"/>
      <c r="B695" s="28"/>
      <c r="C695" s="28"/>
      <c r="D695" s="28"/>
      <c r="E695" s="28"/>
      <c r="F695" s="28"/>
      <c r="K695" s="28"/>
    </row>
    <row r="696" spans="1:11" ht="14.4" x14ac:dyDescent="0.3">
      <c r="A696" s="28"/>
      <c r="B696" s="28"/>
      <c r="C696" s="28"/>
      <c r="D696" s="28"/>
      <c r="E696" s="28"/>
      <c r="F696" s="28"/>
      <c r="K696" s="28"/>
    </row>
    <row r="697" spans="1:11" ht="14.4" x14ac:dyDescent="0.3">
      <c r="A697" s="28"/>
      <c r="B697" s="28"/>
      <c r="C697" s="28"/>
      <c r="D697" s="28"/>
      <c r="E697" s="28"/>
      <c r="F697" s="28"/>
      <c r="K697" s="28"/>
    </row>
    <row r="698" spans="1:11" ht="14.4" x14ac:dyDescent="0.3">
      <c r="A698" s="28"/>
      <c r="B698" s="28"/>
      <c r="C698" s="28"/>
      <c r="D698" s="28"/>
      <c r="E698" s="28"/>
      <c r="F698" s="28"/>
      <c r="K698" s="28"/>
    </row>
    <row r="699" spans="1:11" ht="14.4" x14ac:dyDescent="0.3">
      <c r="A699" s="28"/>
      <c r="B699" s="28"/>
      <c r="C699" s="28"/>
      <c r="D699" s="28"/>
      <c r="E699" s="28"/>
      <c r="F699" s="28"/>
      <c r="K699" s="28"/>
    </row>
    <row r="700" spans="1:11" ht="14.4" x14ac:dyDescent="0.3">
      <c r="A700" s="28"/>
      <c r="B700" s="28"/>
      <c r="C700" s="28"/>
      <c r="D700" s="28"/>
      <c r="E700" s="28"/>
      <c r="F700" s="28"/>
      <c r="K700" s="28"/>
    </row>
    <row r="701" spans="1:11" ht="14.4" x14ac:dyDescent="0.3">
      <c r="A701" s="28"/>
      <c r="B701" s="28"/>
      <c r="C701" s="28"/>
      <c r="D701" s="28"/>
      <c r="E701" s="28"/>
      <c r="F701" s="28"/>
      <c r="K701" s="28"/>
    </row>
    <row r="702" spans="1:11" ht="14.4" x14ac:dyDescent="0.3">
      <c r="A702" s="28"/>
      <c r="B702" s="28"/>
      <c r="C702" s="28"/>
      <c r="D702" s="28"/>
      <c r="E702" s="28"/>
      <c r="F702" s="28"/>
      <c r="K702" s="28"/>
    </row>
    <row r="703" spans="1:11" ht="14.4" x14ac:dyDescent="0.3">
      <c r="A703" s="28"/>
      <c r="B703" s="28"/>
      <c r="C703" s="28"/>
      <c r="D703" s="28"/>
      <c r="E703" s="28"/>
      <c r="F703" s="28"/>
      <c r="K703" s="28"/>
    </row>
    <row r="704" spans="1:11" ht="14.4" x14ac:dyDescent="0.3">
      <c r="A704" s="28"/>
      <c r="B704" s="28"/>
      <c r="C704" s="28"/>
      <c r="D704" s="28"/>
      <c r="E704" s="28"/>
      <c r="F704" s="28"/>
      <c r="K704" s="28"/>
    </row>
    <row r="705" spans="1:11" ht="14.4" x14ac:dyDescent="0.3">
      <c r="A705" s="28"/>
      <c r="B705" s="28"/>
      <c r="C705" s="28"/>
      <c r="D705" s="28"/>
      <c r="E705" s="28"/>
      <c r="F705" s="28"/>
      <c r="K705" s="28"/>
    </row>
    <row r="706" spans="1:11" ht="14.4" x14ac:dyDescent="0.3">
      <c r="A706" s="28"/>
      <c r="B706" s="28"/>
      <c r="C706" s="28"/>
      <c r="D706" s="28"/>
      <c r="E706" s="28"/>
      <c r="F706" s="28"/>
      <c r="K706" s="28"/>
    </row>
    <row r="707" spans="1:11" ht="14.4" x14ac:dyDescent="0.3">
      <c r="A707" s="28"/>
      <c r="B707" s="28"/>
      <c r="C707" s="28"/>
      <c r="D707" s="28"/>
      <c r="E707" s="28"/>
      <c r="F707" s="28"/>
      <c r="K707" s="28"/>
    </row>
    <row r="708" spans="1:11" ht="14.4" x14ac:dyDescent="0.3">
      <c r="A708" s="28"/>
      <c r="B708" s="28"/>
      <c r="C708" s="28"/>
      <c r="D708" s="28"/>
      <c r="E708" s="28"/>
      <c r="F708" s="28"/>
      <c r="K708" s="28"/>
    </row>
    <row r="709" spans="1:11" ht="14.4" x14ac:dyDescent="0.3">
      <c r="A709" s="28"/>
      <c r="B709" s="28"/>
      <c r="C709" s="28"/>
      <c r="D709" s="28"/>
      <c r="E709" s="28"/>
      <c r="F709" s="28"/>
      <c r="K709" s="28"/>
    </row>
    <row r="710" spans="1:11" ht="14.4" x14ac:dyDescent="0.3">
      <c r="A710" s="28"/>
      <c r="B710" s="28"/>
      <c r="C710" s="28"/>
      <c r="D710" s="28"/>
      <c r="E710" s="28"/>
      <c r="F710" s="28"/>
      <c r="K710" s="28"/>
    </row>
    <row r="711" spans="1:11" ht="14.4" x14ac:dyDescent="0.3">
      <c r="A711" s="28"/>
      <c r="B711" s="28"/>
      <c r="C711" s="28"/>
      <c r="D711" s="28"/>
      <c r="E711" s="28"/>
      <c r="F711" s="28"/>
      <c r="K711" s="28"/>
    </row>
    <row r="712" spans="1:11" ht="14.4" x14ac:dyDescent="0.3">
      <c r="A712" s="28"/>
      <c r="B712" s="28"/>
      <c r="C712" s="28"/>
      <c r="D712" s="28"/>
      <c r="E712" s="28"/>
      <c r="F712" s="28"/>
      <c r="K712" s="28"/>
    </row>
    <row r="713" spans="1:11" ht="14.4" x14ac:dyDescent="0.3">
      <c r="A713" s="28"/>
      <c r="B713" s="28"/>
      <c r="C713" s="28"/>
      <c r="D713" s="28"/>
      <c r="E713" s="28"/>
      <c r="F713" s="28"/>
      <c r="K713" s="28"/>
    </row>
    <row r="714" spans="1:11" ht="14.4" x14ac:dyDescent="0.3">
      <c r="A714" s="28"/>
      <c r="B714" s="28"/>
      <c r="C714" s="28"/>
      <c r="D714" s="28"/>
      <c r="E714" s="28"/>
      <c r="F714" s="28"/>
      <c r="K714" s="28"/>
    </row>
    <row r="715" spans="1:11" ht="14.4" x14ac:dyDescent="0.3">
      <c r="A715" s="28"/>
      <c r="B715" s="28"/>
      <c r="C715" s="28"/>
      <c r="D715" s="28"/>
      <c r="E715" s="28"/>
      <c r="F715" s="28"/>
      <c r="K715" s="28"/>
    </row>
    <row r="716" spans="1:11" ht="14.4" x14ac:dyDescent="0.3">
      <c r="A716" s="28"/>
      <c r="B716" s="28"/>
      <c r="C716" s="28"/>
      <c r="D716" s="28"/>
      <c r="E716" s="28"/>
      <c r="F716" s="28"/>
      <c r="K716" s="28"/>
    </row>
    <row r="717" spans="1:11" ht="14.4" x14ac:dyDescent="0.3">
      <c r="A717" s="28"/>
      <c r="B717" s="28"/>
      <c r="C717" s="28"/>
      <c r="D717" s="28"/>
      <c r="E717" s="28"/>
      <c r="F717" s="28"/>
      <c r="K717" s="28"/>
    </row>
    <row r="718" spans="1:11" ht="14.4" x14ac:dyDescent="0.3">
      <c r="A718" s="28"/>
      <c r="B718" s="28"/>
      <c r="C718" s="28"/>
      <c r="D718" s="28"/>
      <c r="E718" s="28"/>
      <c r="F718" s="28"/>
      <c r="K718" s="28"/>
    </row>
    <row r="719" spans="1:11" ht="14.4" x14ac:dyDescent="0.3">
      <c r="A719" s="28"/>
      <c r="B719" s="28"/>
      <c r="C719" s="28"/>
      <c r="D719" s="28"/>
      <c r="E719" s="28"/>
      <c r="F719" s="28"/>
      <c r="K719" s="28"/>
    </row>
    <row r="720" spans="1:11" ht="14.4" x14ac:dyDescent="0.3">
      <c r="A720" s="28"/>
      <c r="B720" s="28"/>
      <c r="C720" s="28"/>
      <c r="D720" s="28"/>
      <c r="E720" s="28"/>
      <c r="F720" s="28"/>
      <c r="K720" s="28"/>
    </row>
    <row r="721" spans="1:11" ht="14.4" x14ac:dyDescent="0.3">
      <c r="A721" s="28"/>
      <c r="B721" s="28"/>
      <c r="C721" s="28"/>
      <c r="D721" s="28"/>
      <c r="E721" s="28"/>
      <c r="F721" s="28"/>
      <c r="K721" s="28"/>
    </row>
    <row r="722" spans="1:11" ht="14.4" x14ac:dyDescent="0.3">
      <c r="A722" s="28"/>
      <c r="B722" s="28"/>
      <c r="C722" s="28"/>
      <c r="D722" s="28"/>
      <c r="E722" s="28"/>
      <c r="F722" s="28"/>
      <c r="K722" s="28"/>
    </row>
    <row r="723" spans="1:11" ht="14.4" x14ac:dyDescent="0.3">
      <c r="A723" s="28"/>
      <c r="B723" s="28"/>
      <c r="C723" s="28"/>
      <c r="D723" s="28"/>
      <c r="E723" s="28"/>
      <c r="F723" s="28"/>
      <c r="K723" s="28"/>
    </row>
    <row r="724" spans="1:11" ht="14.4" x14ac:dyDescent="0.3">
      <c r="A724" s="28"/>
      <c r="B724" s="28"/>
      <c r="C724" s="28"/>
      <c r="D724" s="28"/>
      <c r="E724" s="28"/>
      <c r="F724" s="28"/>
      <c r="K724" s="28"/>
    </row>
    <row r="725" spans="1:11" ht="14.4" x14ac:dyDescent="0.3">
      <c r="A725" s="28"/>
      <c r="B725" s="28"/>
      <c r="C725" s="28"/>
      <c r="D725" s="28"/>
      <c r="E725" s="28"/>
      <c r="F725" s="28"/>
      <c r="K725" s="28"/>
    </row>
    <row r="726" spans="1:11" ht="14.4" x14ac:dyDescent="0.3">
      <c r="A726" s="28"/>
      <c r="B726" s="28"/>
      <c r="C726" s="28"/>
      <c r="D726" s="28"/>
      <c r="E726" s="28"/>
      <c r="F726" s="28"/>
      <c r="K726" s="28"/>
    </row>
    <row r="727" spans="1:11" ht="14.4" x14ac:dyDescent="0.3">
      <c r="A727" s="28"/>
      <c r="B727" s="28"/>
      <c r="C727" s="28"/>
      <c r="D727" s="28"/>
      <c r="E727" s="28"/>
      <c r="F727" s="28"/>
      <c r="K727" s="28"/>
    </row>
    <row r="728" spans="1:11" ht="14.4" x14ac:dyDescent="0.3">
      <c r="A728" s="28"/>
      <c r="B728" s="28"/>
      <c r="C728" s="28"/>
      <c r="D728" s="28"/>
      <c r="E728" s="28"/>
      <c r="F728" s="28"/>
      <c r="K728" s="28"/>
    </row>
    <row r="729" spans="1:11" ht="14.4" x14ac:dyDescent="0.3">
      <c r="A729" s="28"/>
      <c r="B729" s="28"/>
      <c r="C729" s="28"/>
      <c r="D729" s="28"/>
      <c r="E729" s="28"/>
      <c r="F729" s="28"/>
      <c r="K729" s="28"/>
    </row>
    <row r="730" spans="1:11" ht="14.4" x14ac:dyDescent="0.3">
      <c r="A730" s="28"/>
      <c r="B730" s="28"/>
      <c r="C730" s="28"/>
      <c r="D730" s="28"/>
      <c r="E730" s="28"/>
      <c r="F730" s="28"/>
      <c r="K730" s="28"/>
    </row>
    <row r="731" spans="1:11" ht="14.4" x14ac:dyDescent="0.3">
      <c r="A731" s="28"/>
      <c r="B731" s="28"/>
      <c r="C731" s="28"/>
      <c r="D731" s="28"/>
      <c r="E731" s="28"/>
      <c r="F731" s="28"/>
      <c r="K731" s="28"/>
    </row>
    <row r="732" spans="1:11" ht="14.4" x14ac:dyDescent="0.3">
      <c r="A732" s="28"/>
      <c r="B732" s="28"/>
      <c r="C732" s="28"/>
      <c r="D732" s="28"/>
      <c r="E732" s="28"/>
      <c r="F732" s="28"/>
      <c r="K732" s="28"/>
    </row>
    <row r="733" spans="1:11" ht="14.4" x14ac:dyDescent="0.3">
      <c r="A733" s="28"/>
      <c r="B733" s="28"/>
      <c r="C733" s="28"/>
      <c r="D733" s="28"/>
      <c r="E733" s="28"/>
      <c r="F733" s="28"/>
      <c r="K733" s="28"/>
    </row>
    <row r="734" spans="1:11" ht="14.4" x14ac:dyDescent="0.3">
      <c r="A734" s="28"/>
      <c r="B734" s="28"/>
      <c r="C734" s="28"/>
      <c r="D734" s="28"/>
      <c r="E734" s="28"/>
      <c r="F734" s="28"/>
      <c r="K734" s="28"/>
    </row>
    <row r="735" spans="1:11" ht="14.4" x14ac:dyDescent="0.3">
      <c r="A735" s="28"/>
      <c r="B735" s="28"/>
      <c r="C735" s="28"/>
      <c r="D735" s="28"/>
      <c r="E735" s="28"/>
      <c r="F735" s="28"/>
      <c r="K735" s="28"/>
    </row>
    <row r="736" spans="1:11" ht="14.4" x14ac:dyDescent="0.3">
      <c r="A736" s="28"/>
      <c r="B736" s="28"/>
      <c r="C736" s="28"/>
      <c r="D736" s="28"/>
      <c r="E736" s="28"/>
      <c r="F736" s="28"/>
      <c r="K736" s="28"/>
    </row>
    <row r="737" spans="1:11" ht="14.4" x14ac:dyDescent="0.3">
      <c r="A737" s="28"/>
      <c r="B737" s="28"/>
      <c r="C737" s="28"/>
      <c r="D737" s="28"/>
      <c r="E737" s="28"/>
      <c r="F737" s="28"/>
      <c r="K737" s="28"/>
    </row>
    <row r="738" spans="1:11" ht="14.4" x14ac:dyDescent="0.3">
      <c r="A738" s="28"/>
      <c r="B738" s="28"/>
      <c r="C738" s="28"/>
      <c r="D738" s="28"/>
      <c r="E738" s="28"/>
      <c r="F738" s="28"/>
      <c r="K738" s="28"/>
    </row>
    <row r="739" spans="1:11" ht="14.4" x14ac:dyDescent="0.3">
      <c r="A739" s="28"/>
      <c r="B739" s="28"/>
      <c r="C739" s="28"/>
      <c r="D739" s="28"/>
      <c r="E739" s="28"/>
      <c r="F739" s="28"/>
      <c r="K739" s="28"/>
    </row>
    <row r="740" spans="1:11" ht="14.4" x14ac:dyDescent="0.3">
      <c r="A740" s="28"/>
      <c r="B740" s="28"/>
      <c r="C740" s="28"/>
      <c r="D740" s="28"/>
      <c r="E740" s="28"/>
      <c r="F740" s="28"/>
      <c r="K740" s="28"/>
    </row>
    <row r="741" spans="1:11" ht="14.4" x14ac:dyDescent="0.3">
      <c r="A741" s="28"/>
      <c r="B741" s="28"/>
      <c r="C741" s="28"/>
      <c r="D741" s="28"/>
      <c r="E741" s="28"/>
      <c r="F741" s="28"/>
      <c r="K741" s="28"/>
    </row>
    <row r="742" spans="1:11" ht="14.4" x14ac:dyDescent="0.3">
      <c r="A742" s="28"/>
      <c r="B742" s="28"/>
      <c r="C742" s="28"/>
      <c r="D742" s="28"/>
      <c r="E742" s="28"/>
      <c r="F742" s="28"/>
      <c r="K742" s="28"/>
    </row>
    <row r="743" spans="1:11" ht="14.4" x14ac:dyDescent="0.3">
      <c r="A743" s="28"/>
      <c r="B743" s="28"/>
      <c r="C743" s="28"/>
      <c r="D743" s="28"/>
      <c r="E743" s="28"/>
      <c r="F743" s="28"/>
      <c r="K743" s="28"/>
    </row>
    <row r="744" spans="1:11" ht="14.4" x14ac:dyDescent="0.3">
      <c r="A744" s="28"/>
      <c r="B744" s="28"/>
      <c r="C744" s="28"/>
      <c r="D744" s="28"/>
      <c r="E744" s="28"/>
      <c r="F744" s="28"/>
      <c r="K744" s="28"/>
    </row>
    <row r="745" spans="1:11" ht="14.4" x14ac:dyDescent="0.3">
      <c r="A745" s="28"/>
      <c r="B745" s="28"/>
      <c r="C745" s="28"/>
      <c r="D745" s="28"/>
      <c r="E745" s="28"/>
      <c r="F745" s="28"/>
      <c r="K745" s="28"/>
    </row>
    <row r="746" spans="1:11" ht="14.4" x14ac:dyDescent="0.3">
      <c r="A746" s="28"/>
      <c r="B746" s="28"/>
      <c r="C746" s="28"/>
      <c r="D746" s="28"/>
      <c r="E746" s="28"/>
      <c r="F746" s="28"/>
      <c r="K746" s="28"/>
    </row>
    <row r="747" spans="1:11" ht="14.4" x14ac:dyDescent="0.3">
      <c r="A747" s="28"/>
      <c r="B747" s="28"/>
      <c r="C747" s="28"/>
      <c r="D747" s="28"/>
      <c r="E747" s="28"/>
      <c r="F747" s="28"/>
      <c r="K747" s="28"/>
    </row>
    <row r="748" spans="1:11" ht="14.4" x14ac:dyDescent="0.3">
      <c r="A748" s="28"/>
      <c r="B748" s="28"/>
      <c r="C748" s="28"/>
      <c r="D748" s="28"/>
      <c r="E748" s="28"/>
      <c r="F748" s="28"/>
      <c r="K748" s="28"/>
    </row>
    <row r="749" spans="1:11" ht="14.4" x14ac:dyDescent="0.3">
      <c r="A749" s="28"/>
      <c r="B749" s="28"/>
      <c r="C749" s="28"/>
      <c r="D749" s="28"/>
      <c r="E749" s="28"/>
      <c r="F749" s="28"/>
      <c r="K749" s="28"/>
    </row>
    <row r="750" spans="1:11" ht="14.4" x14ac:dyDescent="0.3">
      <c r="A750" s="28"/>
      <c r="B750" s="28"/>
      <c r="C750" s="28"/>
      <c r="D750" s="28"/>
      <c r="E750" s="28"/>
      <c r="F750" s="28"/>
      <c r="K750" s="28"/>
    </row>
    <row r="751" spans="1:11" ht="14.4" x14ac:dyDescent="0.3">
      <c r="A751" s="28"/>
      <c r="B751" s="28"/>
      <c r="C751" s="28"/>
      <c r="D751" s="28"/>
      <c r="E751" s="28"/>
      <c r="F751" s="28"/>
      <c r="K751" s="28"/>
    </row>
    <row r="752" spans="1:11" ht="14.4" x14ac:dyDescent="0.3">
      <c r="A752" s="28"/>
      <c r="B752" s="28"/>
      <c r="C752" s="28"/>
      <c r="D752" s="28"/>
      <c r="E752" s="28"/>
      <c r="F752" s="28"/>
      <c r="K752" s="28"/>
    </row>
    <row r="753" spans="1:11" ht="14.4" x14ac:dyDescent="0.3">
      <c r="A753" s="28"/>
      <c r="B753" s="28"/>
      <c r="C753" s="28"/>
      <c r="D753" s="28"/>
      <c r="E753" s="28"/>
      <c r="F753" s="28"/>
      <c r="K753" s="28"/>
    </row>
    <row r="754" spans="1:11" ht="14.4" x14ac:dyDescent="0.3">
      <c r="A754" s="28"/>
      <c r="B754" s="28"/>
      <c r="C754" s="28"/>
      <c r="D754" s="28"/>
      <c r="E754" s="28"/>
      <c r="F754" s="28"/>
      <c r="K754" s="28"/>
    </row>
    <row r="755" spans="1:11" ht="14.4" x14ac:dyDescent="0.3">
      <c r="A755" s="28"/>
      <c r="B755" s="28"/>
      <c r="C755" s="28"/>
      <c r="D755" s="28"/>
      <c r="E755" s="28"/>
      <c r="F755" s="28"/>
      <c r="K755" s="28"/>
    </row>
    <row r="756" spans="1:11" ht="14.4" x14ac:dyDescent="0.3">
      <c r="A756" s="28"/>
      <c r="B756" s="28"/>
      <c r="C756" s="28"/>
      <c r="D756" s="28"/>
      <c r="E756" s="28"/>
      <c r="F756" s="28"/>
      <c r="K756" s="28"/>
    </row>
    <row r="757" spans="1:11" ht="14.4" x14ac:dyDescent="0.3">
      <c r="A757" s="28"/>
      <c r="B757" s="28"/>
      <c r="C757" s="28"/>
      <c r="D757" s="28"/>
      <c r="E757" s="28"/>
      <c r="F757" s="28"/>
      <c r="K757" s="28"/>
    </row>
    <row r="758" spans="1:11" ht="14.4" x14ac:dyDescent="0.3">
      <c r="A758" s="28"/>
      <c r="B758" s="28"/>
      <c r="C758" s="28"/>
      <c r="D758" s="28"/>
      <c r="E758" s="28"/>
      <c r="F758" s="28"/>
      <c r="K758" s="28"/>
    </row>
    <row r="759" spans="1:11" ht="14.4" x14ac:dyDescent="0.3">
      <c r="A759" s="28"/>
      <c r="B759" s="28"/>
      <c r="C759" s="28"/>
      <c r="D759" s="28"/>
      <c r="E759" s="28"/>
      <c r="F759" s="28"/>
      <c r="K759" s="28"/>
    </row>
    <row r="760" spans="1:11" ht="14.4" x14ac:dyDescent="0.3">
      <c r="A760" s="28"/>
      <c r="B760" s="28"/>
      <c r="C760" s="28"/>
      <c r="D760" s="28"/>
      <c r="E760" s="28"/>
      <c r="F760" s="28"/>
      <c r="K760" s="28"/>
    </row>
    <row r="761" spans="1:11" ht="14.4" x14ac:dyDescent="0.3">
      <c r="A761" s="28"/>
      <c r="B761" s="28"/>
      <c r="C761" s="28"/>
      <c r="D761" s="28"/>
      <c r="E761" s="28"/>
      <c r="F761" s="28"/>
      <c r="K761" s="28"/>
    </row>
    <row r="762" spans="1:11" ht="14.4" x14ac:dyDescent="0.3">
      <c r="A762" s="28"/>
      <c r="B762" s="28"/>
      <c r="C762" s="28"/>
      <c r="D762" s="28"/>
      <c r="E762" s="28"/>
      <c r="F762" s="28"/>
      <c r="K762" s="28"/>
    </row>
    <row r="763" spans="1:11" ht="14.4" x14ac:dyDescent="0.3">
      <c r="A763" s="28"/>
      <c r="B763" s="28"/>
      <c r="C763" s="28"/>
      <c r="D763" s="28"/>
      <c r="E763" s="28"/>
      <c r="F763" s="28"/>
      <c r="K763" s="28"/>
    </row>
    <row r="764" spans="1:11" ht="14.4" x14ac:dyDescent="0.3">
      <c r="A764" s="28"/>
      <c r="B764" s="28"/>
      <c r="C764" s="28"/>
      <c r="D764" s="28"/>
      <c r="E764" s="28"/>
      <c r="F764" s="28"/>
      <c r="K764" s="28"/>
    </row>
    <row r="765" spans="1:11" ht="14.4" x14ac:dyDescent="0.3">
      <c r="A765" s="28"/>
      <c r="B765" s="28"/>
      <c r="C765" s="28"/>
      <c r="D765" s="28"/>
      <c r="E765" s="28"/>
      <c r="F765" s="28"/>
      <c r="K765" s="28"/>
    </row>
    <row r="766" spans="1:11" ht="14.4" x14ac:dyDescent="0.3">
      <c r="A766" s="28"/>
      <c r="B766" s="28"/>
      <c r="C766" s="28"/>
      <c r="D766" s="28"/>
      <c r="E766" s="28"/>
      <c r="F766" s="28"/>
      <c r="K766" s="28"/>
    </row>
    <row r="767" spans="1:11" ht="14.4" x14ac:dyDescent="0.3">
      <c r="A767" s="28"/>
      <c r="B767" s="28"/>
      <c r="C767" s="28"/>
      <c r="D767" s="28"/>
      <c r="E767" s="28"/>
      <c r="F767" s="28"/>
      <c r="K767" s="28"/>
    </row>
    <row r="768" spans="1:11" ht="14.4" x14ac:dyDescent="0.3">
      <c r="A768" s="28"/>
      <c r="B768" s="28"/>
      <c r="C768" s="28"/>
      <c r="D768" s="28"/>
      <c r="E768" s="28"/>
      <c r="F768" s="28"/>
      <c r="K768" s="28"/>
    </row>
    <row r="769" spans="1:11" ht="14.4" x14ac:dyDescent="0.3">
      <c r="A769" s="28"/>
      <c r="B769" s="28"/>
      <c r="C769" s="28"/>
      <c r="D769" s="28"/>
      <c r="E769" s="28"/>
      <c r="F769" s="28"/>
      <c r="K769" s="28"/>
    </row>
    <row r="770" spans="1:11" ht="14.4" x14ac:dyDescent="0.3">
      <c r="A770" s="28"/>
      <c r="B770" s="28"/>
      <c r="C770" s="28"/>
      <c r="D770" s="28"/>
      <c r="E770" s="28"/>
      <c r="F770" s="28"/>
      <c r="K770" s="28"/>
    </row>
    <row r="771" spans="1:11" ht="14.4" x14ac:dyDescent="0.3">
      <c r="A771" s="28"/>
      <c r="B771" s="28"/>
      <c r="C771" s="28"/>
      <c r="D771" s="28"/>
      <c r="E771" s="28"/>
      <c r="F771" s="28"/>
      <c r="K771" s="28"/>
    </row>
    <row r="772" spans="1:11" ht="14.4" x14ac:dyDescent="0.3">
      <c r="A772" s="28"/>
      <c r="B772" s="28"/>
      <c r="C772" s="28"/>
      <c r="D772" s="28"/>
      <c r="E772" s="28"/>
      <c r="F772" s="28"/>
      <c r="K772" s="28"/>
    </row>
    <row r="773" spans="1:11" ht="14.4" x14ac:dyDescent="0.3">
      <c r="A773" s="28"/>
      <c r="B773" s="28"/>
      <c r="C773" s="28"/>
      <c r="D773" s="28"/>
      <c r="E773" s="28"/>
      <c r="F773" s="28"/>
      <c r="K773" s="28"/>
    </row>
    <row r="774" spans="1:11" ht="14.4" x14ac:dyDescent="0.3">
      <c r="A774" s="28"/>
      <c r="B774" s="28"/>
      <c r="C774" s="28"/>
      <c r="D774" s="28"/>
      <c r="E774" s="28"/>
      <c r="F774" s="28"/>
      <c r="K774" s="28"/>
    </row>
    <row r="775" spans="1:11" ht="14.4" x14ac:dyDescent="0.3">
      <c r="A775" s="28"/>
      <c r="B775" s="28"/>
      <c r="C775" s="28"/>
      <c r="D775" s="28"/>
      <c r="E775" s="28"/>
      <c r="F775" s="28"/>
      <c r="K775" s="28"/>
    </row>
    <row r="776" spans="1:11" ht="14.4" x14ac:dyDescent="0.3">
      <c r="A776" s="28"/>
      <c r="B776" s="28"/>
      <c r="C776" s="28"/>
      <c r="D776" s="28"/>
      <c r="E776" s="28"/>
      <c r="F776" s="28"/>
      <c r="K776" s="28"/>
    </row>
    <row r="777" spans="1:11" ht="14.4" x14ac:dyDescent="0.3">
      <c r="A777" s="28"/>
      <c r="B777" s="28"/>
      <c r="C777" s="28"/>
      <c r="D777" s="28"/>
      <c r="E777" s="28"/>
      <c r="F777" s="28"/>
      <c r="K777" s="28"/>
    </row>
    <row r="778" spans="1:11" ht="14.4" x14ac:dyDescent="0.3">
      <c r="A778" s="28"/>
      <c r="B778" s="28"/>
      <c r="C778" s="28"/>
      <c r="D778" s="28"/>
      <c r="E778" s="28"/>
      <c r="F778" s="28"/>
      <c r="K778" s="28"/>
    </row>
    <row r="779" spans="1:11" ht="14.4" x14ac:dyDescent="0.3">
      <c r="A779" s="28"/>
      <c r="B779" s="28"/>
      <c r="C779" s="28"/>
      <c r="D779" s="28"/>
      <c r="E779" s="28"/>
      <c r="F779" s="28"/>
      <c r="K779" s="28"/>
    </row>
    <row r="780" spans="1:11" ht="14.4" x14ac:dyDescent="0.3">
      <c r="A780" s="28"/>
      <c r="B780" s="28"/>
      <c r="C780" s="28"/>
      <c r="D780" s="28"/>
      <c r="E780" s="28"/>
      <c r="F780" s="28"/>
      <c r="K780" s="28"/>
    </row>
    <row r="781" spans="1:11" ht="14.4" x14ac:dyDescent="0.3">
      <c r="A781" s="28"/>
      <c r="B781" s="28"/>
      <c r="C781" s="28"/>
      <c r="D781" s="28"/>
      <c r="E781" s="28"/>
      <c r="F781" s="28"/>
      <c r="K781" s="28"/>
    </row>
    <row r="782" spans="1:11" ht="14.4" x14ac:dyDescent="0.3">
      <c r="A782" s="28"/>
      <c r="B782" s="28"/>
      <c r="C782" s="28"/>
      <c r="D782" s="28"/>
      <c r="E782" s="28"/>
      <c r="F782" s="28"/>
      <c r="K782" s="28"/>
    </row>
    <row r="783" spans="1:11" ht="14.4" x14ac:dyDescent="0.3">
      <c r="A783" s="28"/>
      <c r="B783" s="28"/>
      <c r="C783" s="28"/>
      <c r="D783" s="28"/>
      <c r="E783" s="28"/>
      <c r="F783" s="28"/>
      <c r="K783" s="28"/>
    </row>
    <row r="784" spans="1:11" ht="14.4" x14ac:dyDescent="0.3">
      <c r="A784" s="28"/>
      <c r="B784" s="28"/>
      <c r="C784" s="28"/>
      <c r="D784" s="28"/>
      <c r="E784" s="28"/>
      <c r="F784" s="28"/>
      <c r="K784" s="28"/>
    </row>
    <row r="785" spans="1:11" ht="14.4" x14ac:dyDescent="0.3">
      <c r="A785" s="28"/>
      <c r="B785" s="28"/>
      <c r="C785" s="28"/>
      <c r="D785" s="28"/>
      <c r="E785" s="28"/>
      <c r="F785" s="28"/>
      <c r="K785" s="28"/>
    </row>
    <row r="786" spans="1:11" ht="14.4" x14ac:dyDescent="0.3">
      <c r="A786" s="28"/>
      <c r="B786" s="28"/>
      <c r="C786" s="28"/>
      <c r="D786" s="28"/>
      <c r="E786" s="28"/>
      <c r="F786" s="28"/>
      <c r="K786" s="28"/>
    </row>
    <row r="787" spans="1:11" ht="14.4" x14ac:dyDescent="0.3">
      <c r="A787" s="28"/>
      <c r="B787" s="28"/>
      <c r="C787" s="28"/>
      <c r="D787" s="28"/>
      <c r="E787" s="28"/>
      <c r="F787" s="28"/>
      <c r="K787" s="28"/>
    </row>
    <row r="788" spans="1:11" ht="14.4" x14ac:dyDescent="0.3">
      <c r="A788" s="28"/>
      <c r="B788" s="28"/>
      <c r="C788" s="28"/>
      <c r="D788" s="28"/>
      <c r="E788" s="28"/>
      <c r="F788" s="28"/>
      <c r="K788" s="28"/>
    </row>
    <row r="789" spans="1:11" ht="14.4" x14ac:dyDescent="0.3">
      <c r="A789" s="28"/>
      <c r="B789" s="28"/>
      <c r="C789" s="28"/>
      <c r="D789" s="28"/>
      <c r="E789" s="28"/>
      <c r="F789" s="28"/>
      <c r="K789" s="28"/>
    </row>
    <row r="790" spans="1:11" ht="14.4" x14ac:dyDescent="0.3">
      <c r="A790" s="28"/>
      <c r="B790" s="28"/>
      <c r="C790" s="28"/>
      <c r="D790" s="28"/>
      <c r="E790" s="28"/>
      <c r="F790" s="28"/>
      <c r="K790" s="28"/>
    </row>
    <row r="791" spans="1:11" ht="14.4" x14ac:dyDescent="0.3">
      <c r="A791" s="28"/>
      <c r="B791" s="28"/>
      <c r="C791" s="28"/>
      <c r="D791" s="28"/>
      <c r="E791" s="28"/>
      <c r="F791" s="28"/>
      <c r="K791" s="28"/>
    </row>
    <row r="792" spans="1:11" ht="14.4" x14ac:dyDescent="0.3">
      <c r="A792" s="28"/>
      <c r="B792" s="28"/>
      <c r="C792" s="28"/>
      <c r="D792" s="28"/>
      <c r="E792" s="28"/>
      <c r="F792" s="28"/>
      <c r="K792" s="28"/>
    </row>
    <row r="793" spans="1:11" ht="14.4" x14ac:dyDescent="0.3">
      <c r="A793" s="28"/>
      <c r="B793" s="28"/>
      <c r="C793" s="28"/>
      <c r="D793" s="28"/>
      <c r="E793" s="28"/>
      <c r="F793" s="28"/>
      <c r="K793" s="28"/>
    </row>
    <row r="794" spans="1:11" ht="14.4" x14ac:dyDescent="0.3">
      <c r="A794" s="28"/>
      <c r="B794" s="28"/>
      <c r="C794" s="28"/>
      <c r="D794" s="28"/>
      <c r="E794" s="28"/>
      <c r="F794" s="28"/>
      <c r="K794" s="28"/>
    </row>
    <row r="795" spans="1:11" ht="14.4" x14ac:dyDescent="0.3">
      <c r="A795" s="28"/>
      <c r="B795" s="28"/>
      <c r="C795" s="28"/>
      <c r="D795" s="28"/>
      <c r="E795" s="28"/>
      <c r="F795" s="28"/>
      <c r="K795" s="28"/>
    </row>
    <row r="796" spans="1:11" ht="14.4" x14ac:dyDescent="0.3">
      <c r="A796" s="28"/>
      <c r="B796" s="28"/>
      <c r="C796" s="28"/>
      <c r="D796" s="28"/>
      <c r="E796" s="28"/>
      <c r="F796" s="28"/>
      <c r="K796" s="28"/>
    </row>
    <row r="797" spans="1:11" ht="14.4" x14ac:dyDescent="0.3">
      <c r="A797" s="28"/>
      <c r="B797" s="28"/>
      <c r="C797" s="28"/>
      <c r="D797" s="28"/>
      <c r="E797" s="28"/>
      <c r="F797" s="28"/>
      <c r="K797" s="28"/>
    </row>
    <row r="798" spans="1:11" ht="14.4" x14ac:dyDescent="0.3">
      <c r="A798" s="28"/>
      <c r="B798" s="28"/>
      <c r="C798" s="28"/>
      <c r="D798" s="28"/>
      <c r="E798" s="28"/>
      <c r="F798" s="28"/>
      <c r="K798" s="28"/>
    </row>
    <row r="799" spans="1:11" ht="14.4" x14ac:dyDescent="0.3">
      <c r="A799" s="28"/>
      <c r="B799" s="28"/>
      <c r="C799" s="28"/>
      <c r="D799" s="28"/>
      <c r="E799" s="28"/>
      <c r="F799" s="28"/>
      <c r="K799" s="28"/>
    </row>
    <row r="800" spans="1:11" ht="14.4" x14ac:dyDescent="0.3">
      <c r="A800" s="28"/>
      <c r="B800" s="28"/>
      <c r="C800" s="28"/>
      <c r="D800" s="28"/>
      <c r="E800" s="28"/>
      <c r="F800" s="28"/>
      <c r="K800" s="28"/>
    </row>
    <row r="801" spans="1:11" ht="14.4" x14ac:dyDescent="0.3">
      <c r="A801" s="28"/>
      <c r="B801" s="28"/>
      <c r="C801" s="28"/>
      <c r="D801" s="28"/>
      <c r="E801" s="28"/>
      <c r="F801" s="28"/>
      <c r="K801" s="28"/>
    </row>
    <row r="802" spans="1:11" ht="14.4" x14ac:dyDescent="0.3">
      <c r="A802" s="28"/>
      <c r="B802" s="28"/>
      <c r="C802" s="28"/>
      <c r="D802" s="28"/>
      <c r="E802" s="28"/>
      <c r="F802" s="28"/>
      <c r="K802" s="28"/>
    </row>
    <row r="803" spans="1:11" ht="14.4" x14ac:dyDescent="0.3">
      <c r="A803" s="28"/>
      <c r="B803" s="28"/>
      <c r="C803" s="28"/>
      <c r="D803" s="28"/>
      <c r="E803" s="28"/>
      <c r="F803" s="28"/>
      <c r="K803" s="28"/>
    </row>
    <row r="804" spans="1:11" ht="14.4" x14ac:dyDescent="0.3">
      <c r="A804" s="28"/>
      <c r="B804" s="28"/>
      <c r="C804" s="28"/>
      <c r="D804" s="28"/>
      <c r="E804" s="28"/>
      <c r="F804" s="28"/>
      <c r="K804" s="28"/>
    </row>
    <row r="805" spans="1:11" ht="14.4" x14ac:dyDescent="0.3">
      <c r="A805" s="28"/>
      <c r="B805" s="28"/>
      <c r="C805" s="28"/>
      <c r="D805" s="28"/>
      <c r="E805" s="28"/>
      <c r="F805" s="28"/>
      <c r="K805" s="28"/>
    </row>
    <row r="806" spans="1:11" ht="14.4" x14ac:dyDescent="0.3">
      <c r="A806" s="28"/>
      <c r="B806" s="28"/>
      <c r="C806" s="28"/>
      <c r="D806" s="28"/>
      <c r="E806" s="28"/>
      <c r="F806" s="28"/>
      <c r="K806" s="28"/>
    </row>
    <row r="807" spans="1:11" ht="14.4" x14ac:dyDescent="0.3">
      <c r="A807" s="28"/>
      <c r="B807" s="28"/>
      <c r="C807" s="28"/>
      <c r="D807" s="28"/>
      <c r="E807" s="28"/>
      <c r="F807" s="28"/>
      <c r="K807" s="28"/>
    </row>
    <row r="808" spans="1:11" ht="14.4" x14ac:dyDescent="0.3">
      <c r="A808" s="28"/>
      <c r="B808" s="28"/>
      <c r="C808" s="28"/>
      <c r="D808" s="28"/>
      <c r="E808" s="28"/>
      <c r="F808" s="28"/>
      <c r="K808" s="28"/>
    </row>
    <row r="809" spans="1:11" ht="14.4" x14ac:dyDescent="0.3">
      <c r="A809" s="28"/>
      <c r="B809" s="28"/>
      <c r="C809" s="28"/>
      <c r="D809" s="28"/>
      <c r="E809" s="28"/>
      <c r="F809" s="28"/>
      <c r="K809" s="28"/>
    </row>
    <row r="810" spans="1:11" ht="14.4" x14ac:dyDescent="0.3">
      <c r="A810" s="28"/>
      <c r="B810" s="28"/>
      <c r="C810" s="28"/>
      <c r="D810" s="28"/>
      <c r="E810" s="28"/>
      <c r="F810" s="28"/>
      <c r="K810" s="28"/>
    </row>
    <row r="811" spans="1:11" ht="14.4" x14ac:dyDescent="0.3">
      <c r="A811" s="28"/>
      <c r="B811" s="28"/>
      <c r="C811" s="28"/>
      <c r="D811" s="28"/>
      <c r="E811" s="28"/>
      <c r="F811" s="28"/>
      <c r="K811" s="28"/>
    </row>
    <row r="812" spans="1:11" ht="14.4" x14ac:dyDescent="0.3">
      <c r="A812" s="28"/>
      <c r="B812" s="28"/>
      <c r="C812" s="28"/>
      <c r="D812" s="28"/>
      <c r="E812" s="28"/>
      <c r="F812" s="28"/>
      <c r="K812" s="28"/>
    </row>
    <row r="813" spans="1:11" ht="14.4" x14ac:dyDescent="0.3">
      <c r="A813" s="28"/>
      <c r="B813" s="28"/>
      <c r="C813" s="28"/>
      <c r="D813" s="28"/>
      <c r="E813" s="28"/>
      <c r="F813" s="28"/>
      <c r="K813" s="28"/>
    </row>
    <row r="814" spans="1:11" ht="14.4" x14ac:dyDescent="0.3">
      <c r="A814" s="28"/>
      <c r="B814" s="28"/>
      <c r="C814" s="28"/>
      <c r="D814" s="28"/>
      <c r="E814" s="28"/>
      <c r="F814" s="28"/>
      <c r="K814" s="28"/>
    </row>
    <row r="815" spans="1:11" ht="14.4" x14ac:dyDescent="0.3">
      <c r="A815" s="28"/>
      <c r="B815" s="28"/>
      <c r="C815" s="28"/>
      <c r="D815" s="28"/>
      <c r="E815" s="28"/>
      <c r="F815" s="28"/>
      <c r="K815" s="28"/>
    </row>
    <row r="816" spans="1:11" ht="14.4" x14ac:dyDescent="0.3">
      <c r="A816" s="28"/>
      <c r="B816" s="28"/>
      <c r="C816" s="28"/>
      <c r="D816" s="28"/>
      <c r="E816" s="28"/>
      <c r="F816" s="28"/>
      <c r="K816" s="28"/>
    </row>
    <row r="817" spans="1:11" ht="14.4" x14ac:dyDescent="0.3">
      <c r="A817" s="28"/>
      <c r="B817" s="28"/>
      <c r="C817" s="28"/>
      <c r="D817" s="28"/>
      <c r="E817" s="28"/>
      <c r="F817" s="28"/>
      <c r="K817" s="28"/>
    </row>
    <row r="818" spans="1:11" ht="14.4" x14ac:dyDescent="0.3">
      <c r="A818" s="28"/>
      <c r="B818" s="28"/>
      <c r="C818" s="28"/>
      <c r="D818" s="28"/>
      <c r="E818" s="28"/>
      <c r="F818" s="28"/>
      <c r="K818" s="28"/>
    </row>
    <row r="819" spans="1:11" ht="14.4" x14ac:dyDescent="0.3">
      <c r="A819" s="28"/>
      <c r="B819" s="28"/>
      <c r="C819" s="28"/>
      <c r="D819" s="28"/>
      <c r="E819" s="28"/>
      <c r="F819" s="28"/>
      <c r="K819" s="28"/>
    </row>
    <row r="820" spans="1:11" ht="14.4" x14ac:dyDescent="0.3">
      <c r="A820" s="28"/>
      <c r="B820" s="28"/>
      <c r="C820" s="28"/>
      <c r="D820" s="28"/>
      <c r="E820" s="28"/>
      <c r="F820" s="28"/>
      <c r="K820" s="28"/>
    </row>
    <row r="821" spans="1:11" ht="14.4" x14ac:dyDescent="0.3">
      <c r="A821" s="28"/>
      <c r="B821" s="28"/>
      <c r="C821" s="28"/>
      <c r="D821" s="28"/>
      <c r="E821" s="28"/>
      <c r="F821" s="28"/>
      <c r="K821" s="28"/>
    </row>
    <row r="822" spans="1:11" ht="14.4" x14ac:dyDescent="0.3">
      <c r="A822" s="28"/>
      <c r="B822" s="28"/>
      <c r="C822" s="28"/>
      <c r="D822" s="28"/>
      <c r="E822" s="28"/>
      <c r="F822" s="28"/>
      <c r="K822" s="28"/>
    </row>
    <row r="823" spans="1:11" ht="14.4" x14ac:dyDescent="0.3">
      <c r="A823" s="28"/>
      <c r="B823" s="28"/>
      <c r="C823" s="28"/>
      <c r="D823" s="28"/>
      <c r="E823" s="28"/>
      <c r="F823" s="28"/>
      <c r="K823" s="28"/>
    </row>
    <row r="824" spans="1:11" ht="14.4" x14ac:dyDescent="0.3">
      <c r="A824" s="28"/>
      <c r="B824" s="28"/>
      <c r="C824" s="28"/>
      <c r="D824" s="28"/>
      <c r="E824" s="28"/>
      <c r="F824" s="28"/>
      <c r="K824" s="28"/>
    </row>
    <row r="825" spans="1:11" ht="14.4" x14ac:dyDescent="0.3">
      <c r="A825" s="28"/>
      <c r="B825" s="28"/>
      <c r="C825" s="28"/>
      <c r="D825" s="28"/>
      <c r="E825" s="28"/>
      <c r="F825" s="28"/>
      <c r="K825" s="28"/>
    </row>
    <row r="826" spans="1:11" ht="14.4" x14ac:dyDescent="0.3">
      <c r="A826" s="28"/>
      <c r="B826" s="28"/>
      <c r="C826" s="28"/>
      <c r="D826" s="28"/>
      <c r="E826" s="28"/>
      <c r="F826" s="28"/>
      <c r="K826" s="28"/>
    </row>
    <row r="827" spans="1:11" ht="14.4" x14ac:dyDescent="0.3">
      <c r="A827" s="28"/>
      <c r="B827" s="28"/>
      <c r="C827" s="28"/>
      <c r="D827" s="28"/>
      <c r="E827" s="28"/>
      <c r="F827" s="28"/>
      <c r="K827" s="28"/>
    </row>
    <row r="828" spans="1:11" ht="14.4" x14ac:dyDescent="0.3">
      <c r="A828" s="28"/>
      <c r="B828" s="28"/>
      <c r="C828" s="28"/>
      <c r="D828" s="28"/>
      <c r="E828" s="28"/>
      <c r="F828" s="28"/>
      <c r="K828" s="28"/>
    </row>
    <row r="829" spans="1:11" ht="14.4" x14ac:dyDescent="0.3">
      <c r="A829" s="28"/>
      <c r="B829" s="28"/>
      <c r="C829" s="28"/>
      <c r="D829" s="28"/>
      <c r="E829" s="28"/>
      <c r="F829" s="28"/>
      <c r="K829" s="28"/>
    </row>
    <row r="830" spans="1:11" ht="14.4" x14ac:dyDescent="0.3">
      <c r="A830" s="28"/>
      <c r="B830" s="28"/>
      <c r="C830" s="28"/>
      <c r="D830" s="28"/>
      <c r="E830" s="28"/>
      <c r="F830" s="28"/>
      <c r="K830" s="28"/>
    </row>
    <row r="831" spans="1:11" ht="14.4" x14ac:dyDescent="0.3">
      <c r="A831" s="28"/>
      <c r="B831" s="28"/>
      <c r="C831" s="28"/>
      <c r="D831" s="28"/>
      <c r="E831" s="28"/>
      <c r="F831" s="28"/>
      <c r="K831" s="28"/>
    </row>
    <row r="832" spans="1:11" ht="14.4" x14ac:dyDescent="0.3">
      <c r="A832" s="28"/>
      <c r="B832" s="28"/>
      <c r="C832" s="28"/>
      <c r="D832" s="28"/>
      <c r="E832" s="28"/>
      <c r="F832" s="28"/>
      <c r="K832" s="28"/>
    </row>
    <row r="833" spans="1:11" ht="14.4" x14ac:dyDescent="0.3">
      <c r="A833" s="28"/>
      <c r="B833" s="28"/>
      <c r="C833" s="28"/>
      <c r="D833" s="28"/>
      <c r="E833" s="28"/>
      <c r="F833" s="28"/>
      <c r="K833" s="28"/>
    </row>
    <row r="834" spans="1:11" ht="14.4" x14ac:dyDescent="0.3">
      <c r="A834" s="28"/>
      <c r="B834" s="28"/>
      <c r="C834" s="28"/>
      <c r="D834" s="28"/>
      <c r="E834" s="28"/>
      <c r="F834" s="28"/>
      <c r="K834" s="28"/>
    </row>
    <row r="835" spans="1:11" ht="14.4" x14ac:dyDescent="0.3">
      <c r="A835" s="28"/>
      <c r="B835" s="28"/>
      <c r="C835" s="28"/>
      <c r="D835" s="28"/>
      <c r="E835" s="28"/>
      <c r="F835" s="28"/>
      <c r="K835" s="28"/>
    </row>
    <row r="836" spans="1:11" ht="14.4" x14ac:dyDescent="0.3">
      <c r="A836" s="28"/>
      <c r="B836" s="28"/>
      <c r="C836" s="28"/>
      <c r="D836" s="28"/>
      <c r="E836" s="28"/>
      <c r="F836" s="28"/>
      <c r="K836" s="28"/>
    </row>
    <row r="837" spans="1:11" ht="14.4" x14ac:dyDescent="0.3">
      <c r="A837" s="28"/>
      <c r="B837" s="28"/>
      <c r="C837" s="28"/>
      <c r="D837" s="28"/>
      <c r="E837" s="28"/>
      <c r="F837" s="28"/>
      <c r="K837" s="28"/>
    </row>
    <row r="838" spans="1:11" ht="14.4" x14ac:dyDescent="0.3">
      <c r="A838" s="28"/>
      <c r="B838" s="28"/>
      <c r="C838" s="28"/>
      <c r="D838" s="28"/>
      <c r="E838" s="28"/>
      <c r="F838" s="28"/>
      <c r="K838" s="28"/>
    </row>
    <row r="839" spans="1:11" ht="14.4" x14ac:dyDescent="0.3">
      <c r="A839" s="28"/>
      <c r="B839" s="28"/>
      <c r="C839" s="28"/>
      <c r="D839" s="28"/>
      <c r="E839" s="28"/>
      <c r="F839" s="28"/>
      <c r="K839" s="28"/>
    </row>
    <row r="840" spans="1:11" ht="14.4" x14ac:dyDescent="0.3">
      <c r="A840" s="28"/>
      <c r="B840" s="28"/>
      <c r="C840" s="28"/>
      <c r="D840" s="28"/>
      <c r="E840" s="28"/>
      <c r="F840" s="28"/>
      <c r="K840" s="28"/>
    </row>
    <row r="841" spans="1:11" ht="14.4" x14ac:dyDescent="0.3">
      <c r="A841" s="28"/>
      <c r="B841" s="28"/>
      <c r="C841" s="28"/>
      <c r="D841" s="28"/>
      <c r="E841" s="28"/>
      <c r="F841" s="28"/>
      <c r="K841" s="28"/>
    </row>
    <row r="842" spans="1:11" ht="14.4" x14ac:dyDescent="0.3">
      <c r="A842" s="28"/>
      <c r="B842" s="28"/>
      <c r="C842" s="28"/>
      <c r="D842" s="28"/>
      <c r="E842" s="28"/>
      <c r="F842" s="28"/>
      <c r="K842" s="28"/>
    </row>
    <row r="843" spans="1:11" ht="14.4" x14ac:dyDescent="0.3">
      <c r="A843" s="28"/>
      <c r="B843" s="28"/>
      <c r="C843" s="28"/>
      <c r="D843" s="28"/>
      <c r="E843" s="28"/>
      <c r="F843" s="28"/>
      <c r="K843" s="28"/>
    </row>
    <row r="844" spans="1:11" ht="14.4" x14ac:dyDescent="0.3">
      <c r="A844" s="28"/>
      <c r="B844" s="28"/>
      <c r="C844" s="28"/>
      <c r="D844" s="28"/>
      <c r="E844" s="28"/>
      <c r="F844" s="28"/>
      <c r="K844" s="28"/>
    </row>
    <row r="845" spans="1:11" ht="14.4" x14ac:dyDescent="0.3">
      <c r="A845" s="28"/>
      <c r="B845" s="28"/>
      <c r="C845" s="28"/>
      <c r="D845" s="28"/>
      <c r="E845" s="28"/>
      <c r="F845" s="28"/>
      <c r="K845" s="28"/>
    </row>
    <row r="846" spans="1:11" ht="14.4" x14ac:dyDescent="0.3">
      <c r="A846" s="28"/>
      <c r="B846" s="28"/>
      <c r="C846" s="28"/>
      <c r="D846" s="28"/>
      <c r="E846" s="28"/>
      <c r="F846" s="28"/>
      <c r="K846" s="28"/>
    </row>
    <row r="847" spans="1:11" ht="14.4" x14ac:dyDescent="0.3">
      <c r="A847" s="28"/>
      <c r="B847" s="28"/>
      <c r="C847" s="28"/>
      <c r="D847" s="28"/>
      <c r="E847" s="28"/>
      <c r="F847" s="28"/>
      <c r="K847" s="28"/>
    </row>
    <row r="848" spans="1:11" ht="14.4" x14ac:dyDescent="0.3">
      <c r="A848" s="28"/>
      <c r="B848" s="28"/>
      <c r="C848" s="28"/>
      <c r="D848" s="28"/>
      <c r="E848" s="28"/>
      <c r="F848" s="28"/>
      <c r="K848" s="28"/>
    </row>
    <row r="849" spans="1:11" ht="14.4" x14ac:dyDescent="0.3">
      <c r="A849" s="28"/>
      <c r="B849" s="28"/>
      <c r="C849" s="28"/>
      <c r="D849" s="28"/>
      <c r="E849" s="28"/>
      <c r="F849" s="28"/>
      <c r="K849" s="28"/>
    </row>
    <row r="850" spans="1:11" ht="14.4" x14ac:dyDescent="0.3">
      <c r="A850" s="28"/>
      <c r="B850" s="28"/>
      <c r="C850" s="28"/>
      <c r="D850" s="28"/>
      <c r="E850" s="28"/>
      <c r="F850" s="28"/>
      <c r="K850" s="28"/>
    </row>
    <row r="851" spans="1:11" ht="14.4" x14ac:dyDescent="0.3">
      <c r="A851" s="28"/>
      <c r="B851" s="28"/>
      <c r="C851" s="28"/>
      <c r="D851" s="28"/>
      <c r="E851" s="28"/>
      <c r="F851" s="28"/>
      <c r="K851" s="28"/>
    </row>
    <row r="852" spans="1:11" ht="14.4" x14ac:dyDescent="0.3">
      <c r="A852" s="28"/>
      <c r="B852" s="28"/>
      <c r="C852" s="28"/>
      <c r="D852" s="28"/>
      <c r="E852" s="28"/>
      <c r="F852" s="28"/>
      <c r="K852" s="28"/>
    </row>
    <row r="853" spans="1:11" ht="14.4" x14ac:dyDescent="0.3">
      <c r="A853" s="28"/>
      <c r="B853" s="28"/>
      <c r="C853" s="28"/>
      <c r="D853" s="28"/>
      <c r="E853" s="28"/>
      <c r="F853" s="28"/>
      <c r="K853" s="28"/>
    </row>
    <row r="854" spans="1:11" ht="14.4" x14ac:dyDescent="0.3">
      <c r="A854" s="28"/>
      <c r="B854" s="28"/>
      <c r="C854" s="28"/>
      <c r="D854" s="28"/>
      <c r="E854" s="28"/>
      <c r="F854" s="28"/>
      <c r="K854" s="28"/>
    </row>
    <row r="855" spans="1:11" ht="14.4" x14ac:dyDescent="0.3">
      <c r="A855" s="28"/>
      <c r="B855" s="28"/>
      <c r="C855" s="28"/>
      <c r="D855" s="28"/>
      <c r="E855" s="28"/>
      <c r="F855" s="28"/>
      <c r="K855" s="28"/>
    </row>
    <row r="856" spans="1:11" ht="14.4" x14ac:dyDescent="0.3">
      <c r="A856" s="28"/>
      <c r="B856" s="28"/>
      <c r="C856" s="28"/>
      <c r="D856" s="28"/>
      <c r="E856" s="28"/>
      <c r="F856" s="28"/>
      <c r="K856" s="28"/>
    </row>
    <row r="857" spans="1:11" ht="14.4" x14ac:dyDescent="0.3">
      <c r="A857" s="28"/>
      <c r="B857" s="28"/>
      <c r="C857" s="28"/>
      <c r="D857" s="28"/>
      <c r="E857" s="28"/>
      <c r="F857" s="28"/>
      <c r="K857" s="28"/>
    </row>
    <row r="858" spans="1:11" ht="14.4" x14ac:dyDescent="0.3">
      <c r="A858" s="28"/>
      <c r="B858" s="28"/>
      <c r="C858" s="28"/>
      <c r="D858" s="28"/>
      <c r="E858" s="28"/>
      <c r="F858" s="28"/>
      <c r="K858" s="28"/>
    </row>
    <row r="859" spans="1:11" ht="14.4" x14ac:dyDescent="0.3">
      <c r="A859" s="28"/>
      <c r="B859" s="28"/>
      <c r="C859" s="28"/>
      <c r="D859" s="28"/>
      <c r="E859" s="28"/>
      <c r="F859" s="28"/>
      <c r="K859" s="28"/>
    </row>
    <row r="860" spans="1:11" ht="14.4" x14ac:dyDescent="0.3">
      <c r="A860" s="28"/>
      <c r="B860" s="28"/>
      <c r="C860" s="28"/>
      <c r="D860" s="28"/>
      <c r="E860" s="28"/>
      <c r="F860" s="28"/>
      <c r="K860" s="28"/>
    </row>
    <row r="861" spans="1:11" ht="14.4" x14ac:dyDescent="0.3">
      <c r="A861" s="28"/>
      <c r="B861" s="28"/>
      <c r="C861" s="28"/>
      <c r="D861" s="28"/>
      <c r="E861" s="28"/>
      <c r="F861" s="28"/>
      <c r="K861" s="28"/>
    </row>
    <row r="862" spans="1:11" ht="14.4" x14ac:dyDescent="0.3">
      <c r="A862" s="28"/>
      <c r="B862" s="28"/>
      <c r="C862" s="28"/>
      <c r="D862" s="28"/>
      <c r="E862" s="28"/>
      <c r="F862" s="28"/>
      <c r="K862" s="28"/>
    </row>
    <row r="863" spans="1:11" ht="14.4" x14ac:dyDescent="0.3">
      <c r="A863" s="28"/>
      <c r="B863" s="28"/>
      <c r="C863" s="28"/>
      <c r="D863" s="28"/>
      <c r="E863" s="28"/>
      <c r="F863" s="28"/>
      <c r="K863" s="28"/>
    </row>
    <row r="864" spans="1:11" ht="14.4" x14ac:dyDescent="0.3">
      <c r="A864" s="28"/>
      <c r="B864" s="28"/>
      <c r="C864" s="28"/>
      <c r="D864" s="28"/>
      <c r="E864" s="28"/>
      <c r="F864" s="28"/>
      <c r="K864" s="28"/>
    </row>
    <row r="865" spans="1:11" ht="14.4" x14ac:dyDescent="0.3">
      <c r="A865" s="28"/>
      <c r="B865" s="28"/>
      <c r="C865" s="28"/>
      <c r="D865" s="28"/>
      <c r="E865" s="28"/>
      <c r="F865" s="28"/>
      <c r="K865" s="28"/>
    </row>
    <row r="866" spans="1:11" ht="14.4" x14ac:dyDescent="0.3">
      <c r="A866" s="28"/>
      <c r="B866" s="28"/>
      <c r="C866" s="28"/>
      <c r="D866" s="28"/>
      <c r="E866" s="28"/>
      <c r="F866" s="28"/>
      <c r="K866" s="28"/>
    </row>
    <row r="867" spans="1:11" ht="14.4" x14ac:dyDescent="0.3">
      <c r="A867" s="28"/>
      <c r="B867" s="28"/>
      <c r="C867" s="28"/>
      <c r="D867" s="28"/>
      <c r="E867" s="28"/>
      <c r="F867" s="28"/>
      <c r="K867" s="28"/>
    </row>
    <row r="868" spans="1:11" ht="14.4" x14ac:dyDescent="0.3">
      <c r="A868" s="28"/>
      <c r="B868" s="28"/>
      <c r="C868" s="28"/>
      <c r="D868" s="28"/>
      <c r="E868" s="28"/>
      <c r="F868" s="28"/>
      <c r="K868" s="28"/>
    </row>
    <row r="869" spans="1:11" ht="14.4" x14ac:dyDescent="0.3">
      <c r="A869" s="28"/>
      <c r="B869" s="28"/>
      <c r="C869" s="28"/>
      <c r="D869" s="28"/>
      <c r="E869" s="28"/>
      <c r="F869" s="28"/>
      <c r="K869" s="28"/>
    </row>
    <row r="870" spans="1:11" ht="14.4" x14ac:dyDescent="0.3">
      <c r="A870" s="28"/>
      <c r="B870" s="28"/>
      <c r="C870" s="28"/>
      <c r="D870" s="28"/>
      <c r="E870" s="28"/>
      <c r="F870" s="28"/>
      <c r="K870" s="28"/>
    </row>
    <row r="871" spans="1:11" ht="14.4" x14ac:dyDescent="0.3">
      <c r="A871" s="28"/>
      <c r="B871" s="28"/>
      <c r="C871" s="28"/>
      <c r="D871" s="28"/>
      <c r="E871" s="28"/>
      <c r="F871" s="28"/>
      <c r="K871" s="28"/>
    </row>
    <row r="872" spans="1:11" ht="14.4" x14ac:dyDescent="0.3">
      <c r="A872" s="28"/>
      <c r="B872" s="28"/>
      <c r="C872" s="28"/>
      <c r="D872" s="28"/>
      <c r="E872" s="28"/>
      <c r="F872" s="28"/>
      <c r="K872" s="28"/>
    </row>
    <row r="873" spans="1:11" ht="14.4" x14ac:dyDescent="0.3">
      <c r="A873" s="28"/>
      <c r="B873" s="28"/>
      <c r="C873" s="28"/>
      <c r="D873" s="28"/>
      <c r="E873" s="28"/>
      <c r="F873" s="28"/>
      <c r="K873" s="28"/>
    </row>
    <row r="874" spans="1:11" ht="14.4" x14ac:dyDescent="0.3">
      <c r="A874" s="28"/>
      <c r="B874" s="28"/>
      <c r="C874" s="28"/>
      <c r="D874" s="28"/>
      <c r="E874" s="28"/>
      <c r="F874" s="28"/>
      <c r="K874" s="28"/>
    </row>
    <row r="875" spans="1:11" ht="14.4" x14ac:dyDescent="0.3">
      <c r="A875" s="28"/>
      <c r="B875" s="28"/>
      <c r="C875" s="28"/>
      <c r="D875" s="28"/>
      <c r="E875" s="28"/>
      <c r="F875" s="28"/>
      <c r="K875" s="28"/>
    </row>
    <row r="876" spans="1:11" ht="14.4" x14ac:dyDescent="0.3">
      <c r="A876" s="28"/>
      <c r="B876" s="28"/>
      <c r="C876" s="28"/>
      <c r="D876" s="28"/>
      <c r="E876" s="28"/>
      <c r="F876" s="28"/>
      <c r="K876" s="28"/>
    </row>
    <row r="877" spans="1:11" ht="14.4" x14ac:dyDescent="0.3">
      <c r="A877" s="28"/>
      <c r="B877" s="28"/>
      <c r="C877" s="28"/>
      <c r="D877" s="28"/>
      <c r="E877" s="28"/>
      <c r="F877" s="28"/>
      <c r="K877" s="28"/>
    </row>
    <row r="878" spans="1:11" ht="14.4" x14ac:dyDescent="0.3">
      <c r="A878" s="28"/>
      <c r="B878" s="28"/>
      <c r="C878" s="28"/>
      <c r="D878" s="28"/>
      <c r="E878" s="28"/>
      <c r="F878" s="28"/>
      <c r="K878" s="28"/>
    </row>
    <row r="879" spans="1:11" ht="14.4" x14ac:dyDescent="0.3">
      <c r="A879" s="28"/>
      <c r="B879" s="28"/>
      <c r="C879" s="28"/>
      <c r="D879" s="28"/>
      <c r="E879" s="28"/>
      <c r="F879" s="28"/>
      <c r="K879" s="28"/>
    </row>
    <row r="880" spans="1:11" ht="14.4" x14ac:dyDescent="0.3">
      <c r="A880" s="28"/>
      <c r="B880" s="28"/>
      <c r="C880" s="28"/>
      <c r="D880" s="28"/>
      <c r="E880" s="28"/>
      <c r="F880" s="28"/>
      <c r="K880" s="28"/>
    </row>
    <row r="881" spans="1:11" ht="14.4" x14ac:dyDescent="0.3">
      <c r="A881" s="28"/>
      <c r="B881" s="28"/>
      <c r="C881" s="28"/>
      <c r="D881" s="28"/>
      <c r="E881" s="28"/>
      <c r="F881" s="28"/>
      <c r="K881" s="28"/>
    </row>
    <row r="882" spans="1:11" ht="14.4" x14ac:dyDescent="0.3">
      <c r="A882" s="28"/>
      <c r="B882" s="28"/>
      <c r="C882" s="28"/>
      <c r="D882" s="28"/>
      <c r="E882" s="28"/>
      <c r="F882" s="28"/>
      <c r="K882" s="28"/>
    </row>
    <row r="883" spans="1:11" ht="14.4" x14ac:dyDescent="0.3">
      <c r="A883" s="28"/>
      <c r="B883" s="28"/>
      <c r="C883" s="28"/>
      <c r="D883" s="28"/>
      <c r="E883" s="28"/>
      <c r="F883" s="28"/>
      <c r="K883" s="28"/>
    </row>
    <row r="884" spans="1:11" ht="14.4" x14ac:dyDescent="0.3">
      <c r="A884" s="28"/>
      <c r="B884" s="28"/>
      <c r="C884" s="28"/>
      <c r="D884" s="28"/>
      <c r="E884" s="28"/>
      <c r="F884" s="28"/>
      <c r="K884" s="28"/>
    </row>
    <row r="885" spans="1:11" ht="14.4" x14ac:dyDescent="0.3">
      <c r="A885" s="28"/>
      <c r="B885" s="28"/>
      <c r="C885" s="28"/>
      <c r="D885" s="28"/>
      <c r="E885" s="28"/>
      <c r="F885" s="28"/>
      <c r="K885" s="28"/>
    </row>
    <row r="886" spans="1:11" ht="14.4" x14ac:dyDescent="0.3">
      <c r="A886" s="28"/>
      <c r="B886" s="28"/>
      <c r="C886" s="28"/>
      <c r="D886" s="28"/>
      <c r="E886" s="28"/>
      <c r="F886" s="28"/>
      <c r="K886" s="28"/>
    </row>
    <row r="887" spans="1:11" ht="14.4" x14ac:dyDescent="0.3">
      <c r="A887" s="28"/>
      <c r="B887" s="28"/>
      <c r="C887" s="28"/>
      <c r="D887" s="28"/>
      <c r="E887" s="28"/>
      <c r="F887" s="28"/>
      <c r="K887" s="28"/>
    </row>
    <row r="888" spans="1:11" ht="14.4" x14ac:dyDescent="0.3">
      <c r="A888" s="28"/>
      <c r="B888" s="28"/>
      <c r="C888" s="28"/>
      <c r="D888" s="28"/>
      <c r="E888" s="28"/>
      <c r="F888" s="28"/>
      <c r="K888" s="28"/>
    </row>
    <row r="889" spans="1:11" ht="14.4" x14ac:dyDescent="0.3">
      <c r="A889" s="28"/>
      <c r="B889" s="28"/>
      <c r="C889" s="28"/>
      <c r="D889" s="28"/>
      <c r="E889" s="28"/>
      <c r="F889" s="28"/>
      <c r="K889" s="28"/>
    </row>
    <row r="890" spans="1:11" ht="14.4" x14ac:dyDescent="0.3">
      <c r="A890" s="28"/>
      <c r="B890" s="28"/>
      <c r="C890" s="28"/>
      <c r="D890" s="28"/>
      <c r="E890" s="28"/>
      <c r="F890" s="28"/>
      <c r="K890" s="28"/>
    </row>
    <row r="891" spans="1:11" ht="14.4" x14ac:dyDescent="0.3">
      <c r="A891" s="28"/>
      <c r="B891" s="28"/>
      <c r="C891" s="28"/>
      <c r="D891" s="28"/>
      <c r="E891" s="28"/>
      <c r="F891" s="28"/>
      <c r="K891" s="28"/>
    </row>
    <row r="892" spans="1:11" ht="14.4" x14ac:dyDescent="0.3">
      <c r="A892" s="28"/>
      <c r="B892" s="28"/>
      <c r="C892" s="28"/>
      <c r="D892" s="28"/>
      <c r="E892" s="28"/>
      <c r="F892" s="28"/>
      <c r="K892" s="28"/>
    </row>
    <row r="893" spans="1:11" ht="14.4" x14ac:dyDescent="0.3">
      <c r="A893" s="28"/>
      <c r="B893" s="28"/>
      <c r="C893" s="28"/>
      <c r="D893" s="28"/>
      <c r="E893" s="28"/>
      <c r="F893" s="28"/>
      <c r="K893" s="28"/>
    </row>
    <row r="894" spans="1:11" ht="14.4" x14ac:dyDescent="0.3">
      <c r="A894" s="28"/>
      <c r="B894" s="28"/>
      <c r="C894" s="28"/>
      <c r="D894" s="28"/>
      <c r="E894" s="28"/>
      <c r="F894" s="28"/>
      <c r="K894" s="28"/>
    </row>
    <row r="895" spans="1:11" ht="14.4" x14ac:dyDescent="0.3">
      <c r="A895" s="28"/>
      <c r="B895" s="28"/>
      <c r="C895" s="28"/>
      <c r="D895" s="28"/>
      <c r="E895" s="28"/>
      <c r="F895" s="28"/>
      <c r="K895" s="28"/>
    </row>
    <row r="896" spans="1:11" ht="14.4" x14ac:dyDescent="0.3">
      <c r="A896" s="28"/>
      <c r="B896" s="28"/>
      <c r="C896" s="28"/>
      <c r="D896" s="28"/>
      <c r="E896" s="28"/>
      <c r="F896" s="28"/>
      <c r="K896" s="28"/>
    </row>
    <row r="897" spans="1:11" ht="14.4" x14ac:dyDescent="0.3">
      <c r="A897" s="28"/>
      <c r="B897" s="28"/>
      <c r="C897" s="28"/>
      <c r="D897" s="28"/>
      <c r="E897" s="28"/>
      <c r="F897" s="28"/>
      <c r="K897" s="28"/>
    </row>
    <row r="898" spans="1:11" ht="14.4" x14ac:dyDescent="0.3">
      <c r="A898" s="28"/>
      <c r="B898" s="28"/>
      <c r="C898" s="28"/>
      <c r="D898" s="28"/>
      <c r="E898" s="28"/>
      <c r="F898" s="28"/>
      <c r="K898" s="28"/>
    </row>
    <row r="899" spans="1:11" ht="14.4" x14ac:dyDescent="0.3">
      <c r="A899" s="28"/>
      <c r="B899" s="28"/>
      <c r="C899" s="28"/>
      <c r="D899" s="28"/>
      <c r="E899" s="28"/>
      <c r="F899" s="28"/>
      <c r="K899" s="28"/>
    </row>
    <row r="900" spans="1:11" ht="14.4" x14ac:dyDescent="0.3">
      <c r="A900" s="28"/>
      <c r="B900" s="28"/>
      <c r="C900" s="28"/>
      <c r="D900" s="28"/>
      <c r="E900" s="28"/>
      <c r="F900" s="28"/>
      <c r="K900" s="28"/>
    </row>
    <row r="901" spans="1:11" ht="14.4" x14ac:dyDescent="0.3">
      <c r="A901" s="28"/>
      <c r="B901" s="28"/>
      <c r="C901" s="28"/>
      <c r="D901" s="28"/>
      <c r="E901" s="28"/>
      <c r="F901" s="28"/>
      <c r="K901" s="28"/>
    </row>
    <row r="902" spans="1:11" ht="14.4" x14ac:dyDescent="0.3">
      <c r="A902" s="28"/>
      <c r="B902" s="28"/>
      <c r="C902" s="28"/>
      <c r="D902" s="28"/>
      <c r="E902" s="28"/>
      <c r="F902" s="28"/>
      <c r="K902" s="28"/>
    </row>
    <row r="903" spans="1:11" ht="14.4" x14ac:dyDescent="0.3">
      <c r="A903" s="28"/>
      <c r="B903" s="28"/>
      <c r="C903" s="28"/>
      <c r="D903" s="28"/>
      <c r="E903" s="28"/>
      <c r="F903" s="28"/>
      <c r="K903" s="28"/>
    </row>
    <row r="904" spans="1:11" ht="14.4" x14ac:dyDescent="0.3">
      <c r="A904" s="28"/>
      <c r="B904" s="28"/>
      <c r="C904" s="28"/>
      <c r="D904" s="28"/>
      <c r="E904" s="28"/>
      <c r="F904" s="28"/>
      <c r="K904" s="28"/>
    </row>
    <row r="905" spans="1:11" ht="14.4" x14ac:dyDescent="0.3">
      <c r="A905" s="28"/>
      <c r="B905" s="28"/>
      <c r="C905" s="28"/>
      <c r="D905" s="28"/>
      <c r="E905" s="28"/>
      <c r="F905" s="28"/>
      <c r="K905" s="28"/>
    </row>
    <row r="906" spans="1:11" ht="14.4" x14ac:dyDescent="0.3">
      <c r="A906" s="28"/>
      <c r="B906" s="28"/>
      <c r="C906" s="28"/>
      <c r="D906" s="28"/>
      <c r="E906" s="28"/>
      <c r="F906" s="28"/>
      <c r="K906" s="28"/>
    </row>
    <row r="907" spans="1:11" ht="14.4" x14ac:dyDescent="0.3">
      <c r="A907" s="28"/>
      <c r="B907" s="28"/>
      <c r="C907" s="28"/>
      <c r="D907" s="28"/>
      <c r="E907" s="28"/>
      <c r="F907" s="28"/>
      <c r="K907" s="28"/>
    </row>
    <row r="908" spans="1:11" ht="14.4" x14ac:dyDescent="0.3">
      <c r="A908" s="28"/>
      <c r="B908" s="28"/>
      <c r="C908" s="28"/>
      <c r="D908" s="28"/>
      <c r="E908" s="28"/>
      <c r="F908" s="28"/>
      <c r="K908" s="28"/>
    </row>
    <row r="909" spans="1:11" ht="14.4" x14ac:dyDescent="0.3">
      <c r="A909" s="28"/>
      <c r="B909" s="28"/>
      <c r="C909" s="28"/>
      <c r="D909" s="28"/>
      <c r="E909" s="28"/>
      <c r="F909" s="28"/>
      <c r="K909" s="28"/>
    </row>
    <row r="910" spans="1:11" ht="14.4" x14ac:dyDescent="0.3">
      <c r="A910" s="28"/>
      <c r="B910" s="28"/>
      <c r="C910" s="28"/>
      <c r="D910" s="28"/>
      <c r="E910" s="28"/>
      <c r="F910" s="28"/>
      <c r="K910" s="28"/>
    </row>
    <row r="911" spans="1:11" ht="14.4" x14ac:dyDescent="0.3">
      <c r="A911" s="28"/>
      <c r="B911" s="28"/>
      <c r="C911" s="28"/>
      <c r="D911" s="28"/>
      <c r="E911" s="28"/>
      <c r="F911" s="28"/>
      <c r="K911" s="28"/>
    </row>
    <row r="912" spans="1:11" ht="14.4" x14ac:dyDescent="0.3">
      <c r="A912" s="28"/>
      <c r="B912" s="28"/>
      <c r="C912" s="28"/>
      <c r="D912" s="28"/>
      <c r="E912" s="28"/>
      <c r="F912" s="28"/>
      <c r="K912" s="28"/>
    </row>
    <row r="913" spans="1:11" ht="14.4" x14ac:dyDescent="0.3">
      <c r="A913" s="28"/>
      <c r="B913" s="28"/>
      <c r="C913" s="28"/>
      <c r="D913" s="28"/>
      <c r="E913" s="28"/>
      <c r="F913" s="28"/>
      <c r="K913" s="28"/>
    </row>
    <row r="914" spans="1:11" ht="14.4" x14ac:dyDescent="0.3">
      <c r="A914" s="28"/>
      <c r="B914" s="28"/>
      <c r="C914" s="28"/>
      <c r="D914" s="28"/>
      <c r="E914" s="28"/>
      <c r="F914" s="28"/>
      <c r="K914" s="28"/>
    </row>
    <row r="915" spans="1:11" ht="14.4" x14ac:dyDescent="0.3">
      <c r="A915" s="28"/>
      <c r="B915" s="28"/>
      <c r="C915" s="28"/>
      <c r="D915" s="28"/>
      <c r="E915" s="28"/>
      <c r="F915" s="28"/>
      <c r="K915" s="28"/>
    </row>
    <row r="916" spans="1:11" ht="14.4" x14ac:dyDescent="0.3">
      <c r="A916" s="28"/>
      <c r="B916" s="28"/>
      <c r="C916" s="28"/>
      <c r="D916" s="28"/>
      <c r="E916" s="28"/>
      <c r="F916" s="28"/>
      <c r="K916" s="28"/>
    </row>
    <row r="917" spans="1:11" ht="14.4" x14ac:dyDescent="0.3">
      <c r="A917" s="28"/>
      <c r="B917" s="28"/>
      <c r="C917" s="28"/>
      <c r="D917" s="28"/>
      <c r="E917" s="28"/>
      <c r="F917" s="28"/>
      <c r="K917" s="28"/>
    </row>
    <row r="918" spans="1:11" ht="14.4" x14ac:dyDescent="0.3">
      <c r="A918" s="28"/>
      <c r="B918" s="28"/>
      <c r="C918" s="28"/>
      <c r="D918" s="28"/>
      <c r="E918" s="28"/>
      <c r="F918" s="28"/>
      <c r="K918" s="28"/>
    </row>
    <row r="919" spans="1:11" ht="14.4" x14ac:dyDescent="0.3">
      <c r="A919" s="28"/>
      <c r="B919" s="28"/>
      <c r="C919" s="28"/>
      <c r="D919" s="28"/>
      <c r="E919" s="28"/>
      <c r="F919" s="28"/>
      <c r="K919" s="28"/>
    </row>
    <row r="920" spans="1:11" ht="14.4" x14ac:dyDescent="0.3">
      <c r="A920" s="28"/>
      <c r="B920" s="28"/>
      <c r="C920" s="28"/>
      <c r="D920" s="28"/>
      <c r="E920" s="28"/>
      <c r="F920" s="28"/>
      <c r="K920" s="28"/>
    </row>
    <row r="921" spans="1:11" ht="14.4" x14ac:dyDescent="0.3">
      <c r="A921" s="28"/>
      <c r="B921" s="28"/>
      <c r="C921" s="28"/>
      <c r="D921" s="28"/>
      <c r="E921" s="28"/>
      <c r="F921" s="28"/>
      <c r="K921" s="28"/>
    </row>
    <row r="922" spans="1:11" ht="14.4" x14ac:dyDescent="0.3">
      <c r="A922" s="28"/>
      <c r="B922" s="28"/>
      <c r="C922" s="28"/>
      <c r="D922" s="28"/>
      <c r="E922" s="28"/>
      <c r="F922" s="28"/>
      <c r="K922" s="28"/>
    </row>
    <row r="923" spans="1:11" ht="14.4" x14ac:dyDescent="0.3">
      <c r="A923" s="28"/>
      <c r="B923" s="28"/>
      <c r="C923" s="28"/>
      <c r="D923" s="28"/>
      <c r="E923" s="28"/>
      <c r="F923" s="28"/>
      <c r="K923" s="28"/>
    </row>
    <row r="924" spans="1:11" ht="14.4" x14ac:dyDescent="0.3">
      <c r="A924" s="28"/>
      <c r="B924" s="28"/>
      <c r="C924" s="28"/>
      <c r="D924" s="28"/>
      <c r="E924" s="28"/>
      <c r="F924" s="28"/>
      <c r="K924" s="28"/>
    </row>
    <row r="925" spans="1:11" ht="14.4" x14ac:dyDescent="0.3">
      <c r="A925" s="28"/>
      <c r="B925" s="28"/>
      <c r="C925" s="28"/>
      <c r="D925" s="28"/>
      <c r="E925" s="28"/>
      <c r="F925" s="28"/>
      <c r="K925" s="28"/>
    </row>
    <row r="926" spans="1:11" ht="14.4" x14ac:dyDescent="0.3">
      <c r="A926" s="28"/>
      <c r="B926" s="28"/>
      <c r="C926" s="28"/>
      <c r="D926" s="28"/>
      <c r="E926" s="28"/>
      <c r="F926" s="28"/>
      <c r="K926" s="28"/>
    </row>
    <row r="927" spans="1:11" ht="14.4" x14ac:dyDescent="0.3">
      <c r="A927" s="28"/>
      <c r="B927" s="28"/>
      <c r="C927" s="28"/>
      <c r="D927" s="28"/>
      <c r="E927" s="28"/>
      <c r="F927" s="28"/>
      <c r="K927" s="28"/>
    </row>
    <row r="928" spans="1:11" ht="14.4" x14ac:dyDescent="0.3">
      <c r="A928" s="28"/>
      <c r="B928" s="28"/>
      <c r="C928" s="28"/>
      <c r="D928" s="28"/>
      <c r="E928" s="28"/>
      <c r="F928" s="28"/>
      <c r="K928" s="28"/>
    </row>
    <row r="929" spans="1:11" ht="14.4" x14ac:dyDescent="0.3">
      <c r="A929" s="28"/>
      <c r="B929" s="28"/>
      <c r="C929" s="28"/>
      <c r="D929" s="28"/>
      <c r="E929" s="28"/>
      <c r="F929" s="28"/>
      <c r="K929" s="28"/>
    </row>
    <row r="930" spans="1:11" ht="14.4" x14ac:dyDescent="0.3">
      <c r="A930" s="28"/>
      <c r="B930" s="28"/>
      <c r="C930" s="28"/>
      <c r="D930" s="28"/>
      <c r="E930" s="28"/>
      <c r="F930" s="28"/>
      <c r="K930" s="28"/>
    </row>
    <row r="931" spans="1:11" ht="14.4" x14ac:dyDescent="0.3">
      <c r="A931" s="28"/>
      <c r="B931" s="28"/>
      <c r="C931" s="28"/>
      <c r="D931" s="28"/>
      <c r="E931" s="28"/>
      <c r="F931" s="28"/>
      <c r="K931" s="28"/>
    </row>
    <row r="932" spans="1:11" ht="14.4" x14ac:dyDescent="0.3">
      <c r="A932" s="28"/>
      <c r="B932" s="28"/>
      <c r="C932" s="28"/>
      <c r="D932" s="28"/>
      <c r="E932" s="28"/>
      <c r="F932" s="28"/>
      <c r="K932" s="28"/>
    </row>
    <row r="933" spans="1:11" ht="14.4" x14ac:dyDescent="0.3">
      <c r="A933" s="28"/>
      <c r="B933" s="28"/>
      <c r="C933" s="28"/>
      <c r="D933" s="28"/>
      <c r="E933" s="28"/>
      <c r="F933" s="28"/>
      <c r="K933" s="28"/>
    </row>
    <row r="934" spans="1:11" ht="14.4" x14ac:dyDescent="0.3">
      <c r="A934" s="28"/>
      <c r="B934" s="28"/>
      <c r="C934" s="28"/>
      <c r="D934" s="28"/>
      <c r="E934" s="28"/>
      <c r="F934" s="28"/>
      <c r="K934" s="28"/>
    </row>
    <row r="935" spans="1:11" ht="14.4" x14ac:dyDescent="0.3">
      <c r="A935" s="28"/>
      <c r="B935" s="28"/>
      <c r="C935" s="28"/>
      <c r="D935" s="28"/>
      <c r="E935" s="28"/>
      <c r="F935" s="28"/>
      <c r="K935" s="28"/>
    </row>
    <row r="936" spans="1:11" ht="14.4" x14ac:dyDescent="0.3">
      <c r="A936" s="28"/>
      <c r="B936" s="28"/>
      <c r="C936" s="28"/>
      <c r="D936" s="28"/>
      <c r="E936" s="28"/>
      <c r="F936" s="28"/>
      <c r="K936" s="28"/>
    </row>
    <row r="937" spans="1:11" ht="14.4" x14ac:dyDescent="0.3">
      <c r="A937" s="28"/>
      <c r="B937" s="28"/>
      <c r="C937" s="28"/>
      <c r="D937" s="28"/>
      <c r="E937" s="28"/>
      <c r="F937" s="28"/>
      <c r="K937" s="28"/>
    </row>
    <row r="938" spans="1:11" ht="14.4" x14ac:dyDescent="0.3">
      <c r="A938" s="28"/>
      <c r="B938" s="28"/>
      <c r="C938" s="28"/>
      <c r="D938" s="28"/>
      <c r="E938" s="28"/>
      <c r="F938" s="28"/>
      <c r="K938" s="28"/>
    </row>
    <row r="939" spans="1:11" ht="14.4" x14ac:dyDescent="0.3">
      <c r="A939" s="28"/>
      <c r="B939" s="28"/>
      <c r="C939" s="28"/>
      <c r="D939" s="28"/>
      <c r="E939" s="28"/>
      <c r="F939" s="28"/>
      <c r="K939" s="28"/>
    </row>
    <row r="940" spans="1:11" ht="14.4" x14ac:dyDescent="0.3">
      <c r="A940" s="28"/>
      <c r="B940" s="28"/>
      <c r="C940" s="28"/>
      <c r="D940" s="28"/>
      <c r="E940" s="28"/>
      <c r="F940" s="28"/>
      <c r="K940" s="28"/>
    </row>
    <row r="941" spans="1:11" ht="14.4" x14ac:dyDescent="0.3">
      <c r="A941" s="28"/>
      <c r="B941" s="28"/>
      <c r="C941" s="28"/>
      <c r="D941" s="28"/>
      <c r="E941" s="28"/>
      <c r="F941" s="28"/>
      <c r="K941" s="28"/>
    </row>
    <row r="942" spans="1:11" ht="14.4" x14ac:dyDescent="0.3">
      <c r="A942" s="28"/>
      <c r="B942" s="28"/>
      <c r="C942" s="28"/>
      <c r="D942" s="28"/>
      <c r="E942" s="28"/>
      <c r="F942" s="28"/>
      <c r="K942" s="28"/>
    </row>
    <row r="943" spans="1:11" ht="14.4" x14ac:dyDescent="0.3">
      <c r="A943" s="28"/>
      <c r="B943" s="28"/>
      <c r="C943" s="28"/>
      <c r="D943" s="28"/>
      <c r="E943" s="28"/>
      <c r="F943" s="28"/>
      <c r="K943" s="28"/>
    </row>
    <row r="944" spans="1:11" ht="14.4" x14ac:dyDescent="0.3">
      <c r="A944" s="28"/>
      <c r="B944" s="28"/>
      <c r="C944" s="28"/>
      <c r="D944" s="28"/>
      <c r="E944" s="28"/>
      <c r="F944" s="28"/>
      <c r="K944" s="28"/>
    </row>
    <row r="945" spans="1:11" ht="14.4" x14ac:dyDescent="0.3">
      <c r="A945" s="28"/>
      <c r="B945" s="28"/>
      <c r="C945" s="28"/>
      <c r="D945" s="28"/>
      <c r="E945" s="28"/>
      <c r="F945" s="28"/>
      <c r="K945" s="28"/>
    </row>
    <row r="946" spans="1:11" ht="14.4" x14ac:dyDescent="0.3">
      <c r="A946" s="28"/>
      <c r="B946" s="28"/>
      <c r="C946" s="28"/>
      <c r="D946" s="28"/>
      <c r="E946" s="28"/>
      <c r="F946" s="28"/>
      <c r="K946" s="28"/>
    </row>
    <row r="947" spans="1:11" ht="14.4" x14ac:dyDescent="0.3">
      <c r="A947" s="28"/>
      <c r="B947" s="28"/>
      <c r="C947" s="28"/>
      <c r="D947" s="28"/>
      <c r="E947" s="28"/>
      <c r="F947" s="28"/>
      <c r="K947" s="28"/>
    </row>
    <row r="948" spans="1:11" ht="14.4" x14ac:dyDescent="0.3">
      <c r="A948" s="28"/>
      <c r="B948" s="28"/>
      <c r="C948" s="28"/>
      <c r="D948" s="28"/>
      <c r="E948" s="28"/>
      <c r="F948" s="28"/>
      <c r="K948" s="28"/>
    </row>
    <row r="949" spans="1:11" ht="14.4" x14ac:dyDescent="0.3">
      <c r="A949" s="28"/>
      <c r="B949" s="28"/>
      <c r="C949" s="28"/>
      <c r="D949" s="28"/>
      <c r="E949" s="28"/>
      <c r="F949" s="28"/>
      <c r="K949" s="28"/>
    </row>
    <row r="950" spans="1:11" ht="14.4" x14ac:dyDescent="0.3">
      <c r="A950" s="28"/>
      <c r="B950" s="28"/>
      <c r="C950" s="28"/>
      <c r="D950" s="28"/>
      <c r="E950" s="28"/>
      <c r="F950" s="28"/>
      <c r="K950" s="28"/>
    </row>
    <row r="951" spans="1:11" ht="14.4" x14ac:dyDescent="0.3">
      <c r="A951" s="28"/>
      <c r="B951" s="28"/>
      <c r="C951" s="28"/>
      <c r="D951" s="28"/>
      <c r="E951" s="28"/>
      <c r="F951" s="28"/>
      <c r="K951" s="28"/>
    </row>
    <row r="952" spans="1:11" ht="14.4" x14ac:dyDescent="0.3">
      <c r="A952" s="28"/>
      <c r="B952" s="28"/>
      <c r="C952" s="28"/>
      <c r="D952" s="28"/>
      <c r="E952" s="28"/>
      <c r="F952" s="28"/>
      <c r="K952" s="28"/>
    </row>
    <row r="953" spans="1:11" ht="14.4" x14ac:dyDescent="0.3">
      <c r="A953" s="28"/>
      <c r="B953" s="28"/>
      <c r="C953" s="28"/>
      <c r="D953" s="28"/>
      <c r="E953" s="28"/>
      <c r="F953" s="28"/>
      <c r="K953" s="28"/>
    </row>
    <row r="954" spans="1:11" ht="14.4" x14ac:dyDescent="0.3">
      <c r="A954" s="28"/>
      <c r="B954" s="28"/>
      <c r="C954" s="28"/>
      <c r="D954" s="28"/>
      <c r="E954" s="28"/>
      <c r="F954" s="28"/>
      <c r="K954" s="28"/>
    </row>
    <row r="955" spans="1:11" ht="14.4" x14ac:dyDescent="0.3">
      <c r="A955" s="28"/>
      <c r="B955" s="28"/>
      <c r="C955" s="28"/>
      <c r="D955" s="28"/>
      <c r="E955" s="28"/>
      <c r="F955" s="28"/>
      <c r="K955" s="28"/>
    </row>
    <row r="956" spans="1:11" ht="14.4" x14ac:dyDescent="0.3">
      <c r="A956" s="28"/>
      <c r="B956" s="28"/>
      <c r="C956" s="28"/>
      <c r="D956" s="28"/>
      <c r="E956" s="28"/>
      <c r="F956" s="28"/>
      <c r="K956" s="28"/>
    </row>
    <row r="957" spans="1:11" ht="14.4" x14ac:dyDescent="0.3">
      <c r="A957" s="28"/>
      <c r="B957" s="28"/>
      <c r="C957" s="28"/>
      <c r="D957" s="28"/>
      <c r="E957" s="28"/>
      <c r="F957" s="28"/>
      <c r="K957" s="28"/>
    </row>
    <row r="958" spans="1:11" ht="14.4" x14ac:dyDescent="0.3">
      <c r="A958" s="28"/>
      <c r="B958" s="28"/>
      <c r="C958" s="28"/>
      <c r="D958" s="28"/>
      <c r="E958" s="28"/>
      <c r="F958" s="28"/>
      <c r="K958" s="28"/>
    </row>
    <row r="959" spans="1:11" ht="14.4" x14ac:dyDescent="0.3">
      <c r="A959" s="28"/>
      <c r="B959" s="28"/>
      <c r="C959" s="28"/>
      <c r="D959" s="28"/>
      <c r="E959" s="28"/>
      <c r="F959" s="28"/>
      <c r="K959" s="28"/>
    </row>
    <row r="960" spans="1:11" ht="14.4" x14ac:dyDescent="0.3">
      <c r="A960" s="28"/>
      <c r="B960" s="28"/>
      <c r="C960" s="28"/>
      <c r="D960" s="28"/>
      <c r="E960" s="28"/>
      <c r="F960" s="28"/>
      <c r="K960" s="28"/>
    </row>
    <row r="961" spans="1:11" ht="14.4" x14ac:dyDescent="0.3">
      <c r="A961" s="28"/>
      <c r="B961" s="28"/>
      <c r="C961" s="28"/>
      <c r="D961" s="28"/>
      <c r="E961" s="28"/>
      <c r="F961" s="28"/>
      <c r="K961" s="28"/>
    </row>
    <row r="962" spans="1:11" ht="14.4" x14ac:dyDescent="0.3">
      <c r="A962" s="28"/>
      <c r="B962" s="28"/>
      <c r="C962" s="28"/>
      <c r="D962" s="28"/>
      <c r="E962" s="28"/>
      <c r="F962" s="28"/>
      <c r="K962" s="28"/>
    </row>
    <row r="963" spans="1:11" ht="14.4" x14ac:dyDescent="0.3">
      <c r="A963" s="28"/>
      <c r="B963" s="28"/>
      <c r="C963" s="28"/>
      <c r="D963" s="28"/>
      <c r="E963" s="28"/>
      <c r="F963" s="28"/>
      <c r="K963" s="28"/>
    </row>
    <row r="964" spans="1:11" ht="14.4" x14ac:dyDescent="0.3">
      <c r="A964" s="28"/>
      <c r="B964" s="28"/>
      <c r="C964" s="28"/>
      <c r="D964" s="28"/>
      <c r="E964" s="28"/>
      <c r="F964" s="28"/>
      <c r="K964" s="28"/>
    </row>
    <row r="965" spans="1:11" ht="14.4" x14ac:dyDescent="0.3">
      <c r="A965" s="28"/>
      <c r="B965" s="28"/>
      <c r="C965" s="28"/>
      <c r="D965" s="28"/>
      <c r="E965" s="28"/>
      <c r="F965" s="28"/>
      <c r="K965" s="28"/>
    </row>
    <row r="966" spans="1:11" ht="14.4" x14ac:dyDescent="0.3">
      <c r="A966" s="28"/>
      <c r="B966" s="28"/>
      <c r="C966" s="28"/>
      <c r="D966" s="28"/>
      <c r="E966" s="28"/>
      <c r="F966" s="28"/>
      <c r="K966" s="28"/>
    </row>
    <row r="967" spans="1:11" ht="14.4" x14ac:dyDescent="0.3">
      <c r="A967" s="28"/>
      <c r="B967" s="28"/>
      <c r="C967" s="28"/>
      <c r="D967" s="28"/>
      <c r="E967" s="28"/>
      <c r="F967" s="28"/>
      <c r="K967" s="28"/>
    </row>
    <row r="968" spans="1:11" ht="14.4" x14ac:dyDescent="0.3">
      <c r="A968" s="28"/>
      <c r="B968" s="28"/>
      <c r="C968" s="28"/>
      <c r="D968" s="28"/>
      <c r="E968" s="28"/>
      <c r="F968" s="28"/>
      <c r="K968" s="28"/>
    </row>
    <row r="969" spans="1:11" ht="14.4" x14ac:dyDescent="0.3">
      <c r="A969" s="28"/>
      <c r="B969" s="28"/>
      <c r="C969" s="28"/>
      <c r="D969" s="28"/>
      <c r="E969" s="28"/>
      <c r="F969" s="28"/>
      <c r="K969" s="28"/>
    </row>
    <row r="970" spans="1:11" ht="14.4" x14ac:dyDescent="0.3">
      <c r="A970" s="28"/>
      <c r="B970" s="28"/>
      <c r="C970" s="28"/>
      <c r="D970" s="28"/>
      <c r="E970" s="28"/>
      <c r="F970" s="28"/>
      <c r="K970" s="28"/>
    </row>
    <row r="971" spans="1:11" ht="14.4" x14ac:dyDescent="0.3">
      <c r="A971" s="28"/>
      <c r="B971" s="28"/>
      <c r="C971" s="28"/>
      <c r="D971" s="28"/>
      <c r="E971" s="28"/>
      <c r="F971" s="28"/>
      <c r="K971" s="28"/>
    </row>
    <row r="972" spans="1:11" ht="14.4" x14ac:dyDescent="0.3">
      <c r="A972" s="28"/>
      <c r="B972" s="28"/>
      <c r="C972" s="28"/>
      <c r="D972" s="28"/>
      <c r="E972" s="28"/>
      <c r="F972" s="28"/>
      <c r="K972" s="28"/>
    </row>
    <row r="973" spans="1:11" ht="14.4" x14ac:dyDescent="0.3">
      <c r="A973" s="28"/>
      <c r="B973" s="28"/>
      <c r="C973" s="28"/>
      <c r="D973" s="28"/>
      <c r="E973" s="28"/>
      <c r="F973" s="28"/>
      <c r="K973" s="28"/>
    </row>
    <row r="974" spans="1:11" ht="14.4" x14ac:dyDescent="0.3">
      <c r="A974" s="28"/>
      <c r="B974" s="28"/>
      <c r="C974" s="28"/>
      <c r="D974" s="28"/>
      <c r="E974" s="28"/>
      <c r="F974" s="28"/>
      <c r="K974" s="28"/>
    </row>
    <row r="975" spans="1:11" ht="14.4" x14ac:dyDescent="0.3">
      <c r="A975" s="28"/>
      <c r="B975" s="28"/>
      <c r="C975" s="28"/>
      <c r="D975" s="28"/>
      <c r="E975" s="28"/>
      <c r="F975" s="28"/>
      <c r="K975" s="28"/>
    </row>
    <row r="976" spans="1:11" ht="14.4" x14ac:dyDescent="0.3">
      <c r="A976" s="28"/>
      <c r="B976" s="28"/>
      <c r="C976" s="28"/>
      <c r="D976" s="28"/>
      <c r="E976" s="28"/>
      <c r="F976" s="28"/>
      <c r="K976" s="28"/>
    </row>
    <row r="977" spans="1:11" ht="14.4" x14ac:dyDescent="0.3">
      <c r="A977" s="28"/>
      <c r="B977" s="28"/>
      <c r="C977" s="28"/>
      <c r="D977" s="28"/>
      <c r="E977" s="28"/>
      <c r="F977" s="28"/>
      <c r="K977" s="28"/>
    </row>
    <row r="978" spans="1:11" ht="14.4" x14ac:dyDescent="0.3">
      <c r="A978" s="28"/>
      <c r="B978" s="28"/>
      <c r="C978" s="28"/>
      <c r="D978" s="28"/>
      <c r="E978" s="28"/>
      <c r="F978" s="28"/>
      <c r="K978" s="28"/>
    </row>
    <row r="979" spans="1:11" ht="14.4" x14ac:dyDescent="0.3">
      <c r="A979" s="28"/>
      <c r="B979" s="28"/>
      <c r="C979" s="28"/>
      <c r="D979" s="28"/>
      <c r="E979" s="28"/>
      <c r="F979" s="28"/>
      <c r="K979" s="28"/>
    </row>
    <row r="980" spans="1:11" ht="14.4" x14ac:dyDescent="0.3">
      <c r="A980" s="28"/>
      <c r="B980" s="28"/>
      <c r="C980" s="28"/>
      <c r="D980" s="28"/>
      <c r="E980" s="28"/>
      <c r="F980" s="28"/>
      <c r="K980" s="28"/>
    </row>
    <row r="981" spans="1:11" ht="14.4" x14ac:dyDescent="0.3">
      <c r="A981" s="28"/>
      <c r="B981" s="28"/>
      <c r="C981" s="28"/>
      <c r="D981" s="28"/>
      <c r="E981" s="28"/>
      <c r="F981" s="28"/>
      <c r="K981" s="28"/>
    </row>
    <row r="982" spans="1:11" ht="14.4" x14ac:dyDescent="0.3">
      <c r="A982" s="28"/>
      <c r="B982" s="28"/>
      <c r="C982" s="28"/>
      <c r="D982" s="28"/>
      <c r="E982" s="28"/>
      <c r="F982" s="28"/>
      <c r="K982" s="28"/>
    </row>
    <row r="983" spans="1:11" ht="14.4" x14ac:dyDescent="0.3">
      <c r="A983" s="28"/>
      <c r="B983" s="28"/>
      <c r="C983" s="28"/>
      <c r="D983" s="28"/>
      <c r="E983" s="28"/>
      <c r="F983" s="28"/>
      <c r="K983" s="28"/>
    </row>
    <row r="984" spans="1:11" ht="14.4" x14ac:dyDescent="0.3">
      <c r="A984" s="28"/>
      <c r="B984" s="28"/>
      <c r="C984" s="28"/>
      <c r="D984" s="28"/>
      <c r="E984" s="28"/>
      <c r="F984" s="28"/>
      <c r="K984" s="28"/>
    </row>
    <row r="985" spans="1:11" ht="14.4" x14ac:dyDescent="0.3">
      <c r="A985" s="28"/>
      <c r="B985" s="28"/>
      <c r="C985" s="28"/>
      <c r="D985" s="28"/>
      <c r="E985" s="28"/>
      <c r="F985" s="28"/>
      <c r="K985" s="28"/>
    </row>
    <row r="986" spans="1:11" ht="14.4" x14ac:dyDescent="0.3">
      <c r="A986" s="28"/>
      <c r="B986" s="28"/>
      <c r="C986" s="28"/>
      <c r="D986" s="28"/>
      <c r="E986" s="28"/>
      <c r="F986" s="28"/>
      <c r="K986" s="28"/>
    </row>
    <row r="987" spans="1:11" ht="14.4" x14ac:dyDescent="0.3">
      <c r="A987" s="28"/>
      <c r="B987" s="28"/>
      <c r="C987" s="28"/>
      <c r="D987" s="28"/>
      <c r="E987" s="28"/>
      <c r="F987" s="28"/>
      <c r="K987" s="28"/>
    </row>
    <row r="988" spans="1:11" ht="14.4" x14ac:dyDescent="0.3">
      <c r="A988" s="28"/>
      <c r="B988" s="28"/>
      <c r="C988" s="28"/>
      <c r="D988" s="28"/>
      <c r="E988" s="28"/>
      <c r="F988" s="28"/>
      <c r="K988" s="28"/>
    </row>
    <row r="989" spans="1:11" ht="14.4" x14ac:dyDescent="0.3">
      <c r="A989" s="28"/>
      <c r="B989" s="28"/>
      <c r="C989" s="28"/>
      <c r="D989" s="28"/>
      <c r="E989" s="28"/>
      <c r="F989" s="28"/>
      <c r="K989" s="28"/>
    </row>
    <row r="990" spans="1:11" ht="14.4" x14ac:dyDescent="0.3">
      <c r="A990" s="28"/>
      <c r="B990" s="28"/>
      <c r="C990" s="28"/>
      <c r="D990" s="28"/>
      <c r="E990" s="28"/>
      <c r="F990" s="28"/>
      <c r="K990" s="28"/>
    </row>
    <row r="991" spans="1:11" ht="14.4" x14ac:dyDescent="0.3">
      <c r="A991" s="28"/>
      <c r="B991" s="28"/>
      <c r="C991" s="28"/>
      <c r="D991" s="28"/>
      <c r="E991" s="28"/>
      <c r="F991" s="28"/>
      <c r="K991" s="28"/>
    </row>
    <row r="992" spans="1:11" ht="14.4" x14ac:dyDescent="0.3">
      <c r="A992" s="28"/>
      <c r="B992" s="28"/>
      <c r="C992" s="28"/>
      <c r="D992" s="28"/>
      <c r="E992" s="28"/>
      <c r="F992" s="28"/>
      <c r="K992" s="28"/>
    </row>
    <row r="993" spans="1:11" ht="14.4" x14ac:dyDescent="0.3">
      <c r="A993" s="28"/>
      <c r="B993" s="28"/>
      <c r="C993" s="28"/>
      <c r="D993" s="28"/>
      <c r="E993" s="28"/>
      <c r="F993" s="28"/>
      <c r="K993" s="28"/>
    </row>
    <row r="994" spans="1:11" ht="14.4" x14ac:dyDescent="0.3">
      <c r="A994" s="28"/>
      <c r="B994" s="28"/>
      <c r="C994" s="28"/>
      <c r="D994" s="28"/>
      <c r="E994" s="28"/>
      <c r="F994" s="28"/>
      <c r="K994" s="28"/>
    </row>
    <row r="995" spans="1:11" ht="14.4" x14ac:dyDescent="0.3">
      <c r="A995" s="28"/>
      <c r="B995" s="28"/>
      <c r="C995" s="28"/>
      <c r="D995" s="28"/>
      <c r="E995" s="28"/>
      <c r="F995" s="28"/>
      <c r="K995" s="28"/>
    </row>
    <row r="996" spans="1:11" ht="14.4" x14ac:dyDescent="0.3">
      <c r="A996" s="28"/>
      <c r="B996" s="28"/>
      <c r="C996" s="28"/>
      <c r="D996" s="28"/>
      <c r="E996" s="28"/>
      <c r="F996" s="28"/>
      <c r="K996" s="28"/>
    </row>
    <row r="997" spans="1:11" ht="14.4" x14ac:dyDescent="0.3">
      <c r="A997" s="28"/>
      <c r="B997" s="28"/>
      <c r="C997" s="28"/>
      <c r="D997" s="28"/>
      <c r="E997" s="28"/>
      <c r="F997" s="28"/>
      <c r="K997" s="28"/>
    </row>
    <row r="998" spans="1:11" ht="14.4" x14ac:dyDescent="0.3">
      <c r="A998" s="28"/>
      <c r="B998" s="28"/>
      <c r="C998" s="28"/>
      <c r="D998" s="28"/>
      <c r="E998" s="28"/>
      <c r="F998" s="28"/>
      <c r="K998" s="28"/>
    </row>
    <row r="999" spans="1:11" ht="14.4" x14ac:dyDescent="0.3">
      <c r="A999" s="28"/>
      <c r="B999" s="28"/>
      <c r="C999" s="28"/>
      <c r="D999" s="28"/>
      <c r="E999" s="28"/>
      <c r="F999" s="28"/>
      <c r="K999" s="28"/>
    </row>
    <row r="1000" spans="1:11" ht="14.4" x14ac:dyDescent="0.3">
      <c r="A1000" s="28"/>
      <c r="B1000" s="28"/>
      <c r="C1000" s="28"/>
      <c r="D1000" s="28"/>
      <c r="E1000" s="28"/>
      <c r="F1000" s="28"/>
      <c r="K1000" s="28"/>
    </row>
  </sheetData>
  <autoFilter ref="A1:F344" xr:uid="{00000000-0009-0000-0000-000009000000}"/>
  <conditionalFormatting sqref="D1 F1 D2:F1000">
    <cfRule type="cellIs" dxfId="7" priority="5" operator="equal">
      <formula>"Verde"</formula>
    </cfRule>
    <cfRule type="cellIs" dxfId="6" priority="6" operator="equal">
      <formula>"Amarillo"</formula>
    </cfRule>
    <cfRule type="cellIs" dxfId="5" priority="7" operator="equal">
      <formula>"Naranja"</formula>
    </cfRule>
    <cfRule type="cellIs" dxfId="4" priority="8" operator="equal">
      <formula>"Rojo"</formula>
    </cfRule>
  </conditionalFormatting>
  <conditionalFormatting sqref="K2:K1000">
    <cfRule type="cellIs" dxfId="3" priority="1" operator="equal">
      <formula>"Verde"</formula>
    </cfRule>
    <cfRule type="cellIs" dxfId="2" priority="2" operator="equal">
      <formula>"Amarillo"</formula>
    </cfRule>
    <cfRule type="cellIs" dxfId="1" priority="3" operator="equal">
      <formula>"Naranja"</formula>
    </cfRule>
    <cfRule type="cellIs" dxfId="0" priority="4" operator="equal">
      <formula>"Rojo"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CD501-86F1-42DF-9127-B5C751B77558}">
  <dimension ref="A1"/>
  <sheetViews>
    <sheetView workbookViewId="0">
      <selection activeCell="I6" sqref="I6"/>
    </sheetView>
  </sheetViews>
  <sheetFormatPr baseColWidth="10" defaultRowHeight="13.8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Datos originales</vt:lpstr>
      <vt:lpstr>Datos Procesados</vt:lpstr>
      <vt:lpstr>Indicador_MUN</vt:lpstr>
      <vt:lpstr>Absoluto_MUN</vt:lpstr>
      <vt:lpstr>Indicador_DEP</vt:lpstr>
      <vt:lpstr>Absoluto_DEP </vt:lpstr>
      <vt:lpstr>Umbral</vt:lpstr>
      <vt:lpstr>Clasificación 2024</vt:lpstr>
      <vt:lpstr>Mapa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Bustillo</dc:creator>
  <cp:lastModifiedBy>Karina</cp:lastModifiedBy>
  <dcterms:created xsi:type="dcterms:W3CDTF">2018-12-14T20:30:43Z</dcterms:created>
  <dcterms:modified xsi:type="dcterms:W3CDTF">2026-05-29T02:41:39Z</dcterms:modified>
</cp:coreProperties>
</file>