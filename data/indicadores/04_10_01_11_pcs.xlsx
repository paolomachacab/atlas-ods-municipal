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ods_paolo\"/>
    </mc:Choice>
  </mc:AlternateContent>
  <xr:revisionPtr revIDLastSave="0" documentId="8_{8124D7A6-1C2C-41FF-BC31-C5C6612875B7}" xr6:coauthVersionLast="47" xr6:coauthVersionMax="47" xr10:uidLastSave="{00000000-0000-0000-0000-000000000000}"/>
  <bookViews>
    <workbookView xWindow="-108" yWindow="-108" windowWidth="23256" windowHeight="12456" activeTab="6" xr2:uid="{1F0CCE29-C528-4204-AA1E-F32404105712}"/>
  </bookViews>
  <sheets>
    <sheet name="Datos procesados" sheetId="7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S3" i="7" l="1"/>
  <c r="BT3" i="7"/>
  <c r="BS4" i="7"/>
  <c r="BT4" i="7"/>
  <c r="BS5" i="7"/>
  <c r="BT5" i="7"/>
  <c r="BS6" i="7"/>
  <c r="BT6" i="7"/>
  <c r="BS7" i="7"/>
  <c r="BT7" i="7"/>
  <c r="BS8" i="7"/>
  <c r="BT8" i="7"/>
  <c r="BS9" i="7"/>
  <c r="BT9" i="7"/>
  <c r="BS10" i="7"/>
  <c r="BT10" i="7"/>
  <c r="BS11" i="7"/>
  <c r="BT11" i="7"/>
  <c r="BS12" i="7"/>
  <c r="BT12" i="7"/>
  <c r="BT2" i="7"/>
  <c r="BS2" i="7"/>
  <c r="BG3" i="7"/>
  <c r="BH3" i="7"/>
  <c r="BI3" i="7"/>
  <c r="BG4" i="7"/>
  <c r="BH4" i="7"/>
  <c r="BI4" i="7"/>
  <c r="BG5" i="7"/>
  <c r="BH5" i="7"/>
  <c r="BI5" i="7"/>
  <c r="BG6" i="7"/>
  <c r="BH6" i="7"/>
  <c r="BI6" i="7"/>
  <c r="BG7" i="7"/>
  <c r="BH7" i="7"/>
  <c r="BI7" i="7"/>
  <c r="BG8" i="7"/>
  <c r="BH8" i="7"/>
  <c r="BI8" i="7"/>
  <c r="BG9" i="7"/>
  <c r="BH9" i="7"/>
  <c r="BI9" i="7"/>
  <c r="BG10" i="7"/>
  <c r="BH10" i="7"/>
  <c r="BI10" i="7"/>
  <c r="BG11" i="7"/>
  <c r="BH11" i="7"/>
  <c r="BI11" i="7"/>
  <c r="BG12" i="7"/>
  <c r="BH12" i="7"/>
  <c r="BI12" i="7"/>
  <c r="BH2" i="7"/>
  <c r="BI2" i="7"/>
  <c r="BG2" i="7"/>
  <c r="AT3" i="7"/>
  <c r="AU3" i="7"/>
  <c r="AV3" i="7"/>
  <c r="AT4" i="7"/>
  <c r="AU4" i="7"/>
  <c r="AV4" i="7"/>
  <c r="AT5" i="7"/>
  <c r="AU5" i="7"/>
  <c r="AV5" i="7"/>
  <c r="AT6" i="7"/>
  <c r="AU6" i="7"/>
  <c r="AV6" i="7"/>
  <c r="AT7" i="7"/>
  <c r="AU7" i="7"/>
  <c r="AV7" i="7"/>
  <c r="AT8" i="7"/>
  <c r="AU8" i="7"/>
  <c r="AV8" i="7"/>
  <c r="AT9" i="7"/>
  <c r="AU9" i="7"/>
  <c r="AV9" i="7"/>
  <c r="AT10" i="7"/>
  <c r="AU10" i="7"/>
  <c r="AV10" i="7"/>
  <c r="AT11" i="7"/>
  <c r="AU11" i="7"/>
  <c r="AV11" i="7"/>
  <c r="AT12" i="7"/>
  <c r="AU12" i="7"/>
  <c r="AV12" i="7"/>
  <c r="AU2" i="7"/>
  <c r="AV2" i="7"/>
  <c r="AT2" i="7"/>
  <c r="M3" i="7"/>
  <c r="N3" i="7"/>
  <c r="O3" i="7"/>
  <c r="P3" i="7"/>
  <c r="Q3" i="7"/>
  <c r="R3" i="7"/>
  <c r="S3" i="7"/>
  <c r="M4" i="7"/>
  <c r="N4" i="7"/>
  <c r="O4" i="7"/>
  <c r="P4" i="7"/>
  <c r="Q4" i="7"/>
  <c r="R4" i="7"/>
  <c r="S4" i="7"/>
  <c r="M5" i="7"/>
  <c r="N5" i="7"/>
  <c r="O5" i="7"/>
  <c r="P5" i="7"/>
  <c r="Q5" i="7"/>
  <c r="R5" i="7"/>
  <c r="S5" i="7"/>
  <c r="M6" i="7"/>
  <c r="N6" i="7"/>
  <c r="O6" i="7"/>
  <c r="P6" i="7"/>
  <c r="Q6" i="7"/>
  <c r="R6" i="7"/>
  <c r="S6" i="7"/>
  <c r="M7" i="7"/>
  <c r="N7" i="7"/>
  <c r="O7" i="7"/>
  <c r="P7" i="7"/>
  <c r="Q7" i="7"/>
  <c r="R7" i="7"/>
  <c r="S7" i="7"/>
  <c r="M8" i="7"/>
  <c r="N8" i="7"/>
  <c r="O8" i="7"/>
  <c r="P8" i="7"/>
  <c r="Q8" i="7"/>
  <c r="R8" i="7"/>
  <c r="S8" i="7"/>
  <c r="M9" i="7"/>
  <c r="N9" i="7"/>
  <c r="O9" i="7"/>
  <c r="P9" i="7"/>
  <c r="Q9" i="7"/>
  <c r="R9" i="7"/>
  <c r="S9" i="7"/>
  <c r="M10" i="7"/>
  <c r="N10" i="7"/>
  <c r="O10" i="7"/>
  <c r="P10" i="7"/>
  <c r="Q10" i="7"/>
  <c r="R10" i="7"/>
  <c r="S10" i="7"/>
  <c r="M11" i="7"/>
  <c r="N11" i="7"/>
  <c r="O11" i="7"/>
  <c r="P11" i="7"/>
  <c r="Q11" i="7"/>
  <c r="R11" i="7"/>
  <c r="S11" i="7"/>
  <c r="M12" i="7"/>
  <c r="N12" i="7"/>
  <c r="O12" i="7"/>
  <c r="P12" i="7"/>
  <c r="Q12" i="7"/>
  <c r="R12" i="7"/>
  <c r="S12" i="7"/>
  <c r="M13" i="7"/>
  <c r="N13" i="7"/>
  <c r="O13" i="7"/>
  <c r="P13" i="7"/>
  <c r="Q13" i="7"/>
  <c r="R13" i="7"/>
  <c r="S13" i="7"/>
  <c r="M14" i="7"/>
  <c r="N14" i="7"/>
  <c r="O14" i="7"/>
  <c r="P14" i="7"/>
  <c r="Q14" i="7"/>
  <c r="R14" i="7"/>
  <c r="S14" i="7"/>
  <c r="M15" i="7"/>
  <c r="N15" i="7"/>
  <c r="O15" i="7"/>
  <c r="P15" i="7"/>
  <c r="Q15" i="7"/>
  <c r="R15" i="7"/>
  <c r="S15" i="7"/>
  <c r="M16" i="7"/>
  <c r="N16" i="7"/>
  <c r="O16" i="7"/>
  <c r="P16" i="7"/>
  <c r="Q16" i="7"/>
  <c r="R16" i="7"/>
  <c r="S16" i="7"/>
  <c r="M17" i="7"/>
  <c r="N17" i="7"/>
  <c r="O17" i="7"/>
  <c r="P17" i="7"/>
  <c r="Q17" i="7"/>
  <c r="R17" i="7"/>
  <c r="S17" i="7"/>
  <c r="M18" i="7"/>
  <c r="N18" i="7"/>
  <c r="O18" i="7"/>
  <c r="P18" i="7"/>
  <c r="Q18" i="7"/>
  <c r="R18" i="7"/>
  <c r="S18" i="7"/>
  <c r="M19" i="7"/>
  <c r="N19" i="7"/>
  <c r="O19" i="7"/>
  <c r="P19" i="7"/>
  <c r="Q19" i="7"/>
  <c r="R19" i="7"/>
  <c r="S19" i="7"/>
  <c r="M20" i="7"/>
  <c r="N20" i="7"/>
  <c r="O20" i="7"/>
  <c r="P20" i="7"/>
  <c r="Q20" i="7"/>
  <c r="R20" i="7"/>
  <c r="S20" i="7"/>
  <c r="M21" i="7"/>
  <c r="N21" i="7"/>
  <c r="O21" i="7"/>
  <c r="P21" i="7"/>
  <c r="Q21" i="7"/>
  <c r="R21" i="7"/>
  <c r="S21" i="7"/>
  <c r="M22" i="7"/>
  <c r="N22" i="7"/>
  <c r="O22" i="7"/>
  <c r="P22" i="7"/>
  <c r="Q22" i="7"/>
  <c r="R22" i="7"/>
  <c r="S22" i="7"/>
  <c r="M23" i="7"/>
  <c r="N23" i="7"/>
  <c r="O23" i="7"/>
  <c r="P23" i="7"/>
  <c r="Q23" i="7"/>
  <c r="R23" i="7"/>
  <c r="S23" i="7"/>
  <c r="M24" i="7"/>
  <c r="N24" i="7"/>
  <c r="O24" i="7"/>
  <c r="P24" i="7"/>
  <c r="Q24" i="7"/>
  <c r="R24" i="7"/>
  <c r="S24" i="7"/>
  <c r="M25" i="7"/>
  <c r="N25" i="7"/>
  <c r="O25" i="7"/>
  <c r="P25" i="7"/>
  <c r="Q25" i="7"/>
  <c r="R25" i="7"/>
  <c r="S25" i="7"/>
  <c r="M26" i="7"/>
  <c r="N26" i="7"/>
  <c r="O26" i="7"/>
  <c r="P26" i="7"/>
  <c r="Q26" i="7"/>
  <c r="R26" i="7"/>
  <c r="S26" i="7"/>
  <c r="M27" i="7"/>
  <c r="N27" i="7"/>
  <c r="O27" i="7"/>
  <c r="P27" i="7"/>
  <c r="Q27" i="7"/>
  <c r="R27" i="7"/>
  <c r="S27" i="7"/>
  <c r="M28" i="7"/>
  <c r="N28" i="7"/>
  <c r="O28" i="7"/>
  <c r="P28" i="7"/>
  <c r="Q28" i="7"/>
  <c r="R28" i="7"/>
  <c r="S28" i="7"/>
  <c r="M29" i="7"/>
  <c r="N29" i="7"/>
  <c r="O29" i="7"/>
  <c r="P29" i="7"/>
  <c r="Q29" i="7"/>
  <c r="R29" i="7"/>
  <c r="S29" i="7"/>
  <c r="M30" i="7"/>
  <c r="N30" i="7"/>
  <c r="O30" i="7"/>
  <c r="P30" i="7"/>
  <c r="Q30" i="7"/>
  <c r="R30" i="7"/>
  <c r="S30" i="7"/>
  <c r="M31" i="7"/>
  <c r="N31" i="7"/>
  <c r="O31" i="7"/>
  <c r="P31" i="7"/>
  <c r="Q31" i="7"/>
  <c r="R31" i="7"/>
  <c r="S31" i="7"/>
  <c r="M32" i="7"/>
  <c r="N32" i="7"/>
  <c r="O32" i="7"/>
  <c r="P32" i="7"/>
  <c r="Q32" i="7"/>
  <c r="R32" i="7"/>
  <c r="S32" i="7"/>
  <c r="M33" i="7"/>
  <c r="N33" i="7"/>
  <c r="O33" i="7"/>
  <c r="P33" i="7"/>
  <c r="Q33" i="7"/>
  <c r="R33" i="7"/>
  <c r="S33" i="7"/>
  <c r="M34" i="7"/>
  <c r="N34" i="7"/>
  <c r="O34" i="7"/>
  <c r="P34" i="7"/>
  <c r="Q34" i="7"/>
  <c r="R34" i="7"/>
  <c r="S34" i="7"/>
  <c r="M35" i="7"/>
  <c r="N35" i="7"/>
  <c r="O35" i="7"/>
  <c r="P35" i="7"/>
  <c r="Q35" i="7"/>
  <c r="R35" i="7"/>
  <c r="S35" i="7"/>
  <c r="M36" i="7"/>
  <c r="N36" i="7"/>
  <c r="O36" i="7"/>
  <c r="P36" i="7"/>
  <c r="Q36" i="7"/>
  <c r="R36" i="7"/>
  <c r="S36" i="7"/>
  <c r="M37" i="7"/>
  <c r="N37" i="7"/>
  <c r="O37" i="7"/>
  <c r="P37" i="7"/>
  <c r="Q37" i="7"/>
  <c r="R37" i="7"/>
  <c r="S37" i="7"/>
  <c r="M38" i="7"/>
  <c r="N38" i="7"/>
  <c r="O38" i="7"/>
  <c r="P38" i="7"/>
  <c r="Q38" i="7"/>
  <c r="R38" i="7"/>
  <c r="S38" i="7"/>
  <c r="M39" i="7"/>
  <c r="N39" i="7"/>
  <c r="O39" i="7"/>
  <c r="P39" i="7"/>
  <c r="Q39" i="7"/>
  <c r="R39" i="7"/>
  <c r="S39" i="7"/>
  <c r="M40" i="7"/>
  <c r="N40" i="7"/>
  <c r="O40" i="7"/>
  <c r="P40" i="7"/>
  <c r="Q40" i="7"/>
  <c r="R40" i="7"/>
  <c r="S40" i="7"/>
  <c r="M41" i="7"/>
  <c r="N41" i="7"/>
  <c r="O41" i="7"/>
  <c r="P41" i="7"/>
  <c r="Q41" i="7"/>
  <c r="R41" i="7"/>
  <c r="S41" i="7"/>
  <c r="M42" i="7"/>
  <c r="N42" i="7"/>
  <c r="O42" i="7"/>
  <c r="P42" i="7"/>
  <c r="Q42" i="7"/>
  <c r="R42" i="7"/>
  <c r="S42" i="7"/>
  <c r="M43" i="7"/>
  <c r="N43" i="7"/>
  <c r="O43" i="7"/>
  <c r="P43" i="7"/>
  <c r="Q43" i="7"/>
  <c r="R43" i="7"/>
  <c r="S43" i="7"/>
  <c r="M44" i="7"/>
  <c r="N44" i="7"/>
  <c r="O44" i="7"/>
  <c r="P44" i="7"/>
  <c r="Q44" i="7"/>
  <c r="R44" i="7"/>
  <c r="S44" i="7"/>
  <c r="M45" i="7"/>
  <c r="N45" i="7"/>
  <c r="O45" i="7"/>
  <c r="P45" i="7"/>
  <c r="Q45" i="7"/>
  <c r="R45" i="7"/>
  <c r="S45" i="7"/>
  <c r="M46" i="7"/>
  <c r="N46" i="7"/>
  <c r="O46" i="7"/>
  <c r="P46" i="7"/>
  <c r="Q46" i="7"/>
  <c r="R46" i="7"/>
  <c r="S46" i="7"/>
  <c r="M47" i="7"/>
  <c r="N47" i="7"/>
  <c r="O47" i="7"/>
  <c r="P47" i="7"/>
  <c r="Q47" i="7"/>
  <c r="R47" i="7"/>
  <c r="S47" i="7"/>
  <c r="M48" i="7"/>
  <c r="N48" i="7"/>
  <c r="O48" i="7"/>
  <c r="P48" i="7"/>
  <c r="Q48" i="7"/>
  <c r="R48" i="7"/>
  <c r="S48" i="7"/>
  <c r="M49" i="7"/>
  <c r="N49" i="7"/>
  <c r="O49" i="7"/>
  <c r="P49" i="7"/>
  <c r="Q49" i="7"/>
  <c r="R49" i="7"/>
  <c r="S49" i="7"/>
  <c r="M50" i="7"/>
  <c r="N50" i="7"/>
  <c r="O50" i="7"/>
  <c r="P50" i="7"/>
  <c r="Q50" i="7"/>
  <c r="R50" i="7"/>
  <c r="S50" i="7"/>
  <c r="M51" i="7"/>
  <c r="N51" i="7"/>
  <c r="O51" i="7"/>
  <c r="P51" i="7"/>
  <c r="Q51" i="7"/>
  <c r="R51" i="7"/>
  <c r="S51" i="7"/>
  <c r="M52" i="7"/>
  <c r="N52" i="7"/>
  <c r="O52" i="7"/>
  <c r="P52" i="7"/>
  <c r="Q52" i="7"/>
  <c r="R52" i="7"/>
  <c r="S52" i="7"/>
  <c r="M53" i="7"/>
  <c r="N53" i="7"/>
  <c r="O53" i="7"/>
  <c r="P53" i="7"/>
  <c r="Q53" i="7"/>
  <c r="R53" i="7"/>
  <c r="S53" i="7"/>
  <c r="M54" i="7"/>
  <c r="N54" i="7"/>
  <c r="O54" i="7"/>
  <c r="P54" i="7"/>
  <c r="Q54" i="7"/>
  <c r="R54" i="7"/>
  <c r="S54" i="7"/>
  <c r="M55" i="7"/>
  <c r="N55" i="7"/>
  <c r="O55" i="7"/>
  <c r="P55" i="7"/>
  <c r="Q55" i="7"/>
  <c r="R55" i="7"/>
  <c r="S55" i="7"/>
  <c r="M56" i="7"/>
  <c r="N56" i="7"/>
  <c r="O56" i="7"/>
  <c r="P56" i="7"/>
  <c r="Q56" i="7"/>
  <c r="R56" i="7"/>
  <c r="S56" i="7"/>
  <c r="M57" i="7"/>
  <c r="N57" i="7"/>
  <c r="O57" i="7"/>
  <c r="P57" i="7"/>
  <c r="Q57" i="7"/>
  <c r="R57" i="7"/>
  <c r="S57" i="7"/>
  <c r="M58" i="7"/>
  <c r="N58" i="7"/>
  <c r="O58" i="7"/>
  <c r="P58" i="7"/>
  <c r="Q58" i="7"/>
  <c r="R58" i="7"/>
  <c r="S58" i="7"/>
  <c r="M59" i="7"/>
  <c r="N59" i="7"/>
  <c r="O59" i="7"/>
  <c r="P59" i="7"/>
  <c r="Q59" i="7"/>
  <c r="R59" i="7"/>
  <c r="S59" i="7"/>
  <c r="M60" i="7"/>
  <c r="N60" i="7"/>
  <c r="O60" i="7"/>
  <c r="P60" i="7"/>
  <c r="Q60" i="7"/>
  <c r="R60" i="7"/>
  <c r="S60" i="7"/>
  <c r="M61" i="7"/>
  <c r="N61" i="7"/>
  <c r="O61" i="7"/>
  <c r="P61" i="7"/>
  <c r="Q61" i="7"/>
  <c r="R61" i="7"/>
  <c r="S61" i="7"/>
  <c r="M62" i="7"/>
  <c r="N62" i="7"/>
  <c r="O62" i="7"/>
  <c r="P62" i="7"/>
  <c r="Q62" i="7"/>
  <c r="R62" i="7"/>
  <c r="S62" i="7"/>
  <c r="M63" i="7"/>
  <c r="N63" i="7"/>
  <c r="O63" i="7"/>
  <c r="P63" i="7"/>
  <c r="Q63" i="7"/>
  <c r="R63" i="7"/>
  <c r="S63" i="7"/>
  <c r="M64" i="7"/>
  <c r="N64" i="7"/>
  <c r="O64" i="7"/>
  <c r="P64" i="7"/>
  <c r="Q64" i="7"/>
  <c r="R64" i="7"/>
  <c r="S64" i="7"/>
  <c r="M65" i="7"/>
  <c r="N65" i="7"/>
  <c r="O65" i="7"/>
  <c r="P65" i="7"/>
  <c r="Q65" i="7"/>
  <c r="R65" i="7"/>
  <c r="S65" i="7"/>
  <c r="M66" i="7"/>
  <c r="N66" i="7"/>
  <c r="O66" i="7"/>
  <c r="P66" i="7"/>
  <c r="Q66" i="7"/>
  <c r="R66" i="7"/>
  <c r="S66" i="7"/>
  <c r="M67" i="7"/>
  <c r="N67" i="7"/>
  <c r="O67" i="7"/>
  <c r="P67" i="7"/>
  <c r="Q67" i="7"/>
  <c r="R67" i="7"/>
  <c r="S67" i="7"/>
  <c r="M68" i="7"/>
  <c r="N68" i="7"/>
  <c r="O68" i="7"/>
  <c r="P68" i="7"/>
  <c r="Q68" i="7"/>
  <c r="R68" i="7"/>
  <c r="S68" i="7"/>
  <c r="M69" i="7"/>
  <c r="N69" i="7"/>
  <c r="O69" i="7"/>
  <c r="P69" i="7"/>
  <c r="Q69" i="7"/>
  <c r="R69" i="7"/>
  <c r="S69" i="7"/>
  <c r="M70" i="7"/>
  <c r="N70" i="7"/>
  <c r="O70" i="7"/>
  <c r="P70" i="7"/>
  <c r="Q70" i="7"/>
  <c r="R70" i="7"/>
  <c r="S70" i="7"/>
  <c r="M71" i="7"/>
  <c r="N71" i="7"/>
  <c r="O71" i="7"/>
  <c r="P71" i="7"/>
  <c r="Q71" i="7"/>
  <c r="R71" i="7"/>
  <c r="S71" i="7"/>
  <c r="M72" i="7"/>
  <c r="N72" i="7"/>
  <c r="O72" i="7"/>
  <c r="P72" i="7"/>
  <c r="Q72" i="7"/>
  <c r="R72" i="7"/>
  <c r="S72" i="7"/>
  <c r="M73" i="7"/>
  <c r="N73" i="7"/>
  <c r="O73" i="7"/>
  <c r="P73" i="7"/>
  <c r="Q73" i="7"/>
  <c r="R73" i="7"/>
  <c r="S73" i="7"/>
  <c r="M74" i="7"/>
  <c r="N74" i="7"/>
  <c r="O74" i="7"/>
  <c r="P74" i="7"/>
  <c r="Q74" i="7"/>
  <c r="R74" i="7"/>
  <c r="S74" i="7"/>
  <c r="M75" i="7"/>
  <c r="N75" i="7"/>
  <c r="O75" i="7"/>
  <c r="P75" i="7"/>
  <c r="Q75" i="7"/>
  <c r="R75" i="7"/>
  <c r="S75" i="7"/>
  <c r="M76" i="7"/>
  <c r="N76" i="7"/>
  <c r="O76" i="7"/>
  <c r="P76" i="7"/>
  <c r="Q76" i="7"/>
  <c r="R76" i="7"/>
  <c r="S76" i="7"/>
  <c r="M77" i="7"/>
  <c r="N77" i="7"/>
  <c r="O77" i="7"/>
  <c r="P77" i="7"/>
  <c r="Q77" i="7"/>
  <c r="R77" i="7"/>
  <c r="S77" i="7"/>
  <c r="M78" i="7"/>
  <c r="N78" i="7"/>
  <c r="O78" i="7"/>
  <c r="P78" i="7"/>
  <c r="Q78" i="7"/>
  <c r="R78" i="7"/>
  <c r="S78" i="7"/>
  <c r="M79" i="7"/>
  <c r="N79" i="7"/>
  <c r="O79" i="7"/>
  <c r="P79" i="7"/>
  <c r="Q79" i="7"/>
  <c r="R79" i="7"/>
  <c r="S79" i="7"/>
  <c r="M80" i="7"/>
  <c r="N80" i="7"/>
  <c r="O80" i="7"/>
  <c r="P80" i="7"/>
  <c r="Q80" i="7"/>
  <c r="R80" i="7"/>
  <c r="S80" i="7"/>
  <c r="M81" i="7"/>
  <c r="N81" i="7"/>
  <c r="O81" i="7"/>
  <c r="P81" i="7"/>
  <c r="Q81" i="7"/>
  <c r="R81" i="7"/>
  <c r="S81" i="7"/>
  <c r="M82" i="7"/>
  <c r="N82" i="7"/>
  <c r="O82" i="7"/>
  <c r="P82" i="7"/>
  <c r="Q82" i="7"/>
  <c r="R82" i="7"/>
  <c r="S82" i="7"/>
  <c r="M83" i="7"/>
  <c r="N83" i="7"/>
  <c r="O83" i="7"/>
  <c r="P83" i="7"/>
  <c r="Q83" i="7"/>
  <c r="R83" i="7"/>
  <c r="S83" i="7"/>
  <c r="M84" i="7"/>
  <c r="N84" i="7"/>
  <c r="O84" i="7"/>
  <c r="P84" i="7"/>
  <c r="Q84" i="7"/>
  <c r="R84" i="7"/>
  <c r="S84" i="7"/>
  <c r="M85" i="7"/>
  <c r="N85" i="7"/>
  <c r="O85" i="7"/>
  <c r="P85" i="7"/>
  <c r="Q85" i="7"/>
  <c r="R85" i="7"/>
  <c r="S85" i="7"/>
  <c r="M86" i="7"/>
  <c r="N86" i="7"/>
  <c r="O86" i="7"/>
  <c r="P86" i="7"/>
  <c r="Q86" i="7"/>
  <c r="R86" i="7"/>
  <c r="S86" i="7"/>
  <c r="M87" i="7"/>
  <c r="N87" i="7"/>
  <c r="O87" i="7"/>
  <c r="P87" i="7"/>
  <c r="Q87" i="7"/>
  <c r="R87" i="7"/>
  <c r="S87" i="7"/>
  <c r="M88" i="7"/>
  <c r="N88" i="7"/>
  <c r="O88" i="7"/>
  <c r="P88" i="7"/>
  <c r="Q88" i="7"/>
  <c r="R88" i="7"/>
  <c r="S88" i="7"/>
  <c r="M89" i="7"/>
  <c r="N89" i="7"/>
  <c r="O89" i="7"/>
  <c r="P89" i="7"/>
  <c r="Q89" i="7"/>
  <c r="R89" i="7"/>
  <c r="S89" i="7"/>
  <c r="M90" i="7"/>
  <c r="N90" i="7"/>
  <c r="O90" i="7"/>
  <c r="P90" i="7"/>
  <c r="Q90" i="7"/>
  <c r="R90" i="7"/>
  <c r="S90" i="7"/>
  <c r="M91" i="7"/>
  <c r="N91" i="7"/>
  <c r="O91" i="7"/>
  <c r="P91" i="7"/>
  <c r="Q91" i="7"/>
  <c r="R91" i="7"/>
  <c r="S91" i="7"/>
  <c r="M92" i="7"/>
  <c r="N92" i="7"/>
  <c r="O92" i="7"/>
  <c r="P92" i="7"/>
  <c r="Q92" i="7"/>
  <c r="R92" i="7"/>
  <c r="S92" i="7"/>
  <c r="M93" i="7"/>
  <c r="N93" i="7"/>
  <c r="O93" i="7"/>
  <c r="P93" i="7"/>
  <c r="Q93" i="7"/>
  <c r="R93" i="7"/>
  <c r="S93" i="7"/>
  <c r="M94" i="7"/>
  <c r="N94" i="7"/>
  <c r="O94" i="7"/>
  <c r="P94" i="7"/>
  <c r="Q94" i="7"/>
  <c r="R94" i="7"/>
  <c r="S94" i="7"/>
  <c r="M95" i="7"/>
  <c r="N95" i="7"/>
  <c r="O95" i="7"/>
  <c r="P95" i="7"/>
  <c r="Q95" i="7"/>
  <c r="R95" i="7"/>
  <c r="S95" i="7"/>
  <c r="M96" i="7"/>
  <c r="N96" i="7"/>
  <c r="O96" i="7"/>
  <c r="P96" i="7"/>
  <c r="Q96" i="7"/>
  <c r="R96" i="7"/>
  <c r="S96" i="7"/>
  <c r="M97" i="7"/>
  <c r="N97" i="7"/>
  <c r="O97" i="7"/>
  <c r="P97" i="7"/>
  <c r="Q97" i="7"/>
  <c r="R97" i="7"/>
  <c r="S97" i="7"/>
  <c r="M98" i="7"/>
  <c r="N98" i="7"/>
  <c r="O98" i="7"/>
  <c r="P98" i="7"/>
  <c r="Q98" i="7"/>
  <c r="R98" i="7"/>
  <c r="S98" i="7"/>
  <c r="M99" i="7"/>
  <c r="N99" i="7"/>
  <c r="O99" i="7"/>
  <c r="P99" i="7"/>
  <c r="Q99" i="7"/>
  <c r="R99" i="7"/>
  <c r="S99" i="7"/>
  <c r="M100" i="7"/>
  <c r="N100" i="7"/>
  <c r="O100" i="7"/>
  <c r="P100" i="7"/>
  <c r="Q100" i="7"/>
  <c r="R100" i="7"/>
  <c r="S100" i="7"/>
  <c r="M101" i="7"/>
  <c r="N101" i="7"/>
  <c r="O101" i="7"/>
  <c r="P101" i="7"/>
  <c r="Q101" i="7"/>
  <c r="R101" i="7"/>
  <c r="S101" i="7"/>
  <c r="M102" i="7"/>
  <c r="N102" i="7"/>
  <c r="O102" i="7"/>
  <c r="P102" i="7"/>
  <c r="Q102" i="7"/>
  <c r="R102" i="7"/>
  <c r="S102" i="7"/>
  <c r="M103" i="7"/>
  <c r="N103" i="7"/>
  <c r="O103" i="7"/>
  <c r="P103" i="7"/>
  <c r="Q103" i="7"/>
  <c r="R103" i="7"/>
  <c r="S103" i="7"/>
  <c r="M104" i="7"/>
  <c r="N104" i="7"/>
  <c r="O104" i="7"/>
  <c r="P104" i="7"/>
  <c r="Q104" i="7"/>
  <c r="R104" i="7"/>
  <c r="S104" i="7"/>
  <c r="M105" i="7"/>
  <c r="N105" i="7"/>
  <c r="O105" i="7"/>
  <c r="P105" i="7"/>
  <c r="Q105" i="7"/>
  <c r="R105" i="7"/>
  <c r="S105" i="7"/>
  <c r="M106" i="7"/>
  <c r="N106" i="7"/>
  <c r="O106" i="7"/>
  <c r="P106" i="7"/>
  <c r="Q106" i="7"/>
  <c r="R106" i="7"/>
  <c r="S106" i="7"/>
  <c r="M107" i="7"/>
  <c r="N107" i="7"/>
  <c r="O107" i="7"/>
  <c r="P107" i="7"/>
  <c r="Q107" i="7"/>
  <c r="R107" i="7"/>
  <c r="S107" i="7"/>
  <c r="M108" i="7"/>
  <c r="N108" i="7"/>
  <c r="O108" i="7"/>
  <c r="P108" i="7"/>
  <c r="Q108" i="7"/>
  <c r="R108" i="7"/>
  <c r="S108" i="7"/>
  <c r="M109" i="7"/>
  <c r="N109" i="7"/>
  <c r="O109" i="7"/>
  <c r="P109" i="7"/>
  <c r="Q109" i="7"/>
  <c r="R109" i="7"/>
  <c r="S109" i="7"/>
  <c r="M110" i="7"/>
  <c r="N110" i="7"/>
  <c r="O110" i="7"/>
  <c r="P110" i="7"/>
  <c r="Q110" i="7"/>
  <c r="R110" i="7"/>
  <c r="S110" i="7"/>
  <c r="M111" i="7"/>
  <c r="N111" i="7"/>
  <c r="O111" i="7"/>
  <c r="P111" i="7"/>
  <c r="Q111" i="7"/>
  <c r="R111" i="7"/>
  <c r="S111" i="7"/>
  <c r="M112" i="7"/>
  <c r="N112" i="7"/>
  <c r="O112" i="7"/>
  <c r="P112" i="7"/>
  <c r="Q112" i="7"/>
  <c r="R112" i="7"/>
  <c r="S112" i="7"/>
  <c r="M113" i="7"/>
  <c r="N113" i="7"/>
  <c r="O113" i="7"/>
  <c r="P113" i="7"/>
  <c r="Q113" i="7"/>
  <c r="R113" i="7"/>
  <c r="S113" i="7"/>
  <c r="M114" i="7"/>
  <c r="N114" i="7"/>
  <c r="O114" i="7"/>
  <c r="P114" i="7"/>
  <c r="Q114" i="7"/>
  <c r="R114" i="7"/>
  <c r="S114" i="7"/>
  <c r="M115" i="7"/>
  <c r="N115" i="7"/>
  <c r="O115" i="7"/>
  <c r="P115" i="7"/>
  <c r="Q115" i="7"/>
  <c r="R115" i="7"/>
  <c r="S115" i="7"/>
  <c r="M116" i="7"/>
  <c r="N116" i="7"/>
  <c r="O116" i="7"/>
  <c r="P116" i="7"/>
  <c r="Q116" i="7"/>
  <c r="R116" i="7"/>
  <c r="S116" i="7"/>
  <c r="M117" i="7"/>
  <c r="N117" i="7"/>
  <c r="O117" i="7"/>
  <c r="P117" i="7"/>
  <c r="Q117" i="7"/>
  <c r="R117" i="7"/>
  <c r="S117" i="7"/>
  <c r="M118" i="7"/>
  <c r="N118" i="7"/>
  <c r="O118" i="7"/>
  <c r="P118" i="7"/>
  <c r="Q118" i="7"/>
  <c r="R118" i="7"/>
  <c r="S118" i="7"/>
  <c r="M119" i="7"/>
  <c r="N119" i="7"/>
  <c r="O119" i="7"/>
  <c r="P119" i="7"/>
  <c r="Q119" i="7"/>
  <c r="R119" i="7"/>
  <c r="S119" i="7"/>
  <c r="M120" i="7"/>
  <c r="N120" i="7"/>
  <c r="O120" i="7"/>
  <c r="P120" i="7"/>
  <c r="Q120" i="7"/>
  <c r="R120" i="7"/>
  <c r="S120" i="7"/>
  <c r="M121" i="7"/>
  <c r="N121" i="7"/>
  <c r="O121" i="7"/>
  <c r="P121" i="7"/>
  <c r="Q121" i="7"/>
  <c r="R121" i="7"/>
  <c r="S121" i="7"/>
  <c r="M122" i="7"/>
  <c r="N122" i="7"/>
  <c r="O122" i="7"/>
  <c r="P122" i="7"/>
  <c r="Q122" i="7"/>
  <c r="R122" i="7"/>
  <c r="S122" i="7"/>
  <c r="M123" i="7"/>
  <c r="N123" i="7"/>
  <c r="O123" i="7"/>
  <c r="P123" i="7"/>
  <c r="Q123" i="7"/>
  <c r="R123" i="7"/>
  <c r="S123" i="7"/>
  <c r="M124" i="7"/>
  <c r="N124" i="7"/>
  <c r="O124" i="7"/>
  <c r="P124" i="7"/>
  <c r="Q124" i="7"/>
  <c r="R124" i="7"/>
  <c r="S124" i="7"/>
  <c r="M125" i="7"/>
  <c r="N125" i="7"/>
  <c r="O125" i="7"/>
  <c r="P125" i="7"/>
  <c r="Q125" i="7"/>
  <c r="R125" i="7"/>
  <c r="S125" i="7"/>
  <c r="M126" i="7"/>
  <c r="N126" i="7"/>
  <c r="O126" i="7"/>
  <c r="P126" i="7"/>
  <c r="Q126" i="7"/>
  <c r="R126" i="7"/>
  <c r="S126" i="7"/>
  <c r="M127" i="7"/>
  <c r="N127" i="7"/>
  <c r="O127" i="7"/>
  <c r="P127" i="7"/>
  <c r="Q127" i="7"/>
  <c r="R127" i="7"/>
  <c r="S127" i="7"/>
  <c r="M128" i="7"/>
  <c r="N128" i="7"/>
  <c r="O128" i="7"/>
  <c r="P128" i="7"/>
  <c r="Q128" i="7"/>
  <c r="R128" i="7"/>
  <c r="S128" i="7"/>
  <c r="M129" i="7"/>
  <c r="N129" i="7"/>
  <c r="O129" i="7"/>
  <c r="P129" i="7"/>
  <c r="Q129" i="7"/>
  <c r="R129" i="7"/>
  <c r="S129" i="7"/>
  <c r="M130" i="7"/>
  <c r="N130" i="7"/>
  <c r="O130" i="7"/>
  <c r="P130" i="7"/>
  <c r="Q130" i="7"/>
  <c r="R130" i="7"/>
  <c r="S130" i="7"/>
  <c r="M131" i="7"/>
  <c r="N131" i="7"/>
  <c r="O131" i="7"/>
  <c r="P131" i="7"/>
  <c r="Q131" i="7"/>
  <c r="R131" i="7"/>
  <c r="S131" i="7"/>
  <c r="M132" i="7"/>
  <c r="N132" i="7"/>
  <c r="O132" i="7"/>
  <c r="P132" i="7"/>
  <c r="Q132" i="7"/>
  <c r="R132" i="7"/>
  <c r="S132" i="7"/>
  <c r="M133" i="7"/>
  <c r="N133" i="7"/>
  <c r="O133" i="7"/>
  <c r="P133" i="7"/>
  <c r="Q133" i="7"/>
  <c r="R133" i="7"/>
  <c r="S133" i="7"/>
  <c r="M134" i="7"/>
  <c r="N134" i="7"/>
  <c r="O134" i="7"/>
  <c r="P134" i="7"/>
  <c r="Q134" i="7"/>
  <c r="R134" i="7"/>
  <c r="S134" i="7"/>
  <c r="M135" i="7"/>
  <c r="N135" i="7"/>
  <c r="O135" i="7"/>
  <c r="P135" i="7"/>
  <c r="Q135" i="7"/>
  <c r="R135" i="7"/>
  <c r="S135" i="7"/>
  <c r="M136" i="7"/>
  <c r="N136" i="7"/>
  <c r="O136" i="7"/>
  <c r="P136" i="7"/>
  <c r="Q136" i="7"/>
  <c r="R136" i="7"/>
  <c r="S136" i="7"/>
  <c r="M137" i="7"/>
  <c r="N137" i="7"/>
  <c r="O137" i="7"/>
  <c r="P137" i="7"/>
  <c r="Q137" i="7"/>
  <c r="R137" i="7"/>
  <c r="S137" i="7"/>
  <c r="M138" i="7"/>
  <c r="N138" i="7"/>
  <c r="O138" i="7"/>
  <c r="P138" i="7"/>
  <c r="Q138" i="7"/>
  <c r="R138" i="7"/>
  <c r="S138" i="7"/>
  <c r="M139" i="7"/>
  <c r="N139" i="7"/>
  <c r="O139" i="7"/>
  <c r="P139" i="7"/>
  <c r="Q139" i="7"/>
  <c r="R139" i="7"/>
  <c r="S139" i="7"/>
  <c r="M140" i="7"/>
  <c r="N140" i="7"/>
  <c r="O140" i="7"/>
  <c r="P140" i="7"/>
  <c r="Q140" i="7"/>
  <c r="R140" i="7"/>
  <c r="S140" i="7"/>
  <c r="M141" i="7"/>
  <c r="N141" i="7"/>
  <c r="O141" i="7"/>
  <c r="P141" i="7"/>
  <c r="Q141" i="7"/>
  <c r="R141" i="7"/>
  <c r="S141" i="7"/>
  <c r="M142" i="7"/>
  <c r="N142" i="7"/>
  <c r="O142" i="7"/>
  <c r="P142" i="7"/>
  <c r="Q142" i="7"/>
  <c r="R142" i="7"/>
  <c r="S142" i="7"/>
  <c r="M143" i="7"/>
  <c r="N143" i="7"/>
  <c r="O143" i="7"/>
  <c r="P143" i="7"/>
  <c r="Q143" i="7"/>
  <c r="R143" i="7"/>
  <c r="S143" i="7"/>
  <c r="M144" i="7"/>
  <c r="N144" i="7"/>
  <c r="O144" i="7"/>
  <c r="P144" i="7"/>
  <c r="Q144" i="7"/>
  <c r="R144" i="7"/>
  <c r="S144" i="7"/>
  <c r="M145" i="7"/>
  <c r="N145" i="7"/>
  <c r="O145" i="7"/>
  <c r="P145" i="7"/>
  <c r="Q145" i="7"/>
  <c r="R145" i="7"/>
  <c r="S145" i="7"/>
  <c r="M146" i="7"/>
  <c r="N146" i="7"/>
  <c r="O146" i="7"/>
  <c r="P146" i="7"/>
  <c r="Q146" i="7"/>
  <c r="R146" i="7"/>
  <c r="S146" i="7"/>
  <c r="M147" i="7"/>
  <c r="N147" i="7"/>
  <c r="O147" i="7"/>
  <c r="P147" i="7"/>
  <c r="Q147" i="7"/>
  <c r="R147" i="7"/>
  <c r="S147" i="7"/>
  <c r="M148" i="7"/>
  <c r="N148" i="7"/>
  <c r="O148" i="7"/>
  <c r="P148" i="7"/>
  <c r="Q148" i="7"/>
  <c r="R148" i="7"/>
  <c r="S148" i="7"/>
  <c r="M149" i="7"/>
  <c r="N149" i="7"/>
  <c r="O149" i="7"/>
  <c r="P149" i="7"/>
  <c r="Q149" i="7"/>
  <c r="R149" i="7"/>
  <c r="S149" i="7"/>
  <c r="M150" i="7"/>
  <c r="N150" i="7"/>
  <c r="O150" i="7"/>
  <c r="P150" i="7"/>
  <c r="Q150" i="7"/>
  <c r="R150" i="7"/>
  <c r="S150" i="7"/>
  <c r="M151" i="7"/>
  <c r="N151" i="7"/>
  <c r="O151" i="7"/>
  <c r="P151" i="7"/>
  <c r="Q151" i="7"/>
  <c r="R151" i="7"/>
  <c r="S151" i="7"/>
  <c r="M152" i="7"/>
  <c r="N152" i="7"/>
  <c r="O152" i="7"/>
  <c r="P152" i="7"/>
  <c r="Q152" i="7"/>
  <c r="R152" i="7"/>
  <c r="S152" i="7"/>
  <c r="M153" i="7"/>
  <c r="N153" i="7"/>
  <c r="O153" i="7"/>
  <c r="P153" i="7"/>
  <c r="Q153" i="7"/>
  <c r="R153" i="7"/>
  <c r="S153" i="7"/>
  <c r="M154" i="7"/>
  <c r="N154" i="7"/>
  <c r="O154" i="7"/>
  <c r="P154" i="7"/>
  <c r="Q154" i="7"/>
  <c r="R154" i="7"/>
  <c r="S154" i="7"/>
  <c r="M155" i="7"/>
  <c r="N155" i="7"/>
  <c r="O155" i="7"/>
  <c r="P155" i="7"/>
  <c r="Q155" i="7"/>
  <c r="R155" i="7"/>
  <c r="S155" i="7"/>
  <c r="M156" i="7"/>
  <c r="N156" i="7"/>
  <c r="O156" i="7"/>
  <c r="P156" i="7"/>
  <c r="Q156" i="7"/>
  <c r="R156" i="7"/>
  <c r="S156" i="7"/>
  <c r="M157" i="7"/>
  <c r="N157" i="7"/>
  <c r="O157" i="7"/>
  <c r="P157" i="7"/>
  <c r="Q157" i="7"/>
  <c r="R157" i="7"/>
  <c r="S157" i="7"/>
  <c r="M158" i="7"/>
  <c r="N158" i="7"/>
  <c r="O158" i="7"/>
  <c r="P158" i="7"/>
  <c r="Q158" i="7"/>
  <c r="R158" i="7"/>
  <c r="S158" i="7"/>
  <c r="M159" i="7"/>
  <c r="N159" i="7"/>
  <c r="O159" i="7"/>
  <c r="P159" i="7"/>
  <c r="Q159" i="7"/>
  <c r="R159" i="7"/>
  <c r="S159" i="7"/>
  <c r="M160" i="7"/>
  <c r="N160" i="7"/>
  <c r="O160" i="7"/>
  <c r="P160" i="7"/>
  <c r="Q160" i="7"/>
  <c r="R160" i="7"/>
  <c r="S160" i="7"/>
  <c r="M161" i="7"/>
  <c r="N161" i="7"/>
  <c r="O161" i="7"/>
  <c r="P161" i="7"/>
  <c r="Q161" i="7"/>
  <c r="R161" i="7"/>
  <c r="S161" i="7"/>
  <c r="M162" i="7"/>
  <c r="N162" i="7"/>
  <c r="O162" i="7"/>
  <c r="P162" i="7"/>
  <c r="Q162" i="7"/>
  <c r="R162" i="7"/>
  <c r="S162" i="7"/>
  <c r="M163" i="7"/>
  <c r="N163" i="7"/>
  <c r="O163" i="7"/>
  <c r="P163" i="7"/>
  <c r="Q163" i="7"/>
  <c r="R163" i="7"/>
  <c r="S163" i="7"/>
  <c r="M164" i="7"/>
  <c r="N164" i="7"/>
  <c r="O164" i="7"/>
  <c r="P164" i="7"/>
  <c r="Q164" i="7"/>
  <c r="R164" i="7"/>
  <c r="S164" i="7"/>
  <c r="M165" i="7"/>
  <c r="N165" i="7"/>
  <c r="O165" i="7"/>
  <c r="P165" i="7"/>
  <c r="Q165" i="7"/>
  <c r="R165" i="7"/>
  <c r="S165" i="7"/>
  <c r="M166" i="7"/>
  <c r="N166" i="7"/>
  <c r="O166" i="7"/>
  <c r="P166" i="7"/>
  <c r="Q166" i="7"/>
  <c r="R166" i="7"/>
  <c r="S166" i="7"/>
  <c r="M167" i="7"/>
  <c r="N167" i="7"/>
  <c r="O167" i="7"/>
  <c r="P167" i="7"/>
  <c r="Q167" i="7"/>
  <c r="R167" i="7"/>
  <c r="S167" i="7"/>
  <c r="M168" i="7"/>
  <c r="N168" i="7"/>
  <c r="O168" i="7"/>
  <c r="P168" i="7"/>
  <c r="Q168" i="7"/>
  <c r="R168" i="7"/>
  <c r="S168" i="7"/>
  <c r="M169" i="7"/>
  <c r="N169" i="7"/>
  <c r="O169" i="7"/>
  <c r="P169" i="7"/>
  <c r="Q169" i="7"/>
  <c r="R169" i="7"/>
  <c r="S169" i="7"/>
  <c r="M170" i="7"/>
  <c r="N170" i="7"/>
  <c r="O170" i="7"/>
  <c r="P170" i="7"/>
  <c r="Q170" i="7"/>
  <c r="R170" i="7"/>
  <c r="S170" i="7"/>
  <c r="M171" i="7"/>
  <c r="N171" i="7"/>
  <c r="O171" i="7"/>
  <c r="P171" i="7"/>
  <c r="Q171" i="7"/>
  <c r="R171" i="7"/>
  <c r="S171" i="7"/>
  <c r="M172" i="7"/>
  <c r="N172" i="7"/>
  <c r="O172" i="7"/>
  <c r="P172" i="7"/>
  <c r="Q172" i="7"/>
  <c r="R172" i="7"/>
  <c r="S172" i="7"/>
  <c r="M173" i="7"/>
  <c r="N173" i="7"/>
  <c r="O173" i="7"/>
  <c r="P173" i="7"/>
  <c r="Q173" i="7"/>
  <c r="R173" i="7"/>
  <c r="S173" i="7"/>
  <c r="M174" i="7"/>
  <c r="N174" i="7"/>
  <c r="O174" i="7"/>
  <c r="P174" i="7"/>
  <c r="Q174" i="7"/>
  <c r="R174" i="7"/>
  <c r="S174" i="7"/>
  <c r="M175" i="7"/>
  <c r="N175" i="7"/>
  <c r="O175" i="7"/>
  <c r="P175" i="7"/>
  <c r="Q175" i="7"/>
  <c r="R175" i="7"/>
  <c r="S175" i="7"/>
  <c r="M176" i="7"/>
  <c r="N176" i="7"/>
  <c r="O176" i="7"/>
  <c r="P176" i="7"/>
  <c r="Q176" i="7"/>
  <c r="R176" i="7"/>
  <c r="S176" i="7"/>
  <c r="M177" i="7"/>
  <c r="N177" i="7"/>
  <c r="O177" i="7"/>
  <c r="P177" i="7"/>
  <c r="Q177" i="7"/>
  <c r="R177" i="7"/>
  <c r="S177" i="7"/>
  <c r="M178" i="7"/>
  <c r="N178" i="7"/>
  <c r="O178" i="7"/>
  <c r="P178" i="7"/>
  <c r="Q178" i="7"/>
  <c r="R178" i="7"/>
  <c r="S178" i="7"/>
  <c r="M179" i="7"/>
  <c r="N179" i="7"/>
  <c r="O179" i="7"/>
  <c r="P179" i="7"/>
  <c r="Q179" i="7"/>
  <c r="R179" i="7"/>
  <c r="S179" i="7"/>
  <c r="M180" i="7"/>
  <c r="N180" i="7"/>
  <c r="O180" i="7"/>
  <c r="P180" i="7"/>
  <c r="Q180" i="7"/>
  <c r="R180" i="7"/>
  <c r="S180" i="7"/>
  <c r="M181" i="7"/>
  <c r="N181" i="7"/>
  <c r="O181" i="7"/>
  <c r="P181" i="7"/>
  <c r="Q181" i="7"/>
  <c r="R181" i="7"/>
  <c r="S181" i="7"/>
  <c r="M182" i="7"/>
  <c r="N182" i="7"/>
  <c r="O182" i="7"/>
  <c r="P182" i="7"/>
  <c r="Q182" i="7"/>
  <c r="R182" i="7"/>
  <c r="S182" i="7"/>
  <c r="M183" i="7"/>
  <c r="N183" i="7"/>
  <c r="O183" i="7"/>
  <c r="P183" i="7"/>
  <c r="Q183" i="7"/>
  <c r="R183" i="7"/>
  <c r="S183" i="7"/>
  <c r="M184" i="7"/>
  <c r="N184" i="7"/>
  <c r="O184" i="7"/>
  <c r="P184" i="7"/>
  <c r="Q184" i="7"/>
  <c r="R184" i="7"/>
  <c r="S184" i="7"/>
  <c r="M185" i="7"/>
  <c r="N185" i="7"/>
  <c r="O185" i="7"/>
  <c r="P185" i="7"/>
  <c r="Q185" i="7"/>
  <c r="R185" i="7"/>
  <c r="S185" i="7"/>
  <c r="M186" i="7"/>
  <c r="N186" i="7"/>
  <c r="O186" i="7"/>
  <c r="P186" i="7"/>
  <c r="Q186" i="7"/>
  <c r="R186" i="7"/>
  <c r="S186" i="7"/>
  <c r="M187" i="7"/>
  <c r="N187" i="7"/>
  <c r="O187" i="7"/>
  <c r="P187" i="7"/>
  <c r="Q187" i="7"/>
  <c r="R187" i="7"/>
  <c r="S187" i="7"/>
  <c r="M188" i="7"/>
  <c r="N188" i="7"/>
  <c r="O188" i="7"/>
  <c r="P188" i="7"/>
  <c r="Q188" i="7"/>
  <c r="R188" i="7"/>
  <c r="S188" i="7"/>
  <c r="M189" i="7"/>
  <c r="N189" i="7"/>
  <c r="O189" i="7"/>
  <c r="P189" i="7"/>
  <c r="Q189" i="7"/>
  <c r="R189" i="7"/>
  <c r="S189" i="7"/>
  <c r="M190" i="7"/>
  <c r="N190" i="7"/>
  <c r="O190" i="7"/>
  <c r="P190" i="7"/>
  <c r="Q190" i="7"/>
  <c r="R190" i="7"/>
  <c r="S190" i="7"/>
  <c r="M191" i="7"/>
  <c r="N191" i="7"/>
  <c r="O191" i="7"/>
  <c r="P191" i="7"/>
  <c r="Q191" i="7"/>
  <c r="R191" i="7"/>
  <c r="S191" i="7"/>
  <c r="M192" i="7"/>
  <c r="N192" i="7"/>
  <c r="O192" i="7"/>
  <c r="P192" i="7"/>
  <c r="Q192" i="7"/>
  <c r="R192" i="7"/>
  <c r="S192" i="7"/>
  <c r="M193" i="7"/>
  <c r="N193" i="7"/>
  <c r="O193" i="7"/>
  <c r="P193" i="7"/>
  <c r="Q193" i="7"/>
  <c r="R193" i="7"/>
  <c r="S193" i="7"/>
  <c r="M194" i="7"/>
  <c r="N194" i="7"/>
  <c r="O194" i="7"/>
  <c r="P194" i="7"/>
  <c r="Q194" i="7"/>
  <c r="R194" i="7"/>
  <c r="S194" i="7"/>
  <c r="M195" i="7"/>
  <c r="N195" i="7"/>
  <c r="O195" i="7"/>
  <c r="P195" i="7"/>
  <c r="Q195" i="7"/>
  <c r="R195" i="7"/>
  <c r="S195" i="7"/>
  <c r="M196" i="7"/>
  <c r="N196" i="7"/>
  <c r="O196" i="7"/>
  <c r="P196" i="7"/>
  <c r="Q196" i="7"/>
  <c r="R196" i="7"/>
  <c r="S196" i="7"/>
  <c r="M197" i="7"/>
  <c r="N197" i="7"/>
  <c r="O197" i="7"/>
  <c r="P197" i="7"/>
  <c r="Q197" i="7"/>
  <c r="R197" i="7"/>
  <c r="S197" i="7"/>
  <c r="M198" i="7"/>
  <c r="N198" i="7"/>
  <c r="O198" i="7"/>
  <c r="P198" i="7"/>
  <c r="Q198" i="7"/>
  <c r="R198" i="7"/>
  <c r="S198" i="7"/>
  <c r="M199" i="7"/>
  <c r="N199" i="7"/>
  <c r="O199" i="7"/>
  <c r="P199" i="7"/>
  <c r="Q199" i="7"/>
  <c r="R199" i="7"/>
  <c r="S199" i="7"/>
  <c r="M200" i="7"/>
  <c r="N200" i="7"/>
  <c r="O200" i="7"/>
  <c r="P200" i="7"/>
  <c r="Q200" i="7"/>
  <c r="R200" i="7"/>
  <c r="S200" i="7"/>
  <c r="M201" i="7"/>
  <c r="N201" i="7"/>
  <c r="O201" i="7"/>
  <c r="P201" i="7"/>
  <c r="Q201" i="7"/>
  <c r="R201" i="7"/>
  <c r="S201" i="7"/>
  <c r="M202" i="7"/>
  <c r="N202" i="7"/>
  <c r="O202" i="7"/>
  <c r="P202" i="7"/>
  <c r="Q202" i="7"/>
  <c r="R202" i="7"/>
  <c r="S202" i="7"/>
  <c r="M203" i="7"/>
  <c r="N203" i="7"/>
  <c r="O203" i="7"/>
  <c r="P203" i="7"/>
  <c r="Q203" i="7"/>
  <c r="R203" i="7"/>
  <c r="S203" i="7"/>
  <c r="M204" i="7"/>
  <c r="N204" i="7"/>
  <c r="O204" i="7"/>
  <c r="P204" i="7"/>
  <c r="Q204" i="7"/>
  <c r="R204" i="7"/>
  <c r="S204" i="7"/>
  <c r="M205" i="7"/>
  <c r="N205" i="7"/>
  <c r="O205" i="7"/>
  <c r="P205" i="7"/>
  <c r="Q205" i="7"/>
  <c r="R205" i="7"/>
  <c r="S205" i="7"/>
  <c r="M206" i="7"/>
  <c r="N206" i="7"/>
  <c r="O206" i="7"/>
  <c r="P206" i="7"/>
  <c r="Q206" i="7"/>
  <c r="R206" i="7"/>
  <c r="S206" i="7"/>
  <c r="M207" i="7"/>
  <c r="N207" i="7"/>
  <c r="O207" i="7"/>
  <c r="P207" i="7"/>
  <c r="Q207" i="7"/>
  <c r="R207" i="7"/>
  <c r="S207" i="7"/>
  <c r="M208" i="7"/>
  <c r="N208" i="7"/>
  <c r="O208" i="7"/>
  <c r="P208" i="7"/>
  <c r="Q208" i="7"/>
  <c r="R208" i="7"/>
  <c r="S208" i="7"/>
  <c r="M209" i="7"/>
  <c r="N209" i="7"/>
  <c r="O209" i="7"/>
  <c r="P209" i="7"/>
  <c r="Q209" i="7"/>
  <c r="R209" i="7"/>
  <c r="S209" i="7"/>
  <c r="M210" i="7"/>
  <c r="N210" i="7"/>
  <c r="O210" i="7"/>
  <c r="P210" i="7"/>
  <c r="Q210" i="7"/>
  <c r="R210" i="7"/>
  <c r="S210" i="7"/>
  <c r="M211" i="7"/>
  <c r="N211" i="7"/>
  <c r="O211" i="7"/>
  <c r="P211" i="7"/>
  <c r="Q211" i="7"/>
  <c r="R211" i="7"/>
  <c r="S211" i="7"/>
  <c r="M212" i="7"/>
  <c r="N212" i="7"/>
  <c r="O212" i="7"/>
  <c r="P212" i="7"/>
  <c r="Q212" i="7"/>
  <c r="R212" i="7"/>
  <c r="S212" i="7"/>
  <c r="M213" i="7"/>
  <c r="N213" i="7"/>
  <c r="O213" i="7"/>
  <c r="P213" i="7"/>
  <c r="Q213" i="7"/>
  <c r="R213" i="7"/>
  <c r="S213" i="7"/>
  <c r="M214" i="7"/>
  <c r="N214" i="7"/>
  <c r="O214" i="7"/>
  <c r="P214" i="7"/>
  <c r="Q214" i="7"/>
  <c r="R214" i="7"/>
  <c r="S214" i="7"/>
  <c r="M215" i="7"/>
  <c r="N215" i="7"/>
  <c r="O215" i="7"/>
  <c r="P215" i="7"/>
  <c r="Q215" i="7"/>
  <c r="R215" i="7"/>
  <c r="S215" i="7"/>
  <c r="M216" i="7"/>
  <c r="N216" i="7"/>
  <c r="O216" i="7"/>
  <c r="P216" i="7"/>
  <c r="Q216" i="7"/>
  <c r="R216" i="7"/>
  <c r="S216" i="7"/>
  <c r="M217" i="7"/>
  <c r="N217" i="7"/>
  <c r="O217" i="7"/>
  <c r="P217" i="7"/>
  <c r="Q217" i="7"/>
  <c r="R217" i="7"/>
  <c r="S217" i="7"/>
  <c r="M218" i="7"/>
  <c r="N218" i="7"/>
  <c r="O218" i="7"/>
  <c r="P218" i="7"/>
  <c r="Q218" i="7"/>
  <c r="R218" i="7"/>
  <c r="S218" i="7"/>
  <c r="M219" i="7"/>
  <c r="N219" i="7"/>
  <c r="O219" i="7"/>
  <c r="P219" i="7"/>
  <c r="Q219" i="7"/>
  <c r="R219" i="7"/>
  <c r="S219" i="7"/>
  <c r="M220" i="7"/>
  <c r="N220" i="7"/>
  <c r="O220" i="7"/>
  <c r="P220" i="7"/>
  <c r="Q220" i="7"/>
  <c r="R220" i="7"/>
  <c r="S220" i="7"/>
  <c r="M221" i="7"/>
  <c r="N221" i="7"/>
  <c r="O221" i="7"/>
  <c r="P221" i="7"/>
  <c r="Q221" i="7"/>
  <c r="R221" i="7"/>
  <c r="S221" i="7"/>
  <c r="M222" i="7"/>
  <c r="N222" i="7"/>
  <c r="O222" i="7"/>
  <c r="P222" i="7"/>
  <c r="Q222" i="7"/>
  <c r="R222" i="7"/>
  <c r="S222" i="7"/>
  <c r="M223" i="7"/>
  <c r="N223" i="7"/>
  <c r="O223" i="7"/>
  <c r="P223" i="7"/>
  <c r="Q223" i="7"/>
  <c r="R223" i="7"/>
  <c r="S223" i="7"/>
  <c r="M224" i="7"/>
  <c r="N224" i="7"/>
  <c r="O224" i="7"/>
  <c r="P224" i="7"/>
  <c r="Q224" i="7"/>
  <c r="R224" i="7"/>
  <c r="S224" i="7"/>
  <c r="M225" i="7"/>
  <c r="N225" i="7"/>
  <c r="O225" i="7"/>
  <c r="P225" i="7"/>
  <c r="Q225" i="7"/>
  <c r="R225" i="7"/>
  <c r="S225" i="7"/>
  <c r="M226" i="7"/>
  <c r="N226" i="7"/>
  <c r="O226" i="7"/>
  <c r="P226" i="7"/>
  <c r="Q226" i="7"/>
  <c r="R226" i="7"/>
  <c r="S226" i="7"/>
  <c r="M227" i="7"/>
  <c r="N227" i="7"/>
  <c r="O227" i="7"/>
  <c r="P227" i="7"/>
  <c r="Q227" i="7"/>
  <c r="R227" i="7"/>
  <c r="S227" i="7"/>
  <c r="M228" i="7"/>
  <c r="N228" i="7"/>
  <c r="O228" i="7"/>
  <c r="P228" i="7"/>
  <c r="Q228" i="7"/>
  <c r="R228" i="7"/>
  <c r="S228" i="7"/>
  <c r="M229" i="7"/>
  <c r="N229" i="7"/>
  <c r="O229" i="7"/>
  <c r="P229" i="7"/>
  <c r="Q229" i="7"/>
  <c r="R229" i="7"/>
  <c r="S229" i="7"/>
  <c r="M230" i="7"/>
  <c r="N230" i="7"/>
  <c r="O230" i="7"/>
  <c r="P230" i="7"/>
  <c r="Q230" i="7"/>
  <c r="R230" i="7"/>
  <c r="S230" i="7"/>
  <c r="M231" i="7"/>
  <c r="N231" i="7"/>
  <c r="O231" i="7"/>
  <c r="P231" i="7"/>
  <c r="Q231" i="7"/>
  <c r="R231" i="7"/>
  <c r="S231" i="7"/>
  <c r="M232" i="7"/>
  <c r="N232" i="7"/>
  <c r="O232" i="7"/>
  <c r="P232" i="7"/>
  <c r="Q232" i="7"/>
  <c r="R232" i="7"/>
  <c r="S232" i="7"/>
  <c r="M233" i="7"/>
  <c r="N233" i="7"/>
  <c r="O233" i="7"/>
  <c r="P233" i="7"/>
  <c r="Q233" i="7"/>
  <c r="R233" i="7"/>
  <c r="S233" i="7"/>
  <c r="M234" i="7"/>
  <c r="N234" i="7"/>
  <c r="O234" i="7"/>
  <c r="P234" i="7"/>
  <c r="Q234" i="7"/>
  <c r="R234" i="7"/>
  <c r="S234" i="7"/>
  <c r="M235" i="7"/>
  <c r="N235" i="7"/>
  <c r="O235" i="7"/>
  <c r="P235" i="7"/>
  <c r="Q235" i="7"/>
  <c r="R235" i="7"/>
  <c r="S235" i="7"/>
  <c r="M236" i="7"/>
  <c r="N236" i="7"/>
  <c r="O236" i="7"/>
  <c r="P236" i="7"/>
  <c r="Q236" i="7"/>
  <c r="R236" i="7"/>
  <c r="S236" i="7"/>
  <c r="M237" i="7"/>
  <c r="N237" i="7"/>
  <c r="O237" i="7"/>
  <c r="P237" i="7"/>
  <c r="Q237" i="7"/>
  <c r="R237" i="7"/>
  <c r="S237" i="7"/>
  <c r="M238" i="7"/>
  <c r="N238" i="7"/>
  <c r="O238" i="7"/>
  <c r="P238" i="7"/>
  <c r="Q238" i="7"/>
  <c r="R238" i="7"/>
  <c r="S238" i="7"/>
  <c r="M239" i="7"/>
  <c r="N239" i="7"/>
  <c r="O239" i="7"/>
  <c r="P239" i="7"/>
  <c r="Q239" i="7"/>
  <c r="R239" i="7"/>
  <c r="S239" i="7"/>
  <c r="M240" i="7"/>
  <c r="N240" i="7"/>
  <c r="O240" i="7"/>
  <c r="P240" i="7"/>
  <c r="Q240" i="7"/>
  <c r="R240" i="7"/>
  <c r="S240" i="7"/>
  <c r="M241" i="7"/>
  <c r="N241" i="7"/>
  <c r="O241" i="7"/>
  <c r="P241" i="7"/>
  <c r="Q241" i="7"/>
  <c r="R241" i="7"/>
  <c r="S241" i="7"/>
  <c r="M242" i="7"/>
  <c r="N242" i="7"/>
  <c r="O242" i="7"/>
  <c r="P242" i="7"/>
  <c r="Q242" i="7"/>
  <c r="R242" i="7"/>
  <c r="S242" i="7"/>
  <c r="M243" i="7"/>
  <c r="N243" i="7"/>
  <c r="O243" i="7"/>
  <c r="P243" i="7"/>
  <c r="Q243" i="7"/>
  <c r="R243" i="7"/>
  <c r="S243" i="7"/>
  <c r="M244" i="7"/>
  <c r="N244" i="7"/>
  <c r="O244" i="7"/>
  <c r="P244" i="7"/>
  <c r="Q244" i="7"/>
  <c r="R244" i="7"/>
  <c r="S244" i="7"/>
  <c r="M245" i="7"/>
  <c r="N245" i="7"/>
  <c r="O245" i="7"/>
  <c r="P245" i="7"/>
  <c r="Q245" i="7"/>
  <c r="R245" i="7"/>
  <c r="S245" i="7"/>
  <c r="M246" i="7"/>
  <c r="N246" i="7"/>
  <c r="O246" i="7"/>
  <c r="P246" i="7"/>
  <c r="Q246" i="7"/>
  <c r="R246" i="7"/>
  <c r="S246" i="7"/>
  <c r="M247" i="7"/>
  <c r="N247" i="7"/>
  <c r="O247" i="7"/>
  <c r="P247" i="7"/>
  <c r="Q247" i="7"/>
  <c r="R247" i="7"/>
  <c r="S247" i="7"/>
  <c r="M248" i="7"/>
  <c r="N248" i="7"/>
  <c r="O248" i="7"/>
  <c r="P248" i="7"/>
  <c r="Q248" i="7"/>
  <c r="R248" i="7"/>
  <c r="S248" i="7"/>
  <c r="M249" i="7"/>
  <c r="N249" i="7"/>
  <c r="O249" i="7"/>
  <c r="P249" i="7"/>
  <c r="Q249" i="7"/>
  <c r="R249" i="7"/>
  <c r="S249" i="7"/>
  <c r="M250" i="7"/>
  <c r="N250" i="7"/>
  <c r="O250" i="7"/>
  <c r="P250" i="7"/>
  <c r="Q250" i="7"/>
  <c r="R250" i="7"/>
  <c r="S250" i="7"/>
  <c r="M251" i="7"/>
  <c r="N251" i="7"/>
  <c r="O251" i="7"/>
  <c r="P251" i="7"/>
  <c r="Q251" i="7"/>
  <c r="R251" i="7"/>
  <c r="S251" i="7"/>
  <c r="M252" i="7"/>
  <c r="N252" i="7"/>
  <c r="O252" i="7"/>
  <c r="P252" i="7"/>
  <c r="Q252" i="7"/>
  <c r="R252" i="7"/>
  <c r="S252" i="7"/>
  <c r="M253" i="7"/>
  <c r="N253" i="7"/>
  <c r="O253" i="7"/>
  <c r="P253" i="7"/>
  <c r="Q253" i="7"/>
  <c r="R253" i="7"/>
  <c r="S253" i="7"/>
  <c r="M254" i="7"/>
  <c r="N254" i="7"/>
  <c r="O254" i="7"/>
  <c r="P254" i="7"/>
  <c r="Q254" i="7"/>
  <c r="R254" i="7"/>
  <c r="S254" i="7"/>
  <c r="M255" i="7"/>
  <c r="N255" i="7"/>
  <c r="O255" i="7"/>
  <c r="P255" i="7"/>
  <c r="Q255" i="7"/>
  <c r="R255" i="7"/>
  <c r="S255" i="7"/>
  <c r="M256" i="7"/>
  <c r="N256" i="7"/>
  <c r="O256" i="7"/>
  <c r="P256" i="7"/>
  <c r="Q256" i="7"/>
  <c r="R256" i="7"/>
  <c r="S256" i="7"/>
  <c r="M257" i="7"/>
  <c r="N257" i="7"/>
  <c r="O257" i="7"/>
  <c r="P257" i="7"/>
  <c r="Q257" i="7"/>
  <c r="R257" i="7"/>
  <c r="S257" i="7"/>
  <c r="M258" i="7"/>
  <c r="N258" i="7"/>
  <c r="O258" i="7"/>
  <c r="P258" i="7"/>
  <c r="Q258" i="7"/>
  <c r="R258" i="7"/>
  <c r="S258" i="7"/>
  <c r="M259" i="7"/>
  <c r="N259" i="7"/>
  <c r="O259" i="7"/>
  <c r="P259" i="7"/>
  <c r="Q259" i="7"/>
  <c r="R259" i="7"/>
  <c r="S259" i="7"/>
  <c r="M260" i="7"/>
  <c r="N260" i="7"/>
  <c r="O260" i="7"/>
  <c r="P260" i="7"/>
  <c r="Q260" i="7"/>
  <c r="R260" i="7"/>
  <c r="S260" i="7"/>
  <c r="M261" i="7"/>
  <c r="N261" i="7"/>
  <c r="O261" i="7"/>
  <c r="P261" i="7"/>
  <c r="Q261" i="7"/>
  <c r="R261" i="7"/>
  <c r="S261" i="7"/>
  <c r="M262" i="7"/>
  <c r="N262" i="7"/>
  <c r="O262" i="7"/>
  <c r="P262" i="7"/>
  <c r="Q262" i="7"/>
  <c r="R262" i="7"/>
  <c r="S262" i="7"/>
  <c r="M263" i="7"/>
  <c r="N263" i="7"/>
  <c r="O263" i="7"/>
  <c r="P263" i="7"/>
  <c r="Q263" i="7"/>
  <c r="R263" i="7"/>
  <c r="S263" i="7"/>
  <c r="M264" i="7"/>
  <c r="N264" i="7"/>
  <c r="O264" i="7"/>
  <c r="P264" i="7"/>
  <c r="Q264" i="7"/>
  <c r="R264" i="7"/>
  <c r="S264" i="7"/>
  <c r="M265" i="7"/>
  <c r="N265" i="7"/>
  <c r="O265" i="7"/>
  <c r="P265" i="7"/>
  <c r="Q265" i="7"/>
  <c r="R265" i="7"/>
  <c r="S265" i="7"/>
  <c r="M266" i="7"/>
  <c r="N266" i="7"/>
  <c r="O266" i="7"/>
  <c r="P266" i="7"/>
  <c r="Q266" i="7"/>
  <c r="R266" i="7"/>
  <c r="S266" i="7"/>
  <c r="M267" i="7"/>
  <c r="N267" i="7"/>
  <c r="O267" i="7"/>
  <c r="P267" i="7"/>
  <c r="Q267" i="7"/>
  <c r="R267" i="7"/>
  <c r="S267" i="7"/>
  <c r="M268" i="7"/>
  <c r="N268" i="7"/>
  <c r="O268" i="7"/>
  <c r="P268" i="7"/>
  <c r="Q268" i="7"/>
  <c r="R268" i="7"/>
  <c r="S268" i="7"/>
  <c r="M269" i="7"/>
  <c r="N269" i="7"/>
  <c r="O269" i="7"/>
  <c r="P269" i="7"/>
  <c r="Q269" i="7"/>
  <c r="R269" i="7"/>
  <c r="S269" i="7"/>
  <c r="M270" i="7"/>
  <c r="N270" i="7"/>
  <c r="O270" i="7"/>
  <c r="P270" i="7"/>
  <c r="Q270" i="7"/>
  <c r="R270" i="7"/>
  <c r="S270" i="7"/>
  <c r="M271" i="7"/>
  <c r="N271" i="7"/>
  <c r="O271" i="7"/>
  <c r="P271" i="7"/>
  <c r="Q271" i="7"/>
  <c r="R271" i="7"/>
  <c r="S271" i="7"/>
  <c r="M272" i="7"/>
  <c r="N272" i="7"/>
  <c r="O272" i="7"/>
  <c r="P272" i="7"/>
  <c r="Q272" i="7"/>
  <c r="R272" i="7"/>
  <c r="S272" i="7"/>
  <c r="M273" i="7"/>
  <c r="N273" i="7"/>
  <c r="O273" i="7"/>
  <c r="P273" i="7"/>
  <c r="Q273" i="7"/>
  <c r="R273" i="7"/>
  <c r="S273" i="7"/>
  <c r="M274" i="7"/>
  <c r="N274" i="7"/>
  <c r="O274" i="7"/>
  <c r="P274" i="7"/>
  <c r="Q274" i="7"/>
  <c r="R274" i="7"/>
  <c r="S274" i="7"/>
  <c r="M275" i="7"/>
  <c r="N275" i="7"/>
  <c r="O275" i="7"/>
  <c r="P275" i="7"/>
  <c r="Q275" i="7"/>
  <c r="R275" i="7"/>
  <c r="S275" i="7"/>
  <c r="M276" i="7"/>
  <c r="N276" i="7"/>
  <c r="O276" i="7"/>
  <c r="P276" i="7"/>
  <c r="Q276" i="7"/>
  <c r="R276" i="7"/>
  <c r="S276" i="7"/>
  <c r="M277" i="7"/>
  <c r="N277" i="7"/>
  <c r="O277" i="7"/>
  <c r="P277" i="7"/>
  <c r="Q277" i="7"/>
  <c r="R277" i="7"/>
  <c r="S277" i="7"/>
  <c r="M278" i="7"/>
  <c r="N278" i="7"/>
  <c r="O278" i="7"/>
  <c r="P278" i="7"/>
  <c r="Q278" i="7"/>
  <c r="R278" i="7"/>
  <c r="S278" i="7"/>
  <c r="M279" i="7"/>
  <c r="N279" i="7"/>
  <c r="O279" i="7"/>
  <c r="P279" i="7"/>
  <c r="Q279" i="7"/>
  <c r="R279" i="7"/>
  <c r="S279" i="7"/>
  <c r="M280" i="7"/>
  <c r="N280" i="7"/>
  <c r="O280" i="7"/>
  <c r="P280" i="7"/>
  <c r="Q280" i="7"/>
  <c r="R280" i="7"/>
  <c r="S280" i="7"/>
  <c r="M281" i="7"/>
  <c r="N281" i="7"/>
  <c r="O281" i="7"/>
  <c r="P281" i="7"/>
  <c r="Q281" i="7"/>
  <c r="R281" i="7"/>
  <c r="S281" i="7"/>
  <c r="M282" i="7"/>
  <c r="N282" i="7"/>
  <c r="O282" i="7"/>
  <c r="P282" i="7"/>
  <c r="Q282" i="7"/>
  <c r="R282" i="7"/>
  <c r="S282" i="7"/>
  <c r="M283" i="7"/>
  <c r="N283" i="7"/>
  <c r="O283" i="7"/>
  <c r="P283" i="7"/>
  <c r="Q283" i="7"/>
  <c r="R283" i="7"/>
  <c r="S283" i="7"/>
  <c r="M284" i="7"/>
  <c r="N284" i="7"/>
  <c r="O284" i="7"/>
  <c r="P284" i="7"/>
  <c r="Q284" i="7"/>
  <c r="R284" i="7"/>
  <c r="S284" i="7"/>
  <c r="M285" i="7"/>
  <c r="N285" i="7"/>
  <c r="O285" i="7"/>
  <c r="P285" i="7"/>
  <c r="Q285" i="7"/>
  <c r="R285" i="7"/>
  <c r="S285" i="7"/>
  <c r="M286" i="7"/>
  <c r="N286" i="7"/>
  <c r="O286" i="7"/>
  <c r="P286" i="7"/>
  <c r="Q286" i="7"/>
  <c r="R286" i="7"/>
  <c r="S286" i="7"/>
  <c r="M287" i="7"/>
  <c r="N287" i="7"/>
  <c r="O287" i="7"/>
  <c r="P287" i="7"/>
  <c r="Q287" i="7"/>
  <c r="R287" i="7"/>
  <c r="S287" i="7"/>
  <c r="M288" i="7"/>
  <c r="N288" i="7"/>
  <c r="O288" i="7"/>
  <c r="P288" i="7"/>
  <c r="Q288" i="7"/>
  <c r="R288" i="7"/>
  <c r="S288" i="7"/>
  <c r="M289" i="7"/>
  <c r="N289" i="7"/>
  <c r="O289" i="7"/>
  <c r="P289" i="7"/>
  <c r="Q289" i="7"/>
  <c r="R289" i="7"/>
  <c r="S289" i="7"/>
  <c r="M290" i="7"/>
  <c r="N290" i="7"/>
  <c r="O290" i="7"/>
  <c r="P290" i="7"/>
  <c r="Q290" i="7"/>
  <c r="R290" i="7"/>
  <c r="S290" i="7"/>
  <c r="M291" i="7"/>
  <c r="N291" i="7"/>
  <c r="O291" i="7"/>
  <c r="P291" i="7"/>
  <c r="Q291" i="7"/>
  <c r="R291" i="7"/>
  <c r="S291" i="7"/>
  <c r="M292" i="7"/>
  <c r="N292" i="7"/>
  <c r="O292" i="7"/>
  <c r="P292" i="7"/>
  <c r="Q292" i="7"/>
  <c r="R292" i="7"/>
  <c r="S292" i="7"/>
  <c r="M293" i="7"/>
  <c r="N293" i="7"/>
  <c r="O293" i="7"/>
  <c r="P293" i="7"/>
  <c r="Q293" i="7"/>
  <c r="R293" i="7"/>
  <c r="S293" i="7"/>
  <c r="M294" i="7"/>
  <c r="N294" i="7"/>
  <c r="O294" i="7"/>
  <c r="P294" i="7"/>
  <c r="Q294" i="7"/>
  <c r="R294" i="7"/>
  <c r="S294" i="7"/>
  <c r="M295" i="7"/>
  <c r="N295" i="7"/>
  <c r="O295" i="7"/>
  <c r="P295" i="7"/>
  <c r="Q295" i="7"/>
  <c r="R295" i="7"/>
  <c r="S295" i="7"/>
  <c r="M296" i="7"/>
  <c r="N296" i="7"/>
  <c r="O296" i="7"/>
  <c r="P296" i="7"/>
  <c r="Q296" i="7"/>
  <c r="R296" i="7"/>
  <c r="S296" i="7"/>
  <c r="M297" i="7"/>
  <c r="N297" i="7"/>
  <c r="O297" i="7"/>
  <c r="P297" i="7"/>
  <c r="Q297" i="7"/>
  <c r="R297" i="7"/>
  <c r="S297" i="7"/>
  <c r="M298" i="7"/>
  <c r="N298" i="7"/>
  <c r="O298" i="7"/>
  <c r="P298" i="7"/>
  <c r="Q298" i="7"/>
  <c r="R298" i="7"/>
  <c r="S298" i="7"/>
  <c r="M299" i="7"/>
  <c r="N299" i="7"/>
  <c r="O299" i="7"/>
  <c r="P299" i="7"/>
  <c r="Q299" i="7"/>
  <c r="R299" i="7"/>
  <c r="S299" i="7"/>
  <c r="M300" i="7"/>
  <c r="N300" i="7"/>
  <c r="O300" i="7"/>
  <c r="P300" i="7"/>
  <c r="Q300" i="7"/>
  <c r="R300" i="7"/>
  <c r="S300" i="7"/>
  <c r="M301" i="7"/>
  <c r="N301" i="7"/>
  <c r="O301" i="7"/>
  <c r="P301" i="7"/>
  <c r="Q301" i="7"/>
  <c r="R301" i="7"/>
  <c r="S301" i="7"/>
  <c r="M302" i="7"/>
  <c r="N302" i="7"/>
  <c r="O302" i="7"/>
  <c r="P302" i="7"/>
  <c r="Q302" i="7"/>
  <c r="R302" i="7"/>
  <c r="S302" i="7"/>
  <c r="M303" i="7"/>
  <c r="N303" i="7"/>
  <c r="O303" i="7"/>
  <c r="P303" i="7"/>
  <c r="Q303" i="7"/>
  <c r="R303" i="7"/>
  <c r="S303" i="7"/>
  <c r="M304" i="7"/>
  <c r="N304" i="7"/>
  <c r="O304" i="7"/>
  <c r="P304" i="7"/>
  <c r="Q304" i="7"/>
  <c r="R304" i="7"/>
  <c r="S304" i="7"/>
  <c r="M305" i="7"/>
  <c r="N305" i="7"/>
  <c r="O305" i="7"/>
  <c r="P305" i="7"/>
  <c r="Q305" i="7"/>
  <c r="R305" i="7"/>
  <c r="S305" i="7"/>
  <c r="M306" i="7"/>
  <c r="N306" i="7"/>
  <c r="O306" i="7"/>
  <c r="P306" i="7"/>
  <c r="Q306" i="7"/>
  <c r="R306" i="7"/>
  <c r="S306" i="7"/>
  <c r="M307" i="7"/>
  <c r="N307" i="7"/>
  <c r="O307" i="7"/>
  <c r="P307" i="7"/>
  <c r="Q307" i="7"/>
  <c r="R307" i="7"/>
  <c r="S307" i="7"/>
  <c r="M308" i="7"/>
  <c r="N308" i="7"/>
  <c r="O308" i="7"/>
  <c r="P308" i="7"/>
  <c r="Q308" i="7"/>
  <c r="R308" i="7"/>
  <c r="S308" i="7"/>
  <c r="M309" i="7"/>
  <c r="N309" i="7"/>
  <c r="O309" i="7"/>
  <c r="P309" i="7"/>
  <c r="Q309" i="7"/>
  <c r="R309" i="7"/>
  <c r="S309" i="7"/>
  <c r="M310" i="7"/>
  <c r="N310" i="7"/>
  <c r="O310" i="7"/>
  <c r="P310" i="7"/>
  <c r="Q310" i="7"/>
  <c r="R310" i="7"/>
  <c r="S310" i="7"/>
  <c r="M311" i="7"/>
  <c r="N311" i="7"/>
  <c r="O311" i="7"/>
  <c r="P311" i="7"/>
  <c r="Q311" i="7"/>
  <c r="R311" i="7"/>
  <c r="S311" i="7"/>
  <c r="M312" i="7"/>
  <c r="N312" i="7"/>
  <c r="O312" i="7"/>
  <c r="P312" i="7"/>
  <c r="Q312" i="7"/>
  <c r="R312" i="7"/>
  <c r="S312" i="7"/>
  <c r="M313" i="7"/>
  <c r="N313" i="7"/>
  <c r="O313" i="7"/>
  <c r="P313" i="7"/>
  <c r="Q313" i="7"/>
  <c r="R313" i="7"/>
  <c r="S313" i="7"/>
  <c r="M314" i="7"/>
  <c r="N314" i="7"/>
  <c r="O314" i="7"/>
  <c r="P314" i="7"/>
  <c r="Q314" i="7"/>
  <c r="R314" i="7"/>
  <c r="S314" i="7"/>
  <c r="M315" i="7"/>
  <c r="N315" i="7"/>
  <c r="O315" i="7"/>
  <c r="P315" i="7"/>
  <c r="Q315" i="7"/>
  <c r="R315" i="7"/>
  <c r="S315" i="7"/>
  <c r="M316" i="7"/>
  <c r="N316" i="7"/>
  <c r="O316" i="7"/>
  <c r="P316" i="7"/>
  <c r="Q316" i="7"/>
  <c r="R316" i="7"/>
  <c r="S316" i="7"/>
  <c r="M317" i="7"/>
  <c r="N317" i="7"/>
  <c r="O317" i="7"/>
  <c r="P317" i="7"/>
  <c r="Q317" i="7"/>
  <c r="R317" i="7"/>
  <c r="S317" i="7"/>
  <c r="M318" i="7"/>
  <c r="N318" i="7"/>
  <c r="O318" i="7"/>
  <c r="P318" i="7"/>
  <c r="Q318" i="7"/>
  <c r="R318" i="7"/>
  <c r="S318" i="7"/>
  <c r="M319" i="7"/>
  <c r="N319" i="7"/>
  <c r="O319" i="7"/>
  <c r="P319" i="7"/>
  <c r="Q319" i="7"/>
  <c r="R319" i="7"/>
  <c r="S319" i="7"/>
  <c r="M320" i="7"/>
  <c r="N320" i="7"/>
  <c r="O320" i="7"/>
  <c r="P320" i="7"/>
  <c r="Q320" i="7"/>
  <c r="R320" i="7"/>
  <c r="S320" i="7"/>
  <c r="M321" i="7"/>
  <c r="N321" i="7"/>
  <c r="O321" i="7"/>
  <c r="P321" i="7"/>
  <c r="Q321" i="7"/>
  <c r="R321" i="7"/>
  <c r="S321" i="7"/>
  <c r="M322" i="7"/>
  <c r="N322" i="7"/>
  <c r="O322" i="7"/>
  <c r="P322" i="7"/>
  <c r="Q322" i="7"/>
  <c r="R322" i="7"/>
  <c r="S322" i="7"/>
  <c r="M323" i="7"/>
  <c r="N323" i="7"/>
  <c r="O323" i="7"/>
  <c r="P323" i="7"/>
  <c r="Q323" i="7"/>
  <c r="R323" i="7"/>
  <c r="S323" i="7"/>
  <c r="M324" i="7"/>
  <c r="N324" i="7"/>
  <c r="O324" i="7"/>
  <c r="P324" i="7"/>
  <c r="Q324" i="7"/>
  <c r="R324" i="7"/>
  <c r="S324" i="7"/>
  <c r="M325" i="7"/>
  <c r="N325" i="7"/>
  <c r="O325" i="7"/>
  <c r="P325" i="7"/>
  <c r="Q325" i="7"/>
  <c r="R325" i="7"/>
  <c r="S325" i="7"/>
  <c r="M326" i="7"/>
  <c r="N326" i="7"/>
  <c r="O326" i="7"/>
  <c r="P326" i="7"/>
  <c r="Q326" i="7"/>
  <c r="R326" i="7"/>
  <c r="S326" i="7"/>
  <c r="M327" i="7"/>
  <c r="N327" i="7"/>
  <c r="O327" i="7"/>
  <c r="P327" i="7"/>
  <c r="Q327" i="7"/>
  <c r="R327" i="7"/>
  <c r="S327" i="7"/>
  <c r="M328" i="7"/>
  <c r="N328" i="7"/>
  <c r="O328" i="7"/>
  <c r="P328" i="7"/>
  <c r="Q328" i="7"/>
  <c r="R328" i="7"/>
  <c r="S328" i="7"/>
  <c r="M329" i="7"/>
  <c r="N329" i="7"/>
  <c r="O329" i="7"/>
  <c r="P329" i="7"/>
  <c r="Q329" i="7"/>
  <c r="R329" i="7"/>
  <c r="S329" i="7"/>
  <c r="M330" i="7"/>
  <c r="N330" i="7"/>
  <c r="O330" i="7"/>
  <c r="P330" i="7"/>
  <c r="Q330" i="7"/>
  <c r="R330" i="7"/>
  <c r="S330" i="7"/>
  <c r="M331" i="7"/>
  <c r="N331" i="7"/>
  <c r="O331" i="7"/>
  <c r="P331" i="7"/>
  <c r="Q331" i="7"/>
  <c r="R331" i="7"/>
  <c r="S331" i="7"/>
  <c r="M332" i="7"/>
  <c r="N332" i="7"/>
  <c r="O332" i="7"/>
  <c r="P332" i="7"/>
  <c r="Q332" i="7"/>
  <c r="R332" i="7"/>
  <c r="S332" i="7"/>
  <c r="M333" i="7"/>
  <c r="N333" i="7"/>
  <c r="O333" i="7"/>
  <c r="P333" i="7"/>
  <c r="Q333" i="7"/>
  <c r="R333" i="7"/>
  <c r="S333" i="7"/>
  <c r="M334" i="7"/>
  <c r="N334" i="7"/>
  <c r="O334" i="7"/>
  <c r="P334" i="7"/>
  <c r="Q334" i="7"/>
  <c r="R334" i="7"/>
  <c r="S334" i="7"/>
  <c r="M335" i="7"/>
  <c r="N335" i="7"/>
  <c r="O335" i="7"/>
  <c r="P335" i="7"/>
  <c r="Q335" i="7"/>
  <c r="R335" i="7"/>
  <c r="S335" i="7"/>
  <c r="M336" i="7"/>
  <c r="N336" i="7"/>
  <c r="O336" i="7"/>
  <c r="P336" i="7"/>
  <c r="Q336" i="7"/>
  <c r="R336" i="7"/>
  <c r="S336" i="7"/>
  <c r="M337" i="7"/>
  <c r="N337" i="7"/>
  <c r="O337" i="7"/>
  <c r="P337" i="7"/>
  <c r="Q337" i="7"/>
  <c r="R337" i="7"/>
  <c r="S337" i="7"/>
  <c r="M338" i="7"/>
  <c r="N338" i="7"/>
  <c r="O338" i="7"/>
  <c r="P338" i="7"/>
  <c r="Q338" i="7"/>
  <c r="R338" i="7"/>
  <c r="S338" i="7"/>
  <c r="M339" i="7"/>
  <c r="N339" i="7"/>
  <c r="O339" i="7"/>
  <c r="P339" i="7"/>
  <c r="Q339" i="7"/>
  <c r="R339" i="7"/>
  <c r="S339" i="7"/>
  <c r="M340" i="7"/>
  <c r="N340" i="7"/>
  <c r="O340" i="7"/>
  <c r="P340" i="7"/>
  <c r="Q340" i="7"/>
  <c r="R340" i="7"/>
  <c r="S340" i="7"/>
  <c r="M341" i="7"/>
  <c r="N341" i="7"/>
  <c r="O341" i="7"/>
  <c r="P341" i="7"/>
  <c r="Q341" i="7"/>
  <c r="R341" i="7"/>
  <c r="S341" i="7"/>
  <c r="M342" i="7"/>
  <c r="N342" i="7"/>
  <c r="O342" i="7"/>
  <c r="P342" i="7"/>
  <c r="Q342" i="7"/>
  <c r="R342" i="7"/>
  <c r="S342" i="7"/>
  <c r="M343" i="7"/>
  <c r="N343" i="7"/>
  <c r="O343" i="7"/>
  <c r="P343" i="7"/>
  <c r="Q343" i="7"/>
  <c r="R343" i="7"/>
  <c r="S343" i="7"/>
  <c r="M344" i="7"/>
  <c r="N344" i="7"/>
  <c r="O344" i="7"/>
  <c r="P344" i="7"/>
  <c r="Q344" i="7"/>
  <c r="R344" i="7"/>
  <c r="S344" i="7"/>
  <c r="N2" i="7"/>
  <c r="O2" i="7"/>
  <c r="P2" i="7"/>
  <c r="Q2" i="7"/>
  <c r="R2" i="7"/>
  <c r="S2" i="7"/>
  <c r="M2" i="7"/>
  <c r="BK12" i="7"/>
  <c r="BL12" i="7"/>
  <c r="BE12" i="7"/>
  <c r="BF12" i="7"/>
  <c r="BJ12" i="7"/>
  <c r="BD12" i="7"/>
  <c r="AX12" i="7"/>
  <c r="AY12" i="7"/>
  <c r="AW12" i="7"/>
  <c r="AR12" i="7"/>
  <c r="AS12" i="7"/>
  <c r="AQ12" i="7"/>
  <c r="AJ3" i="7"/>
  <c r="AK3" i="7"/>
  <c r="AJ4" i="7"/>
  <c r="AK4" i="7"/>
  <c r="AJ5" i="7"/>
  <c r="AK5" i="7"/>
  <c r="AJ6" i="7"/>
  <c r="AK6" i="7"/>
  <c r="AJ7" i="7"/>
  <c r="AK7" i="7"/>
  <c r="AJ8" i="7"/>
  <c r="AK8" i="7"/>
  <c r="AJ9" i="7"/>
  <c r="AK9" i="7"/>
  <c r="AJ10" i="7"/>
  <c r="AK10" i="7"/>
  <c r="AJ11" i="7"/>
  <c r="AK11" i="7"/>
  <c r="AJ12" i="7"/>
  <c r="AK12" i="7"/>
  <c r="AJ13" i="7"/>
  <c r="AK13" i="7"/>
  <c r="AJ14" i="7"/>
  <c r="AK14" i="7"/>
  <c r="AJ15" i="7"/>
  <c r="AK15" i="7"/>
  <c r="AJ16" i="7"/>
  <c r="AK16" i="7"/>
  <c r="AJ17" i="7"/>
  <c r="AK17" i="7"/>
  <c r="AJ18" i="7"/>
  <c r="AK18" i="7"/>
  <c r="AJ19" i="7"/>
  <c r="AK19" i="7"/>
  <c r="AJ20" i="7"/>
  <c r="AK20" i="7"/>
  <c r="AJ21" i="7"/>
  <c r="AK21" i="7"/>
  <c r="AJ22" i="7"/>
  <c r="AK22" i="7"/>
  <c r="AJ23" i="7"/>
  <c r="AK23" i="7"/>
  <c r="AJ24" i="7"/>
  <c r="AK24" i="7"/>
  <c r="AJ25" i="7"/>
  <c r="AK25" i="7"/>
  <c r="AJ26" i="7"/>
  <c r="AK26" i="7"/>
  <c r="AJ27" i="7"/>
  <c r="AK27" i="7"/>
  <c r="AJ28" i="7"/>
  <c r="AK28" i="7"/>
  <c r="AJ29" i="7"/>
  <c r="AK29" i="7"/>
  <c r="AJ30" i="7"/>
  <c r="AK30" i="7"/>
  <c r="AJ31" i="7"/>
  <c r="AK31" i="7"/>
  <c r="AJ32" i="7"/>
  <c r="AK32" i="7"/>
  <c r="AJ33" i="7"/>
  <c r="AK33" i="7"/>
  <c r="AJ34" i="7"/>
  <c r="AK34" i="7"/>
  <c r="AJ35" i="7"/>
  <c r="AK35" i="7"/>
  <c r="AJ36" i="7"/>
  <c r="AK36" i="7"/>
  <c r="AJ37" i="7"/>
  <c r="AK37" i="7"/>
  <c r="AJ38" i="7"/>
  <c r="AK38" i="7"/>
  <c r="AJ39" i="7"/>
  <c r="AK39" i="7"/>
  <c r="AJ40" i="7"/>
  <c r="AK40" i="7"/>
  <c r="AJ41" i="7"/>
  <c r="AK41" i="7"/>
  <c r="AJ42" i="7"/>
  <c r="AK42" i="7"/>
  <c r="AJ43" i="7"/>
  <c r="AK43" i="7"/>
  <c r="AJ44" i="7"/>
  <c r="AK44" i="7"/>
  <c r="AJ45" i="7"/>
  <c r="AK45" i="7"/>
  <c r="AJ46" i="7"/>
  <c r="AK46" i="7"/>
  <c r="AJ47" i="7"/>
  <c r="AK47" i="7"/>
  <c r="AJ48" i="7"/>
  <c r="AK48" i="7"/>
  <c r="AJ49" i="7"/>
  <c r="AK49" i="7"/>
  <c r="AJ50" i="7"/>
  <c r="AK50" i="7"/>
  <c r="AJ51" i="7"/>
  <c r="AK51" i="7"/>
  <c r="AJ52" i="7"/>
  <c r="AK52" i="7"/>
  <c r="AJ53" i="7"/>
  <c r="AK53" i="7"/>
  <c r="AJ54" i="7"/>
  <c r="AK54" i="7"/>
  <c r="AJ55" i="7"/>
  <c r="AK55" i="7"/>
  <c r="AJ56" i="7"/>
  <c r="AK56" i="7"/>
  <c r="AJ57" i="7"/>
  <c r="AK57" i="7"/>
  <c r="AJ58" i="7"/>
  <c r="AK58" i="7"/>
  <c r="AJ59" i="7"/>
  <c r="AK59" i="7"/>
  <c r="AJ60" i="7"/>
  <c r="AK60" i="7"/>
  <c r="AJ61" i="7"/>
  <c r="AK61" i="7"/>
  <c r="AJ62" i="7"/>
  <c r="AK62" i="7"/>
  <c r="AJ63" i="7"/>
  <c r="AK63" i="7"/>
  <c r="AJ64" i="7"/>
  <c r="AK64" i="7"/>
  <c r="AJ65" i="7"/>
  <c r="AK65" i="7"/>
  <c r="AJ66" i="7"/>
  <c r="AK66" i="7"/>
  <c r="AJ67" i="7"/>
  <c r="AK67" i="7"/>
  <c r="AJ68" i="7"/>
  <c r="AK68" i="7"/>
  <c r="AJ69" i="7"/>
  <c r="AK69" i="7"/>
  <c r="AJ70" i="7"/>
  <c r="AK70" i="7"/>
  <c r="AJ71" i="7"/>
  <c r="AK71" i="7"/>
  <c r="AJ72" i="7"/>
  <c r="AK72" i="7"/>
  <c r="AJ73" i="7"/>
  <c r="AK73" i="7"/>
  <c r="AJ74" i="7"/>
  <c r="AK74" i="7"/>
  <c r="AJ75" i="7"/>
  <c r="AK75" i="7"/>
  <c r="AJ76" i="7"/>
  <c r="AK76" i="7"/>
  <c r="AJ77" i="7"/>
  <c r="AK77" i="7"/>
  <c r="AJ78" i="7"/>
  <c r="AK78" i="7"/>
  <c r="AJ79" i="7"/>
  <c r="AK79" i="7"/>
  <c r="AJ80" i="7"/>
  <c r="AK80" i="7"/>
  <c r="AJ81" i="7"/>
  <c r="AK81" i="7"/>
  <c r="AJ82" i="7"/>
  <c r="AK82" i="7"/>
  <c r="AJ83" i="7"/>
  <c r="AK83" i="7"/>
  <c r="AJ84" i="7"/>
  <c r="AK84" i="7"/>
  <c r="AJ85" i="7"/>
  <c r="AK85" i="7"/>
  <c r="AJ86" i="7"/>
  <c r="AK86" i="7"/>
  <c r="AJ87" i="7"/>
  <c r="AK87" i="7"/>
  <c r="AJ88" i="7"/>
  <c r="AK88" i="7"/>
  <c r="AJ89" i="7"/>
  <c r="AK89" i="7"/>
  <c r="AJ90" i="7"/>
  <c r="AK90" i="7"/>
  <c r="AJ91" i="7"/>
  <c r="AK91" i="7"/>
  <c r="AJ92" i="7"/>
  <c r="AK92" i="7"/>
  <c r="AJ93" i="7"/>
  <c r="AK93" i="7"/>
  <c r="AJ94" i="7"/>
  <c r="AK94" i="7"/>
  <c r="AJ95" i="7"/>
  <c r="AK95" i="7"/>
  <c r="AJ96" i="7"/>
  <c r="AK96" i="7"/>
  <c r="AJ97" i="7"/>
  <c r="AK97" i="7"/>
  <c r="AJ98" i="7"/>
  <c r="AK98" i="7"/>
  <c r="AJ99" i="7"/>
  <c r="AK99" i="7"/>
  <c r="AJ100" i="7"/>
  <c r="AK100" i="7"/>
  <c r="AJ101" i="7"/>
  <c r="AK101" i="7"/>
  <c r="AJ102" i="7"/>
  <c r="AK102" i="7"/>
  <c r="AJ103" i="7"/>
  <c r="AK103" i="7"/>
  <c r="AJ104" i="7"/>
  <c r="AK104" i="7"/>
  <c r="AJ105" i="7"/>
  <c r="AK105" i="7"/>
  <c r="AJ106" i="7"/>
  <c r="AK106" i="7"/>
  <c r="AJ107" i="7"/>
  <c r="AK107" i="7"/>
  <c r="AJ108" i="7"/>
  <c r="AK108" i="7"/>
  <c r="AJ109" i="7"/>
  <c r="AK109" i="7"/>
  <c r="AJ110" i="7"/>
  <c r="AK110" i="7"/>
  <c r="AJ111" i="7"/>
  <c r="AK111" i="7"/>
  <c r="AJ112" i="7"/>
  <c r="AK112" i="7"/>
  <c r="AJ113" i="7"/>
  <c r="AK113" i="7"/>
  <c r="AJ114" i="7"/>
  <c r="AK114" i="7"/>
  <c r="AJ115" i="7"/>
  <c r="AK115" i="7"/>
  <c r="AJ116" i="7"/>
  <c r="AK116" i="7"/>
  <c r="AJ117" i="7"/>
  <c r="AK117" i="7"/>
  <c r="AJ118" i="7"/>
  <c r="AK118" i="7"/>
  <c r="AJ119" i="7"/>
  <c r="AK119" i="7"/>
  <c r="AJ120" i="7"/>
  <c r="AK120" i="7"/>
  <c r="AJ121" i="7"/>
  <c r="AK121" i="7"/>
  <c r="AJ122" i="7"/>
  <c r="AK122" i="7"/>
  <c r="AJ123" i="7"/>
  <c r="AK123" i="7"/>
  <c r="AJ124" i="7"/>
  <c r="AK124" i="7"/>
  <c r="AJ125" i="7"/>
  <c r="AK125" i="7"/>
  <c r="AJ126" i="7"/>
  <c r="AK126" i="7"/>
  <c r="AJ127" i="7"/>
  <c r="AK127" i="7"/>
  <c r="AJ128" i="7"/>
  <c r="AK128" i="7"/>
  <c r="AJ129" i="7"/>
  <c r="AK129" i="7"/>
  <c r="AJ130" i="7"/>
  <c r="AK130" i="7"/>
  <c r="AJ131" i="7"/>
  <c r="AK131" i="7"/>
  <c r="AJ132" i="7"/>
  <c r="AK132" i="7"/>
  <c r="AJ133" i="7"/>
  <c r="AK133" i="7"/>
  <c r="AJ134" i="7"/>
  <c r="AK134" i="7"/>
  <c r="AJ135" i="7"/>
  <c r="AK135" i="7"/>
  <c r="AJ136" i="7"/>
  <c r="AK136" i="7"/>
  <c r="AJ137" i="7"/>
  <c r="AK137" i="7"/>
  <c r="AJ138" i="7"/>
  <c r="AK138" i="7"/>
  <c r="AJ139" i="7"/>
  <c r="AK139" i="7"/>
  <c r="AJ140" i="7"/>
  <c r="AK140" i="7"/>
  <c r="AJ141" i="7"/>
  <c r="AK141" i="7"/>
  <c r="AJ142" i="7"/>
  <c r="AK142" i="7"/>
  <c r="AJ143" i="7"/>
  <c r="AK143" i="7"/>
  <c r="AJ144" i="7"/>
  <c r="AK144" i="7"/>
  <c r="AJ145" i="7"/>
  <c r="AK145" i="7"/>
  <c r="AJ146" i="7"/>
  <c r="AK146" i="7"/>
  <c r="AJ147" i="7"/>
  <c r="AK147" i="7"/>
  <c r="AJ148" i="7"/>
  <c r="AK148" i="7"/>
  <c r="AJ149" i="7"/>
  <c r="AK149" i="7"/>
  <c r="AJ150" i="7"/>
  <c r="AK150" i="7"/>
  <c r="AJ151" i="7"/>
  <c r="AK151" i="7"/>
  <c r="AJ152" i="7"/>
  <c r="AK152" i="7"/>
  <c r="AJ153" i="7"/>
  <c r="AK153" i="7"/>
  <c r="AJ154" i="7"/>
  <c r="AK154" i="7"/>
  <c r="AJ155" i="7"/>
  <c r="AK155" i="7"/>
  <c r="AJ156" i="7"/>
  <c r="AK156" i="7"/>
  <c r="AJ157" i="7"/>
  <c r="AK157" i="7"/>
  <c r="AJ158" i="7"/>
  <c r="AK158" i="7"/>
  <c r="AJ159" i="7"/>
  <c r="AK159" i="7"/>
  <c r="AJ160" i="7"/>
  <c r="AK160" i="7"/>
  <c r="AJ162" i="7"/>
  <c r="AK162" i="7"/>
  <c r="AJ163" i="7"/>
  <c r="AK163" i="7"/>
  <c r="AJ164" i="7"/>
  <c r="AK164" i="7"/>
  <c r="AJ165" i="7"/>
  <c r="AK165" i="7"/>
  <c r="AJ166" i="7"/>
  <c r="AK166" i="7"/>
  <c r="AJ167" i="7"/>
  <c r="AK167" i="7"/>
  <c r="AJ168" i="7"/>
  <c r="AK168" i="7"/>
  <c r="AJ169" i="7"/>
  <c r="AK169" i="7"/>
  <c r="AJ170" i="7"/>
  <c r="AK170" i="7"/>
  <c r="AJ171" i="7"/>
  <c r="AK171" i="7"/>
  <c r="AJ172" i="7"/>
  <c r="AK172" i="7"/>
  <c r="AJ173" i="7"/>
  <c r="AK173" i="7"/>
  <c r="AJ174" i="7"/>
  <c r="AK174" i="7"/>
  <c r="AJ175" i="7"/>
  <c r="AK175" i="7"/>
  <c r="AJ176" i="7"/>
  <c r="AK176" i="7"/>
  <c r="AJ177" i="7"/>
  <c r="AK177" i="7"/>
  <c r="AJ181" i="7"/>
  <c r="AK181" i="7"/>
  <c r="AJ182" i="7"/>
  <c r="AK182" i="7"/>
  <c r="AJ183" i="7"/>
  <c r="AK183" i="7"/>
  <c r="AJ184" i="7"/>
  <c r="AK184" i="7"/>
  <c r="AJ185" i="7"/>
  <c r="AK185" i="7"/>
  <c r="AJ186" i="7"/>
  <c r="AK186" i="7"/>
  <c r="AJ187" i="7"/>
  <c r="AK187" i="7"/>
  <c r="AJ188" i="7"/>
  <c r="AK188" i="7"/>
  <c r="AJ189" i="7"/>
  <c r="AK189" i="7"/>
  <c r="AJ190" i="7"/>
  <c r="AK190" i="7"/>
  <c r="AJ191" i="7"/>
  <c r="AK191" i="7"/>
  <c r="AJ192" i="7"/>
  <c r="AK192" i="7"/>
  <c r="AJ193" i="7"/>
  <c r="AK193" i="7"/>
  <c r="AJ194" i="7"/>
  <c r="AK194" i="7"/>
  <c r="AJ195" i="7"/>
  <c r="AK195" i="7"/>
  <c r="AJ196" i="7"/>
  <c r="AK196" i="7"/>
  <c r="AJ197" i="7"/>
  <c r="AK197" i="7"/>
  <c r="AJ198" i="7"/>
  <c r="AK198" i="7"/>
  <c r="AJ199" i="7"/>
  <c r="AK199" i="7"/>
  <c r="AJ200" i="7"/>
  <c r="AK200" i="7"/>
  <c r="AJ201" i="7"/>
  <c r="AK201" i="7"/>
  <c r="AJ202" i="7"/>
  <c r="AK202" i="7"/>
  <c r="AJ203" i="7"/>
  <c r="AK203" i="7"/>
  <c r="AJ204" i="7"/>
  <c r="AK204" i="7"/>
  <c r="AJ205" i="7"/>
  <c r="AK205" i="7"/>
  <c r="AJ206" i="7"/>
  <c r="AK206" i="7"/>
  <c r="AJ207" i="7"/>
  <c r="AK207" i="7"/>
  <c r="AJ208" i="7"/>
  <c r="AK208" i="7"/>
  <c r="AJ209" i="7"/>
  <c r="AK209" i="7"/>
  <c r="AJ210" i="7"/>
  <c r="AK210" i="7"/>
  <c r="AJ211" i="7"/>
  <c r="AK211" i="7"/>
  <c r="AJ212" i="7"/>
  <c r="AK212" i="7"/>
  <c r="AJ213" i="7"/>
  <c r="AK213" i="7"/>
  <c r="AJ214" i="7"/>
  <c r="AK214" i="7"/>
  <c r="AJ215" i="7"/>
  <c r="AK215" i="7"/>
  <c r="AJ216" i="7"/>
  <c r="AK216" i="7"/>
  <c r="AJ217" i="7"/>
  <c r="AK217" i="7"/>
  <c r="AJ218" i="7"/>
  <c r="AK218" i="7"/>
  <c r="AJ219" i="7"/>
  <c r="AK219" i="7"/>
  <c r="AJ220" i="7"/>
  <c r="AK220" i="7"/>
  <c r="AJ221" i="7"/>
  <c r="AK221" i="7"/>
  <c r="AJ222" i="7"/>
  <c r="AK222" i="7"/>
  <c r="AJ223" i="7"/>
  <c r="AK223" i="7"/>
  <c r="AJ224" i="7"/>
  <c r="AK224" i="7"/>
  <c r="AJ225" i="7"/>
  <c r="AK225" i="7"/>
  <c r="AJ226" i="7"/>
  <c r="AK226" i="7"/>
  <c r="AJ227" i="7"/>
  <c r="AK227" i="7"/>
  <c r="AJ228" i="7"/>
  <c r="AK228" i="7"/>
  <c r="AJ229" i="7"/>
  <c r="AK229" i="7"/>
  <c r="AJ230" i="7"/>
  <c r="AK230" i="7"/>
  <c r="AJ231" i="7"/>
  <c r="AK231" i="7"/>
  <c r="AJ232" i="7"/>
  <c r="AK232" i="7"/>
  <c r="AJ233" i="7"/>
  <c r="AK233" i="7"/>
  <c r="AJ234" i="7"/>
  <c r="AK234" i="7"/>
  <c r="AJ235" i="7"/>
  <c r="AK235" i="7"/>
  <c r="AJ236" i="7"/>
  <c r="AK236" i="7"/>
  <c r="AJ237" i="7"/>
  <c r="AK237" i="7"/>
  <c r="AJ238" i="7"/>
  <c r="AK238" i="7"/>
  <c r="AJ239" i="7"/>
  <c r="AK239" i="7"/>
  <c r="AJ240" i="7"/>
  <c r="AK240" i="7"/>
  <c r="AJ241" i="7"/>
  <c r="AK241" i="7"/>
  <c r="AJ242" i="7"/>
  <c r="AK242" i="7"/>
  <c r="AJ243" i="7"/>
  <c r="AK243" i="7"/>
  <c r="AJ244" i="7"/>
  <c r="AK244" i="7"/>
  <c r="AJ245" i="7"/>
  <c r="AK245" i="7"/>
  <c r="AJ246" i="7"/>
  <c r="AK246" i="7"/>
  <c r="AJ247" i="7"/>
  <c r="AK247" i="7"/>
  <c r="AJ248" i="7"/>
  <c r="AK248" i="7"/>
  <c r="AJ249" i="7"/>
  <c r="AK249" i="7"/>
  <c r="AJ250" i="7"/>
  <c r="AK250" i="7"/>
  <c r="AJ251" i="7"/>
  <c r="AK251" i="7"/>
  <c r="AJ252" i="7"/>
  <c r="AK252" i="7"/>
  <c r="AJ253" i="7"/>
  <c r="AK253" i="7"/>
  <c r="AJ254" i="7"/>
  <c r="AK254" i="7"/>
  <c r="AJ255" i="7"/>
  <c r="AK255" i="7"/>
  <c r="AJ256" i="7"/>
  <c r="AK256" i="7"/>
  <c r="AJ257" i="7"/>
  <c r="AK257" i="7"/>
  <c r="AJ258" i="7"/>
  <c r="AK258" i="7"/>
  <c r="AJ259" i="7"/>
  <c r="AK259" i="7"/>
  <c r="AJ260" i="7"/>
  <c r="AK260" i="7"/>
  <c r="AJ261" i="7"/>
  <c r="AK261" i="7"/>
  <c r="AJ262" i="7"/>
  <c r="AK262" i="7"/>
  <c r="AJ263" i="7"/>
  <c r="AK263" i="7"/>
  <c r="AJ264" i="7"/>
  <c r="AK264" i="7"/>
  <c r="AJ265" i="7"/>
  <c r="AK265" i="7"/>
  <c r="AJ266" i="7"/>
  <c r="AK266" i="7"/>
  <c r="AJ267" i="7"/>
  <c r="AK267" i="7"/>
  <c r="AJ268" i="7"/>
  <c r="AK268" i="7"/>
  <c r="AJ269" i="7"/>
  <c r="AK269" i="7"/>
  <c r="AJ270" i="7"/>
  <c r="AK270" i="7"/>
  <c r="AJ271" i="7"/>
  <c r="AK271" i="7"/>
  <c r="AJ272" i="7"/>
  <c r="AK272" i="7"/>
  <c r="AJ273" i="7"/>
  <c r="AK273" i="7"/>
  <c r="AJ274" i="7"/>
  <c r="AK274" i="7"/>
  <c r="AJ275" i="7"/>
  <c r="AK275" i="7"/>
  <c r="AJ276" i="7"/>
  <c r="AK276" i="7"/>
  <c r="AJ277" i="7"/>
  <c r="AK277" i="7"/>
  <c r="AJ278" i="7"/>
  <c r="AK278" i="7"/>
  <c r="AJ279" i="7"/>
  <c r="AK279" i="7"/>
  <c r="AJ280" i="7"/>
  <c r="AK280" i="7"/>
  <c r="AJ281" i="7"/>
  <c r="AK281" i="7"/>
  <c r="AJ282" i="7"/>
  <c r="AK282" i="7"/>
  <c r="AJ283" i="7"/>
  <c r="AK283" i="7"/>
  <c r="AJ284" i="7"/>
  <c r="AK284" i="7"/>
  <c r="AJ285" i="7"/>
  <c r="AK285" i="7"/>
  <c r="AJ286" i="7"/>
  <c r="AK286" i="7"/>
  <c r="AJ287" i="7"/>
  <c r="AK287" i="7"/>
  <c r="AJ288" i="7"/>
  <c r="AK288" i="7"/>
  <c r="AJ289" i="7"/>
  <c r="AK289" i="7"/>
  <c r="AJ290" i="7"/>
  <c r="AK290" i="7"/>
  <c r="AJ291" i="7"/>
  <c r="AK291" i="7"/>
  <c r="AJ292" i="7"/>
  <c r="AK292" i="7"/>
  <c r="AJ293" i="7"/>
  <c r="AK293" i="7"/>
  <c r="AJ294" i="7"/>
  <c r="AK294" i="7"/>
  <c r="AJ295" i="7"/>
  <c r="AK295" i="7"/>
  <c r="AJ296" i="7"/>
  <c r="AK296" i="7"/>
  <c r="AJ297" i="7"/>
  <c r="AK297" i="7"/>
  <c r="AJ298" i="7"/>
  <c r="AK298" i="7"/>
  <c r="AJ299" i="7"/>
  <c r="AK299" i="7"/>
  <c r="AJ300" i="7"/>
  <c r="AK300" i="7"/>
  <c r="AJ301" i="7"/>
  <c r="AK301" i="7"/>
  <c r="AJ302" i="7"/>
  <c r="AK302" i="7"/>
  <c r="AJ303" i="7"/>
  <c r="AK303" i="7"/>
  <c r="AJ304" i="7"/>
  <c r="AK304" i="7"/>
  <c r="AJ305" i="7"/>
  <c r="AK305" i="7"/>
  <c r="AJ306" i="7"/>
  <c r="AK306" i="7"/>
  <c r="AJ307" i="7"/>
  <c r="AK307" i="7"/>
  <c r="AJ308" i="7"/>
  <c r="AK308" i="7"/>
  <c r="AJ309" i="7"/>
  <c r="AK309" i="7"/>
  <c r="AJ310" i="7"/>
  <c r="AK310" i="7"/>
  <c r="AJ311" i="7"/>
  <c r="AK311" i="7"/>
  <c r="AJ312" i="7"/>
  <c r="AK312" i="7"/>
  <c r="AJ313" i="7"/>
  <c r="AK313" i="7"/>
  <c r="AJ314" i="7"/>
  <c r="AK314" i="7"/>
  <c r="AJ315" i="7"/>
  <c r="AK315" i="7"/>
  <c r="AJ316" i="7"/>
  <c r="AK316" i="7"/>
  <c r="AJ317" i="7"/>
  <c r="AK317" i="7"/>
  <c r="AJ318" i="7"/>
  <c r="AK318" i="7"/>
  <c r="AJ319" i="7"/>
  <c r="AK319" i="7"/>
  <c r="AJ320" i="7"/>
  <c r="AK320" i="7"/>
  <c r="AJ321" i="7"/>
  <c r="AK321" i="7"/>
  <c r="AJ322" i="7"/>
  <c r="AK322" i="7"/>
  <c r="AJ323" i="7"/>
  <c r="AK323" i="7"/>
  <c r="AJ324" i="7"/>
  <c r="AK324" i="7"/>
  <c r="AJ325" i="7"/>
  <c r="AK325" i="7"/>
  <c r="AJ326" i="7"/>
  <c r="AK326" i="7"/>
  <c r="AJ327" i="7"/>
  <c r="AK327" i="7"/>
  <c r="AJ328" i="7"/>
  <c r="AK328" i="7"/>
  <c r="AJ329" i="7"/>
  <c r="AK329" i="7"/>
  <c r="AJ330" i="7"/>
  <c r="AK330" i="7"/>
  <c r="AJ331" i="7"/>
  <c r="AK331" i="7"/>
  <c r="AJ332" i="7"/>
  <c r="AK332" i="7"/>
  <c r="AJ333" i="7"/>
  <c r="AK333" i="7"/>
  <c r="AJ334" i="7"/>
  <c r="AK334" i="7"/>
  <c r="AJ335" i="7"/>
  <c r="AK335" i="7"/>
  <c r="AJ336" i="7"/>
  <c r="AK336" i="7"/>
  <c r="AJ337" i="7"/>
  <c r="AK337" i="7"/>
  <c r="AJ338" i="7"/>
  <c r="AK338" i="7"/>
  <c r="AJ339" i="7"/>
  <c r="AK339" i="7"/>
  <c r="AJ340" i="7"/>
  <c r="AK340" i="7"/>
  <c r="AJ341" i="7"/>
  <c r="AK341" i="7"/>
  <c r="AJ342" i="7"/>
  <c r="AK342" i="7"/>
  <c r="AJ343" i="7"/>
  <c r="AK343" i="7"/>
  <c r="AJ344" i="7"/>
  <c r="AK344" i="7"/>
  <c r="AK2" i="7"/>
  <c r="AJ2" i="7"/>
  <c r="AH3" i="7"/>
  <c r="AI3" i="7"/>
  <c r="AH4" i="7"/>
  <c r="AI4" i="7"/>
  <c r="AH5" i="7"/>
  <c r="AI5" i="7"/>
  <c r="AH6" i="7"/>
  <c r="AI6" i="7"/>
  <c r="AH7" i="7"/>
  <c r="AI7" i="7"/>
  <c r="AH8" i="7"/>
  <c r="AI8" i="7"/>
  <c r="AH9" i="7"/>
  <c r="AI9" i="7"/>
  <c r="AH10" i="7"/>
  <c r="AI10" i="7"/>
  <c r="AH11" i="7"/>
  <c r="AI11" i="7"/>
  <c r="AH12" i="7"/>
  <c r="AI12" i="7"/>
  <c r="AH13" i="7"/>
  <c r="AI13" i="7"/>
  <c r="AH14" i="7"/>
  <c r="AI14" i="7"/>
  <c r="AH15" i="7"/>
  <c r="AI15" i="7"/>
  <c r="AH16" i="7"/>
  <c r="AI16" i="7"/>
  <c r="AH17" i="7"/>
  <c r="AI17" i="7"/>
  <c r="AH18" i="7"/>
  <c r="AI18" i="7"/>
  <c r="AH19" i="7"/>
  <c r="AI19" i="7"/>
  <c r="AH20" i="7"/>
  <c r="AI20" i="7"/>
  <c r="AH21" i="7"/>
  <c r="AI21" i="7"/>
  <c r="AH22" i="7"/>
  <c r="AI22" i="7"/>
  <c r="AH23" i="7"/>
  <c r="AI23" i="7"/>
  <c r="AH24" i="7"/>
  <c r="AI24" i="7"/>
  <c r="AH25" i="7"/>
  <c r="AI25" i="7"/>
  <c r="AH26" i="7"/>
  <c r="AI26" i="7"/>
  <c r="AH27" i="7"/>
  <c r="AI27" i="7"/>
  <c r="AH28" i="7"/>
  <c r="AI28" i="7"/>
  <c r="AH29" i="7"/>
  <c r="AI29" i="7"/>
  <c r="AH30" i="7"/>
  <c r="AI30" i="7"/>
  <c r="AH31" i="7"/>
  <c r="AI31" i="7"/>
  <c r="AH32" i="7"/>
  <c r="AI32" i="7"/>
  <c r="AH33" i="7"/>
  <c r="AI33" i="7"/>
  <c r="AH34" i="7"/>
  <c r="AI34" i="7"/>
  <c r="AH35" i="7"/>
  <c r="AI35" i="7"/>
  <c r="AH36" i="7"/>
  <c r="AI36" i="7"/>
  <c r="AH37" i="7"/>
  <c r="AI37" i="7"/>
  <c r="AH38" i="7"/>
  <c r="AI38" i="7"/>
  <c r="AH39" i="7"/>
  <c r="AI39" i="7"/>
  <c r="AH40" i="7"/>
  <c r="AI40" i="7"/>
  <c r="AH41" i="7"/>
  <c r="AI41" i="7"/>
  <c r="AH42" i="7"/>
  <c r="AI42" i="7"/>
  <c r="AH43" i="7"/>
  <c r="AI43" i="7"/>
  <c r="AH44" i="7"/>
  <c r="AI44" i="7"/>
  <c r="AH45" i="7"/>
  <c r="AI45" i="7"/>
  <c r="AH46" i="7"/>
  <c r="AI46" i="7"/>
  <c r="AH47" i="7"/>
  <c r="AI47" i="7"/>
  <c r="AH48" i="7"/>
  <c r="AI48" i="7"/>
  <c r="AH49" i="7"/>
  <c r="AI49" i="7"/>
  <c r="AH50" i="7"/>
  <c r="AI50" i="7"/>
  <c r="AH51" i="7"/>
  <c r="AI51" i="7"/>
  <c r="AH52" i="7"/>
  <c r="AI52" i="7"/>
  <c r="AH53" i="7"/>
  <c r="AI53" i="7"/>
  <c r="AH54" i="7"/>
  <c r="AI54" i="7"/>
  <c r="AH55" i="7"/>
  <c r="AI55" i="7"/>
  <c r="AH56" i="7"/>
  <c r="AI56" i="7"/>
  <c r="AH57" i="7"/>
  <c r="AI57" i="7"/>
  <c r="AH58" i="7"/>
  <c r="AI58" i="7"/>
  <c r="AH59" i="7"/>
  <c r="AI59" i="7"/>
  <c r="AH60" i="7"/>
  <c r="AI60" i="7"/>
  <c r="AH61" i="7"/>
  <c r="AI61" i="7"/>
  <c r="AH62" i="7"/>
  <c r="AI62" i="7"/>
  <c r="AH63" i="7"/>
  <c r="AI63" i="7"/>
  <c r="AH64" i="7"/>
  <c r="AI64" i="7"/>
  <c r="AH65" i="7"/>
  <c r="AI65" i="7"/>
  <c r="AH66" i="7"/>
  <c r="AI66" i="7"/>
  <c r="AH67" i="7"/>
  <c r="AI67" i="7"/>
  <c r="AH68" i="7"/>
  <c r="AI68" i="7"/>
  <c r="AH69" i="7"/>
  <c r="AI69" i="7"/>
  <c r="AH70" i="7"/>
  <c r="AI70" i="7"/>
  <c r="AH71" i="7"/>
  <c r="AI71" i="7"/>
  <c r="AH72" i="7"/>
  <c r="AI72" i="7"/>
  <c r="AH73" i="7"/>
  <c r="AI73" i="7"/>
  <c r="AH74" i="7"/>
  <c r="AI74" i="7"/>
  <c r="AH75" i="7"/>
  <c r="AI75" i="7"/>
  <c r="AH76" i="7"/>
  <c r="AI76" i="7"/>
  <c r="AH77" i="7"/>
  <c r="AI77" i="7"/>
  <c r="AH78" i="7"/>
  <c r="AI78" i="7"/>
  <c r="AH79" i="7"/>
  <c r="AI79" i="7"/>
  <c r="AH80" i="7"/>
  <c r="AI80" i="7"/>
  <c r="AH81" i="7"/>
  <c r="AI81" i="7"/>
  <c r="AH82" i="7"/>
  <c r="AI82" i="7"/>
  <c r="AH83" i="7"/>
  <c r="AI83" i="7"/>
  <c r="AH84" i="7"/>
  <c r="AI84" i="7"/>
  <c r="AH85" i="7"/>
  <c r="AI85" i="7"/>
  <c r="AH86" i="7"/>
  <c r="AI86" i="7"/>
  <c r="AH87" i="7"/>
  <c r="AI87" i="7"/>
  <c r="AH88" i="7"/>
  <c r="AI88" i="7"/>
  <c r="AH89" i="7"/>
  <c r="AI89" i="7"/>
  <c r="AH90" i="7"/>
  <c r="AI90" i="7"/>
  <c r="AH91" i="7"/>
  <c r="AI91" i="7"/>
  <c r="AH92" i="7"/>
  <c r="AI92" i="7"/>
  <c r="AH93" i="7"/>
  <c r="AI93" i="7"/>
  <c r="AH94" i="7"/>
  <c r="AI94" i="7"/>
  <c r="AH95" i="7"/>
  <c r="AI95" i="7"/>
  <c r="AH96" i="7"/>
  <c r="AI96" i="7"/>
  <c r="AH97" i="7"/>
  <c r="AI97" i="7"/>
  <c r="AH98" i="7"/>
  <c r="AI98" i="7"/>
  <c r="AH99" i="7"/>
  <c r="AI99" i="7"/>
  <c r="AH100" i="7"/>
  <c r="AI100" i="7"/>
  <c r="AH101" i="7"/>
  <c r="AI101" i="7"/>
  <c r="AH102" i="7"/>
  <c r="AI102" i="7"/>
  <c r="AH103" i="7"/>
  <c r="AI103" i="7"/>
  <c r="AH104" i="7"/>
  <c r="AI104" i="7"/>
  <c r="AH105" i="7"/>
  <c r="AI105" i="7"/>
  <c r="AH106" i="7"/>
  <c r="AI106" i="7"/>
  <c r="AH107" i="7"/>
  <c r="AI107" i="7"/>
  <c r="AH108" i="7"/>
  <c r="AI108" i="7"/>
  <c r="AH109" i="7"/>
  <c r="AI109" i="7"/>
  <c r="AH110" i="7"/>
  <c r="AI110" i="7"/>
  <c r="AH111" i="7"/>
  <c r="AI111" i="7"/>
  <c r="AH112" i="7"/>
  <c r="AI112" i="7"/>
  <c r="AH113" i="7"/>
  <c r="AI113" i="7"/>
  <c r="AH114" i="7"/>
  <c r="AI114" i="7"/>
  <c r="AH115" i="7"/>
  <c r="AI115" i="7"/>
  <c r="AH116" i="7"/>
  <c r="AI116" i="7"/>
  <c r="AH117" i="7"/>
  <c r="AI117" i="7"/>
  <c r="AH118" i="7"/>
  <c r="AI118" i="7"/>
  <c r="AH119" i="7"/>
  <c r="AI119" i="7"/>
  <c r="AH120" i="7"/>
  <c r="AI120" i="7"/>
  <c r="AH121" i="7"/>
  <c r="AI121" i="7"/>
  <c r="AH122" i="7"/>
  <c r="AI122" i="7"/>
  <c r="AH123" i="7"/>
  <c r="AI123" i="7"/>
  <c r="AH124" i="7"/>
  <c r="AI124" i="7"/>
  <c r="AH125" i="7"/>
  <c r="AI125" i="7"/>
  <c r="AH126" i="7"/>
  <c r="AI126" i="7"/>
  <c r="AH127" i="7"/>
  <c r="AI127" i="7"/>
  <c r="AH128" i="7"/>
  <c r="AI128" i="7"/>
  <c r="AH129" i="7"/>
  <c r="AI129" i="7"/>
  <c r="AH130" i="7"/>
  <c r="AI130" i="7"/>
  <c r="AH131" i="7"/>
  <c r="AI131" i="7"/>
  <c r="AH132" i="7"/>
  <c r="AI132" i="7"/>
  <c r="AH133" i="7"/>
  <c r="AI133" i="7"/>
  <c r="AH134" i="7"/>
  <c r="AI134" i="7"/>
  <c r="AH135" i="7"/>
  <c r="AI135" i="7"/>
  <c r="AH136" i="7"/>
  <c r="AI136" i="7"/>
  <c r="AH137" i="7"/>
  <c r="AI137" i="7"/>
  <c r="AH138" i="7"/>
  <c r="AI138" i="7"/>
  <c r="AH139" i="7"/>
  <c r="AI139" i="7"/>
  <c r="AH140" i="7"/>
  <c r="AI140" i="7"/>
  <c r="AH141" i="7"/>
  <c r="AI141" i="7"/>
  <c r="AH142" i="7"/>
  <c r="AI142" i="7"/>
  <c r="AH143" i="7"/>
  <c r="AI143" i="7"/>
  <c r="AH144" i="7"/>
  <c r="AI144" i="7"/>
  <c r="AH145" i="7"/>
  <c r="AI145" i="7"/>
  <c r="AH146" i="7"/>
  <c r="AI146" i="7"/>
  <c r="AH147" i="7"/>
  <c r="AI147" i="7"/>
  <c r="AH148" i="7"/>
  <c r="AI148" i="7"/>
  <c r="AH149" i="7"/>
  <c r="AI149" i="7"/>
  <c r="AH150" i="7"/>
  <c r="AI150" i="7"/>
  <c r="AH151" i="7"/>
  <c r="AI151" i="7"/>
  <c r="AH152" i="7"/>
  <c r="AI152" i="7"/>
  <c r="AH153" i="7"/>
  <c r="AI153" i="7"/>
  <c r="AH154" i="7"/>
  <c r="AI154" i="7"/>
  <c r="AH155" i="7"/>
  <c r="AI155" i="7"/>
  <c r="AH156" i="7"/>
  <c r="AI156" i="7"/>
  <c r="AH157" i="7"/>
  <c r="AI157" i="7"/>
  <c r="AH158" i="7"/>
  <c r="AI158" i="7"/>
  <c r="AH159" i="7"/>
  <c r="AI159" i="7"/>
  <c r="AH160" i="7"/>
  <c r="AI160" i="7"/>
  <c r="AH163" i="7"/>
  <c r="AI163" i="7"/>
  <c r="AH164" i="7"/>
  <c r="AI164" i="7"/>
  <c r="AH165" i="7"/>
  <c r="AI165" i="7"/>
  <c r="AH166" i="7"/>
  <c r="AI166" i="7"/>
  <c r="AH167" i="7"/>
  <c r="AI167" i="7"/>
  <c r="AH168" i="7"/>
  <c r="AI168" i="7"/>
  <c r="AH169" i="7"/>
  <c r="AI169" i="7"/>
  <c r="AH170" i="7"/>
  <c r="AI170" i="7"/>
  <c r="AH171" i="7"/>
  <c r="AI171" i="7"/>
  <c r="AH172" i="7"/>
  <c r="AI172" i="7"/>
  <c r="AH173" i="7"/>
  <c r="AI173" i="7"/>
  <c r="AH174" i="7"/>
  <c r="AI174" i="7"/>
  <c r="AH175" i="7"/>
  <c r="AI175" i="7"/>
  <c r="AH176" i="7"/>
  <c r="AI176" i="7"/>
  <c r="AH177" i="7"/>
  <c r="AI177" i="7"/>
  <c r="AH181" i="7"/>
  <c r="AI181" i="7"/>
  <c r="AH182" i="7"/>
  <c r="AI182" i="7"/>
  <c r="AI183" i="7"/>
  <c r="AH184" i="7"/>
  <c r="AI184" i="7"/>
  <c r="AH185" i="7"/>
  <c r="AI185" i="7"/>
  <c r="AH186" i="7"/>
  <c r="AI186" i="7"/>
  <c r="AH187" i="7"/>
  <c r="AI187" i="7"/>
  <c r="AH188" i="7"/>
  <c r="AI188" i="7"/>
  <c r="AH189" i="7"/>
  <c r="AI189" i="7"/>
  <c r="AH190" i="7"/>
  <c r="AI190" i="7"/>
  <c r="AH191" i="7"/>
  <c r="AI191" i="7"/>
  <c r="AH192" i="7"/>
  <c r="AI192" i="7"/>
  <c r="AH193" i="7"/>
  <c r="AI193" i="7"/>
  <c r="AH194" i="7"/>
  <c r="AI194" i="7"/>
  <c r="AH195" i="7"/>
  <c r="AI195" i="7"/>
  <c r="AH196" i="7"/>
  <c r="AI196" i="7"/>
  <c r="AH197" i="7"/>
  <c r="AI197" i="7"/>
  <c r="AH198" i="7"/>
  <c r="AI198" i="7"/>
  <c r="AI199" i="7"/>
  <c r="AH200" i="7"/>
  <c r="AI200" i="7"/>
  <c r="AH201" i="7"/>
  <c r="AI201" i="7"/>
  <c r="AH202" i="7"/>
  <c r="AI202" i="7"/>
  <c r="AH203" i="7"/>
  <c r="AI203" i="7"/>
  <c r="AH204" i="7"/>
  <c r="AI204" i="7"/>
  <c r="AH205" i="7"/>
  <c r="AI205" i="7"/>
  <c r="AH206" i="7"/>
  <c r="AI206" i="7"/>
  <c r="AH207" i="7"/>
  <c r="AI207" i="7"/>
  <c r="AH208" i="7"/>
  <c r="AI208" i="7"/>
  <c r="AH209" i="7"/>
  <c r="AI209" i="7"/>
  <c r="AH210" i="7"/>
  <c r="AI210" i="7"/>
  <c r="AH211" i="7"/>
  <c r="AI211" i="7"/>
  <c r="AH212" i="7"/>
  <c r="AI212" i="7"/>
  <c r="AH213" i="7"/>
  <c r="AI213" i="7"/>
  <c r="AH214" i="7"/>
  <c r="AI214" i="7"/>
  <c r="AH215" i="7"/>
  <c r="AI215" i="7"/>
  <c r="AH216" i="7"/>
  <c r="AI216" i="7"/>
  <c r="AH217" i="7"/>
  <c r="AI217" i="7"/>
  <c r="AH218" i="7"/>
  <c r="AI218" i="7"/>
  <c r="AH219" i="7"/>
  <c r="AI219" i="7"/>
  <c r="AH220" i="7"/>
  <c r="AI220" i="7"/>
  <c r="AH221" i="7"/>
  <c r="AI221" i="7"/>
  <c r="AH222" i="7"/>
  <c r="AI222" i="7"/>
  <c r="AH223" i="7"/>
  <c r="AI223" i="7"/>
  <c r="AH224" i="7"/>
  <c r="AI224" i="7"/>
  <c r="AH225" i="7"/>
  <c r="AI225" i="7"/>
  <c r="AH226" i="7"/>
  <c r="AI226" i="7"/>
  <c r="AH227" i="7"/>
  <c r="AI227" i="7"/>
  <c r="AH228" i="7"/>
  <c r="AI228" i="7"/>
  <c r="AH229" i="7"/>
  <c r="AI229" i="7"/>
  <c r="AH230" i="7"/>
  <c r="AI230" i="7"/>
  <c r="AH231" i="7"/>
  <c r="AI231" i="7"/>
  <c r="AH232" i="7"/>
  <c r="AI232" i="7"/>
  <c r="AH233" i="7"/>
  <c r="AI233" i="7"/>
  <c r="AH234" i="7"/>
  <c r="AI234" i="7"/>
  <c r="AH235" i="7"/>
  <c r="AI235" i="7"/>
  <c r="AH236" i="7"/>
  <c r="AI236" i="7"/>
  <c r="AH237" i="7"/>
  <c r="AI237" i="7"/>
  <c r="AH238" i="7"/>
  <c r="AI238" i="7"/>
  <c r="AH239" i="7"/>
  <c r="AI239" i="7"/>
  <c r="AH240" i="7"/>
  <c r="AI240" i="7"/>
  <c r="AH241" i="7"/>
  <c r="AI241" i="7"/>
  <c r="AH242" i="7"/>
  <c r="AI242" i="7"/>
  <c r="AH243" i="7"/>
  <c r="AI243" i="7"/>
  <c r="AH244" i="7"/>
  <c r="AI244" i="7"/>
  <c r="AH245" i="7"/>
  <c r="AI245" i="7"/>
  <c r="AH246" i="7"/>
  <c r="AI246" i="7"/>
  <c r="AH247" i="7"/>
  <c r="AI247" i="7"/>
  <c r="AH248" i="7"/>
  <c r="AI248" i="7"/>
  <c r="AH249" i="7"/>
  <c r="AI249" i="7"/>
  <c r="AH250" i="7"/>
  <c r="AI250" i="7"/>
  <c r="AH251" i="7"/>
  <c r="AI251" i="7"/>
  <c r="AH252" i="7"/>
  <c r="AI252" i="7"/>
  <c r="AH253" i="7"/>
  <c r="AI253" i="7"/>
  <c r="AH254" i="7"/>
  <c r="AI254" i="7"/>
  <c r="AH255" i="7"/>
  <c r="AI255" i="7"/>
  <c r="AH256" i="7"/>
  <c r="AI256" i="7"/>
  <c r="AH257" i="7"/>
  <c r="AI257" i="7"/>
  <c r="AH258" i="7"/>
  <c r="AI258" i="7"/>
  <c r="AH259" i="7"/>
  <c r="AI259" i="7"/>
  <c r="AH260" i="7"/>
  <c r="AI260" i="7"/>
  <c r="AH261" i="7"/>
  <c r="AI261" i="7"/>
  <c r="AH262" i="7"/>
  <c r="AI262" i="7"/>
  <c r="AH263" i="7"/>
  <c r="AI263" i="7"/>
  <c r="AH264" i="7"/>
  <c r="AI264" i="7"/>
  <c r="AH265" i="7"/>
  <c r="AI265" i="7"/>
  <c r="AH266" i="7"/>
  <c r="AI266" i="7"/>
  <c r="AH267" i="7"/>
  <c r="AI267" i="7"/>
  <c r="AH268" i="7"/>
  <c r="AI268" i="7"/>
  <c r="AH269" i="7"/>
  <c r="AI269" i="7"/>
  <c r="AH270" i="7"/>
  <c r="AI270" i="7"/>
  <c r="AH271" i="7"/>
  <c r="AI271" i="7"/>
  <c r="AH272" i="7"/>
  <c r="AI272" i="7"/>
  <c r="AH273" i="7"/>
  <c r="AI273" i="7"/>
  <c r="AH274" i="7"/>
  <c r="AI274" i="7"/>
  <c r="AH275" i="7"/>
  <c r="AI275" i="7"/>
  <c r="AH276" i="7"/>
  <c r="AI276" i="7"/>
  <c r="AH277" i="7"/>
  <c r="AI277" i="7"/>
  <c r="AH278" i="7"/>
  <c r="AI278" i="7"/>
  <c r="AH279" i="7"/>
  <c r="AI279" i="7"/>
  <c r="AH280" i="7"/>
  <c r="AI280" i="7"/>
  <c r="AH281" i="7"/>
  <c r="AI281" i="7"/>
  <c r="AH282" i="7"/>
  <c r="AI282" i="7"/>
  <c r="AH283" i="7"/>
  <c r="AI283" i="7"/>
  <c r="AH284" i="7"/>
  <c r="AI284" i="7"/>
  <c r="AH285" i="7"/>
  <c r="AI285" i="7"/>
  <c r="AH286" i="7"/>
  <c r="AI286" i="7"/>
  <c r="AH287" i="7"/>
  <c r="AI287" i="7"/>
  <c r="AH288" i="7"/>
  <c r="AI288" i="7"/>
  <c r="AH289" i="7"/>
  <c r="AI289" i="7"/>
  <c r="AH290" i="7"/>
  <c r="AI290" i="7"/>
  <c r="AH291" i="7"/>
  <c r="AI291" i="7"/>
  <c r="AH292" i="7"/>
  <c r="AI292" i="7"/>
  <c r="AH293" i="7"/>
  <c r="AI293" i="7"/>
  <c r="AH294" i="7"/>
  <c r="AI294" i="7"/>
  <c r="AH295" i="7"/>
  <c r="AI295" i="7"/>
  <c r="AH296" i="7"/>
  <c r="AI296" i="7"/>
  <c r="AH297" i="7"/>
  <c r="AI297" i="7"/>
  <c r="AH298" i="7"/>
  <c r="AI298" i="7"/>
  <c r="AH299" i="7"/>
  <c r="AI299" i="7"/>
  <c r="AH300" i="7"/>
  <c r="AI300" i="7"/>
  <c r="AH301" i="7"/>
  <c r="AI301" i="7"/>
  <c r="AH302" i="7"/>
  <c r="AI302" i="7"/>
  <c r="AH303" i="7"/>
  <c r="AI303" i="7"/>
  <c r="AH304" i="7"/>
  <c r="AI304" i="7"/>
  <c r="AH305" i="7"/>
  <c r="AI305" i="7"/>
  <c r="AH306" i="7"/>
  <c r="AI306" i="7"/>
  <c r="AH307" i="7"/>
  <c r="AI307" i="7"/>
  <c r="AH308" i="7"/>
  <c r="AI308" i="7"/>
  <c r="AH309" i="7"/>
  <c r="AI309" i="7"/>
  <c r="AH310" i="7"/>
  <c r="AI310" i="7"/>
  <c r="AH311" i="7"/>
  <c r="AI311" i="7"/>
  <c r="AH312" i="7"/>
  <c r="AI312" i="7"/>
  <c r="AH313" i="7"/>
  <c r="AI313" i="7"/>
  <c r="AH314" i="7"/>
  <c r="AI314" i="7"/>
  <c r="AH315" i="7"/>
  <c r="AI315" i="7"/>
  <c r="AH316" i="7"/>
  <c r="AI316" i="7"/>
  <c r="AH317" i="7"/>
  <c r="AI317" i="7"/>
  <c r="AH318" i="7"/>
  <c r="AI318" i="7"/>
  <c r="AH319" i="7"/>
  <c r="AI319" i="7"/>
  <c r="AH320" i="7"/>
  <c r="AI320" i="7"/>
  <c r="AH321" i="7"/>
  <c r="AI321" i="7"/>
  <c r="AH322" i="7"/>
  <c r="AI322" i="7"/>
  <c r="AH323" i="7"/>
  <c r="AI323" i="7"/>
  <c r="AH324" i="7"/>
  <c r="AI324" i="7"/>
  <c r="AH325" i="7"/>
  <c r="AI325" i="7"/>
  <c r="AH326" i="7"/>
  <c r="AI326" i="7"/>
  <c r="AH327" i="7"/>
  <c r="AI327" i="7"/>
  <c r="AH328" i="7"/>
  <c r="AI328" i="7"/>
  <c r="AH330" i="7"/>
  <c r="AI330" i="7"/>
  <c r="AH331" i="7"/>
  <c r="AI331" i="7"/>
  <c r="AH332" i="7"/>
  <c r="AI332" i="7"/>
  <c r="AH333" i="7"/>
  <c r="AI333" i="7"/>
  <c r="AH334" i="7"/>
  <c r="AI334" i="7"/>
  <c r="AH335" i="7"/>
  <c r="AI335" i="7"/>
  <c r="AH336" i="7"/>
  <c r="AI336" i="7"/>
  <c r="AH337" i="7"/>
  <c r="AI337" i="7"/>
  <c r="AH338" i="7"/>
  <c r="AI338" i="7"/>
  <c r="AH339" i="7"/>
  <c r="AI339" i="7"/>
  <c r="AH340" i="7"/>
  <c r="AI340" i="7"/>
  <c r="AH341" i="7"/>
  <c r="AI341" i="7"/>
  <c r="AH342" i="7"/>
  <c r="AI342" i="7"/>
  <c r="AH343" i="7"/>
  <c r="AI343" i="7"/>
  <c r="AH344" i="7"/>
  <c r="AI344" i="7"/>
  <c r="AI2" i="7"/>
  <c r="AH2" i="7"/>
  <c r="AL342" i="7" l="1"/>
  <c r="AL334" i="7"/>
  <c r="AL318" i="7"/>
  <c r="AL310" i="7"/>
  <c r="AL302" i="7"/>
  <c r="AL294" i="7"/>
  <c r="AL286" i="7"/>
  <c r="AL278" i="7"/>
  <c r="AL270" i="7"/>
  <c r="AL262" i="7"/>
  <c r="AL254" i="7"/>
  <c r="AL246" i="7"/>
  <c r="AL238" i="7"/>
  <c r="AL230" i="7"/>
  <c r="AL222" i="7"/>
  <c r="AL214" i="7"/>
  <c r="AL206" i="7"/>
  <c r="AL198" i="7"/>
  <c r="AL190" i="7"/>
  <c r="AL182" i="7"/>
  <c r="AL158" i="7"/>
  <c r="AL150" i="7"/>
  <c r="AL142" i="7"/>
  <c r="AL134" i="7"/>
  <c r="AL126" i="7"/>
  <c r="AL118" i="7"/>
  <c r="AL110" i="7"/>
  <c r="AL102" i="7"/>
  <c r="AL94" i="7"/>
  <c r="AL86" i="7"/>
  <c r="AL78" i="7"/>
  <c r="AL70" i="7"/>
  <c r="AL62" i="7"/>
  <c r="AL54" i="7"/>
  <c r="AL46" i="7"/>
  <c r="AL38" i="7"/>
  <c r="AL30" i="7"/>
  <c r="AL22" i="7"/>
  <c r="AL14" i="7"/>
  <c r="AL6" i="7"/>
  <c r="AM146" i="7"/>
  <c r="AL143" i="7"/>
  <c r="AM138" i="7"/>
  <c r="AL135" i="7"/>
  <c r="AM130" i="7"/>
  <c r="AL127" i="7"/>
  <c r="AM122" i="7"/>
  <c r="AL119" i="7"/>
  <c r="AM114" i="7"/>
  <c r="AL111" i="7"/>
  <c r="AM106" i="7"/>
  <c r="AL103" i="7"/>
  <c r="AM98" i="7"/>
  <c r="AL95" i="7"/>
  <c r="AM90" i="7"/>
  <c r="AL87" i="7"/>
  <c r="AM82" i="7"/>
  <c r="AL79" i="7"/>
  <c r="AM74" i="7"/>
  <c r="AL71" i="7"/>
  <c r="AM66" i="7"/>
  <c r="AL63" i="7"/>
  <c r="AM58" i="7"/>
  <c r="AL55" i="7"/>
  <c r="AM50" i="7"/>
  <c r="AL47" i="7"/>
  <c r="AM42" i="7"/>
  <c r="AL39" i="7"/>
  <c r="AM34" i="7"/>
  <c r="AL31" i="7"/>
  <c r="AM26" i="7"/>
  <c r="AL23" i="7"/>
  <c r="AM18" i="7"/>
  <c r="AL15" i="7"/>
  <c r="AM10" i="7"/>
  <c r="AL316" i="7"/>
  <c r="AL343" i="7"/>
  <c r="AL335" i="7"/>
  <c r="AL327" i="7"/>
  <c r="AM282" i="7"/>
  <c r="AM266" i="7"/>
  <c r="AM258" i="7"/>
  <c r="AL215" i="7"/>
  <c r="AL183" i="7"/>
  <c r="AL159" i="7"/>
  <c r="AM322" i="7"/>
  <c r="AM314" i="7"/>
  <c r="AL287" i="7"/>
  <c r="AL263" i="7"/>
  <c r="AL255" i="7"/>
  <c r="AM186" i="7"/>
  <c r="AM170" i="7"/>
  <c r="AL151" i="7"/>
  <c r="AL319" i="7"/>
  <c r="AM306" i="7"/>
  <c r="AM290" i="7"/>
  <c r="AL279" i="7"/>
  <c r="AL271" i="7"/>
  <c r="AL247" i="7"/>
  <c r="AM226" i="7"/>
  <c r="AM218" i="7"/>
  <c r="AM202" i="7"/>
  <c r="AM194" i="7"/>
  <c r="AL167" i="7"/>
  <c r="AM154" i="7"/>
  <c r="AL311" i="7"/>
  <c r="AL304" i="7"/>
  <c r="AL295" i="7"/>
  <c r="AM250" i="7"/>
  <c r="AM242" i="7"/>
  <c r="AM234" i="7"/>
  <c r="AM210" i="7"/>
  <c r="AM330" i="7"/>
  <c r="AL303" i="7"/>
  <c r="AL199" i="7"/>
  <c r="AM2" i="7"/>
  <c r="AM338" i="7"/>
  <c r="AM298" i="7"/>
  <c r="AM274" i="7"/>
  <c r="AL239" i="7"/>
  <c r="AL231" i="7"/>
  <c r="AL223" i="7"/>
  <c r="AL207" i="7"/>
  <c r="AL191" i="7"/>
  <c r="AL175" i="7"/>
  <c r="AM162" i="7"/>
  <c r="AL344" i="7"/>
  <c r="AM339" i="7"/>
  <c r="AL336" i="7"/>
  <c r="AM331" i="7"/>
  <c r="AL328" i="7"/>
  <c r="AM323" i="7"/>
  <c r="AL320" i="7"/>
  <c r="AM315" i="7"/>
  <c r="AL312" i="7"/>
  <c r="AM307" i="7"/>
  <c r="AM299" i="7"/>
  <c r="AL296" i="7"/>
  <c r="AM291" i="7"/>
  <c r="AL288" i="7"/>
  <c r="AM283" i="7"/>
  <c r="AL280" i="7"/>
  <c r="AM275" i="7"/>
  <c r="AL272" i="7"/>
  <c r="AM267" i="7"/>
  <c r="AL264" i="7"/>
  <c r="AM259" i="7"/>
  <c r="AL256" i="7"/>
  <c r="AM251" i="7"/>
  <c r="AL248" i="7"/>
  <c r="AM243" i="7"/>
  <c r="AL240" i="7"/>
  <c r="AM235" i="7"/>
  <c r="AL232" i="7"/>
  <c r="AM227" i="7"/>
  <c r="AL224" i="7"/>
  <c r="AM219" i="7"/>
  <c r="AL216" i="7"/>
  <c r="AM211" i="7"/>
  <c r="AL208" i="7"/>
  <c r="AM203" i="7"/>
  <c r="AL200" i="7"/>
  <c r="AM195" i="7"/>
  <c r="AL192" i="7"/>
  <c r="AM187" i="7"/>
  <c r="AL184" i="7"/>
  <c r="AL176" i="7"/>
  <c r="AM171" i="7"/>
  <c r="AL168" i="7"/>
  <c r="AM163" i="7"/>
  <c r="AL160" i="7"/>
  <c r="AM155" i="7"/>
  <c r="AL152" i="7"/>
  <c r="AM147" i="7"/>
  <c r="AL144" i="7"/>
  <c r="AM139" i="7"/>
  <c r="AL136" i="7"/>
  <c r="AM131" i="7"/>
  <c r="AL128" i="7"/>
  <c r="AM123" i="7"/>
  <c r="AL120" i="7"/>
  <c r="AM115" i="7"/>
  <c r="AL112" i="7"/>
  <c r="AM107" i="7"/>
  <c r="AL104" i="7"/>
  <c r="AM99" i="7"/>
  <c r="AL96" i="7"/>
  <c r="AM91" i="7"/>
  <c r="AL88" i="7"/>
  <c r="AM83" i="7"/>
  <c r="AL80" i="7"/>
  <c r="AM75" i="7"/>
  <c r="AL72" i="7"/>
  <c r="AM67" i="7"/>
  <c r="AL64" i="7"/>
  <c r="AM59" i="7"/>
  <c r="AL56" i="7"/>
  <c r="AM51" i="7"/>
  <c r="AL48" i="7"/>
  <c r="AM43" i="7"/>
  <c r="AL40" i="7"/>
  <c r="AM35" i="7"/>
  <c r="AL32" i="7"/>
  <c r="AM27" i="7"/>
  <c r="AL24" i="7"/>
  <c r="AM19" i="7"/>
  <c r="AL337" i="7"/>
  <c r="AL313" i="7"/>
  <c r="AM300" i="7"/>
  <c r="AM292" i="7"/>
  <c r="AL281" i="7"/>
  <c r="AL273" i="7"/>
  <c r="AM228" i="7"/>
  <c r="AM220" i="7"/>
  <c r="AL217" i="7"/>
  <c r="AM204" i="7"/>
  <c r="AL201" i="7"/>
  <c r="AM196" i="7"/>
  <c r="AL193" i="7"/>
  <c r="AM188" i="7"/>
  <c r="AL185" i="7"/>
  <c r="AL177" i="7"/>
  <c r="AM172" i="7"/>
  <c r="AL169" i="7"/>
  <c r="AM164" i="7"/>
  <c r="AM156" i="7"/>
  <c r="AL153" i="7"/>
  <c r="AM148" i="7"/>
  <c r="AL145" i="7"/>
  <c r="AM140" i="7"/>
  <c r="AL137" i="7"/>
  <c r="AM132" i="7"/>
  <c r="AL129" i="7"/>
  <c r="AM124" i="7"/>
  <c r="AL121" i="7"/>
  <c r="AM116" i="7"/>
  <c r="AL113" i="7"/>
  <c r="AM108" i="7"/>
  <c r="AL105" i="7"/>
  <c r="AM100" i="7"/>
  <c r="AL97" i="7"/>
  <c r="AM92" i="7"/>
  <c r="AL89" i="7"/>
  <c r="AM84" i="7"/>
  <c r="AL81" i="7"/>
  <c r="AM76" i="7"/>
  <c r="AL73" i="7"/>
  <c r="AM68" i="7"/>
  <c r="AL65" i="7"/>
  <c r="AM60" i="7"/>
  <c r="AL57" i="7"/>
  <c r="AM52" i="7"/>
  <c r="AL49" i="7"/>
  <c r="AM44" i="7"/>
  <c r="AL41" i="7"/>
  <c r="AM36" i="7"/>
  <c r="AL33" i="7"/>
  <c r="AM28" i="7"/>
  <c r="AL25" i="7"/>
  <c r="AM20" i="7"/>
  <c r="AL17" i="7"/>
  <c r="AM12" i="7"/>
  <c r="AL9" i="7"/>
  <c r="AM4" i="7"/>
  <c r="AM340" i="7"/>
  <c r="AM324" i="7"/>
  <c r="AM316" i="7"/>
  <c r="AL305" i="7"/>
  <c r="AM260" i="7"/>
  <c r="AL241" i="7"/>
  <c r="AL233" i="7"/>
  <c r="AL225" i="7"/>
  <c r="AL209" i="7"/>
  <c r="AL314" i="7"/>
  <c r="AL306" i="7"/>
  <c r="AL298" i="7"/>
  <c r="AL290" i="7"/>
  <c r="AL282" i="7"/>
  <c r="AM277" i="7"/>
  <c r="AL274" i="7"/>
  <c r="AM269" i="7"/>
  <c r="AL266" i="7"/>
  <c r="AM261" i="7"/>
  <c r="AL258" i="7"/>
  <c r="AM253" i="7"/>
  <c r="AL250" i="7"/>
  <c r="AM245" i="7"/>
  <c r="AL242" i="7"/>
  <c r="AM237" i="7"/>
  <c r="AL234" i="7"/>
  <c r="AM229" i="7"/>
  <c r="AL226" i="7"/>
  <c r="AM221" i="7"/>
  <c r="AL218" i="7"/>
  <c r="AM213" i="7"/>
  <c r="AL210" i="7"/>
  <c r="AM205" i="7"/>
  <c r="AL202" i="7"/>
  <c r="AM197" i="7"/>
  <c r="AL194" i="7"/>
  <c r="AM189" i="7"/>
  <c r="AL186" i="7"/>
  <c r="AM181" i="7"/>
  <c r="AM173" i="7"/>
  <c r="AL170" i="7"/>
  <c r="AM165" i="7"/>
  <c r="AL163" i="7"/>
  <c r="AL162" i="7"/>
  <c r="AM157" i="7"/>
  <c r="AL154" i="7"/>
  <c r="AM149" i="7"/>
  <c r="AL146" i="7"/>
  <c r="AM141" i="7"/>
  <c r="AL138" i="7"/>
  <c r="AM133" i="7"/>
  <c r="AL130" i="7"/>
  <c r="AM125" i="7"/>
  <c r="AL122" i="7"/>
  <c r="AM117" i="7"/>
  <c r="AL114" i="7"/>
  <c r="AM109" i="7"/>
  <c r="AL106" i="7"/>
  <c r="AM101" i="7"/>
  <c r="AL98" i="7"/>
  <c r="AM93" i="7"/>
  <c r="AL90" i="7"/>
  <c r="AM85" i="7"/>
  <c r="AL82" i="7"/>
  <c r="AM77" i="7"/>
  <c r="AL74" i="7"/>
  <c r="AM69" i="7"/>
  <c r="AL66" i="7"/>
  <c r="AM61" i="7"/>
  <c r="AL58" i="7"/>
  <c r="AM53" i="7"/>
  <c r="AL50" i="7"/>
  <c r="AM45" i="7"/>
  <c r="AL42" i="7"/>
  <c r="AM37" i="7"/>
  <c r="AL34" i="7"/>
  <c r="AM29" i="7"/>
  <c r="AL26" i="7"/>
  <c r="AM21" i="7"/>
  <c r="AL18" i="7"/>
  <c r="AM13" i="7"/>
  <c r="AL10" i="7"/>
  <c r="AM5" i="7"/>
  <c r="AL329" i="7"/>
  <c r="AL257" i="7"/>
  <c r="AL249" i="7"/>
  <c r="AM326" i="7"/>
  <c r="AL322" i="7"/>
  <c r="AM342" i="7"/>
  <c r="AM334" i="7"/>
  <c r="AM318" i="7"/>
  <c r="AM310" i="7"/>
  <c r="AM302" i="7"/>
  <c r="AM294" i="7"/>
  <c r="AM286" i="7"/>
  <c r="AM278" i="7"/>
  <c r="AM270" i="7"/>
  <c r="AM262" i="7"/>
  <c r="AM254" i="7"/>
  <c r="AM246" i="7"/>
  <c r="AM238" i="7"/>
  <c r="AM230" i="7"/>
  <c r="AM222" i="7"/>
  <c r="AM214" i="7"/>
  <c r="AM206" i="7"/>
  <c r="AM198" i="7"/>
  <c r="AM190" i="7"/>
  <c r="AM182" i="7"/>
  <c r="AM175" i="7"/>
  <c r="AL171" i="7"/>
  <c r="AM158" i="7"/>
  <c r="AM150" i="7"/>
  <c r="AM142" i="7"/>
  <c r="AM134" i="7"/>
  <c r="AM126" i="7"/>
  <c r="AM118" i="7"/>
  <c r="AM110" i="7"/>
  <c r="AM102" i="7"/>
  <c r="AM94" i="7"/>
  <c r="AM86" i="7"/>
  <c r="AM78" i="7"/>
  <c r="AM70" i="7"/>
  <c r="AM62" i="7"/>
  <c r="AM54" i="7"/>
  <c r="AM46" i="7"/>
  <c r="AM38" i="7"/>
  <c r="AM30" i="7"/>
  <c r="AM22" i="7"/>
  <c r="AM14" i="7"/>
  <c r="AM6" i="7"/>
  <c r="AM332" i="7"/>
  <c r="AM308" i="7"/>
  <c r="AL289" i="7"/>
  <c r="AM268" i="7"/>
  <c r="AM236" i="7"/>
  <c r="AL330" i="7"/>
  <c r="AL340" i="7"/>
  <c r="AL332" i="7"/>
  <c r="AL326" i="7"/>
  <c r="AL324" i="7"/>
  <c r="AL308" i="7"/>
  <c r="AL300" i="7"/>
  <c r="AM167" i="7"/>
  <c r="AL321" i="7"/>
  <c r="AL297" i="7"/>
  <c r="AM284" i="7"/>
  <c r="AM276" i="7"/>
  <c r="AL265" i="7"/>
  <c r="AM252" i="7"/>
  <c r="AM244" i="7"/>
  <c r="AM212" i="7"/>
  <c r="AL338" i="7"/>
  <c r="AM301" i="7"/>
  <c r="AL323" i="7"/>
  <c r="AL299" i="7"/>
  <c r="AL291" i="7"/>
  <c r="AL251" i="7"/>
  <c r="AM166" i="7"/>
  <c r="AL147" i="7"/>
  <c r="AL83" i="7"/>
  <c r="AL75" i="7"/>
  <c r="AL67" i="7"/>
  <c r="AL59" i="7"/>
  <c r="AL51" i="7"/>
  <c r="AL43" i="7"/>
  <c r="AL35" i="7"/>
  <c r="AL27" i="7"/>
  <c r="AL19" i="7"/>
  <c r="AL11" i="7"/>
  <c r="AL3" i="7"/>
  <c r="AM285" i="7"/>
  <c r="AL275" i="7"/>
  <c r="AL243" i="7"/>
  <c r="AM343" i="7"/>
  <c r="AM335" i="7"/>
  <c r="AM327" i="7"/>
  <c r="AM319" i="7"/>
  <c r="AM311" i="7"/>
  <c r="AM303" i="7"/>
  <c r="AM295" i="7"/>
  <c r="AL292" i="7"/>
  <c r="AM287" i="7"/>
  <c r="AL284" i="7"/>
  <c r="AM279" i="7"/>
  <c r="AL276" i="7"/>
  <c r="AM271" i="7"/>
  <c r="AL268" i="7"/>
  <c r="AM263" i="7"/>
  <c r="AL260" i="7"/>
  <c r="AM255" i="7"/>
  <c r="AL252" i="7"/>
  <c r="AM247" i="7"/>
  <c r="AL244" i="7"/>
  <c r="AM239" i="7"/>
  <c r="AL236" i="7"/>
  <c r="AM231" i="7"/>
  <c r="AL228" i="7"/>
  <c r="AM223" i="7"/>
  <c r="AL220" i="7"/>
  <c r="AM215" i="7"/>
  <c r="AL212" i="7"/>
  <c r="AM207" i="7"/>
  <c r="AL204" i="7"/>
  <c r="AM199" i="7"/>
  <c r="AL196" i="7"/>
  <c r="AM191" i="7"/>
  <c r="AL188" i="7"/>
  <c r="AM183" i="7"/>
  <c r="AL172" i="7"/>
  <c r="AL164" i="7"/>
  <c r="AM159" i="7"/>
  <c r="AL156" i="7"/>
  <c r="AM151" i="7"/>
  <c r="AL148" i="7"/>
  <c r="AM143" i="7"/>
  <c r="AL140" i="7"/>
  <c r="AM135" i="7"/>
  <c r="AL132" i="7"/>
  <c r="AM127" i="7"/>
  <c r="AL124" i="7"/>
  <c r="AM119" i="7"/>
  <c r="AL116" i="7"/>
  <c r="AM111" i="7"/>
  <c r="AL108" i="7"/>
  <c r="AM103" i="7"/>
  <c r="AL100" i="7"/>
  <c r="AM95" i="7"/>
  <c r="AL92" i="7"/>
  <c r="AM87" i="7"/>
  <c r="AL84" i="7"/>
  <c r="AM79" i="7"/>
  <c r="AL76" i="7"/>
  <c r="AM71" i="7"/>
  <c r="AL68" i="7"/>
  <c r="AM63" i="7"/>
  <c r="AL60" i="7"/>
  <c r="AM55" i="7"/>
  <c r="AL52" i="7"/>
  <c r="AM47" i="7"/>
  <c r="AL44" i="7"/>
  <c r="AM39" i="7"/>
  <c r="AL36" i="7"/>
  <c r="AM31" i="7"/>
  <c r="AL28" i="7"/>
  <c r="AM23" i="7"/>
  <c r="AL20" i="7"/>
  <c r="AM15" i="7"/>
  <c r="AL12" i="7"/>
  <c r="AM7" i="7"/>
  <c r="AL4" i="7"/>
  <c r="AL2" i="7"/>
  <c r="AM333" i="7"/>
  <c r="AL331" i="7"/>
  <c r="AL315" i="7"/>
  <c r="AL267" i="7"/>
  <c r="AL227" i="7"/>
  <c r="AL219" i="7"/>
  <c r="AL195" i="7"/>
  <c r="AL139" i="7"/>
  <c r="AL131" i="7"/>
  <c r="AL107" i="7"/>
  <c r="AL91" i="7"/>
  <c r="BA12" i="7"/>
  <c r="AM344" i="7"/>
  <c r="AL341" i="7"/>
  <c r="AM336" i="7"/>
  <c r="AL333" i="7"/>
  <c r="AM328" i="7"/>
  <c r="AL325" i="7"/>
  <c r="AM320" i="7"/>
  <c r="AL317" i="7"/>
  <c r="AM312" i="7"/>
  <c r="AL309" i="7"/>
  <c r="AM304" i="7"/>
  <c r="AL301" i="7"/>
  <c r="AM296" i="7"/>
  <c r="AL293" i="7"/>
  <c r="AM288" i="7"/>
  <c r="AL285" i="7"/>
  <c r="AM280" i="7"/>
  <c r="AL277" i="7"/>
  <c r="AM272" i="7"/>
  <c r="AL269" i="7"/>
  <c r="AM264" i="7"/>
  <c r="AL261" i="7"/>
  <c r="AM256" i="7"/>
  <c r="AL253" i="7"/>
  <c r="AM248" i="7"/>
  <c r="AL245" i="7"/>
  <c r="AM240" i="7"/>
  <c r="AL237" i="7"/>
  <c r="AM232" i="7"/>
  <c r="AL229" i="7"/>
  <c r="AM224" i="7"/>
  <c r="AL221" i="7"/>
  <c r="AM216" i="7"/>
  <c r="AL213" i="7"/>
  <c r="AM208" i="7"/>
  <c r="AL205" i="7"/>
  <c r="AM200" i="7"/>
  <c r="AL197" i="7"/>
  <c r="AM192" i="7"/>
  <c r="AL189" i="7"/>
  <c r="AM184" i="7"/>
  <c r="AL181" i="7"/>
  <c r="AM176" i="7"/>
  <c r="AL173" i="7"/>
  <c r="AM168" i="7"/>
  <c r="AL165" i="7"/>
  <c r="AM160" i="7"/>
  <c r="AL157" i="7"/>
  <c r="AM152" i="7"/>
  <c r="AL149" i="7"/>
  <c r="AM144" i="7"/>
  <c r="AL141" i="7"/>
  <c r="AM136" i="7"/>
  <c r="AL133" i="7"/>
  <c r="AM128" i="7"/>
  <c r="AL125" i="7"/>
  <c r="AM120" i="7"/>
  <c r="AL117" i="7"/>
  <c r="AM112" i="7"/>
  <c r="AL109" i="7"/>
  <c r="AM104" i="7"/>
  <c r="AL101" i="7"/>
  <c r="AM96" i="7"/>
  <c r="AL93" i="7"/>
  <c r="AM88" i="7"/>
  <c r="AL85" i="7"/>
  <c r="AM80" i="7"/>
  <c r="AL77" i="7"/>
  <c r="AM72" i="7"/>
  <c r="AL69" i="7"/>
  <c r="AM64" i="7"/>
  <c r="AL61" i="7"/>
  <c r="AM56" i="7"/>
  <c r="AL53" i="7"/>
  <c r="AM48" i="7"/>
  <c r="AL45" i="7"/>
  <c r="AM40" i="7"/>
  <c r="AL37" i="7"/>
  <c r="AM32" i="7"/>
  <c r="AL29" i="7"/>
  <c r="AM24" i="7"/>
  <c r="AL21" i="7"/>
  <c r="AM16" i="7"/>
  <c r="AL13" i="7"/>
  <c r="AM8" i="7"/>
  <c r="AL5" i="7"/>
  <c r="AM309" i="7"/>
  <c r="AM293" i="7"/>
  <c r="AL339" i="7"/>
  <c r="AL307" i="7"/>
  <c r="AL283" i="7"/>
  <c r="AL259" i="7"/>
  <c r="AL235" i="7"/>
  <c r="AL211" i="7"/>
  <c r="AL99" i="7"/>
  <c r="BR12" i="7"/>
  <c r="AM337" i="7"/>
  <c r="AM329" i="7"/>
  <c r="AM321" i="7"/>
  <c r="AM313" i="7"/>
  <c r="AM305" i="7"/>
  <c r="AM297" i="7"/>
  <c r="AM289" i="7"/>
  <c r="AM281" i="7"/>
  <c r="AM273" i="7"/>
  <c r="AM265" i="7"/>
  <c r="AM257" i="7"/>
  <c r="AM249" i="7"/>
  <c r="AM241" i="7"/>
  <c r="AM233" i="7"/>
  <c r="AM225" i="7"/>
  <c r="AM217" i="7"/>
  <c r="AM209" i="7"/>
  <c r="AM201" i="7"/>
  <c r="AM193" i="7"/>
  <c r="AM185" i="7"/>
  <c r="AM177" i="7"/>
  <c r="AL174" i="7"/>
  <c r="AM169" i="7"/>
  <c r="AL166" i="7"/>
  <c r="AM153" i="7"/>
  <c r="AM145" i="7"/>
  <c r="AM137" i="7"/>
  <c r="AM129" i="7"/>
  <c r="AM121" i="7"/>
  <c r="AM113" i="7"/>
  <c r="AM105" i="7"/>
  <c r="AM97" i="7"/>
  <c r="AM89" i="7"/>
  <c r="AM81" i="7"/>
  <c r="AM73" i="7"/>
  <c r="AM65" i="7"/>
  <c r="AM57" i="7"/>
  <c r="AM49" i="7"/>
  <c r="AM41" i="7"/>
  <c r="AM33" i="7"/>
  <c r="AM25" i="7"/>
  <c r="AM17" i="7"/>
  <c r="AM9" i="7"/>
  <c r="AM341" i="7"/>
  <c r="AM325" i="7"/>
  <c r="AM317" i="7"/>
  <c r="AL187" i="7"/>
  <c r="AM174" i="7"/>
  <c r="AL155" i="7"/>
  <c r="AL123" i="7"/>
  <c r="AL115" i="7"/>
  <c r="AL7" i="7"/>
  <c r="AL203" i="7"/>
  <c r="AL16" i="7"/>
  <c r="AM11" i="7"/>
  <c r="AL8" i="7"/>
  <c r="AM3" i="7"/>
  <c r="BN12" i="7"/>
  <c r="BO12" i="7"/>
  <c r="BB12" i="7"/>
  <c r="BQ12" i="7"/>
  <c r="AZ12" i="7"/>
  <c r="BM12" i="7"/>
  <c r="BK2" i="7"/>
  <c r="BL2" i="7"/>
  <c r="BK3" i="7"/>
  <c r="BL3" i="7"/>
  <c r="BK4" i="7"/>
  <c r="BL4" i="7"/>
  <c r="BK5" i="7"/>
  <c r="BL5" i="7"/>
  <c r="BK6" i="7"/>
  <c r="BL6" i="7"/>
  <c r="BK7" i="7"/>
  <c r="BL7" i="7"/>
  <c r="BK8" i="7"/>
  <c r="BL8" i="7"/>
  <c r="BK9" i="7"/>
  <c r="BL9" i="7"/>
  <c r="BK10" i="7"/>
  <c r="BL10" i="7"/>
  <c r="AX2" i="7"/>
  <c r="AY2" i="7"/>
  <c r="AX3" i="7"/>
  <c r="AY3" i="7"/>
  <c r="AX4" i="7"/>
  <c r="AY4" i="7"/>
  <c r="AX5" i="7"/>
  <c r="AY5" i="7"/>
  <c r="AX6" i="7"/>
  <c r="AY6" i="7"/>
  <c r="AX7" i="7"/>
  <c r="AY7" i="7"/>
  <c r="AX8" i="7"/>
  <c r="AY8" i="7"/>
  <c r="AX9" i="7"/>
  <c r="AY9" i="7"/>
  <c r="AX10" i="7"/>
  <c r="AY10" i="7"/>
  <c r="AW10" i="7"/>
  <c r="AW9" i="7"/>
  <c r="AW8" i="7"/>
  <c r="AW7" i="7"/>
  <c r="AW6" i="7"/>
  <c r="AW5" i="7"/>
  <c r="AW4" i="7"/>
  <c r="AW3" i="7"/>
  <c r="AW2" i="7"/>
  <c r="AB329" i="7"/>
  <c r="AC329" i="7"/>
  <c r="AD329" i="7"/>
  <c r="AE329" i="7"/>
  <c r="AF329" i="7"/>
  <c r="AG329" i="7"/>
  <c r="AA329" i="7"/>
  <c r="BJ10" i="7"/>
  <c r="BF10" i="7"/>
  <c r="BE10" i="7"/>
  <c r="BD10" i="7"/>
  <c r="AS10" i="7"/>
  <c r="AR10" i="7"/>
  <c r="AQ10" i="7"/>
  <c r="BJ9" i="7"/>
  <c r="BF9" i="7"/>
  <c r="BE9" i="7"/>
  <c r="BD9" i="7"/>
  <c r="AS9" i="7"/>
  <c r="AR9" i="7"/>
  <c r="AQ9" i="7"/>
  <c r="BJ8" i="7"/>
  <c r="BF8" i="7"/>
  <c r="BE8" i="7"/>
  <c r="BD8" i="7"/>
  <c r="AS8" i="7"/>
  <c r="AR8" i="7"/>
  <c r="AQ8" i="7"/>
  <c r="BJ7" i="7"/>
  <c r="BF7" i="7"/>
  <c r="BE7" i="7"/>
  <c r="BD7" i="7"/>
  <c r="AS7" i="7"/>
  <c r="AR7" i="7"/>
  <c r="AQ7" i="7"/>
  <c r="BJ6" i="7"/>
  <c r="BF6" i="7"/>
  <c r="BE6" i="7"/>
  <c r="BD6" i="7"/>
  <c r="AS6" i="7"/>
  <c r="AR6" i="7"/>
  <c r="AQ6" i="7"/>
  <c r="BJ5" i="7"/>
  <c r="BF5" i="7"/>
  <c r="BE5" i="7"/>
  <c r="BD5" i="7"/>
  <c r="AS5" i="7"/>
  <c r="AR5" i="7"/>
  <c r="AQ5" i="7"/>
  <c r="BJ4" i="7"/>
  <c r="BF4" i="7"/>
  <c r="BE4" i="7"/>
  <c r="BD4" i="7"/>
  <c r="AS4" i="7"/>
  <c r="AR4" i="7"/>
  <c r="AQ4" i="7"/>
  <c r="BJ3" i="7"/>
  <c r="BF3" i="7"/>
  <c r="BE3" i="7"/>
  <c r="BD3" i="7"/>
  <c r="AS3" i="7"/>
  <c r="AR3" i="7"/>
  <c r="AQ3" i="7"/>
  <c r="BJ2" i="7"/>
  <c r="BF2" i="7"/>
  <c r="BE2" i="7"/>
  <c r="BD2" i="7"/>
  <c r="AS2" i="7"/>
  <c r="AR2" i="7"/>
  <c r="AQ2" i="7"/>
  <c r="BP12" i="7" l="1"/>
  <c r="BC12" i="7"/>
  <c r="BR4" i="7"/>
  <c r="BN6" i="7"/>
  <c r="BM6" i="7"/>
  <c r="BA6" i="7"/>
  <c r="AZ4" i="7"/>
  <c r="BN10" i="7"/>
  <c r="BO10" i="7"/>
  <c r="AH329" i="7"/>
  <c r="BR8" i="7"/>
  <c r="AZ10" i="7"/>
  <c r="AZ2" i="7"/>
  <c r="BO7" i="7"/>
  <c r="BN7" i="7"/>
  <c r="BM7" i="7"/>
  <c r="AI329" i="7"/>
  <c r="BQ7" i="7"/>
  <c r="BM10" i="7"/>
  <c r="BB8" i="7"/>
  <c r="BM3" i="7"/>
  <c r="BO3" i="7"/>
  <c r="BB3" i="7"/>
  <c r="BB9" i="7"/>
  <c r="BA3" i="7"/>
  <c r="AZ7" i="7"/>
  <c r="BL11" i="7"/>
  <c r="BA4" i="7"/>
  <c r="BB7" i="7"/>
  <c r="BM8" i="7"/>
  <c r="BO9" i="7"/>
  <c r="BA7" i="7"/>
  <c r="AY11" i="7"/>
  <c r="BQ2" i="7"/>
  <c r="BR3" i="7"/>
  <c r="BB4" i="7"/>
  <c r="BM5" i="7"/>
  <c r="BB6" i="7"/>
  <c r="BR7" i="7"/>
  <c r="BN8" i="7"/>
  <c r="BM9" i="7"/>
  <c r="AQ11" i="7"/>
  <c r="BO4" i="7"/>
  <c r="BN5" i="7"/>
  <c r="AZ6" i="7"/>
  <c r="BO8" i="7"/>
  <c r="BJ11" i="7"/>
  <c r="BK11" i="7"/>
  <c r="AZ5" i="7"/>
  <c r="BO5" i="7"/>
  <c r="BN9" i="7"/>
  <c r="BB10" i="7"/>
  <c r="AW11" i="7"/>
  <c r="BA5" i="7"/>
  <c r="AZ8" i="7"/>
  <c r="AZ9" i="7"/>
  <c r="AX11" i="7"/>
  <c r="BN4" i="7"/>
  <c r="BB5" i="7"/>
  <c r="BA8" i="7"/>
  <c r="BA9" i="7"/>
  <c r="BE11" i="7"/>
  <c r="BQ6" i="7"/>
  <c r="AR11" i="7"/>
  <c r="BF11" i="7"/>
  <c r="AS11" i="7"/>
  <c r="BA10" i="7"/>
  <c r="BD11" i="7"/>
  <c r="BM4" i="7"/>
  <c r="BQ10" i="7"/>
  <c r="AZ3" i="7"/>
  <c r="BR6" i="7"/>
  <c r="BR2" i="7"/>
  <c r="BA2" i="7"/>
  <c r="BN3" i="7"/>
  <c r="BR5" i="7"/>
  <c r="BR9" i="7"/>
  <c r="BR10" i="7"/>
  <c r="BQ9" i="7"/>
  <c r="BB2" i="7"/>
  <c r="BM2" i="7"/>
  <c r="BQ4" i="7"/>
  <c r="BQ8" i="7"/>
  <c r="BN2" i="7"/>
  <c r="BQ5" i="7"/>
  <c r="BO2" i="7"/>
  <c r="BQ3" i="7"/>
  <c r="BO6" i="7"/>
  <c r="BP6" i="7" l="1"/>
  <c r="BP7" i="7"/>
  <c r="BP10" i="7"/>
  <c r="AZ11" i="7"/>
  <c r="BM11" i="7"/>
  <c r="BC2" i="7"/>
  <c r="BP9" i="7"/>
  <c r="BC4" i="7"/>
  <c r="BP5" i="7"/>
  <c r="BP3" i="7"/>
  <c r="BC3" i="7"/>
  <c r="BC6" i="7"/>
  <c r="BC10" i="7"/>
  <c r="BP8" i="7"/>
  <c r="BC8" i="7"/>
  <c r="BQ11" i="7"/>
  <c r="BC7" i="7"/>
  <c r="BO11" i="7"/>
  <c r="BC5" i="7"/>
  <c r="BA11" i="7"/>
  <c r="BC9" i="7"/>
  <c r="BP4" i="7"/>
  <c r="BN11" i="7"/>
  <c r="BP11" i="7" s="1"/>
  <c r="BR11" i="7"/>
  <c r="BB11" i="7"/>
  <c r="BP2" i="7"/>
  <c r="BC11" i="7" l="1"/>
</calcChain>
</file>

<file path=xl/sharedStrings.xml><?xml version="1.0" encoding="utf-8"?>
<sst xmlns="http://schemas.openxmlformats.org/spreadsheetml/2006/main" count="2188" uniqueCount="537">
  <si>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</si>
  <si>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</si>
  <si>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</si>
  <si>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</si>
  <si>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</si>
  <si>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</si>
  <si>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</si>
  <si>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</si>
  <si>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</si>
  <si>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</si>
  <si>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</si>
  <si>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</si>
  <si>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</si>
  <si>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</si>
  <si>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</si>
  <si>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</si>
  <si>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</si>
  <si>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</si>
  <si>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</si>
  <si>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</si>
  <si>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</si>
  <si>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</si>
  <si>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</si>
  <si>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</si>
  <si>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</si>
  <si>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</si>
  <si>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</si>
  <si>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</si>
  <si>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</si>
  <si>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</si>
  <si>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</si>
  <si>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</si>
  <si>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</si>
  <si>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</si>
  <si>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</si>
  <si>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</si>
  <si>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</si>
  <si>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</si>
  <si>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</si>
  <si>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</si>
  <si>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</si>
  <si>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</si>
  <si>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</si>
  <si>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</si>
  <si>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</si>
  <si>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</si>
  <si>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</si>
  <si>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</si>
  <si>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</si>
  <si>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</si>
  <si>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</si>
  <si>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</si>
  <si>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</si>
  <si>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</si>
  <si>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</si>
  <si>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</si>
  <si>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</si>
  <si>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</si>
  <si>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</si>
  <si>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</si>
  <si>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</si>
  <si>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</si>
  <si>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</si>
  <si>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</si>
  <si>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</si>
  <si>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</si>
  <si>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</si>
  <si>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</si>
  <si>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</si>
  <si>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</si>
  <si>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</si>
  <si>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</si>
  <si>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</si>
  <si>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</si>
  <si>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</si>
  <si>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</si>
  <si>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</si>
  <si>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</si>
  <si>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</si>
  <si>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</si>
  <si>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</si>
  <si>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</si>
  <si>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</si>
  <si>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</si>
  <si>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</si>
  <si>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</si>
  <si>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</si>
  <si>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</si>
  <si>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</si>
  <si>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</si>
  <si>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</si>
  <si>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</si>
  <si>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</si>
  <si>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</si>
  <si>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</si>
  <si>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</si>
  <si>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</si>
  <si>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</si>
  <si>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</si>
  <si>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</si>
  <si>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</si>
  <si>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</si>
  <si>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</si>
  <si>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</si>
  <si>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</si>
  <si>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</si>
  <si>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</si>
  <si>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</si>
  <si>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</si>
  <si>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</si>
  <si>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</si>
  <si>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</si>
  <si>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</si>
  <si>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</si>
  <si>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</si>
  <si>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</si>
  <si>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</si>
  <si>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</si>
  <si>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</si>
  <si>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</si>
  <si>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</si>
  <si>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</si>
  <si>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</si>
  <si>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</si>
  <si>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</si>
  <si>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</si>
  <si>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</si>
  <si>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</si>
  <si>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</si>
  <si>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</si>
  <si>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</si>
  <si>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</si>
  <si>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</si>
  <si>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</si>
  <si>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</si>
  <si>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</si>
  <si>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</si>
  <si>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</si>
  <si>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</si>
  <si>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</si>
  <si>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</si>
  <si>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</si>
  <si>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</si>
  <si>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</si>
  <si>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</si>
  <si>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</si>
  <si>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</si>
  <si>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</si>
  <si>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</si>
  <si>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</si>
  <si>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</si>
  <si>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</si>
  <si>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</si>
  <si>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</si>
  <si>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</si>
  <si>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</si>
  <si>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</si>
  <si>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</si>
  <si>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</si>
  <si>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</si>
  <si>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</si>
  <si>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</si>
  <si>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</si>
  <si>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</si>
  <si>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</si>
  <si>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</si>
  <si>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</si>
  <si>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</si>
  <si>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</si>
  <si>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</si>
  <si>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</si>
  <si>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</si>
  <si>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</si>
  <si>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</si>
  <si>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</si>
  <si>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</si>
  <si>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</si>
  <si>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</si>
  <si>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</si>
  <si>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</si>
  <si>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</si>
  <si>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</si>
  <si>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</si>
  <si>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</si>
  <si>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</si>
  <si>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</si>
  <si>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</si>
  <si>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</si>
  <si>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</si>
  <si>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</si>
  <si>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</si>
  <si>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</si>
  <si>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</si>
  <si>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</si>
  <si>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</si>
  <si>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</si>
  <si>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</si>
  <si>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</si>
  <si>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</si>
  <si>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</si>
  <si>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</si>
  <si>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</si>
  <si>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</si>
  <si>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</si>
  <si>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</si>
  <si>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</si>
  <si>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</si>
  <si>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</si>
  <si>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</si>
  <si>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</si>
  <si>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</si>
  <si>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</si>
  <si>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</si>
  <si>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</si>
  <si>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</si>
  <si>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</si>
  <si>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</si>
  <si>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</si>
  <si>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</si>
  <si>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</si>
  <si>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</si>
  <si>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</si>
  <si>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</si>
  <si>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</si>
  <si>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</si>
  <si>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</si>
  <si>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</si>
  <si>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</si>
  <si>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</si>
  <si>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</si>
  <si>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</si>
  <si>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</si>
  <si>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</si>
  <si>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</si>
  <si>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</si>
  <si>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</si>
  <si>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</si>
  <si>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</si>
  <si>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</si>
  <si>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</si>
  <si>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</si>
  <si>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</si>
  <si>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</si>
  <si>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</si>
  <si>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</si>
  <si>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</si>
  <si>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</si>
  <si>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</si>
  <si>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</si>
  <si>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</si>
  <si>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</si>
  <si>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</si>
  <si>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</si>
  <si>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</si>
  <si>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</si>
  <si>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</si>
  <si>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</si>
  <si>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</si>
  <si>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</si>
  <si>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</si>
  <si>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</si>
  <si>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</si>
  <si>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</si>
  <si>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</si>
  <si>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</si>
  <si>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</si>
  <si>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</si>
  <si>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</si>
  <si>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</si>
  <si>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</si>
  <si>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</si>
  <si>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</si>
  <si>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</si>
  <si>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</si>
  <si>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</si>
  <si>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</si>
  <si>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</si>
  <si>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</si>
  <si>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</si>
  <si>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</si>
  <si>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</si>
  <si>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</si>
  <si>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</si>
  <si>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</si>
  <si>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</si>
  <si>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</si>
  <si>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</si>
  <si>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</si>
  <si>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</si>
  <si>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</si>
  <si>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</si>
  <si>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</si>
  <si>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</si>
  <si>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</si>
  <si>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</si>
  <si>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</si>
  <si>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</si>
  <si>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</si>
  <si>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</si>
  <si>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</si>
  <si>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</si>
  <si>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</si>
  <si>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</si>
  <si>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</si>
  <si>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</si>
  <si>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</si>
  <si>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</si>
  <si>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</si>
  <si>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</si>
  <si>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</si>
  <si>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</si>
  <si>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</si>
  <si>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</si>
  <si>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</si>
  <si>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</si>
  <si>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</si>
  <si>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</si>
  <si>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</si>
  <si>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</si>
  <si>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</si>
  <si>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</si>
  <si>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</si>
  <si>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</si>
  <si>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</si>
  <si>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</si>
  <si>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</si>
  <si>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</si>
  <si>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</si>
  <si>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</si>
  <si>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</si>
  <si>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</si>
  <si>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</si>
  <si>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</si>
  <si>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</si>
  <si>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</si>
  <si>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</si>
  <si>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</si>
  <si>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</si>
  <si>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</si>
  <si>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</si>
  <si>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</si>
  <si>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</si>
  <si>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</si>
  <si>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</si>
  <si>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</si>
  <si>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</si>
  <si>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</si>
  <si>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</si>
  <si>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</si>
  <si>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</si>
  <si>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</si>
  <si>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</si>
  <si>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</si>
  <si>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</si>
  <si>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</si>
  <si>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</si>
  <si>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</si>
  <si>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</si>
  <si>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</si>
  <si>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</si>
  <si>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</si>
  <si>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</si>
  <si>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</si>
  <si>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</si>
  <si>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</si>
  <si>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</si>
  <si>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</si>
  <si>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</si>
  <si>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</si>
  <si>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</si>
  <si>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</si>
  <si>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</si>
  <si>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</si>
  <si>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</si>
  <si>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</si>
  <si>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</si>
  <si>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</si>
  <si>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</si>
  <si>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</si>
  <si>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</si>
  <si>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</si>
  <si>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</si>
  <si>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</si>
  <si>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</si>
  <si>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</si>
  <si>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</si>
  <si>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</si>
  <si>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</si>
  <si>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</si>
  <si>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</si>
  <si>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</si>
  <si>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</si>
  <si>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</si>
  <si>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</si>
  <si>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</si>
  <si>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</si>
  <si>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</si>
  <si>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</si>
  <si>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</si>
  <si>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</si>
  <si>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</si>
  <si>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</si>
  <si>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</si>
  <si>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</si>
  <si>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</si>
  <si>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</si>
  <si>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</si>
  <si>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</si>
  <si>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</si>
  <si>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</si>
  <si>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</si>
  <si>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</si>
  <si>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</si>
  <si>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</si>
  <si>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</si>
  <si>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</si>
  <si>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</si>
  <si>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</si>
  <si>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</si>
  <si>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</si>
  <si>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</si>
  <si>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</si>
  <si>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</si>
  <si>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</si>
  <si>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</si>
  <si>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</si>
  <si>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</si>
  <si>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</si>
  <si>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</si>
  <si>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</si>
  <si>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</si>
  <si>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</si>
  <si>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</si>
  <si>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</si>
  <si>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</si>
  <si>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</si>
  <si>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</si>
  <si>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</si>
  <si>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</si>
  <si>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</si>
  <si>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</si>
  <si>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</si>
  <si>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</si>
  <si>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</si>
  <si>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</si>
  <si>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</si>
  <si>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</si>
  <si>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</si>
  <si>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</si>
  <si>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</si>
  <si>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</si>
  <si>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</si>
  <si>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</si>
  <si>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</si>
  <si>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</si>
  <si>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</si>
  <si>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</si>
  <si>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</si>
  <si>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</si>
  <si>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</si>
  <si>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</si>
  <si>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</si>
  <si>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</si>
  <si>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</si>
  <si>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</si>
  <si>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</si>
  <si>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</si>
  <si>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</si>
  <si>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</si>
  <si>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</si>
  <si>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</si>
  <si>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</si>
  <si>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</si>
  <si>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</si>
  <si>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</si>
  <si>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</si>
  <si>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</si>
  <si>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</si>
  <si>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</si>
  <si>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</si>
  <si>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</si>
  <si>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</si>
  <si>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</si>
  <si>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</si>
  <si>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</si>
  <si>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</si>
  <si>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</si>
  <si>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</si>
  <si>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</si>
  <si>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</si>
  <si>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</si>
  <si>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</si>
  <si>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</si>
  <si>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</si>
  <si>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Potosi</t>
  </si>
  <si>
    <t>Bolivia</t>
  </si>
  <si>
    <t>2011 (NÚMERO DE DOCENTES PERTINENTES DEL NIVEL SECUNDARIO)</t>
  </si>
  <si>
    <t>2012 (NÚMERO DE DOCENTES PERTINENTES DEL NIVEL SECUNDARIO)</t>
  </si>
  <si>
    <t>2013 (NÚMERO DE DOCENTES PERTINENTES DEL NIVEL SECUNDARIO)</t>
  </si>
  <si>
    <t>2014 (NÚMERO DE DOCENTES PERTINENTES DEL NIVEL SECUNDARIO)</t>
  </si>
  <si>
    <t>2022 (NÚMERO DE DOCENTES PERTINENTES DEL NIVEL SECUNDARIO)</t>
  </si>
  <si>
    <t>2023 (NÚMERO DE DOCENTES PERTINENTES DEL NIVEL SECUNDARIO)</t>
  </si>
  <si>
    <t>2024 (NÚMERO DE DOCENTES PERTINENTES DEL NIVEL SECUNDARIO)</t>
  </si>
  <si>
    <t>2011 (NÚMERO DE DOCENTES DEL NIVEL SECUNDARIO)</t>
  </si>
  <si>
    <t>2012 (NÚMERO DE DOCENTES DEL NIVEL SECUNDARIO)</t>
  </si>
  <si>
    <t>2013 (NÚMERO DE DOCENTES DEL NIVEL SECUNDARIO)</t>
  </si>
  <si>
    <t>2014 (NÚMERO DE DOCENTES DEL NIVEL SECUNDARIO)</t>
  </si>
  <si>
    <t>2022 (NÚMERO DE DOCENTES DEL NIVEL SECUNDARIO)</t>
  </si>
  <si>
    <t>2023 (NÚMERO DE DOCENTES DEL NIVEL SECUNDARIO)</t>
  </si>
  <si>
    <t>2024 (NÚMERO DE DOCENTES DEL NIVEL SECUNDARIO)</t>
  </si>
  <si>
    <t>(PORCENTAJE DE DOCENTES PERTINENTES DEL NIVEL SECUNDARIO) 2011</t>
  </si>
  <si>
    <t>(PORCENTAJE DE DOCENTES PERTINENTES DEL NIVEL SECUNDARIO) 2012</t>
  </si>
  <si>
    <t>(PORCENTAJE DE DOCENTES PERTINENTES DEL NIVEL SECUNDARIO) 2013</t>
  </si>
  <si>
    <t>(PORCENTAJE DE DOCENTES PERTINENTES DEL NIVEL SECUNDARIO) 2014</t>
  </si>
  <si>
    <t>(PORCENTAJE DE DOCENTES PERTINENTES DEL NIVEL SECUNDARIO) 2022</t>
  </si>
  <si>
    <t>(PORCENTAJE DE DOCENTES PERTINENTES DEL NIVEL SECUNDARIO) 2023</t>
  </si>
  <si>
    <t>(PORCENTAJE DE DOCENTES PERTINENTES DEL NIVEL SECUNDARIO) 2024</t>
  </si>
  <si>
    <t>(Número promedio de profesores con pertinencia del Nivel Secundario) 2012 - 2014</t>
  </si>
  <si>
    <t>(Número promedio de profesores con pertinencia del Nivel Secundario) 2022 - 2024</t>
  </si>
  <si>
    <t>Codigo_MUN</t>
  </si>
  <si>
    <t>Profesores_calificados_secundaria_prom_2012_2014</t>
  </si>
  <si>
    <t>Profesores_calificados_secundaria_prom_2022_2024</t>
  </si>
  <si>
    <t>Profesores calificados en nivel secundario</t>
  </si>
  <si>
    <t>Profesores calificados (pertinencia) secundaria (Promedio 2012 - 2014)</t>
  </si>
  <si>
    <t>Profesores calificados (pertinencia) Secundaria (Promedio 2022 - 2024)</t>
  </si>
  <si>
    <t>Profesores calificados (pertinencia) secundaria (Promedio 2022 - 2024)</t>
  </si>
  <si>
    <t>2011 (NÚMERO DE DOCENTES SIN PERTINENCIA DEL NIVEL SECUNDARIO)</t>
  </si>
  <si>
    <t>2012 (NÚMERO DE DOCENTES SIN PERTINENCIA DEL NIVEL SECUNDARIO)</t>
  </si>
  <si>
    <t>2013 (NÚMERO DE DOCENTES SIN PERTINENCIA DEL NIVEL SECUNDARIO)</t>
  </si>
  <si>
    <t>2014 (NÚMERO DE DOCENTES SIN PERTINENCIA DEL NIVEL SECUNDARIO)</t>
  </si>
  <si>
    <t>2022 (NÚMERO DE DOCENTES SIN PERTINENCIA DEL NIVEL SECUNDARIO)</t>
  </si>
  <si>
    <t>2023 (NÚMERO DE DOCENTES SIN PERTINENCIA DEL NIVEL SECUNDARIO)</t>
  </si>
  <si>
    <t>2024 (NÚMERO DE DOCENTES SIN PERTINENCIA DEL NIVEL SECUNDARIO)</t>
  </si>
  <si>
    <t>(Número promedio de profesores SIN pertinencia del Nivel Secundario) 2012 - 2014</t>
  </si>
  <si>
    <t>(Número promedio de profesores SIN pertinencia del Nivel Secundario) 2022 - 2024</t>
  </si>
  <si>
    <t>Número_promedio_de_profesores_NO_calificados_secundaria_2012_2014</t>
  </si>
  <si>
    <t>Número_promedio_de_profesores_NO_calificados_secundaria_2022_2024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</si>
</sst>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164" fontId="0" fillId="2" borderId="1" xfId="0" applyNumberFormat="1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0" fillId="0" borderId="1" xfId="0" applyNumberFormat="1" applyBorder="1"/>
    <xf numFmtId="164" fontId="0" fillId="0" borderId="0" xfId="0" applyNumberFormat="1"/>
    <xf numFmtId="0" fontId="7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8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7" fillId="0" borderId="1" xfId="0" applyFont="1" applyBorder="1" applyAlignment="1">
      <alignment vertical="top" wrapText="1"/>
    </xf>
    <xf numFmtId="3" fontId="0" fillId="0" borderId="1" xfId="0" applyNumberFormat="1" applyBorder="1"/>
    <xf numFmtId="0" fontId="7" fillId="0" borderId="1" xfId="0" applyFont="1" applyBorder="1"/>
    <xf numFmtId="165" fontId="0" fillId="0" borderId="1" xfId="0" applyNumberFormat="1" applyBorder="1"/>
    <xf numFmtId="0" fontId="5" fillId="0" borderId="1" xfId="0" applyFont="1" applyBorder="1"/>
    <xf numFmtId="3" fontId="9" fillId="0" borderId="1" xfId="0" applyNumberFormat="1" applyFont="1" applyBorder="1"/>
    <xf numFmtId="3" fontId="0" fillId="0" borderId="4" xfId="0" applyNumberFormat="1" applyBorder="1"/>
    <xf numFmtId="0" fontId="0" fillId="0" borderId="4" xfId="0" applyBorder="1"/>
    <xf numFmtId="0" fontId="8" fillId="0" borderId="5" xfId="0" applyFont="1" applyBorder="1" applyAlignment="1">
      <alignment vertical="center" wrapText="1"/>
    </xf>
    <xf numFmtId="164" fontId="0" fillId="0" borderId="5" xfId="0" applyNumberFormat="1" applyBorder="1"/>
    <xf numFmtId="0" fontId="6" fillId="0" borderId="1" xfId="0" applyFont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0" fillId="9" borderId="3" xfId="0" applyFont="1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7" fillId="10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144780</xdr:rowOff>
    </xdr:from>
    <xdr:to>
      <xdr:col>8</xdr:col>
      <xdr:colOff>388620</xdr:colOff>
      <xdr:row>24</xdr:row>
      <xdr:rowOff>145232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D5F1DDC-5D8E-F0D9-414B-F1BC2FFE6B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144780"/>
          <a:ext cx="6499860" cy="43895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BDE89-5EA2-4187-892B-4F2B77385448}">
  <dimension ref="A1:BT347"/>
  <sheetViews>
    <sheetView topLeftCell="BF1" zoomScale="115" zoomScaleNormal="115" workbookViewId="0">
      <selection activeCell="BS1" sqref="BS1:BT12"/>
    </sheetView>
  </sheetViews>
  <sheetFormatPr baseColWidth="10" defaultRowHeight="14.4" x14ac:dyDescent="0.3"/>
  <cols>
    <col min="9" max="9" width="12" customWidth="1"/>
    <col min="42" max="42" width="13.5546875" customWidth="1"/>
  </cols>
  <sheetData>
    <row r="1" spans="1:72" ht="12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519</v>
      </c>
      <c r="F1" s="28" t="s">
        <v>496</v>
      </c>
      <c r="G1" s="28" t="s">
        <v>497</v>
      </c>
      <c r="H1" s="28" t="s">
        <v>498</v>
      </c>
      <c r="I1" s="28" t="s">
        <v>499</v>
      </c>
      <c r="J1" s="28" t="s">
        <v>500</v>
      </c>
      <c r="K1" s="28" t="s">
        <v>501</v>
      </c>
      <c r="L1" s="28" t="s">
        <v>502</v>
      </c>
      <c r="M1" s="32" t="s">
        <v>526</v>
      </c>
      <c r="N1" s="32" t="s">
        <v>527</v>
      </c>
      <c r="O1" s="32" t="s">
        <v>528</v>
      </c>
      <c r="P1" s="32" t="s">
        <v>529</v>
      </c>
      <c r="Q1" s="32" t="s">
        <v>530</v>
      </c>
      <c r="R1" s="32" t="s">
        <v>531</v>
      </c>
      <c r="S1" s="32" t="s">
        <v>532</v>
      </c>
      <c r="T1" s="29" t="s">
        <v>503</v>
      </c>
      <c r="U1" s="29" t="s">
        <v>504</v>
      </c>
      <c r="V1" s="29" t="s">
        <v>505</v>
      </c>
      <c r="W1" s="29" t="s">
        <v>506</v>
      </c>
      <c r="X1" s="29" t="s">
        <v>507</v>
      </c>
      <c r="Y1" s="30" t="s">
        <v>508</v>
      </c>
      <c r="Z1" s="31" t="s">
        <v>509</v>
      </c>
      <c r="AA1" s="17" t="s">
        <v>510</v>
      </c>
      <c r="AB1" s="17" t="s">
        <v>511</v>
      </c>
      <c r="AC1" s="17" t="s">
        <v>512</v>
      </c>
      <c r="AD1" s="17" t="s">
        <v>513</v>
      </c>
      <c r="AE1" s="17" t="s">
        <v>514</v>
      </c>
      <c r="AF1" s="17" t="s">
        <v>515</v>
      </c>
      <c r="AG1" s="27" t="s">
        <v>516</v>
      </c>
      <c r="AH1" s="15" t="s">
        <v>523</v>
      </c>
      <c r="AI1" s="25" t="s">
        <v>525</v>
      </c>
      <c r="AJ1" s="15" t="s">
        <v>517</v>
      </c>
      <c r="AK1" s="15" t="s">
        <v>518</v>
      </c>
      <c r="AL1" s="15" t="s">
        <v>533</v>
      </c>
      <c r="AM1" s="15" t="s">
        <v>534</v>
      </c>
      <c r="AN1" s="16"/>
      <c r="AO1" s="16"/>
      <c r="AP1" s="17" t="s">
        <v>483</v>
      </c>
      <c r="AQ1" s="28" t="s">
        <v>497</v>
      </c>
      <c r="AR1" s="28" t="s">
        <v>498</v>
      </c>
      <c r="AS1" s="28" t="s">
        <v>499</v>
      </c>
      <c r="AT1" s="32" t="s">
        <v>527</v>
      </c>
      <c r="AU1" s="32" t="s">
        <v>528</v>
      </c>
      <c r="AV1" s="32" t="s">
        <v>529</v>
      </c>
      <c r="AW1" s="29" t="s">
        <v>504</v>
      </c>
      <c r="AX1" s="29" t="s">
        <v>505</v>
      </c>
      <c r="AY1" s="29" t="s">
        <v>506</v>
      </c>
      <c r="AZ1" s="13" t="s">
        <v>511</v>
      </c>
      <c r="BA1" s="13" t="s">
        <v>512</v>
      </c>
      <c r="BB1" s="13" t="s">
        <v>513</v>
      </c>
      <c r="BC1" s="25" t="s">
        <v>523</v>
      </c>
      <c r="BD1" s="28" t="s">
        <v>500</v>
      </c>
      <c r="BE1" s="28" t="s">
        <v>501</v>
      </c>
      <c r="BF1" s="28" t="s">
        <v>502</v>
      </c>
      <c r="BG1" s="32" t="s">
        <v>530</v>
      </c>
      <c r="BH1" s="32" t="s">
        <v>531</v>
      </c>
      <c r="BI1" s="32" t="s">
        <v>532</v>
      </c>
      <c r="BJ1" s="29" t="s">
        <v>507</v>
      </c>
      <c r="BK1" s="29" t="s">
        <v>508</v>
      </c>
      <c r="BL1" s="30" t="s">
        <v>509</v>
      </c>
      <c r="BM1" s="13" t="s">
        <v>514</v>
      </c>
      <c r="BN1" s="13" t="s">
        <v>515</v>
      </c>
      <c r="BO1" s="14" t="s">
        <v>516</v>
      </c>
      <c r="BP1" s="15" t="s">
        <v>524</v>
      </c>
      <c r="BQ1" s="15" t="s">
        <v>517</v>
      </c>
      <c r="BR1" s="15" t="s">
        <v>518</v>
      </c>
      <c r="BS1" s="15" t="s">
        <v>533</v>
      </c>
      <c r="BT1" s="15" t="s">
        <v>534</v>
      </c>
    </row>
    <row r="2" spans="1:72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18">
        <v>960</v>
      </c>
      <c r="G2" s="18">
        <v>952</v>
      </c>
      <c r="H2" s="18">
        <v>1127</v>
      </c>
      <c r="I2" s="18">
        <v>1220</v>
      </c>
      <c r="J2" s="18">
        <v>1470</v>
      </c>
      <c r="K2" s="18">
        <v>1480</v>
      </c>
      <c r="L2" s="11">
        <v>1500</v>
      </c>
      <c r="M2" s="2">
        <f>IF(AND(ISBLANK(F2), NOT(ISBLANK(T2))), T2, IF(OR(ISBLANK(T2), ISBLANK(F2)), "", T2-F2))</f>
        <v>139</v>
      </c>
      <c r="N2" s="2">
        <f t="shared" ref="N2:S2" si="0">IF(AND(ISBLANK(G2), NOT(ISBLANK(U2))), U2, IF(OR(ISBLANK(U2), ISBLANK(G2)), "", U2-G2))</f>
        <v>132</v>
      </c>
      <c r="O2" s="2">
        <f t="shared" si="0"/>
        <v>238</v>
      </c>
      <c r="P2" s="2">
        <f t="shared" si="0"/>
        <v>255</v>
      </c>
      <c r="Q2" s="2">
        <f t="shared" si="0"/>
        <v>326</v>
      </c>
      <c r="R2" s="2">
        <f t="shared" si="0"/>
        <v>327</v>
      </c>
      <c r="S2" s="2">
        <f t="shared" si="0"/>
        <v>331</v>
      </c>
      <c r="T2" s="11">
        <v>1099</v>
      </c>
      <c r="U2" s="11">
        <v>1084</v>
      </c>
      <c r="V2" s="11">
        <v>1365</v>
      </c>
      <c r="W2" s="18">
        <v>1475</v>
      </c>
      <c r="X2" s="18">
        <v>1796</v>
      </c>
      <c r="Y2" s="23">
        <v>1807</v>
      </c>
      <c r="Z2" s="18">
        <v>1831</v>
      </c>
      <c r="AA2" s="18">
        <v>87.352138307552323</v>
      </c>
      <c r="AB2" s="18">
        <v>87.822878228782287</v>
      </c>
      <c r="AC2" s="18">
        <v>82.564102564102555</v>
      </c>
      <c r="AD2" s="11">
        <v>82.711864406779654</v>
      </c>
      <c r="AE2" s="11">
        <v>81.84855233853007</v>
      </c>
      <c r="AF2" s="11">
        <v>81.903707802988379</v>
      </c>
      <c r="AG2" s="11">
        <v>81.92244675040962</v>
      </c>
      <c r="AH2" s="11">
        <f>AVERAGE(AB2:AD2)</f>
        <v>84.366281733221498</v>
      </c>
      <c r="AI2" s="26">
        <f>AVERAGE(AE2:AG2)</f>
        <v>81.891568963976013</v>
      </c>
      <c r="AJ2" s="2">
        <f>AVERAGE(G2:I2)</f>
        <v>1099.6666666666667</v>
      </c>
      <c r="AK2" s="2">
        <f>AVERAGE(J2:L2)</f>
        <v>1483.3333333333333</v>
      </c>
      <c r="AL2" s="2">
        <f>AVERAGE(N2:P2)</f>
        <v>208.33333333333334</v>
      </c>
      <c r="AM2" s="2">
        <f>AVERAGE(Q2:S2)</f>
        <v>328</v>
      </c>
      <c r="AP2" s="19" t="s">
        <v>4</v>
      </c>
      <c r="AQ2" s="18">
        <f>+SUM(G2:G30)</f>
        <v>1843</v>
      </c>
      <c r="AR2" s="18">
        <f>+SUM(H2:H30)</f>
        <v>2199</v>
      </c>
      <c r="AS2" s="18">
        <f>+SUM(I2:I30)</f>
        <v>2368</v>
      </c>
      <c r="AT2" s="18">
        <f>AW2-AQ2</f>
        <v>334</v>
      </c>
      <c r="AU2" s="18">
        <f t="shared" ref="AU2:AV2" si="1">AX2-AR2</f>
        <v>700</v>
      </c>
      <c r="AV2" s="18">
        <f t="shared" si="1"/>
        <v>730</v>
      </c>
      <c r="AW2" s="18">
        <f>+SUM(U2:U30)</f>
        <v>2177</v>
      </c>
      <c r="AX2" s="18">
        <f>+SUM(V2:V30)</f>
        <v>2899</v>
      </c>
      <c r="AY2" s="18">
        <f>+SUM(W2:W30)</f>
        <v>3098</v>
      </c>
      <c r="AZ2" s="11">
        <f t="shared" ref="AZ2:AZ12" si="2">+(AQ2/AW2)*100</f>
        <v>84.657785943959567</v>
      </c>
      <c r="BA2" s="11">
        <f t="shared" ref="BA2:BA12" si="3">+(AR2/AX2)*100</f>
        <v>75.853742669886174</v>
      </c>
      <c r="BB2" s="11">
        <f t="shared" ref="BB2:BB12" si="4">+(AS2/AY2)*100</f>
        <v>76.436410587475791</v>
      </c>
      <c r="BC2" s="11">
        <f>AVERAGE(AZ2:BB2)</f>
        <v>78.982646400440515</v>
      </c>
      <c r="BD2" s="18">
        <f>+SUM(J2:J30)</f>
        <v>3115</v>
      </c>
      <c r="BE2" s="18">
        <f>+SUM(K2:K30)</f>
        <v>3151</v>
      </c>
      <c r="BF2" s="18">
        <f>+SUM(L2:L30)</f>
        <v>3198</v>
      </c>
      <c r="BG2" s="18">
        <f>BJ2-BD2</f>
        <v>765</v>
      </c>
      <c r="BH2" s="18">
        <f t="shared" ref="BH2:BI2" si="5">BK2-BE2</f>
        <v>776</v>
      </c>
      <c r="BI2" s="18">
        <f t="shared" si="5"/>
        <v>783</v>
      </c>
      <c r="BJ2" s="18">
        <f>+SUM(X2:X30)</f>
        <v>3880</v>
      </c>
      <c r="BK2" s="18">
        <f>+SUM(Y2:Y30)</f>
        <v>3927</v>
      </c>
      <c r="BL2" s="18">
        <f>+SUM(Z2:Z30)</f>
        <v>3981</v>
      </c>
      <c r="BM2" s="20">
        <f>(BD2/BJ2)*100</f>
        <v>80.283505154639172</v>
      </c>
      <c r="BN2" s="20">
        <f>(BE2/BK2)*100</f>
        <v>80.239368474662584</v>
      </c>
      <c r="BO2" s="20">
        <f>(BF2/BL2)*100</f>
        <v>80.331574981160514</v>
      </c>
      <c r="BP2" s="20">
        <f>AVERAGE(BM2:BO2)</f>
        <v>80.284816203487424</v>
      </c>
      <c r="BQ2" s="18">
        <f>AVERAGE(AQ2:AS2)</f>
        <v>2136.6666666666665</v>
      </c>
      <c r="BR2" s="18">
        <f>AVERAGE(BD2:BF2)</f>
        <v>3154.6666666666665</v>
      </c>
      <c r="BS2" s="18">
        <f>AVERAGE(AT2:AV2)</f>
        <v>588</v>
      </c>
      <c r="BT2" s="18">
        <f>AVERAGE(BG2:BI2)</f>
        <v>774.66666666666663</v>
      </c>
    </row>
    <row r="3" spans="1:72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18">
        <v>63</v>
      </c>
      <c r="G3" s="18">
        <v>67</v>
      </c>
      <c r="H3" s="18">
        <v>79</v>
      </c>
      <c r="I3" s="18">
        <v>79</v>
      </c>
      <c r="J3" s="18">
        <v>89</v>
      </c>
      <c r="K3" s="18">
        <v>87</v>
      </c>
      <c r="L3" s="11">
        <v>87</v>
      </c>
      <c r="M3" s="2">
        <f t="shared" ref="M3:M66" si="6">IF(AND(ISBLANK(F3), NOT(ISBLANK(T3))), T3, IF(OR(ISBLANK(T3), ISBLANK(F3)), "", T3-F3))</f>
        <v>10</v>
      </c>
      <c r="N3" s="2">
        <f t="shared" ref="N3:N66" si="7">IF(AND(ISBLANK(G3), NOT(ISBLANK(U3))), U3, IF(OR(ISBLANK(U3), ISBLANK(G3)), "", U3-G3))</f>
        <v>10</v>
      </c>
      <c r="O3" s="2">
        <f t="shared" ref="O3:O66" si="8">IF(AND(ISBLANK(H3), NOT(ISBLANK(V3))), V3, IF(OR(ISBLANK(V3), ISBLANK(H3)), "", V3-H3))</f>
        <v>12</v>
      </c>
      <c r="P3" s="2">
        <f t="shared" ref="P3:P66" si="9">IF(AND(ISBLANK(I3), NOT(ISBLANK(W3))), W3, IF(OR(ISBLANK(W3), ISBLANK(I3)), "", W3-I3))</f>
        <v>14</v>
      </c>
      <c r="Q3" s="2">
        <f t="shared" ref="Q3:Q66" si="10">IF(AND(ISBLANK(J3), NOT(ISBLANK(X3))), X3, IF(OR(ISBLANK(X3), ISBLANK(J3)), "", X3-J3))</f>
        <v>20</v>
      </c>
      <c r="R3" s="2">
        <f t="shared" ref="R3:R66" si="11">IF(AND(ISBLANK(K3), NOT(ISBLANK(Y3))), Y3, IF(OR(ISBLANK(Y3), ISBLANK(K3)), "", Y3-K3))</f>
        <v>21</v>
      </c>
      <c r="S3" s="2">
        <f t="shared" ref="S3:S66" si="12">IF(AND(ISBLANK(L3), NOT(ISBLANK(Z3))), Z3, IF(OR(ISBLANK(Z3), ISBLANK(L3)), "", Z3-L3))</f>
        <v>21</v>
      </c>
      <c r="T3" s="11">
        <v>73</v>
      </c>
      <c r="U3" s="11">
        <v>77</v>
      </c>
      <c r="V3" s="11">
        <v>91</v>
      </c>
      <c r="W3" s="18">
        <v>93</v>
      </c>
      <c r="X3" s="18">
        <v>109</v>
      </c>
      <c r="Y3" s="23">
        <v>108</v>
      </c>
      <c r="Z3" s="18">
        <v>108</v>
      </c>
      <c r="AA3" s="18">
        <v>86.301369863013704</v>
      </c>
      <c r="AB3" s="18">
        <v>87.012987012987011</v>
      </c>
      <c r="AC3" s="18">
        <v>86.813186813186817</v>
      </c>
      <c r="AD3" s="11">
        <v>84.946236559139791</v>
      </c>
      <c r="AE3" s="11">
        <v>81.651376146788991</v>
      </c>
      <c r="AF3" s="11">
        <v>80.555555555555557</v>
      </c>
      <c r="AG3" s="11">
        <v>80.555555555555557</v>
      </c>
      <c r="AH3" s="11">
        <f t="shared" ref="AH3:AH66" si="13">AVERAGE(AB3:AD3)</f>
        <v>86.257470128437873</v>
      </c>
      <c r="AI3" s="26">
        <f t="shared" ref="AI3:AI66" si="14">AVERAGE(AE3:AG3)</f>
        <v>80.920829085966702</v>
      </c>
      <c r="AJ3" s="2">
        <f t="shared" ref="AJ3:AJ66" si="15">AVERAGE(G3:I3)</f>
        <v>75</v>
      </c>
      <c r="AK3" s="2">
        <f t="shared" ref="AK3:AK66" si="16">AVERAGE(J3:L3)</f>
        <v>87.666666666666671</v>
      </c>
      <c r="AL3" s="2">
        <f t="shared" ref="AL3:AL66" si="17">AVERAGE(N3:P3)</f>
        <v>12</v>
      </c>
      <c r="AM3" s="2">
        <f t="shared" ref="AM3:AM66" si="18">AVERAGE(Q3:S3)</f>
        <v>20.666666666666668</v>
      </c>
      <c r="AP3" s="19" t="s">
        <v>50</v>
      </c>
      <c r="AQ3" s="18">
        <f>+SUM(G31:G117)</f>
        <v>8484</v>
      </c>
      <c r="AR3" s="18">
        <f>+SUM(H31:H117)</f>
        <v>10135</v>
      </c>
      <c r="AS3" s="18">
        <f>+SUM(I31:I117)</f>
        <v>10816</v>
      </c>
      <c r="AT3" s="18">
        <f t="shared" ref="AT3:AT12" si="19">AW3-AQ3</f>
        <v>2124</v>
      </c>
      <c r="AU3" s="18">
        <f t="shared" ref="AU3:AU12" si="20">AX3-AR3</f>
        <v>4049</v>
      </c>
      <c r="AV3" s="18">
        <f t="shared" ref="AV3:AV12" si="21">AY3-AS3</f>
        <v>4031</v>
      </c>
      <c r="AW3" s="18">
        <f>+SUM(U31:U117)</f>
        <v>10608</v>
      </c>
      <c r="AX3" s="18">
        <f>+SUM(V31:V117)</f>
        <v>14184</v>
      </c>
      <c r="AY3" s="18">
        <f>+SUM(W31:W117)</f>
        <v>14847</v>
      </c>
      <c r="AZ3" s="11">
        <f t="shared" si="2"/>
        <v>79.97737556561087</v>
      </c>
      <c r="BA3" s="11">
        <f t="shared" si="3"/>
        <v>71.453750705019729</v>
      </c>
      <c r="BB3" s="11">
        <f t="shared" si="4"/>
        <v>72.849733952987137</v>
      </c>
      <c r="BC3" s="11">
        <f t="shared" ref="BC3:BC12" si="22">AVERAGE(AZ3:BB3)</f>
        <v>74.760286741205917</v>
      </c>
      <c r="BD3" s="18">
        <f>+SUM(J31:J117)</f>
        <v>14108</v>
      </c>
      <c r="BE3" s="18">
        <f>+SUM(K31:K117)</f>
        <v>14415</v>
      </c>
      <c r="BF3" s="18">
        <f>+SUM(L31:L117)</f>
        <v>14606</v>
      </c>
      <c r="BG3" s="18">
        <f t="shared" ref="BG3:BG12" si="23">BJ3-BD3</f>
        <v>3751</v>
      </c>
      <c r="BH3" s="18">
        <f t="shared" ref="BH3:BH12" si="24">BK3-BE3</f>
        <v>3790</v>
      </c>
      <c r="BI3" s="18">
        <f t="shared" ref="BI3:BI12" si="25">BL3-BF3</f>
        <v>3834</v>
      </c>
      <c r="BJ3" s="18">
        <f>+SUM(X31:X117)</f>
        <v>17859</v>
      </c>
      <c r="BK3" s="18">
        <f>+SUM(Y31:Y117)</f>
        <v>18205</v>
      </c>
      <c r="BL3" s="18">
        <f>+SUM(Z31:Z117)</f>
        <v>18440</v>
      </c>
      <c r="BM3" s="20">
        <f t="shared" ref="BM3:BM11" si="26">(BD3/BJ3)*100</f>
        <v>78.996584355227057</v>
      </c>
      <c r="BN3" s="20">
        <f t="shared" ref="BN3:BN11" si="27">(BE3/BK3)*100</f>
        <v>79.181543531996695</v>
      </c>
      <c r="BO3" s="20">
        <f t="shared" ref="BO3:BO11" si="28">(BF3/BL3)*100</f>
        <v>79.20824295010847</v>
      </c>
      <c r="BP3" s="20">
        <f t="shared" ref="BP3:BP12" si="29">AVERAGE(BM3:BN3)</f>
        <v>79.089063943611876</v>
      </c>
      <c r="BQ3" s="18">
        <f t="shared" ref="BQ3:BQ12" si="30">AVERAGE(AQ3:AS3)</f>
        <v>9811.6666666666661</v>
      </c>
      <c r="BR3" s="18">
        <f t="shared" ref="BR3:BR12" si="31">AVERAGE(BD3:BF3)</f>
        <v>14376.333333333334</v>
      </c>
      <c r="BS3" s="18">
        <f t="shared" ref="BS3:BS12" si="32">AVERAGE(AT3:AV3)</f>
        <v>3401.3333333333335</v>
      </c>
      <c r="BT3" s="18">
        <f t="shared" ref="BT3:BT12" si="33">AVERAGE(BG3:BI3)</f>
        <v>3791.6666666666665</v>
      </c>
    </row>
    <row r="4" spans="1:72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18">
        <v>30</v>
      </c>
      <c r="G4" s="18">
        <v>70</v>
      </c>
      <c r="H4" s="18">
        <v>81</v>
      </c>
      <c r="I4" s="18">
        <v>96</v>
      </c>
      <c r="J4" s="18">
        <v>70</v>
      </c>
      <c r="K4" s="18">
        <v>79</v>
      </c>
      <c r="L4" s="11">
        <v>79</v>
      </c>
      <c r="M4" s="2">
        <f t="shared" si="6"/>
        <v>2</v>
      </c>
      <c r="N4" s="2">
        <f t="shared" si="7"/>
        <v>17</v>
      </c>
      <c r="O4" s="2">
        <f t="shared" si="8"/>
        <v>24</v>
      </c>
      <c r="P4" s="2">
        <f t="shared" si="9"/>
        <v>24</v>
      </c>
      <c r="Q4" s="2">
        <f t="shared" si="10"/>
        <v>21</v>
      </c>
      <c r="R4" s="2">
        <f t="shared" si="11"/>
        <v>20</v>
      </c>
      <c r="S4" s="2">
        <f t="shared" si="12"/>
        <v>20</v>
      </c>
      <c r="T4" s="11">
        <v>32</v>
      </c>
      <c r="U4" s="11">
        <v>87</v>
      </c>
      <c r="V4" s="11">
        <v>105</v>
      </c>
      <c r="W4" s="18">
        <v>120</v>
      </c>
      <c r="X4" s="18">
        <v>91</v>
      </c>
      <c r="Y4" s="23">
        <v>99</v>
      </c>
      <c r="Z4" s="18">
        <v>99</v>
      </c>
      <c r="AA4" s="18">
        <v>93.75</v>
      </c>
      <c r="AB4" s="18">
        <v>80.459770114942529</v>
      </c>
      <c r="AC4" s="18">
        <v>77.142857142857153</v>
      </c>
      <c r="AD4" s="11">
        <v>80</v>
      </c>
      <c r="AE4" s="11">
        <v>76.923076923076934</v>
      </c>
      <c r="AF4" s="11">
        <v>79.797979797979806</v>
      </c>
      <c r="AG4" s="11">
        <v>79.797979797979806</v>
      </c>
      <c r="AH4" s="11">
        <f t="shared" si="13"/>
        <v>79.200875752599885</v>
      </c>
      <c r="AI4" s="26">
        <f t="shared" si="14"/>
        <v>78.839678839678854</v>
      </c>
      <c r="AJ4" s="2">
        <f t="shared" si="15"/>
        <v>82.333333333333329</v>
      </c>
      <c r="AK4" s="2">
        <f t="shared" si="16"/>
        <v>76</v>
      </c>
      <c r="AL4" s="2">
        <f t="shared" si="17"/>
        <v>21.666666666666668</v>
      </c>
      <c r="AM4" s="2">
        <f t="shared" si="18"/>
        <v>20.333333333333332</v>
      </c>
      <c r="AP4" s="19" t="s">
        <v>167</v>
      </c>
      <c r="AQ4" s="18">
        <f>+SUM(G118:G165)</f>
        <v>4803</v>
      </c>
      <c r="AR4" s="18">
        <f>+SUM(H118:H165)</f>
        <v>5900</v>
      </c>
      <c r="AS4" s="18">
        <f>+SUM(I118:I165)</f>
        <v>6366</v>
      </c>
      <c r="AT4" s="18">
        <f t="shared" si="19"/>
        <v>1304</v>
      </c>
      <c r="AU4" s="18">
        <f t="shared" si="20"/>
        <v>2246</v>
      </c>
      <c r="AV4" s="18">
        <f t="shared" si="21"/>
        <v>2337</v>
      </c>
      <c r="AW4" s="18">
        <f>+SUM(U118:U165)</f>
        <v>6107</v>
      </c>
      <c r="AX4" s="18">
        <f>+SUM(V118:V165)</f>
        <v>8146</v>
      </c>
      <c r="AY4" s="18">
        <f>+SUM(W118:W165)</f>
        <v>8703</v>
      </c>
      <c r="AZ4" s="11">
        <f t="shared" si="2"/>
        <v>78.64745374160799</v>
      </c>
      <c r="BA4" s="11">
        <f t="shared" si="3"/>
        <v>72.428185612570587</v>
      </c>
      <c r="BB4" s="11">
        <f t="shared" si="4"/>
        <v>73.147190623922782</v>
      </c>
      <c r="BC4" s="11">
        <f t="shared" si="22"/>
        <v>74.740943326033786</v>
      </c>
      <c r="BD4" s="18">
        <f>+SUM(J118:J165)</f>
        <v>9008</v>
      </c>
      <c r="BE4" s="18">
        <f>+SUM(K118:K165)</f>
        <v>9261</v>
      </c>
      <c r="BF4" s="18">
        <f>+SUM(L118:L165)</f>
        <v>9434</v>
      </c>
      <c r="BG4" s="18">
        <f t="shared" si="23"/>
        <v>2231</v>
      </c>
      <c r="BH4" s="18">
        <f t="shared" si="24"/>
        <v>2328</v>
      </c>
      <c r="BI4" s="18">
        <f t="shared" si="25"/>
        <v>2396</v>
      </c>
      <c r="BJ4" s="18">
        <f>+SUM(X118:X165)</f>
        <v>11239</v>
      </c>
      <c r="BK4" s="18">
        <f>+SUM(Y118:Y165)</f>
        <v>11589</v>
      </c>
      <c r="BL4" s="18">
        <f>+SUM(Z118:Z165)</f>
        <v>11830</v>
      </c>
      <c r="BM4" s="20">
        <f t="shared" si="26"/>
        <v>80.149479491057917</v>
      </c>
      <c r="BN4" s="20">
        <f t="shared" si="27"/>
        <v>79.911985503494691</v>
      </c>
      <c r="BO4" s="20">
        <f t="shared" si="28"/>
        <v>79.746407438715124</v>
      </c>
      <c r="BP4" s="20">
        <f t="shared" si="29"/>
        <v>80.030732497276304</v>
      </c>
      <c r="BQ4" s="18">
        <f t="shared" si="30"/>
        <v>5689.666666666667</v>
      </c>
      <c r="BR4" s="18">
        <f t="shared" si="31"/>
        <v>9234.3333333333339</v>
      </c>
      <c r="BS4" s="18">
        <f t="shared" si="32"/>
        <v>1962.3333333333333</v>
      </c>
      <c r="BT4" s="18">
        <f t="shared" si="33"/>
        <v>2318.3333333333335</v>
      </c>
    </row>
    <row r="5" spans="1:72" x14ac:dyDescent="0.3">
      <c r="A5" s="1" t="s">
        <v>4</v>
      </c>
      <c r="B5" s="1" t="s">
        <v>9</v>
      </c>
      <c r="C5" s="1" t="s">
        <v>10</v>
      </c>
      <c r="D5" s="1" t="s">
        <v>10</v>
      </c>
      <c r="E5" s="2">
        <v>10201</v>
      </c>
      <c r="F5" s="18">
        <v>16</v>
      </c>
      <c r="G5" s="18">
        <v>29</v>
      </c>
      <c r="H5" s="18">
        <v>30</v>
      </c>
      <c r="I5" s="18">
        <v>33</v>
      </c>
      <c r="J5" s="18">
        <v>57</v>
      </c>
      <c r="K5" s="18">
        <v>59</v>
      </c>
      <c r="L5" s="11">
        <v>58</v>
      </c>
      <c r="M5" s="2">
        <f t="shared" si="6"/>
        <v>2</v>
      </c>
      <c r="N5" s="2">
        <f t="shared" si="7"/>
        <v>10</v>
      </c>
      <c r="O5" s="2">
        <f t="shared" si="8"/>
        <v>13</v>
      </c>
      <c r="P5" s="2">
        <f t="shared" si="9"/>
        <v>13</v>
      </c>
      <c r="Q5" s="2">
        <f t="shared" si="10"/>
        <v>7</v>
      </c>
      <c r="R5" s="2">
        <f t="shared" si="11"/>
        <v>6</v>
      </c>
      <c r="S5" s="2">
        <f t="shared" si="12"/>
        <v>7</v>
      </c>
      <c r="T5" s="11">
        <v>18</v>
      </c>
      <c r="U5" s="11">
        <v>39</v>
      </c>
      <c r="V5" s="11">
        <v>43</v>
      </c>
      <c r="W5" s="18">
        <v>46</v>
      </c>
      <c r="X5" s="18">
        <v>64</v>
      </c>
      <c r="Y5" s="23">
        <v>65</v>
      </c>
      <c r="Z5" s="18">
        <v>65</v>
      </c>
      <c r="AA5" s="18">
        <v>88.888888888888886</v>
      </c>
      <c r="AB5" s="18">
        <v>74.358974358974365</v>
      </c>
      <c r="AC5" s="18">
        <v>69.767441860465112</v>
      </c>
      <c r="AD5" s="11">
        <v>71.739130434782609</v>
      </c>
      <c r="AE5" s="11">
        <v>89.0625</v>
      </c>
      <c r="AF5" s="11">
        <v>90.769230769230774</v>
      </c>
      <c r="AG5" s="11">
        <v>89.230769230769241</v>
      </c>
      <c r="AH5" s="11">
        <f t="shared" si="13"/>
        <v>71.955182218074029</v>
      </c>
      <c r="AI5" s="26">
        <f t="shared" si="14"/>
        <v>89.6875</v>
      </c>
      <c r="AJ5" s="2">
        <f t="shared" si="15"/>
        <v>30.666666666666668</v>
      </c>
      <c r="AK5" s="2">
        <f t="shared" si="16"/>
        <v>58</v>
      </c>
      <c r="AL5" s="2">
        <f t="shared" si="17"/>
        <v>12</v>
      </c>
      <c r="AM5" s="2">
        <f t="shared" si="18"/>
        <v>6.666666666666667</v>
      </c>
      <c r="AP5" s="19" t="s">
        <v>230</v>
      </c>
      <c r="AQ5" s="18">
        <f>+SUM(G166:G200)</f>
        <v>1562</v>
      </c>
      <c r="AR5" s="18">
        <f>+SUM(H166:H200)</f>
        <v>2026</v>
      </c>
      <c r="AS5" s="18">
        <f>+SUM(I166:I200)</f>
        <v>2084</v>
      </c>
      <c r="AT5" s="18">
        <f t="shared" si="19"/>
        <v>561</v>
      </c>
      <c r="AU5" s="18">
        <f t="shared" si="20"/>
        <v>890</v>
      </c>
      <c r="AV5" s="18">
        <f t="shared" si="21"/>
        <v>905</v>
      </c>
      <c r="AW5" s="18">
        <f>+SUM(U166:U200)</f>
        <v>2123</v>
      </c>
      <c r="AX5" s="18">
        <f>+SUM(V166:V200)</f>
        <v>2916</v>
      </c>
      <c r="AY5" s="18">
        <f>+SUM(W166:W200)</f>
        <v>2989</v>
      </c>
      <c r="AZ5" s="11">
        <f t="shared" si="2"/>
        <v>73.575129533678748</v>
      </c>
      <c r="BA5" s="11">
        <f t="shared" si="3"/>
        <v>69.478737997256516</v>
      </c>
      <c r="BB5" s="11">
        <f t="shared" si="4"/>
        <v>69.722315155570428</v>
      </c>
      <c r="BC5" s="11">
        <f t="shared" si="22"/>
        <v>70.925394228835231</v>
      </c>
      <c r="BD5" s="18">
        <f>+SUM(J166:J200)</f>
        <v>2821</v>
      </c>
      <c r="BE5" s="18">
        <f>+SUM(K166:K200)</f>
        <v>2904</v>
      </c>
      <c r="BF5" s="18">
        <f>+SUM(L166:L200)</f>
        <v>2941</v>
      </c>
      <c r="BG5" s="18">
        <f t="shared" si="23"/>
        <v>861</v>
      </c>
      <c r="BH5" s="18">
        <f t="shared" si="24"/>
        <v>866</v>
      </c>
      <c r="BI5" s="18">
        <f t="shared" si="25"/>
        <v>869</v>
      </c>
      <c r="BJ5" s="18">
        <f>+SUM(X166:X200)</f>
        <v>3682</v>
      </c>
      <c r="BK5" s="18">
        <f>+SUM(Y166:Y200)</f>
        <v>3770</v>
      </c>
      <c r="BL5" s="18">
        <f>+SUM(Z166:Z200)</f>
        <v>3810</v>
      </c>
      <c r="BM5" s="20">
        <f t="shared" si="26"/>
        <v>76.615969581749056</v>
      </c>
      <c r="BN5" s="20">
        <f t="shared" si="27"/>
        <v>77.029177718832884</v>
      </c>
      <c r="BO5" s="20">
        <f t="shared" si="28"/>
        <v>77.191601049868765</v>
      </c>
      <c r="BP5" s="20">
        <f t="shared" si="29"/>
        <v>76.822573650290963</v>
      </c>
      <c r="BQ5" s="18">
        <f t="shared" si="30"/>
        <v>1890.6666666666667</v>
      </c>
      <c r="BR5" s="18">
        <f t="shared" si="31"/>
        <v>2888.6666666666665</v>
      </c>
      <c r="BS5" s="18">
        <f t="shared" si="32"/>
        <v>785.33333333333337</v>
      </c>
      <c r="BT5" s="18">
        <f t="shared" si="33"/>
        <v>865.33333333333337</v>
      </c>
    </row>
    <row r="6" spans="1:72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18">
        <v>28</v>
      </c>
      <c r="G6" s="18">
        <v>37</v>
      </c>
      <c r="H6" s="18">
        <v>44</v>
      </c>
      <c r="I6" s="18">
        <v>49</v>
      </c>
      <c r="J6" s="18">
        <v>90</v>
      </c>
      <c r="K6" s="18">
        <v>88</v>
      </c>
      <c r="L6" s="11">
        <v>88</v>
      </c>
      <c r="M6" s="2">
        <f t="shared" si="6"/>
        <v>2</v>
      </c>
      <c r="N6" s="2">
        <f t="shared" si="7"/>
        <v>5</v>
      </c>
      <c r="O6" s="2">
        <f t="shared" si="8"/>
        <v>24</v>
      </c>
      <c r="P6" s="2">
        <f t="shared" si="9"/>
        <v>21</v>
      </c>
      <c r="Q6" s="2">
        <f t="shared" si="10"/>
        <v>14</v>
      </c>
      <c r="R6" s="2">
        <f t="shared" si="11"/>
        <v>16</v>
      </c>
      <c r="S6" s="2">
        <f t="shared" si="12"/>
        <v>16</v>
      </c>
      <c r="T6" s="11">
        <v>30</v>
      </c>
      <c r="U6" s="11">
        <v>42</v>
      </c>
      <c r="V6" s="11">
        <v>68</v>
      </c>
      <c r="W6" s="18">
        <v>70</v>
      </c>
      <c r="X6" s="18">
        <v>104</v>
      </c>
      <c r="Y6" s="23">
        <v>104</v>
      </c>
      <c r="Z6" s="18">
        <v>104</v>
      </c>
      <c r="AA6" s="18">
        <v>93.333333333333329</v>
      </c>
      <c r="AB6" s="18">
        <v>88.095238095238088</v>
      </c>
      <c r="AC6" s="18">
        <v>64.705882352941174</v>
      </c>
      <c r="AD6" s="11">
        <v>70</v>
      </c>
      <c r="AE6" s="11">
        <v>86.538461538461547</v>
      </c>
      <c r="AF6" s="11">
        <v>84.615384615384613</v>
      </c>
      <c r="AG6" s="11">
        <v>84.615384615384613</v>
      </c>
      <c r="AH6" s="11">
        <f t="shared" si="13"/>
        <v>74.267040149393083</v>
      </c>
      <c r="AI6" s="26">
        <f t="shared" si="14"/>
        <v>85.256410256410263</v>
      </c>
      <c r="AJ6" s="2">
        <f t="shared" si="15"/>
        <v>43.333333333333336</v>
      </c>
      <c r="AK6" s="2">
        <f t="shared" si="16"/>
        <v>88.666666666666671</v>
      </c>
      <c r="AL6" s="2">
        <f t="shared" si="17"/>
        <v>16.666666666666668</v>
      </c>
      <c r="AM6" s="2">
        <f t="shared" si="18"/>
        <v>15.333333333333334</v>
      </c>
      <c r="AP6" s="19" t="s">
        <v>494</v>
      </c>
      <c r="AQ6" s="18">
        <f>+SUM(G201:G242)</f>
        <v>2321</v>
      </c>
      <c r="AR6" s="18">
        <f>+SUM(H201:H242)</f>
        <v>2816</v>
      </c>
      <c r="AS6" s="18">
        <f>+SUM(I201:I242)</f>
        <v>3052</v>
      </c>
      <c r="AT6" s="18">
        <f t="shared" si="19"/>
        <v>1045</v>
      </c>
      <c r="AU6" s="18">
        <f t="shared" si="20"/>
        <v>1989</v>
      </c>
      <c r="AV6" s="18">
        <f t="shared" si="21"/>
        <v>2078</v>
      </c>
      <c r="AW6" s="18">
        <f>+SUM(U201:U242)</f>
        <v>3366</v>
      </c>
      <c r="AX6" s="18">
        <f>+SUM(V201:V242)</f>
        <v>4805</v>
      </c>
      <c r="AY6" s="18">
        <f>+SUM(W201:W242)</f>
        <v>5130</v>
      </c>
      <c r="AZ6" s="11">
        <f t="shared" si="2"/>
        <v>68.954248366013076</v>
      </c>
      <c r="BA6" s="11">
        <f t="shared" si="3"/>
        <v>58.605619146722162</v>
      </c>
      <c r="BB6" s="11">
        <f t="shared" si="4"/>
        <v>59.49317738791423</v>
      </c>
      <c r="BC6" s="11">
        <f t="shared" si="22"/>
        <v>62.351014966883156</v>
      </c>
      <c r="BD6" s="18">
        <f>+SUM(J201:J242)</f>
        <v>4324</v>
      </c>
      <c r="BE6" s="18">
        <f>+SUM(K201:K242)</f>
        <v>4406</v>
      </c>
      <c r="BF6" s="18">
        <f>+SUM(L201:L242)</f>
        <v>4547</v>
      </c>
      <c r="BG6" s="18">
        <f t="shared" si="23"/>
        <v>1695</v>
      </c>
      <c r="BH6" s="18">
        <f t="shared" si="24"/>
        <v>1722</v>
      </c>
      <c r="BI6" s="18">
        <f t="shared" si="25"/>
        <v>1733</v>
      </c>
      <c r="BJ6" s="18">
        <f>+SUM(X201:X242)</f>
        <v>6019</v>
      </c>
      <c r="BK6" s="18">
        <f>+SUM(Y201:Y242)</f>
        <v>6128</v>
      </c>
      <c r="BL6" s="18">
        <f>+SUM(Z201:Z242)</f>
        <v>6280</v>
      </c>
      <c r="BM6" s="20">
        <f t="shared" si="26"/>
        <v>71.839175942847646</v>
      </c>
      <c r="BN6" s="20">
        <f t="shared" si="27"/>
        <v>71.899477806788511</v>
      </c>
      <c r="BO6" s="20">
        <f t="shared" si="28"/>
        <v>72.404458598726123</v>
      </c>
      <c r="BP6" s="20">
        <f t="shared" si="29"/>
        <v>71.869326874818086</v>
      </c>
      <c r="BQ6" s="18">
        <f t="shared" si="30"/>
        <v>2729.6666666666665</v>
      </c>
      <c r="BR6" s="18">
        <f t="shared" si="31"/>
        <v>4425.666666666667</v>
      </c>
      <c r="BS6" s="18">
        <f t="shared" si="32"/>
        <v>1704</v>
      </c>
      <c r="BT6" s="18">
        <f t="shared" si="33"/>
        <v>1716.6666666666667</v>
      </c>
    </row>
    <row r="7" spans="1:72" x14ac:dyDescent="0.3">
      <c r="A7" s="1" t="s">
        <v>4</v>
      </c>
      <c r="B7" s="1" t="s">
        <v>13</v>
      </c>
      <c r="C7" s="1" t="s">
        <v>14</v>
      </c>
      <c r="D7" s="1" t="s">
        <v>15</v>
      </c>
      <c r="E7" s="2">
        <v>10301</v>
      </c>
      <c r="F7" s="18">
        <v>20</v>
      </c>
      <c r="G7" s="18">
        <v>25</v>
      </c>
      <c r="H7" s="18">
        <v>28</v>
      </c>
      <c r="I7" s="18">
        <v>28</v>
      </c>
      <c r="J7" s="18">
        <v>33</v>
      </c>
      <c r="K7" s="18">
        <v>32</v>
      </c>
      <c r="L7" s="11">
        <v>32</v>
      </c>
      <c r="M7" s="2">
        <f t="shared" si="6"/>
        <v>4</v>
      </c>
      <c r="N7" s="2">
        <f t="shared" si="7"/>
        <v>7</v>
      </c>
      <c r="O7" s="2">
        <f t="shared" si="8"/>
        <v>8</v>
      </c>
      <c r="P7" s="2">
        <f t="shared" si="9"/>
        <v>9</v>
      </c>
      <c r="Q7" s="2">
        <f t="shared" si="10"/>
        <v>5</v>
      </c>
      <c r="R7" s="2">
        <f t="shared" si="11"/>
        <v>5</v>
      </c>
      <c r="S7" s="2">
        <f t="shared" si="12"/>
        <v>5</v>
      </c>
      <c r="T7" s="11">
        <v>24</v>
      </c>
      <c r="U7" s="11">
        <v>32</v>
      </c>
      <c r="V7" s="11">
        <v>36</v>
      </c>
      <c r="W7" s="18">
        <v>37</v>
      </c>
      <c r="X7" s="18">
        <v>38</v>
      </c>
      <c r="Y7" s="23">
        <v>37</v>
      </c>
      <c r="Z7" s="18">
        <v>37</v>
      </c>
      <c r="AA7" s="18">
        <v>83.333333333333343</v>
      </c>
      <c r="AB7" s="18">
        <v>78.125</v>
      </c>
      <c r="AC7" s="18">
        <v>77.777777777777786</v>
      </c>
      <c r="AD7" s="11">
        <v>75.675675675675677</v>
      </c>
      <c r="AE7" s="11">
        <v>86.842105263157904</v>
      </c>
      <c r="AF7" s="11">
        <v>86.486486486486484</v>
      </c>
      <c r="AG7" s="11">
        <v>86.486486486486484</v>
      </c>
      <c r="AH7" s="11">
        <f t="shared" si="13"/>
        <v>77.192817817817811</v>
      </c>
      <c r="AI7" s="26">
        <f t="shared" si="14"/>
        <v>86.605026078710281</v>
      </c>
      <c r="AJ7" s="2">
        <f t="shared" si="15"/>
        <v>27</v>
      </c>
      <c r="AK7" s="2">
        <f t="shared" si="16"/>
        <v>32.333333333333336</v>
      </c>
      <c r="AL7" s="2">
        <f t="shared" si="17"/>
        <v>8</v>
      </c>
      <c r="AM7" s="2">
        <f t="shared" si="18"/>
        <v>5</v>
      </c>
      <c r="AP7" s="19" t="s">
        <v>346</v>
      </c>
      <c r="AQ7" s="18">
        <f>+SUM(G243:G253)</f>
        <v>1335</v>
      </c>
      <c r="AR7" s="18">
        <f>+SUM(H243:H253)</f>
        <v>1526</v>
      </c>
      <c r="AS7" s="18">
        <f>+SUM(I243:I253)</f>
        <v>1627</v>
      </c>
      <c r="AT7" s="18">
        <f t="shared" si="19"/>
        <v>525</v>
      </c>
      <c r="AU7" s="18">
        <f t="shared" si="20"/>
        <v>967</v>
      </c>
      <c r="AV7" s="18">
        <f t="shared" si="21"/>
        <v>1004</v>
      </c>
      <c r="AW7" s="18">
        <f>+SUM(U243:U253)</f>
        <v>1860</v>
      </c>
      <c r="AX7" s="18">
        <f>+SUM(V243:V253)</f>
        <v>2493</v>
      </c>
      <c r="AY7" s="18">
        <f>+SUM(W243:W253)</f>
        <v>2631</v>
      </c>
      <c r="AZ7" s="11">
        <f t="shared" si="2"/>
        <v>71.774193548387103</v>
      </c>
      <c r="BA7" s="11">
        <f t="shared" si="3"/>
        <v>61.211391897312474</v>
      </c>
      <c r="BB7" s="11">
        <f t="shared" si="4"/>
        <v>61.839604713036863</v>
      </c>
      <c r="BC7" s="11">
        <f t="shared" si="22"/>
        <v>64.941730052912149</v>
      </c>
      <c r="BD7" s="18">
        <f>+SUM(J243:J253)</f>
        <v>2226</v>
      </c>
      <c r="BE7" s="18">
        <f>+SUM(K243:K253)</f>
        <v>2288</v>
      </c>
      <c r="BF7" s="18">
        <f>+SUM(L243:L253)</f>
        <v>2316</v>
      </c>
      <c r="BG7" s="18">
        <f t="shared" si="23"/>
        <v>711</v>
      </c>
      <c r="BH7" s="18">
        <f t="shared" si="24"/>
        <v>709</v>
      </c>
      <c r="BI7" s="18">
        <f t="shared" si="25"/>
        <v>716</v>
      </c>
      <c r="BJ7" s="18">
        <f>+SUM(X243:X253)</f>
        <v>2937</v>
      </c>
      <c r="BK7" s="18">
        <f>+SUM(Y243:Y253)</f>
        <v>2997</v>
      </c>
      <c r="BL7" s="18">
        <f>+SUM(Z243:Z253)</f>
        <v>3032</v>
      </c>
      <c r="BM7" s="20">
        <f t="shared" si="26"/>
        <v>75.791624106230842</v>
      </c>
      <c r="BN7" s="20">
        <f t="shared" si="27"/>
        <v>76.343009676343016</v>
      </c>
      <c r="BO7" s="20">
        <f t="shared" si="28"/>
        <v>76.385224274406326</v>
      </c>
      <c r="BP7" s="20">
        <f t="shared" si="29"/>
        <v>76.067316891286936</v>
      </c>
      <c r="BQ7" s="18">
        <f t="shared" si="30"/>
        <v>1496</v>
      </c>
      <c r="BR7" s="18">
        <f t="shared" si="31"/>
        <v>2276.6666666666665</v>
      </c>
      <c r="BS7" s="18">
        <f t="shared" si="32"/>
        <v>832</v>
      </c>
      <c r="BT7" s="18">
        <f t="shared" si="33"/>
        <v>712</v>
      </c>
    </row>
    <row r="8" spans="1:72" x14ac:dyDescent="0.3">
      <c r="A8" s="1" t="s">
        <v>4</v>
      </c>
      <c r="B8" s="1" t="s">
        <v>13</v>
      </c>
      <c r="C8" s="1" t="s">
        <v>16</v>
      </c>
      <c r="D8" s="1" t="s">
        <v>16</v>
      </c>
      <c r="E8" s="2">
        <v>10302</v>
      </c>
      <c r="F8" s="18">
        <v>19</v>
      </c>
      <c r="G8" s="18">
        <v>22</v>
      </c>
      <c r="H8" s="18">
        <v>26</v>
      </c>
      <c r="I8" s="18">
        <v>29</v>
      </c>
      <c r="J8" s="18">
        <v>37</v>
      </c>
      <c r="K8" s="18">
        <v>37</v>
      </c>
      <c r="L8" s="11">
        <v>37</v>
      </c>
      <c r="M8" s="2">
        <f t="shared" si="6"/>
        <v>1</v>
      </c>
      <c r="N8" s="2">
        <f t="shared" si="7"/>
        <v>3</v>
      </c>
      <c r="O8" s="2">
        <f t="shared" si="8"/>
        <v>4</v>
      </c>
      <c r="P8" s="2">
        <f t="shared" si="9"/>
        <v>4</v>
      </c>
      <c r="Q8" s="2">
        <f t="shared" si="10"/>
        <v>8</v>
      </c>
      <c r="R8" s="2">
        <f t="shared" si="11"/>
        <v>8</v>
      </c>
      <c r="S8" s="2">
        <f t="shared" si="12"/>
        <v>8</v>
      </c>
      <c r="T8" s="11">
        <v>20</v>
      </c>
      <c r="U8" s="11">
        <v>25</v>
      </c>
      <c r="V8" s="11">
        <v>30</v>
      </c>
      <c r="W8" s="18">
        <v>33</v>
      </c>
      <c r="X8" s="18">
        <v>45</v>
      </c>
      <c r="Y8" s="23">
        <v>45</v>
      </c>
      <c r="Z8" s="18">
        <v>45</v>
      </c>
      <c r="AA8" s="18">
        <v>95</v>
      </c>
      <c r="AB8" s="18">
        <v>88</v>
      </c>
      <c r="AC8" s="18">
        <v>86.666666666666671</v>
      </c>
      <c r="AD8" s="11">
        <v>87.878787878787875</v>
      </c>
      <c r="AE8" s="11">
        <v>82.222222222222214</v>
      </c>
      <c r="AF8" s="11">
        <v>82.222222222222214</v>
      </c>
      <c r="AG8" s="11">
        <v>82.222222222222214</v>
      </c>
      <c r="AH8" s="11">
        <f t="shared" si="13"/>
        <v>87.515151515151516</v>
      </c>
      <c r="AI8" s="26">
        <f t="shared" si="14"/>
        <v>82.222222222222214</v>
      </c>
      <c r="AJ8" s="2">
        <f t="shared" si="15"/>
        <v>25.666666666666668</v>
      </c>
      <c r="AK8" s="2">
        <f t="shared" si="16"/>
        <v>37</v>
      </c>
      <c r="AL8" s="2">
        <f t="shared" si="17"/>
        <v>3.6666666666666665</v>
      </c>
      <c r="AM8" s="2">
        <f t="shared" si="18"/>
        <v>8</v>
      </c>
      <c r="AP8" s="19" t="s">
        <v>363</v>
      </c>
      <c r="AQ8" s="18">
        <f>+SUM(G254:G309)</f>
        <v>4894</v>
      </c>
      <c r="AR8" s="18">
        <f>+SUM(H254:H309)</f>
        <v>5964</v>
      </c>
      <c r="AS8" s="18">
        <f>+SUM(I254:I309)</f>
        <v>6530</v>
      </c>
      <c r="AT8" s="18">
        <f t="shared" si="19"/>
        <v>2138</v>
      </c>
      <c r="AU8" s="18">
        <f t="shared" si="20"/>
        <v>4005</v>
      </c>
      <c r="AV8" s="18">
        <f t="shared" si="21"/>
        <v>3888</v>
      </c>
      <c r="AW8" s="18">
        <f>+SUM(U254:U309)</f>
        <v>7032</v>
      </c>
      <c r="AX8" s="18">
        <f>+SUM(V254:V309)</f>
        <v>9969</v>
      </c>
      <c r="AY8" s="18">
        <f>+SUM(W254:W309)</f>
        <v>10418</v>
      </c>
      <c r="AZ8" s="11">
        <f t="shared" si="2"/>
        <v>69.596131968145627</v>
      </c>
      <c r="BA8" s="11">
        <f t="shared" si="3"/>
        <v>59.825458922660246</v>
      </c>
      <c r="BB8" s="11">
        <f t="shared" si="4"/>
        <v>62.67997696294875</v>
      </c>
      <c r="BC8" s="11">
        <f t="shared" si="22"/>
        <v>64.033855951251539</v>
      </c>
      <c r="BD8" s="18">
        <f>+SUM(J254:J309)</f>
        <v>9928</v>
      </c>
      <c r="BE8" s="18">
        <f>+SUM(K254:K309)</f>
        <v>10104</v>
      </c>
      <c r="BF8" s="18">
        <f>+SUM(L254:L309)</f>
        <v>10275</v>
      </c>
      <c r="BG8" s="18">
        <f t="shared" si="23"/>
        <v>3048</v>
      </c>
      <c r="BH8" s="18">
        <f t="shared" si="24"/>
        <v>3142</v>
      </c>
      <c r="BI8" s="18">
        <f t="shared" si="25"/>
        <v>3189</v>
      </c>
      <c r="BJ8" s="18">
        <f>+SUM(X254:X309)</f>
        <v>12976</v>
      </c>
      <c r="BK8" s="18">
        <f>+SUM(Y254:Y309)</f>
        <v>13246</v>
      </c>
      <c r="BL8" s="18">
        <f>+SUM(Z254:Z309)</f>
        <v>13464</v>
      </c>
      <c r="BM8" s="20">
        <f t="shared" si="26"/>
        <v>76.510480887792852</v>
      </c>
      <c r="BN8" s="20">
        <f t="shared" si="27"/>
        <v>76.279631586894155</v>
      </c>
      <c r="BO8" s="20">
        <f t="shared" si="28"/>
        <v>76.314616755793224</v>
      </c>
      <c r="BP8" s="20">
        <f t="shared" si="29"/>
        <v>76.39505623734351</v>
      </c>
      <c r="BQ8" s="18">
        <f t="shared" si="30"/>
        <v>5796</v>
      </c>
      <c r="BR8" s="18">
        <f t="shared" si="31"/>
        <v>10102.333333333334</v>
      </c>
      <c r="BS8" s="18">
        <f t="shared" si="32"/>
        <v>3343.6666666666665</v>
      </c>
      <c r="BT8" s="18">
        <f t="shared" si="33"/>
        <v>3126.3333333333335</v>
      </c>
    </row>
    <row r="9" spans="1:72" x14ac:dyDescent="0.3">
      <c r="A9" s="1" t="s">
        <v>4</v>
      </c>
      <c r="B9" s="1" t="s">
        <v>13</v>
      </c>
      <c r="C9" s="1" t="s">
        <v>17</v>
      </c>
      <c r="D9" s="1" t="s">
        <v>18</v>
      </c>
      <c r="E9" s="2">
        <v>10303</v>
      </c>
      <c r="F9" s="18">
        <v>31</v>
      </c>
      <c r="G9" s="18">
        <v>33</v>
      </c>
      <c r="H9" s="18">
        <v>40</v>
      </c>
      <c r="I9" s="18">
        <v>39</v>
      </c>
      <c r="J9" s="18">
        <v>42</v>
      </c>
      <c r="K9" s="18">
        <v>41</v>
      </c>
      <c r="L9" s="11">
        <v>41</v>
      </c>
      <c r="M9" s="2">
        <f t="shared" si="6"/>
        <v>2</v>
      </c>
      <c r="N9" s="2">
        <f t="shared" si="7"/>
        <v>4</v>
      </c>
      <c r="O9" s="2">
        <f t="shared" si="8"/>
        <v>9</v>
      </c>
      <c r="P9" s="2">
        <f t="shared" si="9"/>
        <v>10</v>
      </c>
      <c r="Q9" s="2">
        <f t="shared" si="10"/>
        <v>12</v>
      </c>
      <c r="R9" s="2">
        <f t="shared" si="11"/>
        <v>13</v>
      </c>
      <c r="S9" s="2">
        <f t="shared" si="12"/>
        <v>13</v>
      </c>
      <c r="T9" s="11">
        <v>33</v>
      </c>
      <c r="U9" s="11">
        <v>37</v>
      </c>
      <c r="V9" s="11">
        <v>49</v>
      </c>
      <c r="W9" s="18">
        <v>49</v>
      </c>
      <c r="X9" s="18">
        <v>54</v>
      </c>
      <c r="Y9" s="23">
        <v>54</v>
      </c>
      <c r="Z9" s="18">
        <v>54</v>
      </c>
      <c r="AA9" s="18">
        <v>93.939393939393938</v>
      </c>
      <c r="AB9" s="18">
        <v>89.189189189189193</v>
      </c>
      <c r="AC9" s="18">
        <v>81.632653061224488</v>
      </c>
      <c r="AD9" s="11">
        <v>79.591836734693871</v>
      </c>
      <c r="AE9" s="11">
        <v>77.777777777777786</v>
      </c>
      <c r="AF9" s="11">
        <v>75.925925925925924</v>
      </c>
      <c r="AG9" s="11">
        <v>75.925925925925924</v>
      </c>
      <c r="AH9" s="11">
        <f t="shared" si="13"/>
        <v>83.471226328369184</v>
      </c>
      <c r="AI9" s="26">
        <f t="shared" si="14"/>
        <v>76.543209876543202</v>
      </c>
      <c r="AJ9" s="2">
        <f t="shared" si="15"/>
        <v>37.333333333333336</v>
      </c>
      <c r="AK9" s="2">
        <f t="shared" si="16"/>
        <v>41.333333333333336</v>
      </c>
      <c r="AL9" s="2">
        <f t="shared" si="17"/>
        <v>7.666666666666667</v>
      </c>
      <c r="AM9" s="2">
        <f t="shared" si="18"/>
        <v>12.666666666666666</v>
      </c>
      <c r="AP9" s="19" t="s">
        <v>437</v>
      </c>
      <c r="AQ9" s="18">
        <f>+SUM(G310:G329)</f>
        <v>508.5</v>
      </c>
      <c r="AR9" s="18">
        <f>+SUM(H310:H329)</f>
        <v>601</v>
      </c>
      <c r="AS9" s="18">
        <f>+SUM(I310:I329)</f>
        <v>696.5</v>
      </c>
      <c r="AT9" s="18">
        <f t="shared" si="19"/>
        <v>941</v>
      </c>
      <c r="AU9" s="18">
        <f t="shared" si="20"/>
        <v>1243.5</v>
      </c>
      <c r="AV9" s="18">
        <f t="shared" si="21"/>
        <v>1257</v>
      </c>
      <c r="AW9" s="18">
        <f>+SUM(U310:U329)</f>
        <v>1449.5</v>
      </c>
      <c r="AX9" s="18">
        <f>+SUM(V310:V329)</f>
        <v>1844.5</v>
      </c>
      <c r="AY9" s="18">
        <f>+SUM(W310:W329)</f>
        <v>1953.5</v>
      </c>
      <c r="AZ9" s="11">
        <f t="shared" si="2"/>
        <v>35.081062435322522</v>
      </c>
      <c r="BA9" s="11">
        <f t="shared" si="3"/>
        <v>32.583355923014366</v>
      </c>
      <c r="BB9" s="11">
        <f t="shared" si="4"/>
        <v>35.653954440747377</v>
      </c>
      <c r="BC9" s="11">
        <f t="shared" si="22"/>
        <v>34.439457599694755</v>
      </c>
      <c r="BD9" s="18">
        <f>+SUM(J310:J329)</f>
        <v>1824.5</v>
      </c>
      <c r="BE9" s="18">
        <f>+SUM(K310:K329)</f>
        <v>1891.5</v>
      </c>
      <c r="BF9" s="18">
        <f>+SUM(L310:L329)</f>
        <v>2002.5</v>
      </c>
      <c r="BG9" s="18">
        <f t="shared" si="23"/>
        <v>870</v>
      </c>
      <c r="BH9" s="18">
        <f t="shared" si="24"/>
        <v>922</v>
      </c>
      <c r="BI9" s="18">
        <f t="shared" si="25"/>
        <v>894</v>
      </c>
      <c r="BJ9" s="18">
        <f>+SUM(X310:X329)</f>
        <v>2694.5</v>
      </c>
      <c r="BK9" s="18">
        <f>+SUM(Y310:Y329)</f>
        <v>2813.5</v>
      </c>
      <c r="BL9" s="18">
        <f>+SUM(Z310:Z329)</f>
        <v>2896.5</v>
      </c>
      <c r="BM9" s="20">
        <f t="shared" si="26"/>
        <v>67.712005938021903</v>
      </c>
      <c r="BN9" s="20">
        <f t="shared" si="27"/>
        <v>67.229429536164915</v>
      </c>
      <c r="BO9" s="20">
        <f t="shared" si="28"/>
        <v>69.135163127913003</v>
      </c>
      <c r="BP9" s="20">
        <f t="shared" si="29"/>
        <v>67.470717737093409</v>
      </c>
      <c r="BQ9" s="18">
        <f t="shared" si="30"/>
        <v>602</v>
      </c>
      <c r="BR9" s="18">
        <f t="shared" si="31"/>
        <v>1906.1666666666667</v>
      </c>
      <c r="BS9" s="18">
        <f t="shared" si="32"/>
        <v>1147.1666666666667</v>
      </c>
      <c r="BT9" s="18">
        <f t="shared" si="33"/>
        <v>895.33333333333337</v>
      </c>
    </row>
    <row r="10" spans="1:72" x14ac:dyDescent="0.3">
      <c r="A10" s="1" t="s">
        <v>4</v>
      </c>
      <c r="B10" s="1" t="s">
        <v>13</v>
      </c>
      <c r="C10" s="1" t="s">
        <v>19</v>
      </c>
      <c r="D10" s="1" t="s">
        <v>19</v>
      </c>
      <c r="E10" s="2">
        <v>10304</v>
      </c>
      <c r="F10" s="18">
        <v>26</v>
      </c>
      <c r="G10" s="18">
        <v>33</v>
      </c>
      <c r="H10" s="18">
        <v>36</v>
      </c>
      <c r="I10" s="18">
        <v>38</v>
      </c>
      <c r="J10" s="18">
        <v>55</v>
      </c>
      <c r="K10" s="18">
        <v>52</v>
      </c>
      <c r="L10" s="11">
        <v>54</v>
      </c>
      <c r="M10" s="2">
        <f t="shared" si="6"/>
        <v>4</v>
      </c>
      <c r="N10" s="2">
        <f t="shared" si="7"/>
        <v>3</v>
      </c>
      <c r="O10" s="2">
        <f t="shared" si="8"/>
        <v>13</v>
      </c>
      <c r="P10" s="2">
        <f t="shared" si="9"/>
        <v>15</v>
      </c>
      <c r="Q10" s="2">
        <f t="shared" si="10"/>
        <v>7</v>
      </c>
      <c r="R10" s="2">
        <f t="shared" si="11"/>
        <v>5</v>
      </c>
      <c r="S10" s="2">
        <f t="shared" si="12"/>
        <v>4</v>
      </c>
      <c r="T10" s="11">
        <v>30</v>
      </c>
      <c r="U10" s="11">
        <v>36</v>
      </c>
      <c r="V10" s="11">
        <v>49</v>
      </c>
      <c r="W10" s="18">
        <v>53</v>
      </c>
      <c r="X10" s="18">
        <v>62</v>
      </c>
      <c r="Y10" s="23">
        <v>57</v>
      </c>
      <c r="Z10" s="18">
        <v>58</v>
      </c>
      <c r="AA10" s="18">
        <v>86.666666666666671</v>
      </c>
      <c r="AB10" s="18">
        <v>91.666666666666657</v>
      </c>
      <c r="AC10" s="18">
        <v>73.469387755102048</v>
      </c>
      <c r="AD10" s="11">
        <v>71.698113207547166</v>
      </c>
      <c r="AE10" s="11">
        <v>88.709677419354833</v>
      </c>
      <c r="AF10" s="11">
        <v>91.228070175438589</v>
      </c>
      <c r="AG10" s="11">
        <v>93.103448275862064</v>
      </c>
      <c r="AH10" s="11">
        <f t="shared" si="13"/>
        <v>78.944722543105286</v>
      </c>
      <c r="AI10" s="26">
        <f t="shared" si="14"/>
        <v>91.013731956885167</v>
      </c>
      <c r="AJ10" s="2">
        <f t="shared" si="15"/>
        <v>35.666666666666664</v>
      </c>
      <c r="AK10" s="2">
        <f t="shared" si="16"/>
        <v>53.666666666666664</v>
      </c>
      <c r="AL10" s="2">
        <f t="shared" si="17"/>
        <v>10.333333333333334</v>
      </c>
      <c r="AM10" s="2">
        <f t="shared" si="18"/>
        <v>5.333333333333333</v>
      </c>
      <c r="AP10" s="19" t="s">
        <v>463</v>
      </c>
      <c r="AQ10" s="18">
        <f>+SUM(G330:G344)</f>
        <v>108</v>
      </c>
      <c r="AR10" s="18">
        <f>+SUM(H330:H344)</f>
        <v>162</v>
      </c>
      <c r="AS10" s="18">
        <f>+SUM(I330:I344)</f>
        <v>190</v>
      </c>
      <c r="AT10" s="18">
        <f t="shared" si="19"/>
        <v>156</v>
      </c>
      <c r="AU10" s="18">
        <f t="shared" si="20"/>
        <v>199</v>
      </c>
      <c r="AV10" s="18">
        <f t="shared" si="21"/>
        <v>214</v>
      </c>
      <c r="AW10" s="18">
        <f>+SUM(U330:U344)</f>
        <v>264</v>
      </c>
      <c r="AX10" s="18">
        <f>+SUM(V330:V344)</f>
        <v>361</v>
      </c>
      <c r="AY10" s="18">
        <f>+SUM(W330:W344)</f>
        <v>404</v>
      </c>
      <c r="AZ10" s="11">
        <f t="shared" si="2"/>
        <v>40.909090909090914</v>
      </c>
      <c r="BA10" s="11">
        <f t="shared" si="3"/>
        <v>44.875346260387808</v>
      </c>
      <c r="BB10" s="11">
        <f t="shared" si="4"/>
        <v>47.029702970297024</v>
      </c>
      <c r="BC10" s="11">
        <f t="shared" si="22"/>
        <v>44.271380046591922</v>
      </c>
      <c r="BD10" s="18">
        <f>+SUM(J330:J344)</f>
        <v>711</v>
      </c>
      <c r="BE10" s="18">
        <f>+SUM(K330:K344)</f>
        <v>753</v>
      </c>
      <c r="BF10" s="18">
        <f>+SUM(L330:L344)</f>
        <v>794</v>
      </c>
      <c r="BG10" s="18">
        <f t="shared" si="23"/>
        <v>176</v>
      </c>
      <c r="BH10" s="18">
        <f t="shared" si="24"/>
        <v>173</v>
      </c>
      <c r="BI10" s="18">
        <f t="shared" si="25"/>
        <v>169</v>
      </c>
      <c r="BJ10" s="18">
        <f>+SUM(X330:X344)</f>
        <v>887</v>
      </c>
      <c r="BK10" s="18">
        <f>+SUM(Y330:Y344)</f>
        <v>926</v>
      </c>
      <c r="BL10" s="18">
        <f>+SUM(Z330:Z344)</f>
        <v>963</v>
      </c>
      <c r="BM10" s="20">
        <f t="shared" si="26"/>
        <v>80.15783540022548</v>
      </c>
      <c r="BN10" s="20">
        <f t="shared" si="27"/>
        <v>81.317494600431957</v>
      </c>
      <c r="BO10" s="20">
        <f t="shared" si="28"/>
        <v>82.450674974039458</v>
      </c>
      <c r="BP10" s="20">
        <f t="shared" si="29"/>
        <v>80.737665000328718</v>
      </c>
      <c r="BQ10" s="18">
        <f t="shared" si="30"/>
        <v>153.33333333333334</v>
      </c>
      <c r="BR10" s="18">
        <f t="shared" si="31"/>
        <v>752.66666666666663</v>
      </c>
      <c r="BS10" s="18">
        <f t="shared" si="32"/>
        <v>189.66666666666666</v>
      </c>
      <c r="BT10" s="18">
        <f t="shared" si="33"/>
        <v>172.66666666666666</v>
      </c>
    </row>
    <row r="11" spans="1:72" x14ac:dyDescent="0.3">
      <c r="A11" s="1" t="s">
        <v>4</v>
      </c>
      <c r="B11" s="1" t="s">
        <v>20</v>
      </c>
      <c r="C11" s="1" t="s">
        <v>21</v>
      </c>
      <c r="D11" s="1" t="s">
        <v>21</v>
      </c>
      <c r="E11" s="2">
        <v>10401</v>
      </c>
      <c r="F11" s="18">
        <v>27</v>
      </c>
      <c r="G11" s="18">
        <v>28</v>
      </c>
      <c r="H11" s="18">
        <v>27</v>
      </c>
      <c r="I11" s="18">
        <v>27</v>
      </c>
      <c r="J11" s="18">
        <v>45</v>
      </c>
      <c r="K11" s="18">
        <v>47</v>
      </c>
      <c r="L11" s="11">
        <v>44</v>
      </c>
      <c r="M11" s="2">
        <f t="shared" si="6"/>
        <v>4</v>
      </c>
      <c r="N11" s="2">
        <f t="shared" si="7"/>
        <v>3</v>
      </c>
      <c r="O11" s="2">
        <f t="shared" si="8"/>
        <v>14</v>
      </c>
      <c r="P11" s="2">
        <f t="shared" si="9"/>
        <v>18</v>
      </c>
      <c r="Q11" s="2">
        <f t="shared" si="10"/>
        <v>13</v>
      </c>
      <c r="R11" s="2">
        <f t="shared" si="11"/>
        <v>12</v>
      </c>
      <c r="S11" s="2">
        <f t="shared" si="12"/>
        <v>13</v>
      </c>
      <c r="T11" s="11">
        <v>31</v>
      </c>
      <c r="U11" s="11">
        <v>31</v>
      </c>
      <c r="V11" s="11">
        <v>41</v>
      </c>
      <c r="W11" s="18">
        <v>45</v>
      </c>
      <c r="X11" s="18">
        <v>58</v>
      </c>
      <c r="Y11" s="23">
        <v>59</v>
      </c>
      <c r="Z11" s="18">
        <v>57</v>
      </c>
      <c r="AA11" s="18">
        <v>87.096774193548384</v>
      </c>
      <c r="AB11" s="18">
        <v>90.322580645161281</v>
      </c>
      <c r="AC11" s="18">
        <v>65.853658536585371</v>
      </c>
      <c r="AD11" s="11">
        <v>60</v>
      </c>
      <c r="AE11" s="11">
        <v>77.58620689655173</v>
      </c>
      <c r="AF11" s="11">
        <v>79.66101694915254</v>
      </c>
      <c r="AG11" s="11">
        <v>77.192982456140342</v>
      </c>
      <c r="AH11" s="11">
        <f t="shared" si="13"/>
        <v>72.058746393915555</v>
      </c>
      <c r="AI11" s="26">
        <f t="shared" si="14"/>
        <v>78.146735433948209</v>
      </c>
      <c r="AJ11" s="2">
        <f t="shared" si="15"/>
        <v>27.333333333333332</v>
      </c>
      <c r="AK11" s="2">
        <f t="shared" si="16"/>
        <v>45.333333333333336</v>
      </c>
      <c r="AL11" s="2">
        <f t="shared" si="17"/>
        <v>11.666666666666666</v>
      </c>
      <c r="AM11" s="2">
        <f t="shared" si="18"/>
        <v>12.666666666666666</v>
      </c>
      <c r="AP11" s="19" t="s">
        <v>495</v>
      </c>
      <c r="AQ11" s="1">
        <f t="shared" ref="AQ11:AY11" si="34">SUM(AQ2:AQ10)</f>
        <v>25858.5</v>
      </c>
      <c r="AR11" s="1">
        <f t="shared" si="34"/>
        <v>31329</v>
      </c>
      <c r="AS11" s="1">
        <f t="shared" si="34"/>
        <v>33729.5</v>
      </c>
      <c r="AT11" s="18">
        <f t="shared" si="19"/>
        <v>9128</v>
      </c>
      <c r="AU11" s="18">
        <f t="shared" si="20"/>
        <v>16288.5</v>
      </c>
      <c r="AV11" s="18">
        <f t="shared" si="21"/>
        <v>16444</v>
      </c>
      <c r="AW11" s="1">
        <f t="shared" si="34"/>
        <v>34986.5</v>
      </c>
      <c r="AX11" s="1">
        <f t="shared" si="34"/>
        <v>47617.5</v>
      </c>
      <c r="AY11" s="1">
        <f t="shared" si="34"/>
        <v>50173.5</v>
      </c>
      <c r="AZ11" s="11">
        <f t="shared" si="2"/>
        <v>73.9099366898661</v>
      </c>
      <c r="BA11" s="11">
        <f t="shared" si="3"/>
        <v>65.793038273743903</v>
      </c>
      <c r="BB11" s="11">
        <f t="shared" si="4"/>
        <v>67.225726728252965</v>
      </c>
      <c r="BC11" s="11">
        <f t="shared" si="22"/>
        <v>68.976233897287656</v>
      </c>
      <c r="BD11" s="1">
        <f t="shared" ref="BD11:BL11" si="35">SUM(BD2:BD10)</f>
        <v>48065.5</v>
      </c>
      <c r="BE11" s="1">
        <f t="shared" si="35"/>
        <v>49173.5</v>
      </c>
      <c r="BF11" s="1">
        <f t="shared" si="35"/>
        <v>50113.5</v>
      </c>
      <c r="BG11" s="18">
        <f t="shared" si="23"/>
        <v>14108</v>
      </c>
      <c r="BH11" s="18">
        <f t="shared" si="24"/>
        <v>14428</v>
      </c>
      <c r="BI11" s="18">
        <f t="shared" si="25"/>
        <v>14583</v>
      </c>
      <c r="BJ11" s="1">
        <f t="shared" si="35"/>
        <v>62173.5</v>
      </c>
      <c r="BK11" s="1">
        <f t="shared" si="35"/>
        <v>63601.5</v>
      </c>
      <c r="BL11" s="1">
        <f t="shared" si="35"/>
        <v>64696.5</v>
      </c>
      <c r="BM11" s="20">
        <f t="shared" si="26"/>
        <v>77.308660442149787</v>
      </c>
      <c r="BN11" s="20">
        <f t="shared" si="27"/>
        <v>77.315000432379748</v>
      </c>
      <c r="BO11" s="20">
        <f t="shared" si="28"/>
        <v>77.459367971992293</v>
      </c>
      <c r="BP11" s="20">
        <f t="shared" si="29"/>
        <v>77.311830437264774</v>
      </c>
      <c r="BQ11" s="18">
        <f t="shared" si="30"/>
        <v>30305.666666666668</v>
      </c>
      <c r="BR11" s="18">
        <f t="shared" si="31"/>
        <v>49117.5</v>
      </c>
      <c r="BS11" s="18">
        <f t="shared" si="32"/>
        <v>13953.5</v>
      </c>
      <c r="BT11" s="18">
        <f t="shared" si="33"/>
        <v>14373</v>
      </c>
    </row>
    <row r="12" spans="1:72" x14ac:dyDescent="0.3">
      <c r="A12" s="1" t="s">
        <v>4</v>
      </c>
      <c r="B12" s="1" t="s">
        <v>20</v>
      </c>
      <c r="C12" s="1" t="s">
        <v>20</v>
      </c>
      <c r="D12" s="1" t="s">
        <v>22</v>
      </c>
      <c r="E12" s="2">
        <v>10402</v>
      </c>
      <c r="F12" s="18">
        <v>20</v>
      </c>
      <c r="G12" s="18">
        <v>20</v>
      </c>
      <c r="H12" s="18">
        <v>27</v>
      </c>
      <c r="I12" s="18">
        <v>29</v>
      </c>
      <c r="J12" s="18">
        <v>36</v>
      </c>
      <c r="K12" s="18">
        <v>36</v>
      </c>
      <c r="L12" s="11">
        <v>37</v>
      </c>
      <c r="M12" s="2">
        <f t="shared" si="6"/>
        <v>4</v>
      </c>
      <c r="N12" s="2">
        <f t="shared" si="7"/>
        <v>5</v>
      </c>
      <c r="O12" s="2">
        <f t="shared" si="8"/>
        <v>8</v>
      </c>
      <c r="P12" s="2">
        <f t="shared" si="9"/>
        <v>7</v>
      </c>
      <c r="Q12" s="2">
        <f t="shared" si="10"/>
        <v>13</v>
      </c>
      <c r="R12" s="2">
        <f t="shared" si="11"/>
        <v>14</v>
      </c>
      <c r="S12" s="2">
        <f t="shared" si="12"/>
        <v>13</v>
      </c>
      <c r="T12" s="11">
        <v>24</v>
      </c>
      <c r="U12" s="11">
        <v>25</v>
      </c>
      <c r="V12" s="11">
        <v>35</v>
      </c>
      <c r="W12" s="18">
        <v>36</v>
      </c>
      <c r="X12" s="18">
        <v>49</v>
      </c>
      <c r="Y12" s="23">
        <v>50</v>
      </c>
      <c r="Z12" s="18">
        <v>50</v>
      </c>
      <c r="AA12" s="18">
        <v>83.333333333333343</v>
      </c>
      <c r="AB12" s="18">
        <v>80</v>
      </c>
      <c r="AC12" s="18">
        <v>77.142857142857153</v>
      </c>
      <c r="AD12" s="11">
        <v>80.555555555555557</v>
      </c>
      <c r="AE12" s="11">
        <v>73.469387755102048</v>
      </c>
      <c r="AF12" s="11">
        <v>72</v>
      </c>
      <c r="AG12" s="11">
        <v>74</v>
      </c>
      <c r="AH12" s="11">
        <f t="shared" si="13"/>
        <v>79.232804232804241</v>
      </c>
      <c r="AI12" s="26">
        <f t="shared" si="14"/>
        <v>73.156462585034021</v>
      </c>
      <c r="AJ12" s="2">
        <f t="shared" si="15"/>
        <v>25.333333333333332</v>
      </c>
      <c r="AK12" s="2">
        <f t="shared" si="16"/>
        <v>36.333333333333336</v>
      </c>
      <c r="AL12" s="2">
        <f t="shared" si="17"/>
        <v>6.666666666666667</v>
      </c>
      <c r="AM12" s="2">
        <f t="shared" si="18"/>
        <v>13.333333333333334</v>
      </c>
      <c r="AP12" s="19" t="s">
        <v>350</v>
      </c>
      <c r="AQ12" s="18">
        <f>+SUM(G246:G248)</f>
        <v>399</v>
      </c>
      <c r="AR12" s="18">
        <f>+SUM(H246:H248)</f>
        <v>473</v>
      </c>
      <c r="AS12" s="18">
        <f>+SUM(I246:I248)</f>
        <v>511</v>
      </c>
      <c r="AT12" s="18">
        <f t="shared" si="19"/>
        <v>141</v>
      </c>
      <c r="AU12" s="18">
        <f t="shared" si="20"/>
        <v>284</v>
      </c>
      <c r="AV12" s="18">
        <f t="shared" si="21"/>
        <v>290</v>
      </c>
      <c r="AW12" s="18">
        <f>+SUM(U246:U248)</f>
        <v>540</v>
      </c>
      <c r="AX12" s="18">
        <f>+SUM(V246:V248)</f>
        <v>757</v>
      </c>
      <c r="AY12" s="18">
        <f>+SUM(W246:W248)</f>
        <v>801</v>
      </c>
      <c r="AZ12" s="11">
        <f t="shared" si="2"/>
        <v>73.888888888888886</v>
      </c>
      <c r="BA12" s="11">
        <f t="shared" si="3"/>
        <v>62.483487450462349</v>
      </c>
      <c r="BB12" s="11">
        <f t="shared" si="4"/>
        <v>63.795255930087393</v>
      </c>
      <c r="BC12" s="11">
        <f t="shared" si="22"/>
        <v>66.722544089812871</v>
      </c>
      <c r="BD12" s="18">
        <f>+SUM(J246:J248)</f>
        <v>766</v>
      </c>
      <c r="BE12" s="18">
        <f>+SUM(K246:K248)</f>
        <v>788</v>
      </c>
      <c r="BF12" s="18">
        <f>+SUM(L246:L248)</f>
        <v>793</v>
      </c>
      <c r="BG12" s="18">
        <f t="shared" si="23"/>
        <v>203</v>
      </c>
      <c r="BH12" s="18">
        <f t="shared" si="24"/>
        <v>202</v>
      </c>
      <c r="BI12" s="18">
        <f t="shared" si="25"/>
        <v>209</v>
      </c>
      <c r="BJ12" s="18">
        <f>+SUM(X246:X248)</f>
        <v>969</v>
      </c>
      <c r="BK12" s="18">
        <f>+SUM(Y246:Y248)</f>
        <v>990</v>
      </c>
      <c r="BL12" s="18">
        <f>+SUM(Z246:Z248)</f>
        <v>1002</v>
      </c>
      <c r="BM12" s="20">
        <f t="shared" ref="BM12" si="36">(BD12/BJ12)*100</f>
        <v>79.050567595459228</v>
      </c>
      <c r="BN12" s="20">
        <f t="shared" ref="BN12" si="37">(BE12/BK12)*100</f>
        <v>79.595959595959599</v>
      </c>
      <c r="BO12" s="20">
        <f t="shared" ref="BO12" si="38">(BF12/BL12)*100</f>
        <v>79.141716566866265</v>
      </c>
      <c r="BP12" s="20">
        <f t="shared" si="29"/>
        <v>79.32326359570942</v>
      </c>
      <c r="BQ12" s="18">
        <f t="shared" si="30"/>
        <v>461</v>
      </c>
      <c r="BR12" s="18">
        <f t="shared" si="31"/>
        <v>782.33333333333337</v>
      </c>
      <c r="BS12" s="18">
        <f t="shared" si="32"/>
        <v>238.33333333333334</v>
      </c>
      <c r="BT12" s="18">
        <f t="shared" si="33"/>
        <v>204.66666666666666</v>
      </c>
    </row>
    <row r="13" spans="1:72" x14ac:dyDescent="0.3">
      <c r="A13" s="1" t="s">
        <v>4</v>
      </c>
      <c r="B13" s="1" t="s">
        <v>20</v>
      </c>
      <c r="C13" s="1" t="s">
        <v>23</v>
      </c>
      <c r="D13" s="1" t="s">
        <v>24</v>
      </c>
      <c r="E13" s="2">
        <v>10403</v>
      </c>
      <c r="F13" s="18">
        <v>16</v>
      </c>
      <c r="G13" s="18">
        <v>18</v>
      </c>
      <c r="H13" s="18">
        <v>21</v>
      </c>
      <c r="I13" s="18">
        <v>23</v>
      </c>
      <c r="J13" s="18">
        <v>26</v>
      </c>
      <c r="K13" s="18">
        <v>26</v>
      </c>
      <c r="L13" s="11">
        <v>26</v>
      </c>
      <c r="M13" s="2">
        <f t="shared" si="6"/>
        <v>1</v>
      </c>
      <c r="N13" s="2">
        <f t="shared" si="7"/>
        <v>0</v>
      </c>
      <c r="O13" s="2">
        <f t="shared" si="8"/>
        <v>10</v>
      </c>
      <c r="P13" s="2">
        <f t="shared" si="9"/>
        <v>10</v>
      </c>
      <c r="Q13" s="2">
        <f t="shared" si="10"/>
        <v>10</v>
      </c>
      <c r="R13" s="2">
        <f t="shared" si="11"/>
        <v>8</v>
      </c>
      <c r="S13" s="2">
        <f t="shared" si="12"/>
        <v>8</v>
      </c>
      <c r="T13" s="11">
        <v>17</v>
      </c>
      <c r="U13" s="11">
        <v>18</v>
      </c>
      <c r="V13" s="11">
        <v>31</v>
      </c>
      <c r="W13" s="18">
        <v>33</v>
      </c>
      <c r="X13" s="18">
        <v>36</v>
      </c>
      <c r="Y13" s="23">
        <v>34</v>
      </c>
      <c r="Z13" s="18">
        <v>34</v>
      </c>
      <c r="AA13" s="18">
        <v>94.117647058823522</v>
      </c>
      <c r="AB13" s="18">
        <v>100</v>
      </c>
      <c r="AC13" s="18">
        <v>67.741935483870961</v>
      </c>
      <c r="AD13" s="11">
        <v>69.696969696969703</v>
      </c>
      <c r="AE13" s="11">
        <v>72.222222222222214</v>
      </c>
      <c r="AF13" s="11">
        <v>76.470588235294116</v>
      </c>
      <c r="AG13" s="11">
        <v>76.470588235294116</v>
      </c>
      <c r="AH13" s="11">
        <f t="shared" si="13"/>
        <v>79.146301726946888</v>
      </c>
      <c r="AI13" s="26">
        <f t="shared" si="14"/>
        <v>75.054466230936811</v>
      </c>
      <c r="AJ13" s="2">
        <f t="shared" si="15"/>
        <v>20.666666666666668</v>
      </c>
      <c r="AK13" s="2">
        <f t="shared" si="16"/>
        <v>26</v>
      </c>
      <c r="AL13" s="2">
        <f t="shared" si="17"/>
        <v>6.666666666666667</v>
      </c>
      <c r="AM13" s="2">
        <f t="shared" si="18"/>
        <v>8.6666666666666661</v>
      </c>
    </row>
    <row r="14" spans="1:72" x14ac:dyDescent="0.3">
      <c r="A14" s="1" t="s">
        <v>4</v>
      </c>
      <c r="B14" s="1" t="s">
        <v>20</v>
      </c>
      <c r="C14" s="1" t="s">
        <v>25</v>
      </c>
      <c r="D14" s="1" t="s">
        <v>26</v>
      </c>
      <c r="E14" s="2">
        <v>10404</v>
      </c>
      <c r="F14" s="18">
        <v>10</v>
      </c>
      <c r="G14" s="18">
        <v>10</v>
      </c>
      <c r="H14" s="18">
        <v>14</v>
      </c>
      <c r="I14" s="18">
        <v>16</v>
      </c>
      <c r="J14" s="18">
        <v>20</v>
      </c>
      <c r="K14" s="18">
        <v>21</v>
      </c>
      <c r="L14" s="11">
        <v>21</v>
      </c>
      <c r="M14" s="2">
        <f t="shared" si="6"/>
        <v>5</v>
      </c>
      <c r="N14" s="2">
        <f t="shared" si="7"/>
        <v>5</v>
      </c>
      <c r="O14" s="2">
        <f t="shared" si="8"/>
        <v>9</v>
      </c>
      <c r="P14" s="2">
        <f t="shared" si="9"/>
        <v>9</v>
      </c>
      <c r="Q14" s="2">
        <f t="shared" si="10"/>
        <v>8</v>
      </c>
      <c r="R14" s="2">
        <f t="shared" si="11"/>
        <v>7</v>
      </c>
      <c r="S14" s="2">
        <f t="shared" si="12"/>
        <v>8</v>
      </c>
      <c r="T14" s="11">
        <v>15</v>
      </c>
      <c r="U14" s="11">
        <v>15</v>
      </c>
      <c r="V14" s="11">
        <v>23</v>
      </c>
      <c r="W14" s="18">
        <v>25</v>
      </c>
      <c r="X14" s="18">
        <v>28</v>
      </c>
      <c r="Y14" s="23">
        <v>28</v>
      </c>
      <c r="Z14" s="18">
        <v>29</v>
      </c>
      <c r="AA14" s="18">
        <v>66.666666666666657</v>
      </c>
      <c r="AB14" s="18">
        <v>66.666666666666657</v>
      </c>
      <c r="AC14" s="18">
        <v>60.869565217391312</v>
      </c>
      <c r="AD14" s="11">
        <v>64</v>
      </c>
      <c r="AE14" s="11">
        <v>71.428571428571431</v>
      </c>
      <c r="AF14" s="11">
        <v>75</v>
      </c>
      <c r="AG14" s="11">
        <v>72.41379310344827</v>
      </c>
      <c r="AH14" s="11">
        <f t="shared" si="13"/>
        <v>63.845410628019323</v>
      </c>
      <c r="AI14" s="26">
        <f t="shared" si="14"/>
        <v>72.947454844006572</v>
      </c>
      <c r="AJ14" s="2">
        <f t="shared" si="15"/>
        <v>13.333333333333334</v>
      </c>
      <c r="AK14" s="2">
        <f t="shared" si="16"/>
        <v>20.666666666666668</v>
      </c>
      <c r="AL14" s="2">
        <f t="shared" si="17"/>
        <v>7.666666666666667</v>
      </c>
      <c r="AM14" s="2">
        <f t="shared" si="18"/>
        <v>7.666666666666667</v>
      </c>
    </row>
    <row r="15" spans="1:72" x14ac:dyDescent="0.3">
      <c r="A15" s="1" t="s">
        <v>4</v>
      </c>
      <c r="B15" s="1" t="s">
        <v>20</v>
      </c>
      <c r="C15" s="1" t="s">
        <v>27</v>
      </c>
      <c r="D15" s="1" t="s">
        <v>27</v>
      </c>
      <c r="E15" s="2">
        <v>10405</v>
      </c>
      <c r="F15" s="18">
        <v>9</v>
      </c>
      <c r="G15" s="18">
        <v>11</v>
      </c>
      <c r="H15" s="18">
        <v>13</v>
      </c>
      <c r="I15" s="18">
        <v>15</v>
      </c>
      <c r="J15" s="18">
        <v>26</v>
      </c>
      <c r="K15" s="18">
        <v>27</v>
      </c>
      <c r="L15" s="11">
        <v>26</v>
      </c>
      <c r="M15" s="2">
        <f t="shared" si="6"/>
        <v>1</v>
      </c>
      <c r="N15" s="2">
        <f t="shared" si="7"/>
        <v>2</v>
      </c>
      <c r="O15" s="2">
        <f t="shared" si="8"/>
        <v>7</v>
      </c>
      <c r="P15" s="2">
        <f t="shared" si="9"/>
        <v>7</v>
      </c>
      <c r="Q15" s="2">
        <f t="shared" si="10"/>
        <v>6</v>
      </c>
      <c r="R15" s="2">
        <f t="shared" si="11"/>
        <v>6</v>
      </c>
      <c r="S15" s="2">
        <f t="shared" si="12"/>
        <v>7</v>
      </c>
      <c r="T15" s="11">
        <v>10</v>
      </c>
      <c r="U15" s="11">
        <v>13</v>
      </c>
      <c r="V15" s="11">
        <v>20</v>
      </c>
      <c r="W15" s="18">
        <v>22</v>
      </c>
      <c r="X15" s="18">
        <v>32</v>
      </c>
      <c r="Y15" s="23">
        <v>33</v>
      </c>
      <c r="Z15" s="18">
        <v>33</v>
      </c>
      <c r="AA15" s="18">
        <v>90</v>
      </c>
      <c r="AB15" s="18">
        <v>84.615384615384613</v>
      </c>
      <c r="AC15" s="18">
        <v>65</v>
      </c>
      <c r="AD15" s="11">
        <v>68.181818181818173</v>
      </c>
      <c r="AE15" s="11">
        <v>81.25</v>
      </c>
      <c r="AF15" s="11">
        <v>81.818181818181827</v>
      </c>
      <c r="AG15" s="11">
        <v>78.787878787878782</v>
      </c>
      <c r="AH15" s="11">
        <f t="shared" si="13"/>
        <v>72.599067599067595</v>
      </c>
      <c r="AI15" s="26">
        <f t="shared" si="14"/>
        <v>80.618686868686865</v>
      </c>
      <c r="AJ15" s="2">
        <f t="shared" si="15"/>
        <v>13</v>
      </c>
      <c r="AK15" s="2">
        <f t="shared" si="16"/>
        <v>26.333333333333332</v>
      </c>
      <c r="AL15" s="2">
        <f t="shared" si="17"/>
        <v>5.333333333333333</v>
      </c>
      <c r="AM15" s="2">
        <f t="shared" si="18"/>
        <v>6.333333333333333</v>
      </c>
    </row>
    <row r="16" spans="1:72" x14ac:dyDescent="0.3">
      <c r="A16" s="1" t="s">
        <v>4</v>
      </c>
      <c r="B16" s="1" t="s">
        <v>28</v>
      </c>
      <c r="C16" s="1" t="s">
        <v>29</v>
      </c>
      <c r="D16" s="1" t="s">
        <v>29</v>
      </c>
      <c r="E16" s="2">
        <v>10501</v>
      </c>
      <c r="F16" s="18">
        <v>98</v>
      </c>
      <c r="G16" s="18">
        <v>100</v>
      </c>
      <c r="H16" s="18">
        <v>117</v>
      </c>
      <c r="I16" s="18">
        <v>115</v>
      </c>
      <c r="J16" s="18">
        <v>143</v>
      </c>
      <c r="K16" s="18">
        <v>143</v>
      </c>
      <c r="L16" s="11">
        <v>144</v>
      </c>
      <c r="M16" s="2">
        <f t="shared" si="6"/>
        <v>20</v>
      </c>
      <c r="N16" s="2">
        <f t="shared" si="7"/>
        <v>23</v>
      </c>
      <c r="O16" s="2">
        <f t="shared" si="8"/>
        <v>50</v>
      </c>
      <c r="P16" s="2">
        <f t="shared" si="9"/>
        <v>54</v>
      </c>
      <c r="Q16" s="2">
        <f t="shared" si="10"/>
        <v>50</v>
      </c>
      <c r="R16" s="2">
        <f t="shared" si="11"/>
        <v>51</v>
      </c>
      <c r="S16" s="2">
        <f t="shared" si="12"/>
        <v>50</v>
      </c>
      <c r="T16" s="11">
        <v>118</v>
      </c>
      <c r="U16" s="11">
        <v>123</v>
      </c>
      <c r="V16" s="11">
        <v>167</v>
      </c>
      <c r="W16" s="18">
        <v>169</v>
      </c>
      <c r="X16" s="18">
        <v>193</v>
      </c>
      <c r="Y16" s="23">
        <v>194</v>
      </c>
      <c r="Z16" s="18">
        <v>194</v>
      </c>
      <c r="AA16" s="18">
        <v>83.050847457627114</v>
      </c>
      <c r="AB16" s="18">
        <v>81.300813008130078</v>
      </c>
      <c r="AC16" s="18">
        <v>70.05988023952095</v>
      </c>
      <c r="AD16" s="11">
        <v>68.047337278106511</v>
      </c>
      <c r="AE16" s="11">
        <v>74.093264248704656</v>
      </c>
      <c r="AF16" s="11">
        <v>73.711340206185568</v>
      </c>
      <c r="AG16" s="11">
        <v>74.226804123711347</v>
      </c>
      <c r="AH16" s="11">
        <f t="shared" si="13"/>
        <v>73.136010175252508</v>
      </c>
      <c r="AI16" s="26">
        <f t="shared" si="14"/>
        <v>74.010469526200538</v>
      </c>
      <c r="AJ16" s="2">
        <f t="shared" si="15"/>
        <v>110.66666666666667</v>
      </c>
      <c r="AK16" s="2">
        <f t="shared" si="16"/>
        <v>143.33333333333334</v>
      </c>
      <c r="AL16" s="2">
        <f t="shared" si="17"/>
        <v>42.333333333333336</v>
      </c>
      <c r="AM16" s="2">
        <f t="shared" si="18"/>
        <v>50.333333333333336</v>
      </c>
    </row>
    <row r="17" spans="1:39" x14ac:dyDescent="0.3">
      <c r="A17" s="1" t="s">
        <v>4</v>
      </c>
      <c r="B17" s="1" t="s">
        <v>28</v>
      </c>
      <c r="C17" s="1" t="s">
        <v>30</v>
      </c>
      <c r="D17" s="1" t="s">
        <v>30</v>
      </c>
      <c r="E17" s="2">
        <v>10502</v>
      </c>
      <c r="F17" s="18">
        <v>15</v>
      </c>
      <c r="G17" s="18">
        <v>18</v>
      </c>
      <c r="H17" s="18">
        <v>28</v>
      </c>
      <c r="I17" s="18">
        <v>30</v>
      </c>
      <c r="J17" s="18">
        <v>54</v>
      </c>
      <c r="K17" s="18">
        <v>57</v>
      </c>
      <c r="L17" s="11">
        <v>61</v>
      </c>
      <c r="M17" s="2">
        <f t="shared" si="6"/>
        <v>3</v>
      </c>
      <c r="N17" s="2">
        <f t="shared" si="7"/>
        <v>5</v>
      </c>
      <c r="O17" s="2">
        <f t="shared" si="8"/>
        <v>14</v>
      </c>
      <c r="P17" s="2">
        <f t="shared" si="9"/>
        <v>14</v>
      </c>
      <c r="Q17" s="2">
        <f t="shared" si="10"/>
        <v>17</v>
      </c>
      <c r="R17" s="2">
        <f t="shared" si="11"/>
        <v>20</v>
      </c>
      <c r="S17" s="2">
        <f t="shared" si="12"/>
        <v>19</v>
      </c>
      <c r="T17" s="11">
        <v>18</v>
      </c>
      <c r="U17" s="11">
        <v>23</v>
      </c>
      <c r="V17" s="11">
        <v>42</v>
      </c>
      <c r="W17" s="18">
        <v>44</v>
      </c>
      <c r="X17" s="18">
        <v>71</v>
      </c>
      <c r="Y17" s="23">
        <v>77</v>
      </c>
      <c r="Z17" s="18">
        <v>80</v>
      </c>
      <c r="AA17" s="18">
        <v>83.333333333333343</v>
      </c>
      <c r="AB17" s="18">
        <v>78.260869565217391</v>
      </c>
      <c r="AC17" s="18">
        <v>66.666666666666657</v>
      </c>
      <c r="AD17" s="11">
        <v>68.181818181818173</v>
      </c>
      <c r="AE17" s="11">
        <v>76.056338028169009</v>
      </c>
      <c r="AF17" s="11">
        <v>74.025974025974023</v>
      </c>
      <c r="AG17" s="11">
        <v>76.25</v>
      </c>
      <c r="AH17" s="11">
        <f t="shared" si="13"/>
        <v>71.036451471234088</v>
      </c>
      <c r="AI17" s="26">
        <f t="shared" si="14"/>
        <v>75.444104018047668</v>
      </c>
      <c r="AJ17" s="2">
        <f t="shared" si="15"/>
        <v>25.333333333333332</v>
      </c>
      <c r="AK17" s="2">
        <f t="shared" si="16"/>
        <v>57.333333333333336</v>
      </c>
      <c r="AL17" s="2">
        <f t="shared" si="17"/>
        <v>11</v>
      </c>
      <c r="AM17" s="2">
        <f t="shared" si="18"/>
        <v>18.666666666666668</v>
      </c>
    </row>
    <row r="18" spans="1:39" x14ac:dyDescent="0.3">
      <c r="A18" s="1" t="s">
        <v>4</v>
      </c>
      <c r="B18" s="1" t="s">
        <v>31</v>
      </c>
      <c r="C18" s="1" t="s">
        <v>32</v>
      </c>
      <c r="D18" s="1" t="s">
        <v>32</v>
      </c>
      <c r="E18" s="2">
        <v>10601</v>
      </c>
      <c r="F18" s="18">
        <v>46</v>
      </c>
      <c r="G18" s="18">
        <v>53</v>
      </c>
      <c r="H18" s="18">
        <v>70</v>
      </c>
      <c r="I18" s="18">
        <v>76</v>
      </c>
      <c r="J18" s="18">
        <v>91</v>
      </c>
      <c r="K18" s="18">
        <v>95</v>
      </c>
      <c r="L18" s="11">
        <v>98</v>
      </c>
      <c r="M18" s="2">
        <f t="shared" si="6"/>
        <v>12</v>
      </c>
      <c r="N18" s="2">
        <f t="shared" si="7"/>
        <v>13</v>
      </c>
      <c r="O18" s="2">
        <f t="shared" si="8"/>
        <v>21</v>
      </c>
      <c r="P18" s="2">
        <f t="shared" si="9"/>
        <v>21</v>
      </c>
      <c r="Q18" s="2">
        <f t="shared" si="10"/>
        <v>22</v>
      </c>
      <c r="R18" s="2">
        <f t="shared" si="11"/>
        <v>19</v>
      </c>
      <c r="S18" s="2">
        <f t="shared" si="12"/>
        <v>19</v>
      </c>
      <c r="T18" s="11">
        <v>58</v>
      </c>
      <c r="U18" s="11">
        <v>66</v>
      </c>
      <c r="V18" s="11">
        <v>91</v>
      </c>
      <c r="W18" s="18">
        <v>97</v>
      </c>
      <c r="X18" s="18">
        <v>113</v>
      </c>
      <c r="Y18" s="23">
        <v>114</v>
      </c>
      <c r="Z18" s="18">
        <v>117</v>
      </c>
      <c r="AA18" s="18">
        <v>79.310344827586206</v>
      </c>
      <c r="AB18" s="18">
        <v>80.303030303030297</v>
      </c>
      <c r="AC18" s="18">
        <v>76.923076923076934</v>
      </c>
      <c r="AD18" s="11">
        <v>78.350515463917532</v>
      </c>
      <c r="AE18" s="11">
        <v>80.530973451327441</v>
      </c>
      <c r="AF18" s="11">
        <v>83.333333333333343</v>
      </c>
      <c r="AG18" s="11">
        <v>83.760683760683762</v>
      </c>
      <c r="AH18" s="11">
        <f t="shared" si="13"/>
        <v>78.525540896674912</v>
      </c>
      <c r="AI18" s="26">
        <f t="shared" si="14"/>
        <v>82.541663515114848</v>
      </c>
      <c r="AJ18" s="2">
        <f t="shared" si="15"/>
        <v>66.333333333333329</v>
      </c>
      <c r="AK18" s="2">
        <f t="shared" si="16"/>
        <v>94.666666666666671</v>
      </c>
      <c r="AL18" s="2">
        <f t="shared" si="17"/>
        <v>18.333333333333332</v>
      </c>
      <c r="AM18" s="2">
        <f t="shared" si="18"/>
        <v>20</v>
      </c>
    </row>
    <row r="19" spans="1:39" x14ac:dyDescent="0.3">
      <c r="A19" s="1" t="s">
        <v>4</v>
      </c>
      <c r="B19" s="1" t="s">
        <v>31</v>
      </c>
      <c r="C19" s="1" t="s">
        <v>31</v>
      </c>
      <c r="D19" s="1" t="s">
        <v>31</v>
      </c>
      <c r="E19" s="2">
        <v>10602</v>
      </c>
      <c r="F19" s="18">
        <v>33</v>
      </c>
      <c r="G19" s="18">
        <v>36</v>
      </c>
      <c r="H19" s="18">
        <v>37</v>
      </c>
      <c r="I19" s="18">
        <v>42</v>
      </c>
      <c r="J19" s="18">
        <v>68</v>
      </c>
      <c r="K19" s="18">
        <v>66</v>
      </c>
      <c r="L19" s="11">
        <v>68</v>
      </c>
      <c r="M19" s="2">
        <f t="shared" si="6"/>
        <v>6</v>
      </c>
      <c r="N19" s="2">
        <f t="shared" si="7"/>
        <v>3</v>
      </c>
      <c r="O19" s="2">
        <f t="shared" si="8"/>
        <v>4</v>
      </c>
      <c r="P19" s="2">
        <f t="shared" si="9"/>
        <v>7</v>
      </c>
      <c r="Q19" s="2">
        <f t="shared" si="10"/>
        <v>15</v>
      </c>
      <c r="R19" s="2">
        <f t="shared" si="11"/>
        <v>17</v>
      </c>
      <c r="S19" s="2">
        <f t="shared" si="12"/>
        <v>15</v>
      </c>
      <c r="T19" s="11">
        <v>39</v>
      </c>
      <c r="U19" s="11">
        <v>39</v>
      </c>
      <c r="V19" s="11">
        <v>41</v>
      </c>
      <c r="W19" s="18">
        <v>49</v>
      </c>
      <c r="X19" s="18">
        <v>83</v>
      </c>
      <c r="Y19" s="23">
        <v>83</v>
      </c>
      <c r="Z19" s="18">
        <v>83</v>
      </c>
      <c r="AA19" s="18">
        <v>84.615384615384613</v>
      </c>
      <c r="AB19" s="18">
        <v>92.307692307692307</v>
      </c>
      <c r="AC19" s="18">
        <v>90.243902439024396</v>
      </c>
      <c r="AD19" s="11">
        <v>85.714285714285708</v>
      </c>
      <c r="AE19" s="11">
        <v>81.92771084337349</v>
      </c>
      <c r="AF19" s="11">
        <v>79.518072289156621</v>
      </c>
      <c r="AG19" s="11">
        <v>81.92771084337349</v>
      </c>
      <c r="AH19" s="11">
        <f t="shared" si="13"/>
        <v>89.421960153667484</v>
      </c>
      <c r="AI19" s="26">
        <f t="shared" si="14"/>
        <v>81.124497991967857</v>
      </c>
      <c r="AJ19" s="2">
        <f t="shared" si="15"/>
        <v>38.333333333333336</v>
      </c>
      <c r="AK19" s="2">
        <f t="shared" si="16"/>
        <v>67.333333333333329</v>
      </c>
      <c r="AL19" s="2">
        <f t="shared" si="17"/>
        <v>4.666666666666667</v>
      </c>
      <c r="AM19" s="2">
        <f t="shared" si="18"/>
        <v>15.666666666666666</v>
      </c>
    </row>
    <row r="20" spans="1:39" x14ac:dyDescent="0.3">
      <c r="A20" s="1" t="s">
        <v>4</v>
      </c>
      <c r="B20" s="1" t="s">
        <v>33</v>
      </c>
      <c r="C20" s="1" t="s">
        <v>34</v>
      </c>
      <c r="D20" s="1" t="s">
        <v>34</v>
      </c>
      <c r="E20" s="2">
        <v>10701</v>
      </c>
      <c r="F20" s="18">
        <v>50</v>
      </c>
      <c r="G20" s="18">
        <v>49</v>
      </c>
      <c r="H20" s="18">
        <v>59</v>
      </c>
      <c r="I20" s="18">
        <v>61</v>
      </c>
      <c r="J20" s="18">
        <v>67</v>
      </c>
      <c r="K20" s="18">
        <v>68</v>
      </c>
      <c r="L20" s="11">
        <v>69</v>
      </c>
      <c r="M20" s="2">
        <f t="shared" si="6"/>
        <v>5</v>
      </c>
      <c r="N20" s="2">
        <f t="shared" si="7"/>
        <v>5</v>
      </c>
      <c r="O20" s="2">
        <f t="shared" si="8"/>
        <v>29</v>
      </c>
      <c r="P20" s="2">
        <f t="shared" si="9"/>
        <v>28</v>
      </c>
      <c r="Q20" s="2">
        <f t="shared" si="10"/>
        <v>24</v>
      </c>
      <c r="R20" s="2">
        <f t="shared" si="11"/>
        <v>25</v>
      </c>
      <c r="S20" s="2">
        <f t="shared" si="12"/>
        <v>26</v>
      </c>
      <c r="T20" s="11">
        <v>55</v>
      </c>
      <c r="U20" s="11">
        <v>54</v>
      </c>
      <c r="V20" s="11">
        <v>88</v>
      </c>
      <c r="W20" s="18">
        <v>89</v>
      </c>
      <c r="X20" s="18">
        <v>91</v>
      </c>
      <c r="Y20" s="23">
        <v>93</v>
      </c>
      <c r="Z20" s="18">
        <v>95</v>
      </c>
      <c r="AA20" s="18">
        <v>90.909090909090907</v>
      </c>
      <c r="AB20" s="18">
        <v>90.740740740740748</v>
      </c>
      <c r="AC20" s="18">
        <v>67.045454545454547</v>
      </c>
      <c r="AD20" s="11">
        <v>68.539325842696627</v>
      </c>
      <c r="AE20" s="11">
        <v>73.626373626373635</v>
      </c>
      <c r="AF20" s="11">
        <v>73.118279569892479</v>
      </c>
      <c r="AG20" s="11">
        <v>72.631578947368425</v>
      </c>
      <c r="AH20" s="11">
        <f t="shared" si="13"/>
        <v>75.441840376297307</v>
      </c>
      <c r="AI20" s="26">
        <f t="shared" si="14"/>
        <v>73.125410714544842</v>
      </c>
      <c r="AJ20" s="2">
        <f t="shared" si="15"/>
        <v>56.333333333333336</v>
      </c>
      <c r="AK20" s="2">
        <f t="shared" si="16"/>
        <v>68</v>
      </c>
      <c r="AL20" s="2">
        <f t="shared" si="17"/>
        <v>20.666666666666668</v>
      </c>
      <c r="AM20" s="2">
        <f t="shared" si="18"/>
        <v>25</v>
      </c>
    </row>
    <row r="21" spans="1:39" x14ac:dyDescent="0.3">
      <c r="A21" s="1" t="s">
        <v>4</v>
      </c>
      <c r="B21" s="1" t="s">
        <v>33</v>
      </c>
      <c r="C21" s="1" t="s">
        <v>35</v>
      </c>
      <c r="D21" s="1" t="s">
        <v>35</v>
      </c>
      <c r="E21" s="2">
        <v>10702</v>
      </c>
      <c r="F21" s="18">
        <v>48</v>
      </c>
      <c r="G21" s="18">
        <v>56</v>
      </c>
      <c r="H21" s="18">
        <v>68</v>
      </c>
      <c r="I21" s="18">
        <v>83</v>
      </c>
      <c r="J21" s="18">
        <v>177</v>
      </c>
      <c r="K21" s="18">
        <v>179</v>
      </c>
      <c r="L21" s="11">
        <v>183</v>
      </c>
      <c r="M21" s="2">
        <f t="shared" si="6"/>
        <v>22</v>
      </c>
      <c r="N21" s="2">
        <f t="shared" si="7"/>
        <v>21</v>
      </c>
      <c r="O21" s="2">
        <f t="shared" si="8"/>
        <v>70</v>
      </c>
      <c r="P21" s="2">
        <f t="shared" si="9"/>
        <v>69</v>
      </c>
      <c r="Q21" s="2">
        <f t="shared" si="10"/>
        <v>71</v>
      </c>
      <c r="R21" s="2">
        <f t="shared" si="11"/>
        <v>75</v>
      </c>
      <c r="S21" s="2">
        <f t="shared" si="12"/>
        <v>73</v>
      </c>
      <c r="T21" s="11">
        <v>70</v>
      </c>
      <c r="U21" s="11">
        <v>77</v>
      </c>
      <c r="V21" s="11">
        <v>138</v>
      </c>
      <c r="W21" s="18">
        <v>152</v>
      </c>
      <c r="X21" s="18">
        <v>248</v>
      </c>
      <c r="Y21" s="23">
        <v>254</v>
      </c>
      <c r="Z21" s="18">
        <v>256</v>
      </c>
      <c r="AA21" s="18">
        <v>68.571428571428569</v>
      </c>
      <c r="AB21" s="18">
        <v>72.727272727272734</v>
      </c>
      <c r="AC21" s="18">
        <v>49.275362318840585</v>
      </c>
      <c r="AD21" s="11">
        <v>54.605263157894733</v>
      </c>
      <c r="AE21" s="11">
        <v>71.370967741935488</v>
      </c>
      <c r="AF21" s="11">
        <v>70.472440944881882</v>
      </c>
      <c r="AG21" s="11">
        <v>71.484375</v>
      </c>
      <c r="AH21" s="11">
        <f t="shared" si="13"/>
        <v>58.869299401336015</v>
      </c>
      <c r="AI21" s="26">
        <f t="shared" si="14"/>
        <v>71.109261228939133</v>
      </c>
      <c r="AJ21" s="2">
        <f t="shared" si="15"/>
        <v>69</v>
      </c>
      <c r="AK21" s="2">
        <f t="shared" si="16"/>
        <v>179.66666666666666</v>
      </c>
      <c r="AL21" s="2">
        <f t="shared" si="17"/>
        <v>53.333333333333336</v>
      </c>
      <c r="AM21" s="2">
        <f t="shared" si="18"/>
        <v>73</v>
      </c>
    </row>
    <row r="22" spans="1:39" x14ac:dyDescent="0.3">
      <c r="A22" s="1" t="s">
        <v>4</v>
      </c>
      <c r="B22" s="1" t="s">
        <v>33</v>
      </c>
      <c r="C22" s="1" t="s">
        <v>36</v>
      </c>
      <c r="D22" s="1" t="s">
        <v>36</v>
      </c>
      <c r="E22" s="2">
        <v>10703</v>
      </c>
      <c r="F22" s="18">
        <v>28</v>
      </c>
      <c r="G22" s="18">
        <v>31</v>
      </c>
      <c r="H22" s="18">
        <v>51</v>
      </c>
      <c r="I22" s="18">
        <v>37</v>
      </c>
      <c r="J22" s="18">
        <v>68</v>
      </c>
      <c r="K22" s="18">
        <v>70</v>
      </c>
      <c r="L22" s="11">
        <v>75</v>
      </c>
      <c r="M22" s="2">
        <f t="shared" si="6"/>
        <v>8</v>
      </c>
      <c r="N22" s="2">
        <f t="shared" si="7"/>
        <v>11</v>
      </c>
      <c r="O22" s="2">
        <f t="shared" si="8"/>
        <v>25</v>
      </c>
      <c r="P22" s="2">
        <f t="shared" si="9"/>
        <v>11</v>
      </c>
      <c r="Q22" s="2">
        <f t="shared" si="10"/>
        <v>14</v>
      </c>
      <c r="R22" s="2">
        <f t="shared" si="11"/>
        <v>14</v>
      </c>
      <c r="S22" s="2">
        <f t="shared" si="12"/>
        <v>11</v>
      </c>
      <c r="T22" s="11">
        <v>36</v>
      </c>
      <c r="U22" s="11">
        <v>42</v>
      </c>
      <c r="V22" s="11">
        <v>76</v>
      </c>
      <c r="W22" s="18">
        <v>48</v>
      </c>
      <c r="X22" s="18">
        <v>82</v>
      </c>
      <c r="Y22" s="23">
        <v>84</v>
      </c>
      <c r="Z22" s="18">
        <v>86</v>
      </c>
      <c r="AA22" s="18">
        <v>77.777777777777786</v>
      </c>
      <c r="AB22" s="18">
        <v>73.80952380952381</v>
      </c>
      <c r="AC22" s="18">
        <v>67.10526315789474</v>
      </c>
      <c r="AD22" s="11">
        <v>77.083333333333343</v>
      </c>
      <c r="AE22" s="11">
        <v>82.926829268292678</v>
      </c>
      <c r="AF22" s="11">
        <v>83.333333333333343</v>
      </c>
      <c r="AG22" s="11">
        <v>87.20930232558139</v>
      </c>
      <c r="AH22" s="11">
        <f t="shared" si="13"/>
        <v>72.666040100250626</v>
      </c>
      <c r="AI22" s="26">
        <f t="shared" si="14"/>
        <v>84.489821642402475</v>
      </c>
      <c r="AJ22" s="2">
        <f t="shared" si="15"/>
        <v>39.666666666666664</v>
      </c>
      <c r="AK22" s="2">
        <f t="shared" si="16"/>
        <v>71</v>
      </c>
      <c r="AL22" s="2">
        <f t="shared" si="17"/>
        <v>15.666666666666666</v>
      </c>
      <c r="AM22" s="2">
        <f t="shared" si="18"/>
        <v>13</v>
      </c>
    </row>
    <row r="23" spans="1:39" x14ac:dyDescent="0.3">
      <c r="A23" s="1" t="s">
        <v>4</v>
      </c>
      <c r="B23" s="1" t="s">
        <v>33</v>
      </c>
      <c r="C23" s="1" t="s">
        <v>37</v>
      </c>
      <c r="D23" s="1" t="s">
        <v>37</v>
      </c>
      <c r="E23" s="2">
        <v>10704</v>
      </c>
      <c r="F23" s="18">
        <v>0</v>
      </c>
      <c r="G23" s="18">
        <v>0</v>
      </c>
      <c r="H23" s="18">
        <v>0</v>
      </c>
      <c r="I23" s="18">
        <v>24</v>
      </c>
      <c r="J23" s="18">
        <v>71</v>
      </c>
      <c r="K23" s="18">
        <v>71</v>
      </c>
      <c r="L23" s="11">
        <v>73</v>
      </c>
      <c r="M23" s="2">
        <f t="shared" si="6"/>
        <v>0</v>
      </c>
      <c r="N23" s="2">
        <f t="shared" si="7"/>
        <v>0</v>
      </c>
      <c r="O23" s="2">
        <f t="shared" si="8"/>
        <v>0</v>
      </c>
      <c r="P23" s="2">
        <f t="shared" si="9"/>
        <v>16</v>
      </c>
      <c r="Q23" s="2">
        <f t="shared" si="10"/>
        <v>14</v>
      </c>
      <c r="R23" s="2">
        <f t="shared" si="11"/>
        <v>20</v>
      </c>
      <c r="S23" s="2">
        <f t="shared" si="12"/>
        <v>24</v>
      </c>
      <c r="T23" s="11">
        <v>0</v>
      </c>
      <c r="U23" s="11">
        <v>0</v>
      </c>
      <c r="V23" s="11">
        <v>0</v>
      </c>
      <c r="W23" s="18">
        <v>40</v>
      </c>
      <c r="X23" s="18">
        <v>85</v>
      </c>
      <c r="Y23" s="23">
        <v>91</v>
      </c>
      <c r="Z23" s="18">
        <v>97</v>
      </c>
      <c r="AA23" s="18"/>
      <c r="AB23" s="18"/>
      <c r="AC23" s="18"/>
      <c r="AD23" s="11">
        <v>60</v>
      </c>
      <c r="AE23" s="11">
        <v>83.529411764705884</v>
      </c>
      <c r="AF23" s="11">
        <v>78.021978021978029</v>
      </c>
      <c r="AG23" s="11">
        <v>75.257731958762889</v>
      </c>
      <c r="AH23" s="11">
        <f t="shared" si="13"/>
        <v>60</v>
      </c>
      <c r="AI23" s="26">
        <f t="shared" si="14"/>
        <v>78.936373915148934</v>
      </c>
      <c r="AJ23" s="2">
        <f t="shared" si="15"/>
        <v>8</v>
      </c>
      <c r="AK23" s="2">
        <f t="shared" si="16"/>
        <v>71.666666666666671</v>
      </c>
      <c r="AL23" s="2">
        <f t="shared" si="17"/>
        <v>5.333333333333333</v>
      </c>
      <c r="AM23" s="2">
        <f t="shared" si="18"/>
        <v>19.333333333333332</v>
      </c>
    </row>
    <row r="24" spans="1:39" x14ac:dyDescent="0.3">
      <c r="A24" s="1" t="s">
        <v>4</v>
      </c>
      <c r="B24" s="1" t="s">
        <v>38</v>
      </c>
      <c r="C24" s="1" t="s">
        <v>39</v>
      </c>
      <c r="D24" s="1" t="s">
        <v>39</v>
      </c>
      <c r="E24" s="2">
        <v>10801</v>
      </c>
      <c r="F24" s="18">
        <v>30</v>
      </c>
      <c r="G24" s="18">
        <v>40</v>
      </c>
      <c r="H24" s="18">
        <v>46</v>
      </c>
      <c r="I24" s="18">
        <v>47</v>
      </c>
      <c r="J24" s="18">
        <v>55</v>
      </c>
      <c r="K24" s="18">
        <v>58</v>
      </c>
      <c r="L24" s="11">
        <v>63</v>
      </c>
      <c r="M24" s="2">
        <f t="shared" si="6"/>
        <v>9</v>
      </c>
      <c r="N24" s="2">
        <f t="shared" si="7"/>
        <v>12</v>
      </c>
      <c r="O24" s="2">
        <f t="shared" si="8"/>
        <v>28</v>
      </c>
      <c r="P24" s="2">
        <f t="shared" si="9"/>
        <v>27</v>
      </c>
      <c r="Q24" s="2">
        <f t="shared" si="10"/>
        <v>25</v>
      </c>
      <c r="R24" s="2">
        <f t="shared" si="11"/>
        <v>25</v>
      </c>
      <c r="S24" s="2">
        <f t="shared" si="12"/>
        <v>23</v>
      </c>
      <c r="T24" s="11">
        <v>39</v>
      </c>
      <c r="U24" s="11">
        <v>52</v>
      </c>
      <c r="V24" s="11">
        <v>74</v>
      </c>
      <c r="W24" s="18">
        <v>74</v>
      </c>
      <c r="X24" s="18">
        <v>80</v>
      </c>
      <c r="Y24" s="23">
        <v>83</v>
      </c>
      <c r="Z24" s="18">
        <v>86</v>
      </c>
      <c r="AA24" s="18">
        <v>76.923076923076934</v>
      </c>
      <c r="AB24" s="18">
        <v>76.923076923076934</v>
      </c>
      <c r="AC24" s="18">
        <v>62.162162162162161</v>
      </c>
      <c r="AD24" s="11">
        <v>63.513513513513509</v>
      </c>
      <c r="AE24" s="11">
        <v>68.75</v>
      </c>
      <c r="AF24" s="11">
        <v>69.879518072289159</v>
      </c>
      <c r="AG24" s="11">
        <v>73.255813953488371</v>
      </c>
      <c r="AH24" s="11">
        <f t="shared" si="13"/>
        <v>67.532917532917537</v>
      </c>
      <c r="AI24" s="26">
        <f t="shared" si="14"/>
        <v>70.62844400859251</v>
      </c>
      <c r="AJ24" s="2">
        <f t="shared" si="15"/>
        <v>44.333333333333336</v>
      </c>
      <c r="AK24" s="2">
        <f t="shared" si="16"/>
        <v>58.666666666666664</v>
      </c>
      <c r="AL24" s="2">
        <f t="shared" si="17"/>
        <v>22.333333333333332</v>
      </c>
      <c r="AM24" s="2">
        <f t="shared" si="18"/>
        <v>24.333333333333332</v>
      </c>
    </row>
    <row r="25" spans="1:39" x14ac:dyDescent="0.3">
      <c r="A25" s="1" t="s">
        <v>4</v>
      </c>
      <c r="B25" s="1" t="s">
        <v>40</v>
      </c>
      <c r="C25" s="1" t="s">
        <v>41</v>
      </c>
      <c r="D25" s="1" t="s">
        <v>41</v>
      </c>
      <c r="E25" s="2">
        <v>10901</v>
      </c>
      <c r="F25" s="18">
        <v>9</v>
      </c>
      <c r="G25" s="18">
        <v>9</v>
      </c>
      <c r="H25" s="18">
        <v>11</v>
      </c>
      <c r="I25" s="18">
        <v>11</v>
      </c>
      <c r="J25" s="18">
        <v>16</v>
      </c>
      <c r="K25" s="18">
        <v>15</v>
      </c>
      <c r="L25" s="11">
        <v>16</v>
      </c>
      <c r="M25" s="2">
        <f t="shared" si="6"/>
        <v>4</v>
      </c>
      <c r="N25" s="2">
        <f t="shared" si="7"/>
        <v>4</v>
      </c>
      <c r="O25" s="2">
        <f t="shared" si="8"/>
        <v>8</v>
      </c>
      <c r="P25" s="2">
        <f t="shared" si="9"/>
        <v>8</v>
      </c>
      <c r="Q25" s="2">
        <f t="shared" si="10"/>
        <v>2</v>
      </c>
      <c r="R25" s="2">
        <f t="shared" si="11"/>
        <v>2</v>
      </c>
      <c r="S25" s="2">
        <f t="shared" si="12"/>
        <v>3</v>
      </c>
      <c r="T25" s="11">
        <v>13</v>
      </c>
      <c r="U25" s="11">
        <v>13</v>
      </c>
      <c r="V25" s="11">
        <v>19</v>
      </c>
      <c r="W25" s="18">
        <v>19</v>
      </c>
      <c r="X25" s="18">
        <v>18</v>
      </c>
      <c r="Y25" s="23">
        <v>17</v>
      </c>
      <c r="Z25" s="18">
        <v>19</v>
      </c>
      <c r="AA25" s="18">
        <v>69.230769230769226</v>
      </c>
      <c r="AB25" s="18">
        <v>69.230769230769226</v>
      </c>
      <c r="AC25" s="18">
        <v>57.894736842105267</v>
      </c>
      <c r="AD25" s="11">
        <v>57.894736842105267</v>
      </c>
      <c r="AE25" s="11">
        <v>88.888888888888886</v>
      </c>
      <c r="AF25" s="11">
        <v>88.235294117647058</v>
      </c>
      <c r="AG25" s="11">
        <v>84.210526315789465</v>
      </c>
      <c r="AH25" s="11">
        <f t="shared" si="13"/>
        <v>61.673414304993251</v>
      </c>
      <c r="AI25" s="26">
        <f t="shared" si="14"/>
        <v>87.111569774108474</v>
      </c>
      <c r="AJ25" s="2">
        <f t="shared" si="15"/>
        <v>10.333333333333334</v>
      </c>
      <c r="AK25" s="2">
        <f t="shared" si="16"/>
        <v>15.666666666666666</v>
      </c>
      <c r="AL25" s="2">
        <f t="shared" si="17"/>
        <v>6.666666666666667</v>
      </c>
      <c r="AM25" s="2">
        <f t="shared" si="18"/>
        <v>2.3333333333333335</v>
      </c>
    </row>
    <row r="26" spans="1:39" x14ac:dyDescent="0.3">
      <c r="A26" s="1" t="s">
        <v>4</v>
      </c>
      <c r="B26" s="1" t="s">
        <v>40</v>
      </c>
      <c r="C26" s="1" t="s">
        <v>42</v>
      </c>
      <c r="D26" s="1" t="s">
        <v>42</v>
      </c>
      <c r="E26" s="2">
        <v>10902</v>
      </c>
      <c r="F26" s="18">
        <v>23</v>
      </c>
      <c r="G26" s="18">
        <v>23</v>
      </c>
      <c r="H26" s="18">
        <v>35</v>
      </c>
      <c r="I26" s="18">
        <v>38</v>
      </c>
      <c r="J26" s="18">
        <v>75</v>
      </c>
      <c r="K26" s="18">
        <v>76</v>
      </c>
      <c r="L26" s="11">
        <v>75</v>
      </c>
      <c r="M26" s="2">
        <f t="shared" si="6"/>
        <v>6</v>
      </c>
      <c r="N26" s="2">
        <f t="shared" si="7"/>
        <v>7</v>
      </c>
      <c r="O26" s="2">
        <f t="shared" si="8"/>
        <v>22</v>
      </c>
      <c r="P26" s="2">
        <f t="shared" si="9"/>
        <v>20</v>
      </c>
      <c r="Q26" s="2">
        <f t="shared" si="10"/>
        <v>12</v>
      </c>
      <c r="R26" s="2">
        <f t="shared" si="11"/>
        <v>12</v>
      </c>
      <c r="S26" s="2">
        <f t="shared" si="12"/>
        <v>13</v>
      </c>
      <c r="T26" s="11">
        <v>29</v>
      </c>
      <c r="U26" s="11">
        <v>30</v>
      </c>
      <c r="V26" s="11">
        <v>57</v>
      </c>
      <c r="W26" s="18">
        <v>58</v>
      </c>
      <c r="X26" s="18">
        <v>87</v>
      </c>
      <c r="Y26" s="23">
        <v>88</v>
      </c>
      <c r="Z26" s="18">
        <v>88</v>
      </c>
      <c r="AA26" s="18">
        <v>79.310344827586206</v>
      </c>
      <c r="AB26" s="18">
        <v>76.666666666666671</v>
      </c>
      <c r="AC26" s="18">
        <v>61.403508771929829</v>
      </c>
      <c r="AD26" s="11">
        <v>65.517241379310349</v>
      </c>
      <c r="AE26" s="11">
        <v>86.206896551724128</v>
      </c>
      <c r="AF26" s="11">
        <v>86.36363636363636</v>
      </c>
      <c r="AG26" s="11">
        <v>85.227272727272734</v>
      </c>
      <c r="AH26" s="11">
        <f t="shared" si="13"/>
        <v>67.862472272635614</v>
      </c>
      <c r="AI26" s="26">
        <f t="shared" si="14"/>
        <v>85.932601880877755</v>
      </c>
      <c r="AJ26" s="2">
        <f t="shared" si="15"/>
        <v>32</v>
      </c>
      <c r="AK26" s="2">
        <f t="shared" si="16"/>
        <v>75.333333333333329</v>
      </c>
      <c r="AL26" s="2">
        <f t="shared" si="17"/>
        <v>16.333333333333332</v>
      </c>
      <c r="AM26" s="2">
        <f t="shared" si="18"/>
        <v>12.333333333333334</v>
      </c>
    </row>
    <row r="27" spans="1:39" x14ac:dyDescent="0.3">
      <c r="A27" s="1" t="s">
        <v>4</v>
      </c>
      <c r="B27" s="1" t="s">
        <v>40</v>
      </c>
      <c r="C27" s="1" t="s">
        <v>43</v>
      </c>
      <c r="D27" s="1" t="s">
        <v>43</v>
      </c>
      <c r="E27" s="2">
        <v>10903</v>
      </c>
      <c r="F27" s="18">
        <v>7</v>
      </c>
      <c r="G27" s="18">
        <v>7</v>
      </c>
      <c r="H27" s="18">
        <v>7</v>
      </c>
      <c r="I27" s="18">
        <v>7</v>
      </c>
      <c r="J27" s="18">
        <v>12</v>
      </c>
      <c r="K27" s="18">
        <v>12</v>
      </c>
      <c r="L27" s="11">
        <v>12</v>
      </c>
      <c r="M27" s="2">
        <f t="shared" si="6"/>
        <v>3</v>
      </c>
      <c r="N27" s="2">
        <f t="shared" si="7"/>
        <v>3</v>
      </c>
      <c r="O27" s="2">
        <f t="shared" si="8"/>
        <v>2</v>
      </c>
      <c r="P27" s="2">
        <f t="shared" si="9"/>
        <v>2</v>
      </c>
      <c r="Q27" s="2">
        <f t="shared" si="10"/>
        <v>3</v>
      </c>
      <c r="R27" s="2">
        <f t="shared" si="11"/>
        <v>3</v>
      </c>
      <c r="S27" s="2">
        <f t="shared" si="12"/>
        <v>3</v>
      </c>
      <c r="T27" s="11">
        <v>10</v>
      </c>
      <c r="U27" s="11">
        <v>10</v>
      </c>
      <c r="V27" s="11">
        <v>9</v>
      </c>
      <c r="W27" s="18">
        <v>9</v>
      </c>
      <c r="X27" s="18">
        <v>15</v>
      </c>
      <c r="Y27" s="23">
        <v>15</v>
      </c>
      <c r="Z27" s="18">
        <v>15</v>
      </c>
      <c r="AA27" s="18">
        <v>70</v>
      </c>
      <c r="AB27" s="18">
        <v>70</v>
      </c>
      <c r="AC27" s="18">
        <v>77.777777777777786</v>
      </c>
      <c r="AD27" s="11">
        <v>77.777777777777786</v>
      </c>
      <c r="AE27" s="11">
        <v>80</v>
      </c>
      <c r="AF27" s="11">
        <v>80</v>
      </c>
      <c r="AG27" s="11">
        <v>80</v>
      </c>
      <c r="AH27" s="11">
        <f t="shared" si="13"/>
        <v>75.185185185185176</v>
      </c>
      <c r="AI27" s="26">
        <f t="shared" si="14"/>
        <v>80</v>
      </c>
      <c r="AJ27" s="2">
        <f t="shared" si="15"/>
        <v>7</v>
      </c>
      <c r="AK27" s="2">
        <f t="shared" si="16"/>
        <v>12</v>
      </c>
      <c r="AL27" s="2">
        <f t="shared" si="17"/>
        <v>2.3333333333333335</v>
      </c>
      <c r="AM27" s="2">
        <f t="shared" si="18"/>
        <v>3</v>
      </c>
    </row>
    <row r="28" spans="1:39" x14ac:dyDescent="0.3">
      <c r="A28" s="1" t="s">
        <v>4</v>
      </c>
      <c r="B28" s="1" t="s">
        <v>44</v>
      </c>
      <c r="C28" s="1" t="s">
        <v>45</v>
      </c>
      <c r="D28" s="1" t="s">
        <v>45</v>
      </c>
      <c r="E28" s="2">
        <v>11001</v>
      </c>
      <c r="F28" s="18">
        <v>28</v>
      </c>
      <c r="G28" s="18">
        <v>34</v>
      </c>
      <c r="H28" s="18">
        <v>43</v>
      </c>
      <c r="I28" s="18">
        <v>42</v>
      </c>
      <c r="J28" s="18">
        <v>65</v>
      </c>
      <c r="K28" s="18">
        <v>69</v>
      </c>
      <c r="L28" s="11">
        <v>69</v>
      </c>
      <c r="M28" s="2">
        <f t="shared" si="6"/>
        <v>2</v>
      </c>
      <c r="N28" s="2">
        <f t="shared" si="7"/>
        <v>9</v>
      </c>
      <c r="O28" s="2">
        <f t="shared" si="8"/>
        <v>19</v>
      </c>
      <c r="P28" s="2">
        <f t="shared" si="9"/>
        <v>22</v>
      </c>
      <c r="Q28" s="2">
        <f t="shared" si="10"/>
        <v>16</v>
      </c>
      <c r="R28" s="2">
        <f t="shared" si="11"/>
        <v>14</v>
      </c>
      <c r="S28" s="2">
        <f t="shared" si="12"/>
        <v>14</v>
      </c>
      <c r="T28" s="11">
        <v>30</v>
      </c>
      <c r="U28" s="11">
        <v>43</v>
      </c>
      <c r="V28" s="11">
        <v>62</v>
      </c>
      <c r="W28" s="18">
        <v>64</v>
      </c>
      <c r="X28" s="18">
        <v>81</v>
      </c>
      <c r="Y28" s="23">
        <v>83</v>
      </c>
      <c r="Z28" s="18">
        <v>83</v>
      </c>
      <c r="AA28" s="18">
        <v>93.333333333333329</v>
      </c>
      <c r="AB28" s="18">
        <v>79.069767441860463</v>
      </c>
      <c r="AC28" s="18">
        <v>69.354838709677423</v>
      </c>
      <c r="AD28" s="11">
        <v>65.625</v>
      </c>
      <c r="AE28" s="11">
        <v>80.246913580246911</v>
      </c>
      <c r="AF28" s="11">
        <v>83.132530120481931</v>
      </c>
      <c r="AG28" s="11">
        <v>83.132530120481931</v>
      </c>
      <c r="AH28" s="11">
        <f t="shared" si="13"/>
        <v>71.349868717179291</v>
      </c>
      <c r="AI28" s="26">
        <f t="shared" si="14"/>
        <v>82.170657940403586</v>
      </c>
      <c r="AJ28" s="2">
        <f t="shared" si="15"/>
        <v>39.666666666666664</v>
      </c>
      <c r="AK28" s="2">
        <f t="shared" si="16"/>
        <v>67.666666666666671</v>
      </c>
      <c r="AL28" s="2">
        <f t="shared" si="17"/>
        <v>16.666666666666668</v>
      </c>
      <c r="AM28" s="2">
        <f t="shared" si="18"/>
        <v>14.666666666666666</v>
      </c>
    </row>
    <row r="29" spans="1:39" x14ac:dyDescent="0.3">
      <c r="A29" s="1" t="s">
        <v>4</v>
      </c>
      <c r="B29" s="1" t="s">
        <v>44</v>
      </c>
      <c r="C29" s="1" t="s">
        <v>46</v>
      </c>
      <c r="D29" s="1" t="s">
        <v>47</v>
      </c>
      <c r="E29" s="2">
        <v>11002</v>
      </c>
      <c r="F29" s="18">
        <v>8</v>
      </c>
      <c r="G29" s="18">
        <v>11</v>
      </c>
      <c r="H29" s="18">
        <v>11</v>
      </c>
      <c r="I29" s="18">
        <v>11</v>
      </c>
      <c r="J29" s="18">
        <v>16</v>
      </c>
      <c r="K29" s="18">
        <v>15</v>
      </c>
      <c r="L29" s="11">
        <v>14</v>
      </c>
      <c r="M29" s="2">
        <f t="shared" si="6"/>
        <v>1</v>
      </c>
      <c r="N29" s="2">
        <f t="shared" si="7"/>
        <v>2</v>
      </c>
      <c r="O29" s="2">
        <f t="shared" si="8"/>
        <v>3</v>
      </c>
      <c r="P29" s="2">
        <f t="shared" si="9"/>
        <v>3</v>
      </c>
      <c r="Q29" s="2">
        <f t="shared" si="10"/>
        <v>2</v>
      </c>
      <c r="R29" s="2">
        <f t="shared" si="11"/>
        <v>3</v>
      </c>
      <c r="S29" s="2">
        <f t="shared" si="12"/>
        <v>4</v>
      </c>
      <c r="T29" s="11">
        <v>9</v>
      </c>
      <c r="U29" s="11">
        <v>13</v>
      </c>
      <c r="V29" s="11">
        <v>14</v>
      </c>
      <c r="W29" s="18">
        <v>14</v>
      </c>
      <c r="X29" s="18">
        <v>18</v>
      </c>
      <c r="Y29" s="23">
        <v>18</v>
      </c>
      <c r="Z29" s="18">
        <v>18</v>
      </c>
      <c r="AA29" s="18">
        <v>88.888888888888886</v>
      </c>
      <c r="AB29" s="18">
        <v>84.615384615384613</v>
      </c>
      <c r="AC29" s="18">
        <v>78.571428571428569</v>
      </c>
      <c r="AD29" s="11">
        <v>78.571428571428569</v>
      </c>
      <c r="AE29" s="11">
        <v>88.888888888888886</v>
      </c>
      <c r="AF29" s="11">
        <v>83.333333333333343</v>
      </c>
      <c r="AG29" s="11">
        <v>77.777777777777786</v>
      </c>
      <c r="AH29" s="11">
        <f t="shared" si="13"/>
        <v>80.586080586080584</v>
      </c>
      <c r="AI29" s="26">
        <f t="shared" si="14"/>
        <v>83.333333333333329</v>
      </c>
      <c r="AJ29" s="2">
        <f t="shared" si="15"/>
        <v>11</v>
      </c>
      <c r="AK29" s="2">
        <f t="shared" si="16"/>
        <v>15</v>
      </c>
      <c r="AL29" s="2">
        <f t="shared" si="17"/>
        <v>2.6666666666666665</v>
      </c>
      <c r="AM29" s="2">
        <f t="shared" si="18"/>
        <v>3</v>
      </c>
    </row>
    <row r="30" spans="1:39" x14ac:dyDescent="0.3">
      <c r="A30" s="1" t="s">
        <v>4</v>
      </c>
      <c r="B30" s="1" t="s">
        <v>44</v>
      </c>
      <c r="C30" s="1" t="s">
        <v>48</v>
      </c>
      <c r="D30" s="1" t="s">
        <v>49</v>
      </c>
      <c r="E30" s="2">
        <v>11003</v>
      </c>
      <c r="F30" s="18">
        <v>19</v>
      </c>
      <c r="G30" s="18">
        <v>21</v>
      </c>
      <c r="H30" s="18">
        <v>23</v>
      </c>
      <c r="I30" s="18">
        <v>23</v>
      </c>
      <c r="J30" s="18">
        <v>41</v>
      </c>
      <c r="K30" s="18">
        <v>45</v>
      </c>
      <c r="L30" s="11">
        <v>48</v>
      </c>
      <c r="M30" s="2">
        <f t="shared" si="6"/>
        <v>8</v>
      </c>
      <c r="N30" s="2">
        <f t="shared" si="7"/>
        <v>10</v>
      </c>
      <c r="O30" s="2">
        <f t="shared" si="8"/>
        <v>12</v>
      </c>
      <c r="P30" s="2">
        <f t="shared" si="9"/>
        <v>12</v>
      </c>
      <c r="Q30" s="2">
        <f t="shared" si="10"/>
        <v>8</v>
      </c>
      <c r="R30" s="2">
        <f t="shared" si="11"/>
        <v>8</v>
      </c>
      <c r="S30" s="2">
        <f t="shared" si="12"/>
        <v>12</v>
      </c>
      <c r="T30" s="11">
        <v>27</v>
      </c>
      <c r="U30" s="11">
        <v>31</v>
      </c>
      <c r="V30" s="11">
        <v>35</v>
      </c>
      <c r="W30" s="18">
        <v>35</v>
      </c>
      <c r="X30" s="18">
        <v>49</v>
      </c>
      <c r="Y30" s="23">
        <v>53</v>
      </c>
      <c r="Z30" s="18">
        <v>60</v>
      </c>
      <c r="AA30" s="18">
        <v>70.370370370370367</v>
      </c>
      <c r="AB30" s="18">
        <v>67.741935483870961</v>
      </c>
      <c r="AC30" s="18">
        <v>65.714285714285708</v>
      </c>
      <c r="AD30" s="11">
        <v>65.714285714285708</v>
      </c>
      <c r="AE30" s="11">
        <v>83.673469387755105</v>
      </c>
      <c r="AF30" s="11">
        <v>84.905660377358487</v>
      </c>
      <c r="AG30" s="11">
        <v>80</v>
      </c>
      <c r="AH30" s="11">
        <f t="shared" si="13"/>
        <v>66.390168970814116</v>
      </c>
      <c r="AI30" s="26">
        <f t="shared" si="14"/>
        <v>82.859709921704521</v>
      </c>
      <c r="AJ30" s="2">
        <f t="shared" si="15"/>
        <v>22.333333333333332</v>
      </c>
      <c r="AK30" s="2">
        <f t="shared" si="16"/>
        <v>44.666666666666664</v>
      </c>
      <c r="AL30" s="2">
        <f t="shared" si="17"/>
        <v>11.333333333333334</v>
      </c>
      <c r="AM30" s="2">
        <f t="shared" si="18"/>
        <v>9.3333333333333339</v>
      </c>
    </row>
    <row r="31" spans="1:39" x14ac:dyDescent="0.3">
      <c r="A31" s="1" t="s">
        <v>50</v>
      </c>
      <c r="B31" s="1" t="s">
        <v>51</v>
      </c>
      <c r="C31" s="1" t="s">
        <v>52</v>
      </c>
      <c r="D31" s="1" t="s">
        <v>52</v>
      </c>
      <c r="E31" s="2">
        <v>20101</v>
      </c>
      <c r="F31" s="18">
        <v>2212</v>
      </c>
      <c r="G31" s="18">
        <v>2271</v>
      </c>
      <c r="H31" s="18">
        <v>2624</v>
      </c>
      <c r="I31" s="18">
        <v>2688</v>
      </c>
      <c r="J31" s="18">
        <v>2856</v>
      </c>
      <c r="K31" s="18">
        <v>2860</v>
      </c>
      <c r="L31" s="11">
        <v>2862</v>
      </c>
      <c r="M31" s="2">
        <f t="shared" si="6"/>
        <v>215</v>
      </c>
      <c r="N31" s="2">
        <f t="shared" si="7"/>
        <v>195</v>
      </c>
      <c r="O31" s="2">
        <f t="shared" si="8"/>
        <v>302</v>
      </c>
      <c r="P31" s="2">
        <f t="shared" si="9"/>
        <v>324</v>
      </c>
      <c r="Q31" s="2">
        <f t="shared" si="10"/>
        <v>435</v>
      </c>
      <c r="R31" s="2">
        <f t="shared" si="11"/>
        <v>446</v>
      </c>
      <c r="S31" s="2">
        <f t="shared" si="12"/>
        <v>452</v>
      </c>
      <c r="T31" s="11">
        <v>2427</v>
      </c>
      <c r="U31" s="11">
        <v>2466</v>
      </c>
      <c r="V31" s="11">
        <v>2926</v>
      </c>
      <c r="W31" s="18">
        <v>3012</v>
      </c>
      <c r="X31" s="18">
        <v>3291</v>
      </c>
      <c r="Y31" s="23">
        <v>3306</v>
      </c>
      <c r="Z31" s="18">
        <v>3314</v>
      </c>
      <c r="AA31" s="18">
        <v>91.141326740832312</v>
      </c>
      <c r="AB31" s="18">
        <v>92.092457420924575</v>
      </c>
      <c r="AC31" s="18">
        <v>89.678742310321255</v>
      </c>
      <c r="AD31" s="11">
        <v>89.243027888446207</v>
      </c>
      <c r="AE31" s="11">
        <v>86.782133090246134</v>
      </c>
      <c r="AF31" s="11">
        <v>86.509376890502125</v>
      </c>
      <c r="AG31" s="11">
        <v>86.360893180446581</v>
      </c>
      <c r="AH31" s="11">
        <f t="shared" si="13"/>
        <v>90.338075873230665</v>
      </c>
      <c r="AI31" s="26">
        <f t="shared" si="14"/>
        <v>86.550801053731618</v>
      </c>
      <c r="AJ31" s="2">
        <f t="shared" si="15"/>
        <v>2527.6666666666665</v>
      </c>
      <c r="AK31" s="2">
        <f t="shared" si="16"/>
        <v>2859.3333333333335</v>
      </c>
      <c r="AL31" s="2">
        <f t="shared" si="17"/>
        <v>273.66666666666669</v>
      </c>
      <c r="AM31" s="2">
        <f t="shared" si="18"/>
        <v>444.33333333333331</v>
      </c>
    </row>
    <row r="32" spans="1:39" x14ac:dyDescent="0.3">
      <c r="A32" s="1" t="s">
        <v>50</v>
      </c>
      <c r="B32" s="1" t="s">
        <v>51</v>
      </c>
      <c r="C32" s="1" t="s">
        <v>53</v>
      </c>
      <c r="D32" s="1" t="s">
        <v>53</v>
      </c>
      <c r="E32" s="2">
        <v>20102</v>
      </c>
      <c r="F32" s="18">
        <v>34</v>
      </c>
      <c r="G32" s="18">
        <v>43</v>
      </c>
      <c r="H32" s="18">
        <v>51</v>
      </c>
      <c r="I32" s="18">
        <v>58</v>
      </c>
      <c r="J32" s="18">
        <v>94</v>
      </c>
      <c r="K32" s="18">
        <v>101</v>
      </c>
      <c r="L32" s="11">
        <v>106</v>
      </c>
      <c r="M32" s="2">
        <f t="shared" si="6"/>
        <v>19</v>
      </c>
      <c r="N32" s="2">
        <f t="shared" si="7"/>
        <v>19</v>
      </c>
      <c r="O32" s="2">
        <f t="shared" si="8"/>
        <v>41</v>
      </c>
      <c r="P32" s="2">
        <f t="shared" si="9"/>
        <v>39</v>
      </c>
      <c r="Q32" s="2">
        <f t="shared" si="10"/>
        <v>27</v>
      </c>
      <c r="R32" s="2">
        <f t="shared" si="11"/>
        <v>31</v>
      </c>
      <c r="S32" s="2">
        <f t="shared" si="12"/>
        <v>30</v>
      </c>
      <c r="T32" s="11">
        <v>53</v>
      </c>
      <c r="U32" s="11">
        <v>62</v>
      </c>
      <c r="V32" s="11">
        <v>92</v>
      </c>
      <c r="W32" s="18">
        <v>97</v>
      </c>
      <c r="X32" s="18">
        <v>121</v>
      </c>
      <c r="Y32" s="23">
        <v>132</v>
      </c>
      <c r="Z32" s="18">
        <v>136</v>
      </c>
      <c r="AA32" s="18">
        <v>64.15094339622641</v>
      </c>
      <c r="AB32" s="18">
        <v>69.354838709677423</v>
      </c>
      <c r="AC32" s="18">
        <v>55.434782608695656</v>
      </c>
      <c r="AD32" s="11">
        <v>59.793814432989691</v>
      </c>
      <c r="AE32" s="11">
        <v>77.685950413223139</v>
      </c>
      <c r="AF32" s="11">
        <v>76.515151515151516</v>
      </c>
      <c r="AG32" s="11">
        <v>77.941176470588232</v>
      </c>
      <c r="AH32" s="11">
        <f t="shared" si="13"/>
        <v>61.527811917120921</v>
      </c>
      <c r="AI32" s="26">
        <f t="shared" si="14"/>
        <v>77.380759466320967</v>
      </c>
      <c r="AJ32" s="2">
        <f t="shared" si="15"/>
        <v>50.666666666666664</v>
      </c>
      <c r="AK32" s="2">
        <f t="shared" si="16"/>
        <v>100.33333333333333</v>
      </c>
      <c r="AL32" s="2">
        <f t="shared" si="17"/>
        <v>33</v>
      </c>
      <c r="AM32" s="2">
        <f t="shared" si="18"/>
        <v>29.333333333333332</v>
      </c>
    </row>
    <row r="33" spans="1:39" x14ac:dyDescent="0.3">
      <c r="A33" s="1" t="s">
        <v>50</v>
      </c>
      <c r="B33" s="1" t="s">
        <v>51</v>
      </c>
      <c r="C33" s="1" t="s">
        <v>54</v>
      </c>
      <c r="D33" s="1" t="s">
        <v>54</v>
      </c>
      <c r="E33" s="2">
        <v>20103</v>
      </c>
      <c r="F33" s="18">
        <v>56</v>
      </c>
      <c r="G33" s="18">
        <v>58</v>
      </c>
      <c r="H33" s="18">
        <v>71</v>
      </c>
      <c r="I33" s="18">
        <v>73</v>
      </c>
      <c r="J33" s="18">
        <v>86</v>
      </c>
      <c r="K33" s="18">
        <v>91</v>
      </c>
      <c r="L33" s="11">
        <v>94</v>
      </c>
      <c r="M33" s="2">
        <f t="shared" si="6"/>
        <v>18</v>
      </c>
      <c r="N33" s="2">
        <f t="shared" si="7"/>
        <v>18</v>
      </c>
      <c r="O33" s="2">
        <f t="shared" si="8"/>
        <v>38</v>
      </c>
      <c r="P33" s="2">
        <f t="shared" si="9"/>
        <v>37</v>
      </c>
      <c r="Q33" s="2">
        <f t="shared" si="10"/>
        <v>27</v>
      </c>
      <c r="R33" s="2">
        <f t="shared" si="11"/>
        <v>26</v>
      </c>
      <c r="S33" s="2">
        <f t="shared" si="12"/>
        <v>32</v>
      </c>
      <c r="T33" s="11">
        <v>74</v>
      </c>
      <c r="U33" s="11">
        <v>76</v>
      </c>
      <c r="V33" s="11">
        <v>109</v>
      </c>
      <c r="W33" s="18">
        <v>110</v>
      </c>
      <c r="X33" s="18">
        <v>113</v>
      </c>
      <c r="Y33" s="23">
        <v>117</v>
      </c>
      <c r="Z33" s="18">
        <v>126</v>
      </c>
      <c r="AA33" s="18">
        <v>75.675675675675677</v>
      </c>
      <c r="AB33" s="18">
        <v>76.31578947368422</v>
      </c>
      <c r="AC33" s="18">
        <v>65.137614678899084</v>
      </c>
      <c r="AD33" s="11">
        <v>66.363636363636374</v>
      </c>
      <c r="AE33" s="11">
        <v>76.106194690265482</v>
      </c>
      <c r="AF33" s="11">
        <v>77.777777777777786</v>
      </c>
      <c r="AG33" s="11">
        <v>74.603174603174608</v>
      </c>
      <c r="AH33" s="11">
        <f t="shared" si="13"/>
        <v>69.272346838739892</v>
      </c>
      <c r="AI33" s="26">
        <f t="shared" si="14"/>
        <v>76.16238235707263</v>
      </c>
      <c r="AJ33" s="2">
        <f t="shared" si="15"/>
        <v>67.333333333333329</v>
      </c>
      <c r="AK33" s="2">
        <f t="shared" si="16"/>
        <v>90.333333333333329</v>
      </c>
      <c r="AL33" s="2">
        <f t="shared" si="17"/>
        <v>31</v>
      </c>
      <c r="AM33" s="2">
        <f t="shared" si="18"/>
        <v>28.333333333333332</v>
      </c>
    </row>
    <row r="34" spans="1:39" x14ac:dyDescent="0.3">
      <c r="A34" s="1" t="s">
        <v>50</v>
      </c>
      <c r="B34" s="1" t="s">
        <v>51</v>
      </c>
      <c r="C34" s="1" t="s">
        <v>55</v>
      </c>
      <c r="D34" s="1" t="s">
        <v>55</v>
      </c>
      <c r="E34" s="2">
        <v>20104</v>
      </c>
      <c r="F34" s="18">
        <v>57</v>
      </c>
      <c r="G34" s="18">
        <v>64</v>
      </c>
      <c r="H34" s="18">
        <v>80</v>
      </c>
      <c r="I34" s="18">
        <v>79</v>
      </c>
      <c r="J34" s="18">
        <v>132</v>
      </c>
      <c r="K34" s="18">
        <v>141</v>
      </c>
      <c r="L34" s="11">
        <v>145</v>
      </c>
      <c r="M34" s="2">
        <f t="shared" si="6"/>
        <v>12</v>
      </c>
      <c r="N34" s="2">
        <f t="shared" si="7"/>
        <v>13</v>
      </c>
      <c r="O34" s="2">
        <f t="shared" si="8"/>
        <v>43</v>
      </c>
      <c r="P34" s="2">
        <f t="shared" si="9"/>
        <v>46</v>
      </c>
      <c r="Q34" s="2">
        <f t="shared" si="10"/>
        <v>58</v>
      </c>
      <c r="R34" s="2">
        <f t="shared" si="11"/>
        <v>59</v>
      </c>
      <c r="S34" s="2">
        <f t="shared" si="12"/>
        <v>60</v>
      </c>
      <c r="T34" s="11">
        <v>69</v>
      </c>
      <c r="U34" s="11">
        <v>77</v>
      </c>
      <c r="V34" s="11">
        <v>123</v>
      </c>
      <c r="W34" s="18">
        <v>125</v>
      </c>
      <c r="X34" s="18">
        <v>190</v>
      </c>
      <c r="Y34" s="23">
        <v>200</v>
      </c>
      <c r="Z34" s="18">
        <v>205</v>
      </c>
      <c r="AA34" s="18">
        <v>82.608695652173907</v>
      </c>
      <c r="AB34" s="18">
        <v>83.116883116883116</v>
      </c>
      <c r="AC34" s="18">
        <v>65.040650406504056</v>
      </c>
      <c r="AD34" s="11">
        <v>63.2</v>
      </c>
      <c r="AE34" s="11">
        <v>69.473684210526315</v>
      </c>
      <c r="AF34" s="11">
        <v>70.5</v>
      </c>
      <c r="AG34" s="11">
        <v>70.731707317073173</v>
      </c>
      <c r="AH34" s="11">
        <f t="shared" si="13"/>
        <v>70.452511174462401</v>
      </c>
      <c r="AI34" s="26">
        <f t="shared" si="14"/>
        <v>70.235130509199834</v>
      </c>
      <c r="AJ34" s="2">
        <f t="shared" si="15"/>
        <v>74.333333333333329</v>
      </c>
      <c r="AK34" s="2">
        <f t="shared" si="16"/>
        <v>139.33333333333334</v>
      </c>
      <c r="AL34" s="2">
        <f t="shared" si="17"/>
        <v>34</v>
      </c>
      <c r="AM34" s="2">
        <f t="shared" si="18"/>
        <v>59</v>
      </c>
    </row>
    <row r="35" spans="1:39" x14ac:dyDescent="0.3">
      <c r="A35" s="1" t="s">
        <v>50</v>
      </c>
      <c r="B35" s="1" t="s">
        <v>51</v>
      </c>
      <c r="C35" s="1" t="s">
        <v>56</v>
      </c>
      <c r="D35" s="1" t="s">
        <v>56</v>
      </c>
      <c r="E35" s="2">
        <v>20105</v>
      </c>
      <c r="F35" s="18">
        <v>2797</v>
      </c>
      <c r="G35" s="18">
        <v>3114</v>
      </c>
      <c r="H35" s="18">
        <v>3658</v>
      </c>
      <c r="I35" s="18">
        <v>3914</v>
      </c>
      <c r="J35" s="18">
        <v>4857</v>
      </c>
      <c r="K35" s="18">
        <v>4953</v>
      </c>
      <c r="L35" s="11">
        <v>4997</v>
      </c>
      <c r="M35" s="2">
        <f t="shared" si="6"/>
        <v>587</v>
      </c>
      <c r="N35" s="2">
        <f t="shared" si="7"/>
        <v>612</v>
      </c>
      <c r="O35" s="2">
        <f t="shared" si="8"/>
        <v>1160</v>
      </c>
      <c r="P35" s="2">
        <f t="shared" si="9"/>
        <v>1223</v>
      </c>
      <c r="Q35" s="2">
        <f t="shared" si="10"/>
        <v>1357</v>
      </c>
      <c r="R35" s="2">
        <f t="shared" si="11"/>
        <v>1367</v>
      </c>
      <c r="S35" s="2">
        <f t="shared" si="12"/>
        <v>1379</v>
      </c>
      <c r="T35" s="11">
        <v>3384</v>
      </c>
      <c r="U35" s="11">
        <v>3726</v>
      </c>
      <c r="V35" s="11">
        <v>4818</v>
      </c>
      <c r="W35" s="18">
        <v>5137</v>
      </c>
      <c r="X35" s="18">
        <v>6214</v>
      </c>
      <c r="Y35" s="23">
        <v>6320</v>
      </c>
      <c r="Z35" s="18">
        <v>6376</v>
      </c>
      <c r="AA35" s="18">
        <v>82.653664302600475</v>
      </c>
      <c r="AB35" s="18">
        <v>83.574879227053145</v>
      </c>
      <c r="AC35" s="18">
        <v>75.923619759236189</v>
      </c>
      <c r="AD35" s="11">
        <v>76.192330153786259</v>
      </c>
      <c r="AE35" s="11">
        <v>78.162214354682973</v>
      </c>
      <c r="AF35" s="11">
        <v>78.370253164556956</v>
      </c>
      <c r="AG35" s="11">
        <v>78.372020075282308</v>
      </c>
      <c r="AH35" s="11">
        <f t="shared" si="13"/>
        <v>78.563609713358531</v>
      </c>
      <c r="AI35" s="26">
        <f t="shared" si="14"/>
        <v>78.301495864840746</v>
      </c>
      <c r="AJ35" s="2">
        <f t="shared" si="15"/>
        <v>3562</v>
      </c>
      <c r="AK35" s="2">
        <f t="shared" si="16"/>
        <v>4935.666666666667</v>
      </c>
      <c r="AL35" s="2">
        <f t="shared" si="17"/>
        <v>998.33333333333337</v>
      </c>
      <c r="AM35" s="2">
        <f t="shared" si="18"/>
        <v>1367.6666666666667</v>
      </c>
    </row>
    <row r="36" spans="1:39" x14ac:dyDescent="0.3">
      <c r="A36" s="1" t="s">
        <v>50</v>
      </c>
      <c r="B36" s="1" t="s">
        <v>57</v>
      </c>
      <c r="C36" s="1" t="s">
        <v>58</v>
      </c>
      <c r="D36" s="1" t="s">
        <v>58</v>
      </c>
      <c r="E36" s="2">
        <v>20201</v>
      </c>
      <c r="F36" s="18">
        <v>290</v>
      </c>
      <c r="G36" s="18">
        <v>298</v>
      </c>
      <c r="H36" s="18">
        <v>361</v>
      </c>
      <c r="I36" s="18">
        <v>289</v>
      </c>
      <c r="J36" s="18">
        <v>361</v>
      </c>
      <c r="K36" s="18">
        <v>361</v>
      </c>
      <c r="L36" s="11">
        <v>372</v>
      </c>
      <c r="M36" s="2">
        <f t="shared" si="6"/>
        <v>87</v>
      </c>
      <c r="N36" s="2">
        <f t="shared" si="7"/>
        <v>86</v>
      </c>
      <c r="O36" s="2">
        <f t="shared" si="8"/>
        <v>150</v>
      </c>
      <c r="P36" s="2">
        <f t="shared" si="9"/>
        <v>90</v>
      </c>
      <c r="Q36" s="2">
        <f t="shared" si="10"/>
        <v>57</v>
      </c>
      <c r="R36" s="2">
        <f t="shared" si="11"/>
        <v>58</v>
      </c>
      <c r="S36" s="2">
        <f t="shared" si="12"/>
        <v>56</v>
      </c>
      <c r="T36" s="11">
        <v>377</v>
      </c>
      <c r="U36" s="11">
        <v>384</v>
      </c>
      <c r="V36" s="11">
        <v>511</v>
      </c>
      <c r="W36" s="18">
        <v>379</v>
      </c>
      <c r="X36" s="18">
        <v>418</v>
      </c>
      <c r="Y36" s="23">
        <v>419</v>
      </c>
      <c r="Z36" s="18">
        <v>428</v>
      </c>
      <c r="AA36" s="18">
        <v>76.923076923076934</v>
      </c>
      <c r="AB36" s="18">
        <v>77.604166666666657</v>
      </c>
      <c r="AC36" s="18">
        <v>70.645792563600779</v>
      </c>
      <c r="AD36" s="11">
        <v>76.253298153034294</v>
      </c>
      <c r="AE36" s="11">
        <v>86.36363636363636</v>
      </c>
      <c r="AF36" s="11">
        <v>86.157517899761331</v>
      </c>
      <c r="AG36" s="11">
        <v>86.915887850467286</v>
      </c>
      <c r="AH36" s="11">
        <f t="shared" si="13"/>
        <v>74.834419127767248</v>
      </c>
      <c r="AI36" s="26">
        <f t="shared" si="14"/>
        <v>86.479014037954997</v>
      </c>
      <c r="AJ36" s="2">
        <f t="shared" si="15"/>
        <v>316</v>
      </c>
      <c r="AK36" s="2">
        <f t="shared" si="16"/>
        <v>364.66666666666669</v>
      </c>
      <c r="AL36" s="2">
        <f t="shared" si="17"/>
        <v>108.66666666666667</v>
      </c>
      <c r="AM36" s="2">
        <f t="shared" si="18"/>
        <v>57</v>
      </c>
    </row>
    <row r="37" spans="1:39" x14ac:dyDescent="0.3">
      <c r="A37" s="1" t="s">
        <v>50</v>
      </c>
      <c r="B37" s="1" t="s">
        <v>57</v>
      </c>
      <c r="C37" s="1" t="s">
        <v>59</v>
      </c>
      <c r="D37" s="1" t="s">
        <v>60</v>
      </c>
      <c r="E37" s="2">
        <v>20202</v>
      </c>
      <c r="F37" s="18">
        <v>52</v>
      </c>
      <c r="G37" s="18">
        <v>54</v>
      </c>
      <c r="H37" s="18">
        <v>69</v>
      </c>
      <c r="I37" s="18">
        <v>68</v>
      </c>
      <c r="J37" s="18">
        <v>88</v>
      </c>
      <c r="K37" s="18">
        <v>88</v>
      </c>
      <c r="L37" s="11">
        <v>84</v>
      </c>
      <c r="M37" s="2">
        <f t="shared" si="6"/>
        <v>28</v>
      </c>
      <c r="N37" s="2">
        <f t="shared" si="7"/>
        <v>26</v>
      </c>
      <c r="O37" s="2">
        <f t="shared" si="8"/>
        <v>42</v>
      </c>
      <c r="P37" s="2">
        <f t="shared" si="9"/>
        <v>40</v>
      </c>
      <c r="Q37" s="2">
        <f t="shared" si="10"/>
        <v>26</v>
      </c>
      <c r="R37" s="2">
        <f t="shared" si="11"/>
        <v>27</v>
      </c>
      <c r="S37" s="2">
        <f t="shared" si="12"/>
        <v>32</v>
      </c>
      <c r="T37" s="11">
        <v>80</v>
      </c>
      <c r="U37" s="11">
        <v>80</v>
      </c>
      <c r="V37" s="11">
        <v>111</v>
      </c>
      <c r="W37" s="18">
        <v>108</v>
      </c>
      <c r="X37" s="18">
        <v>114</v>
      </c>
      <c r="Y37" s="23">
        <v>115</v>
      </c>
      <c r="Z37" s="18">
        <v>116</v>
      </c>
      <c r="AA37" s="18">
        <v>65</v>
      </c>
      <c r="AB37" s="18">
        <v>67.5</v>
      </c>
      <c r="AC37" s="18">
        <v>62.162162162162161</v>
      </c>
      <c r="AD37" s="11">
        <v>62.962962962962962</v>
      </c>
      <c r="AE37" s="11">
        <v>77.192982456140342</v>
      </c>
      <c r="AF37" s="11">
        <v>76.521739130434781</v>
      </c>
      <c r="AG37" s="11">
        <v>72.41379310344827</v>
      </c>
      <c r="AH37" s="11">
        <f t="shared" si="13"/>
        <v>64.208375041708379</v>
      </c>
      <c r="AI37" s="26">
        <f t="shared" si="14"/>
        <v>75.376171563341131</v>
      </c>
      <c r="AJ37" s="2">
        <f t="shared" si="15"/>
        <v>63.666666666666664</v>
      </c>
      <c r="AK37" s="2">
        <f t="shared" si="16"/>
        <v>86.666666666666671</v>
      </c>
      <c r="AL37" s="2">
        <f t="shared" si="17"/>
        <v>36</v>
      </c>
      <c r="AM37" s="2">
        <f t="shared" si="18"/>
        <v>28.333333333333332</v>
      </c>
    </row>
    <row r="38" spans="1:39" x14ac:dyDescent="0.3">
      <c r="A38" s="1" t="s">
        <v>50</v>
      </c>
      <c r="B38" s="1" t="s">
        <v>57</v>
      </c>
      <c r="C38" s="1" t="s">
        <v>61</v>
      </c>
      <c r="D38" s="1" t="s">
        <v>61</v>
      </c>
      <c r="E38" s="2">
        <v>20203</v>
      </c>
      <c r="F38" s="18">
        <v>0</v>
      </c>
      <c r="G38" s="18">
        <v>0</v>
      </c>
      <c r="H38" s="18">
        <v>0</v>
      </c>
      <c r="I38" s="18">
        <v>25</v>
      </c>
      <c r="J38" s="18">
        <v>26</v>
      </c>
      <c r="K38" s="18">
        <v>26</v>
      </c>
      <c r="L38" s="11">
        <v>26</v>
      </c>
      <c r="M38" s="2">
        <f t="shared" si="6"/>
        <v>0</v>
      </c>
      <c r="N38" s="2">
        <f t="shared" si="7"/>
        <v>0</v>
      </c>
      <c r="O38" s="2">
        <f t="shared" si="8"/>
        <v>0</v>
      </c>
      <c r="P38" s="2">
        <f t="shared" si="9"/>
        <v>9</v>
      </c>
      <c r="Q38" s="2">
        <f t="shared" si="10"/>
        <v>3</v>
      </c>
      <c r="R38" s="2">
        <f t="shared" si="11"/>
        <v>5</v>
      </c>
      <c r="S38" s="2">
        <f t="shared" si="12"/>
        <v>5</v>
      </c>
      <c r="T38" s="11">
        <v>0</v>
      </c>
      <c r="U38" s="11">
        <v>0</v>
      </c>
      <c r="V38" s="11">
        <v>0</v>
      </c>
      <c r="W38" s="18">
        <v>34</v>
      </c>
      <c r="X38" s="18">
        <v>29</v>
      </c>
      <c r="Y38" s="23">
        <v>31</v>
      </c>
      <c r="Z38" s="18">
        <v>31</v>
      </c>
      <c r="AA38" s="18"/>
      <c r="AB38" s="18"/>
      <c r="AC38" s="18"/>
      <c r="AD38" s="11">
        <v>73.529411764705884</v>
      </c>
      <c r="AE38" s="11">
        <v>89.65517241379311</v>
      </c>
      <c r="AF38" s="11">
        <v>83.870967741935488</v>
      </c>
      <c r="AG38" s="11">
        <v>83.870967741935488</v>
      </c>
      <c r="AH38" s="11">
        <f t="shared" si="13"/>
        <v>73.529411764705884</v>
      </c>
      <c r="AI38" s="26">
        <f t="shared" si="14"/>
        <v>85.799035965888038</v>
      </c>
      <c r="AJ38" s="2">
        <f t="shared" si="15"/>
        <v>8.3333333333333339</v>
      </c>
      <c r="AK38" s="2">
        <f t="shared" si="16"/>
        <v>26</v>
      </c>
      <c r="AL38" s="2">
        <f t="shared" si="17"/>
        <v>3</v>
      </c>
      <c r="AM38" s="2">
        <f t="shared" si="18"/>
        <v>4.333333333333333</v>
      </c>
    </row>
    <row r="39" spans="1:39" x14ac:dyDescent="0.3">
      <c r="A39" s="1" t="s">
        <v>50</v>
      </c>
      <c r="B39" s="1" t="s">
        <v>57</v>
      </c>
      <c r="C39" s="1" t="s">
        <v>62</v>
      </c>
      <c r="D39" s="1" t="s">
        <v>62</v>
      </c>
      <c r="E39" s="2">
        <v>20204</v>
      </c>
      <c r="F39" s="18">
        <v>0</v>
      </c>
      <c r="G39" s="18">
        <v>0</v>
      </c>
      <c r="H39" s="18">
        <v>0</v>
      </c>
      <c r="I39" s="18">
        <v>42</v>
      </c>
      <c r="J39" s="18">
        <v>51</v>
      </c>
      <c r="K39" s="18">
        <v>48</v>
      </c>
      <c r="L39" s="11">
        <v>48</v>
      </c>
      <c r="M39" s="2">
        <f t="shared" si="6"/>
        <v>0</v>
      </c>
      <c r="N39" s="2">
        <f t="shared" si="7"/>
        <v>0</v>
      </c>
      <c r="O39" s="2">
        <f t="shared" si="8"/>
        <v>0</v>
      </c>
      <c r="P39" s="2">
        <f t="shared" si="9"/>
        <v>13</v>
      </c>
      <c r="Q39" s="2">
        <f t="shared" si="10"/>
        <v>8</v>
      </c>
      <c r="R39" s="2">
        <f t="shared" si="11"/>
        <v>11</v>
      </c>
      <c r="S39" s="2">
        <f t="shared" si="12"/>
        <v>11</v>
      </c>
      <c r="T39" s="11">
        <v>0</v>
      </c>
      <c r="U39" s="11">
        <v>0</v>
      </c>
      <c r="V39" s="11">
        <v>0</v>
      </c>
      <c r="W39" s="18">
        <v>55</v>
      </c>
      <c r="X39" s="18">
        <v>59</v>
      </c>
      <c r="Y39" s="23">
        <v>59</v>
      </c>
      <c r="Z39" s="18">
        <v>59</v>
      </c>
      <c r="AA39" s="18"/>
      <c r="AB39" s="18"/>
      <c r="AC39" s="18"/>
      <c r="AD39" s="11">
        <v>76.363636363636374</v>
      </c>
      <c r="AE39" s="11">
        <v>86.440677966101703</v>
      </c>
      <c r="AF39" s="11">
        <v>81.355932203389841</v>
      </c>
      <c r="AG39" s="11">
        <v>81.355932203389841</v>
      </c>
      <c r="AH39" s="11">
        <f t="shared" si="13"/>
        <v>76.363636363636374</v>
      </c>
      <c r="AI39" s="26">
        <f t="shared" si="14"/>
        <v>83.050847457627128</v>
      </c>
      <c r="AJ39" s="2">
        <f t="shared" si="15"/>
        <v>14</v>
      </c>
      <c r="AK39" s="2">
        <f t="shared" si="16"/>
        <v>49</v>
      </c>
      <c r="AL39" s="2">
        <f t="shared" si="17"/>
        <v>4.333333333333333</v>
      </c>
      <c r="AM39" s="2">
        <f t="shared" si="18"/>
        <v>10</v>
      </c>
    </row>
    <row r="40" spans="1:39" x14ac:dyDescent="0.3">
      <c r="A40" s="1" t="s">
        <v>50</v>
      </c>
      <c r="B40" s="1" t="s">
        <v>57</v>
      </c>
      <c r="C40" s="1" t="s">
        <v>63</v>
      </c>
      <c r="D40" s="1" t="s">
        <v>63</v>
      </c>
      <c r="E40" s="2">
        <v>20205</v>
      </c>
      <c r="F40" s="18">
        <v>0</v>
      </c>
      <c r="G40" s="18">
        <v>5</v>
      </c>
      <c r="H40" s="18">
        <v>6</v>
      </c>
      <c r="I40" s="18">
        <v>47</v>
      </c>
      <c r="J40" s="18">
        <v>48</v>
      </c>
      <c r="K40" s="18">
        <v>50</v>
      </c>
      <c r="L40" s="11">
        <v>54</v>
      </c>
      <c r="M40" s="2">
        <f t="shared" si="6"/>
        <v>0</v>
      </c>
      <c r="N40" s="2">
        <f t="shared" si="7"/>
        <v>1</v>
      </c>
      <c r="O40" s="2">
        <f t="shared" si="8"/>
        <v>1</v>
      </c>
      <c r="P40" s="2">
        <f t="shared" si="9"/>
        <v>16</v>
      </c>
      <c r="Q40" s="2">
        <f t="shared" si="10"/>
        <v>13</v>
      </c>
      <c r="R40" s="2">
        <f t="shared" si="11"/>
        <v>11</v>
      </c>
      <c r="S40" s="2">
        <f t="shared" si="12"/>
        <v>8</v>
      </c>
      <c r="T40" s="11">
        <v>0</v>
      </c>
      <c r="U40" s="11">
        <v>6</v>
      </c>
      <c r="V40" s="11">
        <v>7</v>
      </c>
      <c r="W40" s="18">
        <v>63</v>
      </c>
      <c r="X40" s="18">
        <v>61</v>
      </c>
      <c r="Y40" s="23">
        <v>61</v>
      </c>
      <c r="Z40" s="18">
        <v>62</v>
      </c>
      <c r="AA40" s="18"/>
      <c r="AB40" s="18">
        <v>83.333333333333343</v>
      </c>
      <c r="AC40" s="18">
        <v>85.714285714285708</v>
      </c>
      <c r="AD40" s="11">
        <v>74.603174603174608</v>
      </c>
      <c r="AE40" s="11">
        <v>78.688524590163937</v>
      </c>
      <c r="AF40" s="11">
        <v>81.967213114754102</v>
      </c>
      <c r="AG40" s="11">
        <v>87.096774193548384</v>
      </c>
      <c r="AH40" s="11">
        <f t="shared" si="13"/>
        <v>81.216931216931215</v>
      </c>
      <c r="AI40" s="26">
        <f t="shared" si="14"/>
        <v>82.584170632822136</v>
      </c>
      <c r="AJ40" s="2">
        <f t="shared" si="15"/>
        <v>19.333333333333332</v>
      </c>
      <c r="AK40" s="2">
        <f t="shared" si="16"/>
        <v>50.666666666666664</v>
      </c>
      <c r="AL40" s="2">
        <f t="shared" si="17"/>
        <v>6</v>
      </c>
      <c r="AM40" s="2">
        <f t="shared" si="18"/>
        <v>10.666666666666666</v>
      </c>
    </row>
    <row r="41" spans="1:39" x14ac:dyDescent="0.3">
      <c r="A41" s="1" t="s">
        <v>50</v>
      </c>
      <c r="B41" s="1" t="s">
        <v>57</v>
      </c>
      <c r="C41" s="1" t="s">
        <v>64</v>
      </c>
      <c r="D41" s="1" t="s">
        <v>64</v>
      </c>
      <c r="E41" s="2">
        <v>20206</v>
      </c>
      <c r="F41" s="18">
        <v>0</v>
      </c>
      <c r="G41" s="18">
        <v>0</v>
      </c>
      <c r="H41" s="18">
        <v>0</v>
      </c>
      <c r="I41" s="18">
        <v>16</v>
      </c>
      <c r="J41" s="18">
        <v>12</v>
      </c>
      <c r="K41" s="18">
        <v>12</v>
      </c>
      <c r="L41" s="11">
        <v>12</v>
      </c>
      <c r="M41" s="2">
        <f t="shared" si="6"/>
        <v>0</v>
      </c>
      <c r="N41" s="2">
        <f t="shared" si="7"/>
        <v>0</v>
      </c>
      <c r="O41" s="2">
        <f t="shared" si="8"/>
        <v>0</v>
      </c>
      <c r="P41" s="2">
        <f t="shared" si="9"/>
        <v>1</v>
      </c>
      <c r="Q41" s="2">
        <f t="shared" si="10"/>
        <v>2</v>
      </c>
      <c r="R41" s="2">
        <f t="shared" si="11"/>
        <v>2</v>
      </c>
      <c r="S41" s="2">
        <f t="shared" si="12"/>
        <v>2</v>
      </c>
      <c r="T41" s="11">
        <v>0</v>
      </c>
      <c r="U41" s="11">
        <v>0</v>
      </c>
      <c r="V41" s="11">
        <v>0</v>
      </c>
      <c r="W41" s="18">
        <v>17</v>
      </c>
      <c r="X41" s="18">
        <v>14</v>
      </c>
      <c r="Y41" s="23">
        <v>14</v>
      </c>
      <c r="Z41" s="18">
        <v>14</v>
      </c>
      <c r="AA41" s="18"/>
      <c r="AB41" s="18"/>
      <c r="AC41" s="18"/>
      <c r="AD41" s="11">
        <v>94.117647058823522</v>
      </c>
      <c r="AE41" s="11">
        <v>85.714285714285708</v>
      </c>
      <c r="AF41" s="11">
        <v>85.714285714285708</v>
      </c>
      <c r="AG41" s="11">
        <v>85.714285714285708</v>
      </c>
      <c r="AH41" s="11">
        <f t="shared" si="13"/>
        <v>94.117647058823522</v>
      </c>
      <c r="AI41" s="26">
        <f t="shared" si="14"/>
        <v>85.714285714285708</v>
      </c>
      <c r="AJ41" s="2">
        <f t="shared" si="15"/>
        <v>5.333333333333333</v>
      </c>
      <c r="AK41" s="2">
        <f t="shared" si="16"/>
        <v>12</v>
      </c>
      <c r="AL41" s="2">
        <f t="shared" si="17"/>
        <v>0.33333333333333331</v>
      </c>
      <c r="AM41" s="2">
        <f t="shared" si="18"/>
        <v>2</v>
      </c>
    </row>
    <row r="42" spans="1:39" x14ac:dyDescent="0.3">
      <c r="A42" s="1" t="s">
        <v>50</v>
      </c>
      <c r="B42" s="1" t="s">
        <v>65</v>
      </c>
      <c r="C42" s="1" t="s">
        <v>66</v>
      </c>
      <c r="D42" s="1" t="s">
        <v>67</v>
      </c>
      <c r="E42" s="2">
        <v>20301</v>
      </c>
      <c r="F42" s="18">
        <v>47</v>
      </c>
      <c r="G42" s="18">
        <v>46</v>
      </c>
      <c r="H42" s="18">
        <v>55</v>
      </c>
      <c r="I42" s="18">
        <v>57</v>
      </c>
      <c r="J42" s="18">
        <v>68</v>
      </c>
      <c r="K42" s="18">
        <v>76</v>
      </c>
      <c r="L42" s="11">
        <v>76</v>
      </c>
      <c r="M42" s="2">
        <f t="shared" si="6"/>
        <v>20</v>
      </c>
      <c r="N42" s="2">
        <f t="shared" si="7"/>
        <v>20</v>
      </c>
      <c r="O42" s="2">
        <f t="shared" si="8"/>
        <v>32</v>
      </c>
      <c r="P42" s="2">
        <f t="shared" si="9"/>
        <v>38</v>
      </c>
      <c r="Q42" s="2">
        <f t="shared" si="10"/>
        <v>39</v>
      </c>
      <c r="R42" s="2">
        <f t="shared" si="11"/>
        <v>37</v>
      </c>
      <c r="S42" s="2">
        <f t="shared" si="12"/>
        <v>36</v>
      </c>
      <c r="T42" s="11">
        <v>67</v>
      </c>
      <c r="U42" s="11">
        <v>66</v>
      </c>
      <c r="V42" s="11">
        <v>87</v>
      </c>
      <c r="W42" s="18">
        <v>95</v>
      </c>
      <c r="X42" s="18">
        <v>107</v>
      </c>
      <c r="Y42" s="23">
        <v>113</v>
      </c>
      <c r="Z42" s="18">
        <v>112</v>
      </c>
      <c r="AA42" s="18">
        <v>70.149253731343293</v>
      </c>
      <c r="AB42" s="18">
        <v>69.696969696969703</v>
      </c>
      <c r="AC42" s="18">
        <v>63.218390804597703</v>
      </c>
      <c r="AD42" s="11">
        <v>60</v>
      </c>
      <c r="AE42" s="11">
        <v>63.551401869158873</v>
      </c>
      <c r="AF42" s="11">
        <v>67.256637168141594</v>
      </c>
      <c r="AG42" s="11">
        <v>67.857142857142861</v>
      </c>
      <c r="AH42" s="11">
        <f t="shared" si="13"/>
        <v>64.305120167189145</v>
      </c>
      <c r="AI42" s="26">
        <f t="shared" si="14"/>
        <v>66.221727298147769</v>
      </c>
      <c r="AJ42" s="2">
        <f t="shared" si="15"/>
        <v>52.666666666666664</v>
      </c>
      <c r="AK42" s="2">
        <f t="shared" si="16"/>
        <v>73.333333333333329</v>
      </c>
      <c r="AL42" s="2">
        <f t="shared" si="17"/>
        <v>30</v>
      </c>
      <c r="AM42" s="2">
        <f t="shared" si="18"/>
        <v>37.333333333333336</v>
      </c>
    </row>
    <row r="43" spans="1:39" x14ac:dyDescent="0.3">
      <c r="A43" s="1" t="s">
        <v>50</v>
      </c>
      <c r="B43" s="1" t="s">
        <v>65</v>
      </c>
      <c r="C43" s="1" t="s">
        <v>68</v>
      </c>
      <c r="D43" s="1" t="s">
        <v>68</v>
      </c>
      <c r="E43" s="2">
        <v>20302</v>
      </c>
      <c r="F43" s="18">
        <v>40</v>
      </c>
      <c r="G43" s="18">
        <v>40</v>
      </c>
      <c r="H43" s="18">
        <v>52</v>
      </c>
      <c r="I43" s="18">
        <v>54</v>
      </c>
      <c r="J43" s="18">
        <v>61</v>
      </c>
      <c r="K43" s="18">
        <v>63</v>
      </c>
      <c r="L43" s="11">
        <v>63</v>
      </c>
      <c r="M43" s="2">
        <f t="shared" si="6"/>
        <v>20</v>
      </c>
      <c r="N43" s="2">
        <f t="shared" si="7"/>
        <v>21</v>
      </c>
      <c r="O43" s="2">
        <f t="shared" si="8"/>
        <v>32</v>
      </c>
      <c r="P43" s="2">
        <f t="shared" si="9"/>
        <v>30</v>
      </c>
      <c r="Q43" s="2">
        <f t="shared" si="10"/>
        <v>23</v>
      </c>
      <c r="R43" s="2">
        <f t="shared" si="11"/>
        <v>21</v>
      </c>
      <c r="S43" s="2">
        <f t="shared" si="12"/>
        <v>21</v>
      </c>
      <c r="T43" s="11">
        <v>60</v>
      </c>
      <c r="U43" s="11">
        <v>61</v>
      </c>
      <c r="V43" s="11">
        <v>84</v>
      </c>
      <c r="W43" s="18">
        <v>84</v>
      </c>
      <c r="X43" s="18">
        <v>84</v>
      </c>
      <c r="Y43" s="23">
        <v>84</v>
      </c>
      <c r="Z43" s="18">
        <v>84</v>
      </c>
      <c r="AA43" s="18">
        <v>66.666666666666657</v>
      </c>
      <c r="AB43" s="18">
        <v>65.573770491803273</v>
      </c>
      <c r="AC43" s="18">
        <v>61.904761904761905</v>
      </c>
      <c r="AD43" s="11">
        <v>64.285714285714292</v>
      </c>
      <c r="AE43" s="11">
        <v>72.61904761904762</v>
      </c>
      <c r="AF43" s="11">
        <v>75</v>
      </c>
      <c r="AG43" s="11">
        <v>75</v>
      </c>
      <c r="AH43" s="11">
        <f t="shared" si="13"/>
        <v>63.921415560759819</v>
      </c>
      <c r="AI43" s="26">
        <f t="shared" si="14"/>
        <v>74.206349206349202</v>
      </c>
      <c r="AJ43" s="2">
        <f t="shared" si="15"/>
        <v>48.666666666666664</v>
      </c>
      <c r="AK43" s="2">
        <f t="shared" si="16"/>
        <v>62.333333333333336</v>
      </c>
      <c r="AL43" s="2">
        <f t="shared" si="17"/>
        <v>27.666666666666668</v>
      </c>
      <c r="AM43" s="2">
        <f t="shared" si="18"/>
        <v>21.666666666666668</v>
      </c>
    </row>
    <row r="44" spans="1:39" x14ac:dyDescent="0.3">
      <c r="A44" s="1" t="s">
        <v>50</v>
      </c>
      <c r="B44" s="1" t="s">
        <v>65</v>
      </c>
      <c r="C44" s="1" t="s">
        <v>69</v>
      </c>
      <c r="D44" s="1" t="s">
        <v>69</v>
      </c>
      <c r="E44" s="2">
        <v>20303</v>
      </c>
      <c r="F44" s="18">
        <v>34</v>
      </c>
      <c r="G44" s="18">
        <v>35</v>
      </c>
      <c r="H44" s="18">
        <v>38</v>
      </c>
      <c r="I44" s="18">
        <v>43</v>
      </c>
      <c r="J44" s="18">
        <v>71</v>
      </c>
      <c r="K44" s="18">
        <v>71</v>
      </c>
      <c r="L44" s="11">
        <v>74</v>
      </c>
      <c r="M44" s="2">
        <f t="shared" si="6"/>
        <v>34</v>
      </c>
      <c r="N44" s="2">
        <f t="shared" si="7"/>
        <v>33</v>
      </c>
      <c r="O44" s="2">
        <f t="shared" si="8"/>
        <v>52</v>
      </c>
      <c r="P44" s="2">
        <f t="shared" si="9"/>
        <v>51</v>
      </c>
      <c r="Q44" s="2">
        <f t="shared" si="10"/>
        <v>30</v>
      </c>
      <c r="R44" s="2">
        <f t="shared" si="11"/>
        <v>31</v>
      </c>
      <c r="S44" s="2">
        <f t="shared" si="12"/>
        <v>28</v>
      </c>
      <c r="T44" s="11">
        <v>68</v>
      </c>
      <c r="U44" s="11">
        <v>68</v>
      </c>
      <c r="V44" s="11">
        <v>90</v>
      </c>
      <c r="W44" s="18">
        <v>94</v>
      </c>
      <c r="X44" s="18">
        <v>101</v>
      </c>
      <c r="Y44" s="23">
        <v>102</v>
      </c>
      <c r="Z44" s="18">
        <v>102</v>
      </c>
      <c r="AA44" s="18">
        <v>50</v>
      </c>
      <c r="AB44" s="18">
        <v>51.470588235294116</v>
      </c>
      <c r="AC44" s="18">
        <v>42.222222222222221</v>
      </c>
      <c r="AD44" s="11">
        <v>45.744680851063826</v>
      </c>
      <c r="AE44" s="11">
        <v>70.297029702970292</v>
      </c>
      <c r="AF44" s="11">
        <v>69.607843137254903</v>
      </c>
      <c r="AG44" s="11">
        <v>72.549019607843135</v>
      </c>
      <c r="AH44" s="11">
        <f t="shared" si="13"/>
        <v>46.479163769526728</v>
      </c>
      <c r="AI44" s="26">
        <f t="shared" si="14"/>
        <v>70.817964149356115</v>
      </c>
      <c r="AJ44" s="2">
        <f t="shared" si="15"/>
        <v>38.666666666666664</v>
      </c>
      <c r="AK44" s="2">
        <f t="shared" si="16"/>
        <v>72</v>
      </c>
      <c r="AL44" s="2">
        <f t="shared" si="17"/>
        <v>45.333333333333336</v>
      </c>
      <c r="AM44" s="2">
        <f t="shared" si="18"/>
        <v>29.666666666666668</v>
      </c>
    </row>
    <row r="45" spans="1:39" x14ac:dyDescent="0.3">
      <c r="A45" s="1" t="s">
        <v>50</v>
      </c>
      <c r="B45" s="1" t="s">
        <v>65</v>
      </c>
      <c r="C45" s="1" t="s">
        <v>70</v>
      </c>
      <c r="D45" s="1" t="s">
        <v>70</v>
      </c>
      <c r="E45" s="2">
        <v>20304</v>
      </c>
      <c r="F45" s="18">
        <v>18</v>
      </c>
      <c r="G45" s="18">
        <v>19</v>
      </c>
      <c r="H45" s="18">
        <v>22</v>
      </c>
      <c r="I45" s="18">
        <v>22</v>
      </c>
      <c r="J45" s="18">
        <v>33</v>
      </c>
      <c r="K45" s="18">
        <v>33</v>
      </c>
      <c r="L45" s="11">
        <v>32</v>
      </c>
      <c r="M45" s="2">
        <f t="shared" si="6"/>
        <v>9</v>
      </c>
      <c r="N45" s="2">
        <f t="shared" si="7"/>
        <v>9</v>
      </c>
      <c r="O45" s="2">
        <f t="shared" si="8"/>
        <v>15</v>
      </c>
      <c r="P45" s="2">
        <f t="shared" si="9"/>
        <v>15</v>
      </c>
      <c r="Q45" s="2">
        <f t="shared" si="10"/>
        <v>10</v>
      </c>
      <c r="R45" s="2">
        <f t="shared" si="11"/>
        <v>12</v>
      </c>
      <c r="S45" s="2">
        <f t="shared" si="12"/>
        <v>14</v>
      </c>
      <c r="T45" s="11">
        <v>27</v>
      </c>
      <c r="U45" s="11">
        <v>28</v>
      </c>
      <c r="V45" s="11">
        <v>37</v>
      </c>
      <c r="W45" s="18">
        <v>37</v>
      </c>
      <c r="X45" s="18">
        <v>43</v>
      </c>
      <c r="Y45" s="23">
        <v>45</v>
      </c>
      <c r="Z45" s="18">
        <v>46</v>
      </c>
      <c r="AA45" s="18">
        <v>66.666666666666657</v>
      </c>
      <c r="AB45" s="18">
        <v>67.857142857142861</v>
      </c>
      <c r="AC45" s="18">
        <v>59.45945945945946</v>
      </c>
      <c r="AD45" s="11">
        <v>59.45945945945946</v>
      </c>
      <c r="AE45" s="11">
        <v>76.744186046511629</v>
      </c>
      <c r="AF45" s="11">
        <v>73.333333333333329</v>
      </c>
      <c r="AG45" s="11">
        <v>69.565217391304344</v>
      </c>
      <c r="AH45" s="11">
        <f t="shared" si="13"/>
        <v>62.258687258687253</v>
      </c>
      <c r="AI45" s="26">
        <f t="shared" si="14"/>
        <v>73.214245590383101</v>
      </c>
      <c r="AJ45" s="2">
        <f t="shared" si="15"/>
        <v>21</v>
      </c>
      <c r="AK45" s="2">
        <f t="shared" si="16"/>
        <v>32.666666666666664</v>
      </c>
      <c r="AL45" s="2">
        <f t="shared" si="17"/>
        <v>13</v>
      </c>
      <c r="AM45" s="2">
        <f t="shared" si="18"/>
        <v>12</v>
      </c>
    </row>
    <row r="46" spans="1:39" x14ac:dyDescent="0.3">
      <c r="A46" s="1" t="s">
        <v>50</v>
      </c>
      <c r="B46" s="1" t="s">
        <v>65</v>
      </c>
      <c r="C46" s="1" t="s">
        <v>71</v>
      </c>
      <c r="D46" s="1" t="s">
        <v>71</v>
      </c>
      <c r="E46" s="2">
        <v>20305</v>
      </c>
      <c r="F46" s="18">
        <v>9</v>
      </c>
      <c r="G46" s="18">
        <v>9</v>
      </c>
      <c r="H46" s="18">
        <v>12</v>
      </c>
      <c r="I46" s="18">
        <v>13</v>
      </c>
      <c r="J46" s="18">
        <v>21</v>
      </c>
      <c r="K46" s="18">
        <v>22</v>
      </c>
      <c r="L46" s="11">
        <v>23</v>
      </c>
      <c r="M46" s="2">
        <f t="shared" si="6"/>
        <v>1</v>
      </c>
      <c r="N46" s="2">
        <f t="shared" si="7"/>
        <v>1</v>
      </c>
      <c r="O46" s="2">
        <f t="shared" si="8"/>
        <v>4</v>
      </c>
      <c r="P46" s="2">
        <f t="shared" si="9"/>
        <v>4</v>
      </c>
      <c r="Q46" s="2">
        <f t="shared" si="10"/>
        <v>5</v>
      </c>
      <c r="R46" s="2">
        <f t="shared" si="11"/>
        <v>4</v>
      </c>
      <c r="S46" s="2">
        <f t="shared" si="12"/>
        <v>4</v>
      </c>
      <c r="T46" s="11">
        <v>10</v>
      </c>
      <c r="U46" s="11">
        <v>10</v>
      </c>
      <c r="V46" s="11">
        <v>16</v>
      </c>
      <c r="W46" s="18">
        <v>17</v>
      </c>
      <c r="X46" s="18">
        <v>26</v>
      </c>
      <c r="Y46" s="23">
        <v>26</v>
      </c>
      <c r="Z46" s="18">
        <v>27</v>
      </c>
      <c r="AA46" s="18">
        <v>90</v>
      </c>
      <c r="AB46" s="18">
        <v>90</v>
      </c>
      <c r="AC46" s="18">
        <v>75</v>
      </c>
      <c r="AD46" s="11">
        <v>76.470588235294116</v>
      </c>
      <c r="AE46" s="11">
        <v>80.769230769230774</v>
      </c>
      <c r="AF46" s="11">
        <v>84.615384615384613</v>
      </c>
      <c r="AG46" s="11">
        <v>85.18518518518519</v>
      </c>
      <c r="AH46" s="11">
        <f t="shared" si="13"/>
        <v>80.490196078431367</v>
      </c>
      <c r="AI46" s="26">
        <f t="shared" si="14"/>
        <v>83.523266856600188</v>
      </c>
      <c r="AJ46" s="2">
        <f t="shared" si="15"/>
        <v>11.333333333333334</v>
      </c>
      <c r="AK46" s="2">
        <f t="shared" si="16"/>
        <v>22</v>
      </c>
      <c r="AL46" s="2">
        <f t="shared" si="17"/>
        <v>3</v>
      </c>
      <c r="AM46" s="2">
        <f t="shared" si="18"/>
        <v>4.333333333333333</v>
      </c>
    </row>
    <row r="47" spans="1:39" x14ac:dyDescent="0.3">
      <c r="A47" s="1" t="s">
        <v>50</v>
      </c>
      <c r="B47" s="1" t="s">
        <v>65</v>
      </c>
      <c r="C47" s="1" t="s">
        <v>72</v>
      </c>
      <c r="D47" s="1" t="s">
        <v>72</v>
      </c>
      <c r="E47" s="2">
        <v>20306</v>
      </c>
      <c r="F47" s="18">
        <v>10</v>
      </c>
      <c r="G47" s="18">
        <v>11</v>
      </c>
      <c r="H47" s="18">
        <v>11</v>
      </c>
      <c r="I47" s="18">
        <v>11</v>
      </c>
      <c r="J47" s="18">
        <v>13</v>
      </c>
      <c r="K47" s="18">
        <v>13</v>
      </c>
      <c r="L47" s="11">
        <v>13</v>
      </c>
      <c r="M47" s="2">
        <f t="shared" si="6"/>
        <v>2</v>
      </c>
      <c r="N47" s="2">
        <f t="shared" si="7"/>
        <v>1</v>
      </c>
      <c r="O47" s="2">
        <f t="shared" si="8"/>
        <v>5</v>
      </c>
      <c r="P47" s="2">
        <f t="shared" si="9"/>
        <v>5</v>
      </c>
      <c r="Q47" s="2">
        <f t="shared" si="10"/>
        <v>4</v>
      </c>
      <c r="R47" s="2">
        <f t="shared" si="11"/>
        <v>4</v>
      </c>
      <c r="S47" s="2">
        <f t="shared" si="12"/>
        <v>5</v>
      </c>
      <c r="T47" s="11">
        <v>12</v>
      </c>
      <c r="U47" s="11">
        <v>12</v>
      </c>
      <c r="V47" s="11">
        <v>16</v>
      </c>
      <c r="W47" s="18">
        <v>16</v>
      </c>
      <c r="X47" s="18">
        <v>17</v>
      </c>
      <c r="Y47" s="23">
        <v>17</v>
      </c>
      <c r="Z47" s="18">
        <v>18</v>
      </c>
      <c r="AA47" s="18">
        <v>83.333333333333343</v>
      </c>
      <c r="AB47" s="18">
        <v>91.666666666666657</v>
      </c>
      <c r="AC47" s="18">
        <v>68.75</v>
      </c>
      <c r="AD47" s="11">
        <v>68.75</v>
      </c>
      <c r="AE47" s="11">
        <v>76.470588235294116</v>
      </c>
      <c r="AF47" s="11">
        <v>76.470588235294116</v>
      </c>
      <c r="AG47" s="11">
        <v>72.222222222222214</v>
      </c>
      <c r="AH47" s="11">
        <f t="shared" si="13"/>
        <v>76.388888888888886</v>
      </c>
      <c r="AI47" s="26">
        <f t="shared" si="14"/>
        <v>75.054466230936825</v>
      </c>
      <c r="AJ47" s="2">
        <f t="shared" si="15"/>
        <v>11</v>
      </c>
      <c r="AK47" s="2">
        <f t="shared" si="16"/>
        <v>13</v>
      </c>
      <c r="AL47" s="2">
        <f t="shared" si="17"/>
        <v>3.6666666666666665</v>
      </c>
      <c r="AM47" s="2">
        <f t="shared" si="18"/>
        <v>4.333333333333333</v>
      </c>
    </row>
    <row r="48" spans="1:39" x14ac:dyDescent="0.3">
      <c r="A48" s="1" t="s">
        <v>50</v>
      </c>
      <c r="B48" s="1" t="s">
        <v>65</v>
      </c>
      <c r="C48" s="1" t="s">
        <v>73</v>
      </c>
      <c r="D48" s="1" t="s">
        <v>73</v>
      </c>
      <c r="E48" s="2">
        <v>20307</v>
      </c>
      <c r="F48" s="18">
        <v>3</v>
      </c>
      <c r="G48" s="18">
        <v>3</v>
      </c>
      <c r="H48" s="18">
        <v>3</v>
      </c>
      <c r="I48" s="18">
        <v>4</v>
      </c>
      <c r="J48" s="18">
        <v>4</v>
      </c>
      <c r="K48" s="18">
        <v>4</v>
      </c>
      <c r="L48" s="11">
        <v>4</v>
      </c>
      <c r="M48" s="2">
        <f t="shared" si="6"/>
        <v>2</v>
      </c>
      <c r="N48" s="2">
        <f t="shared" si="7"/>
        <v>2</v>
      </c>
      <c r="O48" s="2">
        <f t="shared" si="8"/>
        <v>2</v>
      </c>
      <c r="P48" s="2">
        <f t="shared" si="9"/>
        <v>1</v>
      </c>
      <c r="Q48" s="2">
        <f t="shared" si="10"/>
        <v>5</v>
      </c>
      <c r="R48" s="2">
        <f t="shared" si="11"/>
        <v>5</v>
      </c>
      <c r="S48" s="2">
        <f t="shared" si="12"/>
        <v>5</v>
      </c>
      <c r="T48" s="11">
        <v>5</v>
      </c>
      <c r="U48" s="11">
        <v>5</v>
      </c>
      <c r="V48" s="11">
        <v>5</v>
      </c>
      <c r="W48" s="18">
        <v>5</v>
      </c>
      <c r="X48" s="18">
        <v>9</v>
      </c>
      <c r="Y48" s="23">
        <v>9</v>
      </c>
      <c r="Z48" s="18">
        <v>9</v>
      </c>
      <c r="AA48" s="18">
        <v>60</v>
      </c>
      <c r="AB48" s="18">
        <v>60</v>
      </c>
      <c r="AC48" s="18">
        <v>60</v>
      </c>
      <c r="AD48" s="11">
        <v>80</v>
      </c>
      <c r="AE48" s="11">
        <v>44.444444444444443</v>
      </c>
      <c r="AF48" s="11">
        <v>44.444444444444443</v>
      </c>
      <c r="AG48" s="11">
        <v>44.444444444444443</v>
      </c>
      <c r="AH48" s="11">
        <f t="shared" si="13"/>
        <v>66.666666666666671</v>
      </c>
      <c r="AI48" s="26">
        <f t="shared" si="14"/>
        <v>44.444444444444436</v>
      </c>
      <c r="AJ48" s="2">
        <f t="shared" si="15"/>
        <v>3.3333333333333335</v>
      </c>
      <c r="AK48" s="2">
        <f t="shared" si="16"/>
        <v>4</v>
      </c>
      <c r="AL48" s="2">
        <f t="shared" si="17"/>
        <v>1.6666666666666667</v>
      </c>
      <c r="AM48" s="2">
        <f t="shared" si="18"/>
        <v>5</v>
      </c>
    </row>
    <row r="49" spans="1:39" x14ac:dyDescent="0.3">
      <c r="A49" s="1" t="s">
        <v>50</v>
      </c>
      <c r="B49" s="1" t="s">
        <v>65</v>
      </c>
      <c r="C49" s="1" t="s">
        <v>74</v>
      </c>
      <c r="D49" s="1" t="s">
        <v>74</v>
      </c>
      <c r="E49" s="2">
        <v>20308</v>
      </c>
      <c r="F49" s="18">
        <v>20</v>
      </c>
      <c r="G49" s="18">
        <v>21</v>
      </c>
      <c r="H49" s="18">
        <v>20</v>
      </c>
      <c r="I49" s="18">
        <v>23</v>
      </c>
      <c r="J49" s="18">
        <v>42</v>
      </c>
      <c r="K49" s="18">
        <v>40</v>
      </c>
      <c r="L49" s="11">
        <v>42</v>
      </c>
      <c r="M49" s="2">
        <f t="shared" si="6"/>
        <v>13</v>
      </c>
      <c r="N49" s="2">
        <f t="shared" si="7"/>
        <v>12</v>
      </c>
      <c r="O49" s="2">
        <f t="shared" si="8"/>
        <v>27</v>
      </c>
      <c r="P49" s="2">
        <f t="shared" si="9"/>
        <v>26</v>
      </c>
      <c r="Q49" s="2">
        <f t="shared" si="10"/>
        <v>16</v>
      </c>
      <c r="R49" s="2">
        <f t="shared" si="11"/>
        <v>18</v>
      </c>
      <c r="S49" s="2">
        <f t="shared" si="12"/>
        <v>16</v>
      </c>
      <c r="T49" s="11">
        <v>33</v>
      </c>
      <c r="U49" s="11">
        <v>33</v>
      </c>
      <c r="V49" s="11">
        <v>47</v>
      </c>
      <c r="W49" s="18">
        <v>49</v>
      </c>
      <c r="X49" s="18">
        <v>58</v>
      </c>
      <c r="Y49" s="23">
        <v>58</v>
      </c>
      <c r="Z49" s="18">
        <v>58</v>
      </c>
      <c r="AA49" s="18">
        <v>60.606060606060609</v>
      </c>
      <c r="AB49" s="18">
        <v>63.636363636363633</v>
      </c>
      <c r="AC49" s="18">
        <v>42.553191489361701</v>
      </c>
      <c r="AD49" s="11">
        <v>46.938775510204081</v>
      </c>
      <c r="AE49" s="11">
        <v>72.41379310344827</v>
      </c>
      <c r="AF49" s="11">
        <v>68.965517241379317</v>
      </c>
      <c r="AG49" s="11">
        <v>72.41379310344827</v>
      </c>
      <c r="AH49" s="11">
        <f t="shared" si="13"/>
        <v>51.042776878643139</v>
      </c>
      <c r="AI49" s="26">
        <f t="shared" si="14"/>
        <v>71.264367816091962</v>
      </c>
      <c r="AJ49" s="2">
        <f t="shared" si="15"/>
        <v>21.333333333333332</v>
      </c>
      <c r="AK49" s="2">
        <f t="shared" si="16"/>
        <v>41.333333333333336</v>
      </c>
      <c r="AL49" s="2">
        <f t="shared" si="17"/>
        <v>21.666666666666668</v>
      </c>
      <c r="AM49" s="2">
        <f t="shared" si="18"/>
        <v>16.666666666666668</v>
      </c>
    </row>
    <row r="50" spans="1:39" x14ac:dyDescent="0.3">
      <c r="A50" s="1" t="s">
        <v>50</v>
      </c>
      <c r="B50" s="1" t="s">
        <v>75</v>
      </c>
      <c r="C50" s="1" t="s">
        <v>76</v>
      </c>
      <c r="D50" s="1" t="s">
        <v>76</v>
      </c>
      <c r="E50" s="2">
        <v>20401</v>
      </c>
      <c r="F50" s="18">
        <v>74</v>
      </c>
      <c r="G50" s="18">
        <v>76</v>
      </c>
      <c r="H50" s="18">
        <v>100</v>
      </c>
      <c r="I50" s="18">
        <v>57</v>
      </c>
      <c r="J50" s="18">
        <v>75</v>
      </c>
      <c r="K50" s="18">
        <v>78</v>
      </c>
      <c r="L50" s="11">
        <v>81</v>
      </c>
      <c r="M50" s="2">
        <f t="shared" si="6"/>
        <v>41</v>
      </c>
      <c r="N50" s="2">
        <f t="shared" si="7"/>
        <v>39</v>
      </c>
      <c r="O50" s="2">
        <f t="shared" si="8"/>
        <v>69</v>
      </c>
      <c r="P50" s="2">
        <f t="shared" si="9"/>
        <v>29</v>
      </c>
      <c r="Q50" s="2">
        <f t="shared" si="10"/>
        <v>20</v>
      </c>
      <c r="R50" s="2">
        <f t="shared" si="11"/>
        <v>22</v>
      </c>
      <c r="S50" s="2">
        <f t="shared" si="12"/>
        <v>21</v>
      </c>
      <c r="T50" s="11">
        <v>115</v>
      </c>
      <c r="U50" s="11">
        <v>115</v>
      </c>
      <c r="V50" s="11">
        <v>169</v>
      </c>
      <c r="W50" s="18">
        <v>86</v>
      </c>
      <c r="X50" s="18">
        <v>95</v>
      </c>
      <c r="Y50" s="23">
        <v>100</v>
      </c>
      <c r="Z50" s="18">
        <v>102</v>
      </c>
      <c r="AA50" s="18">
        <v>64.347826086956516</v>
      </c>
      <c r="AB50" s="18">
        <v>66.086956521739125</v>
      </c>
      <c r="AC50" s="18">
        <v>59.171597633136095</v>
      </c>
      <c r="AD50" s="11">
        <v>66.279069767441854</v>
      </c>
      <c r="AE50" s="11">
        <v>78.94736842105263</v>
      </c>
      <c r="AF50" s="11">
        <v>78</v>
      </c>
      <c r="AG50" s="11">
        <v>79.411764705882348</v>
      </c>
      <c r="AH50" s="11">
        <f t="shared" si="13"/>
        <v>63.845874640772358</v>
      </c>
      <c r="AI50" s="26">
        <f t="shared" si="14"/>
        <v>78.786377708978321</v>
      </c>
      <c r="AJ50" s="2">
        <f t="shared" si="15"/>
        <v>77.666666666666671</v>
      </c>
      <c r="AK50" s="2">
        <f t="shared" si="16"/>
        <v>78</v>
      </c>
      <c r="AL50" s="2">
        <f t="shared" si="17"/>
        <v>45.666666666666664</v>
      </c>
      <c r="AM50" s="2">
        <f t="shared" si="18"/>
        <v>21</v>
      </c>
    </row>
    <row r="51" spans="1:39" x14ac:dyDescent="0.3">
      <c r="A51" s="1" t="s">
        <v>50</v>
      </c>
      <c r="B51" s="1" t="s">
        <v>75</v>
      </c>
      <c r="C51" s="1" t="s">
        <v>77</v>
      </c>
      <c r="D51" s="1" t="s">
        <v>77</v>
      </c>
      <c r="E51" s="2">
        <v>20402</v>
      </c>
      <c r="F51" s="18">
        <v>49</v>
      </c>
      <c r="G51" s="18">
        <v>54</v>
      </c>
      <c r="H51" s="18">
        <v>55</v>
      </c>
      <c r="I51" s="18">
        <v>64</v>
      </c>
      <c r="J51" s="18">
        <v>97</v>
      </c>
      <c r="K51" s="18">
        <v>104</v>
      </c>
      <c r="L51" s="11">
        <v>106</v>
      </c>
      <c r="M51" s="2">
        <f t="shared" si="6"/>
        <v>27</v>
      </c>
      <c r="N51" s="2">
        <f t="shared" si="7"/>
        <v>28</v>
      </c>
      <c r="O51" s="2">
        <f t="shared" si="8"/>
        <v>62</v>
      </c>
      <c r="P51" s="2">
        <f t="shared" si="9"/>
        <v>53</v>
      </c>
      <c r="Q51" s="2">
        <f t="shared" si="10"/>
        <v>27</v>
      </c>
      <c r="R51" s="2">
        <f t="shared" si="11"/>
        <v>27</v>
      </c>
      <c r="S51" s="2">
        <f t="shared" si="12"/>
        <v>29</v>
      </c>
      <c r="T51" s="11">
        <v>76</v>
      </c>
      <c r="U51" s="11">
        <v>82</v>
      </c>
      <c r="V51" s="11">
        <v>117</v>
      </c>
      <c r="W51" s="18">
        <v>117</v>
      </c>
      <c r="X51" s="18">
        <v>124</v>
      </c>
      <c r="Y51" s="23">
        <v>131</v>
      </c>
      <c r="Z51" s="18">
        <v>135</v>
      </c>
      <c r="AA51" s="18">
        <v>64.473684210526315</v>
      </c>
      <c r="AB51" s="18">
        <v>65.853658536585371</v>
      </c>
      <c r="AC51" s="18">
        <v>47.008547008547005</v>
      </c>
      <c r="AD51" s="11">
        <v>54.700854700854705</v>
      </c>
      <c r="AE51" s="11">
        <v>78.225806451612897</v>
      </c>
      <c r="AF51" s="11">
        <v>79.389312977099237</v>
      </c>
      <c r="AG51" s="11">
        <v>78.518518518518519</v>
      </c>
      <c r="AH51" s="11">
        <f t="shared" si="13"/>
        <v>55.85435341532903</v>
      </c>
      <c r="AI51" s="26">
        <f t="shared" si="14"/>
        <v>78.711212649076899</v>
      </c>
      <c r="AJ51" s="2">
        <f t="shared" si="15"/>
        <v>57.666666666666664</v>
      </c>
      <c r="AK51" s="2">
        <f t="shared" si="16"/>
        <v>102.33333333333333</v>
      </c>
      <c r="AL51" s="2">
        <f t="shared" si="17"/>
        <v>47.666666666666664</v>
      </c>
      <c r="AM51" s="2">
        <f t="shared" si="18"/>
        <v>27.666666666666668</v>
      </c>
    </row>
    <row r="52" spans="1:39" x14ac:dyDescent="0.3">
      <c r="A52" s="1" t="s">
        <v>50</v>
      </c>
      <c r="B52" s="1" t="s">
        <v>75</v>
      </c>
      <c r="C52" s="1" t="s">
        <v>78</v>
      </c>
      <c r="D52" s="1" t="s">
        <v>79</v>
      </c>
      <c r="E52" s="2">
        <v>20403</v>
      </c>
      <c r="F52" s="18">
        <v>38</v>
      </c>
      <c r="G52" s="18">
        <v>42</v>
      </c>
      <c r="H52" s="18">
        <v>51</v>
      </c>
      <c r="I52" s="18">
        <v>52</v>
      </c>
      <c r="J52" s="18">
        <v>85</v>
      </c>
      <c r="K52" s="18">
        <v>88</v>
      </c>
      <c r="L52" s="11">
        <v>90</v>
      </c>
      <c r="M52" s="2">
        <f t="shared" si="6"/>
        <v>35</v>
      </c>
      <c r="N52" s="2">
        <f t="shared" si="7"/>
        <v>39</v>
      </c>
      <c r="O52" s="2">
        <f t="shared" si="8"/>
        <v>54</v>
      </c>
      <c r="P52" s="2">
        <f t="shared" si="9"/>
        <v>53</v>
      </c>
      <c r="Q52" s="2">
        <f t="shared" si="10"/>
        <v>35</v>
      </c>
      <c r="R52" s="2">
        <f t="shared" si="11"/>
        <v>33</v>
      </c>
      <c r="S52" s="2">
        <f t="shared" si="12"/>
        <v>31</v>
      </c>
      <c r="T52" s="11">
        <v>73</v>
      </c>
      <c r="U52" s="11">
        <v>81</v>
      </c>
      <c r="V52" s="11">
        <v>105</v>
      </c>
      <c r="W52" s="18">
        <v>105</v>
      </c>
      <c r="X52" s="18">
        <v>120</v>
      </c>
      <c r="Y52" s="23">
        <v>121</v>
      </c>
      <c r="Z52" s="18">
        <v>121</v>
      </c>
      <c r="AA52" s="18">
        <v>52.054794520547944</v>
      </c>
      <c r="AB52" s="18">
        <v>51.851851851851848</v>
      </c>
      <c r="AC52" s="18">
        <v>48.571428571428569</v>
      </c>
      <c r="AD52" s="11">
        <v>49.523809523809526</v>
      </c>
      <c r="AE52" s="11">
        <v>70.833333333333343</v>
      </c>
      <c r="AF52" s="11">
        <v>72.727272727272734</v>
      </c>
      <c r="AG52" s="11">
        <v>74.380165289256198</v>
      </c>
      <c r="AH52" s="11">
        <f t="shared" si="13"/>
        <v>49.982363315696652</v>
      </c>
      <c r="AI52" s="26">
        <f t="shared" si="14"/>
        <v>72.64692378328742</v>
      </c>
      <c r="AJ52" s="2">
        <f t="shared" si="15"/>
        <v>48.333333333333336</v>
      </c>
      <c r="AK52" s="2">
        <f t="shared" si="16"/>
        <v>87.666666666666671</v>
      </c>
      <c r="AL52" s="2">
        <f t="shared" si="17"/>
        <v>48.666666666666664</v>
      </c>
      <c r="AM52" s="2">
        <f t="shared" si="18"/>
        <v>33</v>
      </c>
    </row>
    <row r="53" spans="1:39" x14ac:dyDescent="0.3">
      <c r="A53" s="1" t="s">
        <v>50</v>
      </c>
      <c r="B53" s="1" t="s">
        <v>75</v>
      </c>
      <c r="C53" s="1" t="s">
        <v>80</v>
      </c>
      <c r="D53" s="1" t="s">
        <v>80</v>
      </c>
      <c r="E53" s="2">
        <v>20404</v>
      </c>
      <c r="F53" s="18">
        <v>0</v>
      </c>
      <c r="G53" s="18">
        <v>0</v>
      </c>
      <c r="H53" s="18">
        <v>0</v>
      </c>
      <c r="I53" s="18">
        <v>20</v>
      </c>
      <c r="J53" s="18">
        <v>37</v>
      </c>
      <c r="K53" s="18">
        <v>38</v>
      </c>
      <c r="L53" s="11">
        <v>38</v>
      </c>
      <c r="M53" s="2">
        <f t="shared" si="6"/>
        <v>0</v>
      </c>
      <c r="N53" s="2">
        <f t="shared" si="7"/>
        <v>0</v>
      </c>
      <c r="O53" s="2">
        <f t="shared" si="8"/>
        <v>0</v>
      </c>
      <c r="P53" s="2">
        <f t="shared" si="9"/>
        <v>13</v>
      </c>
      <c r="Q53" s="2">
        <f t="shared" si="10"/>
        <v>6</v>
      </c>
      <c r="R53" s="2">
        <f t="shared" si="11"/>
        <v>5</v>
      </c>
      <c r="S53" s="2">
        <f t="shared" si="12"/>
        <v>7</v>
      </c>
      <c r="T53" s="11">
        <v>0</v>
      </c>
      <c r="U53" s="11">
        <v>0</v>
      </c>
      <c r="V53" s="11">
        <v>0</v>
      </c>
      <c r="W53" s="18">
        <v>33</v>
      </c>
      <c r="X53" s="18">
        <v>43</v>
      </c>
      <c r="Y53" s="23">
        <v>43</v>
      </c>
      <c r="Z53" s="18">
        <v>45</v>
      </c>
      <c r="AA53" s="18"/>
      <c r="AB53" s="18"/>
      <c r="AC53" s="18"/>
      <c r="AD53" s="11">
        <v>60.606060606060609</v>
      </c>
      <c r="AE53" s="11">
        <v>86.04651162790698</v>
      </c>
      <c r="AF53" s="11">
        <v>88.372093023255815</v>
      </c>
      <c r="AG53" s="11">
        <v>84.444444444444443</v>
      </c>
      <c r="AH53" s="11">
        <f t="shared" si="13"/>
        <v>60.606060606060609</v>
      </c>
      <c r="AI53" s="26">
        <f t="shared" si="14"/>
        <v>86.287683031869093</v>
      </c>
      <c r="AJ53" s="2">
        <f t="shared" si="15"/>
        <v>6.666666666666667</v>
      </c>
      <c r="AK53" s="2">
        <f t="shared" si="16"/>
        <v>37.666666666666664</v>
      </c>
      <c r="AL53" s="2">
        <f t="shared" si="17"/>
        <v>4.333333333333333</v>
      </c>
      <c r="AM53" s="2">
        <f t="shared" si="18"/>
        <v>6</v>
      </c>
    </row>
    <row r="54" spans="1:39" x14ac:dyDescent="0.3">
      <c r="A54" s="1" t="s">
        <v>50</v>
      </c>
      <c r="B54" s="1" t="s">
        <v>75</v>
      </c>
      <c r="C54" s="1" t="s">
        <v>81</v>
      </c>
      <c r="D54" s="1" t="s">
        <v>81</v>
      </c>
      <c r="E54" s="2">
        <v>20405</v>
      </c>
      <c r="F54" s="18">
        <v>0</v>
      </c>
      <c r="G54" s="18">
        <v>0</v>
      </c>
      <c r="H54" s="18">
        <v>0</v>
      </c>
      <c r="I54" s="18">
        <v>37</v>
      </c>
      <c r="J54" s="18">
        <v>49</v>
      </c>
      <c r="K54" s="18">
        <v>49</v>
      </c>
      <c r="L54" s="11">
        <v>51</v>
      </c>
      <c r="M54" s="2">
        <f t="shared" si="6"/>
        <v>0</v>
      </c>
      <c r="N54" s="2">
        <f t="shared" si="7"/>
        <v>0</v>
      </c>
      <c r="O54" s="2">
        <f t="shared" si="8"/>
        <v>0</v>
      </c>
      <c r="P54" s="2">
        <f t="shared" si="9"/>
        <v>17</v>
      </c>
      <c r="Q54" s="2">
        <f t="shared" si="10"/>
        <v>17</v>
      </c>
      <c r="R54" s="2">
        <f t="shared" si="11"/>
        <v>18</v>
      </c>
      <c r="S54" s="2">
        <f t="shared" si="12"/>
        <v>17</v>
      </c>
      <c r="T54" s="11">
        <v>0</v>
      </c>
      <c r="U54" s="11">
        <v>0</v>
      </c>
      <c r="V54" s="11">
        <v>0</v>
      </c>
      <c r="W54" s="18">
        <v>54</v>
      </c>
      <c r="X54" s="18">
        <v>66</v>
      </c>
      <c r="Y54" s="23">
        <v>67</v>
      </c>
      <c r="Z54" s="18">
        <v>68</v>
      </c>
      <c r="AA54" s="18"/>
      <c r="AB54" s="18"/>
      <c r="AC54" s="18"/>
      <c r="AD54" s="11">
        <v>68.518518518518519</v>
      </c>
      <c r="AE54" s="11">
        <v>74.242424242424249</v>
      </c>
      <c r="AF54" s="11">
        <v>73.134328358208961</v>
      </c>
      <c r="AG54" s="11">
        <v>75</v>
      </c>
      <c r="AH54" s="11">
        <f t="shared" si="13"/>
        <v>68.518518518518519</v>
      </c>
      <c r="AI54" s="26">
        <f t="shared" si="14"/>
        <v>74.125584200211065</v>
      </c>
      <c r="AJ54" s="2">
        <f t="shared" si="15"/>
        <v>12.333333333333334</v>
      </c>
      <c r="AK54" s="2">
        <f t="shared" si="16"/>
        <v>49.666666666666664</v>
      </c>
      <c r="AL54" s="2">
        <f t="shared" si="17"/>
        <v>5.666666666666667</v>
      </c>
      <c r="AM54" s="2">
        <f t="shared" si="18"/>
        <v>17.333333333333332</v>
      </c>
    </row>
    <row r="55" spans="1:39" x14ac:dyDescent="0.3">
      <c r="A55" s="1" t="s">
        <v>50</v>
      </c>
      <c r="B55" s="1" t="s">
        <v>82</v>
      </c>
      <c r="C55" s="1" t="s">
        <v>83</v>
      </c>
      <c r="D55" s="1" t="s">
        <v>83</v>
      </c>
      <c r="E55" s="2">
        <v>20501</v>
      </c>
      <c r="F55" s="18">
        <v>32</v>
      </c>
      <c r="G55" s="18">
        <v>35</v>
      </c>
      <c r="H55" s="18">
        <v>41</v>
      </c>
      <c r="I55" s="18">
        <v>47</v>
      </c>
      <c r="J55" s="18">
        <v>69</v>
      </c>
      <c r="K55" s="18">
        <v>73</v>
      </c>
      <c r="L55" s="11">
        <v>70</v>
      </c>
      <c r="M55" s="2">
        <f t="shared" si="6"/>
        <v>7</v>
      </c>
      <c r="N55" s="2">
        <f t="shared" si="7"/>
        <v>7</v>
      </c>
      <c r="O55" s="2">
        <f t="shared" si="8"/>
        <v>29</v>
      </c>
      <c r="P55" s="2">
        <f t="shared" si="9"/>
        <v>25</v>
      </c>
      <c r="Q55" s="2">
        <f t="shared" si="10"/>
        <v>19</v>
      </c>
      <c r="R55" s="2">
        <f t="shared" si="11"/>
        <v>15</v>
      </c>
      <c r="S55" s="2">
        <f t="shared" si="12"/>
        <v>18</v>
      </c>
      <c r="T55" s="11">
        <v>39</v>
      </c>
      <c r="U55" s="11">
        <v>42</v>
      </c>
      <c r="V55" s="11">
        <v>70</v>
      </c>
      <c r="W55" s="18">
        <v>72</v>
      </c>
      <c r="X55" s="18">
        <v>88</v>
      </c>
      <c r="Y55" s="23">
        <v>88</v>
      </c>
      <c r="Z55" s="18">
        <v>88</v>
      </c>
      <c r="AA55" s="18">
        <v>82.051282051282044</v>
      </c>
      <c r="AB55" s="18">
        <v>83.333333333333343</v>
      </c>
      <c r="AC55" s="18">
        <v>58.571428571428577</v>
      </c>
      <c r="AD55" s="11">
        <v>65.277777777777786</v>
      </c>
      <c r="AE55" s="11">
        <v>78.409090909090907</v>
      </c>
      <c r="AF55" s="11">
        <v>82.954545454545453</v>
      </c>
      <c r="AG55" s="11">
        <v>79.545454545454547</v>
      </c>
      <c r="AH55" s="11">
        <f t="shared" si="13"/>
        <v>69.060846560846571</v>
      </c>
      <c r="AI55" s="26">
        <f t="shared" si="14"/>
        <v>80.303030303030312</v>
      </c>
      <c r="AJ55" s="2">
        <f t="shared" si="15"/>
        <v>41</v>
      </c>
      <c r="AK55" s="2">
        <f t="shared" si="16"/>
        <v>70.666666666666671</v>
      </c>
      <c r="AL55" s="2">
        <f t="shared" si="17"/>
        <v>20.333333333333332</v>
      </c>
      <c r="AM55" s="2">
        <f t="shared" si="18"/>
        <v>17.333333333333332</v>
      </c>
    </row>
    <row r="56" spans="1:39" x14ac:dyDescent="0.3">
      <c r="A56" s="1" t="s">
        <v>50</v>
      </c>
      <c r="B56" s="1" t="s">
        <v>82</v>
      </c>
      <c r="C56" s="1" t="s">
        <v>84</v>
      </c>
      <c r="D56" s="1" t="s">
        <v>84</v>
      </c>
      <c r="E56" s="2">
        <v>20502</v>
      </c>
      <c r="F56" s="18">
        <v>16</v>
      </c>
      <c r="G56" s="18">
        <v>24</v>
      </c>
      <c r="H56" s="18">
        <v>35</v>
      </c>
      <c r="I56" s="18">
        <v>44</v>
      </c>
      <c r="J56" s="18">
        <v>62</v>
      </c>
      <c r="K56" s="18">
        <v>62</v>
      </c>
      <c r="L56" s="11">
        <v>63</v>
      </c>
      <c r="M56" s="2">
        <f t="shared" si="6"/>
        <v>15</v>
      </c>
      <c r="N56" s="2">
        <f t="shared" si="7"/>
        <v>8</v>
      </c>
      <c r="O56" s="2">
        <f t="shared" si="8"/>
        <v>17</v>
      </c>
      <c r="P56" s="2">
        <f t="shared" si="9"/>
        <v>13</v>
      </c>
      <c r="Q56" s="2">
        <f t="shared" si="10"/>
        <v>14</v>
      </c>
      <c r="R56" s="2">
        <f t="shared" si="11"/>
        <v>15</v>
      </c>
      <c r="S56" s="2">
        <f t="shared" si="12"/>
        <v>15</v>
      </c>
      <c r="T56" s="11">
        <v>31</v>
      </c>
      <c r="U56" s="11">
        <v>32</v>
      </c>
      <c r="V56" s="11">
        <v>52</v>
      </c>
      <c r="W56" s="18">
        <v>57</v>
      </c>
      <c r="X56" s="18">
        <v>76</v>
      </c>
      <c r="Y56" s="23">
        <v>77</v>
      </c>
      <c r="Z56" s="18">
        <v>78</v>
      </c>
      <c r="AA56" s="18">
        <v>51.612903225806448</v>
      </c>
      <c r="AB56" s="18">
        <v>75</v>
      </c>
      <c r="AC56" s="18">
        <v>67.307692307692307</v>
      </c>
      <c r="AD56" s="11">
        <v>77.192982456140342</v>
      </c>
      <c r="AE56" s="11">
        <v>81.578947368421055</v>
      </c>
      <c r="AF56" s="11">
        <v>80.519480519480524</v>
      </c>
      <c r="AG56" s="11">
        <v>80.769230769230774</v>
      </c>
      <c r="AH56" s="11">
        <f t="shared" si="13"/>
        <v>73.166891587944221</v>
      </c>
      <c r="AI56" s="26">
        <f t="shared" si="14"/>
        <v>80.955886219044118</v>
      </c>
      <c r="AJ56" s="2">
        <f t="shared" si="15"/>
        <v>34.333333333333336</v>
      </c>
      <c r="AK56" s="2">
        <f t="shared" si="16"/>
        <v>62.333333333333336</v>
      </c>
      <c r="AL56" s="2">
        <f t="shared" si="17"/>
        <v>12.666666666666666</v>
      </c>
      <c r="AM56" s="2">
        <f t="shared" si="18"/>
        <v>14.666666666666666</v>
      </c>
    </row>
    <row r="57" spans="1:39" x14ac:dyDescent="0.3">
      <c r="A57" s="1" t="s">
        <v>50</v>
      </c>
      <c r="B57" s="1" t="s">
        <v>82</v>
      </c>
      <c r="C57" s="1" t="s">
        <v>85</v>
      </c>
      <c r="D57" s="1" t="s">
        <v>85</v>
      </c>
      <c r="E57" s="2">
        <v>20503</v>
      </c>
      <c r="F57" s="18">
        <v>8</v>
      </c>
      <c r="G57" s="18">
        <v>7</v>
      </c>
      <c r="H57" s="18">
        <v>12</v>
      </c>
      <c r="I57" s="18">
        <v>13</v>
      </c>
      <c r="J57" s="18">
        <v>42</v>
      </c>
      <c r="K57" s="18">
        <v>46</v>
      </c>
      <c r="L57" s="11">
        <v>46</v>
      </c>
      <c r="M57" s="2">
        <f t="shared" si="6"/>
        <v>13</v>
      </c>
      <c r="N57" s="2">
        <f t="shared" si="7"/>
        <v>15</v>
      </c>
      <c r="O57" s="2">
        <f t="shared" si="8"/>
        <v>22</v>
      </c>
      <c r="P57" s="2">
        <f t="shared" si="9"/>
        <v>21</v>
      </c>
      <c r="Q57" s="2">
        <f t="shared" si="10"/>
        <v>10</v>
      </c>
      <c r="R57" s="2">
        <f t="shared" si="11"/>
        <v>7</v>
      </c>
      <c r="S57" s="2">
        <f t="shared" si="12"/>
        <v>8</v>
      </c>
      <c r="T57" s="11">
        <v>21</v>
      </c>
      <c r="U57" s="11">
        <v>22</v>
      </c>
      <c r="V57" s="11">
        <v>34</v>
      </c>
      <c r="W57" s="18">
        <v>34</v>
      </c>
      <c r="X57" s="18">
        <v>52</v>
      </c>
      <c r="Y57" s="23">
        <v>53</v>
      </c>
      <c r="Z57" s="18">
        <v>54</v>
      </c>
      <c r="AA57" s="18">
        <v>38.095238095238095</v>
      </c>
      <c r="AB57" s="18">
        <v>31.818181818181817</v>
      </c>
      <c r="AC57" s="18">
        <v>35.294117647058826</v>
      </c>
      <c r="AD57" s="11">
        <v>38.235294117647058</v>
      </c>
      <c r="AE57" s="11">
        <v>80.769230769230774</v>
      </c>
      <c r="AF57" s="11">
        <v>86.79245283018868</v>
      </c>
      <c r="AG57" s="11">
        <v>85.18518518518519</v>
      </c>
      <c r="AH57" s="11">
        <f t="shared" si="13"/>
        <v>35.115864527629235</v>
      </c>
      <c r="AI57" s="26">
        <f t="shared" si="14"/>
        <v>84.248956261534872</v>
      </c>
      <c r="AJ57" s="2">
        <f t="shared" si="15"/>
        <v>10.666666666666666</v>
      </c>
      <c r="AK57" s="2">
        <f t="shared" si="16"/>
        <v>44.666666666666664</v>
      </c>
      <c r="AL57" s="2">
        <f t="shared" si="17"/>
        <v>19.333333333333332</v>
      </c>
      <c r="AM57" s="2">
        <f t="shared" si="18"/>
        <v>8.3333333333333339</v>
      </c>
    </row>
    <row r="58" spans="1:39" x14ac:dyDescent="0.3">
      <c r="A58" s="1" t="s">
        <v>50</v>
      </c>
      <c r="B58" s="1" t="s">
        <v>86</v>
      </c>
      <c r="C58" s="1" t="s">
        <v>87</v>
      </c>
      <c r="D58" s="1" t="s">
        <v>87</v>
      </c>
      <c r="E58" s="2">
        <v>20601</v>
      </c>
      <c r="F58" s="18">
        <v>30</v>
      </c>
      <c r="G58" s="18">
        <v>35</v>
      </c>
      <c r="H58" s="18">
        <v>55</v>
      </c>
      <c r="I58" s="18">
        <v>59</v>
      </c>
      <c r="J58" s="18">
        <v>101</v>
      </c>
      <c r="K58" s="18">
        <v>98</v>
      </c>
      <c r="L58" s="11">
        <v>100</v>
      </c>
      <c r="M58" s="2">
        <f t="shared" si="6"/>
        <v>28</v>
      </c>
      <c r="N58" s="2">
        <f t="shared" si="7"/>
        <v>24</v>
      </c>
      <c r="O58" s="2">
        <f t="shared" si="8"/>
        <v>41</v>
      </c>
      <c r="P58" s="2">
        <f t="shared" si="9"/>
        <v>44</v>
      </c>
      <c r="Q58" s="2">
        <f t="shared" si="10"/>
        <v>35</v>
      </c>
      <c r="R58" s="2">
        <f t="shared" si="11"/>
        <v>36</v>
      </c>
      <c r="S58" s="2">
        <f t="shared" si="12"/>
        <v>37</v>
      </c>
      <c r="T58" s="11">
        <v>58</v>
      </c>
      <c r="U58" s="11">
        <v>59</v>
      </c>
      <c r="V58" s="11">
        <v>96</v>
      </c>
      <c r="W58" s="18">
        <v>103</v>
      </c>
      <c r="X58" s="18">
        <v>136</v>
      </c>
      <c r="Y58" s="23">
        <v>134</v>
      </c>
      <c r="Z58" s="18">
        <v>137</v>
      </c>
      <c r="AA58" s="18">
        <v>51.724137931034484</v>
      </c>
      <c r="AB58" s="18">
        <v>59.322033898305079</v>
      </c>
      <c r="AC58" s="18">
        <v>57.291666666666664</v>
      </c>
      <c r="AD58" s="11">
        <v>57.28155339805825</v>
      </c>
      <c r="AE58" s="11">
        <v>74.264705882352942</v>
      </c>
      <c r="AF58" s="11">
        <v>73.134328358208961</v>
      </c>
      <c r="AG58" s="11">
        <v>72.992700729927009</v>
      </c>
      <c r="AH58" s="11">
        <f t="shared" si="13"/>
        <v>57.965084654343322</v>
      </c>
      <c r="AI58" s="26">
        <f t="shared" si="14"/>
        <v>73.463911656829637</v>
      </c>
      <c r="AJ58" s="2">
        <f t="shared" si="15"/>
        <v>49.666666666666664</v>
      </c>
      <c r="AK58" s="2">
        <f t="shared" si="16"/>
        <v>99.666666666666671</v>
      </c>
      <c r="AL58" s="2">
        <f t="shared" si="17"/>
        <v>36.333333333333336</v>
      </c>
      <c r="AM58" s="2">
        <f t="shared" si="18"/>
        <v>36</v>
      </c>
    </row>
    <row r="59" spans="1:39" x14ac:dyDescent="0.3">
      <c r="A59" s="1" t="s">
        <v>50</v>
      </c>
      <c r="B59" s="1" t="s">
        <v>86</v>
      </c>
      <c r="C59" s="1" t="s">
        <v>88</v>
      </c>
      <c r="D59" s="1" t="s">
        <v>88</v>
      </c>
      <c r="E59" s="2">
        <v>20602</v>
      </c>
      <c r="F59" s="18">
        <v>29</v>
      </c>
      <c r="G59" s="18">
        <v>30</v>
      </c>
      <c r="H59" s="18">
        <v>43</v>
      </c>
      <c r="I59" s="18">
        <v>45</v>
      </c>
      <c r="J59" s="18">
        <v>84</v>
      </c>
      <c r="K59" s="18">
        <v>89</v>
      </c>
      <c r="L59" s="11">
        <v>96</v>
      </c>
      <c r="M59" s="2">
        <f t="shared" si="6"/>
        <v>16</v>
      </c>
      <c r="N59" s="2">
        <f t="shared" si="7"/>
        <v>14</v>
      </c>
      <c r="O59" s="2">
        <f t="shared" si="8"/>
        <v>31</v>
      </c>
      <c r="P59" s="2">
        <f t="shared" si="9"/>
        <v>33</v>
      </c>
      <c r="Q59" s="2">
        <f t="shared" si="10"/>
        <v>22</v>
      </c>
      <c r="R59" s="2">
        <f t="shared" si="11"/>
        <v>20</v>
      </c>
      <c r="S59" s="2">
        <f t="shared" si="12"/>
        <v>21</v>
      </c>
      <c r="T59" s="11">
        <v>45</v>
      </c>
      <c r="U59" s="11">
        <v>44</v>
      </c>
      <c r="V59" s="11">
        <v>74</v>
      </c>
      <c r="W59" s="18">
        <v>78</v>
      </c>
      <c r="X59" s="18">
        <v>106</v>
      </c>
      <c r="Y59" s="23">
        <v>109</v>
      </c>
      <c r="Z59" s="18">
        <v>117</v>
      </c>
      <c r="AA59" s="18">
        <v>64.444444444444443</v>
      </c>
      <c r="AB59" s="18">
        <v>68.181818181818173</v>
      </c>
      <c r="AC59" s="18">
        <v>58.108108108108105</v>
      </c>
      <c r="AD59" s="11">
        <v>57.692307692307686</v>
      </c>
      <c r="AE59" s="11">
        <v>79.245283018867923</v>
      </c>
      <c r="AF59" s="11">
        <v>81.651376146788991</v>
      </c>
      <c r="AG59" s="11">
        <v>82.051282051282044</v>
      </c>
      <c r="AH59" s="11">
        <f t="shared" si="13"/>
        <v>61.327411327411319</v>
      </c>
      <c r="AI59" s="26">
        <f t="shared" si="14"/>
        <v>80.982647072312986</v>
      </c>
      <c r="AJ59" s="2">
        <f t="shared" si="15"/>
        <v>39.333333333333336</v>
      </c>
      <c r="AK59" s="2">
        <f t="shared" si="16"/>
        <v>89.666666666666671</v>
      </c>
      <c r="AL59" s="2">
        <f t="shared" si="17"/>
        <v>26</v>
      </c>
      <c r="AM59" s="2">
        <f t="shared" si="18"/>
        <v>21</v>
      </c>
    </row>
    <row r="60" spans="1:39" x14ac:dyDescent="0.3">
      <c r="A60" s="1" t="s">
        <v>50</v>
      </c>
      <c r="B60" s="1" t="s">
        <v>86</v>
      </c>
      <c r="C60" s="1" t="s">
        <v>89</v>
      </c>
      <c r="D60" s="1" t="s">
        <v>89</v>
      </c>
      <c r="E60" s="2">
        <v>20603</v>
      </c>
      <c r="F60" s="18">
        <v>15</v>
      </c>
      <c r="G60" s="18">
        <v>17</v>
      </c>
      <c r="H60" s="18">
        <v>18</v>
      </c>
      <c r="I60" s="18">
        <v>20</v>
      </c>
      <c r="J60" s="18">
        <v>35</v>
      </c>
      <c r="K60" s="18">
        <v>37</v>
      </c>
      <c r="L60" s="11">
        <v>39</v>
      </c>
      <c r="M60" s="2">
        <f t="shared" si="6"/>
        <v>12</v>
      </c>
      <c r="N60" s="2">
        <f t="shared" si="7"/>
        <v>9</v>
      </c>
      <c r="O60" s="2">
        <f t="shared" si="8"/>
        <v>21</v>
      </c>
      <c r="P60" s="2">
        <f t="shared" si="9"/>
        <v>23</v>
      </c>
      <c r="Q60" s="2">
        <f t="shared" si="10"/>
        <v>15</v>
      </c>
      <c r="R60" s="2">
        <f t="shared" si="11"/>
        <v>18</v>
      </c>
      <c r="S60" s="2">
        <f t="shared" si="12"/>
        <v>16</v>
      </c>
      <c r="T60" s="11">
        <v>27</v>
      </c>
      <c r="U60" s="11">
        <v>26</v>
      </c>
      <c r="V60" s="11">
        <v>39</v>
      </c>
      <c r="W60" s="18">
        <v>43</v>
      </c>
      <c r="X60" s="18">
        <v>50</v>
      </c>
      <c r="Y60" s="23">
        <v>55</v>
      </c>
      <c r="Z60" s="18">
        <v>55</v>
      </c>
      <c r="AA60" s="18">
        <v>55.555555555555557</v>
      </c>
      <c r="AB60" s="18">
        <v>65.384615384615387</v>
      </c>
      <c r="AC60" s="18">
        <v>46.153846153846153</v>
      </c>
      <c r="AD60" s="11">
        <v>46.511627906976742</v>
      </c>
      <c r="AE60" s="11">
        <v>70</v>
      </c>
      <c r="AF60" s="11">
        <v>67.272727272727266</v>
      </c>
      <c r="AG60" s="11">
        <v>70.909090909090907</v>
      </c>
      <c r="AH60" s="11">
        <f t="shared" si="13"/>
        <v>52.68336314847943</v>
      </c>
      <c r="AI60" s="26">
        <f t="shared" si="14"/>
        <v>69.393939393939391</v>
      </c>
      <c r="AJ60" s="2">
        <f t="shared" si="15"/>
        <v>18.333333333333332</v>
      </c>
      <c r="AK60" s="2">
        <f t="shared" si="16"/>
        <v>37</v>
      </c>
      <c r="AL60" s="2">
        <f t="shared" si="17"/>
        <v>17.666666666666668</v>
      </c>
      <c r="AM60" s="2">
        <f t="shared" si="18"/>
        <v>16.333333333333332</v>
      </c>
    </row>
    <row r="61" spans="1:39" x14ac:dyDescent="0.3">
      <c r="A61" s="1" t="s">
        <v>50</v>
      </c>
      <c r="B61" s="1" t="s">
        <v>86</v>
      </c>
      <c r="C61" s="1" t="s">
        <v>90</v>
      </c>
      <c r="D61" s="1" t="s">
        <v>90</v>
      </c>
      <c r="E61" s="2">
        <v>20604</v>
      </c>
      <c r="F61" s="18">
        <v>10</v>
      </c>
      <c r="G61" s="18">
        <v>9</v>
      </c>
      <c r="H61" s="18">
        <v>10</v>
      </c>
      <c r="I61" s="18">
        <v>11</v>
      </c>
      <c r="J61" s="18">
        <v>20</v>
      </c>
      <c r="K61" s="18">
        <v>19</v>
      </c>
      <c r="L61" s="11">
        <v>21</v>
      </c>
      <c r="M61" s="2">
        <f t="shared" si="6"/>
        <v>1</v>
      </c>
      <c r="N61" s="2">
        <f t="shared" si="7"/>
        <v>3</v>
      </c>
      <c r="O61" s="2">
        <f t="shared" si="8"/>
        <v>8</v>
      </c>
      <c r="P61" s="2">
        <f t="shared" si="9"/>
        <v>7</v>
      </c>
      <c r="Q61" s="2">
        <f t="shared" si="10"/>
        <v>4</v>
      </c>
      <c r="R61" s="2">
        <f t="shared" si="11"/>
        <v>6</v>
      </c>
      <c r="S61" s="2">
        <f t="shared" si="12"/>
        <v>4</v>
      </c>
      <c r="T61" s="11">
        <v>11</v>
      </c>
      <c r="U61" s="11">
        <v>12</v>
      </c>
      <c r="V61" s="11">
        <v>18</v>
      </c>
      <c r="W61" s="18">
        <v>18</v>
      </c>
      <c r="X61" s="18">
        <v>24</v>
      </c>
      <c r="Y61" s="23">
        <v>25</v>
      </c>
      <c r="Z61" s="18">
        <v>25</v>
      </c>
      <c r="AA61" s="18">
        <v>90.909090909090907</v>
      </c>
      <c r="AB61" s="18">
        <v>75</v>
      </c>
      <c r="AC61" s="18">
        <v>55.555555555555557</v>
      </c>
      <c r="AD61" s="11">
        <v>61.111111111111114</v>
      </c>
      <c r="AE61" s="11">
        <v>83.333333333333343</v>
      </c>
      <c r="AF61" s="11">
        <v>76</v>
      </c>
      <c r="AG61" s="11">
        <v>84</v>
      </c>
      <c r="AH61" s="11">
        <f t="shared" si="13"/>
        <v>63.888888888888886</v>
      </c>
      <c r="AI61" s="26">
        <f t="shared" si="14"/>
        <v>81.111111111111114</v>
      </c>
      <c r="AJ61" s="2">
        <f t="shared" si="15"/>
        <v>10</v>
      </c>
      <c r="AK61" s="2">
        <f t="shared" si="16"/>
        <v>20</v>
      </c>
      <c r="AL61" s="2">
        <f t="shared" si="17"/>
        <v>6</v>
      </c>
      <c r="AM61" s="2">
        <f t="shared" si="18"/>
        <v>4.666666666666667</v>
      </c>
    </row>
    <row r="62" spans="1:39" x14ac:dyDescent="0.3">
      <c r="A62" s="1" t="s">
        <v>50</v>
      </c>
      <c r="B62" s="1" t="s">
        <v>86</v>
      </c>
      <c r="C62" s="1" t="s">
        <v>91</v>
      </c>
      <c r="D62" s="1" t="s">
        <v>91</v>
      </c>
      <c r="E62" s="2">
        <v>20605</v>
      </c>
      <c r="F62" s="18">
        <v>9</v>
      </c>
      <c r="G62" s="18">
        <v>14</v>
      </c>
      <c r="H62" s="18">
        <v>16</v>
      </c>
      <c r="I62" s="18">
        <v>17</v>
      </c>
      <c r="J62" s="18">
        <v>23</v>
      </c>
      <c r="K62" s="18">
        <v>25</v>
      </c>
      <c r="L62" s="11">
        <v>23</v>
      </c>
      <c r="M62" s="2">
        <f t="shared" si="6"/>
        <v>8</v>
      </c>
      <c r="N62" s="2">
        <f t="shared" si="7"/>
        <v>8</v>
      </c>
      <c r="O62" s="2">
        <f t="shared" si="8"/>
        <v>11</v>
      </c>
      <c r="P62" s="2">
        <f t="shared" si="9"/>
        <v>13</v>
      </c>
      <c r="Q62" s="2">
        <f t="shared" si="10"/>
        <v>6</v>
      </c>
      <c r="R62" s="2">
        <f t="shared" si="11"/>
        <v>5</v>
      </c>
      <c r="S62" s="2">
        <f t="shared" si="12"/>
        <v>7</v>
      </c>
      <c r="T62" s="11">
        <v>17</v>
      </c>
      <c r="U62" s="11">
        <v>22</v>
      </c>
      <c r="V62" s="11">
        <v>27</v>
      </c>
      <c r="W62" s="18">
        <v>30</v>
      </c>
      <c r="X62" s="18">
        <v>29</v>
      </c>
      <c r="Y62" s="23">
        <v>30</v>
      </c>
      <c r="Z62" s="18">
        <v>30</v>
      </c>
      <c r="AA62" s="18">
        <v>52.941176470588239</v>
      </c>
      <c r="AB62" s="18">
        <v>63.636363636363633</v>
      </c>
      <c r="AC62" s="18">
        <v>59.259259259259252</v>
      </c>
      <c r="AD62" s="11">
        <v>56.666666666666664</v>
      </c>
      <c r="AE62" s="11">
        <v>79.310344827586206</v>
      </c>
      <c r="AF62" s="11">
        <v>83.333333333333343</v>
      </c>
      <c r="AG62" s="11">
        <v>76.666666666666671</v>
      </c>
      <c r="AH62" s="11">
        <f t="shared" si="13"/>
        <v>59.854096520763186</v>
      </c>
      <c r="AI62" s="26">
        <f t="shared" si="14"/>
        <v>79.770114942528735</v>
      </c>
      <c r="AJ62" s="2">
        <f t="shared" si="15"/>
        <v>15.666666666666666</v>
      </c>
      <c r="AK62" s="2">
        <f t="shared" si="16"/>
        <v>23.666666666666668</v>
      </c>
      <c r="AL62" s="2">
        <f t="shared" si="17"/>
        <v>10.666666666666666</v>
      </c>
      <c r="AM62" s="2">
        <f t="shared" si="18"/>
        <v>6</v>
      </c>
    </row>
    <row r="63" spans="1:39" x14ac:dyDescent="0.3">
      <c r="A63" s="1" t="s">
        <v>50</v>
      </c>
      <c r="B63" s="1" t="s">
        <v>86</v>
      </c>
      <c r="C63" s="1" t="s">
        <v>92</v>
      </c>
      <c r="D63" s="1" t="s">
        <v>92</v>
      </c>
      <c r="E63" s="2">
        <v>20606</v>
      </c>
      <c r="F63" s="18">
        <v>28</v>
      </c>
      <c r="G63" s="18">
        <v>32</v>
      </c>
      <c r="H63" s="18">
        <v>46</v>
      </c>
      <c r="I63" s="18">
        <v>48</v>
      </c>
      <c r="J63" s="18">
        <v>54</v>
      </c>
      <c r="K63" s="18">
        <v>56</v>
      </c>
      <c r="L63" s="11">
        <v>56</v>
      </c>
      <c r="M63" s="2">
        <f t="shared" si="6"/>
        <v>8</v>
      </c>
      <c r="N63" s="2">
        <f t="shared" si="7"/>
        <v>7</v>
      </c>
      <c r="O63" s="2">
        <f t="shared" si="8"/>
        <v>9</v>
      </c>
      <c r="P63" s="2">
        <f t="shared" si="9"/>
        <v>9</v>
      </c>
      <c r="Q63" s="2">
        <f t="shared" si="10"/>
        <v>7</v>
      </c>
      <c r="R63" s="2">
        <f t="shared" si="11"/>
        <v>5</v>
      </c>
      <c r="S63" s="2">
        <f t="shared" si="12"/>
        <v>4</v>
      </c>
      <c r="T63" s="11">
        <v>36</v>
      </c>
      <c r="U63" s="11">
        <v>39</v>
      </c>
      <c r="V63" s="11">
        <v>55</v>
      </c>
      <c r="W63" s="18">
        <v>57</v>
      </c>
      <c r="X63" s="18">
        <v>61</v>
      </c>
      <c r="Y63" s="23">
        <v>61</v>
      </c>
      <c r="Z63" s="18">
        <v>60</v>
      </c>
      <c r="AA63" s="18">
        <v>77.777777777777786</v>
      </c>
      <c r="AB63" s="18">
        <v>82.051282051282044</v>
      </c>
      <c r="AC63" s="18">
        <v>83.636363636363626</v>
      </c>
      <c r="AD63" s="11">
        <v>84.210526315789465</v>
      </c>
      <c r="AE63" s="11">
        <v>88.52459016393442</v>
      </c>
      <c r="AF63" s="11">
        <v>91.803278688524586</v>
      </c>
      <c r="AG63" s="11">
        <v>93.333333333333329</v>
      </c>
      <c r="AH63" s="11">
        <f t="shared" si="13"/>
        <v>83.299390667811721</v>
      </c>
      <c r="AI63" s="26">
        <f t="shared" si="14"/>
        <v>91.22040072859744</v>
      </c>
      <c r="AJ63" s="2">
        <f t="shared" si="15"/>
        <v>42</v>
      </c>
      <c r="AK63" s="2">
        <f t="shared" si="16"/>
        <v>55.333333333333336</v>
      </c>
      <c r="AL63" s="2">
        <f t="shared" si="17"/>
        <v>8.3333333333333339</v>
      </c>
      <c r="AM63" s="2">
        <f t="shared" si="18"/>
        <v>5.333333333333333</v>
      </c>
    </row>
    <row r="64" spans="1:39" x14ac:dyDescent="0.3">
      <c r="A64" s="1" t="s">
        <v>50</v>
      </c>
      <c r="B64" s="1" t="s">
        <v>86</v>
      </c>
      <c r="C64" s="1" t="s">
        <v>93</v>
      </c>
      <c r="D64" s="1" t="s">
        <v>93</v>
      </c>
      <c r="E64" s="2">
        <v>20607</v>
      </c>
      <c r="F64" s="18">
        <v>30</v>
      </c>
      <c r="G64" s="18">
        <v>38</v>
      </c>
      <c r="H64" s="18">
        <v>48</v>
      </c>
      <c r="I64" s="18">
        <v>57</v>
      </c>
      <c r="J64" s="18">
        <v>89</v>
      </c>
      <c r="K64" s="18">
        <v>93</v>
      </c>
      <c r="L64" s="11">
        <v>92</v>
      </c>
      <c r="M64" s="2">
        <f t="shared" si="6"/>
        <v>12</v>
      </c>
      <c r="N64" s="2">
        <f t="shared" si="7"/>
        <v>9</v>
      </c>
      <c r="O64" s="2">
        <f t="shared" si="8"/>
        <v>27</v>
      </c>
      <c r="P64" s="2">
        <f t="shared" si="9"/>
        <v>22</v>
      </c>
      <c r="Q64" s="2">
        <f t="shared" si="10"/>
        <v>15</v>
      </c>
      <c r="R64" s="2">
        <f t="shared" si="11"/>
        <v>14</v>
      </c>
      <c r="S64" s="2">
        <f t="shared" si="12"/>
        <v>15</v>
      </c>
      <c r="T64" s="11">
        <v>42</v>
      </c>
      <c r="U64" s="11">
        <v>47</v>
      </c>
      <c r="V64" s="11">
        <v>75</v>
      </c>
      <c r="W64" s="18">
        <v>79</v>
      </c>
      <c r="X64" s="18">
        <v>104</v>
      </c>
      <c r="Y64" s="23">
        <v>107</v>
      </c>
      <c r="Z64" s="18">
        <v>107</v>
      </c>
      <c r="AA64" s="18">
        <v>71.428571428571431</v>
      </c>
      <c r="AB64" s="18">
        <v>80.851063829787222</v>
      </c>
      <c r="AC64" s="18">
        <v>64</v>
      </c>
      <c r="AD64" s="11">
        <v>72.151898734177209</v>
      </c>
      <c r="AE64" s="11">
        <v>85.576923076923066</v>
      </c>
      <c r="AF64" s="11">
        <v>86.915887850467286</v>
      </c>
      <c r="AG64" s="11">
        <v>85.981308411214954</v>
      </c>
      <c r="AH64" s="11">
        <f t="shared" si="13"/>
        <v>72.33432085465482</v>
      </c>
      <c r="AI64" s="26">
        <f t="shared" si="14"/>
        <v>86.158039779535102</v>
      </c>
      <c r="AJ64" s="2">
        <f t="shared" si="15"/>
        <v>47.666666666666664</v>
      </c>
      <c r="AK64" s="2">
        <f t="shared" si="16"/>
        <v>91.333333333333329</v>
      </c>
      <c r="AL64" s="2">
        <f t="shared" si="17"/>
        <v>19.333333333333332</v>
      </c>
      <c r="AM64" s="2">
        <f t="shared" si="18"/>
        <v>14.666666666666666</v>
      </c>
    </row>
    <row r="65" spans="1:39" x14ac:dyDescent="0.3">
      <c r="A65" s="1" t="s">
        <v>50</v>
      </c>
      <c r="B65" s="1" t="s">
        <v>86</v>
      </c>
      <c r="C65" s="1" t="s">
        <v>94</v>
      </c>
      <c r="D65" s="1" t="s">
        <v>94</v>
      </c>
      <c r="E65" s="2">
        <v>20608</v>
      </c>
      <c r="F65" s="18">
        <v>14</v>
      </c>
      <c r="G65" s="18">
        <v>15</v>
      </c>
      <c r="H65" s="18">
        <v>20</v>
      </c>
      <c r="I65" s="18">
        <v>26</v>
      </c>
      <c r="J65" s="18">
        <v>54</v>
      </c>
      <c r="K65" s="18">
        <v>58</v>
      </c>
      <c r="L65" s="11">
        <v>61</v>
      </c>
      <c r="M65" s="2">
        <f t="shared" si="6"/>
        <v>15</v>
      </c>
      <c r="N65" s="2">
        <f t="shared" si="7"/>
        <v>14</v>
      </c>
      <c r="O65" s="2">
        <f t="shared" si="8"/>
        <v>25</v>
      </c>
      <c r="P65" s="2">
        <f t="shared" si="9"/>
        <v>24</v>
      </c>
      <c r="Q65" s="2">
        <f t="shared" si="10"/>
        <v>16</v>
      </c>
      <c r="R65" s="2">
        <f t="shared" si="11"/>
        <v>13</v>
      </c>
      <c r="S65" s="2">
        <f t="shared" si="12"/>
        <v>13</v>
      </c>
      <c r="T65" s="11">
        <v>29</v>
      </c>
      <c r="U65" s="11">
        <v>29</v>
      </c>
      <c r="V65" s="11">
        <v>45</v>
      </c>
      <c r="W65" s="18">
        <v>50</v>
      </c>
      <c r="X65" s="18">
        <v>70</v>
      </c>
      <c r="Y65" s="23">
        <v>71</v>
      </c>
      <c r="Z65" s="18">
        <v>74</v>
      </c>
      <c r="AA65" s="18">
        <v>48.275862068965516</v>
      </c>
      <c r="AB65" s="18">
        <v>51.724137931034484</v>
      </c>
      <c r="AC65" s="18">
        <v>44.444444444444443</v>
      </c>
      <c r="AD65" s="11">
        <v>52</v>
      </c>
      <c r="AE65" s="11">
        <v>77.142857142857153</v>
      </c>
      <c r="AF65" s="11">
        <v>81.690140845070431</v>
      </c>
      <c r="AG65" s="11">
        <v>82.432432432432435</v>
      </c>
      <c r="AH65" s="11">
        <f t="shared" si="13"/>
        <v>49.389527458492978</v>
      </c>
      <c r="AI65" s="26">
        <f t="shared" si="14"/>
        <v>80.421810140120002</v>
      </c>
      <c r="AJ65" s="2">
        <f t="shared" si="15"/>
        <v>20.333333333333332</v>
      </c>
      <c r="AK65" s="2">
        <f t="shared" si="16"/>
        <v>57.666666666666664</v>
      </c>
      <c r="AL65" s="2">
        <f t="shared" si="17"/>
        <v>21</v>
      </c>
      <c r="AM65" s="2">
        <f t="shared" si="18"/>
        <v>14</v>
      </c>
    </row>
    <row r="66" spans="1:39" x14ac:dyDescent="0.3">
      <c r="A66" s="1" t="s">
        <v>50</v>
      </c>
      <c r="B66" s="1" t="s">
        <v>95</v>
      </c>
      <c r="C66" s="1" t="s">
        <v>96</v>
      </c>
      <c r="D66" s="1" t="s">
        <v>96</v>
      </c>
      <c r="E66" s="2">
        <v>20701</v>
      </c>
      <c r="F66" s="18">
        <v>21</v>
      </c>
      <c r="G66" s="18">
        <v>26</v>
      </c>
      <c r="H66" s="18">
        <v>38</v>
      </c>
      <c r="I66" s="18">
        <v>47</v>
      </c>
      <c r="J66" s="18">
        <v>114</v>
      </c>
      <c r="K66" s="18">
        <v>126</v>
      </c>
      <c r="L66" s="11">
        <v>143</v>
      </c>
      <c r="M66" s="2">
        <f t="shared" si="6"/>
        <v>23</v>
      </c>
      <c r="N66" s="2">
        <f t="shared" si="7"/>
        <v>19</v>
      </c>
      <c r="O66" s="2">
        <f t="shared" si="8"/>
        <v>51</v>
      </c>
      <c r="P66" s="2">
        <f t="shared" si="9"/>
        <v>45</v>
      </c>
      <c r="Q66" s="2">
        <f t="shared" si="10"/>
        <v>29</v>
      </c>
      <c r="R66" s="2">
        <f t="shared" si="11"/>
        <v>28</v>
      </c>
      <c r="S66" s="2">
        <f t="shared" si="12"/>
        <v>27</v>
      </c>
      <c r="T66" s="11">
        <v>44</v>
      </c>
      <c r="U66" s="11">
        <v>45</v>
      </c>
      <c r="V66" s="11">
        <v>89</v>
      </c>
      <c r="W66" s="18">
        <v>92</v>
      </c>
      <c r="X66" s="18">
        <v>143</v>
      </c>
      <c r="Y66" s="23">
        <v>154</v>
      </c>
      <c r="Z66" s="18">
        <v>170</v>
      </c>
      <c r="AA66" s="18">
        <v>47.727272727272727</v>
      </c>
      <c r="AB66" s="18">
        <v>57.777777777777771</v>
      </c>
      <c r="AC66" s="18">
        <v>42.696629213483142</v>
      </c>
      <c r="AD66" s="11">
        <v>51.086956521739133</v>
      </c>
      <c r="AE66" s="11">
        <v>79.72027972027972</v>
      </c>
      <c r="AF66" s="11">
        <v>81.818181818181827</v>
      </c>
      <c r="AG66" s="11">
        <v>84.117647058823536</v>
      </c>
      <c r="AH66" s="11">
        <f t="shared" si="13"/>
        <v>50.520454504333344</v>
      </c>
      <c r="AI66" s="26">
        <f t="shared" si="14"/>
        <v>81.885369532428356</v>
      </c>
      <c r="AJ66" s="2">
        <f t="shared" si="15"/>
        <v>37</v>
      </c>
      <c r="AK66" s="2">
        <f t="shared" si="16"/>
        <v>127.66666666666667</v>
      </c>
      <c r="AL66" s="2">
        <f t="shared" si="17"/>
        <v>38.333333333333336</v>
      </c>
      <c r="AM66" s="2">
        <f t="shared" si="18"/>
        <v>28</v>
      </c>
    </row>
    <row r="67" spans="1:39" x14ac:dyDescent="0.3">
      <c r="A67" s="1" t="s">
        <v>50</v>
      </c>
      <c r="B67" s="1" t="s">
        <v>95</v>
      </c>
      <c r="C67" s="1" t="s">
        <v>97</v>
      </c>
      <c r="D67" s="1" t="s">
        <v>97</v>
      </c>
      <c r="E67" s="2">
        <v>20702</v>
      </c>
      <c r="F67" s="18">
        <v>9</v>
      </c>
      <c r="G67" s="18">
        <v>12</v>
      </c>
      <c r="H67" s="18">
        <v>18</v>
      </c>
      <c r="I67" s="18">
        <v>23</v>
      </c>
      <c r="J67" s="18">
        <v>53</v>
      </c>
      <c r="K67" s="18">
        <v>56</v>
      </c>
      <c r="L67" s="11">
        <v>61</v>
      </c>
      <c r="M67" s="2">
        <f t="shared" ref="M67:M130" si="39">IF(AND(ISBLANK(F67), NOT(ISBLANK(T67))), T67, IF(OR(ISBLANK(T67), ISBLANK(F67)), "", T67-F67))</f>
        <v>12</v>
      </c>
      <c r="N67" s="2">
        <f t="shared" ref="N67:N130" si="40">IF(AND(ISBLANK(G67), NOT(ISBLANK(U67))), U67, IF(OR(ISBLANK(U67), ISBLANK(G67)), "", U67-G67))</f>
        <v>9</v>
      </c>
      <c r="O67" s="2">
        <f t="shared" ref="O67:O130" si="41">IF(AND(ISBLANK(H67), NOT(ISBLANK(V67))), V67, IF(OR(ISBLANK(V67), ISBLANK(H67)), "", V67-H67))</f>
        <v>22</v>
      </c>
      <c r="P67" s="2">
        <f t="shared" ref="P67:P130" si="42">IF(AND(ISBLANK(I67), NOT(ISBLANK(W67))), W67, IF(OR(ISBLANK(W67), ISBLANK(I67)), "", W67-I67))</f>
        <v>18</v>
      </c>
      <c r="Q67" s="2">
        <f t="shared" ref="Q67:Q130" si="43">IF(AND(ISBLANK(J67), NOT(ISBLANK(X67))), X67, IF(OR(ISBLANK(X67), ISBLANK(J67)), "", X67-J67))</f>
        <v>19</v>
      </c>
      <c r="R67" s="2">
        <f t="shared" ref="R67:R130" si="44">IF(AND(ISBLANK(K67), NOT(ISBLANK(Y67))), Y67, IF(OR(ISBLANK(Y67), ISBLANK(K67)), "", Y67-K67))</f>
        <v>18</v>
      </c>
      <c r="S67" s="2">
        <f t="shared" ref="S67:S130" si="45">IF(AND(ISBLANK(L67), NOT(ISBLANK(Z67))), Z67, IF(OR(ISBLANK(Z67), ISBLANK(L67)), "", Z67-L67))</f>
        <v>16</v>
      </c>
      <c r="T67" s="11">
        <v>21</v>
      </c>
      <c r="U67" s="11">
        <v>21</v>
      </c>
      <c r="V67" s="11">
        <v>40</v>
      </c>
      <c r="W67" s="18">
        <v>41</v>
      </c>
      <c r="X67" s="18">
        <v>72</v>
      </c>
      <c r="Y67" s="23">
        <v>74</v>
      </c>
      <c r="Z67" s="18">
        <v>77</v>
      </c>
      <c r="AA67" s="18">
        <v>42.857142857142854</v>
      </c>
      <c r="AB67" s="18">
        <v>57.142857142857139</v>
      </c>
      <c r="AC67" s="18">
        <v>45</v>
      </c>
      <c r="AD67" s="11">
        <v>56.09756097560976</v>
      </c>
      <c r="AE67" s="11">
        <v>73.611111111111114</v>
      </c>
      <c r="AF67" s="11">
        <v>75.675675675675677</v>
      </c>
      <c r="AG67" s="11">
        <v>79.220779220779221</v>
      </c>
      <c r="AH67" s="11">
        <f t="shared" ref="AH67:AH130" si="46">AVERAGE(AB67:AD67)</f>
        <v>52.746806039488966</v>
      </c>
      <c r="AI67" s="26">
        <f t="shared" ref="AI67:AI130" si="47">AVERAGE(AE67:AG67)</f>
        <v>76.169188669188671</v>
      </c>
      <c r="AJ67" s="2">
        <f t="shared" ref="AJ67:AJ130" si="48">AVERAGE(G67:I67)</f>
        <v>17.666666666666668</v>
      </c>
      <c r="AK67" s="2">
        <f t="shared" ref="AK67:AK130" si="49">AVERAGE(J67:L67)</f>
        <v>56.666666666666664</v>
      </c>
      <c r="AL67" s="2">
        <f t="shared" ref="AL67:AL130" si="50">AVERAGE(N67:P67)</f>
        <v>16.333333333333332</v>
      </c>
      <c r="AM67" s="2">
        <f t="shared" ref="AM67:AM130" si="51">AVERAGE(Q67:S67)</f>
        <v>17.666666666666668</v>
      </c>
    </row>
    <row r="68" spans="1:39" x14ac:dyDescent="0.3">
      <c r="A68" s="1" t="s">
        <v>50</v>
      </c>
      <c r="B68" s="1" t="s">
        <v>98</v>
      </c>
      <c r="C68" s="1" t="s">
        <v>99</v>
      </c>
      <c r="D68" s="1" t="s">
        <v>99</v>
      </c>
      <c r="E68" s="2">
        <v>20801</v>
      </c>
      <c r="F68" s="18">
        <v>184</v>
      </c>
      <c r="G68" s="18">
        <v>189</v>
      </c>
      <c r="H68" s="18">
        <v>240</v>
      </c>
      <c r="I68" s="18">
        <v>259</v>
      </c>
      <c r="J68" s="18">
        <v>395</v>
      </c>
      <c r="K68" s="18">
        <v>411</v>
      </c>
      <c r="L68" s="11">
        <v>421</v>
      </c>
      <c r="M68" s="2">
        <f t="shared" si="39"/>
        <v>48</v>
      </c>
      <c r="N68" s="2">
        <f t="shared" si="40"/>
        <v>47</v>
      </c>
      <c r="O68" s="2">
        <f t="shared" si="41"/>
        <v>107</v>
      </c>
      <c r="P68" s="2">
        <f t="shared" si="42"/>
        <v>110</v>
      </c>
      <c r="Q68" s="2">
        <f t="shared" si="43"/>
        <v>120</v>
      </c>
      <c r="R68" s="2">
        <f t="shared" si="44"/>
        <v>128</v>
      </c>
      <c r="S68" s="2">
        <f t="shared" si="45"/>
        <v>130</v>
      </c>
      <c r="T68" s="11">
        <v>232</v>
      </c>
      <c r="U68" s="11">
        <v>236</v>
      </c>
      <c r="V68" s="11">
        <v>347</v>
      </c>
      <c r="W68" s="18">
        <v>369</v>
      </c>
      <c r="X68" s="18">
        <v>515</v>
      </c>
      <c r="Y68" s="23">
        <v>539</v>
      </c>
      <c r="Z68" s="18">
        <v>551</v>
      </c>
      <c r="AA68" s="18">
        <v>79.310344827586206</v>
      </c>
      <c r="AB68" s="18">
        <v>80.084745762711862</v>
      </c>
      <c r="AC68" s="18">
        <v>69.164265129683002</v>
      </c>
      <c r="AD68" s="11">
        <v>70.189701897018978</v>
      </c>
      <c r="AE68" s="11">
        <v>76.699029126213588</v>
      </c>
      <c r="AF68" s="11">
        <v>76.252319109461965</v>
      </c>
      <c r="AG68" s="11">
        <v>76.40653357531761</v>
      </c>
      <c r="AH68" s="11">
        <f t="shared" si="46"/>
        <v>73.146237596471281</v>
      </c>
      <c r="AI68" s="26">
        <f t="shared" si="47"/>
        <v>76.45262727033105</v>
      </c>
      <c r="AJ68" s="2">
        <f t="shared" si="48"/>
        <v>229.33333333333334</v>
      </c>
      <c r="AK68" s="2">
        <f t="shared" si="49"/>
        <v>409</v>
      </c>
      <c r="AL68" s="2">
        <f t="shared" si="50"/>
        <v>88</v>
      </c>
      <c r="AM68" s="2">
        <f t="shared" si="51"/>
        <v>126</v>
      </c>
    </row>
    <row r="69" spans="1:39" x14ac:dyDescent="0.3">
      <c r="A69" s="1" t="s">
        <v>50</v>
      </c>
      <c r="B69" s="1" t="s">
        <v>98</v>
      </c>
      <c r="C69" s="1" t="s">
        <v>100</v>
      </c>
      <c r="D69" s="1" t="s">
        <v>101</v>
      </c>
      <c r="E69" s="2">
        <v>20802</v>
      </c>
      <c r="F69" s="18">
        <v>35</v>
      </c>
      <c r="G69" s="18">
        <v>36</v>
      </c>
      <c r="H69" s="18">
        <v>42</v>
      </c>
      <c r="I69" s="18">
        <v>41</v>
      </c>
      <c r="J69" s="18">
        <v>46</v>
      </c>
      <c r="K69" s="18">
        <v>47</v>
      </c>
      <c r="L69" s="11">
        <v>48</v>
      </c>
      <c r="M69" s="2">
        <f t="shared" si="39"/>
        <v>7</v>
      </c>
      <c r="N69" s="2">
        <f t="shared" si="40"/>
        <v>6</v>
      </c>
      <c r="O69" s="2">
        <f t="shared" si="41"/>
        <v>13</v>
      </c>
      <c r="P69" s="2">
        <f t="shared" si="42"/>
        <v>16</v>
      </c>
      <c r="Q69" s="2">
        <f t="shared" si="43"/>
        <v>16</v>
      </c>
      <c r="R69" s="2">
        <f t="shared" si="44"/>
        <v>18</v>
      </c>
      <c r="S69" s="2">
        <f t="shared" si="45"/>
        <v>17</v>
      </c>
      <c r="T69" s="11">
        <v>42</v>
      </c>
      <c r="U69" s="11">
        <v>42</v>
      </c>
      <c r="V69" s="11">
        <v>55</v>
      </c>
      <c r="W69" s="18">
        <v>57</v>
      </c>
      <c r="X69" s="18">
        <v>62</v>
      </c>
      <c r="Y69" s="23">
        <v>65</v>
      </c>
      <c r="Z69" s="18">
        <v>65</v>
      </c>
      <c r="AA69" s="18">
        <v>83.333333333333343</v>
      </c>
      <c r="AB69" s="18">
        <v>85.714285714285708</v>
      </c>
      <c r="AC69" s="18">
        <v>76.363636363636374</v>
      </c>
      <c r="AD69" s="11">
        <v>71.929824561403507</v>
      </c>
      <c r="AE69" s="11">
        <v>74.193548387096769</v>
      </c>
      <c r="AF69" s="11">
        <v>72.307692307692307</v>
      </c>
      <c r="AG69" s="11">
        <v>73.846153846153854</v>
      </c>
      <c r="AH69" s="11">
        <f t="shared" si="46"/>
        <v>78.002582213108539</v>
      </c>
      <c r="AI69" s="26">
        <f t="shared" si="47"/>
        <v>73.449131513647657</v>
      </c>
      <c r="AJ69" s="2">
        <f t="shared" si="48"/>
        <v>39.666666666666664</v>
      </c>
      <c r="AK69" s="2">
        <f t="shared" si="49"/>
        <v>47</v>
      </c>
      <c r="AL69" s="2">
        <f t="shared" si="50"/>
        <v>11.666666666666666</v>
      </c>
      <c r="AM69" s="2">
        <f t="shared" si="51"/>
        <v>17</v>
      </c>
    </row>
    <row r="70" spans="1:39" x14ac:dyDescent="0.3">
      <c r="A70" s="1" t="s">
        <v>50</v>
      </c>
      <c r="B70" s="1" t="s">
        <v>98</v>
      </c>
      <c r="C70" s="1" t="s">
        <v>102</v>
      </c>
      <c r="D70" s="1" t="s">
        <v>102</v>
      </c>
      <c r="E70" s="2">
        <v>20803</v>
      </c>
      <c r="F70" s="18">
        <v>39</v>
      </c>
      <c r="G70" s="18">
        <v>42</v>
      </c>
      <c r="H70" s="18">
        <v>56</v>
      </c>
      <c r="I70" s="18">
        <v>57</v>
      </c>
      <c r="J70" s="18">
        <v>69</v>
      </c>
      <c r="K70" s="18">
        <v>74</v>
      </c>
      <c r="L70" s="11">
        <v>76</v>
      </c>
      <c r="M70" s="2">
        <f t="shared" si="39"/>
        <v>22</v>
      </c>
      <c r="N70" s="2">
        <f t="shared" si="40"/>
        <v>18</v>
      </c>
      <c r="O70" s="2">
        <f t="shared" si="41"/>
        <v>30</v>
      </c>
      <c r="P70" s="2">
        <f t="shared" si="42"/>
        <v>30</v>
      </c>
      <c r="Q70" s="2">
        <f t="shared" si="43"/>
        <v>31</v>
      </c>
      <c r="R70" s="2">
        <f t="shared" si="44"/>
        <v>30</v>
      </c>
      <c r="S70" s="2">
        <f t="shared" si="45"/>
        <v>30</v>
      </c>
      <c r="T70" s="11">
        <v>61</v>
      </c>
      <c r="U70" s="11">
        <v>60</v>
      </c>
      <c r="V70" s="11">
        <v>86</v>
      </c>
      <c r="W70" s="18">
        <v>87</v>
      </c>
      <c r="X70" s="18">
        <v>100</v>
      </c>
      <c r="Y70" s="23">
        <v>104</v>
      </c>
      <c r="Z70" s="18">
        <v>106</v>
      </c>
      <c r="AA70" s="18">
        <v>63.934426229508205</v>
      </c>
      <c r="AB70" s="18">
        <v>70</v>
      </c>
      <c r="AC70" s="18">
        <v>65.116279069767444</v>
      </c>
      <c r="AD70" s="11">
        <v>65.517241379310349</v>
      </c>
      <c r="AE70" s="11">
        <v>69</v>
      </c>
      <c r="AF70" s="11">
        <v>71.15384615384616</v>
      </c>
      <c r="AG70" s="11">
        <v>71.698113207547166</v>
      </c>
      <c r="AH70" s="11">
        <f t="shared" si="46"/>
        <v>66.877840149692602</v>
      </c>
      <c r="AI70" s="26">
        <f t="shared" si="47"/>
        <v>70.617319787131109</v>
      </c>
      <c r="AJ70" s="2">
        <f t="shared" si="48"/>
        <v>51.666666666666664</v>
      </c>
      <c r="AK70" s="2">
        <f t="shared" si="49"/>
        <v>73</v>
      </c>
      <c r="AL70" s="2">
        <f t="shared" si="50"/>
        <v>26</v>
      </c>
      <c r="AM70" s="2">
        <f t="shared" si="51"/>
        <v>30.333333333333332</v>
      </c>
    </row>
    <row r="71" spans="1:39" x14ac:dyDescent="0.3">
      <c r="A71" s="1" t="s">
        <v>50</v>
      </c>
      <c r="B71" s="1" t="s">
        <v>98</v>
      </c>
      <c r="C71" s="1" t="s">
        <v>103</v>
      </c>
      <c r="D71" s="1" t="s">
        <v>103</v>
      </c>
      <c r="E71" s="2">
        <v>20804</v>
      </c>
      <c r="F71" s="18">
        <v>17</v>
      </c>
      <c r="G71" s="18">
        <v>21</v>
      </c>
      <c r="H71" s="18">
        <v>28</v>
      </c>
      <c r="I71" s="18">
        <v>30</v>
      </c>
      <c r="J71" s="18">
        <v>43</v>
      </c>
      <c r="K71" s="18">
        <v>43</v>
      </c>
      <c r="L71" s="11">
        <v>43</v>
      </c>
      <c r="M71" s="2">
        <f t="shared" si="39"/>
        <v>9</v>
      </c>
      <c r="N71" s="2">
        <f t="shared" si="40"/>
        <v>7</v>
      </c>
      <c r="O71" s="2">
        <f t="shared" si="41"/>
        <v>17</v>
      </c>
      <c r="P71" s="2">
        <f t="shared" si="42"/>
        <v>19</v>
      </c>
      <c r="Q71" s="2">
        <f t="shared" si="43"/>
        <v>11</v>
      </c>
      <c r="R71" s="2">
        <f t="shared" si="44"/>
        <v>11</v>
      </c>
      <c r="S71" s="2">
        <f t="shared" si="45"/>
        <v>14</v>
      </c>
      <c r="T71" s="11">
        <v>26</v>
      </c>
      <c r="U71" s="11">
        <v>28</v>
      </c>
      <c r="V71" s="11">
        <v>45</v>
      </c>
      <c r="W71" s="18">
        <v>49</v>
      </c>
      <c r="X71" s="18">
        <v>54</v>
      </c>
      <c r="Y71" s="23">
        <v>54</v>
      </c>
      <c r="Z71" s="18">
        <v>57</v>
      </c>
      <c r="AA71" s="18">
        <v>65.384615384615387</v>
      </c>
      <c r="AB71" s="18">
        <v>75</v>
      </c>
      <c r="AC71" s="18">
        <v>62.222222222222221</v>
      </c>
      <c r="AD71" s="11">
        <v>61.224489795918366</v>
      </c>
      <c r="AE71" s="11">
        <v>79.629629629629633</v>
      </c>
      <c r="AF71" s="11">
        <v>79.629629629629633</v>
      </c>
      <c r="AG71" s="11">
        <v>75.438596491228068</v>
      </c>
      <c r="AH71" s="11">
        <f t="shared" si="46"/>
        <v>66.148904006046862</v>
      </c>
      <c r="AI71" s="26">
        <f t="shared" si="47"/>
        <v>78.232618583495778</v>
      </c>
      <c r="AJ71" s="2">
        <f t="shared" si="48"/>
        <v>26.333333333333332</v>
      </c>
      <c r="AK71" s="2">
        <f t="shared" si="49"/>
        <v>43</v>
      </c>
      <c r="AL71" s="2">
        <f t="shared" si="50"/>
        <v>14.333333333333334</v>
      </c>
      <c r="AM71" s="2">
        <f t="shared" si="51"/>
        <v>12</v>
      </c>
    </row>
    <row r="72" spans="1:39" x14ac:dyDescent="0.3">
      <c r="A72" s="1" t="s">
        <v>50</v>
      </c>
      <c r="B72" s="1" t="s">
        <v>98</v>
      </c>
      <c r="C72" s="1" t="s">
        <v>104</v>
      </c>
      <c r="D72" s="1" t="s">
        <v>105</v>
      </c>
      <c r="E72" s="2">
        <v>20805</v>
      </c>
      <c r="F72" s="18">
        <v>21</v>
      </c>
      <c r="G72" s="18">
        <v>23</v>
      </c>
      <c r="H72" s="18">
        <v>28</v>
      </c>
      <c r="I72" s="18">
        <v>31</v>
      </c>
      <c r="J72" s="18">
        <v>55</v>
      </c>
      <c r="K72" s="18">
        <v>56</v>
      </c>
      <c r="L72" s="11">
        <v>55</v>
      </c>
      <c r="M72" s="2">
        <f t="shared" si="39"/>
        <v>29</v>
      </c>
      <c r="N72" s="2">
        <f t="shared" si="40"/>
        <v>27</v>
      </c>
      <c r="O72" s="2">
        <f t="shared" si="41"/>
        <v>39</v>
      </c>
      <c r="P72" s="2">
        <f t="shared" si="42"/>
        <v>37</v>
      </c>
      <c r="Q72" s="2">
        <f t="shared" si="43"/>
        <v>18</v>
      </c>
      <c r="R72" s="2">
        <f t="shared" si="44"/>
        <v>17</v>
      </c>
      <c r="S72" s="2">
        <f t="shared" si="45"/>
        <v>18</v>
      </c>
      <c r="T72" s="11">
        <v>50</v>
      </c>
      <c r="U72" s="11">
        <v>50</v>
      </c>
      <c r="V72" s="11">
        <v>67</v>
      </c>
      <c r="W72" s="18">
        <v>68</v>
      </c>
      <c r="X72" s="18">
        <v>73</v>
      </c>
      <c r="Y72" s="23">
        <v>73</v>
      </c>
      <c r="Z72" s="18">
        <v>73</v>
      </c>
      <c r="AA72" s="18">
        <v>42</v>
      </c>
      <c r="AB72" s="18">
        <v>46</v>
      </c>
      <c r="AC72" s="18">
        <v>41.791044776119399</v>
      </c>
      <c r="AD72" s="11">
        <v>45.588235294117645</v>
      </c>
      <c r="AE72" s="11">
        <v>75.342465753424662</v>
      </c>
      <c r="AF72" s="11">
        <v>76.712328767123282</v>
      </c>
      <c r="AG72" s="11">
        <v>75.342465753424662</v>
      </c>
      <c r="AH72" s="11">
        <f t="shared" si="46"/>
        <v>44.45976002341235</v>
      </c>
      <c r="AI72" s="26">
        <f t="shared" si="47"/>
        <v>75.799086757990878</v>
      </c>
      <c r="AJ72" s="2">
        <f t="shared" si="48"/>
        <v>27.333333333333332</v>
      </c>
      <c r="AK72" s="2">
        <f t="shared" si="49"/>
        <v>55.333333333333336</v>
      </c>
      <c r="AL72" s="2">
        <f t="shared" si="50"/>
        <v>34.333333333333336</v>
      </c>
      <c r="AM72" s="2">
        <f t="shared" si="51"/>
        <v>17.666666666666668</v>
      </c>
    </row>
    <row r="73" spans="1:39" x14ac:dyDescent="0.3">
      <c r="A73" s="1" t="s">
        <v>50</v>
      </c>
      <c r="B73" s="1" t="s">
        <v>98</v>
      </c>
      <c r="C73" s="1" t="s">
        <v>106</v>
      </c>
      <c r="D73" s="1" t="s">
        <v>107</v>
      </c>
      <c r="E73" s="2">
        <v>20806</v>
      </c>
      <c r="F73" s="18">
        <v>72</v>
      </c>
      <c r="G73" s="18">
        <v>73</v>
      </c>
      <c r="H73" s="18">
        <v>85</v>
      </c>
      <c r="I73" s="18">
        <v>88</v>
      </c>
      <c r="J73" s="18">
        <v>114</v>
      </c>
      <c r="K73" s="18">
        <v>115</v>
      </c>
      <c r="L73" s="11">
        <v>114</v>
      </c>
      <c r="M73" s="2">
        <f t="shared" si="39"/>
        <v>29</v>
      </c>
      <c r="N73" s="2">
        <f t="shared" si="40"/>
        <v>27</v>
      </c>
      <c r="O73" s="2">
        <f t="shared" si="41"/>
        <v>41</v>
      </c>
      <c r="P73" s="2">
        <f t="shared" si="42"/>
        <v>38</v>
      </c>
      <c r="Q73" s="2">
        <f t="shared" si="43"/>
        <v>29</v>
      </c>
      <c r="R73" s="2">
        <f t="shared" si="44"/>
        <v>30</v>
      </c>
      <c r="S73" s="2">
        <f t="shared" si="45"/>
        <v>32</v>
      </c>
      <c r="T73" s="11">
        <v>101</v>
      </c>
      <c r="U73" s="11">
        <v>100</v>
      </c>
      <c r="V73" s="11">
        <v>126</v>
      </c>
      <c r="W73" s="18">
        <v>126</v>
      </c>
      <c r="X73" s="18">
        <v>143</v>
      </c>
      <c r="Y73" s="23">
        <v>145</v>
      </c>
      <c r="Z73" s="18">
        <v>146</v>
      </c>
      <c r="AA73" s="18">
        <v>71.287128712871279</v>
      </c>
      <c r="AB73" s="18">
        <v>73</v>
      </c>
      <c r="AC73" s="18">
        <v>67.460317460317469</v>
      </c>
      <c r="AD73" s="11">
        <v>69.841269841269835</v>
      </c>
      <c r="AE73" s="11">
        <v>79.72027972027972</v>
      </c>
      <c r="AF73" s="11">
        <v>79.310344827586206</v>
      </c>
      <c r="AG73" s="11">
        <v>78.082191780821915</v>
      </c>
      <c r="AH73" s="11">
        <f t="shared" si="46"/>
        <v>70.100529100529101</v>
      </c>
      <c r="AI73" s="26">
        <f t="shared" si="47"/>
        <v>79.037605442895952</v>
      </c>
      <c r="AJ73" s="2">
        <f t="shared" si="48"/>
        <v>82</v>
      </c>
      <c r="AK73" s="2">
        <f t="shared" si="49"/>
        <v>114.33333333333333</v>
      </c>
      <c r="AL73" s="2">
        <f t="shared" si="50"/>
        <v>35.333333333333336</v>
      </c>
      <c r="AM73" s="2">
        <f t="shared" si="51"/>
        <v>30.333333333333332</v>
      </c>
    </row>
    <row r="74" spans="1:39" x14ac:dyDescent="0.3">
      <c r="A74" s="1" t="s">
        <v>50</v>
      </c>
      <c r="B74" s="1" t="s">
        <v>98</v>
      </c>
      <c r="C74" s="1" t="s">
        <v>108</v>
      </c>
      <c r="D74" s="1" t="s">
        <v>108</v>
      </c>
      <c r="E74" s="2">
        <v>20807</v>
      </c>
      <c r="F74" s="18">
        <v>17</v>
      </c>
      <c r="G74" s="18">
        <v>17</v>
      </c>
      <c r="H74" s="18">
        <v>22</v>
      </c>
      <c r="I74" s="18">
        <v>24</v>
      </c>
      <c r="J74" s="18">
        <v>36</v>
      </c>
      <c r="K74" s="18">
        <v>35</v>
      </c>
      <c r="L74" s="11">
        <v>33</v>
      </c>
      <c r="M74" s="2">
        <f t="shared" si="39"/>
        <v>10</v>
      </c>
      <c r="N74" s="2">
        <f t="shared" si="40"/>
        <v>9</v>
      </c>
      <c r="O74" s="2">
        <f t="shared" si="41"/>
        <v>15</v>
      </c>
      <c r="P74" s="2">
        <f t="shared" si="42"/>
        <v>14</v>
      </c>
      <c r="Q74" s="2">
        <f t="shared" si="43"/>
        <v>12</v>
      </c>
      <c r="R74" s="2">
        <f t="shared" si="44"/>
        <v>13</v>
      </c>
      <c r="S74" s="2">
        <f t="shared" si="45"/>
        <v>15</v>
      </c>
      <c r="T74" s="11">
        <v>27</v>
      </c>
      <c r="U74" s="11">
        <v>26</v>
      </c>
      <c r="V74" s="11">
        <v>37</v>
      </c>
      <c r="W74" s="18">
        <v>38</v>
      </c>
      <c r="X74" s="18">
        <v>48</v>
      </c>
      <c r="Y74" s="23">
        <v>48</v>
      </c>
      <c r="Z74" s="18">
        <v>48</v>
      </c>
      <c r="AA74" s="18">
        <v>62.962962962962962</v>
      </c>
      <c r="AB74" s="18">
        <v>65.384615384615387</v>
      </c>
      <c r="AC74" s="18">
        <v>59.45945945945946</v>
      </c>
      <c r="AD74" s="11">
        <v>63.157894736842103</v>
      </c>
      <c r="AE74" s="11">
        <v>75</v>
      </c>
      <c r="AF74" s="11">
        <v>72.916666666666657</v>
      </c>
      <c r="AG74" s="11">
        <v>68.75</v>
      </c>
      <c r="AH74" s="11">
        <f t="shared" si="46"/>
        <v>62.667323193638985</v>
      </c>
      <c r="AI74" s="26">
        <f t="shared" si="47"/>
        <v>72.222222222222214</v>
      </c>
      <c r="AJ74" s="2">
        <f t="shared" si="48"/>
        <v>21</v>
      </c>
      <c r="AK74" s="2">
        <f t="shared" si="49"/>
        <v>34.666666666666664</v>
      </c>
      <c r="AL74" s="2">
        <f t="shared" si="50"/>
        <v>12.666666666666666</v>
      </c>
      <c r="AM74" s="2">
        <f t="shared" si="51"/>
        <v>13.333333333333334</v>
      </c>
    </row>
    <row r="75" spans="1:39" x14ac:dyDescent="0.3">
      <c r="A75" s="1" t="s">
        <v>50</v>
      </c>
      <c r="B75" s="1" t="s">
        <v>109</v>
      </c>
      <c r="C75" s="1" t="s">
        <v>110</v>
      </c>
      <c r="D75" s="1" t="s">
        <v>110</v>
      </c>
      <c r="E75" s="2">
        <v>20901</v>
      </c>
      <c r="F75" s="18">
        <v>42</v>
      </c>
      <c r="G75" s="18">
        <v>45</v>
      </c>
      <c r="H75" s="18">
        <v>51</v>
      </c>
      <c r="I75" s="18">
        <v>53</v>
      </c>
      <c r="J75" s="18">
        <v>69</v>
      </c>
      <c r="K75" s="18">
        <v>73</v>
      </c>
      <c r="L75" s="11">
        <v>73</v>
      </c>
      <c r="M75" s="2">
        <f t="shared" si="39"/>
        <v>7</v>
      </c>
      <c r="N75" s="2">
        <f t="shared" si="40"/>
        <v>6</v>
      </c>
      <c r="O75" s="2">
        <f t="shared" si="41"/>
        <v>21</v>
      </c>
      <c r="P75" s="2">
        <f t="shared" si="42"/>
        <v>19</v>
      </c>
      <c r="Q75" s="2">
        <f t="shared" si="43"/>
        <v>27</v>
      </c>
      <c r="R75" s="2">
        <f t="shared" si="44"/>
        <v>24</v>
      </c>
      <c r="S75" s="2">
        <f t="shared" si="45"/>
        <v>23</v>
      </c>
      <c r="T75" s="11">
        <v>49</v>
      </c>
      <c r="U75" s="11">
        <v>51</v>
      </c>
      <c r="V75" s="11">
        <v>72</v>
      </c>
      <c r="W75" s="18">
        <v>72</v>
      </c>
      <c r="X75" s="18">
        <v>96</v>
      </c>
      <c r="Y75" s="23">
        <v>97</v>
      </c>
      <c r="Z75" s="18">
        <v>96</v>
      </c>
      <c r="AA75" s="18">
        <v>85.714285714285708</v>
      </c>
      <c r="AB75" s="18">
        <v>88.235294117647058</v>
      </c>
      <c r="AC75" s="18">
        <v>70.833333333333343</v>
      </c>
      <c r="AD75" s="11">
        <v>73.611111111111114</v>
      </c>
      <c r="AE75" s="11">
        <v>71.875</v>
      </c>
      <c r="AF75" s="11">
        <v>75.257731958762889</v>
      </c>
      <c r="AG75" s="11">
        <v>76.041666666666657</v>
      </c>
      <c r="AH75" s="11">
        <f t="shared" si="46"/>
        <v>77.5599128540305</v>
      </c>
      <c r="AI75" s="26">
        <f t="shared" si="47"/>
        <v>74.391466208476515</v>
      </c>
      <c r="AJ75" s="2">
        <f t="shared" si="48"/>
        <v>49.666666666666664</v>
      </c>
      <c r="AK75" s="2">
        <f t="shared" si="49"/>
        <v>71.666666666666671</v>
      </c>
      <c r="AL75" s="2">
        <f t="shared" si="50"/>
        <v>15.333333333333334</v>
      </c>
      <c r="AM75" s="2">
        <f t="shared" si="51"/>
        <v>24.666666666666668</v>
      </c>
    </row>
    <row r="76" spans="1:39" x14ac:dyDescent="0.3">
      <c r="A76" s="1" t="s">
        <v>50</v>
      </c>
      <c r="B76" s="1" t="s">
        <v>109</v>
      </c>
      <c r="C76" s="1" t="s">
        <v>111</v>
      </c>
      <c r="D76" s="1" t="s">
        <v>111</v>
      </c>
      <c r="E76" s="2">
        <v>20902</v>
      </c>
      <c r="F76" s="18">
        <v>20</v>
      </c>
      <c r="G76" s="18">
        <v>25</v>
      </c>
      <c r="H76" s="18">
        <v>35</v>
      </c>
      <c r="I76" s="18">
        <v>37</v>
      </c>
      <c r="J76" s="18">
        <v>60</v>
      </c>
      <c r="K76" s="18">
        <v>61</v>
      </c>
      <c r="L76" s="11">
        <v>67</v>
      </c>
      <c r="M76" s="2">
        <f t="shared" si="39"/>
        <v>16</v>
      </c>
      <c r="N76" s="2">
        <f t="shared" si="40"/>
        <v>15</v>
      </c>
      <c r="O76" s="2">
        <f t="shared" si="41"/>
        <v>24</v>
      </c>
      <c r="P76" s="2">
        <f t="shared" si="42"/>
        <v>24</v>
      </c>
      <c r="Q76" s="2">
        <f t="shared" si="43"/>
        <v>15</v>
      </c>
      <c r="R76" s="2">
        <f t="shared" si="44"/>
        <v>15</v>
      </c>
      <c r="S76" s="2">
        <f t="shared" si="45"/>
        <v>14</v>
      </c>
      <c r="T76" s="11">
        <v>36</v>
      </c>
      <c r="U76" s="11">
        <v>40</v>
      </c>
      <c r="V76" s="11">
        <v>59</v>
      </c>
      <c r="W76" s="18">
        <v>61</v>
      </c>
      <c r="X76" s="18">
        <v>75</v>
      </c>
      <c r="Y76" s="23">
        <v>76</v>
      </c>
      <c r="Z76" s="18">
        <v>81</v>
      </c>
      <c r="AA76" s="18">
        <v>55.555555555555557</v>
      </c>
      <c r="AB76" s="18">
        <v>62.5</v>
      </c>
      <c r="AC76" s="18">
        <v>59.322033898305079</v>
      </c>
      <c r="AD76" s="11">
        <v>60.655737704918032</v>
      </c>
      <c r="AE76" s="11">
        <v>80</v>
      </c>
      <c r="AF76" s="11">
        <v>80.26315789473685</v>
      </c>
      <c r="AG76" s="11">
        <v>82.716049382716051</v>
      </c>
      <c r="AH76" s="11">
        <f t="shared" si="46"/>
        <v>60.825923867741039</v>
      </c>
      <c r="AI76" s="26">
        <f t="shared" si="47"/>
        <v>80.993069092484305</v>
      </c>
      <c r="AJ76" s="2">
        <f t="shared" si="48"/>
        <v>32.333333333333336</v>
      </c>
      <c r="AK76" s="2">
        <f t="shared" si="49"/>
        <v>62.666666666666664</v>
      </c>
      <c r="AL76" s="2">
        <f t="shared" si="50"/>
        <v>21</v>
      </c>
      <c r="AM76" s="2">
        <f t="shared" si="51"/>
        <v>14.666666666666666</v>
      </c>
    </row>
    <row r="77" spans="1:39" x14ac:dyDescent="0.3">
      <c r="A77" s="1" t="s">
        <v>50</v>
      </c>
      <c r="B77" s="1" t="s">
        <v>109</v>
      </c>
      <c r="C77" s="1" t="s">
        <v>112</v>
      </c>
      <c r="D77" s="1" t="s">
        <v>112</v>
      </c>
      <c r="E77" s="2">
        <v>20903</v>
      </c>
      <c r="F77" s="18">
        <v>17</v>
      </c>
      <c r="G77" s="18">
        <v>17</v>
      </c>
      <c r="H77" s="18">
        <v>23</v>
      </c>
      <c r="I77" s="18">
        <v>23</v>
      </c>
      <c r="J77" s="18">
        <v>44</v>
      </c>
      <c r="K77" s="18">
        <v>44</v>
      </c>
      <c r="L77" s="11">
        <v>45</v>
      </c>
      <c r="M77" s="2">
        <f t="shared" si="39"/>
        <v>16</v>
      </c>
      <c r="N77" s="2">
        <f t="shared" si="40"/>
        <v>17</v>
      </c>
      <c r="O77" s="2">
        <f t="shared" si="41"/>
        <v>27</v>
      </c>
      <c r="P77" s="2">
        <f t="shared" si="42"/>
        <v>28</v>
      </c>
      <c r="Q77" s="2">
        <f t="shared" si="43"/>
        <v>17</v>
      </c>
      <c r="R77" s="2">
        <f t="shared" si="44"/>
        <v>17</v>
      </c>
      <c r="S77" s="2">
        <f t="shared" si="45"/>
        <v>17</v>
      </c>
      <c r="T77" s="11">
        <v>33</v>
      </c>
      <c r="U77" s="11">
        <v>34</v>
      </c>
      <c r="V77" s="11">
        <v>50</v>
      </c>
      <c r="W77" s="18">
        <v>51</v>
      </c>
      <c r="X77" s="18">
        <v>61</v>
      </c>
      <c r="Y77" s="23">
        <v>61</v>
      </c>
      <c r="Z77" s="18">
        <v>62</v>
      </c>
      <c r="AA77" s="18">
        <v>51.515151515151516</v>
      </c>
      <c r="AB77" s="18">
        <v>50</v>
      </c>
      <c r="AC77" s="18">
        <v>46</v>
      </c>
      <c r="AD77" s="11">
        <v>45.098039215686278</v>
      </c>
      <c r="AE77" s="11">
        <v>72.131147540983605</v>
      </c>
      <c r="AF77" s="11">
        <v>72.131147540983605</v>
      </c>
      <c r="AG77" s="11">
        <v>72.58064516129032</v>
      </c>
      <c r="AH77" s="11">
        <f t="shared" si="46"/>
        <v>47.032679738562088</v>
      </c>
      <c r="AI77" s="26">
        <f t="shared" si="47"/>
        <v>72.280980081085843</v>
      </c>
      <c r="AJ77" s="2">
        <f t="shared" si="48"/>
        <v>21</v>
      </c>
      <c r="AK77" s="2">
        <f t="shared" si="49"/>
        <v>44.333333333333336</v>
      </c>
      <c r="AL77" s="2">
        <f t="shared" si="50"/>
        <v>24</v>
      </c>
      <c r="AM77" s="2">
        <f t="shared" si="51"/>
        <v>17</v>
      </c>
    </row>
    <row r="78" spans="1:39" x14ac:dyDescent="0.3">
      <c r="A78" s="1" t="s">
        <v>50</v>
      </c>
      <c r="B78" s="1" t="s">
        <v>109</v>
      </c>
      <c r="C78" s="1" t="s">
        <v>113</v>
      </c>
      <c r="D78" s="1" t="s">
        <v>113</v>
      </c>
      <c r="E78" s="2">
        <v>20904</v>
      </c>
      <c r="F78" s="18">
        <v>8</v>
      </c>
      <c r="G78" s="18">
        <v>8</v>
      </c>
      <c r="H78" s="18">
        <v>8</v>
      </c>
      <c r="I78" s="18">
        <v>9</v>
      </c>
      <c r="J78" s="18">
        <v>13</v>
      </c>
      <c r="K78" s="18">
        <v>13</v>
      </c>
      <c r="L78" s="11">
        <v>14</v>
      </c>
      <c r="M78" s="2">
        <f t="shared" si="39"/>
        <v>2</v>
      </c>
      <c r="N78" s="2">
        <f t="shared" si="40"/>
        <v>2</v>
      </c>
      <c r="O78" s="2">
        <f t="shared" si="41"/>
        <v>7</v>
      </c>
      <c r="P78" s="2">
        <f t="shared" si="42"/>
        <v>6</v>
      </c>
      <c r="Q78" s="2">
        <f t="shared" si="43"/>
        <v>3</v>
      </c>
      <c r="R78" s="2">
        <f t="shared" si="44"/>
        <v>3</v>
      </c>
      <c r="S78" s="2">
        <f t="shared" si="45"/>
        <v>2</v>
      </c>
      <c r="T78" s="11">
        <v>10</v>
      </c>
      <c r="U78" s="11">
        <v>10</v>
      </c>
      <c r="V78" s="11">
        <v>15</v>
      </c>
      <c r="W78" s="18">
        <v>15</v>
      </c>
      <c r="X78" s="18">
        <v>16</v>
      </c>
      <c r="Y78" s="23">
        <v>16</v>
      </c>
      <c r="Z78" s="18">
        <v>16</v>
      </c>
      <c r="AA78" s="18">
        <v>80</v>
      </c>
      <c r="AB78" s="18">
        <v>80</v>
      </c>
      <c r="AC78" s="18">
        <v>53.333333333333336</v>
      </c>
      <c r="AD78" s="11">
        <v>60</v>
      </c>
      <c r="AE78" s="11">
        <v>81.25</v>
      </c>
      <c r="AF78" s="11">
        <v>81.25</v>
      </c>
      <c r="AG78" s="11">
        <v>87.5</v>
      </c>
      <c r="AH78" s="11">
        <f t="shared" si="46"/>
        <v>64.444444444444443</v>
      </c>
      <c r="AI78" s="26">
        <f t="shared" si="47"/>
        <v>83.333333333333329</v>
      </c>
      <c r="AJ78" s="2">
        <f t="shared" si="48"/>
        <v>8.3333333333333339</v>
      </c>
      <c r="AK78" s="2">
        <f t="shared" si="49"/>
        <v>13.333333333333334</v>
      </c>
      <c r="AL78" s="2">
        <f t="shared" si="50"/>
        <v>5</v>
      </c>
      <c r="AM78" s="2">
        <f t="shared" si="51"/>
        <v>2.6666666666666665</v>
      </c>
    </row>
    <row r="79" spans="1:39" x14ac:dyDescent="0.3">
      <c r="A79" s="1" t="s">
        <v>50</v>
      </c>
      <c r="B79" s="1" t="s">
        <v>109</v>
      </c>
      <c r="C79" s="1" t="s">
        <v>114</v>
      </c>
      <c r="D79" s="1" t="s">
        <v>114</v>
      </c>
      <c r="E79" s="2">
        <v>20905</v>
      </c>
      <c r="F79" s="18">
        <v>28</v>
      </c>
      <c r="G79" s="18">
        <v>31</v>
      </c>
      <c r="H79" s="18">
        <v>38</v>
      </c>
      <c r="I79" s="18">
        <v>49</v>
      </c>
      <c r="J79" s="18">
        <v>72</v>
      </c>
      <c r="K79" s="18">
        <v>74</v>
      </c>
      <c r="L79" s="11">
        <v>73</v>
      </c>
      <c r="M79" s="2">
        <f t="shared" si="39"/>
        <v>27</v>
      </c>
      <c r="N79" s="2">
        <f t="shared" si="40"/>
        <v>25</v>
      </c>
      <c r="O79" s="2">
        <f t="shared" si="41"/>
        <v>42</v>
      </c>
      <c r="P79" s="2">
        <f t="shared" si="42"/>
        <v>33</v>
      </c>
      <c r="Q79" s="2">
        <f t="shared" si="43"/>
        <v>20</v>
      </c>
      <c r="R79" s="2">
        <f t="shared" si="44"/>
        <v>20</v>
      </c>
      <c r="S79" s="2">
        <f t="shared" si="45"/>
        <v>23</v>
      </c>
      <c r="T79" s="11">
        <v>55</v>
      </c>
      <c r="U79" s="11">
        <v>56</v>
      </c>
      <c r="V79" s="11">
        <v>80</v>
      </c>
      <c r="W79" s="18">
        <v>82</v>
      </c>
      <c r="X79" s="18">
        <v>92</v>
      </c>
      <c r="Y79" s="23">
        <v>94</v>
      </c>
      <c r="Z79" s="18">
        <v>96</v>
      </c>
      <c r="AA79" s="18">
        <v>50.909090909090907</v>
      </c>
      <c r="AB79" s="18">
        <v>55.357142857142861</v>
      </c>
      <c r="AC79" s="18">
        <v>47.5</v>
      </c>
      <c r="AD79" s="11">
        <v>59.756097560975604</v>
      </c>
      <c r="AE79" s="11">
        <v>78.260869565217391</v>
      </c>
      <c r="AF79" s="11">
        <v>78.723404255319153</v>
      </c>
      <c r="AG79" s="11">
        <v>76.041666666666657</v>
      </c>
      <c r="AH79" s="11">
        <f t="shared" si="46"/>
        <v>54.204413472706158</v>
      </c>
      <c r="AI79" s="26">
        <f t="shared" si="47"/>
        <v>77.6753134957344</v>
      </c>
      <c r="AJ79" s="2">
        <f t="shared" si="48"/>
        <v>39.333333333333336</v>
      </c>
      <c r="AK79" s="2">
        <f t="shared" si="49"/>
        <v>73</v>
      </c>
      <c r="AL79" s="2">
        <f t="shared" si="50"/>
        <v>33.333333333333336</v>
      </c>
      <c r="AM79" s="2">
        <f t="shared" si="51"/>
        <v>21</v>
      </c>
    </row>
    <row r="80" spans="1:39" x14ac:dyDescent="0.3">
      <c r="A80" s="1" t="s">
        <v>50</v>
      </c>
      <c r="B80" s="1" t="s">
        <v>115</v>
      </c>
      <c r="C80" s="1" t="s">
        <v>115</v>
      </c>
      <c r="D80" s="1" t="s">
        <v>115</v>
      </c>
      <c r="E80" s="2">
        <v>21001</v>
      </c>
      <c r="F80" s="18">
        <v>35</v>
      </c>
      <c r="G80" s="18">
        <v>38</v>
      </c>
      <c r="H80" s="18">
        <v>48</v>
      </c>
      <c r="I80" s="18">
        <v>66</v>
      </c>
      <c r="J80" s="18">
        <v>97</v>
      </c>
      <c r="K80" s="18">
        <v>100</v>
      </c>
      <c r="L80" s="11">
        <v>98</v>
      </c>
      <c r="M80" s="2">
        <f t="shared" si="39"/>
        <v>22</v>
      </c>
      <c r="N80" s="2">
        <f t="shared" si="40"/>
        <v>19</v>
      </c>
      <c r="O80" s="2">
        <f t="shared" si="41"/>
        <v>54</v>
      </c>
      <c r="P80" s="2">
        <f t="shared" si="42"/>
        <v>41</v>
      </c>
      <c r="Q80" s="2">
        <f t="shared" si="43"/>
        <v>32</v>
      </c>
      <c r="R80" s="2">
        <f t="shared" si="44"/>
        <v>34</v>
      </c>
      <c r="S80" s="2">
        <f t="shared" si="45"/>
        <v>36</v>
      </c>
      <c r="T80" s="11">
        <v>57</v>
      </c>
      <c r="U80" s="11">
        <v>57</v>
      </c>
      <c r="V80" s="11">
        <v>102</v>
      </c>
      <c r="W80" s="18">
        <v>107</v>
      </c>
      <c r="X80" s="18">
        <v>129</v>
      </c>
      <c r="Y80" s="23">
        <v>134</v>
      </c>
      <c r="Z80" s="18">
        <v>134</v>
      </c>
      <c r="AA80" s="18">
        <v>61.403508771929829</v>
      </c>
      <c r="AB80" s="18">
        <v>66.666666666666657</v>
      </c>
      <c r="AC80" s="18">
        <v>47.058823529411761</v>
      </c>
      <c r="AD80" s="11">
        <v>61.682242990654203</v>
      </c>
      <c r="AE80" s="11">
        <v>75.193798449612402</v>
      </c>
      <c r="AF80" s="11">
        <v>74.626865671641795</v>
      </c>
      <c r="AG80" s="11">
        <v>73.134328358208961</v>
      </c>
      <c r="AH80" s="11">
        <f t="shared" si="46"/>
        <v>58.46924439557754</v>
      </c>
      <c r="AI80" s="26">
        <f t="shared" si="47"/>
        <v>74.318330826487724</v>
      </c>
      <c r="AJ80" s="2">
        <f t="shared" si="48"/>
        <v>50.666666666666664</v>
      </c>
      <c r="AK80" s="2">
        <f t="shared" si="49"/>
        <v>98.333333333333329</v>
      </c>
      <c r="AL80" s="2">
        <f t="shared" si="50"/>
        <v>38</v>
      </c>
      <c r="AM80" s="2">
        <f t="shared" si="51"/>
        <v>34</v>
      </c>
    </row>
    <row r="81" spans="1:39" x14ac:dyDescent="0.3">
      <c r="A81" s="1" t="s">
        <v>50</v>
      </c>
      <c r="B81" s="1" t="s">
        <v>115</v>
      </c>
      <c r="C81" s="1" t="s">
        <v>116</v>
      </c>
      <c r="D81" s="1" t="s">
        <v>116</v>
      </c>
      <c r="E81" s="2">
        <v>21002</v>
      </c>
      <c r="F81" s="18">
        <v>15</v>
      </c>
      <c r="G81" s="18">
        <v>15</v>
      </c>
      <c r="H81" s="18">
        <v>19</v>
      </c>
      <c r="I81" s="18">
        <v>19</v>
      </c>
      <c r="J81" s="18">
        <v>43</v>
      </c>
      <c r="K81" s="18">
        <v>45</v>
      </c>
      <c r="L81" s="11">
        <v>44</v>
      </c>
      <c r="M81" s="2">
        <f t="shared" si="39"/>
        <v>8</v>
      </c>
      <c r="N81" s="2">
        <f t="shared" si="40"/>
        <v>8</v>
      </c>
      <c r="O81" s="2">
        <f t="shared" si="41"/>
        <v>18</v>
      </c>
      <c r="P81" s="2">
        <f t="shared" si="42"/>
        <v>18</v>
      </c>
      <c r="Q81" s="2">
        <f t="shared" si="43"/>
        <v>6</v>
      </c>
      <c r="R81" s="2">
        <f t="shared" si="44"/>
        <v>7</v>
      </c>
      <c r="S81" s="2">
        <f t="shared" si="45"/>
        <v>7</v>
      </c>
      <c r="T81" s="11">
        <v>23</v>
      </c>
      <c r="U81" s="11">
        <v>23</v>
      </c>
      <c r="V81" s="11">
        <v>37</v>
      </c>
      <c r="W81" s="18">
        <v>37</v>
      </c>
      <c r="X81" s="18">
        <v>49</v>
      </c>
      <c r="Y81" s="23">
        <v>52</v>
      </c>
      <c r="Z81" s="18">
        <v>51</v>
      </c>
      <c r="AA81" s="18">
        <v>65.217391304347828</v>
      </c>
      <c r="AB81" s="18">
        <v>65.217391304347828</v>
      </c>
      <c r="AC81" s="18">
        <v>51.351351351351347</v>
      </c>
      <c r="AD81" s="11">
        <v>51.351351351351347</v>
      </c>
      <c r="AE81" s="11">
        <v>87.755102040816325</v>
      </c>
      <c r="AF81" s="11">
        <v>86.538461538461547</v>
      </c>
      <c r="AG81" s="11">
        <v>86.274509803921575</v>
      </c>
      <c r="AH81" s="11">
        <f t="shared" si="46"/>
        <v>55.973364669016838</v>
      </c>
      <c r="AI81" s="26">
        <f t="shared" si="47"/>
        <v>86.856024461066497</v>
      </c>
      <c r="AJ81" s="2">
        <f t="shared" si="48"/>
        <v>17.666666666666668</v>
      </c>
      <c r="AK81" s="2">
        <f t="shared" si="49"/>
        <v>44</v>
      </c>
      <c r="AL81" s="2">
        <f t="shared" si="50"/>
        <v>14.666666666666666</v>
      </c>
      <c r="AM81" s="2">
        <f t="shared" si="51"/>
        <v>6.666666666666667</v>
      </c>
    </row>
    <row r="82" spans="1:39" x14ac:dyDescent="0.3">
      <c r="A82" s="1" t="s">
        <v>50</v>
      </c>
      <c r="B82" s="1" t="s">
        <v>115</v>
      </c>
      <c r="C82" s="1" t="s">
        <v>117</v>
      </c>
      <c r="D82" s="1" t="s">
        <v>117</v>
      </c>
      <c r="E82" s="2">
        <v>21003</v>
      </c>
      <c r="F82" s="18">
        <v>21</v>
      </c>
      <c r="G82" s="18">
        <v>23</v>
      </c>
      <c r="H82" s="18">
        <v>31</v>
      </c>
      <c r="I82" s="18">
        <v>37</v>
      </c>
      <c r="J82" s="18">
        <v>73</v>
      </c>
      <c r="K82" s="18">
        <v>77</v>
      </c>
      <c r="L82" s="11">
        <v>76</v>
      </c>
      <c r="M82" s="2">
        <f t="shared" si="39"/>
        <v>9</v>
      </c>
      <c r="N82" s="2">
        <f t="shared" si="40"/>
        <v>10</v>
      </c>
      <c r="O82" s="2">
        <f t="shared" si="41"/>
        <v>23</v>
      </c>
      <c r="P82" s="2">
        <f t="shared" si="42"/>
        <v>24</v>
      </c>
      <c r="Q82" s="2">
        <f t="shared" si="43"/>
        <v>20</v>
      </c>
      <c r="R82" s="2">
        <f t="shared" si="44"/>
        <v>18</v>
      </c>
      <c r="S82" s="2">
        <f t="shared" si="45"/>
        <v>21</v>
      </c>
      <c r="T82" s="11">
        <v>30</v>
      </c>
      <c r="U82" s="11">
        <v>33</v>
      </c>
      <c r="V82" s="11">
        <v>54</v>
      </c>
      <c r="W82" s="18">
        <v>61</v>
      </c>
      <c r="X82" s="18">
        <v>93</v>
      </c>
      <c r="Y82" s="23">
        <v>95</v>
      </c>
      <c r="Z82" s="18">
        <v>97</v>
      </c>
      <c r="AA82" s="18">
        <v>70</v>
      </c>
      <c r="AB82" s="18">
        <v>69.696969696969703</v>
      </c>
      <c r="AC82" s="18">
        <v>57.407407407407405</v>
      </c>
      <c r="AD82" s="11">
        <v>60.655737704918032</v>
      </c>
      <c r="AE82" s="11">
        <v>78.494623655913969</v>
      </c>
      <c r="AF82" s="11">
        <v>81.05263157894737</v>
      </c>
      <c r="AG82" s="11">
        <v>78.350515463917532</v>
      </c>
      <c r="AH82" s="11">
        <f t="shared" si="46"/>
        <v>62.586704936431715</v>
      </c>
      <c r="AI82" s="26">
        <f t="shared" si="47"/>
        <v>79.299256899592947</v>
      </c>
      <c r="AJ82" s="2">
        <f t="shared" si="48"/>
        <v>30.333333333333332</v>
      </c>
      <c r="AK82" s="2">
        <f t="shared" si="49"/>
        <v>75.333333333333329</v>
      </c>
      <c r="AL82" s="2">
        <f t="shared" si="50"/>
        <v>19</v>
      </c>
      <c r="AM82" s="2">
        <f t="shared" si="51"/>
        <v>19.666666666666668</v>
      </c>
    </row>
    <row r="83" spans="1:39" x14ac:dyDescent="0.3">
      <c r="A83" s="1" t="s">
        <v>50</v>
      </c>
      <c r="B83" s="1" t="s">
        <v>115</v>
      </c>
      <c r="C83" s="1" t="s">
        <v>118</v>
      </c>
      <c r="D83" s="1" t="s">
        <v>118</v>
      </c>
      <c r="E83" s="2">
        <v>21004</v>
      </c>
      <c r="F83" s="18">
        <v>46</v>
      </c>
      <c r="G83" s="18">
        <v>47</v>
      </c>
      <c r="H83" s="18">
        <v>46</v>
      </c>
      <c r="I83" s="18">
        <v>49</v>
      </c>
      <c r="J83" s="18">
        <v>95</v>
      </c>
      <c r="K83" s="18">
        <v>101</v>
      </c>
      <c r="L83" s="11">
        <v>102</v>
      </c>
      <c r="M83" s="2">
        <f t="shared" si="39"/>
        <v>35</v>
      </c>
      <c r="N83" s="2">
        <f t="shared" si="40"/>
        <v>34</v>
      </c>
      <c r="O83" s="2">
        <f t="shared" si="41"/>
        <v>76</v>
      </c>
      <c r="P83" s="2">
        <f t="shared" si="42"/>
        <v>76</v>
      </c>
      <c r="Q83" s="2">
        <f t="shared" si="43"/>
        <v>56</v>
      </c>
      <c r="R83" s="2">
        <f t="shared" si="44"/>
        <v>53</v>
      </c>
      <c r="S83" s="2">
        <f t="shared" si="45"/>
        <v>57</v>
      </c>
      <c r="T83" s="11">
        <v>81</v>
      </c>
      <c r="U83" s="11">
        <v>81</v>
      </c>
      <c r="V83" s="11">
        <v>122</v>
      </c>
      <c r="W83" s="18">
        <v>125</v>
      </c>
      <c r="X83" s="18">
        <v>151</v>
      </c>
      <c r="Y83" s="23">
        <v>154</v>
      </c>
      <c r="Z83" s="18">
        <v>159</v>
      </c>
      <c r="AA83" s="18">
        <v>56.79012345679012</v>
      </c>
      <c r="AB83" s="18">
        <v>58.024691358024697</v>
      </c>
      <c r="AC83" s="18">
        <v>37.704918032786885</v>
      </c>
      <c r="AD83" s="11">
        <v>39.200000000000003</v>
      </c>
      <c r="AE83" s="11">
        <v>62.913907284768214</v>
      </c>
      <c r="AF83" s="11">
        <v>65.584415584415595</v>
      </c>
      <c r="AG83" s="11">
        <v>64.15094339622641</v>
      </c>
      <c r="AH83" s="11">
        <f t="shared" si="46"/>
        <v>44.976536463603871</v>
      </c>
      <c r="AI83" s="26">
        <f t="shared" si="47"/>
        <v>64.216422088470082</v>
      </c>
      <c r="AJ83" s="2">
        <f t="shared" si="48"/>
        <v>47.333333333333336</v>
      </c>
      <c r="AK83" s="2">
        <f t="shared" si="49"/>
        <v>99.333333333333329</v>
      </c>
      <c r="AL83" s="2">
        <f t="shared" si="50"/>
        <v>62</v>
      </c>
      <c r="AM83" s="2">
        <f t="shared" si="51"/>
        <v>55.333333333333336</v>
      </c>
    </row>
    <row r="84" spans="1:39" x14ac:dyDescent="0.3">
      <c r="A84" s="1" t="s">
        <v>50</v>
      </c>
      <c r="B84" s="1" t="s">
        <v>115</v>
      </c>
      <c r="C84" s="1" t="s">
        <v>119</v>
      </c>
      <c r="D84" s="1" t="s">
        <v>119</v>
      </c>
      <c r="E84" s="2">
        <v>21005</v>
      </c>
      <c r="F84" s="18">
        <v>19</v>
      </c>
      <c r="G84" s="18">
        <v>22</v>
      </c>
      <c r="H84" s="18">
        <v>27</v>
      </c>
      <c r="I84" s="18">
        <v>25</v>
      </c>
      <c r="J84" s="18">
        <v>44</v>
      </c>
      <c r="K84" s="18">
        <v>45</v>
      </c>
      <c r="L84" s="11">
        <v>45</v>
      </c>
      <c r="M84" s="2">
        <f t="shared" si="39"/>
        <v>5</v>
      </c>
      <c r="N84" s="2">
        <f t="shared" si="40"/>
        <v>4</v>
      </c>
      <c r="O84" s="2">
        <f t="shared" si="41"/>
        <v>16</v>
      </c>
      <c r="P84" s="2">
        <f t="shared" si="42"/>
        <v>22</v>
      </c>
      <c r="Q84" s="2">
        <f t="shared" si="43"/>
        <v>14</v>
      </c>
      <c r="R84" s="2">
        <f t="shared" si="44"/>
        <v>14</v>
      </c>
      <c r="S84" s="2">
        <f t="shared" si="45"/>
        <v>14</v>
      </c>
      <c r="T84" s="11">
        <v>24</v>
      </c>
      <c r="U84" s="11">
        <v>26</v>
      </c>
      <c r="V84" s="11">
        <v>43</v>
      </c>
      <c r="W84" s="18">
        <v>47</v>
      </c>
      <c r="X84" s="18">
        <v>58</v>
      </c>
      <c r="Y84" s="23">
        <v>59</v>
      </c>
      <c r="Z84" s="18">
        <v>59</v>
      </c>
      <c r="AA84" s="18">
        <v>79.166666666666657</v>
      </c>
      <c r="AB84" s="18">
        <v>84.615384615384613</v>
      </c>
      <c r="AC84" s="18">
        <v>62.790697674418603</v>
      </c>
      <c r="AD84" s="11">
        <v>53.191489361702125</v>
      </c>
      <c r="AE84" s="11">
        <v>75.862068965517238</v>
      </c>
      <c r="AF84" s="11">
        <v>76.271186440677965</v>
      </c>
      <c r="AG84" s="11">
        <v>76.271186440677965</v>
      </c>
      <c r="AH84" s="11">
        <f t="shared" si="46"/>
        <v>66.865857217168454</v>
      </c>
      <c r="AI84" s="26">
        <f t="shared" si="47"/>
        <v>76.134813948957728</v>
      </c>
      <c r="AJ84" s="2">
        <f t="shared" si="48"/>
        <v>24.666666666666668</v>
      </c>
      <c r="AK84" s="2">
        <f t="shared" si="49"/>
        <v>44.666666666666664</v>
      </c>
      <c r="AL84" s="2">
        <f t="shared" si="50"/>
        <v>14</v>
      </c>
      <c r="AM84" s="2">
        <f t="shared" si="51"/>
        <v>14</v>
      </c>
    </row>
    <row r="85" spans="1:39" x14ac:dyDescent="0.3">
      <c r="A85" s="1" t="s">
        <v>50</v>
      </c>
      <c r="B85" s="1" t="s">
        <v>115</v>
      </c>
      <c r="C85" s="1" t="s">
        <v>120</v>
      </c>
      <c r="D85" s="1" t="s">
        <v>120</v>
      </c>
      <c r="E85" s="2">
        <v>21006</v>
      </c>
      <c r="F85" s="18">
        <v>4</v>
      </c>
      <c r="G85" s="18">
        <v>6</v>
      </c>
      <c r="H85" s="18">
        <v>8</v>
      </c>
      <c r="I85" s="18">
        <v>8</v>
      </c>
      <c r="J85" s="18">
        <v>10</v>
      </c>
      <c r="K85" s="18">
        <v>11</v>
      </c>
      <c r="L85" s="11">
        <v>11</v>
      </c>
      <c r="M85" s="2">
        <f t="shared" si="39"/>
        <v>3</v>
      </c>
      <c r="N85" s="2">
        <f t="shared" si="40"/>
        <v>1</v>
      </c>
      <c r="O85" s="2">
        <f t="shared" si="41"/>
        <v>3</v>
      </c>
      <c r="P85" s="2">
        <f t="shared" si="42"/>
        <v>3</v>
      </c>
      <c r="Q85" s="2">
        <f t="shared" si="43"/>
        <v>3</v>
      </c>
      <c r="R85" s="2">
        <f t="shared" si="44"/>
        <v>5</v>
      </c>
      <c r="S85" s="2">
        <f t="shared" si="45"/>
        <v>5</v>
      </c>
      <c r="T85" s="11">
        <v>7</v>
      </c>
      <c r="U85" s="11">
        <v>7</v>
      </c>
      <c r="V85" s="11">
        <v>11</v>
      </c>
      <c r="W85" s="18">
        <v>11</v>
      </c>
      <c r="X85" s="18">
        <v>13</v>
      </c>
      <c r="Y85" s="23">
        <v>16</v>
      </c>
      <c r="Z85" s="18">
        <v>16</v>
      </c>
      <c r="AA85" s="18">
        <v>57.142857142857139</v>
      </c>
      <c r="AB85" s="18">
        <v>85.714285714285708</v>
      </c>
      <c r="AC85" s="18">
        <v>72.727272727272734</v>
      </c>
      <c r="AD85" s="11">
        <v>72.727272727272734</v>
      </c>
      <c r="AE85" s="11">
        <v>76.923076923076934</v>
      </c>
      <c r="AF85" s="11">
        <v>68.75</v>
      </c>
      <c r="AG85" s="11">
        <v>68.75</v>
      </c>
      <c r="AH85" s="11">
        <f t="shared" si="46"/>
        <v>77.056277056277054</v>
      </c>
      <c r="AI85" s="26">
        <f t="shared" si="47"/>
        <v>71.474358974358978</v>
      </c>
      <c r="AJ85" s="2">
        <f t="shared" si="48"/>
        <v>7.333333333333333</v>
      </c>
      <c r="AK85" s="2">
        <f t="shared" si="49"/>
        <v>10.666666666666666</v>
      </c>
      <c r="AL85" s="2">
        <f t="shared" si="50"/>
        <v>2.3333333333333335</v>
      </c>
      <c r="AM85" s="2">
        <f t="shared" si="51"/>
        <v>4.333333333333333</v>
      </c>
    </row>
    <row r="86" spans="1:39" x14ac:dyDescent="0.3">
      <c r="A86" s="1" t="s">
        <v>50</v>
      </c>
      <c r="B86" s="1" t="s">
        <v>121</v>
      </c>
      <c r="C86" s="1" t="s">
        <v>122</v>
      </c>
      <c r="D86" s="1" t="s">
        <v>123</v>
      </c>
      <c r="E86" s="2">
        <v>21101</v>
      </c>
      <c r="F86" s="18">
        <v>39</v>
      </c>
      <c r="G86" s="18">
        <v>46</v>
      </c>
      <c r="H86" s="18">
        <v>64</v>
      </c>
      <c r="I86" s="18">
        <v>64</v>
      </c>
      <c r="J86" s="18">
        <v>101</v>
      </c>
      <c r="K86" s="18">
        <v>101</v>
      </c>
      <c r="L86" s="11">
        <v>102</v>
      </c>
      <c r="M86" s="2">
        <f t="shared" si="39"/>
        <v>12</v>
      </c>
      <c r="N86" s="2">
        <f t="shared" si="40"/>
        <v>10</v>
      </c>
      <c r="O86" s="2">
        <f t="shared" si="41"/>
        <v>21</v>
      </c>
      <c r="P86" s="2">
        <f t="shared" si="42"/>
        <v>24</v>
      </c>
      <c r="Q86" s="2">
        <f t="shared" si="43"/>
        <v>21</v>
      </c>
      <c r="R86" s="2">
        <f t="shared" si="44"/>
        <v>23</v>
      </c>
      <c r="S86" s="2">
        <f t="shared" si="45"/>
        <v>27</v>
      </c>
      <c r="T86" s="11">
        <v>51</v>
      </c>
      <c r="U86" s="11">
        <v>56</v>
      </c>
      <c r="V86" s="11">
        <v>85</v>
      </c>
      <c r="W86" s="18">
        <v>88</v>
      </c>
      <c r="X86" s="18">
        <v>122</v>
      </c>
      <c r="Y86" s="23">
        <v>124</v>
      </c>
      <c r="Z86" s="18">
        <v>129</v>
      </c>
      <c r="AA86" s="18">
        <v>76.470588235294116</v>
      </c>
      <c r="AB86" s="18">
        <v>82.142857142857139</v>
      </c>
      <c r="AC86" s="18">
        <v>75.294117647058826</v>
      </c>
      <c r="AD86" s="11">
        <v>72.727272727272734</v>
      </c>
      <c r="AE86" s="11">
        <v>82.786885245901644</v>
      </c>
      <c r="AF86" s="11">
        <v>81.451612903225808</v>
      </c>
      <c r="AG86" s="11">
        <v>79.069767441860463</v>
      </c>
      <c r="AH86" s="11">
        <f t="shared" si="46"/>
        <v>76.7214158390629</v>
      </c>
      <c r="AI86" s="26">
        <f t="shared" si="47"/>
        <v>81.102755196995972</v>
      </c>
      <c r="AJ86" s="2">
        <f t="shared" si="48"/>
        <v>58</v>
      </c>
      <c r="AK86" s="2">
        <f t="shared" si="49"/>
        <v>101.33333333333333</v>
      </c>
      <c r="AL86" s="2">
        <f t="shared" si="50"/>
        <v>18.333333333333332</v>
      </c>
      <c r="AM86" s="2">
        <f t="shared" si="51"/>
        <v>23.666666666666668</v>
      </c>
    </row>
    <row r="87" spans="1:39" x14ac:dyDescent="0.3">
      <c r="A87" s="1" t="s">
        <v>50</v>
      </c>
      <c r="B87" s="1" t="s">
        <v>121</v>
      </c>
      <c r="C87" s="1" t="s">
        <v>124</v>
      </c>
      <c r="D87" s="1" t="s">
        <v>125</v>
      </c>
      <c r="E87" s="2">
        <v>21102</v>
      </c>
      <c r="F87" s="18">
        <v>26</v>
      </c>
      <c r="G87" s="18">
        <v>27</v>
      </c>
      <c r="H87" s="18">
        <v>34</v>
      </c>
      <c r="I87" s="18">
        <v>38</v>
      </c>
      <c r="J87" s="18">
        <v>81</v>
      </c>
      <c r="K87" s="18">
        <v>83</v>
      </c>
      <c r="L87" s="11">
        <v>85</v>
      </c>
      <c r="M87" s="2">
        <f t="shared" si="39"/>
        <v>11</v>
      </c>
      <c r="N87" s="2">
        <f t="shared" si="40"/>
        <v>11</v>
      </c>
      <c r="O87" s="2">
        <f t="shared" si="41"/>
        <v>40</v>
      </c>
      <c r="P87" s="2">
        <f t="shared" si="42"/>
        <v>41</v>
      </c>
      <c r="Q87" s="2">
        <f t="shared" si="43"/>
        <v>28</v>
      </c>
      <c r="R87" s="2">
        <f t="shared" si="44"/>
        <v>28</v>
      </c>
      <c r="S87" s="2">
        <f t="shared" si="45"/>
        <v>33</v>
      </c>
      <c r="T87" s="11">
        <v>37</v>
      </c>
      <c r="U87" s="11">
        <v>38</v>
      </c>
      <c r="V87" s="11">
        <v>74</v>
      </c>
      <c r="W87" s="18">
        <v>79</v>
      </c>
      <c r="X87" s="18">
        <v>109</v>
      </c>
      <c r="Y87" s="23">
        <v>111</v>
      </c>
      <c r="Z87" s="18">
        <v>118</v>
      </c>
      <c r="AA87" s="18">
        <v>70.270270270270274</v>
      </c>
      <c r="AB87" s="18">
        <v>71.05263157894737</v>
      </c>
      <c r="AC87" s="18">
        <v>45.945945945945951</v>
      </c>
      <c r="AD87" s="11">
        <v>48.101265822784811</v>
      </c>
      <c r="AE87" s="11">
        <v>74.311926605504581</v>
      </c>
      <c r="AF87" s="11">
        <v>74.774774774774784</v>
      </c>
      <c r="AG87" s="11">
        <v>72.033898305084747</v>
      </c>
      <c r="AH87" s="11">
        <f t="shared" si="46"/>
        <v>55.033281115892713</v>
      </c>
      <c r="AI87" s="26">
        <f t="shared" si="47"/>
        <v>73.706866561788033</v>
      </c>
      <c r="AJ87" s="2">
        <f t="shared" si="48"/>
        <v>33</v>
      </c>
      <c r="AK87" s="2">
        <f t="shared" si="49"/>
        <v>83</v>
      </c>
      <c r="AL87" s="2">
        <f t="shared" si="50"/>
        <v>30.666666666666668</v>
      </c>
      <c r="AM87" s="2">
        <f t="shared" si="51"/>
        <v>29.666666666666668</v>
      </c>
    </row>
    <row r="88" spans="1:39" x14ac:dyDescent="0.3">
      <c r="A88" s="1" t="s">
        <v>50</v>
      </c>
      <c r="B88" s="1" t="s">
        <v>121</v>
      </c>
      <c r="C88" s="1" t="s">
        <v>126</v>
      </c>
      <c r="D88" s="1" t="s">
        <v>126</v>
      </c>
      <c r="E88" s="2">
        <v>21103</v>
      </c>
      <c r="F88" s="18">
        <v>23</v>
      </c>
      <c r="G88" s="18">
        <v>21</v>
      </c>
      <c r="H88" s="18">
        <v>23</v>
      </c>
      <c r="I88" s="18">
        <v>25</v>
      </c>
      <c r="J88" s="18">
        <v>39</v>
      </c>
      <c r="K88" s="18">
        <v>41</v>
      </c>
      <c r="L88" s="11">
        <v>42</v>
      </c>
      <c r="M88" s="2">
        <f t="shared" si="39"/>
        <v>7</v>
      </c>
      <c r="N88" s="2">
        <f t="shared" si="40"/>
        <v>8</v>
      </c>
      <c r="O88" s="2">
        <f t="shared" si="41"/>
        <v>11</v>
      </c>
      <c r="P88" s="2">
        <f t="shared" si="42"/>
        <v>9</v>
      </c>
      <c r="Q88" s="2">
        <f t="shared" si="43"/>
        <v>8</v>
      </c>
      <c r="R88" s="2">
        <f t="shared" si="44"/>
        <v>8</v>
      </c>
      <c r="S88" s="2">
        <f t="shared" si="45"/>
        <v>8</v>
      </c>
      <c r="T88" s="11">
        <v>30</v>
      </c>
      <c r="U88" s="11">
        <v>29</v>
      </c>
      <c r="V88" s="11">
        <v>34</v>
      </c>
      <c r="W88" s="18">
        <v>34</v>
      </c>
      <c r="X88" s="18">
        <v>47</v>
      </c>
      <c r="Y88" s="23">
        <v>49</v>
      </c>
      <c r="Z88" s="18">
        <v>50</v>
      </c>
      <c r="AA88" s="18">
        <v>76.666666666666671</v>
      </c>
      <c r="AB88" s="18">
        <v>72.41379310344827</v>
      </c>
      <c r="AC88" s="18">
        <v>67.64705882352942</v>
      </c>
      <c r="AD88" s="11">
        <v>73.529411764705884</v>
      </c>
      <c r="AE88" s="11">
        <v>82.978723404255319</v>
      </c>
      <c r="AF88" s="11">
        <v>83.673469387755105</v>
      </c>
      <c r="AG88" s="11">
        <v>84</v>
      </c>
      <c r="AH88" s="11">
        <f t="shared" si="46"/>
        <v>71.19675456389453</v>
      </c>
      <c r="AI88" s="26">
        <f t="shared" si="47"/>
        <v>83.550730930670142</v>
      </c>
      <c r="AJ88" s="2">
        <f t="shared" si="48"/>
        <v>23</v>
      </c>
      <c r="AK88" s="2">
        <f t="shared" si="49"/>
        <v>40.666666666666664</v>
      </c>
      <c r="AL88" s="2">
        <f t="shared" si="50"/>
        <v>9.3333333333333339</v>
      </c>
      <c r="AM88" s="2">
        <f t="shared" si="51"/>
        <v>8</v>
      </c>
    </row>
    <row r="89" spans="1:39" x14ac:dyDescent="0.3">
      <c r="A89" s="1" t="s">
        <v>50</v>
      </c>
      <c r="B89" s="1" t="s">
        <v>121</v>
      </c>
      <c r="C89" s="1" t="s">
        <v>127</v>
      </c>
      <c r="D89" s="1" t="s">
        <v>127</v>
      </c>
      <c r="E89" s="2">
        <v>21104</v>
      </c>
      <c r="F89" s="18">
        <v>41</v>
      </c>
      <c r="G89" s="18">
        <v>46</v>
      </c>
      <c r="H89" s="18">
        <v>68</v>
      </c>
      <c r="I89" s="18">
        <v>77</v>
      </c>
      <c r="J89" s="18">
        <v>165</v>
      </c>
      <c r="K89" s="18">
        <v>176</v>
      </c>
      <c r="L89" s="11">
        <v>179</v>
      </c>
      <c r="M89" s="2">
        <f t="shared" si="39"/>
        <v>41</v>
      </c>
      <c r="N89" s="2">
        <f t="shared" si="40"/>
        <v>40</v>
      </c>
      <c r="O89" s="2">
        <f t="shared" si="41"/>
        <v>73</v>
      </c>
      <c r="P89" s="2">
        <f t="shared" si="42"/>
        <v>72</v>
      </c>
      <c r="Q89" s="2">
        <f t="shared" si="43"/>
        <v>59</v>
      </c>
      <c r="R89" s="2">
        <f t="shared" si="44"/>
        <v>58</v>
      </c>
      <c r="S89" s="2">
        <f t="shared" si="45"/>
        <v>56</v>
      </c>
      <c r="T89" s="11">
        <v>82</v>
      </c>
      <c r="U89" s="11">
        <v>86</v>
      </c>
      <c r="V89" s="11">
        <v>141</v>
      </c>
      <c r="W89" s="18">
        <v>149</v>
      </c>
      <c r="X89" s="18">
        <v>224</v>
      </c>
      <c r="Y89" s="23">
        <v>234</v>
      </c>
      <c r="Z89" s="18">
        <v>235</v>
      </c>
      <c r="AA89" s="18">
        <v>50</v>
      </c>
      <c r="AB89" s="18">
        <v>53.488372093023251</v>
      </c>
      <c r="AC89" s="18">
        <v>48.226950354609926</v>
      </c>
      <c r="AD89" s="11">
        <v>51.677852348993291</v>
      </c>
      <c r="AE89" s="11">
        <v>73.660714285714292</v>
      </c>
      <c r="AF89" s="11">
        <v>75.213675213675216</v>
      </c>
      <c r="AG89" s="11">
        <v>76.170212765957444</v>
      </c>
      <c r="AH89" s="11">
        <f t="shared" si="46"/>
        <v>51.131058265542158</v>
      </c>
      <c r="AI89" s="26">
        <f t="shared" si="47"/>
        <v>75.014867421782313</v>
      </c>
      <c r="AJ89" s="2">
        <f t="shared" si="48"/>
        <v>63.666666666666664</v>
      </c>
      <c r="AK89" s="2">
        <f t="shared" si="49"/>
        <v>173.33333333333334</v>
      </c>
      <c r="AL89" s="2">
        <f t="shared" si="50"/>
        <v>61.666666666666664</v>
      </c>
      <c r="AM89" s="2">
        <f t="shared" si="51"/>
        <v>57.666666666666664</v>
      </c>
    </row>
    <row r="90" spans="1:39" x14ac:dyDescent="0.3">
      <c r="A90" s="1" t="s">
        <v>50</v>
      </c>
      <c r="B90" s="1" t="s">
        <v>121</v>
      </c>
      <c r="C90" s="1" t="s">
        <v>128</v>
      </c>
      <c r="D90" s="1" t="s">
        <v>128</v>
      </c>
      <c r="E90" s="2">
        <v>21105</v>
      </c>
      <c r="F90" s="18">
        <v>51</v>
      </c>
      <c r="G90" s="18">
        <v>61</v>
      </c>
      <c r="H90" s="18">
        <v>87</v>
      </c>
      <c r="I90" s="18">
        <v>106</v>
      </c>
      <c r="J90" s="18">
        <v>234</v>
      </c>
      <c r="K90" s="18">
        <v>252</v>
      </c>
      <c r="L90" s="11">
        <v>266</v>
      </c>
      <c r="M90" s="2">
        <f t="shared" si="39"/>
        <v>31</v>
      </c>
      <c r="N90" s="2">
        <f t="shared" si="40"/>
        <v>30</v>
      </c>
      <c r="O90" s="2">
        <f t="shared" si="41"/>
        <v>78</v>
      </c>
      <c r="P90" s="2">
        <f t="shared" si="42"/>
        <v>76</v>
      </c>
      <c r="Q90" s="2">
        <f t="shared" si="43"/>
        <v>58</v>
      </c>
      <c r="R90" s="2">
        <f t="shared" si="44"/>
        <v>61</v>
      </c>
      <c r="S90" s="2">
        <f t="shared" si="45"/>
        <v>60</v>
      </c>
      <c r="T90" s="11">
        <v>82</v>
      </c>
      <c r="U90" s="11">
        <v>91</v>
      </c>
      <c r="V90" s="11">
        <v>165</v>
      </c>
      <c r="W90" s="18">
        <v>182</v>
      </c>
      <c r="X90" s="18">
        <v>292</v>
      </c>
      <c r="Y90" s="23">
        <v>313</v>
      </c>
      <c r="Z90" s="18">
        <v>326</v>
      </c>
      <c r="AA90" s="18">
        <v>62.195121951219512</v>
      </c>
      <c r="AB90" s="18">
        <v>67.032967032967022</v>
      </c>
      <c r="AC90" s="18">
        <v>52.72727272727272</v>
      </c>
      <c r="AD90" s="11">
        <v>58.241758241758248</v>
      </c>
      <c r="AE90" s="11">
        <v>80.136986301369859</v>
      </c>
      <c r="AF90" s="11">
        <v>80.511182108626201</v>
      </c>
      <c r="AG90" s="11">
        <v>81.595092024539866</v>
      </c>
      <c r="AH90" s="11">
        <f t="shared" si="46"/>
        <v>59.333999333999337</v>
      </c>
      <c r="AI90" s="26">
        <f t="shared" si="47"/>
        <v>80.747753478178637</v>
      </c>
      <c r="AJ90" s="2">
        <f t="shared" si="48"/>
        <v>84.666666666666671</v>
      </c>
      <c r="AK90" s="2">
        <f t="shared" si="49"/>
        <v>250.66666666666666</v>
      </c>
      <c r="AL90" s="2">
        <f t="shared" si="50"/>
        <v>61.333333333333336</v>
      </c>
      <c r="AM90" s="2">
        <f t="shared" si="51"/>
        <v>59.666666666666664</v>
      </c>
    </row>
    <row r="91" spans="1:39" x14ac:dyDescent="0.3">
      <c r="A91" s="1" t="s">
        <v>50</v>
      </c>
      <c r="B91" s="1" t="s">
        <v>129</v>
      </c>
      <c r="C91" s="1" t="s">
        <v>130</v>
      </c>
      <c r="D91" s="1" t="s">
        <v>130</v>
      </c>
      <c r="E91" s="2">
        <v>21201</v>
      </c>
      <c r="F91" s="18">
        <v>114</v>
      </c>
      <c r="G91" s="18">
        <v>119</v>
      </c>
      <c r="H91" s="18">
        <v>157</v>
      </c>
      <c r="I91" s="18">
        <v>168</v>
      </c>
      <c r="J91" s="18">
        <v>189</v>
      </c>
      <c r="K91" s="18">
        <v>188</v>
      </c>
      <c r="L91" s="11">
        <v>195</v>
      </c>
      <c r="M91" s="2">
        <f t="shared" si="39"/>
        <v>45</v>
      </c>
      <c r="N91" s="2">
        <f t="shared" si="40"/>
        <v>45</v>
      </c>
      <c r="O91" s="2">
        <f t="shared" si="41"/>
        <v>72</v>
      </c>
      <c r="P91" s="2">
        <f t="shared" si="42"/>
        <v>68</v>
      </c>
      <c r="Q91" s="2">
        <f t="shared" si="43"/>
        <v>73</v>
      </c>
      <c r="R91" s="2">
        <f t="shared" si="44"/>
        <v>76</v>
      </c>
      <c r="S91" s="2">
        <f t="shared" si="45"/>
        <v>69</v>
      </c>
      <c r="T91" s="11">
        <v>159</v>
      </c>
      <c r="U91" s="11">
        <v>164</v>
      </c>
      <c r="V91" s="11">
        <v>229</v>
      </c>
      <c r="W91" s="18">
        <v>236</v>
      </c>
      <c r="X91" s="18">
        <v>262</v>
      </c>
      <c r="Y91" s="23">
        <v>264</v>
      </c>
      <c r="Z91" s="18">
        <v>264</v>
      </c>
      <c r="AA91" s="18">
        <v>71.698113207547166</v>
      </c>
      <c r="AB91" s="18">
        <v>72.560975609756099</v>
      </c>
      <c r="AC91" s="18">
        <v>68.558951965065503</v>
      </c>
      <c r="AD91" s="11">
        <v>71.186440677966104</v>
      </c>
      <c r="AE91" s="11">
        <v>72.137404580152676</v>
      </c>
      <c r="AF91" s="11">
        <v>71.212121212121218</v>
      </c>
      <c r="AG91" s="11">
        <v>73.86363636363636</v>
      </c>
      <c r="AH91" s="11">
        <f t="shared" si="46"/>
        <v>70.768789417595897</v>
      </c>
      <c r="AI91" s="26">
        <f t="shared" si="47"/>
        <v>72.404387385303423</v>
      </c>
      <c r="AJ91" s="2">
        <f t="shared" si="48"/>
        <v>148</v>
      </c>
      <c r="AK91" s="2">
        <f t="shared" si="49"/>
        <v>190.66666666666666</v>
      </c>
      <c r="AL91" s="2">
        <f t="shared" si="50"/>
        <v>61.666666666666664</v>
      </c>
      <c r="AM91" s="2">
        <f t="shared" si="51"/>
        <v>72.666666666666671</v>
      </c>
    </row>
    <row r="92" spans="1:39" x14ac:dyDescent="0.3">
      <c r="A92" s="1" t="s">
        <v>50</v>
      </c>
      <c r="B92" s="1" t="s">
        <v>129</v>
      </c>
      <c r="C92" s="1" t="s">
        <v>131</v>
      </c>
      <c r="D92" s="1" t="s">
        <v>131</v>
      </c>
      <c r="E92" s="2">
        <v>21202</v>
      </c>
      <c r="F92" s="18">
        <v>72</v>
      </c>
      <c r="G92" s="18">
        <v>72</v>
      </c>
      <c r="H92" s="18">
        <v>89</v>
      </c>
      <c r="I92" s="18">
        <v>97</v>
      </c>
      <c r="J92" s="18">
        <v>138</v>
      </c>
      <c r="K92" s="18">
        <v>143</v>
      </c>
      <c r="L92" s="11">
        <v>146</v>
      </c>
      <c r="M92" s="2">
        <f t="shared" si="39"/>
        <v>32</v>
      </c>
      <c r="N92" s="2">
        <f t="shared" si="40"/>
        <v>32</v>
      </c>
      <c r="O92" s="2">
        <f t="shared" si="41"/>
        <v>34</v>
      </c>
      <c r="P92" s="2">
        <f t="shared" si="42"/>
        <v>32</v>
      </c>
      <c r="Q92" s="2">
        <f t="shared" si="43"/>
        <v>44</v>
      </c>
      <c r="R92" s="2">
        <f t="shared" si="44"/>
        <v>46</v>
      </c>
      <c r="S92" s="2">
        <f t="shared" si="45"/>
        <v>49</v>
      </c>
      <c r="T92" s="11">
        <v>104</v>
      </c>
      <c r="U92" s="11">
        <v>104</v>
      </c>
      <c r="V92" s="11">
        <v>123</v>
      </c>
      <c r="W92" s="18">
        <v>129</v>
      </c>
      <c r="X92" s="18">
        <v>182</v>
      </c>
      <c r="Y92" s="23">
        <v>189</v>
      </c>
      <c r="Z92" s="18">
        <v>195</v>
      </c>
      <c r="AA92" s="18">
        <v>69.230769230769226</v>
      </c>
      <c r="AB92" s="18">
        <v>69.230769230769226</v>
      </c>
      <c r="AC92" s="18">
        <v>72.357723577235774</v>
      </c>
      <c r="AD92" s="11">
        <v>75.193798449612402</v>
      </c>
      <c r="AE92" s="11">
        <v>75.824175824175825</v>
      </c>
      <c r="AF92" s="11">
        <v>75.661375661375658</v>
      </c>
      <c r="AG92" s="11">
        <v>74.871794871794876</v>
      </c>
      <c r="AH92" s="11">
        <f t="shared" si="46"/>
        <v>72.260763752539148</v>
      </c>
      <c r="AI92" s="26">
        <f t="shared" si="47"/>
        <v>75.45244878578211</v>
      </c>
      <c r="AJ92" s="2">
        <f t="shared" si="48"/>
        <v>86</v>
      </c>
      <c r="AK92" s="2">
        <f t="shared" si="49"/>
        <v>142.33333333333334</v>
      </c>
      <c r="AL92" s="2">
        <f t="shared" si="50"/>
        <v>32.666666666666664</v>
      </c>
      <c r="AM92" s="2">
        <f t="shared" si="51"/>
        <v>46.333333333333336</v>
      </c>
    </row>
    <row r="93" spans="1:39" x14ac:dyDescent="0.3">
      <c r="A93" s="1" t="s">
        <v>50</v>
      </c>
      <c r="B93" s="1" t="s">
        <v>129</v>
      </c>
      <c r="C93" s="1" t="s">
        <v>132</v>
      </c>
      <c r="D93" s="1" t="s">
        <v>132</v>
      </c>
      <c r="E93" s="2">
        <v>21203</v>
      </c>
      <c r="F93" s="18">
        <v>95</v>
      </c>
      <c r="G93" s="18">
        <v>97</v>
      </c>
      <c r="H93" s="18">
        <v>127</v>
      </c>
      <c r="I93" s="18">
        <v>126</v>
      </c>
      <c r="J93" s="18">
        <v>125</v>
      </c>
      <c r="K93" s="18">
        <v>124</v>
      </c>
      <c r="L93" s="11">
        <v>127</v>
      </c>
      <c r="M93" s="2">
        <f t="shared" si="39"/>
        <v>22</v>
      </c>
      <c r="N93" s="2">
        <f t="shared" si="40"/>
        <v>20</v>
      </c>
      <c r="O93" s="2">
        <f t="shared" si="41"/>
        <v>35</v>
      </c>
      <c r="P93" s="2">
        <f t="shared" si="42"/>
        <v>38</v>
      </c>
      <c r="Q93" s="2">
        <f t="shared" si="43"/>
        <v>37</v>
      </c>
      <c r="R93" s="2">
        <f t="shared" si="44"/>
        <v>38</v>
      </c>
      <c r="S93" s="2">
        <f t="shared" si="45"/>
        <v>37</v>
      </c>
      <c r="T93" s="11">
        <v>117</v>
      </c>
      <c r="U93" s="11">
        <v>117</v>
      </c>
      <c r="V93" s="11">
        <v>162</v>
      </c>
      <c r="W93" s="18">
        <v>164</v>
      </c>
      <c r="X93" s="18">
        <v>162</v>
      </c>
      <c r="Y93" s="23">
        <v>162</v>
      </c>
      <c r="Z93" s="18">
        <v>164</v>
      </c>
      <c r="AA93" s="18">
        <v>81.196581196581192</v>
      </c>
      <c r="AB93" s="18">
        <v>82.90598290598291</v>
      </c>
      <c r="AC93" s="18">
        <v>78.395061728395063</v>
      </c>
      <c r="AD93" s="11">
        <v>76.829268292682926</v>
      </c>
      <c r="AE93" s="11">
        <v>77.160493827160494</v>
      </c>
      <c r="AF93" s="11">
        <v>76.543209876543202</v>
      </c>
      <c r="AG93" s="11">
        <v>77.439024390243901</v>
      </c>
      <c r="AH93" s="11">
        <f t="shared" si="46"/>
        <v>79.376770975686966</v>
      </c>
      <c r="AI93" s="26">
        <f t="shared" si="47"/>
        <v>77.04757603131587</v>
      </c>
      <c r="AJ93" s="2">
        <f t="shared" si="48"/>
        <v>116.66666666666667</v>
      </c>
      <c r="AK93" s="2">
        <f t="shared" si="49"/>
        <v>125.33333333333333</v>
      </c>
      <c r="AL93" s="2">
        <f t="shared" si="50"/>
        <v>31</v>
      </c>
      <c r="AM93" s="2">
        <f t="shared" si="51"/>
        <v>37.333333333333336</v>
      </c>
    </row>
    <row r="94" spans="1:39" x14ac:dyDescent="0.3">
      <c r="A94" s="1" t="s">
        <v>50</v>
      </c>
      <c r="B94" s="1" t="s">
        <v>129</v>
      </c>
      <c r="C94" s="1" t="s">
        <v>133</v>
      </c>
      <c r="D94" s="1" t="s">
        <v>133</v>
      </c>
      <c r="E94" s="2">
        <v>21204</v>
      </c>
      <c r="F94" s="18">
        <v>23</v>
      </c>
      <c r="G94" s="18">
        <v>23</v>
      </c>
      <c r="H94" s="18">
        <v>30</v>
      </c>
      <c r="I94" s="18">
        <v>38</v>
      </c>
      <c r="J94" s="18">
        <v>47</v>
      </c>
      <c r="K94" s="18">
        <v>48</v>
      </c>
      <c r="L94" s="11">
        <v>52</v>
      </c>
      <c r="M94" s="2">
        <f t="shared" si="39"/>
        <v>12</v>
      </c>
      <c r="N94" s="2">
        <f t="shared" si="40"/>
        <v>12</v>
      </c>
      <c r="O94" s="2">
        <f t="shared" si="41"/>
        <v>24</v>
      </c>
      <c r="P94" s="2">
        <f t="shared" si="42"/>
        <v>19</v>
      </c>
      <c r="Q94" s="2">
        <f t="shared" si="43"/>
        <v>17</v>
      </c>
      <c r="R94" s="2">
        <f t="shared" si="44"/>
        <v>17</v>
      </c>
      <c r="S94" s="2">
        <f t="shared" si="45"/>
        <v>15</v>
      </c>
      <c r="T94" s="11">
        <v>35</v>
      </c>
      <c r="U94" s="11">
        <v>35</v>
      </c>
      <c r="V94" s="11">
        <v>54</v>
      </c>
      <c r="W94" s="18">
        <v>57</v>
      </c>
      <c r="X94" s="18">
        <v>64</v>
      </c>
      <c r="Y94" s="23">
        <v>65</v>
      </c>
      <c r="Z94" s="18">
        <v>67</v>
      </c>
      <c r="AA94" s="18">
        <v>65.714285714285708</v>
      </c>
      <c r="AB94" s="18">
        <v>65.714285714285708</v>
      </c>
      <c r="AC94" s="18">
        <v>55.555555555555557</v>
      </c>
      <c r="AD94" s="11">
        <v>66.666666666666657</v>
      </c>
      <c r="AE94" s="11">
        <v>73.4375</v>
      </c>
      <c r="AF94" s="11">
        <v>73.846153846153854</v>
      </c>
      <c r="AG94" s="11">
        <v>77.611940298507463</v>
      </c>
      <c r="AH94" s="11">
        <f t="shared" si="46"/>
        <v>62.645502645502638</v>
      </c>
      <c r="AI94" s="26">
        <f t="shared" si="47"/>
        <v>74.965198048220444</v>
      </c>
      <c r="AJ94" s="2">
        <f t="shared" si="48"/>
        <v>30.333333333333332</v>
      </c>
      <c r="AK94" s="2">
        <f t="shared" si="49"/>
        <v>49</v>
      </c>
      <c r="AL94" s="2">
        <f t="shared" si="50"/>
        <v>18.333333333333332</v>
      </c>
      <c r="AM94" s="2">
        <f t="shared" si="51"/>
        <v>16.333333333333332</v>
      </c>
    </row>
    <row r="95" spans="1:39" x14ac:dyDescent="0.3">
      <c r="A95" s="1" t="s">
        <v>50</v>
      </c>
      <c r="B95" s="1" t="s">
        <v>134</v>
      </c>
      <c r="C95" s="1" t="s">
        <v>135</v>
      </c>
      <c r="D95" s="1" t="s">
        <v>136</v>
      </c>
      <c r="E95" s="2">
        <v>21301</v>
      </c>
      <c r="F95" s="18">
        <v>75</v>
      </c>
      <c r="G95" s="18">
        <v>73</v>
      </c>
      <c r="H95" s="18">
        <v>83</v>
      </c>
      <c r="I95" s="18">
        <v>96</v>
      </c>
      <c r="J95" s="18">
        <v>126</v>
      </c>
      <c r="K95" s="18">
        <v>131</v>
      </c>
      <c r="L95" s="11">
        <v>137</v>
      </c>
      <c r="M95" s="2">
        <f t="shared" si="39"/>
        <v>45</v>
      </c>
      <c r="N95" s="2">
        <f t="shared" si="40"/>
        <v>47</v>
      </c>
      <c r="O95" s="2">
        <f t="shared" si="41"/>
        <v>72</v>
      </c>
      <c r="P95" s="2">
        <f t="shared" si="42"/>
        <v>60</v>
      </c>
      <c r="Q95" s="2">
        <f t="shared" si="43"/>
        <v>47</v>
      </c>
      <c r="R95" s="2">
        <f t="shared" si="44"/>
        <v>46</v>
      </c>
      <c r="S95" s="2">
        <f t="shared" si="45"/>
        <v>43</v>
      </c>
      <c r="T95" s="11">
        <v>120</v>
      </c>
      <c r="U95" s="11">
        <v>120</v>
      </c>
      <c r="V95" s="11">
        <v>155</v>
      </c>
      <c r="W95" s="18">
        <v>156</v>
      </c>
      <c r="X95" s="18">
        <v>173</v>
      </c>
      <c r="Y95" s="23">
        <v>177</v>
      </c>
      <c r="Z95" s="18">
        <v>180</v>
      </c>
      <c r="AA95" s="18">
        <v>62.5</v>
      </c>
      <c r="AB95" s="18">
        <v>60.833333333333329</v>
      </c>
      <c r="AC95" s="18">
        <v>53.548387096774199</v>
      </c>
      <c r="AD95" s="11">
        <v>61.53846153846154</v>
      </c>
      <c r="AE95" s="11">
        <v>72.832369942196522</v>
      </c>
      <c r="AF95" s="11">
        <v>74.011299435028249</v>
      </c>
      <c r="AG95" s="11">
        <v>76.111111111111114</v>
      </c>
      <c r="AH95" s="11">
        <f t="shared" si="46"/>
        <v>58.640060656189689</v>
      </c>
      <c r="AI95" s="26">
        <f t="shared" si="47"/>
        <v>74.318260162778628</v>
      </c>
      <c r="AJ95" s="2">
        <f t="shared" si="48"/>
        <v>84</v>
      </c>
      <c r="AK95" s="2">
        <f t="shared" si="49"/>
        <v>131.33333333333334</v>
      </c>
      <c r="AL95" s="2">
        <f t="shared" si="50"/>
        <v>59.666666666666664</v>
      </c>
      <c r="AM95" s="2">
        <f t="shared" si="51"/>
        <v>45.333333333333336</v>
      </c>
    </row>
    <row r="96" spans="1:39" x14ac:dyDescent="0.3">
      <c r="A96" s="1" t="s">
        <v>50</v>
      </c>
      <c r="B96" s="1" t="s">
        <v>134</v>
      </c>
      <c r="C96" s="1" t="s">
        <v>137</v>
      </c>
      <c r="D96" s="1" t="s">
        <v>137</v>
      </c>
      <c r="E96" s="2">
        <v>21302</v>
      </c>
      <c r="F96" s="18">
        <v>16</v>
      </c>
      <c r="G96" s="18">
        <v>23</v>
      </c>
      <c r="H96" s="18">
        <v>26</v>
      </c>
      <c r="I96" s="18">
        <v>29</v>
      </c>
      <c r="J96" s="18">
        <v>45</v>
      </c>
      <c r="K96" s="18">
        <v>46</v>
      </c>
      <c r="L96" s="11">
        <v>44</v>
      </c>
      <c r="M96" s="2">
        <f t="shared" si="39"/>
        <v>18</v>
      </c>
      <c r="N96" s="2">
        <f t="shared" si="40"/>
        <v>11</v>
      </c>
      <c r="O96" s="2">
        <f t="shared" si="41"/>
        <v>26</v>
      </c>
      <c r="P96" s="2">
        <f t="shared" si="42"/>
        <v>25</v>
      </c>
      <c r="Q96" s="2">
        <f t="shared" si="43"/>
        <v>19</v>
      </c>
      <c r="R96" s="2">
        <f t="shared" si="44"/>
        <v>20</v>
      </c>
      <c r="S96" s="2">
        <f t="shared" si="45"/>
        <v>23</v>
      </c>
      <c r="T96" s="11">
        <v>34</v>
      </c>
      <c r="U96" s="11">
        <v>34</v>
      </c>
      <c r="V96" s="11">
        <v>52</v>
      </c>
      <c r="W96" s="18">
        <v>54</v>
      </c>
      <c r="X96" s="18">
        <v>64</v>
      </c>
      <c r="Y96" s="23">
        <v>66</v>
      </c>
      <c r="Z96" s="18">
        <v>67</v>
      </c>
      <c r="AA96" s="18">
        <v>47.058823529411761</v>
      </c>
      <c r="AB96" s="18">
        <v>67.64705882352942</v>
      </c>
      <c r="AC96" s="18">
        <v>50</v>
      </c>
      <c r="AD96" s="11">
        <v>53.703703703703709</v>
      </c>
      <c r="AE96" s="11">
        <v>70.3125</v>
      </c>
      <c r="AF96" s="11">
        <v>69.696969696969703</v>
      </c>
      <c r="AG96" s="11">
        <v>65.671641791044777</v>
      </c>
      <c r="AH96" s="11">
        <f t="shared" si="46"/>
        <v>57.116920842411048</v>
      </c>
      <c r="AI96" s="26">
        <f t="shared" si="47"/>
        <v>68.560370496004822</v>
      </c>
      <c r="AJ96" s="2">
        <f t="shared" si="48"/>
        <v>26</v>
      </c>
      <c r="AK96" s="2">
        <f t="shared" si="49"/>
        <v>45</v>
      </c>
      <c r="AL96" s="2">
        <f t="shared" si="50"/>
        <v>20.666666666666668</v>
      </c>
      <c r="AM96" s="2">
        <f t="shared" si="51"/>
        <v>20.666666666666668</v>
      </c>
    </row>
    <row r="97" spans="1:39" x14ac:dyDescent="0.3">
      <c r="A97" s="1" t="s">
        <v>50</v>
      </c>
      <c r="B97" s="1" t="s">
        <v>134</v>
      </c>
      <c r="C97" s="1" t="s">
        <v>138</v>
      </c>
      <c r="D97" s="1" t="s">
        <v>138</v>
      </c>
      <c r="E97" s="2">
        <v>21303</v>
      </c>
      <c r="F97" s="18">
        <v>29</v>
      </c>
      <c r="G97" s="18">
        <v>32</v>
      </c>
      <c r="H97" s="18">
        <v>43</v>
      </c>
      <c r="I97" s="18">
        <v>43</v>
      </c>
      <c r="J97" s="18">
        <v>55</v>
      </c>
      <c r="K97" s="18">
        <v>60</v>
      </c>
      <c r="L97" s="11">
        <v>59</v>
      </c>
      <c r="M97" s="2">
        <f t="shared" si="39"/>
        <v>14</v>
      </c>
      <c r="N97" s="2">
        <f t="shared" si="40"/>
        <v>14</v>
      </c>
      <c r="O97" s="2">
        <f t="shared" si="41"/>
        <v>17</v>
      </c>
      <c r="P97" s="2">
        <f t="shared" si="42"/>
        <v>20</v>
      </c>
      <c r="Q97" s="2">
        <f t="shared" si="43"/>
        <v>14</v>
      </c>
      <c r="R97" s="2">
        <f t="shared" si="44"/>
        <v>11</v>
      </c>
      <c r="S97" s="2">
        <f t="shared" si="45"/>
        <v>13</v>
      </c>
      <c r="T97" s="11">
        <v>43</v>
      </c>
      <c r="U97" s="11">
        <v>46</v>
      </c>
      <c r="V97" s="11">
        <v>60</v>
      </c>
      <c r="W97" s="18">
        <v>63</v>
      </c>
      <c r="X97" s="18">
        <v>69</v>
      </c>
      <c r="Y97" s="23">
        <v>71</v>
      </c>
      <c r="Z97" s="18">
        <v>72</v>
      </c>
      <c r="AA97" s="18">
        <v>67.441860465116278</v>
      </c>
      <c r="AB97" s="18">
        <v>69.565217391304344</v>
      </c>
      <c r="AC97" s="18">
        <v>71.666666666666671</v>
      </c>
      <c r="AD97" s="11">
        <v>68.253968253968253</v>
      </c>
      <c r="AE97" s="11">
        <v>79.710144927536234</v>
      </c>
      <c r="AF97" s="11">
        <v>84.507042253521121</v>
      </c>
      <c r="AG97" s="11">
        <v>81.944444444444443</v>
      </c>
      <c r="AH97" s="11">
        <f t="shared" si="46"/>
        <v>69.828617437313085</v>
      </c>
      <c r="AI97" s="26">
        <f t="shared" si="47"/>
        <v>82.053877208500595</v>
      </c>
      <c r="AJ97" s="2">
        <f t="shared" si="48"/>
        <v>39.333333333333336</v>
      </c>
      <c r="AK97" s="2">
        <f t="shared" si="49"/>
        <v>58</v>
      </c>
      <c r="AL97" s="2">
        <f t="shared" si="50"/>
        <v>17</v>
      </c>
      <c r="AM97" s="2">
        <f t="shared" si="51"/>
        <v>12.666666666666666</v>
      </c>
    </row>
    <row r="98" spans="1:39" x14ac:dyDescent="0.3">
      <c r="A98" s="1" t="s">
        <v>50</v>
      </c>
      <c r="B98" s="1" t="s">
        <v>134</v>
      </c>
      <c r="C98" s="1" t="s">
        <v>139</v>
      </c>
      <c r="D98" s="1" t="s">
        <v>139</v>
      </c>
      <c r="E98" s="2">
        <v>21304</v>
      </c>
      <c r="F98" s="18">
        <v>47</v>
      </c>
      <c r="G98" s="18">
        <v>48</v>
      </c>
      <c r="H98" s="18">
        <v>58</v>
      </c>
      <c r="I98" s="18">
        <v>65</v>
      </c>
      <c r="J98" s="18">
        <v>84</v>
      </c>
      <c r="K98" s="18">
        <v>86</v>
      </c>
      <c r="L98" s="11">
        <v>87</v>
      </c>
      <c r="M98" s="2">
        <f t="shared" si="39"/>
        <v>17</v>
      </c>
      <c r="N98" s="2">
        <f t="shared" si="40"/>
        <v>17</v>
      </c>
      <c r="O98" s="2">
        <f t="shared" si="41"/>
        <v>37</v>
      </c>
      <c r="P98" s="2">
        <f t="shared" si="42"/>
        <v>34</v>
      </c>
      <c r="Q98" s="2">
        <f t="shared" si="43"/>
        <v>28</v>
      </c>
      <c r="R98" s="2">
        <f t="shared" si="44"/>
        <v>27</v>
      </c>
      <c r="S98" s="2">
        <f t="shared" si="45"/>
        <v>30</v>
      </c>
      <c r="T98" s="11">
        <v>64</v>
      </c>
      <c r="U98" s="11">
        <v>65</v>
      </c>
      <c r="V98" s="11">
        <v>95</v>
      </c>
      <c r="W98" s="18">
        <v>99</v>
      </c>
      <c r="X98" s="18">
        <v>112</v>
      </c>
      <c r="Y98" s="23">
        <v>113</v>
      </c>
      <c r="Z98" s="18">
        <v>117</v>
      </c>
      <c r="AA98" s="18">
        <v>73.4375</v>
      </c>
      <c r="AB98" s="18">
        <v>73.846153846153854</v>
      </c>
      <c r="AC98" s="18">
        <v>61.05263157894737</v>
      </c>
      <c r="AD98" s="11">
        <v>65.656565656565661</v>
      </c>
      <c r="AE98" s="11">
        <v>75</v>
      </c>
      <c r="AF98" s="11">
        <v>76.106194690265482</v>
      </c>
      <c r="AG98" s="11">
        <v>74.358974358974365</v>
      </c>
      <c r="AH98" s="11">
        <f t="shared" si="46"/>
        <v>66.851783693888947</v>
      </c>
      <c r="AI98" s="26">
        <f t="shared" si="47"/>
        <v>75.155056349746616</v>
      </c>
      <c r="AJ98" s="2">
        <f t="shared" si="48"/>
        <v>57</v>
      </c>
      <c r="AK98" s="2">
        <f t="shared" si="49"/>
        <v>85.666666666666671</v>
      </c>
      <c r="AL98" s="2">
        <f t="shared" si="50"/>
        <v>29.333333333333332</v>
      </c>
      <c r="AM98" s="2">
        <f t="shared" si="51"/>
        <v>28.333333333333332</v>
      </c>
    </row>
    <row r="99" spans="1:39" x14ac:dyDescent="0.3">
      <c r="A99" s="1" t="s">
        <v>50</v>
      </c>
      <c r="B99" s="1" t="s">
        <v>134</v>
      </c>
      <c r="C99" s="1" t="s">
        <v>140</v>
      </c>
      <c r="D99" s="1" t="s">
        <v>140</v>
      </c>
      <c r="E99" s="2">
        <v>21305</v>
      </c>
      <c r="F99" s="18">
        <v>89</v>
      </c>
      <c r="G99" s="18">
        <v>90</v>
      </c>
      <c r="H99" s="18">
        <v>111</v>
      </c>
      <c r="I99" s="18">
        <v>116</v>
      </c>
      <c r="J99" s="18">
        <v>152</v>
      </c>
      <c r="K99" s="18">
        <v>153</v>
      </c>
      <c r="L99" s="11">
        <v>160</v>
      </c>
      <c r="M99" s="2">
        <f t="shared" si="39"/>
        <v>15</v>
      </c>
      <c r="N99" s="2">
        <f t="shared" si="40"/>
        <v>16</v>
      </c>
      <c r="O99" s="2">
        <f t="shared" si="41"/>
        <v>48</v>
      </c>
      <c r="P99" s="2">
        <f t="shared" si="42"/>
        <v>49</v>
      </c>
      <c r="Q99" s="2">
        <f t="shared" si="43"/>
        <v>61</v>
      </c>
      <c r="R99" s="2">
        <f t="shared" si="44"/>
        <v>64</v>
      </c>
      <c r="S99" s="2">
        <f t="shared" si="45"/>
        <v>62</v>
      </c>
      <c r="T99" s="11">
        <v>104</v>
      </c>
      <c r="U99" s="11">
        <v>106</v>
      </c>
      <c r="V99" s="11">
        <v>159</v>
      </c>
      <c r="W99" s="18">
        <v>165</v>
      </c>
      <c r="X99" s="18">
        <v>213</v>
      </c>
      <c r="Y99" s="23">
        <v>217</v>
      </c>
      <c r="Z99" s="18">
        <v>222</v>
      </c>
      <c r="AA99" s="18">
        <v>85.576923076923066</v>
      </c>
      <c r="AB99" s="18">
        <v>84.905660377358487</v>
      </c>
      <c r="AC99" s="18">
        <v>69.811320754716974</v>
      </c>
      <c r="AD99" s="11">
        <v>70.303030303030297</v>
      </c>
      <c r="AE99" s="11">
        <v>71.36150234741784</v>
      </c>
      <c r="AF99" s="11">
        <v>70.506912442396313</v>
      </c>
      <c r="AG99" s="11">
        <v>72.072072072072075</v>
      </c>
      <c r="AH99" s="11">
        <f t="shared" si="46"/>
        <v>75.006670478368576</v>
      </c>
      <c r="AI99" s="26">
        <f t="shared" si="47"/>
        <v>71.313495620628743</v>
      </c>
      <c r="AJ99" s="2">
        <f t="shared" si="48"/>
        <v>105.66666666666667</v>
      </c>
      <c r="AK99" s="2">
        <f t="shared" si="49"/>
        <v>155</v>
      </c>
      <c r="AL99" s="2">
        <f t="shared" si="50"/>
        <v>37.666666666666664</v>
      </c>
      <c r="AM99" s="2">
        <f t="shared" si="51"/>
        <v>62.333333333333336</v>
      </c>
    </row>
    <row r="100" spans="1:39" x14ac:dyDescent="0.3">
      <c r="A100" s="1" t="s">
        <v>50</v>
      </c>
      <c r="B100" s="1" t="s">
        <v>134</v>
      </c>
      <c r="C100" s="1" t="s">
        <v>141</v>
      </c>
      <c r="D100" s="1" t="s">
        <v>141</v>
      </c>
      <c r="E100" s="2">
        <v>21306</v>
      </c>
      <c r="F100" s="18">
        <v>37</v>
      </c>
      <c r="G100" s="18">
        <v>37</v>
      </c>
      <c r="H100" s="18">
        <v>42</v>
      </c>
      <c r="I100" s="18">
        <v>43</v>
      </c>
      <c r="J100" s="18">
        <v>53</v>
      </c>
      <c r="K100" s="18">
        <v>54</v>
      </c>
      <c r="L100" s="11">
        <v>54</v>
      </c>
      <c r="M100" s="2">
        <f t="shared" si="39"/>
        <v>6</v>
      </c>
      <c r="N100" s="2">
        <f t="shared" si="40"/>
        <v>6</v>
      </c>
      <c r="O100" s="2">
        <f t="shared" si="41"/>
        <v>12</v>
      </c>
      <c r="P100" s="2">
        <f t="shared" si="42"/>
        <v>12</v>
      </c>
      <c r="Q100" s="2">
        <f t="shared" si="43"/>
        <v>11</v>
      </c>
      <c r="R100" s="2">
        <f t="shared" si="44"/>
        <v>13</v>
      </c>
      <c r="S100" s="2">
        <f t="shared" si="45"/>
        <v>14</v>
      </c>
      <c r="T100" s="11">
        <v>43</v>
      </c>
      <c r="U100" s="11">
        <v>43</v>
      </c>
      <c r="V100" s="11">
        <v>54</v>
      </c>
      <c r="W100" s="18">
        <v>55</v>
      </c>
      <c r="X100" s="18">
        <v>64</v>
      </c>
      <c r="Y100" s="23">
        <v>67</v>
      </c>
      <c r="Z100" s="18">
        <v>68</v>
      </c>
      <c r="AA100" s="18">
        <v>86.04651162790698</v>
      </c>
      <c r="AB100" s="18">
        <v>86.04651162790698</v>
      </c>
      <c r="AC100" s="18">
        <v>77.777777777777786</v>
      </c>
      <c r="AD100" s="11">
        <v>78.181818181818187</v>
      </c>
      <c r="AE100" s="11">
        <v>82.8125</v>
      </c>
      <c r="AF100" s="11">
        <v>80.597014925373131</v>
      </c>
      <c r="AG100" s="11">
        <v>79.411764705882348</v>
      </c>
      <c r="AH100" s="11">
        <f t="shared" si="46"/>
        <v>80.668702529167646</v>
      </c>
      <c r="AI100" s="26">
        <f t="shared" si="47"/>
        <v>80.940426543751826</v>
      </c>
      <c r="AJ100" s="2">
        <f t="shared" si="48"/>
        <v>40.666666666666664</v>
      </c>
      <c r="AK100" s="2">
        <f t="shared" si="49"/>
        <v>53.666666666666664</v>
      </c>
      <c r="AL100" s="2">
        <f t="shared" si="50"/>
        <v>10</v>
      </c>
      <c r="AM100" s="2">
        <f t="shared" si="51"/>
        <v>12.666666666666666</v>
      </c>
    </row>
    <row r="101" spans="1:39" x14ac:dyDescent="0.3">
      <c r="A101" s="1" t="s">
        <v>50</v>
      </c>
      <c r="B101" s="1" t="s">
        <v>134</v>
      </c>
      <c r="C101" s="1" t="s">
        <v>142</v>
      </c>
      <c r="D101" s="1" t="s">
        <v>142</v>
      </c>
      <c r="E101" s="2">
        <v>21307</v>
      </c>
      <c r="F101" s="18">
        <v>8</v>
      </c>
      <c r="G101" s="18">
        <v>8</v>
      </c>
      <c r="H101" s="18">
        <v>9</v>
      </c>
      <c r="I101" s="18">
        <v>8</v>
      </c>
      <c r="J101" s="18">
        <v>6</v>
      </c>
      <c r="K101" s="18">
        <v>7</v>
      </c>
      <c r="L101" s="11">
        <v>7</v>
      </c>
      <c r="M101" s="2">
        <f t="shared" si="39"/>
        <v>1</v>
      </c>
      <c r="N101" s="2">
        <f t="shared" si="40"/>
        <v>1</v>
      </c>
      <c r="O101" s="2">
        <f t="shared" si="41"/>
        <v>2</v>
      </c>
      <c r="P101" s="2">
        <f t="shared" si="42"/>
        <v>3</v>
      </c>
      <c r="Q101" s="2">
        <f t="shared" si="43"/>
        <v>5</v>
      </c>
      <c r="R101" s="2">
        <f t="shared" si="44"/>
        <v>4</v>
      </c>
      <c r="S101" s="2">
        <f t="shared" si="45"/>
        <v>4</v>
      </c>
      <c r="T101" s="11">
        <v>9</v>
      </c>
      <c r="U101" s="11">
        <v>9</v>
      </c>
      <c r="V101" s="11">
        <v>11</v>
      </c>
      <c r="W101" s="18">
        <v>11</v>
      </c>
      <c r="X101" s="18">
        <v>11</v>
      </c>
      <c r="Y101" s="23">
        <v>11</v>
      </c>
      <c r="Z101" s="18">
        <v>11</v>
      </c>
      <c r="AA101" s="18">
        <v>88.888888888888886</v>
      </c>
      <c r="AB101" s="18">
        <v>88.888888888888886</v>
      </c>
      <c r="AC101" s="18">
        <v>81.818181818181827</v>
      </c>
      <c r="AD101" s="11">
        <v>72.727272727272734</v>
      </c>
      <c r="AE101" s="11">
        <v>54.54545454545454</v>
      </c>
      <c r="AF101" s="11">
        <v>63.636363636363633</v>
      </c>
      <c r="AG101" s="11">
        <v>63.636363636363633</v>
      </c>
      <c r="AH101" s="11">
        <f t="shared" si="46"/>
        <v>81.144781144781163</v>
      </c>
      <c r="AI101" s="26">
        <f t="shared" si="47"/>
        <v>60.606060606060602</v>
      </c>
      <c r="AJ101" s="2">
        <f t="shared" si="48"/>
        <v>8.3333333333333339</v>
      </c>
      <c r="AK101" s="2">
        <f t="shared" si="49"/>
        <v>6.666666666666667</v>
      </c>
      <c r="AL101" s="2">
        <f t="shared" si="50"/>
        <v>2</v>
      </c>
      <c r="AM101" s="2">
        <f t="shared" si="51"/>
        <v>4.333333333333333</v>
      </c>
    </row>
    <row r="102" spans="1:39" x14ac:dyDescent="0.3">
      <c r="A102" s="1" t="s">
        <v>50</v>
      </c>
      <c r="B102" s="1" t="s">
        <v>143</v>
      </c>
      <c r="C102" s="1" t="s">
        <v>144</v>
      </c>
      <c r="D102" s="1" t="s">
        <v>144</v>
      </c>
      <c r="E102" s="2">
        <v>21401</v>
      </c>
      <c r="F102" s="18">
        <v>31</v>
      </c>
      <c r="G102" s="18">
        <v>34</v>
      </c>
      <c r="H102" s="18">
        <v>42</v>
      </c>
      <c r="I102" s="18">
        <v>50</v>
      </c>
      <c r="J102" s="18">
        <v>86</v>
      </c>
      <c r="K102" s="18">
        <v>87</v>
      </c>
      <c r="L102" s="11">
        <v>90</v>
      </c>
      <c r="M102" s="2">
        <f t="shared" si="39"/>
        <v>21</v>
      </c>
      <c r="N102" s="2">
        <f t="shared" si="40"/>
        <v>23</v>
      </c>
      <c r="O102" s="2">
        <f t="shared" si="41"/>
        <v>43</v>
      </c>
      <c r="P102" s="2">
        <f t="shared" si="42"/>
        <v>39</v>
      </c>
      <c r="Q102" s="2">
        <f t="shared" si="43"/>
        <v>31</v>
      </c>
      <c r="R102" s="2">
        <f t="shared" si="44"/>
        <v>30</v>
      </c>
      <c r="S102" s="2">
        <f t="shared" si="45"/>
        <v>29</v>
      </c>
      <c r="T102" s="11">
        <v>52</v>
      </c>
      <c r="U102" s="11">
        <v>57</v>
      </c>
      <c r="V102" s="11">
        <v>85</v>
      </c>
      <c r="W102" s="18">
        <v>89</v>
      </c>
      <c r="X102" s="18">
        <v>117</v>
      </c>
      <c r="Y102" s="23">
        <v>117</v>
      </c>
      <c r="Z102" s="18">
        <v>119</v>
      </c>
      <c r="AA102" s="18">
        <v>59.615384615384613</v>
      </c>
      <c r="AB102" s="18">
        <v>59.649122807017541</v>
      </c>
      <c r="AC102" s="18">
        <v>49.411764705882355</v>
      </c>
      <c r="AD102" s="11">
        <v>56.17977528089888</v>
      </c>
      <c r="AE102" s="11">
        <v>73.504273504273513</v>
      </c>
      <c r="AF102" s="11">
        <v>74.358974358974365</v>
      </c>
      <c r="AG102" s="11">
        <v>75.630252100840337</v>
      </c>
      <c r="AH102" s="11">
        <f t="shared" si="46"/>
        <v>55.080220931266261</v>
      </c>
      <c r="AI102" s="26">
        <f t="shared" si="47"/>
        <v>74.497833321362734</v>
      </c>
      <c r="AJ102" s="2">
        <f t="shared" si="48"/>
        <v>42</v>
      </c>
      <c r="AK102" s="2">
        <f t="shared" si="49"/>
        <v>87.666666666666671</v>
      </c>
      <c r="AL102" s="2">
        <f t="shared" si="50"/>
        <v>35</v>
      </c>
      <c r="AM102" s="2">
        <f t="shared" si="51"/>
        <v>30</v>
      </c>
    </row>
    <row r="103" spans="1:39" x14ac:dyDescent="0.3">
      <c r="A103" s="1" t="s">
        <v>50</v>
      </c>
      <c r="B103" s="1" t="s">
        <v>143</v>
      </c>
      <c r="C103" s="1" t="s">
        <v>145</v>
      </c>
      <c r="D103" s="1" t="s">
        <v>145</v>
      </c>
      <c r="E103" s="2">
        <v>21402</v>
      </c>
      <c r="F103" s="18">
        <v>35</v>
      </c>
      <c r="G103" s="18">
        <v>37</v>
      </c>
      <c r="H103" s="18">
        <v>46</v>
      </c>
      <c r="I103" s="18">
        <v>46</v>
      </c>
      <c r="J103" s="18">
        <v>77</v>
      </c>
      <c r="K103" s="18">
        <v>79</v>
      </c>
      <c r="L103" s="11">
        <v>77</v>
      </c>
      <c r="M103" s="2">
        <f t="shared" si="39"/>
        <v>9</v>
      </c>
      <c r="N103" s="2">
        <f t="shared" si="40"/>
        <v>10</v>
      </c>
      <c r="O103" s="2">
        <f t="shared" si="41"/>
        <v>22</v>
      </c>
      <c r="P103" s="2">
        <f t="shared" si="42"/>
        <v>23</v>
      </c>
      <c r="Q103" s="2">
        <f t="shared" si="43"/>
        <v>16</v>
      </c>
      <c r="R103" s="2">
        <f t="shared" si="44"/>
        <v>15</v>
      </c>
      <c r="S103" s="2">
        <f t="shared" si="45"/>
        <v>15</v>
      </c>
      <c r="T103" s="11">
        <v>44</v>
      </c>
      <c r="U103" s="11">
        <v>47</v>
      </c>
      <c r="V103" s="11">
        <v>68</v>
      </c>
      <c r="W103" s="18">
        <v>69</v>
      </c>
      <c r="X103" s="18">
        <v>93</v>
      </c>
      <c r="Y103" s="23">
        <v>94</v>
      </c>
      <c r="Z103" s="18">
        <v>92</v>
      </c>
      <c r="AA103" s="18">
        <v>79.545454545454547</v>
      </c>
      <c r="AB103" s="18">
        <v>78.723404255319153</v>
      </c>
      <c r="AC103" s="18">
        <v>67.64705882352942</v>
      </c>
      <c r="AD103" s="11">
        <v>66.666666666666657</v>
      </c>
      <c r="AE103" s="11">
        <v>82.795698924731184</v>
      </c>
      <c r="AF103" s="11">
        <v>84.042553191489361</v>
      </c>
      <c r="AG103" s="11">
        <v>83.695652173913047</v>
      </c>
      <c r="AH103" s="11">
        <f t="shared" si="46"/>
        <v>71.01237658183841</v>
      </c>
      <c r="AI103" s="26">
        <f t="shared" si="47"/>
        <v>83.511301430044526</v>
      </c>
      <c r="AJ103" s="2">
        <f t="shared" si="48"/>
        <v>43</v>
      </c>
      <c r="AK103" s="2">
        <f t="shared" si="49"/>
        <v>77.666666666666671</v>
      </c>
      <c r="AL103" s="2">
        <f t="shared" si="50"/>
        <v>18.333333333333332</v>
      </c>
      <c r="AM103" s="2">
        <f t="shared" si="51"/>
        <v>15.333333333333334</v>
      </c>
    </row>
    <row r="104" spans="1:39" x14ac:dyDescent="0.3">
      <c r="A104" s="1" t="s">
        <v>50</v>
      </c>
      <c r="B104" s="1" t="s">
        <v>146</v>
      </c>
      <c r="C104" s="1" t="s">
        <v>147</v>
      </c>
      <c r="D104" s="1" t="s">
        <v>147</v>
      </c>
      <c r="E104" s="2">
        <v>21501</v>
      </c>
      <c r="F104" s="18">
        <v>15</v>
      </c>
      <c r="G104" s="18">
        <v>21</v>
      </c>
      <c r="H104" s="18">
        <v>24</v>
      </c>
      <c r="I104" s="18">
        <v>34</v>
      </c>
      <c r="J104" s="18">
        <v>99</v>
      </c>
      <c r="K104" s="18">
        <v>98</v>
      </c>
      <c r="L104" s="11">
        <v>99</v>
      </c>
      <c r="M104" s="2">
        <f t="shared" si="39"/>
        <v>10</v>
      </c>
      <c r="N104" s="2">
        <f t="shared" si="40"/>
        <v>9</v>
      </c>
      <c r="O104" s="2">
        <f t="shared" si="41"/>
        <v>18</v>
      </c>
      <c r="P104" s="2">
        <f t="shared" si="42"/>
        <v>16</v>
      </c>
      <c r="Q104" s="2">
        <f t="shared" si="43"/>
        <v>18</v>
      </c>
      <c r="R104" s="2">
        <f t="shared" si="44"/>
        <v>21</v>
      </c>
      <c r="S104" s="2">
        <f t="shared" si="45"/>
        <v>20</v>
      </c>
      <c r="T104" s="11">
        <v>25</v>
      </c>
      <c r="U104" s="11">
        <v>30</v>
      </c>
      <c r="V104" s="11">
        <v>42</v>
      </c>
      <c r="W104" s="18">
        <v>50</v>
      </c>
      <c r="X104" s="18">
        <v>117</v>
      </c>
      <c r="Y104" s="23">
        <v>119</v>
      </c>
      <c r="Z104" s="18">
        <v>119</v>
      </c>
      <c r="AA104" s="18">
        <v>60</v>
      </c>
      <c r="AB104" s="18">
        <v>70</v>
      </c>
      <c r="AC104" s="18">
        <v>57.142857142857139</v>
      </c>
      <c r="AD104" s="11">
        <v>68</v>
      </c>
      <c r="AE104" s="11">
        <v>84.615384615384613</v>
      </c>
      <c r="AF104" s="11">
        <v>82.35294117647058</v>
      </c>
      <c r="AG104" s="11">
        <v>83.193277310924373</v>
      </c>
      <c r="AH104" s="11">
        <f t="shared" si="46"/>
        <v>65.047619047619051</v>
      </c>
      <c r="AI104" s="26">
        <f t="shared" si="47"/>
        <v>83.38720103425986</v>
      </c>
      <c r="AJ104" s="2">
        <f t="shared" si="48"/>
        <v>26.333333333333332</v>
      </c>
      <c r="AK104" s="2">
        <f t="shared" si="49"/>
        <v>98.666666666666671</v>
      </c>
      <c r="AL104" s="2">
        <f t="shared" si="50"/>
        <v>14.333333333333334</v>
      </c>
      <c r="AM104" s="2">
        <f t="shared" si="51"/>
        <v>19.666666666666668</v>
      </c>
    </row>
    <row r="105" spans="1:39" x14ac:dyDescent="0.3">
      <c r="A105" s="1" t="s">
        <v>50</v>
      </c>
      <c r="B105" s="1" t="s">
        <v>146</v>
      </c>
      <c r="C105" s="1" t="s">
        <v>148</v>
      </c>
      <c r="D105" s="1" t="s">
        <v>148</v>
      </c>
      <c r="E105" s="2">
        <v>21502</v>
      </c>
      <c r="F105" s="18">
        <v>15</v>
      </c>
      <c r="G105" s="18">
        <v>16</v>
      </c>
      <c r="H105" s="18">
        <v>17</v>
      </c>
      <c r="I105" s="18">
        <v>20</v>
      </c>
      <c r="J105" s="18">
        <v>73</v>
      </c>
      <c r="K105" s="18">
        <v>74</v>
      </c>
      <c r="L105" s="11">
        <v>74</v>
      </c>
      <c r="M105" s="2">
        <f t="shared" si="39"/>
        <v>12</v>
      </c>
      <c r="N105" s="2">
        <f t="shared" si="40"/>
        <v>12</v>
      </c>
      <c r="O105" s="2">
        <f t="shared" si="41"/>
        <v>31</v>
      </c>
      <c r="P105" s="2">
        <f t="shared" si="42"/>
        <v>32</v>
      </c>
      <c r="Q105" s="2">
        <f t="shared" si="43"/>
        <v>17</v>
      </c>
      <c r="R105" s="2">
        <f t="shared" si="44"/>
        <v>19</v>
      </c>
      <c r="S105" s="2">
        <f t="shared" si="45"/>
        <v>19</v>
      </c>
      <c r="T105" s="11">
        <v>27</v>
      </c>
      <c r="U105" s="11">
        <v>28</v>
      </c>
      <c r="V105" s="11">
        <v>48</v>
      </c>
      <c r="W105" s="18">
        <v>52</v>
      </c>
      <c r="X105" s="18">
        <v>90</v>
      </c>
      <c r="Y105" s="23">
        <v>93</v>
      </c>
      <c r="Z105" s="18">
        <v>93</v>
      </c>
      <c r="AA105" s="18">
        <v>55.555555555555557</v>
      </c>
      <c r="AB105" s="18">
        <v>57.142857142857139</v>
      </c>
      <c r="AC105" s="18">
        <v>35.416666666666671</v>
      </c>
      <c r="AD105" s="11">
        <v>38.461538461538467</v>
      </c>
      <c r="AE105" s="11">
        <v>81.111111111111114</v>
      </c>
      <c r="AF105" s="11">
        <v>79.569892473118273</v>
      </c>
      <c r="AG105" s="11">
        <v>79.569892473118273</v>
      </c>
      <c r="AH105" s="11">
        <f t="shared" si="46"/>
        <v>43.673687423687426</v>
      </c>
      <c r="AI105" s="26">
        <f t="shared" si="47"/>
        <v>80.083632019115882</v>
      </c>
      <c r="AJ105" s="2">
        <f t="shared" si="48"/>
        <v>17.666666666666668</v>
      </c>
      <c r="AK105" s="2">
        <f t="shared" si="49"/>
        <v>73.666666666666671</v>
      </c>
      <c r="AL105" s="2">
        <f t="shared" si="50"/>
        <v>25</v>
      </c>
      <c r="AM105" s="2">
        <f t="shared" si="51"/>
        <v>18.333333333333332</v>
      </c>
    </row>
    <row r="106" spans="1:39" x14ac:dyDescent="0.3">
      <c r="A106" s="1" t="s">
        <v>50</v>
      </c>
      <c r="B106" s="1" t="s">
        <v>149</v>
      </c>
      <c r="C106" s="1" t="s">
        <v>150</v>
      </c>
      <c r="D106" s="1" t="s">
        <v>151</v>
      </c>
      <c r="E106" s="2">
        <v>21601</v>
      </c>
      <c r="F106" s="18">
        <v>15</v>
      </c>
      <c r="G106" s="18">
        <v>19</v>
      </c>
      <c r="H106" s="18">
        <v>22</v>
      </c>
      <c r="I106" s="18">
        <v>29</v>
      </c>
      <c r="J106" s="18">
        <v>69</v>
      </c>
      <c r="K106" s="18">
        <v>77</v>
      </c>
      <c r="L106" s="11">
        <v>80</v>
      </c>
      <c r="M106" s="2">
        <f t="shared" si="39"/>
        <v>18</v>
      </c>
      <c r="N106" s="2">
        <f t="shared" si="40"/>
        <v>18</v>
      </c>
      <c r="O106" s="2">
        <f t="shared" si="41"/>
        <v>39</v>
      </c>
      <c r="P106" s="2">
        <f t="shared" si="42"/>
        <v>35</v>
      </c>
      <c r="Q106" s="2">
        <f t="shared" si="43"/>
        <v>20</v>
      </c>
      <c r="R106" s="2">
        <f t="shared" si="44"/>
        <v>17</v>
      </c>
      <c r="S106" s="2">
        <f t="shared" si="45"/>
        <v>17</v>
      </c>
      <c r="T106" s="11">
        <v>33</v>
      </c>
      <c r="U106" s="11">
        <v>37</v>
      </c>
      <c r="V106" s="11">
        <v>61</v>
      </c>
      <c r="W106" s="18">
        <v>64</v>
      </c>
      <c r="X106" s="18">
        <v>89</v>
      </c>
      <c r="Y106" s="23">
        <v>94</v>
      </c>
      <c r="Z106" s="18">
        <v>97</v>
      </c>
      <c r="AA106" s="18">
        <v>45.454545454545453</v>
      </c>
      <c r="AB106" s="18">
        <v>51.351351351351347</v>
      </c>
      <c r="AC106" s="18">
        <v>36.065573770491802</v>
      </c>
      <c r="AD106" s="11">
        <v>45.3125</v>
      </c>
      <c r="AE106" s="11">
        <v>77.528089887640448</v>
      </c>
      <c r="AF106" s="11">
        <v>81.914893617021278</v>
      </c>
      <c r="AG106" s="11">
        <v>82.474226804123703</v>
      </c>
      <c r="AH106" s="11">
        <f t="shared" si="46"/>
        <v>44.243141707281048</v>
      </c>
      <c r="AI106" s="26">
        <f t="shared" si="47"/>
        <v>80.639070102928471</v>
      </c>
      <c r="AJ106" s="2">
        <f t="shared" si="48"/>
        <v>23.333333333333332</v>
      </c>
      <c r="AK106" s="2">
        <f t="shared" si="49"/>
        <v>75.333333333333329</v>
      </c>
      <c r="AL106" s="2">
        <f t="shared" si="50"/>
        <v>30.666666666666668</v>
      </c>
      <c r="AM106" s="2">
        <f t="shared" si="51"/>
        <v>18</v>
      </c>
    </row>
    <row r="107" spans="1:39" x14ac:dyDescent="0.3">
      <c r="A107" s="1" t="s">
        <v>50</v>
      </c>
      <c r="B107" s="1" t="s">
        <v>149</v>
      </c>
      <c r="C107" s="1" t="s">
        <v>152</v>
      </c>
      <c r="D107" s="1" t="s">
        <v>152</v>
      </c>
      <c r="E107" s="2">
        <v>21602</v>
      </c>
      <c r="F107" s="18">
        <v>3</v>
      </c>
      <c r="G107" s="18">
        <v>2</v>
      </c>
      <c r="H107" s="18">
        <v>2</v>
      </c>
      <c r="I107" s="18">
        <v>4</v>
      </c>
      <c r="J107" s="18">
        <v>16</v>
      </c>
      <c r="K107" s="18">
        <v>15</v>
      </c>
      <c r="L107" s="11">
        <v>17</v>
      </c>
      <c r="M107" s="2">
        <f t="shared" si="39"/>
        <v>1</v>
      </c>
      <c r="N107" s="2">
        <f t="shared" si="40"/>
        <v>2</v>
      </c>
      <c r="O107" s="2">
        <f t="shared" si="41"/>
        <v>7</v>
      </c>
      <c r="P107" s="2">
        <f t="shared" si="42"/>
        <v>6</v>
      </c>
      <c r="Q107" s="2">
        <f t="shared" si="43"/>
        <v>4</v>
      </c>
      <c r="R107" s="2">
        <f t="shared" si="44"/>
        <v>5</v>
      </c>
      <c r="S107" s="2">
        <f t="shared" si="45"/>
        <v>4</v>
      </c>
      <c r="T107" s="11">
        <v>4</v>
      </c>
      <c r="U107" s="11">
        <v>4</v>
      </c>
      <c r="V107" s="11">
        <v>9</v>
      </c>
      <c r="W107" s="18">
        <v>10</v>
      </c>
      <c r="X107" s="18">
        <v>20</v>
      </c>
      <c r="Y107" s="23">
        <v>20</v>
      </c>
      <c r="Z107" s="18">
        <v>21</v>
      </c>
      <c r="AA107" s="18">
        <v>75</v>
      </c>
      <c r="AB107" s="18">
        <v>50</v>
      </c>
      <c r="AC107" s="18">
        <v>22.222222222222221</v>
      </c>
      <c r="AD107" s="11">
        <v>40</v>
      </c>
      <c r="AE107" s="11">
        <v>80</v>
      </c>
      <c r="AF107" s="11">
        <v>75</v>
      </c>
      <c r="AG107" s="11">
        <v>80.952380952380949</v>
      </c>
      <c r="AH107" s="11">
        <f t="shared" si="46"/>
        <v>37.407407407407412</v>
      </c>
      <c r="AI107" s="26">
        <f t="shared" si="47"/>
        <v>78.650793650793659</v>
      </c>
      <c r="AJ107" s="2">
        <f t="shared" si="48"/>
        <v>2.6666666666666665</v>
      </c>
      <c r="AK107" s="2">
        <f t="shared" si="49"/>
        <v>16</v>
      </c>
      <c r="AL107" s="2">
        <f t="shared" si="50"/>
        <v>5</v>
      </c>
      <c r="AM107" s="2">
        <f t="shared" si="51"/>
        <v>4.333333333333333</v>
      </c>
    </row>
    <row r="108" spans="1:39" x14ac:dyDescent="0.3">
      <c r="A108" s="1" t="s">
        <v>50</v>
      </c>
      <c r="B108" s="1" t="s">
        <v>153</v>
      </c>
      <c r="C108" s="1" t="s">
        <v>154</v>
      </c>
      <c r="D108" s="1" t="s">
        <v>154</v>
      </c>
      <c r="E108" s="2">
        <v>21701</v>
      </c>
      <c r="F108" s="18">
        <v>43</v>
      </c>
      <c r="G108" s="18">
        <v>48</v>
      </c>
      <c r="H108" s="18">
        <v>64</v>
      </c>
      <c r="I108" s="18">
        <v>71</v>
      </c>
      <c r="J108" s="18">
        <v>102</v>
      </c>
      <c r="K108" s="18">
        <v>101</v>
      </c>
      <c r="L108" s="11">
        <v>100</v>
      </c>
      <c r="M108" s="2">
        <f t="shared" si="39"/>
        <v>23</v>
      </c>
      <c r="N108" s="2">
        <f t="shared" si="40"/>
        <v>23</v>
      </c>
      <c r="O108" s="2">
        <f t="shared" si="41"/>
        <v>38</v>
      </c>
      <c r="P108" s="2">
        <f t="shared" si="42"/>
        <v>39</v>
      </c>
      <c r="Q108" s="2">
        <f t="shared" si="43"/>
        <v>29</v>
      </c>
      <c r="R108" s="2">
        <f t="shared" si="44"/>
        <v>32</v>
      </c>
      <c r="S108" s="2">
        <f t="shared" si="45"/>
        <v>34</v>
      </c>
      <c r="T108" s="11">
        <v>66</v>
      </c>
      <c r="U108" s="11">
        <v>71</v>
      </c>
      <c r="V108" s="11">
        <v>102</v>
      </c>
      <c r="W108" s="18">
        <v>110</v>
      </c>
      <c r="X108" s="18">
        <v>131</v>
      </c>
      <c r="Y108" s="23">
        <v>133</v>
      </c>
      <c r="Z108" s="18">
        <v>134</v>
      </c>
      <c r="AA108" s="18">
        <v>65.151515151515156</v>
      </c>
      <c r="AB108" s="18">
        <v>67.605633802816897</v>
      </c>
      <c r="AC108" s="18">
        <v>62.745098039215684</v>
      </c>
      <c r="AD108" s="11">
        <v>64.545454545454547</v>
      </c>
      <c r="AE108" s="11">
        <v>77.862595419847324</v>
      </c>
      <c r="AF108" s="11">
        <v>75.939849624060145</v>
      </c>
      <c r="AG108" s="11">
        <v>74.626865671641795</v>
      </c>
      <c r="AH108" s="11">
        <f t="shared" si="46"/>
        <v>64.965395462495721</v>
      </c>
      <c r="AI108" s="26">
        <f t="shared" si="47"/>
        <v>76.14310357184975</v>
      </c>
      <c r="AJ108" s="2">
        <f t="shared" si="48"/>
        <v>61</v>
      </c>
      <c r="AK108" s="2">
        <f t="shared" si="49"/>
        <v>101</v>
      </c>
      <c r="AL108" s="2">
        <f t="shared" si="50"/>
        <v>33.333333333333336</v>
      </c>
      <c r="AM108" s="2">
        <f t="shared" si="51"/>
        <v>31.666666666666668</v>
      </c>
    </row>
    <row r="109" spans="1:39" x14ac:dyDescent="0.3">
      <c r="A109" s="1" t="s">
        <v>50</v>
      </c>
      <c r="B109" s="1" t="s">
        <v>153</v>
      </c>
      <c r="C109" s="1" t="s">
        <v>155</v>
      </c>
      <c r="D109" s="1" t="s">
        <v>155</v>
      </c>
      <c r="E109" s="2">
        <v>21702</v>
      </c>
      <c r="F109" s="18">
        <v>27</v>
      </c>
      <c r="G109" s="18">
        <v>27</v>
      </c>
      <c r="H109" s="18">
        <v>35</v>
      </c>
      <c r="I109" s="18">
        <v>35</v>
      </c>
      <c r="J109" s="18">
        <v>42</v>
      </c>
      <c r="K109" s="18">
        <v>44</v>
      </c>
      <c r="L109" s="11">
        <v>47</v>
      </c>
      <c r="M109" s="2">
        <f t="shared" si="39"/>
        <v>3</v>
      </c>
      <c r="N109" s="2">
        <f t="shared" si="40"/>
        <v>3</v>
      </c>
      <c r="O109" s="2">
        <f t="shared" si="41"/>
        <v>10</v>
      </c>
      <c r="P109" s="2">
        <f t="shared" si="42"/>
        <v>10</v>
      </c>
      <c r="Q109" s="2">
        <f t="shared" si="43"/>
        <v>13</v>
      </c>
      <c r="R109" s="2">
        <f t="shared" si="44"/>
        <v>13</v>
      </c>
      <c r="S109" s="2">
        <f t="shared" si="45"/>
        <v>12</v>
      </c>
      <c r="T109" s="11">
        <v>30</v>
      </c>
      <c r="U109" s="11">
        <v>30</v>
      </c>
      <c r="V109" s="11">
        <v>45</v>
      </c>
      <c r="W109" s="18">
        <v>45</v>
      </c>
      <c r="X109" s="18">
        <v>55</v>
      </c>
      <c r="Y109" s="23">
        <v>57</v>
      </c>
      <c r="Z109" s="18">
        <v>59</v>
      </c>
      <c r="AA109" s="18">
        <v>90</v>
      </c>
      <c r="AB109" s="18">
        <v>90</v>
      </c>
      <c r="AC109" s="18">
        <v>77.777777777777786</v>
      </c>
      <c r="AD109" s="11">
        <v>77.777777777777786</v>
      </c>
      <c r="AE109" s="11">
        <v>76.363636363636374</v>
      </c>
      <c r="AF109" s="11">
        <v>77.192982456140342</v>
      </c>
      <c r="AG109" s="11">
        <v>79.66101694915254</v>
      </c>
      <c r="AH109" s="11">
        <f t="shared" si="46"/>
        <v>81.851851851851848</v>
      </c>
      <c r="AI109" s="26">
        <f t="shared" si="47"/>
        <v>77.739211922976423</v>
      </c>
      <c r="AJ109" s="2">
        <f t="shared" si="48"/>
        <v>32.333333333333336</v>
      </c>
      <c r="AK109" s="2">
        <f t="shared" si="49"/>
        <v>44.333333333333336</v>
      </c>
      <c r="AL109" s="2">
        <f t="shared" si="50"/>
        <v>7.666666666666667</v>
      </c>
      <c r="AM109" s="2">
        <f t="shared" si="51"/>
        <v>12.666666666666666</v>
      </c>
    </row>
    <row r="110" spans="1:39" x14ac:dyDescent="0.3">
      <c r="A110" s="1" t="s">
        <v>50</v>
      </c>
      <c r="B110" s="1" t="s">
        <v>153</v>
      </c>
      <c r="C110" s="1" t="s">
        <v>156</v>
      </c>
      <c r="D110" s="1" t="s">
        <v>156</v>
      </c>
      <c r="E110" s="2">
        <v>21703</v>
      </c>
      <c r="F110" s="18">
        <v>5</v>
      </c>
      <c r="G110" s="18">
        <v>6</v>
      </c>
      <c r="H110" s="18">
        <v>7</v>
      </c>
      <c r="I110" s="18">
        <v>8</v>
      </c>
      <c r="J110" s="18">
        <v>10</v>
      </c>
      <c r="K110" s="18">
        <v>10</v>
      </c>
      <c r="L110" s="11">
        <v>10</v>
      </c>
      <c r="M110" s="2">
        <f t="shared" si="39"/>
        <v>3</v>
      </c>
      <c r="N110" s="2">
        <f t="shared" si="40"/>
        <v>2</v>
      </c>
      <c r="O110" s="2">
        <f t="shared" si="41"/>
        <v>4</v>
      </c>
      <c r="P110" s="2">
        <f t="shared" si="42"/>
        <v>4</v>
      </c>
      <c r="Q110" s="2">
        <f t="shared" si="43"/>
        <v>0</v>
      </c>
      <c r="R110" s="2">
        <f t="shared" si="44"/>
        <v>0</v>
      </c>
      <c r="S110" s="2">
        <f t="shared" si="45"/>
        <v>0</v>
      </c>
      <c r="T110" s="11">
        <v>8</v>
      </c>
      <c r="U110" s="11">
        <v>8</v>
      </c>
      <c r="V110" s="11">
        <v>11</v>
      </c>
      <c r="W110" s="18">
        <v>12</v>
      </c>
      <c r="X110" s="18">
        <v>10</v>
      </c>
      <c r="Y110" s="23">
        <v>10</v>
      </c>
      <c r="Z110" s="18">
        <v>10</v>
      </c>
      <c r="AA110" s="18">
        <v>62.5</v>
      </c>
      <c r="AB110" s="18">
        <v>75</v>
      </c>
      <c r="AC110" s="18">
        <v>63.636363636363633</v>
      </c>
      <c r="AD110" s="11">
        <v>66.666666666666657</v>
      </c>
      <c r="AE110" s="11">
        <v>100</v>
      </c>
      <c r="AF110" s="11">
        <v>100</v>
      </c>
      <c r="AG110" s="11">
        <v>100</v>
      </c>
      <c r="AH110" s="11">
        <f t="shared" si="46"/>
        <v>68.434343434343432</v>
      </c>
      <c r="AI110" s="26">
        <f t="shared" si="47"/>
        <v>100</v>
      </c>
      <c r="AJ110" s="2">
        <f t="shared" si="48"/>
        <v>7</v>
      </c>
      <c r="AK110" s="2">
        <f t="shared" si="49"/>
        <v>10</v>
      </c>
      <c r="AL110" s="2">
        <f t="shared" si="50"/>
        <v>3.3333333333333335</v>
      </c>
      <c r="AM110" s="2">
        <f t="shared" si="51"/>
        <v>0</v>
      </c>
    </row>
    <row r="111" spans="1:39" x14ac:dyDescent="0.3">
      <c r="A111" s="1" t="s">
        <v>50</v>
      </c>
      <c r="B111" s="1" t="s">
        <v>157</v>
      </c>
      <c r="C111" s="1" t="s">
        <v>158</v>
      </c>
      <c r="D111" s="1" t="s">
        <v>158</v>
      </c>
      <c r="E111" s="2">
        <v>21801</v>
      </c>
      <c r="F111" s="18">
        <v>33</v>
      </c>
      <c r="G111" s="18">
        <v>31</v>
      </c>
      <c r="H111" s="18">
        <v>34</v>
      </c>
      <c r="I111" s="18">
        <v>34</v>
      </c>
      <c r="J111" s="18">
        <v>50</v>
      </c>
      <c r="K111" s="18">
        <v>52</v>
      </c>
      <c r="L111" s="11">
        <v>52</v>
      </c>
      <c r="M111" s="2">
        <f t="shared" si="39"/>
        <v>12</v>
      </c>
      <c r="N111" s="2">
        <f t="shared" si="40"/>
        <v>13</v>
      </c>
      <c r="O111" s="2">
        <f t="shared" si="41"/>
        <v>26</v>
      </c>
      <c r="P111" s="2">
        <f t="shared" si="42"/>
        <v>24</v>
      </c>
      <c r="Q111" s="2">
        <f t="shared" si="43"/>
        <v>19</v>
      </c>
      <c r="R111" s="2">
        <f t="shared" si="44"/>
        <v>17</v>
      </c>
      <c r="S111" s="2">
        <f t="shared" si="45"/>
        <v>16</v>
      </c>
      <c r="T111" s="11">
        <v>45</v>
      </c>
      <c r="U111" s="11">
        <v>44</v>
      </c>
      <c r="V111" s="11">
        <v>60</v>
      </c>
      <c r="W111" s="18">
        <v>58</v>
      </c>
      <c r="X111" s="18">
        <v>69</v>
      </c>
      <c r="Y111" s="23">
        <v>69</v>
      </c>
      <c r="Z111" s="18">
        <v>68</v>
      </c>
      <c r="AA111" s="18">
        <v>73.333333333333329</v>
      </c>
      <c r="AB111" s="18">
        <v>70.454545454545453</v>
      </c>
      <c r="AC111" s="18">
        <v>56.666666666666664</v>
      </c>
      <c r="AD111" s="11">
        <v>58.620689655172406</v>
      </c>
      <c r="AE111" s="11">
        <v>72.463768115942031</v>
      </c>
      <c r="AF111" s="11">
        <v>75.362318840579718</v>
      </c>
      <c r="AG111" s="11">
        <v>76.470588235294116</v>
      </c>
      <c r="AH111" s="11">
        <f t="shared" si="46"/>
        <v>61.913967258794848</v>
      </c>
      <c r="AI111" s="26">
        <f t="shared" si="47"/>
        <v>74.76555839727196</v>
      </c>
      <c r="AJ111" s="2">
        <f t="shared" si="48"/>
        <v>33</v>
      </c>
      <c r="AK111" s="2">
        <f t="shared" si="49"/>
        <v>51.333333333333336</v>
      </c>
      <c r="AL111" s="2">
        <f t="shared" si="50"/>
        <v>21</v>
      </c>
      <c r="AM111" s="2">
        <f t="shared" si="51"/>
        <v>17.333333333333332</v>
      </c>
    </row>
    <row r="112" spans="1:39" x14ac:dyDescent="0.3">
      <c r="A112" s="1" t="s">
        <v>50</v>
      </c>
      <c r="B112" s="1" t="s">
        <v>159</v>
      </c>
      <c r="C112" s="1" t="s">
        <v>160</v>
      </c>
      <c r="D112" s="1" t="s">
        <v>160</v>
      </c>
      <c r="E112" s="2">
        <v>21802</v>
      </c>
      <c r="F112" s="18">
        <v>14</v>
      </c>
      <c r="G112" s="18">
        <v>15</v>
      </c>
      <c r="H112" s="18">
        <v>18</v>
      </c>
      <c r="I112" s="18">
        <v>22</v>
      </c>
      <c r="J112" s="18">
        <v>27</v>
      </c>
      <c r="K112" s="18">
        <v>26</v>
      </c>
      <c r="L112" s="11">
        <v>25</v>
      </c>
      <c r="M112" s="2">
        <f t="shared" si="39"/>
        <v>17</v>
      </c>
      <c r="N112" s="2">
        <f t="shared" si="40"/>
        <v>15</v>
      </c>
      <c r="O112" s="2">
        <f t="shared" si="41"/>
        <v>26</v>
      </c>
      <c r="P112" s="2">
        <f t="shared" si="42"/>
        <v>24</v>
      </c>
      <c r="Q112" s="2">
        <f t="shared" si="43"/>
        <v>17</v>
      </c>
      <c r="R112" s="2">
        <f t="shared" si="44"/>
        <v>19</v>
      </c>
      <c r="S112" s="2">
        <f t="shared" si="45"/>
        <v>20</v>
      </c>
      <c r="T112" s="11">
        <v>31</v>
      </c>
      <c r="U112" s="11">
        <v>30</v>
      </c>
      <c r="V112" s="11">
        <v>44</v>
      </c>
      <c r="W112" s="18">
        <v>46</v>
      </c>
      <c r="X112" s="18">
        <v>44</v>
      </c>
      <c r="Y112" s="23">
        <v>45</v>
      </c>
      <c r="Z112" s="18">
        <v>45</v>
      </c>
      <c r="AA112" s="18">
        <v>45.161290322580641</v>
      </c>
      <c r="AB112" s="18">
        <v>50</v>
      </c>
      <c r="AC112" s="18">
        <v>40.909090909090914</v>
      </c>
      <c r="AD112" s="11">
        <v>47.826086956521742</v>
      </c>
      <c r="AE112" s="11">
        <v>61.363636363636367</v>
      </c>
      <c r="AF112" s="11">
        <v>57.777777777777771</v>
      </c>
      <c r="AG112" s="11">
        <v>55.555555555555557</v>
      </c>
      <c r="AH112" s="11">
        <f t="shared" si="46"/>
        <v>46.245059288537554</v>
      </c>
      <c r="AI112" s="26">
        <f t="shared" si="47"/>
        <v>58.232323232323232</v>
      </c>
      <c r="AJ112" s="2">
        <f t="shared" si="48"/>
        <v>18.333333333333332</v>
      </c>
      <c r="AK112" s="2">
        <f t="shared" si="49"/>
        <v>26</v>
      </c>
      <c r="AL112" s="2">
        <f t="shared" si="50"/>
        <v>21.666666666666668</v>
      </c>
      <c r="AM112" s="2">
        <f t="shared" si="51"/>
        <v>18.666666666666668</v>
      </c>
    </row>
    <row r="113" spans="1:39" x14ac:dyDescent="0.3">
      <c r="A113" s="1" t="s">
        <v>50</v>
      </c>
      <c r="B113" s="1" t="s">
        <v>159</v>
      </c>
      <c r="C113" s="1" t="s">
        <v>161</v>
      </c>
      <c r="D113" s="1" t="s">
        <v>161</v>
      </c>
      <c r="E113" s="2">
        <v>21803</v>
      </c>
      <c r="F113" s="18">
        <v>5</v>
      </c>
      <c r="G113" s="18">
        <v>5</v>
      </c>
      <c r="H113" s="18">
        <v>5</v>
      </c>
      <c r="I113" s="18">
        <v>5</v>
      </c>
      <c r="J113" s="18">
        <v>12</v>
      </c>
      <c r="K113" s="18">
        <v>12</v>
      </c>
      <c r="L113" s="11">
        <v>13</v>
      </c>
      <c r="M113" s="2">
        <f t="shared" si="39"/>
        <v>0</v>
      </c>
      <c r="N113" s="2">
        <f t="shared" si="40"/>
        <v>0</v>
      </c>
      <c r="O113" s="2">
        <f t="shared" si="41"/>
        <v>3</v>
      </c>
      <c r="P113" s="2">
        <f t="shared" si="42"/>
        <v>3</v>
      </c>
      <c r="Q113" s="2">
        <f t="shared" si="43"/>
        <v>3</v>
      </c>
      <c r="R113" s="2">
        <f t="shared" si="44"/>
        <v>4</v>
      </c>
      <c r="S113" s="2">
        <f t="shared" si="45"/>
        <v>3</v>
      </c>
      <c r="T113" s="11">
        <v>5</v>
      </c>
      <c r="U113" s="11">
        <v>5</v>
      </c>
      <c r="V113" s="11">
        <v>8</v>
      </c>
      <c r="W113" s="18">
        <v>8</v>
      </c>
      <c r="X113" s="18">
        <v>15</v>
      </c>
      <c r="Y113" s="23">
        <v>16</v>
      </c>
      <c r="Z113" s="18">
        <v>16</v>
      </c>
      <c r="AA113" s="18">
        <v>100</v>
      </c>
      <c r="AB113" s="18">
        <v>100</v>
      </c>
      <c r="AC113" s="18">
        <v>62.5</v>
      </c>
      <c r="AD113" s="11">
        <v>62.5</v>
      </c>
      <c r="AE113" s="11">
        <v>80</v>
      </c>
      <c r="AF113" s="11">
        <v>75</v>
      </c>
      <c r="AG113" s="11">
        <v>81.25</v>
      </c>
      <c r="AH113" s="11">
        <f t="shared" si="46"/>
        <v>75</v>
      </c>
      <c r="AI113" s="26">
        <f t="shared" si="47"/>
        <v>78.75</v>
      </c>
      <c r="AJ113" s="2">
        <f t="shared" si="48"/>
        <v>5</v>
      </c>
      <c r="AK113" s="2">
        <f t="shared" si="49"/>
        <v>12.333333333333334</v>
      </c>
      <c r="AL113" s="2">
        <f t="shared" si="50"/>
        <v>2</v>
      </c>
      <c r="AM113" s="2">
        <f t="shared" si="51"/>
        <v>3.3333333333333335</v>
      </c>
    </row>
    <row r="114" spans="1:39" x14ac:dyDescent="0.3">
      <c r="A114" s="1" t="s">
        <v>50</v>
      </c>
      <c r="B114" s="1" t="s">
        <v>162</v>
      </c>
      <c r="C114" s="1" t="s">
        <v>163</v>
      </c>
      <c r="D114" s="1" t="s">
        <v>163</v>
      </c>
      <c r="E114" s="2">
        <v>21901</v>
      </c>
      <c r="F114" s="18">
        <v>10</v>
      </c>
      <c r="G114" s="18">
        <v>12</v>
      </c>
      <c r="H114" s="18">
        <v>15</v>
      </c>
      <c r="I114" s="18">
        <v>15</v>
      </c>
      <c r="J114" s="18">
        <v>27</v>
      </c>
      <c r="K114" s="18">
        <v>27</v>
      </c>
      <c r="L114" s="11">
        <v>29</v>
      </c>
      <c r="M114" s="2">
        <f t="shared" si="39"/>
        <v>15</v>
      </c>
      <c r="N114" s="2">
        <f t="shared" si="40"/>
        <v>13</v>
      </c>
      <c r="O114" s="2">
        <f t="shared" si="41"/>
        <v>21</v>
      </c>
      <c r="P114" s="2">
        <f t="shared" si="42"/>
        <v>21</v>
      </c>
      <c r="Q114" s="2">
        <f t="shared" si="43"/>
        <v>14</v>
      </c>
      <c r="R114" s="2">
        <f t="shared" si="44"/>
        <v>14</v>
      </c>
      <c r="S114" s="2">
        <f t="shared" si="45"/>
        <v>13</v>
      </c>
      <c r="T114" s="11">
        <v>25</v>
      </c>
      <c r="U114" s="11">
        <v>25</v>
      </c>
      <c r="V114" s="11">
        <v>36</v>
      </c>
      <c r="W114" s="18">
        <v>36</v>
      </c>
      <c r="X114" s="18">
        <v>41</v>
      </c>
      <c r="Y114" s="23">
        <v>41</v>
      </c>
      <c r="Z114" s="18">
        <v>42</v>
      </c>
      <c r="AA114" s="18">
        <v>40</v>
      </c>
      <c r="AB114" s="18">
        <v>48</v>
      </c>
      <c r="AC114" s="18">
        <v>41.666666666666671</v>
      </c>
      <c r="AD114" s="11">
        <v>41.666666666666671</v>
      </c>
      <c r="AE114" s="11">
        <v>65.853658536585371</v>
      </c>
      <c r="AF114" s="11">
        <v>65.853658536585371</v>
      </c>
      <c r="AG114" s="11">
        <v>69.047619047619051</v>
      </c>
      <c r="AH114" s="11">
        <f t="shared" si="46"/>
        <v>43.777777777777779</v>
      </c>
      <c r="AI114" s="26">
        <f t="shared" si="47"/>
        <v>66.918312040263274</v>
      </c>
      <c r="AJ114" s="2">
        <f t="shared" si="48"/>
        <v>14</v>
      </c>
      <c r="AK114" s="2">
        <f t="shared" si="49"/>
        <v>27.666666666666668</v>
      </c>
      <c r="AL114" s="2">
        <f t="shared" si="50"/>
        <v>18.333333333333332</v>
      </c>
      <c r="AM114" s="2">
        <f t="shared" si="51"/>
        <v>13.666666666666666</v>
      </c>
    </row>
    <row r="115" spans="1:39" x14ac:dyDescent="0.3">
      <c r="A115" s="1" t="s">
        <v>50</v>
      </c>
      <c r="B115" s="1" t="s">
        <v>162</v>
      </c>
      <c r="C115" s="1" t="s">
        <v>164</v>
      </c>
      <c r="D115" s="1" t="s">
        <v>164</v>
      </c>
      <c r="E115" s="2">
        <v>21902</v>
      </c>
      <c r="F115" s="18">
        <v>4</v>
      </c>
      <c r="G115" s="18">
        <v>6</v>
      </c>
      <c r="H115" s="18">
        <v>10</v>
      </c>
      <c r="I115" s="18">
        <v>11</v>
      </c>
      <c r="J115" s="18">
        <v>12</v>
      </c>
      <c r="K115" s="18">
        <v>10</v>
      </c>
      <c r="L115" s="11">
        <v>12</v>
      </c>
      <c r="M115" s="2">
        <f t="shared" si="39"/>
        <v>5</v>
      </c>
      <c r="N115" s="2">
        <f t="shared" si="40"/>
        <v>3</v>
      </c>
      <c r="O115" s="2">
        <f t="shared" si="41"/>
        <v>5</v>
      </c>
      <c r="P115" s="2">
        <f t="shared" si="42"/>
        <v>4</v>
      </c>
      <c r="Q115" s="2">
        <f t="shared" si="43"/>
        <v>4</v>
      </c>
      <c r="R115" s="2">
        <f t="shared" si="44"/>
        <v>6</v>
      </c>
      <c r="S115" s="2">
        <f t="shared" si="45"/>
        <v>5</v>
      </c>
      <c r="T115" s="11">
        <v>9</v>
      </c>
      <c r="U115" s="11">
        <v>9</v>
      </c>
      <c r="V115" s="11">
        <v>15</v>
      </c>
      <c r="W115" s="18">
        <v>15</v>
      </c>
      <c r="X115" s="18">
        <v>16</v>
      </c>
      <c r="Y115" s="23">
        <v>16</v>
      </c>
      <c r="Z115" s="18">
        <v>17</v>
      </c>
      <c r="AA115" s="18">
        <v>44.444444444444443</v>
      </c>
      <c r="AB115" s="18">
        <v>66.666666666666657</v>
      </c>
      <c r="AC115" s="18">
        <v>66.666666666666657</v>
      </c>
      <c r="AD115" s="11">
        <v>73.333333333333329</v>
      </c>
      <c r="AE115" s="11">
        <v>75</v>
      </c>
      <c r="AF115" s="11">
        <v>62.5</v>
      </c>
      <c r="AG115" s="11">
        <v>70.588235294117652</v>
      </c>
      <c r="AH115" s="11">
        <f t="shared" si="46"/>
        <v>68.888888888888872</v>
      </c>
      <c r="AI115" s="26">
        <f t="shared" si="47"/>
        <v>69.362745098039213</v>
      </c>
      <c r="AJ115" s="2">
        <f t="shared" si="48"/>
        <v>9</v>
      </c>
      <c r="AK115" s="2">
        <f t="shared" si="49"/>
        <v>11.333333333333334</v>
      </c>
      <c r="AL115" s="2">
        <f t="shared" si="50"/>
        <v>4</v>
      </c>
      <c r="AM115" s="2">
        <f t="shared" si="51"/>
        <v>5</v>
      </c>
    </row>
    <row r="116" spans="1:39" x14ac:dyDescent="0.3">
      <c r="A116" s="1" t="s">
        <v>50</v>
      </c>
      <c r="B116" s="1" t="s">
        <v>165</v>
      </c>
      <c r="C116" s="1" t="s">
        <v>165</v>
      </c>
      <c r="D116" s="1" t="s">
        <v>165</v>
      </c>
      <c r="E116" s="2">
        <v>22001</v>
      </c>
      <c r="F116" s="18">
        <v>128</v>
      </c>
      <c r="G116" s="18">
        <v>146</v>
      </c>
      <c r="H116" s="18">
        <v>168</v>
      </c>
      <c r="I116" s="18">
        <v>140</v>
      </c>
      <c r="J116" s="18">
        <v>260</v>
      </c>
      <c r="K116" s="18">
        <v>273</v>
      </c>
      <c r="L116" s="11">
        <v>273</v>
      </c>
      <c r="M116" s="2">
        <f t="shared" si="39"/>
        <v>59</v>
      </c>
      <c r="N116" s="2">
        <f t="shared" si="40"/>
        <v>54</v>
      </c>
      <c r="O116" s="2">
        <f t="shared" si="41"/>
        <v>135</v>
      </c>
      <c r="P116" s="2">
        <f t="shared" si="42"/>
        <v>120</v>
      </c>
      <c r="Q116" s="2">
        <f t="shared" si="43"/>
        <v>84</v>
      </c>
      <c r="R116" s="2">
        <f t="shared" si="44"/>
        <v>77</v>
      </c>
      <c r="S116" s="2">
        <f t="shared" si="45"/>
        <v>83</v>
      </c>
      <c r="T116" s="11">
        <v>187</v>
      </c>
      <c r="U116" s="11">
        <v>200</v>
      </c>
      <c r="V116" s="11">
        <v>303</v>
      </c>
      <c r="W116" s="18">
        <v>260</v>
      </c>
      <c r="X116" s="18">
        <v>344</v>
      </c>
      <c r="Y116" s="23">
        <v>350</v>
      </c>
      <c r="Z116" s="18">
        <v>356</v>
      </c>
      <c r="AA116" s="18">
        <v>68.449197860962556</v>
      </c>
      <c r="AB116" s="18">
        <v>73</v>
      </c>
      <c r="AC116" s="18">
        <v>55.445544554455452</v>
      </c>
      <c r="AD116" s="11">
        <v>53.846153846153847</v>
      </c>
      <c r="AE116" s="11">
        <v>75.581395348837205</v>
      </c>
      <c r="AF116" s="11">
        <v>78</v>
      </c>
      <c r="AG116" s="11">
        <v>76.68539325842697</v>
      </c>
      <c r="AH116" s="11">
        <f t="shared" si="46"/>
        <v>60.763899466869766</v>
      </c>
      <c r="AI116" s="26">
        <f t="shared" si="47"/>
        <v>76.755596202421387</v>
      </c>
      <c r="AJ116" s="2">
        <f t="shared" si="48"/>
        <v>151.33333333333334</v>
      </c>
      <c r="AK116" s="2">
        <f t="shared" si="49"/>
        <v>268.66666666666669</v>
      </c>
      <c r="AL116" s="2">
        <f t="shared" si="50"/>
        <v>103</v>
      </c>
      <c r="AM116" s="2">
        <f t="shared" si="51"/>
        <v>81.333333333333329</v>
      </c>
    </row>
    <row r="117" spans="1:39" x14ac:dyDescent="0.3">
      <c r="A117" s="1" t="s">
        <v>50</v>
      </c>
      <c r="B117" s="1" t="s">
        <v>165</v>
      </c>
      <c r="C117" s="1" t="s">
        <v>166</v>
      </c>
      <c r="D117" s="1" t="s">
        <v>166</v>
      </c>
      <c r="E117" s="2">
        <v>22002</v>
      </c>
      <c r="F117" s="18">
        <v>1</v>
      </c>
      <c r="G117" s="18">
        <v>1</v>
      </c>
      <c r="H117" s="18">
        <v>1</v>
      </c>
      <c r="I117" s="18">
        <v>35</v>
      </c>
      <c r="J117" s="18">
        <v>61</v>
      </c>
      <c r="K117" s="18">
        <v>64</v>
      </c>
      <c r="L117" s="11">
        <v>64</v>
      </c>
      <c r="M117" s="2">
        <f t="shared" si="39"/>
        <v>1</v>
      </c>
      <c r="N117" s="2">
        <f t="shared" si="40"/>
        <v>1</v>
      </c>
      <c r="O117" s="2">
        <f t="shared" si="41"/>
        <v>1</v>
      </c>
      <c r="P117" s="2">
        <f t="shared" si="42"/>
        <v>21</v>
      </c>
      <c r="Q117" s="2">
        <f t="shared" si="43"/>
        <v>21</v>
      </c>
      <c r="R117" s="2">
        <f t="shared" si="44"/>
        <v>24</v>
      </c>
      <c r="S117" s="2">
        <f t="shared" si="45"/>
        <v>24</v>
      </c>
      <c r="T117" s="11">
        <v>2</v>
      </c>
      <c r="U117" s="11">
        <v>2</v>
      </c>
      <c r="V117" s="11">
        <v>2</v>
      </c>
      <c r="W117" s="18">
        <v>56</v>
      </c>
      <c r="X117" s="18">
        <v>82</v>
      </c>
      <c r="Y117" s="23">
        <v>88</v>
      </c>
      <c r="Z117" s="18">
        <v>88</v>
      </c>
      <c r="AA117" s="18">
        <v>50</v>
      </c>
      <c r="AB117" s="18">
        <v>50</v>
      </c>
      <c r="AC117" s="18">
        <v>50</v>
      </c>
      <c r="AD117" s="11">
        <v>62.5</v>
      </c>
      <c r="AE117" s="11">
        <v>74.390243902439025</v>
      </c>
      <c r="AF117" s="11">
        <v>72.727272727272734</v>
      </c>
      <c r="AG117" s="11">
        <v>72.727272727272734</v>
      </c>
      <c r="AH117" s="11">
        <f t="shared" si="46"/>
        <v>54.166666666666664</v>
      </c>
      <c r="AI117" s="26">
        <f t="shared" si="47"/>
        <v>73.281596452328174</v>
      </c>
      <c r="AJ117" s="2">
        <f t="shared" si="48"/>
        <v>12.333333333333334</v>
      </c>
      <c r="AK117" s="2">
        <f t="shared" si="49"/>
        <v>63</v>
      </c>
      <c r="AL117" s="2">
        <f t="shared" si="50"/>
        <v>7.666666666666667</v>
      </c>
      <c r="AM117" s="2">
        <f t="shared" si="51"/>
        <v>23</v>
      </c>
    </row>
    <row r="118" spans="1:39" x14ac:dyDescent="0.3">
      <c r="A118" s="1" t="s">
        <v>167</v>
      </c>
      <c r="B118" s="1" t="s">
        <v>168</v>
      </c>
      <c r="C118" s="1" t="s">
        <v>167</v>
      </c>
      <c r="D118" s="1" t="s">
        <v>167</v>
      </c>
      <c r="E118" s="2">
        <v>30101</v>
      </c>
      <c r="F118" s="18">
        <v>1666</v>
      </c>
      <c r="G118" s="18">
        <v>1826</v>
      </c>
      <c r="H118" s="18">
        <v>2196</v>
      </c>
      <c r="I118" s="18">
        <v>2323</v>
      </c>
      <c r="J118" s="18">
        <v>2709</v>
      </c>
      <c r="K118" s="18">
        <v>2752</v>
      </c>
      <c r="L118" s="11">
        <v>2785</v>
      </c>
      <c r="M118" s="2">
        <f t="shared" si="39"/>
        <v>426</v>
      </c>
      <c r="N118" s="2">
        <f t="shared" si="40"/>
        <v>448</v>
      </c>
      <c r="O118" s="2">
        <f t="shared" si="41"/>
        <v>571</v>
      </c>
      <c r="P118" s="2">
        <f t="shared" si="42"/>
        <v>611</v>
      </c>
      <c r="Q118" s="2">
        <f t="shared" si="43"/>
        <v>557</v>
      </c>
      <c r="R118" s="2">
        <f t="shared" si="44"/>
        <v>571</v>
      </c>
      <c r="S118" s="2">
        <f t="shared" si="45"/>
        <v>559</v>
      </c>
      <c r="T118" s="11">
        <v>2092</v>
      </c>
      <c r="U118" s="11">
        <v>2274</v>
      </c>
      <c r="V118" s="11">
        <v>2767</v>
      </c>
      <c r="W118" s="18">
        <v>2934</v>
      </c>
      <c r="X118" s="18">
        <v>3266</v>
      </c>
      <c r="Y118" s="23">
        <v>3323</v>
      </c>
      <c r="Z118" s="18">
        <v>3344</v>
      </c>
      <c r="AA118" s="18">
        <v>79.636711281070745</v>
      </c>
      <c r="AB118" s="18">
        <v>80.299032541776612</v>
      </c>
      <c r="AC118" s="18">
        <v>79.363932056378744</v>
      </c>
      <c r="AD118" s="11">
        <v>79.175187457396049</v>
      </c>
      <c r="AE118" s="11">
        <v>82.945499081445192</v>
      </c>
      <c r="AF118" s="11">
        <v>82.816731868793255</v>
      </c>
      <c r="AG118" s="11">
        <v>83.283492822966508</v>
      </c>
      <c r="AH118" s="11">
        <f t="shared" si="46"/>
        <v>79.612717351850463</v>
      </c>
      <c r="AI118" s="26">
        <f t="shared" si="47"/>
        <v>83.015241257734985</v>
      </c>
      <c r="AJ118" s="2">
        <f t="shared" si="48"/>
        <v>2115</v>
      </c>
      <c r="AK118" s="2">
        <f t="shared" si="49"/>
        <v>2748.6666666666665</v>
      </c>
      <c r="AL118" s="2">
        <f t="shared" si="50"/>
        <v>543.33333333333337</v>
      </c>
      <c r="AM118" s="2">
        <f t="shared" si="51"/>
        <v>562.33333333333337</v>
      </c>
    </row>
    <row r="119" spans="1:39" x14ac:dyDescent="0.3">
      <c r="A119" s="1" t="s">
        <v>167</v>
      </c>
      <c r="B119" s="1" t="s">
        <v>169</v>
      </c>
      <c r="C119" s="1" t="s">
        <v>170</v>
      </c>
      <c r="D119" s="1" t="s">
        <v>170</v>
      </c>
      <c r="E119" s="2">
        <v>30201</v>
      </c>
      <c r="F119" s="18">
        <v>62</v>
      </c>
      <c r="G119" s="18">
        <v>65</v>
      </c>
      <c r="H119" s="18">
        <v>82</v>
      </c>
      <c r="I119" s="18">
        <v>97</v>
      </c>
      <c r="J119" s="18">
        <v>165</v>
      </c>
      <c r="K119" s="18">
        <v>169</v>
      </c>
      <c r="L119" s="11">
        <v>172</v>
      </c>
      <c r="M119" s="2">
        <f t="shared" si="39"/>
        <v>13</v>
      </c>
      <c r="N119" s="2">
        <f t="shared" si="40"/>
        <v>16</v>
      </c>
      <c r="O119" s="2">
        <f t="shared" si="41"/>
        <v>45</v>
      </c>
      <c r="P119" s="2">
        <f t="shared" si="42"/>
        <v>47</v>
      </c>
      <c r="Q119" s="2">
        <f t="shared" si="43"/>
        <v>42</v>
      </c>
      <c r="R119" s="2">
        <f t="shared" si="44"/>
        <v>43</v>
      </c>
      <c r="S119" s="2">
        <f t="shared" si="45"/>
        <v>42</v>
      </c>
      <c r="T119" s="11">
        <v>75</v>
      </c>
      <c r="U119" s="11">
        <v>81</v>
      </c>
      <c r="V119" s="11">
        <v>127</v>
      </c>
      <c r="W119" s="18">
        <v>144</v>
      </c>
      <c r="X119" s="18">
        <v>207</v>
      </c>
      <c r="Y119" s="23">
        <v>212</v>
      </c>
      <c r="Z119" s="18">
        <v>214</v>
      </c>
      <c r="AA119" s="18">
        <v>82.666666666666671</v>
      </c>
      <c r="AB119" s="18">
        <v>80.246913580246911</v>
      </c>
      <c r="AC119" s="18">
        <v>64.566929133858267</v>
      </c>
      <c r="AD119" s="11">
        <v>67.361111111111114</v>
      </c>
      <c r="AE119" s="11">
        <v>79.710144927536234</v>
      </c>
      <c r="AF119" s="11">
        <v>79.716981132075475</v>
      </c>
      <c r="AG119" s="11">
        <v>80.373831775700936</v>
      </c>
      <c r="AH119" s="11">
        <f t="shared" si="46"/>
        <v>70.724984608405435</v>
      </c>
      <c r="AI119" s="26">
        <f t="shared" si="47"/>
        <v>79.933652611770881</v>
      </c>
      <c r="AJ119" s="2">
        <f t="shared" si="48"/>
        <v>81.333333333333329</v>
      </c>
      <c r="AK119" s="2">
        <f t="shared" si="49"/>
        <v>168.66666666666666</v>
      </c>
      <c r="AL119" s="2">
        <f t="shared" si="50"/>
        <v>36</v>
      </c>
      <c r="AM119" s="2">
        <f t="shared" si="51"/>
        <v>42.333333333333336</v>
      </c>
    </row>
    <row r="120" spans="1:39" x14ac:dyDescent="0.3">
      <c r="A120" s="1" t="s">
        <v>167</v>
      </c>
      <c r="B120" s="1" t="s">
        <v>169</v>
      </c>
      <c r="C120" s="1" t="s">
        <v>171</v>
      </c>
      <c r="D120" s="1" t="s">
        <v>171</v>
      </c>
      <c r="E120" s="2">
        <v>30202</v>
      </c>
      <c r="F120" s="18">
        <v>5</v>
      </c>
      <c r="G120" s="18">
        <v>7</v>
      </c>
      <c r="H120" s="18">
        <v>12</v>
      </c>
      <c r="I120" s="18">
        <v>12</v>
      </c>
      <c r="J120" s="18">
        <v>21</v>
      </c>
      <c r="K120" s="18">
        <v>19</v>
      </c>
      <c r="L120" s="11">
        <v>18</v>
      </c>
      <c r="M120" s="2">
        <f t="shared" si="39"/>
        <v>6</v>
      </c>
      <c r="N120" s="2">
        <f t="shared" si="40"/>
        <v>6</v>
      </c>
      <c r="O120" s="2">
        <f t="shared" si="41"/>
        <v>14</v>
      </c>
      <c r="P120" s="2">
        <f t="shared" si="42"/>
        <v>14</v>
      </c>
      <c r="Q120" s="2">
        <f t="shared" si="43"/>
        <v>8</v>
      </c>
      <c r="R120" s="2">
        <f t="shared" si="44"/>
        <v>9</v>
      </c>
      <c r="S120" s="2">
        <f t="shared" si="45"/>
        <v>9</v>
      </c>
      <c r="T120" s="11">
        <v>11</v>
      </c>
      <c r="U120" s="11">
        <v>13</v>
      </c>
      <c r="V120" s="11">
        <v>26</v>
      </c>
      <c r="W120" s="18">
        <v>26</v>
      </c>
      <c r="X120" s="18">
        <v>29</v>
      </c>
      <c r="Y120" s="23">
        <v>28</v>
      </c>
      <c r="Z120" s="18">
        <v>27</v>
      </c>
      <c r="AA120" s="18">
        <v>45.454545454545453</v>
      </c>
      <c r="AB120" s="18">
        <v>53.846153846153847</v>
      </c>
      <c r="AC120" s="18">
        <v>46.153846153846153</v>
      </c>
      <c r="AD120" s="11">
        <v>46.153846153846153</v>
      </c>
      <c r="AE120" s="11">
        <v>72.41379310344827</v>
      </c>
      <c r="AF120" s="11">
        <v>67.857142857142861</v>
      </c>
      <c r="AG120" s="11">
        <v>66.666666666666657</v>
      </c>
      <c r="AH120" s="11">
        <f t="shared" si="46"/>
        <v>48.717948717948723</v>
      </c>
      <c r="AI120" s="26">
        <f t="shared" si="47"/>
        <v>68.979200875752596</v>
      </c>
      <c r="AJ120" s="2">
        <f t="shared" si="48"/>
        <v>10.333333333333334</v>
      </c>
      <c r="AK120" s="2">
        <f t="shared" si="49"/>
        <v>19.333333333333332</v>
      </c>
      <c r="AL120" s="2">
        <f t="shared" si="50"/>
        <v>11.333333333333334</v>
      </c>
      <c r="AM120" s="2">
        <f t="shared" si="51"/>
        <v>8.6666666666666661</v>
      </c>
    </row>
    <row r="121" spans="1:39" x14ac:dyDescent="0.3">
      <c r="A121" s="1" t="s">
        <v>167</v>
      </c>
      <c r="B121" s="1" t="s">
        <v>169</v>
      </c>
      <c r="C121" s="1" t="s">
        <v>172</v>
      </c>
      <c r="D121" s="1" t="s">
        <v>172</v>
      </c>
      <c r="E121" s="2">
        <v>30203</v>
      </c>
      <c r="F121" s="18">
        <v>7</v>
      </c>
      <c r="G121" s="18">
        <v>7</v>
      </c>
      <c r="H121" s="18">
        <v>12</v>
      </c>
      <c r="I121" s="18">
        <v>12</v>
      </c>
      <c r="J121" s="18">
        <v>38</v>
      </c>
      <c r="K121" s="18">
        <v>41</v>
      </c>
      <c r="L121" s="11">
        <v>39</v>
      </c>
      <c r="M121" s="2">
        <f t="shared" si="39"/>
        <v>1</v>
      </c>
      <c r="N121" s="2">
        <f t="shared" si="40"/>
        <v>2</v>
      </c>
      <c r="O121" s="2">
        <f t="shared" si="41"/>
        <v>6</v>
      </c>
      <c r="P121" s="2">
        <f t="shared" si="42"/>
        <v>6</v>
      </c>
      <c r="Q121" s="2">
        <f t="shared" si="43"/>
        <v>9</v>
      </c>
      <c r="R121" s="2">
        <f t="shared" si="44"/>
        <v>7</v>
      </c>
      <c r="S121" s="2">
        <f t="shared" si="45"/>
        <v>7</v>
      </c>
      <c r="T121" s="11">
        <v>8</v>
      </c>
      <c r="U121" s="11">
        <v>9</v>
      </c>
      <c r="V121" s="11">
        <v>18</v>
      </c>
      <c r="W121" s="18">
        <v>18</v>
      </c>
      <c r="X121" s="18">
        <v>47</v>
      </c>
      <c r="Y121" s="23">
        <v>48</v>
      </c>
      <c r="Z121" s="18">
        <v>46</v>
      </c>
      <c r="AA121" s="18">
        <v>87.5</v>
      </c>
      <c r="AB121" s="18">
        <v>77.777777777777786</v>
      </c>
      <c r="AC121" s="18">
        <v>66.666666666666657</v>
      </c>
      <c r="AD121" s="11">
        <v>66.666666666666657</v>
      </c>
      <c r="AE121" s="11">
        <v>80.851063829787222</v>
      </c>
      <c r="AF121" s="11">
        <v>85.416666666666657</v>
      </c>
      <c r="AG121" s="11">
        <v>84.782608695652172</v>
      </c>
      <c r="AH121" s="11">
        <f t="shared" si="46"/>
        <v>70.370370370370367</v>
      </c>
      <c r="AI121" s="26">
        <f t="shared" si="47"/>
        <v>83.683446397368684</v>
      </c>
      <c r="AJ121" s="2">
        <f t="shared" si="48"/>
        <v>10.333333333333334</v>
      </c>
      <c r="AK121" s="2">
        <f t="shared" si="49"/>
        <v>39.333333333333336</v>
      </c>
      <c r="AL121" s="2">
        <f t="shared" si="50"/>
        <v>4.666666666666667</v>
      </c>
      <c r="AM121" s="2">
        <f t="shared" si="51"/>
        <v>7.666666666666667</v>
      </c>
    </row>
    <row r="122" spans="1:39" x14ac:dyDescent="0.3">
      <c r="A122" s="1" t="s">
        <v>167</v>
      </c>
      <c r="B122" s="1" t="s">
        <v>173</v>
      </c>
      <c r="C122" s="1" t="s">
        <v>174</v>
      </c>
      <c r="D122" s="1" t="s">
        <v>175</v>
      </c>
      <c r="E122" s="2">
        <v>30301</v>
      </c>
      <c r="F122" s="18">
        <v>56</v>
      </c>
      <c r="G122" s="18">
        <v>63</v>
      </c>
      <c r="H122" s="18">
        <v>82</v>
      </c>
      <c r="I122" s="18">
        <v>83</v>
      </c>
      <c r="J122" s="18">
        <v>147</v>
      </c>
      <c r="K122" s="18">
        <v>160</v>
      </c>
      <c r="L122" s="11">
        <v>164</v>
      </c>
      <c r="M122" s="2">
        <f t="shared" si="39"/>
        <v>20</v>
      </c>
      <c r="N122" s="2">
        <f t="shared" si="40"/>
        <v>20</v>
      </c>
      <c r="O122" s="2">
        <f t="shared" si="41"/>
        <v>46</v>
      </c>
      <c r="P122" s="2">
        <f t="shared" si="42"/>
        <v>46</v>
      </c>
      <c r="Q122" s="2">
        <f t="shared" si="43"/>
        <v>29</v>
      </c>
      <c r="R122" s="2">
        <f t="shared" si="44"/>
        <v>37</v>
      </c>
      <c r="S122" s="2">
        <f t="shared" si="45"/>
        <v>37</v>
      </c>
      <c r="T122" s="11">
        <v>76</v>
      </c>
      <c r="U122" s="11">
        <v>83</v>
      </c>
      <c r="V122" s="11">
        <v>128</v>
      </c>
      <c r="W122" s="18">
        <v>129</v>
      </c>
      <c r="X122" s="18">
        <v>176</v>
      </c>
      <c r="Y122" s="23">
        <v>197</v>
      </c>
      <c r="Z122" s="18">
        <v>201</v>
      </c>
      <c r="AA122" s="18">
        <v>73.68421052631578</v>
      </c>
      <c r="AB122" s="18">
        <v>75.903614457831324</v>
      </c>
      <c r="AC122" s="18">
        <v>64.0625</v>
      </c>
      <c r="AD122" s="11">
        <v>64.341085271317837</v>
      </c>
      <c r="AE122" s="11">
        <v>83.522727272727266</v>
      </c>
      <c r="AF122" s="11">
        <v>81.218274111675129</v>
      </c>
      <c r="AG122" s="11">
        <v>81.592039800995025</v>
      </c>
      <c r="AH122" s="11">
        <f t="shared" si="46"/>
        <v>68.102399909716397</v>
      </c>
      <c r="AI122" s="26">
        <f t="shared" si="47"/>
        <v>82.111013728465807</v>
      </c>
      <c r="AJ122" s="2">
        <f t="shared" si="48"/>
        <v>76</v>
      </c>
      <c r="AK122" s="2">
        <f t="shared" si="49"/>
        <v>157</v>
      </c>
      <c r="AL122" s="2">
        <f t="shared" si="50"/>
        <v>37.333333333333336</v>
      </c>
      <c r="AM122" s="2">
        <f t="shared" si="51"/>
        <v>34.333333333333336</v>
      </c>
    </row>
    <row r="123" spans="1:39" x14ac:dyDescent="0.3">
      <c r="A123" s="1" t="s">
        <v>167</v>
      </c>
      <c r="B123" s="1" t="s">
        <v>173</v>
      </c>
      <c r="C123" s="1" t="s">
        <v>176</v>
      </c>
      <c r="D123" s="1" t="s">
        <v>176</v>
      </c>
      <c r="E123" s="2">
        <v>30302</v>
      </c>
      <c r="F123" s="18">
        <v>38</v>
      </c>
      <c r="G123" s="18">
        <v>43</v>
      </c>
      <c r="H123" s="18">
        <v>50</v>
      </c>
      <c r="I123" s="18">
        <v>31</v>
      </c>
      <c r="J123" s="18">
        <v>50</v>
      </c>
      <c r="K123" s="18">
        <v>56</v>
      </c>
      <c r="L123" s="11">
        <v>53</v>
      </c>
      <c r="M123" s="2">
        <f t="shared" si="39"/>
        <v>15</v>
      </c>
      <c r="N123" s="2">
        <f t="shared" si="40"/>
        <v>18</v>
      </c>
      <c r="O123" s="2">
        <f t="shared" si="41"/>
        <v>55</v>
      </c>
      <c r="P123" s="2">
        <f t="shared" si="42"/>
        <v>19</v>
      </c>
      <c r="Q123" s="2">
        <f t="shared" si="43"/>
        <v>16</v>
      </c>
      <c r="R123" s="2">
        <f t="shared" si="44"/>
        <v>12</v>
      </c>
      <c r="S123" s="2">
        <f t="shared" si="45"/>
        <v>14</v>
      </c>
      <c r="T123" s="11">
        <v>53</v>
      </c>
      <c r="U123" s="11">
        <v>61</v>
      </c>
      <c r="V123" s="11">
        <v>105</v>
      </c>
      <c r="W123" s="18">
        <v>50</v>
      </c>
      <c r="X123" s="18">
        <v>66</v>
      </c>
      <c r="Y123" s="23">
        <v>68</v>
      </c>
      <c r="Z123" s="18">
        <v>67</v>
      </c>
      <c r="AA123" s="18">
        <v>71.698113207547166</v>
      </c>
      <c r="AB123" s="18">
        <v>70.491803278688522</v>
      </c>
      <c r="AC123" s="18">
        <v>47.619047619047613</v>
      </c>
      <c r="AD123" s="11">
        <v>62</v>
      </c>
      <c r="AE123" s="11">
        <v>75.757575757575751</v>
      </c>
      <c r="AF123" s="11">
        <v>82.35294117647058</v>
      </c>
      <c r="AG123" s="11">
        <v>79.104477611940297</v>
      </c>
      <c r="AH123" s="11">
        <f t="shared" si="46"/>
        <v>60.036950299245376</v>
      </c>
      <c r="AI123" s="26">
        <f t="shared" si="47"/>
        <v>79.071664848662209</v>
      </c>
      <c r="AJ123" s="2">
        <f t="shared" si="48"/>
        <v>41.333333333333336</v>
      </c>
      <c r="AK123" s="2">
        <f t="shared" si="49"/>
        <v>53</v>
      </c>
      <c r="AL123" s="2">
        <f t="shared" si="50"/>
        <v>30.666666666666668</v>
      </c>
      <c r="AM123" s="2">
        <f t="shared" si="51"/>
        <v>14</v>
      </c>
    </row>
    <row r="124" spans="1:39" x14ac:dyDescent="0.3">
      <c r="A124" s="1" t="s">
        <v>167</v>
      </c>
      <c r="B124" s="1" t="s">
        <v>173</v>
      </c>
      <c r="C124" s="1" t="s">
        <v>177</v>
      </c>
      <c r="D124" s="1" t="s">
        <v>177</v>
      </c>
      <c r="E124" s="2">
        <v>30303</v>
      </c>
      <c r="F124" s="18">
        <v>0</v>
      </c>
      <c r="G124" s="18">
        <v>0</v>
      </c>
      <c r="H124" s="18">
        <v>0</v>
      </c>
      <c r="I124" s="18">
        <v>27</v>
      </c>
      <c r="J124" s="18">
        <v>71</v>
      </c>
      <c r="K124" s="18">
        <v>76</v>
      </c>
      <c r="L124" s="11">
        <v>80</v>
      </c>
      <c r="M124" s="2">
        <f t="shared" si="39"/>
        <v>0</v>
      </c>
      <c r="N124" s="2">
        <f t="shared" si="40"/>
        <v>0</v>
      </c>
      <c r="O124" s="2">
        <f t="shared" si="41"/>
        <v>0</v>
      </c>
      <c r="P124" s="2">
        <f t="shared" si="42"/>
        <v>28</v>
      </c>
      <c r="Q124" s="2">
        <f t="shared" si="43"/>
        <v>20</v>
      </c>
      <c r="R124" s="2">
        <f t="shared" si="44"/>
        <v>20</v>
      </c>
      <c r="S124" s="2">
        <f t="shared" si="45"/>
        <v>19</v>
      </c>
      <c r="T124" s="11">
        <v>0</v>
      </c>
      <c r="U124" s="11">
        <v>0</v>
      </c>
      <c r="V124" s="11">
        <v>0</v>
      </c>
      <c r="W124" s="18">
        <v>55</v>
      </c>
      <c r="X124" s="18">
        <v>91</v>
      </c>
      <c r="Y124" s="23">
        <v>96</v>
      </c>
      <c r="Z124" s="18">
        <v>99</v>
      </c>
      <c r="AA124" s="18"/>
      <c r="AB124" s="18"/>
      <c r="AC124" s="18"/>
      <c r="AD124" s="11">
        <v>49.090909090909093</v>
      </c>
      <c r="AE124" s="11">
        <v>78.021978021978029</v>
      </c>
      <c r="AF124" s="11">
        <v>79.166666666666657</v>
      </c>
      <c r="AG124" s="11">
        <v>80.808080808080803</v>
      </c>
      <c r="AH124" s="11">
        <f t="shared" si="46"/>
        <v>49.090909090909093</v>
      </c>
      <c r="AI124" s="26">
        <f t="shared" si="47"/>
        <v>79.33224183224182</v>
      </c>
      <c r="AJ124" s="2">
        <f t="shared" si="48"/>
        <v>9</v>
      </c>
      <c r="AK124" s="2">
        <f t="shared" si="49"/>
        <v>75.666666666666671</v>
      </c>
      <c r="AL124" s="2">
        <f t="shared" si="50"/>
        <v>9.3333333333333339</v>
      </c>
      <c r="AM124" s="2">
        <f t="shared" si="51"/>
        <v>19.666666666666668</v>
      </c>
    </row>
    <row r="125" spans="1:39" x14ac:dyDescent="0.3">
      <c r="A125" s="1" t="s">
        <v>167</v>
      </c>
      <c r="B125" s="1" t="s">
        <v>178</v>
      </c>
      <c r="C125" s="1" t="s">
        <v>179</v>
      </c>
      <c r="D125" s="1" t="s">
        <v>179</v>
      </c>
      <c r="E125" s="2">
        <v>30401</v>
      </c>
      <c r="F125" s="18">
        <v>44</v>
      </c>
      <c r="G125" s="18">
        <v>47</v>
      </c>
      <c r="H125" s="18">
        <v>56</v>
      </c>
      <c r="I125" s="18">
        <v>60</v>
      </c>
      <c r="J125" s="18">
        <v>72</v>
      </c>
      <c r="K125" s="18">
        <v>70</v>
      </c>
      <c r="L125" s="11">
        <v>74</v>
      </c>
      <c r="M125" s="2">
        <f t="shared" si="39"/>
        <v>11</v>
      </c>
      <c r="N125" s="2">
        <f t="shared" si="40"/>
        <v>13</v>
      </c>
      <c r="O125" s="2">
        <f t="shared" si="41"/>
        <v>27</v>
      </c>
      <c r="P125" s="2">
        <f t="shared" si="42"/>
        <v>25</v>
      </c>
      <c r="Q125" s="2">
        <f t="shared" si="43"/>
        <v>17</v>
      </c>
      <c r="R125" s="2">
        <f t="shared" si="44"/>
        <v>21</v>
      </c>
      <c r="S125" s="2">
        <f t="shared" si="45"/>
        <v>22</v>
      </c>
      <c r="T125" s="11">
        <v>55</v>
      </c>
      <c r="U125" s="11">
        <v>60</v>
      </c>
      <c r="V125" s="11">
        <v>83</v>
      </c>
      <c r="W125" s="18">
        <v>85</v>
      </c>
      <c r="X125" s="18">
        <v>89</v>
      </c>
      <c r="Y125" s="23">
        <v>91</v>
      </c>
      <c r="Z125" s="18">
        <v>96</v>
      </c>
      <c r="AA125" s="18">
        <v>80</v>
      </c>
      <c r="AB125" s="18">
        <v>78.333333333333329</v>
      </c>
      <c r="AC125" s="18">
        <v>67.46987951807229</v>
      </c>
      <c r="AD125" s="11">
        <v>70.588235294117652</v>
      </c>
      <c r="AE125" s="11">
        <v>80.898876404494374</v>
      </c>
      <c r="AF125" s="11">
        <v>76.923076923076934</v>
      </c>
      <c r="AG125" s="11">
        <v>77.083333333333343</v>
      </c>
      <c r="AH125" s="11">
        <f t="shared" si="46"/>
        <v>72.130482715174423</v>
      </c>
      <c r="AI125" s="26">
        <f t="shared" si="47"/>
        <v>78.301762220301541</v>
      </c>
      <c r="AJ125" s="2">
        <f t="shared" si="48"/>
        <v>54.333333333333336</v>
      </c>
      <c r="AK125" s="2">
        <f t="shared" si="49"/>
        <v>72</v>
      </c>
      <c r="AL125" s="2">
        <f t="shared" si="50"/>
        <v>21.666666666666668</v>
      </c>
      <c r="AM125" s="2">
        <f t="shared" si="51"/>
        <v>20</v>
      </c>
    </row>
    <row r="126" spans="1:39" x14ac:dyDescent="0.3">
      <c r="A126" s="1" t="s">
        <v>167</v>
      </c>
      <c r="B126" s="1" t="s">
        <v>178</v>
      </c>
      <c r="C126" s="1" t="s">
        <v>180</v>
      </c>
      <c r="D126" s="1" t="s">
        <v>181</v>
      </c>
      <c r="E126" s="2">
        <v>30402</v>
      </c>
      <c r="F126" s="18">
        <v>11</v>
      </c>
      <c r="G126" s="18">
        <v>11</v>
      </c>
      <c r="H126" s="18">
        <v>17</v>
      </c>
      <c r="I126" s="18">
        <v>20</v>
      </c>
      <c r="J126" s="18">
        <v>41</v>
      </c>
      <c r="K126" s="18">
        <v>43</v>
      </c>
      <c r="L126" s="11">
        <v>43</v>
      </c>
      <c r="M126" s="2">
        <f t="shared" si="39"/>
        <v>7</v>
      </c>
      <c r="N126" s="2">
        <f t="shared" si="40"/>
        <v>7</v>
      </c>
      <c r="O126" s="2">
        <f t="shared" si="41"/>
        <v>15</v>
      </c>
      <c r="P126" s="2">
        <f t="shared" si="42"/>
        <v>13</v>
      </c>
      <c r="Q126" s="2">
        <f t="shared" si="43"/>
        <v>9</v>
      </c>
      <c r="R126" s="2">
        <f t="shared" si="44"/>
        <v>12</v>
      </c>
      <c r="S126" s="2">
        <f t="shared" si="45"/>
        <v>14</v>
      </c>
      <c r="T126" s="11">
        <v>18</v>
      </c>
      <c r="U126" s="11">
        <v>18</v>
      </c>
      <c r="V126" s="11">
        <v>32</v>
      </c>
      <c r="W126" s="18">
        <v>33</v>
      </c>
      <c r="X126" s="18">
        <v>50</v>
      </c>
      <c r="Y126" s="23">
        <v>55</v>
      </c>
      <c r="Z126" s="18">
        <v>57</v>
      </c>
      <c r="AA126" s="18">
        <v>61.111111111111114</v>
      </c>
      <c r="AB126" s="18">
        <v>61.111111111111114</v>
      </c>
      <c r="AC126" s="18">
        <v>53.125</v>
      </c>
      <c r="AD126" s="11">
        <v>60.606060606060609</v>
      </c>
      <c r="AE126" s="11">
        <v>82</v>
      </c>
      <c r="AF126" s="11">
        <v>78.181818181818187</v>
      </c>
      <c r="AG126" s="11">
        <v>75.438596491228068</v>
      </c>
      <c r="AH126" s="11">
        <f t="shared" si="46"/>
        <v>58.280723905723903</v>
      </c>
      <c r="AI126" s="26">
        <f t="shared" si="47"/>
        <v>78.540138224348752</v>
      </c>
      <c r="AJ126" s="2">
        <f t="shared" si="48"/>
        <v>16</v>
      </c>
      <c r="AK126" s="2">
        <f t="shared" si="49"/>
        <v>42.333333333333336</v>
      </c>
      <c r="AL126" s="2">
        <f t="shared" si="50"/>
        <v>11.666666666666666</v>
      </c>
      <c r="AM126" s="2">
        <f t="shared" si="51"/>
        <v>11.666666666666666</v>
      </c>
    </row>
    <row r="127" spans="1:39" x14ac:dyDescent="0.3">
      <c r="A127" s="1" t="s">
        <v>167</v>
      </c>
      <c r="B127" s="1" t="s">
        <v>178</v>
      </c>
      <c r="C127" s="1" t="s">
        <v>182</v>
      </c>
      <c r="D127" s="1" t="s">
        <v>182</v>
      </c>
      <c r="E127" s="2">
        <v>30403</v>
      </c>
      <c r="F127" s="18">
        <v>19</v>
      </c>
      <c r="G127" s="18">
        <v>22</v>
      </c>
      <c r="H127" s="18">
        <v>36</v>
      </c>
      <c r="I127" s="18">
        <v>46</v>
      </c>
      <c r="J127" s="18">
        <v>71</v>
      </c>
      <c r="K127" s="18">
        <v>75</v>
      </c>
      <c r="L127" s="11">
        <v>77</v>
      </c>
      <c r="M127" s="2">
        <f t="shared" si="39"/>
        <v>7</v>
      </c>
      <c r="N127" s="2">
        <f t="shared" si="40"/>
        <v>8</v>
      </c>
      <c r="O127" s="2">
        <f t="shared" si="41"/>
        <v>15</v>
      </c>
      <c r="P127" s="2">
        <f t="shared" si="42"/>
        <v>19</v>
      </c>
      <c r="Q127" s="2">
        <f t="shared" si="43"/>
        <v>23</v>
      </c>
      <c r="R127" s="2">
        <f t="shared" si="44"/>
        <v>24</v>
      </c>
      <c r="S127" s="2">
        <f t="shared" si="45"/>
        <v>26</v>
      </c>
      <c r="T127" s="11">
        <v>26</v>
      </c>
      <c r="U127" s="11">
        <v>30</v>
      </c>
      <c r="V127" s="11">
        <v>51</v>
      </c>
      <c r="W127" s="18">
        <v>65</v>
      </c>
      <c r="X127" s="18">
        <v>94</v>
      </c>
      <c r="Y127" s="23">
        <v>99</v>
      </c>
      <c r="Z127" s="18">
        <v>103</v>
      </c>
      <c r="AA127" s="18">
        <v>73.076923076923066</v>
      </c>
      <c r="AB127" s="18">
        <v>73.333333333333329</v>
      </c>
      <c r="AC127" s="18">
        <v>70.588235294117652</v>
      </c>
      <c r="AD127" s="11">
        <v>70.769230769230774</v>
      </c>
      <c r="AE127" s="11">
        <v>75.531914893617028</v>
      </c>
      <c r="AF127" s="11">
        <v>75.757575757575751</v>
      </c>
      <c r="AG127" s="11">
        <v>74.757281553398059</v>
      </c>
      <c r="AH127" s="11">
        <f t="shared" si="46"/>
        <v>71.563599798893918</v>
      </c>
      <c r="AI127" s="26">
        <f t="shared" si="47"/>
        <v>75.348924068196951</v>
      </c>
      <c r="AJ127" s="2">
        <f t="shared" si="48"/>
        <v>34.666666666666664</v>
      </c>
      <c r="AK127" s="2">
        <f t="shared" si="49"/>
        <v>74.333333333333329</v>
      </c>
      <c r="AL127" s="2">
        <f t="shared" si="50"/>
        <v>14</v>
      </c>
      <c r="AM127" s="2">
        <f t="shared" si="51"/>
        <v>24.333333333333332</v>
      </c>
    </row>
    <row r="128" spans="1:39" x14ac:dyDescent="0.3">
      <c r="A128" s="1" t="s">
        <v>167</v>
      </c>
      <c r="B128" s="1" t="s">
        <v>178</v>
      </c>
      <c r="C128" s="1" t="s">
        <v>183</v>
      </c>
      <c r="D128" s="1" t="s">
        <v>183</v>
      </c>
      <c r="E128" s="2">
        <v>30404</v>
      </c>
      <c r="F128" s="18">
        <v>21</v>
      </c>
      <c r="G128" s="18">
        <v>19</v>
      </c>
      <c r="H128" s="18">
        <v>19</v>
      </c>
      <c r="I128" s="18">
        <v>18</v>
      </c>
      <c r="J128" s="18">
        <v>29</v>
      </c>
      <c r="K128" s="18">
        <v>27</v>
      </c>
      <c r="L128" s="11">
        <v>26</v>
      </c>
      <c r="M128" s="2">
        <f t="shared" si="39"/>
        <v>17</v>
      </c>
      <c r="N128" s="2">
        <f t="shared" si="40"/>
        <v>19</v>
      </c>
      <c r="O128" s="2">
        <f t="shared" si="41"/>
        <v>20</v>
      </c>
      <c r="P128" s="2">
        <f t="shared" si="42"/>
        <v>21</v>
      </c>
      <c r="Q128" s="2">
        <f t="shared" si="43"/>
        <v>8</v>
      </c>
      <c r="R128" s="2">
        <f t="shared" si="44"/>
        <v>9</v>
      </c>
      <c r="S128" s="2">
        <f t="shared" si="45"/>
        <v>10</v>
      </c>
      <c r="T128" s="11">
        <v>38</v>
      </c>
      <c r="U128" s="11">
        <v>38</v>
      </c>
      <c r="V128" s="11">
        <v>39</v>
      </c>
      <c r="W128" s="18">
        <v>39</v>
      </c>
      <c r="X128" s="18">
        <v>37</v>
      </c>
      <c r="Y128" s="23">
        <v>36</v>
      </c>
      <c r="Z128" s="18">
        <v>36</v>
      </c>
      <c r="AA128" s="18">
        <v>55.26315789473685</v>
      </c>
      <c r="AB128" s="18">
        <v>50</v>
      </c>
      <c r="AC128" s="18">
        <v>48.717948717948715</v>
      </c>
      <c r="AD128" s="11">
        <v>46.153846153846153</v>
      </c>
      <c r="AE128" s="11">
        <v>78.378378378378372</v>
      </c>
      <c r="AF128" s="11">
        <v>75</v>
      </c>
      <c r="AG128" s="11">
        <v>72.222222222222214</v>
      </c>
      <c r="AH128" s="11">
        <f t="shared" si="46"/>
        <v>48.29059829059829</v>
      </c>
      <c r="AI128" s="26">
        <f t="shared" si="47"/>
        <v>75.2002002002002</v>
      </c>
      <c r="AJ128" s="2">
        <f t="shared" si="48"/>
        <v>18.666666666666668</v>
      </c>
      <c r="AK128" s="2">
        <f t="shared" si="49"/>
        <v>27.333333333333332</v>
      </c>
      <c r="AL128" s="2">
        <f t="shared" si="50"/>
        <v>20</v>
      </c>
      <c r="AM128" s="2">
        <f t="shared" si="51"/>
        <v>9</v>
      </c>
    </row>
    <row r="129" spans="1:39" x14ac:dyDescent="0.3">
      <c r="A129" s="1" t="s">
        <v>167</v>
      </c>
      <c r="B129" s="1" t="s">
        <v>184</v>
      </c>
      <c r="C129" s="1" t="s">
        <v>184</v>
      </c>
      <c r="D129" s="1" t="s">
        <v>184</v>
      </c>
      <c r="E129" s="2">
        <v>30501</v>
      </c>
      <c r="F129" s="18">
        <v>41</v>
      </c>
      <c r="G129" s="18">
        <v>42</v>
      </c>
      <c r="H129" s="18">
        <v>63</v>
      </c>
      <c r="I129" s="18">
        <v>60</v>
      </c>
      <c r="J129" s="18">
        <v>71</v>
      </c>
      <c r="K129" s="18">
        <v>74</v>
      </c>
      <c r="L129" s="11">
        <v>73</v>
      </c>
      <c r="M129" s="2">
        <f t="shared" si="39"/>
        <v>11</v>
      </c>
      <c r="N129" s="2">
        <f t="shared" si="40"/>
        <v>10</v>
      </c>
      <c r="O129" s="2">
        <f t="shared" si="41"/>
        <v>15</v>
      </c>
      <c r="P129" s="2">
        <f t="shared" si="42"/>
        <v>15</v>
      </c>
      <c r="Q129" s="2">
        <f t="shared" si="43"/>
        <v>14</v>
      </c>
      <c r="R129" s="2">
        <f t="shared" si="44"/>
        <v>15</v>
      </c>
      <c r="S129" s="2">
        <f t="shared" si="45"/>
        <v>15</v>
      </c>
      <c r="T129" s="11">
        <v>52</v>
      </c>
      <c r="U129" s="11">
        <v>52</v>
      </c>
      <c r="V129" s="11">
        <v>78</v>
      </c>
      <c r="W129" s="18">
        <v>75</v>
      </c>
      <c r="X129" s="18">
        <v>85</v>
      </c>
      <c r="Y129" s="23">
        <v>89</v>
      </c>
      <c r="Z129" s="18">
        <v>88</v>
      </c>
      <c r="AA129" s="18">
        <v>78.84615384615384</v>
      </c>
      <c r="AB129" s="18">
        <v>80.769230769230774</v>
      </c>
      <c r="AC129" s="18">
        <v>80.769230769230774</v>
      </c>
      <c r="AD129" s="11">
        <v>80</v>
      </c>
      <c r="AE129" s="11">
        <v>83.529411764705884</v>
      </c>
      <c r="AF129" s="11">
        <v>83.146067415730343</v>
      </c>
      <c r="AG129" s="11">
        <v>82.954545454545453</v>
      </c>
      <c r="AH129" s="11">
        <f t="shared" si="46"/>
        <v>80.512820512820511</v>
      </c>
      <c r="AI129" s="26">
        <f t="shared" si="47"/>
        <v>83.210008211660565</v>
      </c>
      <c r="AJ129" s="2">
        <f t="shared" si="48"/>
        <v>55</v>
      </c>
      <c r="AK129" s="2">
        <f t="shared" si="49"/>
        <v>72.666666666666671</v>
      </c>
      <c r="AL129" s="2">
        <f t="shared" si="50"/>
        <v>13.333333333333334</v>
      </c>
      <c r="AM129" s="2">
        <f t="shared" si="51"/>
        <v>14.666666666666666</v>
      </c>
    </row>
    <row r="130" spans="1:39" x14ac:dyDescent="0.3">
      <c r="A130" s="1" t="s">
        <v>167</v>
      </c>
      <c r="B130" s="1" t="s">
        <v>184</v>
      </c>
      <c r="C130" s="1" t="s">
        <v>185</v>
      </c>
      <c r="D130" s="1" t="s">
        <v>185</v>
      </c>
      <c r="E130" s="2">
        <v>30502</v>
      </c>
      <c r="F130" s="18">
        <v>30</v>
      </c>
      <c r="G130" s="18">
        <v>32</v>
      </c>
      <c r="H130" s="18">
        <v>34</v>
      </c>
      <c r="I130" s="18">
        <v>38</v>
      </c>
      <c r="J130" s="18">
        <v>54</v>
      </c>
      <c r="K130" s="18">
        <v>57</v>
      </c>
      <c r="L130" s="11">
        <v>56</v>
      </c>
      <c r="M130" s="2">
        <f t="shared" si="39"/>
        <v>12</v>
      </c>
      <c r="N130" s="2">
        <f t="shared" si="40"/>
        <v>12</v>
      </c>
      <c r="O130" s="2">
        <f t="shared" si="41"/>
        <v>15</v>
      </c>
      <c r="P130" s="2">
        <f t="shared" si="42"/>
        <v>14</v>
      </c>
      <c r="Q130" s="2">
        <f t="shared" si="43"/>
        <v>20</v>
      </c>
      <c r="R130" s="2">
        <f t="shared" si="44"/>
        <v>19</v>
      </c>
      <c r="S130" s="2">
        <f t="shared" si="45"/>
        <v>21</v>
      </c>
      <c r="T130" s="11">
        <v>42</v>
      </c>
      <c r="U130" s="11">
        <v>44</v>
      </c>
      <c r="V130" s="11">
        <v>49</v>
      </c>
      <c r="W130" s="18">
        <v>52</v>
      </c>
      <c r="X130" s="18">
        <v>74</v>
      </c>
      <c r="Y130" s="23">
        <v>76</v>
      </c>
      <c r="Z130" s="18">
        <v>77</v>
      </c>
      <c r="AA130" s="18">
        <v>71.428571428571431</v>
      </c>
      <c r="AB130" s="18">
        <v>72.727272727272734</v>
      </c>
      <c r="AC130" s="18">
        <v>69.387755102040813</v>
      </c>
      <c r="AD130" s="11">
        <v>73.076923076923066</v>
      </c>
      <c r="AE130" s="11">
        <v>72.972972972972968</v>
      </c>
      <c r="AF130" s="11">
        <v>75</v>
      </c>
      <c r="AG130" s="11">
        <v>72.727272727272734</v>
      </c>
      <c r="AH130" s="11">
        <f t="shared" si="46"/>
        <v>71.730650302078871</v>
      </c>
      <c r="AI130" s="26">
        <f t="shared" si="47"/>
        <v>73.566748566748572</v>
      </c>
      <c r="AJ130" s="2">
        <f t="shared" si="48"/>
        <v>34.666666666666664</v>
      </c>
      <c r="AK130" s="2">
        <f t="shared" si="49"/>
        <v>55.666666666666664</v>
      </c>
      <c r="AL130" s="2">
        <f t="shared" si="50"/>
        <v>13.666666666666666</v>
      </c>
      <c r="AM130" s="2">
        <f t="shared" si="51"/>
        <v>20</v>
      </c>
    </row>
    <row r="131" spans="1:39" x14ac:dyDescent="0.3">
      <c r="A131" s="1" t="s">
        <v>167</v>
      </c>
      <c r="B131" s="1" t="s">
        <v>186</v>
      </c>
      <c r="C131" s="1" t="s">
        <v>186</v>
      </c>
      <c r="D131" s="1" t="s">
        <v>187</v>
      </c>
      <c r="E131" s="2">
        <v>30601</v>
      </c>
      <c r="F131" s="18">
        <v>14</v>
      </c>
      <c r="G131" s="18">
        <v>15</v>
      </c>
      <c r="H131" s="18">
        <v>21</v>
      </c>
      <c r="I131" s="18">
        <v>22</v>
      </c>
      <c r="J131" s="18">
        <v>46</v>
      </c>
      <c r="K131" s="18">
        <v>45</v>
      </c>
      <c r="L131" s="11">
        <v>47</v>
      </c>
      <c r="M131" s="2">
        <f t="shared" ref="M131:M194" si="52">IF(AND(ISBLANK(F131), NOT(ISBLANK(T131))), T131, IF(OR(ISBLANK(T131), ISBLANK(F131)), "", T131-F131))</f>
        <v>10</v>
      </c>
      <c r="N131" s="2">
        <f t="shared" ref="N131:N194" si="53">IF(AND(ISBLANK(G131), NOT(ISBLANK(U131))), U131, IF(OR(ISBLANK(U131), ISBLANK(G131)), "", U131-G131))</f>
        <v>11</v>
      </c>
      <c r="O131" s="2">
        <f t="shared" ref="O131:O194" si="54">IF(AND(ISBLANK(H131), NOT(ISBLANK(V131))), V131, IF(OR(ISBLANK(V131), ISBLANK(H131)), "", V131-H131))</f>
        <v>30</v>
      </c>
      <c r="P131" s="2">
        <f t="shared" ref="P131:P194" si="55">IF(AND(ISBLANK(I131), NOT(ISBLANK(W131))), W131, IF(OR(ISBLANK(W131), ISBLANK(I131)), "", W131-I131))</f>
        <v>30</v>
      </c>
      <c r="Q131" s="2">
        <f t="shared" ref="Q131:Q194" si="56">IF(AND(ISBLANK(J131), NOT(ISBLANK(X131))), X131, IF(OR(ISBLANK(X131), ISBLANK(J131)), "", X131-J131))</f>
        <v>19</v>
      </c>
      <c r="R131" s="2">
        <f t="shared" ref="R131:R194" si="57">IF(AND(ISBLANK(K131), NOT(ISBLANK(Y131))), Y131, IF(OR(ISBLANK(Y131), ISBLANK(K131)), "", Y131-K131))</f>
        <v>20</v>
      </c>
      <c r="S131" s="2">
        <f t="shared" ref="S131:S194" si="58">IF(AND(ISBLANK(L131), NOT(ISBLANK(Z131))), Z131, IF(OR(ISBLANK(Z131), ISBLANK(L131)), "", Z131-L131))</f>
        <v>19</v>
      </c>
      <c r="T131" s="11">
        <v>24</v>
      </c>
      <c r="U131" s="11">
        <v>26</v>
      </c>
      <c r="V131" s="11">
        <v>51</v>
      </c>
      <c r="W131" s="18">
        <v>52</v>
      </c>
      <c r="X131" s="18">
        <v>65</v>
      </c>
      <c r="Y131" s="23">
        <v>65</v>
      </c>
      <c r="Z131" s="18">
        <v>66</v>
      </c>
      <c r="AA131" s="18">
        <v>58.333333333333336</v>
      </c>
      <c r="AB131" s="18">
        <v>57.692307692307686</v>
      </c>
      <c r="AC131" s="18">
        <v>41.17647058823529</v>
      </c>
      <c r="AD131" s="11">
        <v>42.307692307692307</v>
      </c>
      <c r="AE131" s="11">
        <v>70.769230769230774</v>
      </c>
      <c r="AF131" s="11">
        <v>69.230769230769226</v>
      </c>
      <c r="AG131" s="11">
        <v>71.212121212121218</v>
      </c>
      <c r="AH131" s="11">
        <f t="shared" ref="AH131:AH194" si="59">AVERAGE(AB131:AD131)</f>
        <v>47.058823529411768</v>
      </c>
      <c r="AI131" s="26">
        <f t="shared" ref="AI131:AI194" si="60">AVERAGE(AE131:AG131)</f>
        <v>70.404040404040401</v>
      </c>
      <c r="AJ131" s="2">
        <f t="shared" ref="AJ131:AJ194" si="61">AVERAGE(G131:I131)</f>
        <v>19.333333333333332</v>
      </c>
      <c r="AK131" s="2">
        <f t="shared" ref="AK131:AK194" si="62">AVERAGE(J131:L131)</f>
        <v>46</v>
      </c>
      <c r="AL131" s="2">
        <f t="shared" ref="AL131:AL194" si="63">AVERAGE(N131:P131)</f>
        <v>23.666666666666668</v>
      </c>
      <c r="AM131" s="2">
        <f t="shared" ref="AM131:AM194" si="64">AVERAGE(Q131:S131)</f>
        <v>19.333333333333332</v>
      </c>
    </row>
    <row r="132" spans="1:39" x14ac:dyDescent="0.3">
      <c r="A132" s="1" t="s">
        <v>167</v>
      </c>
      <c r="B132" s="1" t="s">
        <v>186</v>
      </c>
      <c r="C132" s="1" t="s">
        <v>188</v>
      </c>
      <c r="D132" s="1" t="s">
        <v>188</v>
      </c>
      <c r="E132" s="2">
        <v>30602</v>
      </c>
      <c r="F132" s="18">
        <v>10</v>
      </c>
      <c r="G132" s="18">
        <v>19</v>
      </c>
      <c r="H132" s="18">
        <v>24</v>
      </c>
      <c r="I132" s="18">
        <v>24</v>
      </c>
      <c r="J132" s="18">
        <v>38</v>
      </c>
      <c r="K132" s="18">
        <v>40</v>
      </c>
      <c r="L132" s="11">
        <v>42</v>
      </c>
      <c r="M132" s="2">
        <f t="shared" si="52"/>
        <v>1</v>
      </c>
      <c r="N132" s="2">
        <f t="shared" si="53"/>
        <v>3</v>
      </c>
      <c r="O132" s="2">
        <f t="shared" si="54"/>
        <v>19</v>
      </c>
      <c r="P132" s="2">
        <f t="shared" si="55"/>
        <v>21</v>
      </c>
      <c r="Q132" s="2">
        <f t="shared" si="56"/>
        <v>17</v>
      </c>
      <c r="R132" s="2">
        <f t="shared" si="57"/>
        <v>15</v>
      </c>
      <c r="S132" s="2">
        <f t="shared" si="58"/>
        <v>15</v>
      </c>
      <c r="T132" s="11">
        <v>11</v>
      </c>
      <c r="U132" s="11">
        <v>22</v>
      </c>
      <c r="V132" s="11">
        <v>43</v>
      </c>
      <c r="W132" s="18">
        <v>45</v>
      </c>
      <c r="X132" s="18">
        <v>55</v>
      </c>
      <c r="Y132" s="23">
        <v>55</v>
      </c>
      <c r="Z132" s="18">
        <v>57</v>
      </c>
      <c r="AA132" s="18">
        <v>90.909090909090907</v>
      </c>
      <c r="AB132" s="18">
        <v>86.36363636363636</v>
      </c>
      <c r="AC132" s="18">
        <v>55.813953488372093</v>
      </c>
      <c r="AD132" s="11">
        <v>53.333333333333336</v>
      </c>
      <c r="AE132" s="11">
        <v>69.090909090909093</v>
      </c>
      <c r="AF132" s="11">
        <v>72.727272727272734</v>
      </c>
      <c r="AG132" s="11">
        <v>73.68421052631578</v>
      </c>
      <c r="AH132" s="11">
        <f t="shared" si="59"/>
        <v>65.17030772844727</v>
      </c>
      <c r="AI132" s="26">
        <f t="shared" si="60"/>
        <v>71.834130781499198</v>
      </c>
      <c r="AJ132" s="2">
        <f t="shared" si="61"/>
        <v>22.333333333333332</v>
      </c>
      <c r="AK132" s="2">
        <f t="shared" si="62"/>
        <v>40</v>
      </c>
      <c r="AL132" s="2">
        <f t="shared" si="63"/>
        <v>14.333333333333334</v>
      </c>
      <c r="AM132" s="2">
        <f t="shared" si="64"/>
        <v>15.666666666666666</v>
      </c>
    </row>
    <row r="133" spans="1:39" x14ac:dyDescent="0.3">
      <c r="A133" s="1" t="s">
        <v>167</v>
      </c>
      <c r="B133" s="1" t="s">
        <v>189</v>
      </c>
      <c r="C133" s="1" t="s">
        <v>189</v>
      </c>
      <c r="D133" s="1" t="s">
        <v>189</v>
      </c>
      <c r="E133" s="2">
        <v>30701</v>
      </c>
      <c r="F133" s="18">
        <v>60</v>
      </c>
      <c r="G133" s="18">
        <v>69</v>
      </c>
      <c r="H133" s="18">
        <v>80</v>
      </c>
      <c r="I133" s="18">
        <v>85</v>
      </c>
      <c r="J133" s="18">
        <v>131</v>
      </c>
      <c r="K133" s="18">
        <v>127</v>
      </c>
      <c r="L133" s="11">
        <v>124</v>
      </c>
      <c r="M133" s="2">
        <f t="shared" si="52"/>
        <v>33</v>
      </c>
      <c r="N133" s="2">
        <f t="shared" si="53"/>
        <v>25</v>
      </c>
      <c r="O133" s="2">
        <f t="shared" si="54"/>
        <v>46</v>
      </c>
      <c r="P133" s="2">
        <f t="shared" si="55"/>
        <v>43</v>
      </c>
      <c r="Q133" s="2">
        <f t="shared" si="56"/>
        <v>34</v>
      </c>
      <c r="R133" s="2">
        <f t="shared" si="57"/>
        <v>35</v>
      </c>
      <c r="S133" s="2">
        <f t="shared" si="58"/>
        <v>37</v>
      </c>
      <c r="T133" s="11">
        <v>93</v>
      </c>
      <c r="U133" s="11">
        <v>94</v>
      </c>
      <c r="V133" s="11">
        <v>126</v>
      </c>
      <c r="W133" s="18">
        <v>128</v>
      </c>
      <c r="X133" s="18">
        <v>165</v>
      </c>
      <c r="Y133" s="23">
        <v>162</v>
      </c>
      <c r="Z133" s="18">
        <v>161</v>
      </c>
      <c r="AA133" s="18">
        <v>64.516129032258064</v>
      </c>
      <c r="AB133" s="18">
        <v>73.40425531914893</v>
      </c>
      <c r="AC133" s="18">
        <v>63.492063492063487</v>
      </c>
      <c r="AD133" s="11">
        <v>66.40625</v>
      </c>
      <c r="AE133" s="11">
        <v>79.393939393939391</v>
      </c>
      <c r="AF133" s="11">
        <v>78.395061728395063</v>
      </c>
      <c r="AG133" s="11">
        <v>77.018633540372676</v>
      </c>
      <c r="AH133" s="11">
        <f t="shared" si="59"/>
        <v>67.767522937070808</v>
      </c>
      <c r="AI133" s="26">
        <f t="shared" si="60"/>
        <v>78.26921155423571</v>
      </c>
      <c r="AJ133" s="2">
        <f t="shared" si="61"/>
        <v>78</v>
      </c>
      <c r="AK133" s="2">
        <f t="shared" si="62"/>
        <v>127.33333333333333</v>
      </c>
      <c r="AL133" s="2">
        <f t="shared" si="63"/>
        <v>38</v>
      </c>
      <c r="AM133" s="2">
        <f t="shared" si="64"/>
        <v>35.333333333333336</v>
      </c>
    </row>
    <row r="134" spans="1:39" x14ac:dyDescent="0.3">
      <c r="A134" s="1" t="s">
        <v>167</v>
      </c>
      <c r="B134" s="1" t="s">
        <v>189</v>
      </c>
      <c r="C134" s="1" t="s">
        <v>190</v>
      </c>
      <c r="D134" s="1" t="s">
        <v>191</v>
      </c>
      <c r="E134" s="2">
        <v>30702</v>
      </c>
      <c r="F134" s="18">
        <v>23</v>
      </c>
      <c r="G134" s="18">
        <v>22</v>
      </c>
      <c r="H134" s="18">
        <v>28</v>
      </c>
      <c r="I134" s="18">
        <v>29</v>
      </c>
      <c r="J134" s="18">
        <v>34</v>
      </c>
      <c r="K134" s="18">
        <v>36</v>
      </c>
      <c r="L134" s="11">
        <v>39</v>
      </c>
      <c r="M134" s="2">
        <f t="shared" si="52"/>
        <v>11</v>
      </c>
      <c r="N134" s="2">
        <f t="shared" si="53"/>
        <v>10</v>
      </c>
      <c r="O134" s="2">
        <f t="shared" si="54"/>
        <v>14</v>
      </c>
      <c r="P134" s="2">
        <f t="shared" si="55"/>
        <v>12</v>
      </c>
      <c r="Q134" s="2">
        <f t="shared" si="56"/>
        <v>11</v>
      </c>
      <c r="R134" s="2">
        <f t="shared" si="57"/>
        <v>10</v>
      </c>
      <c r="S134" s="2">
        <f t="shared" si="58"/>
        <v>12</v>
      </c>
      <c r="T134" s="11">
        <v>34</v>
      </c>
      <c r="U134" s="11">
        <v>32</v>
      </c>
      <c r="V134" s="11">
        <v>42</v>
      </c>
      <c r="W134" s="18">
        <v>41</v>
      </c>
      <c r="X134" s="18">
        <v>45</v>
      </c>
      <c r="Y134" s="23">
        <v>46</v>
      </c>
      <c r="Z134" s="18">
        <v>51</v>
      </c>
      <c r="AA134" s="18">
        <v>67.64705882352942</v>
      </c>
      <c r="AB134" s="18">
        <v>68.75</v>
      </c>
      <c r="AC134" s="18">
        <v>66.666666666666657</v>
      </c>
      <c r="AD134" s="11">
        <v>70.731707317073173</v>
      </c>
      <c r="AE134" s="11">
        <v>75.555555555555557</v>
      </c>
      <c r="AF134" s="11">
        <v>78.260869565217391</v>
      </c>
      <c r="AG134" s="11">
        <v>76.470588235294116</v>
      </c>
      <c r="AH134" s="11">
        <f t="shared" si="59"/>
        <v>68.71612466124661</v>
      </c>
      <c r="AI134" s="26">
        <f t="shared" si="60"/>
        <v>76.762337785355683</v>
      </c>
      <c r="AJ134" s="2">
        <f t="shared" si="61"/>
        <v>26.333333333333332</v>
      </c>
      <c r="AK134" s="2">
        <f t="shared" si="62"/>
        <v>36.333333333333336</v>
      </c>
      <c r="AL134" s="2">
        <f t="shared" si="63"/>
        <v>12</v>
      </c>
      <c r="AM134" s="2">
        <f t="shared" si="64"/>
        <v>11</v>
      </c>
    </row>
    <row r="135" spans="1:39" x14ac:dyDescent="0.3">
      <c r="A135" s="1" t="s">
        <v>167</v>
      </c>
      <c r="B135" s="1" t="s">
        <v>189</v>
      </c>
      <c r="C135" s="1" t="s">
        <v>192</v>
      </c>
      <c r="D135" s="1" t="s">
        <v>192</v>
      </c>
      <c r="E135" s="2">
        <v>30703</v>
      </c>
      <c r="F135" s="18">
        <v>7</v>
      </c>
      <c r="G135" s="18">
        <v>7</v>
      </c>
      <c r="H135" s="18">
        <v>10</v>
      </c>
      <c r="I135" s="18">
        <v>13</v>
      </c>
      <c r="J135" s="18">
        <v>19</v>
      </c>
      <c r="K135" s="18">
        <v>18</v>
      </c>
      <c r="L135" s="11">
        <v>18</v>
      </c>
      <c r="M135" s="2">
        <f t="shared" si="52"/>
        <v>2</v>
      </c>
      <c r="N135" s="2">
        <f t="shared" si="53"/>
        <v>4</v>
      </c>
      <c r="O135" s="2">
        <f t="shared" si="54"/>
        <v>5</v>
      </c>
      <c r="P135" s="2">
        <f t="shared" si="55"/>
        <v>4</v>
      </c>
      <c r="Q135" s="2">
        <f t="shared" si="56"/>
        <v>4</v>
      </c>
      <c r="R135" s="2">
        <f t="shared" si="57"/>
        <v>5</v>
      </c>
      <c r="S135" s="2">
        <f t="shared" si="58"/>
        <v>6</v>
      </c>
      <c r="T135" s="11">
        <v>9</v>
      </c>
      <c r="U135" s="11">
        <v>11</v>
      </c>
      <c r="V135" s="11">
        <v>15</v>
      </c>
      <c r="W135" s="18">
        <v>17</v>
      </c>
      <c r="X135" s="18">
        <v>23</v>
      </c>
      <c r="Y135" s="23">
        <v>23</v>
      </c>
      <c r="Z135" s="18">
        <v>24</v>
      </c>
      <c r="AA135" s="18">
        <v>77.777777777777786</v>
      </c>
      <c r="AB135" s="18">
        <v>63.636363636363633</v>
      </c>
      <c r="AC135" s="18">
        <v>66.666666666666657</v>
      </c>
      <c r="AD135" s="11">
        <v>76.470588235294116</v>
      </c>
      <c r="AE135" s="11">
        <v>82.608695652173907</v>
      </c>
      <c r="AF135" s="11">
        <v>78.260869565217391</v>
      </c>
      <c r="AG135" s="11">
        <v>75</v>
      </c>
      <c r="AH135" s="11">
        <f t="shared" si="59"/>
        <v>68.9245395127748</v>
      </c>
      <c r="AI135" s="26">
        <f t="shared" si="60"/>
        <v>78.623188405797109</v>
      </c>
      <c r="AJ135" s="2">
        <f t="shared" si="61"/>
        <v>10</v>
      </c>
      <c r="AK135" s="2">
        <f t="shared" si="62"/>
        <v>18.333333333333332</v>
      </c>
      <c r="AL135" s="2">
        <f t="shared" si="63"/>
        <v>4.333333333333333</v>
      </c>
      <c r="AM135" s="2">
        <f t="shared" si="64"/>
        <v>5</v>
      </c>
    </row>
    <row r="136" spans="1:39" x14ac:dyDescent="0.3">
      <c r="A136" s="1" t="s">
        <v>167</v>
      </c>
      <c r="B136" s="1" t="s">
        <v>193</v>
      </c>
      <c r="C136" s="1" t="s">
        <v>194</v>
      </c>
      <c r="D136" s="1" t="s">
        <v>194</v>
      </c>
      <c r="E136" s="2">
        <v>30801</v>
      </c>
      <c r="F136" s="18">
        <v>83</v>
      </c>
      <c r="G136" s="18">
        <v>91</v>
      </c>
      <c r="H136" s="18">
        <v>109</v>
      </c>
      <c r="I136" s="18">
        <v>111</v>
      </c>
      <c r="J136" s="18">
        <v>127</v>
      </c>
      <c r="K136" s="18">
        <v>129</v>
      </c>
      <c r="L136" s="11">
        <v>129</v>
      </c>
      <c r="M136" s="2">
        <f t="shared" si="52"/>
        <v>21</v>
      </c>
      <c r="N136" s="2">
        <f t="shared" si="53"/>
        <v>15</v>
      </c>
      <c r="O136" s="2">
        <f t="shared" si="54"/>
        <v>33</v>
      </c>
      <c r="P136" s="2">
        <f t="shared" si="55"/>
        <v>30</v>
      </c>
      <c r="Q136" s="2">
        <f t="shared" si="56"/>
        <v>24</v>
      </c>
      <c r="R136" s="2">
        <f t="shared" si="57"/>
        <v>24</v>
      </c>
      <c r="S136" s="2">
        <f t="shared" si="58"/>
        <v>24</v>
      </c>
      <c r="T136" s="11">
        <v>104</v>
      </c>
      <c r="U136" s="11">
        <v>106</v>
      </c>
      <c r="V136" s="11">
        <v>142</v>
      </c>
      <c r="W136" s="18">
        <v>141</v>
      </c>
      <c r="X136" s="18">
        <v>151</v>
      </c>
      <c r="Y136" s="23">
        <v>153</v>
      </c>
      <c r="Z136" s="18">
        <v>153</v>
      </c>
      <c r="AA136" s="18">
        <v>79.807692307692307</v>
      </c>
      <c r="AB136" s="18">
        <v>85.84905660377359</v>
      </c>
      <c r="AC136" s="18">
        <v>76.760563380281681</v>
      </c>
      <c r="AD136" s="11">
        <v>78.723404255319153</v>
      </c>
      <c r="AE136" s="11">
        <v>84.105960264900659</v>
      </c>
      <c r="AF136" s="11">
        <v>84.313725490196077</v>
      </c>
      <c r="AG136" s="11">
        <v>84.313725490196077</v>
      </c>
      <c r="AH136" s="11">
        <f t="shared" si="59"/>
        <v>80.444341413124803</v>
      </c>
      <c r="AI136" s="26">
        <f t="shared" si="60"/>
        <v>84.244470415097609</v>
      </c>
      <c r="AJ136" s="2">
        <f t="shared" si="61"/>
        <v>103.66666666666667</v>
      </c>
      <c r="AK136" s="2">
        <f t="shared" si="62"/>
        <v>128.33333333333334</v>
      </c>
      <c r="AL136" s="2">
        <f t="shared" si="63"/>
        <v>26</v>
      </c>
      <c r="AM136" s="2">
        <f t="shared" si="64"/>
        <v>24</v>
      </c>
    </row>
    <row r="137" spans="1:39" x14ac:dyDescent="0.3">
      <c r="A137" s="1" t="s">
        <v>167</v>
      </c>
      <c r="B137" s="1" t="s">
        <v>193</v>
      </c>
      <c r="C137" s="1" t="s">
        <v>195</v>
      </c>
      <c r="D137" s="1" t="s">
        <v>195</v>
      </c>
      <c r="E137" s="2">
        <v>30802</v>
      </c>
      <c r="F137" s="18">
        <v>12</v>
      </c>
      <c r="G137" s="18">
        <v>13</v>
      </c>
      <c r="H137" s="18">
        <v>20</v>
      </c>
      <c r="I137" s="18">
        <v>20</v>
      </c>
      <c r="J137" s="18">
        <v>27</v>
      </c>
      <c r="K137" s="18">
        <v>26</v>
      </c>
      <c r="L137" s="11">
        <v>26</v>
      </c>
      <c r="M137" s="2">
        <f t="shared" si="52"/>
        <v>4</v>
      </c>
      <c r="N137" s="2">
        <f t="shared" si="53"/>
        <v>5</v>
      </c>
      <c r="O137" s="2">
        <f t="shared" si="54"/>
        <v>6</v>
      </c>
      <c r="P137" s="2">
        <f t="shared" si="55"/>
        <v>6</v>
      </c>
      <c r="Q137" s="2">
        <f t="shared" si="56"/>
        <v>4</v>
      </c>
      <c r="R137" s="2">
        <f t="shared" si="57"/>
        <v>5</v>
      </c>
      <c r="S137" s="2">
        <f t="shared" si="58"/>
        <v>5</v>
      </c>
      <c r="T137" s="11">
        <v>16</v>
      </c>
      <c r="U137" s="11">
        <v>18</v>
      </c>
      <c r="V137" s="11">
        <v>26</v>
      </c>
      <c r="W137" s="18">
        <v>26</v>
      </c>
      <c r="X137" s="18">
        <v>31</v>
      </c>
      <c r="Y137" s="23">
        <v>31</v>
      </c>
      <c r="Z137" s="18">
        <v>31</v>
      </c>
      <c r="AA137" s="18">
        <v>75</v>
      </c>
      <c r="AB137" s="18">
        <v>72.222222222222214</v>
      </c>
      <c r="AC137" s="18">
        <v>76.923076923076934</v>
      </c>
      <c r="AD137" s="11">
        <v>76.923076923076934</v>
      </c>
      <c r="AE137" s="11">
        <v>87.096774193548384</v>
      </c>
      <c r="AF137" s="11">
        <v>83.870967741935488</v>
      </c>
      <c r="AG137" s="11">
        <v>83.870967741935488</v>
      </c>
      <c r="AH137" s="11">
        <f t="shared" si="59"/>
        <v>75.356125356125361</v>
      </c>
      <c r="AI137" s="26">
        <f t="shared" si="60"/>
        <v>84.946236559139791</v>
      </c>
      <c r="AJ137" s="2">
        <f t="shared" si="61"/>
        <v>17.666666666666668</v>
      </c>
      <c r="AK137" s="2">
        <f t="shared" si="62"/>
        <v>26.333333333333332</v>
      </c>
      <c r="AL137" s="2">
        <f t="shared" si="63"/>
        <v>5.666666666666667</v>
      </c>
      <c r="AM137" s="2">
        <f t="shared" si="64"/>
        <v>4.666666666666667</v>
      </c>
    </row>
    <row r="138" spans="1:39" x14ac:dyDescent="0.3">
      <c r="A138" s="1" t="s">
        <v>167</v>
      </c>
      <c r="B138" s="1" t="s">
        <v>193</v>
      </c>
      <c r="C138" s="1" t="s">
        <v>196</v>
      </c>
      <c r="D138" s="1" t="s">
        <v>196</v>
      </c>
      <c r="E138" s="2">
        <v>30803</v>
      </c>
      <c r="F138" s="18">
        <v>14</v>
      </c>
      <c r="G138" s="18">
        <v>14</v>
      </c>
      <c r="H138" s="18">
        <v>19</v>
      </c>
      <c r="I138" s="18">
        <v>24</v>
      </c>
      <c r="J138" s="18">
        <v>32</v>
      </c>
      <c r="K138" s="18">
        <v>31</v>
      </c>
      <c r="L138" s="11">
        <v>31</v>
      </c>
      <c r="M138" s="2">
        <f t="shared" si="52"/>
        <v>3</v>
      </c>
      <c r="N138" s="2">
        <f t="shared" si="53"/>
        <v>3</v>
      </c>
      <c r="O138" s="2">
        <f t="shared" si="54"/>
        <v>3</v>
      </c>
      <c r="P138" s="2">
        <f t="shared" si="55"/>
        <v>3</v>
      </c>
      <c r="Q138" s="2">
        <f t="shared" si="56"/>
        <v>5</v>
      </c>
      <c r="R138" s="2">
        <f t="shared" si="57"/>
        <v>5</v>
      </c>
      <c r="S138" s="2">
        <f t="shared" si="58"/>
        <v>5</v>
      </c>
      <c r="T138" s="11">
        <v>17</v>
      </c>
      <c r="U138" s="11">
        <v>17</v>
      </c>
      <c r="V138" s="11">
        <v>22</v>
      </c>
      <c r="W138" s="18">
        <v>27</v>
      </c>
      <c r="X138" s="18">
        <v>37</v>
      </c>
      <c r="Y138" s="23">
        <v>36</v>
      </c>
      <c r="Z138" s="18">
        <v>36</v>
      </c>
      <c r="AA138" s="18">
        <v>82.35294117647058</v>
      </c>
      <c r="AB138" s="18">
        <v>82.35294117647058</v>
      </c>
      <c r="AC138" s="18">
        <v>86.36363636363636</v>
      </c>
      <c r="AD138" s="11">
        <v>88.888888888888886</v>
      </c>
      <c r="AE138" s="11">
        <v>86.486486486486484</v>
      </c>
      <c r="AF138" s="11">
        <v>86.111111111111114</v>
      </c>
      <c r="AG138" s="11">
        <v>86.111111111111114</v>
      </c>
      <c r="AH138" s="11">
        <f t="shared" si="59"/>
        <v>85.868488809665266</v>
      </c>
      <c r="AI138" s="26">
        <f t="shared" si="60"/>
        <v>86.236236236236252</v>
      </c>
      <c r="AJ138" s="2">
        <f t="shared" si="61"/>
        <v>19</v>
      </c>
      <c r="AK138" s="2">
        <f t="shared" si="62"/>
        <v>31.333333333333332</v>
      </c>
      <c r="AL138" s="2">
        <f t="shared" si="63"/>
        <v>3</v>
      </c>
      <c r="AM138" s="2">
        <f t="shared" si="64"/>
        <v>5</v>
      </c>
    </row>
    <row r="139" spans="1:39" x14ac:dyDescent="0.3">
      <c r="A139" s="1" t="s">
        <v>167</v>
      </c>
      <c r="B139" s="1" t="s">
        <v>197</v>
      </c>
      <c r="C139" s="1" t="s">
        <v>197</v>
      </c>
      <c r="D139" s="1" t="s">
        <v>197</v>
      </c>
      <c r="E139" s="2">
        <v>30901</v>
      </c>
      <c r="F139" s="18">
        <v>408</v>
      </c>
      <c r="G139" s="18">
        <v>432</v>
      </c>
      <c r="H139" s="18">
        <v>515</v>
      </c>
      <c r="I139" s="18">
        <v>543</v>
      </c>
      <c r="J139" s="18">
        <v>655</v>
      </c>
      <c r="K139" s="18">
        <v>681</v>
      </c>
      <c r="L139" s="11">
        <v>681</v>
      </c>
      <c r="M139" s="2">
        <f t="shared" si="52"/>
        <v>114</v>
      </c>
      <c r="N139" s="2">
        <f t="shared" si="53"/>
        <v>117</v>
      </c>
      <c r="O139" s="2">
        <f t="shared" si="54"/>
        <v>169</v>
      </c>
      <c r="P139" s="2">
        <f t="shared" si="55"/>
        <v>173</v>
      </c>
      <c r="Q139" s="2">
        <f t="shared" si="56"/>
        <v>173</v>
      </c>
      <c r="R139" s="2">
        <f t="shared" si="57"/>
        <v>167</v>
      </c>
      <c r="S139" s="2">
        <f t="shared" si="58"/>
        <v>162</v>
      </c>
      <c r="T139" s="11">
        <v>522</v>
      </c>
      <c r="U139" s="11">
        <v>549</v>
      </c>
      <c r="V139" s="11">
        <v>684</v>
      </c>
      <c r="W139" s="18">
        <v>716</v>
      </c>
      <c r="X139" s="18">
        <v>828</v>
      </c>
      <c r="Y139" s="23">
        <v>848</v>
      </c>
      <c r="Z139" s="18">
        <v>843</v>
      </c>
      <c r="AA139" s="18">
        <v>78.160919540229884</v>
      </c>
      <c r="AB139" s="18">
        <v>78.688524590163937</v>
      </c>
      <c r="AC139" s="18">
        <v>75.292397660818708</v>
      </c>
      <c r="AD139" s="11">
        <v>75.837988826815632</v>
      </c>
      <c r="AE139" s="11">
        <v>79.106280193236714</v>
      </c>
      <c r="AF139" s="11">
        <v>80.306603773584911</v>
      </c>
      <c r="AG139" s="11">
        <v>80.782918149466184</v>
      </c>
      <c r="AH139" s="11">
        <f t="shared" si="59"/>
        <v>76.606303692599425</v>
      </c>
      <c r="AI139" s="26">
        <f t="shared" si="60"/>
        <v>80.065267372095931</v>
      </c>
      <c r="AJ139" s="2">
        <f t="shared" si="61"/>
        <v>496.66666666666669</v>
      </c>
      <c r="AK139" s="2">
        <f t="shared" si="62"/>
        <v>672.33333333333337</v>
      </c>
      <c r="AL139" s="2">
        <f t="shared" si="63"/>
        <v>153</v>
      </c>
      <c r="AM139" s="2">
        <f t="shared" si="64"/>
        <v>167.33333333333334</v>
      </c>
    </row>
    <row r="140" spans="1:39" x14ac:dyDescent="0.3">
      <c r="A140" s="1" t="s">
        <v>167</v>
      </c>
      <c r="B140" s="1" t="s">
        <v>197</v>
      </c>
      <c r="C140" s="1" t="s">
        <v>198</v>
      </c>
      <c r="D140" s="1" t="s">
        <v>198</v>
      </c>
      <c r="E140" s="2">
        <v>30902</v>
      </c>
      <c r="F140" s="18">
        <v>115</v>
      </c>
      <c r="G140" s="18">
        <v>124</v>
      </c>
      <c r="H140" s="18">
        <v>144</v>
      </c>
      <c r="I140" s="18">
        <v>165</v>
      </c>
      <c r="J140" s="18">
        <v>270</v>
      </c>
      <c r="K140" s="18">
        <v>279</v>
      </c>
      <c r="L140" s="11">
        <v>278</v>
      </c>
      <c r="M140" s="2">
        <f t="shared" si="52"/>
        <v>33</v>
      </c>
      <c r="N140" s="2">
        <f t="shared" si="53"/>
        <v>43</v>
      </c>
      <c r="O140" s="2">
        <f t="shared" si="54"/>
        <v>73</v>
      </c>
      <c r="P140" s="2">
        <f t="shared" si="55"/>
        <v>75</v>
      </c>
      <c r="Q140" s="2">
        <f t="shared" si="56"/>
        <v>81</v>
      </c>
      <c r="R140" s="2">
        <f t="shared" si="57"/>
        <v>81</v>
      </c>
      <c r="S140" s="2">
        <f t="shared" si="58"/>
        <v>92</v>
      </c>
      <c r="T140" s="11">
        <v>148</v>
      </c>
      <c r="U140" s="11">
        <v>167</v>
      </c>
      <c r="V140" s="11">
        <v>217</v>
      </c>
      <c r="W140" s="18">
        <v>240</v>
      </c>
      <c r="X140" s="18">
        <v>351</v>
      </c>
      <c r="Y140" s="23">
        <v>360</v>
      </c>
      <c r="Z140" s="18">
        <v>370</v>
      </c>
      <c r="AA140" s="18">
        <v>77.702702702702695</v>
      </c>
      <c r="AB140" s="18">
        <v>74.251497005988014</v>
      </c>
      <c r="AC140" s="18">
        <v>66.359447004608299</v>
      </c>
      <c r="AD140" s="11">
        <v>68.75</v>
      </c>
      <c r="AE140" s="11">
        <v>76.923076923076934</v>
      </c>
      <c r="AF140" s="11">
        <v>77.5</v>
      </c>
      <c r="AG140" s="11">
        <v>75.13513513513513</v>
      </c>
      <c r="AH140" s="11">
        <f t="shared" si="59"/>
        <v>69.786981336865438</v>
      </c>
      <c r="AI140" s="26">
        <f t="shared" si="60"/>
        <v>76.519404019404021</v>
      </c>
      <c r="AJ140" s="2">
        <f t="shared" si="61"/>
        <v>144.33333333333334</v>
      </c>
      <c r="AK140" s="2">
        <f t="shared" si="62"/>
        <v>275.66666666666669</v>
      </c>
      <c r="AL140" s="2">
        <f t="shared" si="63"/>
        <v>63.666666666666664</v>
      </c>
      <c r="AM140" s="2">
        <f t="shared" si="64"/>
        <v>84.666666666666671</v>
      </c>
    </row>
    <row r="141" spans="1:39" x14ac:dyDescent="0.3">
      <c r="A141" s="1" t="s">
        <v>167</v>
      </c>
      <c r="B141" s="1" t="s">
        <v>197</v>
      </c>
      <c r="C141" s="1" t="s">
        <v>199</v>
      </c>
      <c r="D141" s="1" t="s">
        <v>199</v>
      </c>
      <c r="E141" s="2">
        <v>30903</v>
      </c>
      <c r="F141" s="18">
        <v>116</v>
      </c>
      <c r="G141" s="18">
        <v>138</v>
      </c>
      <c r="H141" s="18">
        <v>184</v>
      </c>
      <c r="I141" s="18">
        <v>200</v>
      </c>
      <c r="J141" s="18">
        <v>282</v>
      </c>
      <c r="K141" s="18">
        <v>299</v>
      </c>
      <c r="L141" s="11">
        <v>294</v>
      </c>
      <c r="M141" s="2">
        <f t="shared" si="52"/>
        <v>28</v>
      </c>
      <c r="N141" s="2">
        <f t="shared" si="53"/>
        <v>27</v>
      </c>
      <c r="O141" s="2">
        <f t="shared" si="54"/>
        <v>43</v>
      </c>
      <c r="P141" s="2">
        <f t="shared" si="55"/>
        <v>51</v>
      </c>
      <c r="Q141" s="2">
        <f t="shared" si="56"/>
        <v>64</v>
      </c>
      <c r="R141" s="2">
        <f t="shared" si="57"/>
        <v>67</v>
      </c>
      <c r="S141" s="2">
        <f t="shared" si="58"/>
        <v>72</v>
      </c>
      <c r="T141" s="11">
        <v>144</v>
      </c>
      <c r="U141" s="11">
        <v>165</v>
      </c>
      <c r="V141" s="11">
        <v>227</v>
      </c>
      <c r="W141" s="18">
        <v>251</v>
      </c>
      <c r="X141" s="18">
        <v>346</v>
      </c>
      <c r="Y141" s="23">
        <v>366</v>
      </c>
      <c r="Z141" s="18">
        <v>366</v>
      </c>
      <c r="AA141" s="18">
        <v>80.555555555555557</v>
      </c>
      <c r="AB141" s="18">
        <v>83.636363636363626</v>
      </c>
      <c r="AC141" s="18">
        <v>81.057268722466958</v>
      </c>
      <c r="AD141" s="11">
        <v>79.681274900398407</v>
      </c>
      <c r="AE141" s="11">
        <v>81.502890173410407</v>
      </c>
      <c r="AF141" s="11">
        <v>81.69398907103826</v>
      </c>
      <c r="AG141" s="11">
        <v>80.327868852459019</v>
      </c>
      <c r="AH141" s="11">
        <f t="shared" si="59"/>
        <v>81.458302419743006</v>
      </c>
      <c r="AI141" s="26">
        <f t="shared" si="60"/>
        <v>81.174916032302562</v>
      </c>
      <c r="AJ141" s="2">
        <f t="shared" si="61"/>
        <v>174</v>
      </c>
      <c r="AK141" s="2">
        <f t="shared" si="62"/>
        <v>291.66666666666669</v>
      </c>
      <c r="AL141" s="2">
        <f t="shared" si="63"/>
        <v>40.333333333333336</v>
      </c>
      <c r="AM141" s="2">
        <f t="shared" si="64"/>
        <v>67.666666666666671</v>
      </c>
    </row>
    <row r="142" spans="1:39" x14ac:dyDescent="0.3">
      <c r="A142" s="1" t="s">
        <v>167</v>
      </c>
      <c r="B142" s="1" t="s">
        <v>197</v>
      </c>
      <c r="C142" s="1" t="s">
        <v>200</v>
      </c>
      <c r="D142" s="1" t="s">
        <v>200</v>
      </c>
      <c r="E142" s="2">
        <v>30904</v>
      </c>
      <c r="F142" s="18">
        <v>119</v>
      </c>
      <c r="G142" s="18">
        <v>135</v>
      </c>
      <c r="H142" s="18">
        <v>150</v>
      </c>
      <c r="I142" s="18">
        <v>155</v>
      </c>
      <c r="J142" s="18">
        <v>210</v>
      </c>
      <c r="K142" s="18">
        <v>222</v>
      </c>
      <c r="L142" s="11">
        <v>233</v>
      </c>
      <c r="M142" s="2">
        <f t="shared" si="52"/>
        <v>53</v>
      </c>
      <c r="N142" s="2">
        <f t="shared" si="53"/>
        <v>57</v>
      </c>
      <c r="O142" s="2">
        <f t="shared" si="54"/>
        <v>89</v>
      </c>
      <c r="P142" s="2">
        <f t="shared" si="55"/>
        <v>97</v>
      </c>
      <c r="Q142" s="2">
        <f t="shared" si="56"/>
        <v>89</v>
      </c>
      <c r="R142" s="2">
        <f t="shared" si="57"/>
        <v>93</v>
      </c>
      <c r="S142" s="2">
        <f t="shared" si="58"/>
        <v>97</v>
      </c>
      <c r="T142" s="11">
        <v>172</v>
      </c>
      <c r="U142" s="11">
        <v>192</v>
      </c>
      <c r="V142" s="11">
        <v>239</v>
      </c>
      <c r="W142" s="18">
        <v>252</v>
      </c>
      <c r="X142" s="18">
        <v>299</v>
      </c>
      <c r="Y142" s="23">
        <v>315</v>
      </c>
      <c r="Z142" s="18">
        <v>330</v>
      </c>
      <c r="AA142" s="18">
        <v>69.186046511627907</v>
      </c>
      <c r="AB142" s="18">
        <v>70.3125</v>
      </c>
      <c r="AC142" s="18">
        <v>62.761506276150627</v>
      </c>
      <c r="AD142" s="11">
        <v>61.507936507936513</v>
      </c>
      <c r="AE142" s="11">
        <v>70.23411371237458</v>
      </c>
      <c r="AF142" s="11">
        <v>70.476190476190482</v>
      </c>
      <c r="AG142" s="11">
        <v>70.606060606060609</v>
      </c>
      <c r="AH142" s="11">
        <f t="shared" si="59"/>
        <v>64.860647594695706</v>
      </c>
      <c r="AI142" s="26">
        <f t="shared" si="60"/>
        <v>70.438788264875214</v>
      </c>
      <c r="AJ142" s="2">
        <f t="shared" si="61"/>
        <v>146.66666666666666</v>
      </c>
      <c r="AK142" s="2">
        <f t="shared" si="62"/>
        <v>221.66666666666666</v>
      </c>
      <c r="AL142" s="2">
        <f t="shared" si="63"/>
        <v>81</v>
      </c>
      <c r="AM142" s="2">
        <f t="shared" si="64"/>
        <v>93</v>
      </c>
    </row>
    <row r="143" spans="1:39" x14ac:dyDescent="0.3">
      <c r="A143" s="1" t="s">
        <v>167</v>
      </c>
      <c r="B143" s="1" t="s">
        <v>197</v>
      </c>
      <c r="C143" s="1" t="s">
        <v>201</v>
      </c>
      <c r="D143" s="1" t="s">
        <v>201</v>
      </c>
      <c r="E143" s="2">
        <v>30905</v>
      </c>
      <c r="F143" s="18">
        <v>122</v>
      </c>
      <c r="G143" s="18">
        <v>129</v>
      </c>
      <c r="H143" s="18">
        <v>160</v>
      </c>
      <c r="I143" s="18">
        <v>166</v>
      </c>
      <c r="J143" s="18">
        <v>225</v>
      </c>
      <c r="K143" s="18">
        <v>229</v>
      </c>
      <c r="L143" s="11">
        <v>235</v>
      </c>
      <c r="M143" s="2">
        <f t="shared" si="52"/>
        <v>36</v>
      </c>
      <c r="N143" s="2">
        <f t="shared" si="53"/>
        <v>41</v>
      </c>
      <c r="O143" s="2">
        <f t="shared" si="54"/>
        <v>48</v>
      </c>
      <c r="P143" s="2">
        <f t="shared" si="55"/>
        <v>47</v>
      </c>
      <c r="Q143" s="2">
        <f t="shared" si="56"/>
        <v>49</v>
      </c>
      <c r="R143" s="2">
        <f t="shared" si="57"/>
        <v>49</v>
      </c>
      <c r="S143" s="2">
        <f t="shared" si="58"/>
        <v>51</v>
      </c>
      <c r="T143" s="11">
        <v>158</v>
      </c>
      <c r="U143" s="11">
        <v>170</v>
      </c>
      <c r="V143" s="11">
        <v>208</v>
      </c>
      <c r="W143" s="18">
        <v>213</v>
      </c>
      <c r="X143" s="18">
        <v>274</v>
      </c>
      <c r="Y143" s="23">
        <v>278</v>
      </c>
      <c r="Z143" s="18">
        <v>286</v>
      </c>
      <c r="AA143" s="18">
        <v>77.215189873417728</v>
      </c>
      <c r="AB143" s="18">
        <v>75.882352941176464</v>
      </c>
      <c r="AC143" s="18">
        <v>76.923076923076934</v>
      </c>
      <c r="AD143" s="11">
        <v>77.934272300469488</v>
      </c>
      <c r="AE143" s="11">
        <v>82.116788321167888</v>
      </c>
      <c r="AF143" s="11">
        <v>82.374100719424462</v>
      </c>
      <c r="AG143" s="11">
        <v>82.167832167832159</v>
      </c>
      <c r="AH143" s="11">
        <f t="shared" si="59"/>
        <v>76.913234054907619</v>
      </c>
      <c r="AI143" s="26">
        <f t="shared" si="60"/>
        <v>82.219573736141498</v>
      </c>
      <c r="AJ143" s="2">
        <f t="shared" si="61"/>
        <v>151.66666666666666</v>
      </c>
      <c r="AK143" s="2">
        <f t="shared" si="62"/>
        <v>229.66666666666666</v>
      </c>
      <c r="AL143" s="2">
        <f t="shared" si="63"/>
        <v>45.333333333333336</v>
      </c>
      <c r="AM143" s="2">
        <f t="shared" si="64"/>
        <v>49.666666666666664</v>
      </c>
    </row>
    <row r="144" spans="1:39" x14ac:dyDescent="0.3">
      <c r="A144" s="1" t="s">
        <v>167</v>
      </c>
      <c r="B144" s="1" t="s">
        <v>202</v>
      </c>
      <c r="C144" s="1" t="s">
        <v>203</v>
      </c>
      <c r="D144" s="1" t="s">
        <v>203</v>
      </c>
      <c r="E144" s="2">
        <v>31001</v>
      </c>
      <c r="F144" s="18">
        <v>254</v>
      </c>
      <c r="G144" s="18">
        <v>282</v>
      </c>
      <c r="H144" s="18">
        <v>378</v>
      </c>
      <c r="I144" s="18">
        <v>445</v>
      </c>
      <c r="J144" s="18">
        <v>674</v>
      </c>
      <c r="K144" s="18">
        <v>705</v>
      </c>
      <c r="L144" s="11">
        <v>736</v>
      </c>
      <c r="M144" s="2">
        <f t="shared" si="52"/>
        <v>42</v>
      </c>
      <c r="N144" s="2">
        <f t="shared" si="53"/>
        <v>54</v>
      </c>
      <c r="O144" s="2">
        <f t="shared" si="54"/>
        <v>109</v>
      </c>
      <c r="P144" s="2">
        <f t="shared" si="55"/>
        <v>130</v>
      </c>
      <c r="Q144" s="2">
        <f t="shared" si="56"/>
        <v>155</v>
      </c>
      <c r="R144" s="2">
        <f t="shared" si="57"/>
        <v>156</v>
      </c>
      <c r="S144" s="2">
        <f t="shared" si="58"/>
        <v>157</v>
      </c>
      <c r="T144" s="11">
        <v>296</v>
      </c>
      <c r="U144" s="11">
        <v>336</v>
      </c>
      <c r="V144" s="11">
        <v>487</v>
      </c>
      <c r="W144" s="18">
        <v>575</v>
      </c>
      <c r="X144" s="18">
        <v>829</v>
      </c>
      <c r="Y144" s="23">
        <v>861</v>
      </c>
      <c r="Z144" s="18">
        <v>893</v>
      </c>
      <c r="AA144" s="18">
        <v>85.810810810810807</v>
      </c>
      <c r="AB144" s="18">
        <v>83.928571428571431</v>
      </c>
      <c r="AC144" s="18">
        <v>77.618069815195071</v>
      </c>
      <c r="AD144" s="11">
        <v>77.391304347826079</v>
      </c>
      <c r="AE144" s="11">
        <v>81.302774427020509</v>
      </c>
      <c r="AF144" s="11">
        <v>81.881533101045306</v>
      </c>
      <c r="AG144" s="11">
        <v>82.418812989921605</v>
      </c>
      <c r="AH144" s="11">
        <f t="shared" si="59"/>
        <v>79.645981863864179</v>
      </c>
      <c r="AI144" s="26">
        <f t="shared" si="60"/>
        <v>81.867706839329131</v>
      </c>
      <c r="AJ144" s="2">
        <f t="shared" si="61"/>
        <v>368.33333333333331</v>
      </c>
      <c r="AK144" s="2">
        <f t="shared" si="62"/>
        <v>705</v>
      </c>
      <c r="AL144" s="2">
        <f t="shared" si="63"/>
        <v>97.666666666666671</v>
      </c>
      <c r="AM144" s="2">
        <f t="shared" si="64"/>
        <v>156</v>
      </c>
    </row>
    <row r="145" spans="1:39" x14ac:dyDescent="0.3">
      <c r="A145" s="1" t="s">
        <v>167</v>
      </c>
      <c r="B145" s="1" t="s">
        <v>202</v>
      </c>
      <c r="C145" s="1" t="s">
        <v>204</v>
      </c>
      <c r="D145" s="1" t="s">
        <v>204</v>
      </c>
      <c r="E145" s="2">
        <v>31002</v>
      </c>
      <c r="F145" s="18">
        <v>64</v>
      </c>
      <c r="G145" s="18">
        <v>71</v>
      </c>
      <c r="H145" s="18">
        <v>85</v>
      </c>
      <c r="I145" s="18">
        <v>88</v>
      </c>
      <c r="J145" s="18">
        <v>123</v>
      </c>
      <c r="K145" s="18">
        <v>129</v>
      </c>
      <c r="L145" s="11">
        <v>135</v>
      </c>
      <c r="M145" s="2">
        <f t="shared" si="52"/>
        <v>17</v>
      </c>
      <c r="N145" s="2">
        <f t="shared" si="53"/>
        <v>17</v>
      </c>
      <c r="O145" s="2">
        <f t="shared" si="54"/>
        <v>33</v>
      </c>
      <c r="P145" s="2">
        <f t="shared" si="55"/>
        <v>42</v>
      </c>
      <c r="Q145" s="2">
        <f t="shared" si="56"/>
        <v>32</v>
      </c>
      <c r="R145" s="2">
        <f t="shared" si="57"/>
        <v>31</v>
      </c>
      <c r="S145" s="2">
        <f t="shared" si="58"/>
        <v>32</v>
      </c>
      <c r="T145" s="11">
        <v>81</v>
      </c>
      <c r="U145" s="11">
        <v>88</v>
      </c>
      <c r="V145" s="11">
        <v>118</v>
      </c>
      <c r="W145" s="18">
        <v>130</v>
      </c>
      <c r="X145" s="18">
        <v>155</v>
      </c>
      <c r="Y145" s="23">
        <v>160</v>
      </c>
      <c r="Z145" s="18">
        <v>167</v>
      </c>
      <c r="AA145" s="18">
        <v>79.012345679012341</v>
      </c>
      <c r="AB145" s="18">
        <v>80.681818181818173</v>
      </c>
      <c r="AC145" s="18">
        <v>72.033898305084747</v>
      </c>
      <c r="AD145" s="11">
        <v>67.692307692307693</v>
      </c>
      <c r="AE145" s="11">
        <v>79.354838709677423</v>
      </c>
      <c r="AF145" s="11">
        <v>80.625</v>
      </c>
      <c r="AG145" s="11">
        <v>80.838323353293418</v>
      </c>
      <c r="AH145" s="11">
        <f t="shared" si="59"/>
        <v>73.469341393070195</v>
      </c>
      <c r="AI145" s="26">
        <f t="shared" si="60"/>
        <v>80.272720687656957</v>
      </c>
      <c r="AJ145" s="2">
        <f t="shared" si="61"/>
        <v>81.333333333333329</v>
      </c>
      <c r="AK145" s="2">
        <f t="shared" si="62"/>
        <v>129</v>
      </c>
      <c r="AL145" s="2">
        <f t="shared" si="63"/>
        <v>30.666666666666668</v>
      </c>
      <c r="AM145" s="2">
        <f t="shared" si="64"/>
        <v>31.666666666666668</v>
      </c>
    </row>
    <row r="146" spans="1:39" x14ac:dyDescent="0.3">
      <c r="A146" s="1" t="s">
        <v>167</v>
      </c>
      <c r="B146" s="1" t="s">
        <v>202</v>
      </c>
      <c r="C146" s="1" t="s">
        <v>205</v>
      </c>
      <c r="D146" s="1" t="s">
        <v>205</v>
      </c>
      <c r="E146" s="2">
        <v>31003</v>
      </c>
      <c r="F146" s="18">
        <v>151</v>
      </c>
      <c r="G146" s="18">
        <v>172</v>
      </c>
      <c r="H146" s="18">
        <v>220</v>
      </c>
      <c r="I146" s="18">
        <v>251</v>
      </c>
      <c r="J146" s="18">
        <v>499</v>
      </c>
      <c r="K146" s="18">
        <v>524</v>
      </c>
      <c r="L146" s="11">
        <v>544</v>
      </c>
      <c r="M146" s="2">
        <f t="shared" si="52"/>
        <v>34</v>
      </c>
      <c r="N146" s="2">
        <f t="shared" si="53"/>
        <v>43</v>
      </c>
      <c r="O146" s="2">
        <f t="shared" si="54"/>
        <v>122</v>
      </c>
      <c r="P146" s="2">
        <f t="shared" si="55"/>
        <v>116</v>
      </c>
      <c r="Q146" s="2">
        <f t="shared" si="56"/>
        <v>127</v>
      </c>
      <c r="R146" s="2">
        <f t="shared" si="57"/>
        <v>135</v>
      </c>
      <c r="S146" s="2">
        <f t="shared" si="58"/>
        <v>142</v>
      </c>
      <c r="T146" s="11">
        <v>185</v>
      </c>
      <c r="U146" s="11">
        <v>215</v>
      </c>
      <c r="V146" s="11">
        <v>342</v>
      </c>
      <c r="W146" s="18">
        <v>367</v>
      </c>
      <c r="X146" s="18">
        <v>626</v>
      </c>
      <c r="Y146" s="23">
        <v>659</v>
      </c>
      <c r="Z146" s="18">
        <v>686</v>
      </c>
      <c r="AA146" s="18">
        <v>81.621621621621614</v>
      </c>
      <c r="AB146" s="18">
        <v>80</v>
      </c>
      <c r="AC146" s="18">
        <v>64.327485380116954</v>
      </c>
      <c r="AD146" s="11">
        <v>68.392370572207085</v>
      </c>
      <c r="AE146" s="11">
        <v>79.712460063897765</v>
      </c>
      <c r="AF146" s="11">
        <v>79.514415781487102</v>
      </c>
      <c r="AG146" s="11">
        <v>79.300291545189509</v>
      </c>
      <c r="AH146" s="11">
        <f t="shared" si="59"/>
        <v>70.906618650774689</v>
      </c>
      <c r="AI146" s="26">
        <f t="shared" si="60"/>
        <v>79.509055796858135</v>
      </c>
      <c r="AJ146" s="2">
        <f t="shared" si="61"/>
        <v>214.33333333333334</v>
      </c>
      <c r="AK146" s="2">
        <f t="shared" si="62"/>
        <v>522.33333333333337</v>
      </c>
      <c r="AL146" s="2">
        <f t="shared" si="63"/>
        <v>93.666666666666671</v>
      </c>
      <c r="AM146" s="2">
        <f t="shared" si="64"/>
        <v>134.66666666666666</v>
      </c>
    </row>
    <row r="147" spans="1:39" x14ac:dyDescent="0.3">
      <c r="A147" s="1" t="s">
        <v>167</v>
      </c>
      <c r="B147" s="1" t="s">
        <v>206</v>
      </c>
      <c r="C147" s="1" t="s">
        <v>206</v>
      </c>
      <c r="D147" s="1" t="s">
        <v>206</v>
      </c>
      <c r="E147" s="2">
        <v>31101</v>
      </c>
      <c r="F147" s="18">
        <v>37</v>
      </c>
      <c r="G147" s="18">
        <v>42</v>
      </c>
      <c r="H147" s="18">
        <v>47</v>
      </c>
      <c r="I147" s="18">
        <v>48</v>
      </c>
      <c r="J147" s="18">
        <v>115</v>
      </c>
      <c r="K147" s="18">
        <v>112</v>
      </c>
      <c r="L147" s="11">
        <v>120</v>
      </c>
      <c r="M147" s="2">
        <f t="shared" si="52"/>
        <v>3</v>
      </c>
      <c r="N147" s="2">
        <f t="shared" si="53"/>
        <v>14</v>
      </c>
      <c r="O147" s="2">
        <f t="shared" si="54"/>
        <v>54</v>
      </c>
      <c r="P147" s="2">
        <f t="shared" si="55"/>
        <v>53</v>
      </c>
      <c r="Q147" s="2">
        <f t="shared" si="56"/>
        <v>39</v>
      </c>
      <c r="R147" s="2">
        <f t="shared" si="57"/>
        <v>45</v>
      </c>
      <c r="S147" s="2">
        <f t="shared" si="58"/>
        <v>43</v>
      </c>
      <c r="T147" s="11">
        <v>40</v>
      </c>
      <c r="U147" s="11">
        <v>56</v>
      </c>
      <c r="V147" s="11">
        <v>101</v>
      </c>
      <c r="W147" s="18">
        <v>101</v>
      </c>
      <c r="X147" s="18">
        <v>154</v>
      </c>
      <c r="Y147" s="23">
        <v>157</v>
      </c>
      <c r="Z147" s="18">
        <v>163</v>
      </c>
      <c r="AA147" s="18">
        <v>92.5</v>
      </c>
      <c r="AB147" s="18">
        <v>75</v>
      </c>
      <c r="AC147" s="18">
        <v>46.534653465346537</v>
      </c>
      <c r="AD147" s="11">
        <v>47.524752475247524</v>
      </c>
      <c r="AE147" s="11">
        <v>74.675324675324674</v>
      </c>
      <c r="AF147" s="11">
        <v>71.337579617834393</v>
      </c>
      <c r="AG147" s="11">
        <v>73.619631901840492</v>
      </c>
      <c r="AH147" s="11">
        <f t="shared" si="59"/>
        <v>56.353135313531347</v>
      </c>
      <c r="AI147" s="26">
        <f t="shared" si="60"/>
        <v>73.210845398333177</v>
      </c>
      <c r="AJ147" s="2">
        <f t="shared" si="61"/>
        <v>45.666666666666664</v>
      </c>
      <c r="AK147" s="2">
        <f t="shared" si="62"/>
        <v>115.66666666666667</v>
      </c>
      <c r="AL147" s="2">
        <f t="shared" si="63"/>
        <v>40.333333333333336</v>
      </c>
      <c r="AM147" s="2">
        <f t="shared" si="64"/>
        <v>42.333333333333336</v>
      </c>
    </row>
    <row r="148" spans="1:39" x14ac:dyDescent="0.3">
      <c r="A148" s="1" t="s">
        <v>167</v>
      </c>
      <c r="B148" s="1" t="s">
        <v>207</v>
      </c>
      <c r="C148" s="1" t="s">
        <v>208</v>
      </c>
      <c r="D148" s="1" t="s">
        <v>208</v>
      </c>
      <c r="E148" s="2">
        <v>31201</v>
      </c>
      <c r="F148" s="18">
        <v>22</v>
      </c>
      <c r="G148" s="18">
        <v>23</v>
      </c>
      <c r="H148" s="18">
        <v>25</v>
      </c>
      <c r="I148" s="18">
        <v>25</v>
      </c>
      <c r="J148" s="18">
        <v>63</v>
      </c>
      <c r="K148" s="18">
        <v>69</v>
      </c>
      <c r="L148" s="11">
        <v>83</v>
      </c>
      <c r="M148" s="2">
        <f t="shared" si="52"/>
        <v>6</v>
      </c>
      <c r="N148" s="2">
        <f t="shared" si="53"/>
        <v>8</v>
      </c>
      <c r="O148" s="2">
        <f t="shared" si="54"/>
        <v>21</v>
      </c>
      <c r="P148" s="2">
        <f t="shared" si="55"/>
        <v>23</v>
      </c>
      <c r="Q148" s="2">
        <f t="shared" si="56"/>
        <v>20</v>
      </c>
      <c r="R148" s="2">
        <f t="shared" si="57"/>
        <v>20</v>
      </c>
      <c r="S148" s="2">
        <f t="shared" si="58"/>
        <v>19</v>
      </c>
      <c r="T148" s="11">
        <v>28</v>
      </c>
      <c r="U148" s="11">
        <v>31</v>
      </c>
      <c r="V148" s="11">
        <v>46</v>
      </c>
      <c r="W148" s="18">
        <v>48</v>
      </c>
      <c r="X148" s="18">
        <v>83</v>
      </c>
      <c r="Y148" s="23">
        <v>89</v>
      </c>
      <c r="Z148" s="18">
        <v>102</v>
      </c>
      <c r="AA148" s="18">
        <v>78.571428571428569</v>
      </c>
      <c r="AB148" s="18">
        <v>74.193548387096769</v>
      </c>
      <c r="AC148" s="18">
        <v>54.347826086956516</v>
      </c>
      <c r="AD148" s="11">
        <v>52.083333333333336</v>
      </c>
      <c r="AE148" s="11">
        <v>75.903614457831324</v>
      </c>
      <c r="AF148" s="11">
        <v>77.528089887640448</v>
      </c>
      <c r="AG148" s="11">
        <v>81.372549019607845</v>
      </c>
      <c r="AH148" s="11">
        <f t="shared" si="59"/>
        <v>60.208235935795535</v>
      </c>
      <c r="AI148" s="26">
        <f t="shared" si="60"/>
        <v>78.268084455026539</v>
      </c>
      <c r="AJ148" s="2">
        <f t="shared" si="61"/>
        <v>24.333333333333332</v>
      </c>
      <c r="AK148" s="2">
        <f t="shared" si="62"/>
        <v>71.666666666666671</v>
      </c>
      <c r="AL148" s="2">
        <f t="shared" si="63"/>
        <v>17.333333333333332</v>
      </c>
      <c r="AM148" s="2">
        <f t="shared" si="64"/>
        <v>19.666666666666668</v>
      </c>
    </row>
    <row r="149" spans="1:39" x14ac:dyDescent="0.3">
      <c r="A149" s="1" t="s">
        <v>167</v>
      </c>
      <c r="B149" s="1" t="s">
        <v>207</v>
      </c>
      <c r="C149" s="1" t="s">
        <v>209</v>
      </c>
      <c r="D149" s="1" t="s">
        <v>209</v>
      </c>
      <c r="E149" s="2">
        <v>31202</v>
      </c>
      <c r="F149" s="18">
        <v>19</v>
      </c>
      <c r="G149" s="18">
        <v>21</v>
      </c>
      <c r="H149" s="18">
        <v>26</v>
      </c>
      <c r="I149" s="18">
        <v>27</v>
      </c>
      <c r="J149" s="18">
        <v>61</v>
      </c>
      <c r="K149" s="18">
        <v>70</v>
      </c>
      <c r="L149" s="11">
        <v>77</v>
      </c>
      <c r="M149" s="2">
        <f t="shared" si="52"/>
        <v>11</v>
      </c>
      <c r="N149" s="2">
        <f t="shared" si="53"/>
        <v>12</v>
      </c>
      <c r="O149" s="2">
        <f t="shared" si="54"/>
        <v>21</v>
      </c>
      <c r="P149" s="2">
        <f t="shared" si="55"/>
        <v>20</v>
      </c>
      <c r="Q149" s="2">
        <f t="shared" si="56"/>
        <v>24</v>
      </c>
      <c r="R149" s="2">
        <f t="shared" si="57"/>
        <v>22</v>
      </c>
      <c r="S149" s="2">
        <f t="shared" si="58"/>
        <v>25</v>
      </c>
      <c r="T149" s="11">
        <v>30</v>
      </c>
      <c r="U149" s="11">
        <v>33</v>
      </c>
      <c r="V149" s="11">
        <v>47</v>
      </c>
      <c r="W149" s="18">
        <v>47</v>
      </c>
      <c r="X149" s="18">
        <v>85</v>
      </c>
      <c r="Y149" s="23">
        <v>92</v>
      </c>
      <c r="Z149" s="18">
        <v>102</v>
      </c>
      <c r="AA149" s="18">
        <v>63.333333333333329</v>
      </c>
      <c r="AB149" s="18">
        <v>63.636363636363633</v>
      </c>
      <c r="AC149" s="18">
        <v>55.319148936170215</v>
      </c>
      <c r="AD149" s="11">
        <v>57.446808510638306</v>
      </c>
      <c r="AE149" s="11">
        <v>71.764705882352942</v>
      </c>
      <c r="AF149" s="11">
        <v>76.08695652173914</v>
      </c>
      <c r="AG149" s="11">
        <v>75.490196078431367</v>
      </c>
      <c r="AH149" s="11">
        <f t="shared" si="59"/>
        <v>58.80077369439072</v>
      </c>
      <c r="AI149" s="26">
        <f t="shared" si="60"/>
        <v>74.447286160841145</v>
      </c>
      <c r="AJ149" s="2">
        <f t="shared" si="61"/>
        <v>24.666666666666668</v>
      </c>
      <c r="AK149" s="2">
        <f t="shared" si="62"/>
        <v>69.333333333333329</v>
      </c>
      <c r="AL149" s="2">
        <f t="shared" si="63"/>
        <v>17.666666666666668</v>
      </c>
      <c r="AM149" s="2">
        <f t="shared" si="64"/>
        <v>23.666666666666668</v>
      </c>
    </row>
    <row r="150" spans="1:39" x14ac:dyDescent="0.3">
      <c r="A150" s="1" t="s">
        <v>167</v>
      </c>
      <c r="B150" s="1" t="s">
        <v>207</v>
      </c>
      <c r="C150" s="1" t="s">
        <v>210</v>
      </c>
      <c r="D150" s="1" t="s">
        <v>210</v>
      </c>
      <c r="E150" s="2">
        <v>31203</v>
      </c>
      <c r="F150" s="18">
        <v>18</v>
      </c>
      <c r="G150" s="18">
        <v>19</v>
      </c>
      <c r="H150" s="18">
        <v>32</v>
      </c>
      <c r="I150" s="18">
        <v>38</v>
      </c>
      <c r="J150" s="18">
        <v>59</v>
      </c>
      <c r="K150" s="18">
        <v>64</v>
      </c>
      <c r="L150" s="11">
        <v>62</v>
      </c>
      <c r="M150" s="2">
        <f t="shared" si="52"/>
        <v>4</v>
      </c>
      <c r="N150" s="2">
        <f t="shared" si="53"/>
        <v>7</v>
      </c>
      <c r="O150" s="2">
        <f t="shared" si="54"/>
        <v>23</v>
      </c>
      <c r="P150" s="2">
        <f t="shared" si="55"/>
        <v>22</v>
      </c>
      <c r="Q150" s="2">
        <f t="shared" si="56"/>
        <v>16</v>
      </c>
      <c r="R150" s="2">
        <f t="shared" si="57"/>
        <v>16</v>
      </c>
      <c r="S150" s="2">
        <f t="shared" si="58"/>
        <v>19</v>
      </c>
      <c r="T150" s="11">
        <v>22</v>
      </c>
      <c r="U150" s="11">
        <v>26</v>
      </c>
      <c r="V150" s="11">
        <v>55</v>
      </c>
      <c r="W150" s="18">
        <v>60</v>
      </c>
      <c r="X150" s="18">
        <v>75</v>
      </c>
      <c r="Y150" s="23">
        <v>80</v>
      </c>
      <c r="Z150" s="18">
        <v>81</v>
      </c>
      <c r="AA150" s="18">
        <v>81.818181818181827</v>
      </c>
      <c r="AB150" s="18">
        <v>73.076923076923066</v>
      </c>
      <c r="AC150" s="18">
        <v>58.18181818181818</v>
      </c>
      <c r="AD150" s="11">
        <v>63.333333333333329</v>
      </c>
      <c r="AE150" s="11">
        <v>78.666666666666657</v>
      </c>
      <c r="AF150" s="11">
        <v>80</v>
      </c>
      <c r="AG150" s="11">
        <v>76.543209876543202</v>
      </c>
      <c r="AH150" s="11">
        <f t="shared" si="59"/>
        <v>64.86402486402487</v>
      </c>
      <c r="AI150" s="26">
        <f t="shared" si="60"/>
        <v>78.403292181069958</v>
      </c>
      <c r="AJ150" s="2">
        <f t="shared" si="61"/>
        <v>29.666666666666668</v>
      </c>
      <c r="AK150" s="2">
        <f t="shared" si="62"/>
        <v>61.666666666666664</v>
      </c>
      <c r="AL150" s="2">
        <f t="shared" si="63"/>
        <v>17.333333333333332</v>
      </c>
      <c r="AM150" s="2">
        <f t="shared" si="64"/>
        <v>17</v>
      </c>
    </row>
    <row r="151" spans="1:39" x14ac:dyDescent="0.3">
      <c r="A151" s="1" t="s">
        <v>167</v>
      </c>
      <c r="B151" s="1" t="s">
        <v>207</v>
      </c>
      <c r="C151" s="1" t="s">
        <v>211</v>
      </c>
      <c r="D151" s="1" t="s">
        <v>211</v>
      </c>
      <c r="E151" s="2">
        <v>31204</v>
      </c>
      <c r="F151" s="18">
        <v>49</v>
      </c>
      <c r="G151" s="18">
        <v>62</v>
      </c>
      <c r="H151" s="18">
        <v>71</v>
      </c>
      <c r="I151" s="18">
        <v>88</v>
      </c>
      <c r="J151" s="18">
        <v>165</v>
      </c>
      <c r="K151" s="18">
        <v>165</v>
      </c>
      <c r="L151" s="11">
        <v>167</v>
      </c>
      <c r="M151" s="2">
        <f t="shared" si="52"/>
        <v>10</v>
      </c>
      <c r="N151" s="2">
        <f t="shared" si="53"/>
        <v>11</v>
      </c>
      <c r="O151" s="2">
        <f t="shared" si="54"/>
        <v>25</v>
      </c>
      <c r="P151" s="2">
        <f t="shared" si="55"/>
        <v>35</v>
      </c>
      <c r="Q151" s="2">
        <f t="shared" si="56"/>
        <v>48</v>
      </c>
      <c r="R151" s="2">
        <f t="shared" si="57"/>
        <v>52</v>
      </c>
      <c r="S151" s="2">
        <f t="shared" si="58"/>
        <v>54</v>
      </c>
      <c r="T151" s="11">
        <v>59</v>
      </c>
      <c r="U151" s="11">
        <v>73</v>
      </c>
      <c r="V151" s="11">
        <v>96</v>
      </c>
      <c r="W151" s="18">
        <v>123</v>
      </c>
      <c r="X151" s="18">
        <v>213</v>
      </c>
      <c r="Y151" s="23">
        <v>217</v>
      </c>
      <c r="Z151" s="18">
        <v>221</v>
      </c>
      <c r="AA151" s="18">
        <v>83.050847457627114</v>
      </c>
      <c r="AB151" s="18">
        <v>84.93150684931507</v>
      </c>
      <c r="AC151" s="18">
        <v>73.958333333333343</v>
      </c>
      <c r="AD151" s="11">
        <v>71.544715447154474</v>
      </c>
      <c r="AE151" s="11">
        <v>77.464788732394368</v>
      </c>
      <c r="AF151" s="11">
        <v>76.036866359447004</v>
      </c>
      <c r="AG151" s="11">
        <v>75.565610859728508</v>
      </c>
      <c r="AH151" s="11">
        <f t="shared" si="59"/>
        <v>76.811518543267638</v>
      </c>
      <c r="AI151" s="26">
        <f t="shared" si="60"/>
        <v>76.35575531718996</v>
      </c>
      <c r="AJ151" s="2">
        <f t="shared" si="61"/>
        <v>73.666666666666671</v>
      </c>
      <c r="AK151" s="2">
        <f t="shared" si="62"/>
        <v>165.66666666666666</v>
      </c>
      <c r="AL151" s="2">
        <f t="shared" si="63"/>
        <v>23.666666666666668</v>
      </c>
      <c r="AM151" s="2">
        <f t="shared" si="64"/>
        <v>51.333333333333336</v>
      </c>
    </row>
    <row r="152" spans="1:39" x14ac:dyDescent="0.3">
      <c r="A152" s="1" t="s">
        <v>167</v>
      </c>
      <c r="B152" s="1" t="s">
        <v>207</v>
      </c>
      <c r="C152" s="1" t="s">
        <v>212</v>
      </c>
      <c r="D152" s="1" t="s">
        <v>212</v>
      </c>
      <c r="E152" s="2">
        <v>31205</v>
      </c>
      <c r="F152" s="18">
        <v>116</v>
      </c>
      <c r="G152" s="18">
        <v>153</v>
      </c>
      <c r="H152" s="18">
        <v>184</v>
      </c>
      <c r="I152" s="18">
        <v>202</v>
      </c>
      <c r="J152" s="18">
        <v>352</v>
      </c>
      <c r="K152" s="18">
        <v>367</v>
      </c>
      <c r="L152" s="11">
        <v>380</v>
      </c>
      <c r="M152" s="2">
        <f t="shared" si="52"/>
        <v>50</v>
      </c>
      <c r="N152" s="2">
        <f t="shared" si="53"/>
        <v>51</v>
      </c>
      <c r="O152" s="2">
        <f t="shared" si="54"/>
        <v>95</v>
      </c>
      <c r="P152" s="2">
        <f t="shared" si="55"/>
        <v>102</v>
      </c>
      <c r="Q152" s="2">
        <f t="shared" si="56"/>
        <v>84</v>
      </c>
      <c r="R152" s="2">
        <f t="shared" si="57"/>
        <v>92</v>
      </c>
      <c r="S152" s="2">
        <f t="shared" si="58"/>
        <v>98</v>
      </c>
      <c r="T152" s="11">
        <v>166</v>
      </c>
      <c r="U152" s="11">
        <v>204</v>
      </c>
      <c r="V152" s="11">
        <v>279</v>
      </c>
      <c r="W152" s="18">
        <v>304</v>
      </c>
      <c r="X152" s="18">
        <v>436</v>
      </c>
      <c r="Y152" s="23">
        <v>459</v>
      </c>
      <c r="Z152" s="18">
        <v>478</v>
      </c>
      <c r="AA152" s="18">
        <v>69.879518072289159</v>
      </c>
      <c r="AB152" s="18">
        <v>75</v>
      </c>
      <c r="AC152" s="18">
        <v>65.949820788530474</v>
      </c>
      <c r="AD152" s="11">
        <v>66.44736842105263</v>
      </c>
      <c r="AE152" s="11">
        <v>80.733944954128447</v>
      </c>
      <c r="AF152" s="11">
        <v>79.95642701525054</v>
      </c>
      <c r="AG152" s="11">
        <v>79.497907949790786</v>
      </c>
      <c r="AH152" s="11">
        <f t="shared" si="59"/>
        <v>69.132396403194363</v>
      </c>
      <c r="AI152" s="26">
        <f t="shared" si="60"/>
        <v>80.062759973056586</v>
      </c>
      <c r="AJ152" s="2">
        <f t="shared" si="61"/>
        <v>179.66666666666666</v>
      </c>
      <c r="AK152" s="2">
        <f t="shared" si="62"/>
        <v>366.33333333333331</v>
      </c>
      <c r="AL152" s="2">
        <f t="shared" si="63"/>
        <v>82.666666666666671</v>
      </c>
      <c r="AM152" s="2">
        <f t="shared" si="64"/>
        <v>91.333333333333329</v>
      </c>
    </row>
    <row r="153" spans="1:39" x14ac:dyDescent="0.3">
      <c r="A153" s="1" t="s">
        <v>167</v>
      </c>
      <c r="B153" s="1" t="s">
        <v>207</v>
      </c>
      <c r="C153" s="1" t="s">
        <v>213</v>
      </c>
      <c r="D153" s="1" t="s">
        <v>213</v>
      </c>
      <c r="E153" s="2">
        <v>31206</v>
      </c>
      <c r="F153" s="18">
        <v>69</v>
      </c>
      <c r="G153" s="18">
        <v>78</v>
      </c>
      <c r="H153" s="18">
        <v>100</v>
      </c>
      <c r="I153" s="18">
        <v>111</v>
      </c>
      <c r="J153" s="18">
        <v>230</v>
      </c>
      <c r="K153" s="18">
        <v>232</v>
      </c>
      <c r="L153" s="11">
        <v>237</v>
      </c>
      <c r="M153" s="2">
        <f t="shared" si="52"/>
        <v>15</v>
      </c>
      <c r="N153" s="2">
        <f t="shared" si="53"/>
        <v>18</v>
      </c>
      <c r="O153" s="2">
        <f t="shared" si="54"/>
        <v>52</v>
      </c>
      <c r="P153" s="2">
        <f t="shared" si="55"/>
        <v>53</v>
      </c>
      <c r="Q153" s="2">
        <f t="shared" si="56"/>
        <v>61</v>
      </c>
      <c r="R153" s="2">
        <f t="shared" si="57"/>
        <v>74</v>
      </c>
      <c r="S153" s="2">
        <f t="shared" si="58"/>
        <v>83</v>
      </c>
      <c r="T153" s="11">
        <v>84</v>
      </c>
      <c r="U153" s="11">
        <v>96</v>
      </c>
      <c r="V153" s="11">
        <v>152</v>
      </c>
      <c r="W153" s="18">
        <v>164</v>
      </c>
      <c r="X153" s="18">
        <v>291</v>
      </c>
      <c r="Y153" s="23">
        <v>306</v>
      </c>
      <c r="Z153" s="18">
        <v>320</v>
      </c>
      <c r="AA153" s="18">
        <v>82.142857142857139</v>
      </c>
      <c r="AB153" s="18">
        <v>81.25</v>
      </c>
      <c r="AC153" s="18">
        <v>65.789473684210535</v>
      </c>
      <c r="AD153" s="11">
        <v>67.682926829268297</v>
      </c>
      <c r="AE153" s="11">
        <v>79.037800687285227</v>
      </c>
      <c r="AF153" s="11">
        <v>75.816993464052288</v>
      </c>
      <c r="AG153" s="11">
        <v>74.0625</v>
      </c>
      <c r="AH153" s="11">
        <f t="shared" si="59"/>
        <v>71.574133504492934</v>
      </c>
      <c r="AI153" s="26">
        <f t="shared" si="60"/>
        <v>76.305764717112496</v>
      </c>
      <c r="AJ153" s="2">
        <f t="shared" si="61"/>
        <v>96.333333333333329</v>
      </c>
      <c r="AK153" s="2">
        <f t="shared" si="62"/>
        <v>233</v>
      </c>
      <c r="AL153" s="2">
        <f t="shared" si="63"/>
        <v>41</v>
      </c>
      <c r="AM153" s="2">
        <f t="shared" si="64"/>
        <v>72.666666666666671</v>
      </c>
    </row>
    <row r="154" spans="1:39" x14ac:dyDescent="0.3">
      <c r="A154" s="1" t="s">
        <v>167</v>
      </c>
      <c r="B154" s="1" t="s">
        <v>214</v>
      </c>
      <c r="C154" s="1" t="s">
        <v>214</v>
      </c>
      <c r="D154" s="1" t="s">
        <v>214</v>
      </c>
      <c r="E154" s="2">
        <v>31301</v>
      </c>
      <c r="F154" s="18">
        <v>51</v>
      </c>
      <c r="G154" s="18">
        <v>58</v>
      </c>
      <c r="H154" s="18">
        <v>75</v>
      </c>
      <c r="I154" s="18">
        <v>82</v>
      </c>
      <c r="J154" s="18">
        <v>154</v>
      </c>
      <c r="K154" s="18">
        <v>158</v>
      </c>
      <c r="L154" s="11">
        <v>164</v>
      </c>
      <c r="M154" s="2">
        <f t="shared" si="52"/>
        <v>7</v>
      </c>
      <c r="N154" s="2">
        <f t="shared" si="53"/>
        <v>10</v>
      </c>
      <c r="O154" s="2">
        <f t="shared" si="54"/>
        <v>37</v>
      </c>
      <c r="P154" s="2">
        <f t="shared" si="55"/>
        <v>39</v>
      </c>
      <c r="Q154" s="2">
        <f t="shared" si="56"/>
        <v>42</v>
      </c>
      <c r="R154" s="2">
        <f t="shared" si="57"/>
        <v>41</v>
      </c>
      <c r="S154" s="2">
        <f t="shared" si="58"/>
        <v>42</v>
      </c>
      <c r="T154" s="11">
        <v>58</v>
      </c>
      <c r="U154" s="11">
        <v>68</v>
      </c>
      <c r="V154" s="11">
        <v>112</v>
      </c>
      <c r="W154" s="18">
        <v>121</v>
      </c>
      <c r="X154" s="18">
        <v>196</v>
      </c>
      <c r="Y154" s="23">
        <v>199</v>
      </c>
      <c r="Z154" s="18">
        <v>206</v>
      </c>
      <c r="AA154" s="18">
        <v>87.931034482758619</v>
      </c>
      <c r="AB154" s="18">
        <v>85.294117647058826</v>
      </c>
      <c r="AC154" s="18">
        <v>66.964285714285708</v>
      </c>
      <c r="AD154" s="11">
        <v>67.768595041322314</v>
      </c>
      <c r="AE154" s="11">
        <v>78.571428571428569</v>
      </c>
      <c r="AF154" s="11">
        <v>79.396984924623112</v>
      </c>
      <c r="AG154" s="11">
        <v>79.611650485436897</v>
      </c>
      <c r="AH154" s="11">
        <f t="shared" si="59"/>
        <v>73.34233280088894</v>
      </c>
      <c r="AI154" s="26">
        <f t="shared" si="60"/>
        <v>79.193354660496198</v>
      </c>
      <c r="AJ154" s="2">
        <f t="shared" si="61"/>
        <v>71.666666666666671</v>
      </c>
      <c r="AK154" s="2">
        <f t="shared" si="62"/>
        <v>158.66666666666666</v>
      </c>
      <c r="AL154" s="2">
        <f t="shared" si="63"/>
        <v>28.666666666666668</v>
      </c>
      <c r="AM154" s="2">
        <f t="shared" si="64"/>
        <v>41.666666666666664</v>
      </c>
    </row>
    <row r="155" spans="1:39" x14ac:dyDescent="0.3">
      <c r="A155" s="1" t="s">
        <v>167</v>
      </c>
      <c r="B155" s="1" t="s">
        <v>214</v>
      </c>
      <c r="C155" s="1" t="s">
        <v>215</v>
      </c>
      <c r="D155" s="1" t="s">
        <v>215</v>
      </c>
      <c r="E155" s="2">
        <v>31302</v>
      </c>
      <c r="F155" s="18">
        <v>9</v>
      </c>
      <c r="G155" s="18">
        <v>8</v>
      </c>
      <c r="H155" s="18">
        <v>10</v>
      </c>
      <c r="I155" s="18">
        <v>11</v>
      </c>
      <c r="J155" s="18">
        <v>21</v>
      </c>
      <c r="K155" s="18">
        <v>22</v>
      </c>
      <c r="L155" s="11">
        <v>22</v>
      </c>
      <c r="M155" s="2">
        <f t="shared" si="52"/>
        <v>1</v>
      </c>
      <c r="N155" s="2">
        <f t="shared" si="53"/>
        <v>2</v>
      </c>
      <c r="O155" s="2">
        <f t="shared" si="54"/>
        <v>4</v>
      </c>
      <c r="P155" s="2">
        <f t="shared" si="55"/>
        <v>3</v>
      </c>
      <c r="Q155" s="2">
        <f t="shared" si="56"/>
        <v>6</v>
      </c>
      <c r="R155" s="2">
        <f t="shared" si="57"/>
        <v>6</v>
      </c>
      <c r="S155" s="2">
        <f t="shared" si="58"/>
        <v>6</v>
      </c>
      <c r="T155" s="11">
        <v>10</v>
      </c>
      <c r="U155" s="11">
        <v>10</v>
      </c>
      <c r="V155" s="11">
        <v>14</v>
      </c>
      <c r="W155" s="18">
        <v>14</v>
      </c>
      <c r="X155" s="18">
        <v>27</v>
      </c>
      <c r="Y155" s="23">
        <v>28</v>
      </c>
      <c r="Z155" s="18">
        <v>28</v>
      </c>
      <c r="AA155" s="18">
        <v>90</v>
      </c>
      <c r="AB155" s="18">
        <v>80</v>
      </c>
      <c r="AC155" s="18">
        <v>71.428571428571431</v>
      </c>
      <c r="AD155" s="11">
        <v>78.571428571428569</v>
      </c>
      <c r="AE155" s="11">
        <v>77.777777777777786</v>
      </c>
      <c r="AF155" s="11">
        <v>78.571428571428569</v>
      </c>
      <c r="AG155" s="11">
        <v>78.571428571428569</v>
      </c>
      <c r="AH155" s="11">
        <f t="shared" si="59"/>
        <v>76.666666666666671</v>
      </c>
      <c r="AI155" s="26">
        <f t="shared" si="60"/>
        <v>78.306878306878318</v>
      </c>
      <c r="AJ155" s="2">
        <f t="shared" si="61"/>
        <v>9.6666666666666661</v>
      </c>
      <c r="AK155" s="2">
        <f t="shared" si="62"/>
        <v>21.666666666666668</v>
      </c>
      <c r="AL155" s="2">
        <f t="shared" si="63"/>
        <v>3</v>
      </c>
      <c r="AM155" s="2">
        <f t="shared" si="64"/>
        <v>6</v>
      </c>
    </row>
    <row r="156" spans="1:39" x14ac:dyDescent="0.3">
      <c r="A156" s="1" t="s">
        <v>167</v>
      </c>
      <c r="B156" s="1" t="s">
        <v>214</v>
      </c>
      <c r="C156" s="1" t="s">
        <v>216</v>
      </c>
      <c r="D156" s="1" t="s">
        <v>216</v>
      </c>
      <c r="E156" s="2">
        <v>31303</v>
      </c>
      <c r="F156" s="18">
        <v>4</v>
      </c>
      <c r="G156" s="18">
        <v>4</v>
      </c>
      <c r="H156" s="18">
        <v>5</v>
      </c>
      <c r="I156" s="18">
        <v>5</v>
      </c>
      <c r="J156" s="18">
        <v>7</v>
      </c>
      <c r="K156" s="18">
        <v>7</v>
      </c>
      <c r="L156" s="11">
        <v>7</v>
      </c>
      <c r="M156" s="2">
        <f t="shared" si="52"/>
        <v>1</v>
      </c>
      <c r="N156" s="2">
        <f t="shared" si="53"/>
        <v>1</v>
      </c>
      <c r="O156" s="2">
        <f t="shared" si="54"/>
        <v>4</v>
      </c>
      <c r="P156" s="2">
        <f t="shared" si="55"/>
        <v>4</v>
      </c>
      <c r="Q156" s="2">
        <f t="shared" si="56"/>
        <v>2</v>
      </c>
      <c r="R156" s="2">
        <f t="shared" si="57"/>
        <v>4</v>
      </c>
      <c r="S156" s="2">
        <f t="shared" si="58"/>
        <v>4</v>
      </c>
      <c r="T156" s="11">
        <v>5</v>
      </c>
      <c r="U156" s="11">
        <v>5</v>
      </c>
      <c r="V156" s="11">
        <v>9</v>
      </c>
      <c r="W156" s="18">
        <v>9</v>
      </c>
      <c r="X156" s="18">
        <v>9</v>
      </c>
      <c r="Y156" s="23">
        <v>11</v>
      </c>
      <c r="Z156" s="18">
        <v>11</v>
      </c>
      <c r="AA156" s="18">
        <v>80</v>
      </c>
      <c r="AB156" s="18">
        <v>80</v>
      </c>
      <c r="AC156" s="18">
        <v>55.555555555555557</v>
      </c>
      <c r="AD156" s="11">
        <v>55.555555555555557</v>
      </c>
      <c r="AE156" s="11">
        <v>77.777777777777786</v>
      </c>
      <c r="AF156" s="11">
        <v>63.636363636363633</v>
      </c>
      <c r="AG156" s="11">
        <v>63.636363636363633</v>
      </c>
      <c r="AH156" s="11">
        <f t="shared" si="59"/>
        <v>63.703703703703695</v>
      </c>
      <c r="AI156" s="26">
        <f t="shared" si="60"/>
        <v>68.350168350168346</v>
      </c>
      <c r="AJ156" s="2">
        <f t="shared" si="61"/>
        <v>4.666666666666667</v>
      </c>
      <c r="AK156" s="2">
        <f t="shared" si="62"/>
        <v>7</v>
      </c>
      <c r="AL156" s="2">
        <f t="shared" si="63"/>
        <v>3</v>
      </c>
      <c r="AM156" s="2">
        <f t="shared" si="64"/>
        <v>3.3333333333333335</v>
      </c>
    </row>
    <row r="157" spans="1:39" x14ac:dyDescent="0.3">
      <c r="A157" s="1" t="s">
        <v>167</v>
      </c>
      <c r="B157" s="1" t="s">
        <v>214</v>
      </c>
      <c r="C157" s="1" t="s">
        <v>217</v>
      </c>
      <c r="D157" s="1" t="s">
        <v>218</v>
      </c>
      <c r="E157" s="2">
        <v>31304</v>
      </c>
      <c r="F157" s="18">
        <v>69</v>
      </c>
      <c r="G157" s="18">
        <v>78</v>
      </c>
      <c r="H157" s="18">
        <v>100</v>
      </c>
      <c r="I157" s="18">
        <v>111</v>
      </c>
      <c r="J157" s="18">
        <v>230</v>
      </c>
      <c r="K157" s="18">
        <v>232</v>
      </c>
      <c r="L157" s="11">
        <v>237</v>
      </c>
      <c r="M157" s="2">
        <f t="shared" si="52"/>
        <v>15</v>
      </c>
      <c r="N157" s="2">
        <f t="shared" si="53"/>
        <v>18</v>
      </c>
      <c r="O157" s="2">
        <f t="shared" si="54"/>
        <v>52</v>
      </c>
      <c r="P157" s="2">
        <f t="shared" si="55"/>
        <v>53</v>
      </c>
      <c r="Q157" s="2">
        <f t="shared" si="56"/>
        <v>61</v>
      </c>
      <c r="R157" s="2">
        <f t="shared" si="57"/>
        <v>74</v>
      </c>
      <c r="S157" s="2">
        <f t="shared" si="58"/>
        <v>83</v>
      </c>
      <c r="T157" s="11">
        <v>84</v>
      </c>
      <c r="U157" s="11">
        <v>96</v>
      </c>
      <c r="V157" s="11">
        <v>152</v>
      </c>
      <c r="W157" s="18">
        <v>164</v>
      </c>
      <c r="X157" s="18">
        <v>291</v>
      </c>
      <c r="Y157" s="23">
        <v>306</v>
      </c>
      <c r="Z157" s="18">
        <v>320</v>
      </c>
      <c r="AA157" s="18">
        <v>82.142857142857139</v>
      </c>
      <c r="AB157" s="18">
        <v>81.25</v>
      </c>
      <c r="AC157" s="18">
        <v>65.789473684210535</v>
      </c>
      <c r="AD157" s="11">
        <v>67.682926829268297</v>
      </c>
      <c r="AE157" s="11">
        <v>79.037800687285227</v>
      </c>
      <c r="AF157" s="11">
        <v>75.816993464052288</v>
      </c>
      <c r="AG157" s="11">
        <v>74.0625</v>
      </c>
      <c r="AH157" s="11">
        <f t="shared" si="59"/>
        <v>71.574133504492934</v>
      </c>
      <c r="AI157" s="26">
        <f t="shared" si="60"/>
        <v>76.305764717112496</v>
      </c>
      <c r="AJ157" s="2">
        <f t="shared" si="61"/>
        <v>96.333333333333329</v>
      </c>
      <c r="AK157" s="2">
        <f t="shared" si="62"/>
        <v>233</v>
      </c>
      <c r="AL157" s="2">
        <f t="shared" si="63"/>
        <v>41</v>
      </c>
      <c r="AM157" s="2">
        <f t="shared" si="64"/>
        <v>72.666666666666671</v>
      </c>
    </row>
    <row r="158" spans="1:39" x14ac:dyDescent="0.3">
      <c r="A158" s="1" t="s">
        <v>167</v>
      </c>
      <c r="B158" s="1" t="s">
        <v>219</v>
      </c>
      <c r="C158" s="1" t="s">
        <v>219</v>
      </c>
      <c r="D158" s="1" t="s">
        <v>220</v>
      </c>
      <c r="E158" s="2">
        <v>31401</v>
      </c>
      <c r="F158" s="18">
        <v>107</v>
      </c>
      <c r="G158" s="18">
        <v>111</v>
      </c>
      <c r="H158" s="18">
        <v>151</v>
      </c>
      <c r="I158" s="18">
        <v>165</v>
      </c>
      <c r="J158" s="18">
        <v>189</v>
      </c>
      <c r="K158" s="18">
        <v>186</v>
      </c>
      <c r="L158" s="11">
        <v>191</v>
      </c>
      <c r="M158" s="2">
        <f t="shared" si="52"/>
        <v>24</v>
      </c>
      <c r="N158" s="2">
        <f t="shared" si="53"/>
        <v>22</v>
      </c>
      <c r="O158" s="2">
        <f t="shared" si="54"/>
        <v>42</v>
      </c>
      <c r="P158" s="2">
        <f t="shared" si="55"/>
        <v>43</v>
      </c>
      <c r="Q158" s="2">
        <f t="shared" si="56"/>
        <v>37</v>
      </c>
      <c r="R158" s="2">
        <f t="shared" si="57"/>
        <v>41</v>
      </c>
      <c r="S158" s="2">
        <f t="shared" si="58"/>
        <v>43</v>
      </c>
      <c r="T158" s="11">
        <v>131</v>
      </c>
      <c r="U158" s="11">
        <v>133</v>
      </c>
      <c r="V158" s="11">
        <v>193</v>
      </c>
      <c r="W158" s="18">
        <v>208</v>
      </c>
      <c r="X158" s="18">
        <v>226</v>
      </c>
      <c r="Y158" s="23">
        <v>227</v>
      </c>
      <c r="Z158" s="18">
        <v>234</v>
      </c>
      <c r="AA158" s="18">
        <v>81.679389312977108</v>
      </c>
      <c r="AB158" s="18">
        <v>83.458646616541358</v>
      </c>
      <c r="AC158" s="18">
        <v>78.238341968911911</v>
      </c>
      <c r="AD158" s="11">
        <v>79.326923076923066</v>
      </c>
      <c r="AE158" s="11">
        <v>83.628318584070797</v>
      </c>
      <c r="AF158" s="11">
        <v>81.93832599118943</v>
      </c>
      <c r="AG158" s="11">
        <v>81.623931623931625</v>
      </c>
      <c r="AH158" s="11">
        <f t="shared" si="59"/>
        <v>80.341303887458778</v>
      </c>
      <c r="AI158" s="26">
        <f t="shared" si="60"/>
        <v>82.396858733063951</v>
      </c>
      <c r="AJ158" s="2">
        <f t="shared" si="61"/>
        <v>142.33333333333334</v>
      </c>
      <c r="AK158" s="2">
        <f t="shared" si="62"/>
        <v>188.66666666666666</v>
      </c>
      <c r="AL158" s="2">
        <f t="shared" si="63"/>
        <v>35.666666666666664</v>
      </c>
      <c r="AM158" s="2">
        <f t="shared" si="64"/>
        <v>40.333333333333336</v>
      </c>
    </row>
    <row r="159" spans="1:39" x14ac:dyDescent="0.3">
      <c r="A159" s="1" t="s">
        <v>167</v>
      </c>
      <c r="B159" s="1" t="s">
        <v>219</v>
      </c>
      <c r="C159" s="1" t="s">
        <v>221</v>
      </c>
      <c r="D159" s="1" t="s">
        <v>221</v>
      </c>
      <c r="E159" s="2">
        <v>31402</v>
      </c>
      <c r="F159" s="18">
        <v>32</v>
      </c>
      <c r="G159" s="18">
        <v>34</v>
      </c>
      <c r="H159" s="18">
        <v>37</v>
      </c>
      <c r="I159" s="18">
        <v>39</v>
      </c>
      <c r="J159" s="18">
        <v>42</v>
      </c>
      <c r="K159" s="18">
        <v>46</v>
      </c>
      <c r="L159" s="11">
        <v>46</v>
      </c>
      <c r="M159" s="2">
        <f t="shared" si="52"/>
        <v>12</v>
      </c>
      <c r="N159" s="2">
        <f t="shared" si="53"/>
        <v>13</v>
      </c>
      <c r="O159" s="2">
        <f t="shared" si="54"/>
        <v>18</v>
      </c>
      <c r="P159" s="2">
        <f t="shared" si="55"/>
        <v>17</v>
      </c>
      <c r="Q159" s="2">
        <f t="shared" si="56"/>
        <v>17</v>
      </c>
      <c r="R159" s="2">
        <f t="shared" si="57"/>
        <v>18</v>
      </c>
      <c r="S159" s="2">
        <f t="shared" si="58"/>
        <v>17</v>
      </c>
      <c r="T159" s="11">
        <v>44</v>
      </c>
      <c r="U159" s="11">
        <v>47</v>
      </c>
      <c r="V159" s="11">
        <v>55</v>
      </c>
      <c r="W159" s="18">
        <v>56</v>
      </c>
      <c r="X159" s="18">
        <v>59</v>
      </c>
      <c r="Y159" s="23">
        <v>64</v>
      </c>
      <c r="Z159" s="18">
        <v>63</v>
      </c>
      <c r="AA159" s="18">
        <v>72.727272727272734</v>
      </c>
      <c r="AB159" s="18">
        <v>72.340425531914903</v>
      </c>
      <c r="AC159" s="18">
        <v>67.272727272727266</v>
      </c>
      <c r="AD159" s="11">
        <v>69.642857142857139</v>
      </c>
      <c r="AE159" s="11">
        <v>71.186440677966104</v>
      </c>
      <c r="AF159" s="11">
        <v>71.875</v>
      </c>
      <c r="AG159" s="11">
        <v>73.015873015873012</v>
      </c>
      <c r="AH159" s="11">
        <f t="shared" si="59"/>
        <v>69.752003315833107</v>
      </c>
      <c r="AI159" s="26">
        <f t="shared" si="60"/>
        <v>72.025771231279705</v>
      </c>
      <c r="AJ159" s="2">
        <f t="shared" si="61"/>
        <v>36.666666666666664</v>
      </c>
      <c r="AK159" s="2">
        <f t="shared" si="62"/>
        <v>44.666666666666664</v>
      </c>
      <c r="AL159" s="2">
        <f t="shared" si="63"/>
        <v>16</v>
      </c>
      <c r="AM159" s="2">
        <f t="shared" si="64"/>
        <v>17.333333333333332</v>
      </c>
    </row>
    <row r="160" spans="1:39" x14ac:dyDescent="0.3">
      <c r="A160" s="1" t="s">
        <v>167</v>
      </c>
      <c r="B160" s="1" t="s">
        <v>219</v>
      </c>
      <c r="C160" s="1" t="s">
        <v>222</v>
      </c>
      <c r="D160" s="1" t="s">
        <v>223</v>
      </c>
      <c r="E160" s="2">
        <v>31403</v>
      </c>
      <c r="F160" s="18">
        <v>50</v>
      </c>
      <c r="G160" s="18">
        <v>51</v>
      </c>
      <c r="H160" s="18">
        <v>67</v>
      </c>
      <c r="I160" s="18">
        <v>73</v>
      </c>
      <c r="J160" s="18">
        <v>75</v>
      </c>
      <c r="K160" s="18">
        <v>74</v>
      </c>
      <c r="L160" s="11">
        <v>72</v>
      </c>
      <c r="M160" s="2">
        <f t="shared" si="52"/>
        <v>12</v>
      </c>
      <c r="N160" s="2">
        <f t="shared" si="53"/>
        <v>11</v>
      </c>
      <c r="O160" s="2">
        <f t="shared" si="54"/>
        <v>21</v>
      </c>
      <c r="P160" s="2">
        <f t="shared" si="55"/>
        <v>22</v>
      </c>
      <c r="Q160" s="2">
        <f t="shared" si="56"/>
        <v>24</v>
      </c>
      <c r="R160" s="2">
        <f t="shared" si="57"/>
        <v>24</v>
      </c>
      <c r="S160" s="2">
        <f t="shared" si="58"/>
        <v>32</v>
      </c>
      <c r="T160" s="11">
        <v>62</v>
      </c>
      <c r="U160" s="11">
        <v>62</v>
      </c>
      <c r="V160" s="11">
        <v>88</v>
      </c>
      <c r="W160" s="18">
        <v>95</v>
      </c>
      <c r="X160" s="18">
        <v>99</v>
      </c>
      <c r="Y160" s="23">
        <v>98</v>
      </c>
      <c r="Z160" s="18">
        <v>104</v>
      </c>
      <c r="AA160" s="18">
        <v>80.645161290322577</v>
      </c>
      <c r="AB160" s="18">
        <v>82.258064516129039</v>
      </c>
      <c r="AC160" s="18">
        <v>76.13636363636364</v>
      </c>
      <c r="AD160" s="11">
        <v>76.84210526315789</v>
      </c>
      <c r="AE160" s="11">
        <v>75.757575757575751</v>
      </c>
      <c r="AF160" s="11">
        <v>75.510204081632651</v>
      </c>
      <c r="AG160" s="11">
        <v>69.230769230769226</v>
      </c>
      <c r="AH160" s="11">
        <f t="shared" si="59"/>
        <v>78.412177805216857</v>
      </c>
      <c r="AI160" s="26">
        <f t="shared" si="60"/>
        <v>73.499516356659214</v>
      </c>
      <c r="AJ160" s="2">
        <f t="shared" si="61"/>
        <v>63.666666666666664</v>
      </c>
      <c r="AK160" s="2">
        <f t="shared" si="62"/>
        <v>73.666666666666671</v>
      </c>
      <c r="AL160" s="2">
        <f t="shared" si="63"/>
        <v>18</v>
      </c>
      <c r="AM160" s="2">
        <f t="shared" si="64"/>
        <v>26.666666666666668</v>
      </c>
    </row>
    <row r="161" spans="1:39" x14ac:dyDescent="0.3">
      <c r="A161" s="1" t="s">
        <v>167</v>
      </c>
      <c r="B161" s="1" t="s">
        <v>219</v>
      </c>
      <c r="C161" s="1" t="s">
        <v>224</v>
      </c>
      <c r="D161" s="1" t="s">
        <v>224</v>
      </c>
      <c r="E161" s="2">
        <v>31404</v>
      </c>
      <c r="F161" s="21"/>
      <c r="G161" s="21"/>
      <c r="H161" s="21"/>
      <c r="I161" s="22"/>
      <c r="J161" s="22"/>
      <c r="K161" s="22"/>
      <c r="L161" s="11"/>
      <c r="M161" s="2" t="str">
        <f t="shared" si="52"/>
        <v/>
      </c>
      <c r="N161" s="2" t="str">
        <f t="shared" si="53"/>
        <v/>
      </c>
      <c r="O161" s="2" t="str">
        <f t="shared" si="54"/>
        <v/>
      </c>
      <c r="P161" s="2" t="str">
        <f t="shared" si="55"/>
        <v/>
      </c>
      <c r="Q161" s="2" t="str">
        <f t="shared" si="56"/>
        <v/>
      </c>
      <c r="R161" s="2" t="str">
        <f t="shared" si="57"/>
        <v/>
      </c>
      <c r="S161" s="2" t="str">
        <f t="shared" si="58"/>
        <v/>
      </c>
      <c r="T161" s="11"/>
      <c r="U161" s="11"/>
      <c r="V161" s="11"/>
      <c r="W161" s="1"/>
      <c r="X161" s="1"/>
      <c r="Y161" s="24"/>
      <c r="Z161" s="1"/>
      <c r="AA161" s="1"/>
      <c r="AB161" s="1"/>
      <c r="AC161" s="1"/>
      <c r="AD161" s="11"/>
      <c r="AE161" s="11"/>
      <c r="AF161" s="11"/>
      <c r="AG161" s="11"/>
      <c r="AH161" s="11"/>
      <c r="AI161" s="26"/>
      <c r="AJ161" s="2"/>
      <c r="AK161" s="2"/>
      <c r="AL161" s="2"/>
      <c r="AM161" s="2"/>
    </row>
    <row r="162" spans="1:39" x14ac:dyDescent="0.3">
      <c r="A162" s="1" t="s">
        <v>167</v>
      </c>
      <c r="B162" s="1" t="s">
        <v>219</v>
      </c>
      <c r="C162" s="1" t="s">
        <v>225</v>
      </c>
      <c r="D162" s="1" t="s">
        <v>226</v>
      </c>
      <c r="E162" s="2">
        <v>31405</v>
      </c>
      <c r="F162" s="18">
        <v>0</v>
      </c>
      <c r="G162" s="18">
        <v>0</v>
      </c>
      <c r="H162" s="18">
        <v>0</v>
      </c>
      <c r="I162" s="18">
        <v>0</v>
      </c>
      <c r="J162" s="18">
        <v>0</v>
      </c>
      <c r="K162" s="18">
        <v>0</v>
      </c>
      <c r="L162" s="11">
        <v>0</v>
      </c>
      <c r="M162" s="2">
        <f t="shared" si="52"/>
        <v>0</v>
      </c>
      <c r="N162" s="2">
        <f t="shared" si="53"/>
        <v>0</v>
      </c>
      <c r="O162" s="2">
        <f t="shared" si="54"/>
        <v>2</v>
      </c>
      <c r="P162" s="2">
        <f t="shared" si="55"/>
        <v>2</v>
      </c>
      <c r="Q162" s="2">
        <f t="shared" si="56"/>
        <v>0</v>
      </c>
      <c r="R162" s="2">
        <f t="shared" si="57"/>
        <v>0</v>
      </c>
      <c r="S162" s="2">
        <f t="shared" si="58"/>
        <v>1</v>
      </c>
      <c r="T162" s="11">
        <v>0</v>
      </c>
      <c r="U162" s="11">
        <v>0</v>
      </c>
      <c r="V162" s="11">
        <v>2</v>
      </c>
      <c r="W162" s="1">
        <v>2</v>
      </c>
      <c r="X162" s="1">
        <v>0</v>
      </c>
      <c r="Y162" s="24">
        <v>0</v>
      </c>
      <c r="Z162" s="1">
        <v>1</v>
      </c>
      <c r="AA162" s="1"/>
      <c r="AB162" s="1"/>
      <c r="AC162" s="1"/>
      <c r="AD162" s="11"/>
      <c r="AE162" s="11"/>
      <c r="AF162" s="11"/>
      <c r="AG162" s="11"/>
      <c r="AH162" s="11"/>
      <c r="AI162" s="26"/>
      <c r="AJ162" s="2">
        <f t="shared" si="61"/>
        <v>0</v>
      </c>
      <c r="AK162" s="2">
        <f t="shared" si="62"/>
        <v>0</v>
      </c>
      <c r="AL162" s="2">
        <f t="shared" si="63"/>
        <v>1.3333333333333333</v>
      </c>
      <c r="AM162" s="2">
        <f t="shared" si="64"/>
        <v>0.33333333333333331</v>
      </c>
    </row>
    <row r="163" spans="1:39" x14ac:dyDescent="0.3">
      <c r="A163" s="1" t="s">
        <v>167</v>
      </c>
      <c r="B163" s="1" t="s">
        <v>227</v>
      </c>
      <c r="C163" s="1" t="s">
        <v>227</v>
      </c>
      <c r="D163" s="1" t="s">
        <v>227</v>
      </c>
      <c r="E163" s="2">
        <v>31501</v>
      </c>
      <c r="F163" s="18">
        <v>10</v>
      </c>
      <c r="G163" s="18">
        <v>9</v>
      </c>
      <c r="H163" s="18">
        <v>15</v>
      </c>
      <c r="I163" s="18">
        <v>16</v>
      </c>
      <c r="J163" s="18">
        <v>24</v>
      </c>
      <c r="K163" s="18">
        <v>22</v>
      </c>
      <c r="L163" s="11">
        <v>23</v>
      </c>
      <c r="M163" s="2">
        <f t="shared" si="52"/>
        <v>8</v>
      </c>
      <c r="N163" s="2">
        <f t="shared" si="53"/>
        <v>9</v>
      </c>
      <c r="O163" s="2">
        <f t="shared" si="54"/>
        <v>12</v>
      </c>
      <c r="P163" s="2">
        <f t="shared" si="55"/>
        <v>11</v>
      </c>
      <c r="Q163" s="2">
        <f t="shared" si="56"/>
        <v>10</v>
      </c>
      <c r="R163" s="2">
        <f t="shared" si="57"/>
        <v>11</v>
      </c>
      <c r="S163" s="2">
        <f t="shared" si="58"/>
        <v>10</v>
      </c>
      <c r="T163" s="11">
        <v>18</v>
      </c>
      <c r="U163" s="11">
        <v>18</v>
      </c>
      <c r="V163" s="11">
        <v>27</v>
      </c>
      <c r="W163" s="18">
        <v>27</v>
      </c>
      <c r="X163" s="18">
        <v>34</v>
      </c>
      <c r="Y163" s="23">
        <v>33</v>
      </c>
      <c r="Z163" s="18">
        <v>33</v>
      </c>
      <c r="AA163" s="18">
        <v>55.555555555555557</v>
      </c>
      <c r="AB163" s="18">
        <v>50</v>
      </c>
      <c r="AC163" s="18">
        <v>55.555555555555557</v>
      </c>
      <c r="AD163" s="11">
        <v>59.259259259259252</v>
      </c>
      <c r="AE163" s="11">
        <v>70.588235294117652</v>
      </c>
      <c r="AF163" s="11">
        <v>66.666666666666657</v>
      </c>
      <c r="AG163" s="11">
        <v>69.696969696969703</v>
      </c>
      <c r="AH163" s="11">
        <f t="shared" si="59"/>
        <v>54.938271604938272</v>
      </c>
      <c r="AI163" s="26">
        <f t="shared" si="60"/>
        <v>68.983957219251337</v>
      </c>
      <c r="AJ163" s="2">
        <f t="shared" si="61"/>
        <v>13.333333333333334</v>
      </c>
      <c r="AK163" s="2">
        <f t="shared" si="62"/>
        <v>23</v>
      </c>
      <c r="AL163" s="2">
        <f t="shared" si="63"/>
        <v>10.666666666666666</v>
      </c>
      <c r="AM163" s="2">
        <f t="shared" si="64"/>
        <v>10.333333333333334</v>
      </c>
    </row>
    <row r="164" spans="1:39" x14ac:dyDescent="0.3">
      <c r="A164" s="1" t="s">
        <v>167</v>
      </c>
      <c r="B164" s="1" t="s">
        <v>228</v>
      </c>
      <c r="C164" s="1" t="s">
        <v>228</v>
      </c>
      <c r="D164" s="1" t="s">
        <v>228</v>
      </c>
      <c r="E164" s="2">
        <v>31601</v>
      </c>
      <c r="F164" s="18">
        <v>119</v>
      </c>
      <c r="G164" s="18">
        <v>135</v>
      </c>
      <c r="H164" s="18">
        <v>149</v>
      </c>
      <c r="I164" s="18">
        <v>86</v>
      </c>
      <c r="J164" s="18">
        <v>128</v>
      </c>
      <c r="K164" s="18">
        <v>130</v>
      </c>
      <c r="L164" s="11">
        <v>132</v>
      </c>
      <c r="M164" s="2">
        <f t="shared" si="52"/>
        <v>44</v>
      </c>
      <c r="N164" s="2">
        <f t="shared" si="53"/>
        <v>43</v>
      </c>
      <c r="O164" s="2">
        <f t="shared" si="54"/>
        <v>77</v>
      </c>
      <c r="P164" s="2">
        <f t="shared" si="55"/>
        <v>39</v>
      </c>
      <c r="Q164" s="2">
        <f t="shared" si="56"/>
        <v>28</v>
      </c>
      <c r="R164" s="2">
        <f t="shared" si="57"/>
        <v>31</v>
      </c>
      <c r="S164" s="2">
        <f t="shared" si="58"/>
        <v>30</v>
      </c>
      <c r="T164" s="11">
        <v>163</v>
      </c>
      <c r="U164" s="11">
        <v>178</v>
      </c>
      <c r="V164" s="11">
        <v>226</v>
      </c>
      <c r="W164" s="18">
        <v>125</v>
      </c>
      <c r="X164" s="18">
        <v>156</v>
      </c>
      <c r="Y164" s="23">
        <v>161</v>
      </c>
      <c r="Z164" s="18">
        <v>162</v>
      </c>
      <c r="AA164" s="18">
        <v>73.00613496932516</v>
      </c>
      <c r="AB164" s="18">
        <v>75.842696629213478</v>
      </c>
      <c r="AC164" s="18">
        <v>65.929203539823007</v>
      </c>
      <c r="AD164" s="11">
        <v>68.8</v>
      </c>
      <c r="AE164" s="11">
        <v>82.051282051282044</v>
      </c>
      <c r="AF164" s="11">
        <v>80.745341614906835</v>
      </c>
      <c r="AG164" s="11">
        <v>81.481481481481481</v>
      </c>
      <c r="AH164" s="11">
        <f t="shared" si="59"/>
        <v>70.190633389678837</v>
      </c>
      <c r="AI164" s="26">
        <f t="shared" si="60"/>
        <v>81.426035049223458</v>
      </c>
      <c r="AJ164" s="2">
        <f t="shared" si="61"/>
        <v>123.33333333333333</v>
      </c>
      <c r="AK164" s="2">
        <f t="shared" si="62"/>
        <v>130</v>
      </c>
      <c r="AL164" s="2">
        <f t="shared" si="63"/>
        <v>53</v>
      </c>
      <c r="AM164" s="2">
        <f t="shared" si="64"/>
        <v>29.666666666666668</v>
      </c>
    </row>
    <row r="165" spans="1:39" x14ac:dyDescent="0.3">
      <c r="A165" s="1" t="s">
        <v>167</v>
      </c>
      <c r="B165" s="1" t="s">
        <v>228</v>
      </c>
      <c r="C165" s="1" t="s">
        <v>229</v>
      </c>
      <c r="D165" s="1" t="s">
        <v>229</v>
      </c>
      <c r="E165" s="2">
        <v>31602</v>
      </c>
      <c r="F165" s="18">
        <v>0</v>
      </c>
      <c r="G165" s="18">
        <v>0</v>
      </c>
      <c r="H165" s="18">
        <v>0</v>
      </c>
      <c r="I165" s="18">
        <v>71</v>
      </c>
      <c r="J165" s="18">
        <v>162</v>
      </c>
      <c r="K165" s="18">
        <v>166</v>
      </c>
      <c r="L165" s="11">
        <v>162</v>
      </c>
      <c r="M165" s="2">
        <f t="shared" si="52"/>
        <v>0</v>
      </c>
      <c r="N165" s="2">
        <f t="shared" si="53"/>
        <v>0</v>
      </c>
      <c r="O165" s="2">
        <f t="shared" si="54"/>
        <v>0</v>
      </c>
      <c r="P165" s="2">
        <f t="shared" si="55"/>
        <v>38</v>
      </c>
      <c r="Q165" s="2">
        <f t="shared" si="56"/>
        <v>52</v>
      </c>
      <c r="R165" s="2">
        <f t="shared" si="57"/>
        <v>60</v>
      </c>
      <c r="S165" s="2">
        <f t="shared" si="58"/>
        <v>64</v>
      </c>
      <c r="T165" s="11">
        <v>0</v>
      </c>
      <c r="U165" s="11">
        <v>0</v>
      </c>
      <c r="V165" s="11">
        <v>0</v>
      </c>
      <c r="W165" s="18">
        <v>109</v>
      </c>
      <c r="X165" s="18">
        <v>214</v>
      </c>
      <c r="Y165" s="23">
        <v>226</v>
      </c>
      <c r="Z165" s="18">
        <v>226</v>
      </c>
      <c r="AA165" s="18"/>
      <c r="AB165" s="18"/>
      <c r="AC165" s="18"/>
      <c r="AD165" s="11">
        <v>65.137614678899084</v>
      </c>
      <c r="AE165" s="11">
        <v>75.700934579439249</v>
      </c>
      <c r="AF165" s="11">
        <v>73.451327433628322</v>
      </c>
      <c r="AG165" s="11">
        <v>71.681415929203538</v>
      </c>
      <c r="AH165" s="11">
        <f t="shared" si="59"/>
        <v>65.137614678899084</v>
      </c>
      <c r="AI165" s="26">
        <f t="shared" si="60"/>
        <v>73.611225980757027</v>
      </c>
      <c r="AJ165" s="2">
        <f t="shared" si="61"/>
        <v>23.666666666666668</v>
      </c>
      <c r="AK165" s="2">
        <f t="shared" si="62"/>
        <v>163.33333333333334</v>
      </c>
      <c r="AL165" s="2">
        <f t="shared" si="63"/>
        <v>12.666666666666666</v>
      </c>
      <c r="AM165" s="2">
        <f t="shared" si="64"/>
        <v>58.666666666666664</v>
      </c>
    </row>
    <row r="166" spans="1:39" x14ac:dyDescent="0.3">
      <c r="A166" s="1" t="s">
        <v>230</v>
      </c>
      <c r="B166" s="1" t="s">
        <v>168</v>
      </c>
      <c r="C166" s="1" t="s">
        <v>230</v>
      </c>
      <c r="D166" s="1" t="s">
        <v>230</v>
      </c>
      <c r="E166" s="2">
        <v>40101</v>
      </c>
      <c r="F166" s="18">
        <v>982</v>
      </c>
      <c r="G166" s="18">
        <v>1016</v>
      </c>
      <c r="H166" s="18">
        <v>1337</v>
      </c>
      <c r="I166" s="18">
        <v>1364</v>
      </c>
      <c r="J166" s="18">
        <v>1653</v>
      </c>
      <c r="K166" s="18">
        <v>1684</v>
      </c>
      <c r="L166" s="11">
        <v>1694</v>
      </c>
      <c r="M166" s="2">
        <f t="shared" si="52"/>
        <v>129</v>
      </c>
      <c r="N166" s="2">
        <f t="shared" si="53"/>
        <v>116</v>
      </c>
      <c r="O166" s="2">
        <f t="shared" si="54"/>
        <v>224</v>
      </c>
      <c r="P166" s="2">
        <f t="shared" si="55"/>
        <v>233</v>
      </c>
      <c r="Q166" s="2">
        <f t="shared" si="56"/>
        <v>331</v>
      </c>
      <c r="R166" s="2">
        <f t="shared" si="57"/>
        <v>348</v>
      </c>
      <c r="S166" s="2">
        <f t="shared" si="58"/>
        <v>363</v>
      </c>
      <c r="T166" s="11">
        <v>1111</v>
      </c>
      <c r="U166" s="11">
        <v>1132</v>
      </c>
      <c r="V166" s="11">
        <v>1561</v>
      </c>
      <c r="W166" s="18">
        <v>1597</v>
      </c>
      <c r="X166" s="18">
        <v>1984</v>
      </c>
      <c r="Y166" s="23">
        <v>2032</v>
      </c>
      <c r="Z166" s="18">
        <v>2057</v>
      </c>
      <c r="AA166" s="18">
        <v>88.388838883888383</v>
      </c>
      <c r="AB166" s="18">
        <v>89.752650176678443</v>
      </c>
      <c r="AC166" s="18">
        <v>85.650224215246638</v>
      </c>
      <c r="AD166" s="11">
        <v>85.410144020037563</v>
      </c>
      <c r="AE166" s="11">
        <v>83.316532258064512</v>
      </c>
      <c r="AF166" s="11">
        <v>82.874015748031496</v>
      </c>
      <c r="AG166" s="11">
        <v>82.35294117647058</v>
      </c>
      <c r="AH166" s="11">
        <f t="shared" si="59"/>
        <v>86.937672803987539</v>
      </c>
      <c r="AI166" s="26">
        <f t="shared" si="60"/>
        <v>82.847829727522196</v>
      </c>
      <c r="AJ166" s="2">
        <f t="shared" si="61"/>
        <v>1239</v>
      </c>
      <c r="AK166" s="2">
        <f t="shared" si="62"/>
        <v>1677</v>
      </c>
      <c r="AL166" s="2">
        <f t="shared" si="63"/>
        <v>191</v>
      </c>
      <c r="AM166" s="2">
        <f t="shared" si="64"/>
        <v>347.33333333333331</v>
      </c>
    </row>
    <row r="167" spans="1:39" x14ac:dyDescent="0.3">
      <c r="A167" s="1" t="s">
        <v>230</v>
      </c>
      <c r="B167" s="1" t="s">
        <v>168</v>
      </c>
      <c r="C167" s="1" t="s">
        <v>231</v>
      </c>
      <c r="D167" s="1" t="s">
        <v>231</v>
      </c>
      <c r="E167" s="2">
        <v>40102</v>
      </c>
      <c r="F167" s="18">
        <v>67</v>
      </c>
      <c r="G167" s="18">
        <v>66</v>
      </c>
      <c r="H167" s="18">
        <v>95</v>
      </c>
      <c r="I167" s="18">
        <v>102</v>
      </c>
      <c r="J167" s="18">
        <v>134</v>
      </c>
      <c r="K167" s="18">
        <v>134</v>
      </c>
      <c r="L167" s="11">
        <v>139</v>
      </c>
      <c r="M167" s="2">
        <f t="shared" si="52"/>
        <v>42</v>
      </c>
      <c r="N167" s="2">
        <f t="shared" si="53"/>
        <v>44</v>
      </c>
      <c r="O167" s="2">
        <f t="shared" si="54"/>
        <v>66</v>
      </c>
      <c r="P167" s="2">
        <f t="shared" si="55"/>
        <v>64</v>
      </c>
      <c r="Q167" s="2">
        <f t="shared" si="56"/>
        <v>74</v>
      </c>
      <c r="R167" s="2">
        <f t="shared" si="57"/>
        <v>80</v>
      </c>
      <c r="S167" s="2">
        <f t="shared" si="58"/>
        <v>76</v>
      </c>
      <c r="T167" s="11">
        <v>109</v>
      </c>
      <c r="U167" s="11">
        <v>110</v>
      </c>
      <c r="V167" s="11">
        <v>161</v>
      </c>
      <c r="W167" s="18">
        <v>166</v>
      </c>
      <c r="X167" s="18">
        <v>208</v>
      </c>
      <c r="Y167" s="23">
        <v>214</v>
      </c>
      <c r="Z167" s="18">
        <v>215</v>
      </c>
      <c r="AA167" s="18">
        <v>61.467889908256879</v>
      </c>
      <c r="AB167" s="18">
        <v>60</v>
      </c>
      <c r="AC167" s="18">
        <v>59.006211180124225</v>
      </c>
      <c r="AD167" s="11">
        <v>61.445783132530117</v>
      </c>
      <c r="AE167" s="11">
        <v>64.423076923076934</v>
      </c>
      <c r="AF167" s="11">
        <v>62.616822429906534</v>
      </c>
      <c r="AG167" s="11">
        <v>64.651162790697668</v>
      </c>
      <c r="AH167" s="11">
        <f t="shared" si="59"/>
        <v>60.150664770884781</v>
      </c>
      <c r="AI167" s="26">
        <f t="shared" si="60"/>
        <v>63.897020714560377</v>
      </c>
      <c r="AJ167" s="2">
        <f t="shared" si="61"/>
        <v>87.666666666666671</v>
      </c>
      <c r="AK167" s="2">
        <f t="shared" si="62"/>
        <v>135.66666666666666</v>
      </c>
      <c r="AL167" s="2">
        <f t="shared" si="63"/>
        <v>58</v>
      </c>
      <c r="AM167" s="2">
        <f t="shared" si="64"/>
        <v>76.666666666666671</v>
      </c>
    </row>
    <row r="168" spans="1:39" x14ac:dyDescent="0.3">
      <c r="A168" s="1" t="s">
        <v>230</v>
      </c>
      <c r="B168" s="1" t="s">
        <v>168</v>
      </c>
      <c r="C168" s="1" t="s">
        <v>232</v>
      </c>
      <c r="D168" s="1" t="s">
        <v>232</v>
      </c>
      <c r="E168" s="2">
        <v>40103</v>
      </c>
      <c r="F168" s="18">
        <v>5</v>
      </c>
      <c r="G168" s="18">
        <v>6</v>
      </c>
      <c r="H168" s="18">
        <v>8</v>
      </c>
      <c r="I168" s="18">
        <v>8</v>
      </c>
      <c r="J168" s="18">
        <v>17</v>
      </c>
      <c r="K168" s="18">
        <v>18</v>
      </c>
      <c r="L168" s="11">
        <v>20</v>
      </c>
      <c r="M168" s="2">
        <f t="shared" si="52"/>
        <v>6</v>
      </c>
      <c r="N168" s="2">
        <f t="shared" si="53"/>
        <v>5</v>
      </c>
      <c r="O168" s="2">
        <f t="shared" si="54"/>
        <v>9</v>
      </c>
      <c r="P168" s="2">
        <f t="shared" si="55"/>
        <v>9</v>
      </c>
      <c r="Q168" s="2">
        <f t="shared" si="56"/>
        <v>10</v>
      </c>
      <c r="R168" s="2">
        <f t="shared" si="57"/>
        <v>15</v>
      </c>
      <c r="S168" s="2">
        <f t="shared" si="58"/>
        <v>14</v>
      </c>
      <c r="T168" s="11">
        <v>11</v>
      </c>
      <c r="U168" s="11">
        <v>11</v>
      </c>
      <c r="V168" s="11">
        <v>17</v>
      </c>
      <c r="W168" s="18">
        <v>17</v>
      </c>
      <c r="X168" s="18">
        <v>27</v>
      </c>
      <c r="Y168" s="23">
        <v>33</v>
      </c>
      <c r="Z168" s="18">
        <v>34</v>
      </c>
      <c r="AA168" s="18">
        <v>45.454545454545453</v>
      </c>
      <c r="AB168" s="18">
        <v>54.54545454545454</v>
      </c>
      <c r="AC168" s="18">
        <v>47.058823529411761</v>
      </c>
      <c r="AD168" s="11">
        <v>47.058823529411761</v>
      </c>
      <c r="AE168" s="11">
        <v>62.962962962962962</v>
      </c>
      <c r="AF168" s="11">
        <v>54.54545454545454</v>
      </c>
      <c r="AG168" s="11">
        <v>58.82352941176471</v>
      </c>
      <c r="AH168" s="11">
        <f t="shared" si="59"/>
        <v>49.554367201426025</v>
      </c>
      <c r="AI168" s="26">
        <f t="shared" si="60"/>
        <v>58.777315640060728</v>
      </c>
      <c r="AJ168" s="2">
        <f t="shared" si="61"/>
        <v>7.333333333333333</v>
      </c>
      <c r="AK168" s="2">
        <f t="shared" si="62"/>
        <v>18.333333333333332</v>
      </c>
      <c r="AL168" s="2">
        <f t="shared" si="63"/>
        <v>7.666666666666667</v>
      </c>
      <c r="AM168" s="2">
        <f t="shared" si="64"/>
        <v>13</v>
      </c>
    </row>
    <row r="169" spans="1:39" x14ac:dyDescent="0.3">
      <c r="A169" s="1" t="s">
        <v>230</v>
      </c>
      <c r="B169" s="1" t="s">
        <v>168</v>
      </c>
      <c r="C169" s="1" t="s">
        <v>233</v>
      </c>
      <c r="D169" s="1" t="s">
        <v>234</v>
      </c>
      <c r="E169" s="2">
        <v>40104</v>
      </c>
      <c r="F169" s="18">
        <v>29</v>
      </c>
      <c r="G169" s="18">
        <v>30</v>
      </c>
      <c r="H169" s="18">
        <v>47</v>
      </c>
      <c r="I169" s="18">
        <v>51</v>
      </c>
      <c r="J169" s="18">
        <v>75</v>
      </c>
      <c r="K169" s="18">
        <v>75</v>
      </c>
      <c r="L169" s="11">
        <v>81</v>
      </c>
      <c r="M169" s="2">
        <f t="shared" si="52"/>
        <v>17</v>
      </c>
      <c r="N169" s="2">
        <f t="shared" si="53"/>
        <v>18</v>
      </c>
      <c r="O169" s="2">
        <f t="shared" si="54"/>
        <v>29</v>
      </c>
      <c r="P169" s="2">
        <f t="shared" si="55"/>
        <v>26</v>
      </c>
      <c r="Q169" s="2">
        <f t="shared" si="56"/>
        <v>33</v>
      </c>
      <c r="R169" s="2">
        <f t="shared" si="57"/>
        <v>35</v>
      </c>
      <c r="S169" s="2">
        <f t="shared" si="58"/>
        <v>31</v>
      </c>
      <c r="T169" s="11">
        <v>46</v>
      </c>
      <c r="U169" s="11">
        <v>48</v>
      </c>
      <c r="V169" s="11">
        <v>76</v>
      </c>
      <c r="W169" s="18">
        <v>77</v>
      </c>
      <c r="X169" s="18">
        <v>108</v>
      </c>
      <c r="Y169" s="23">
        <v>110</v>
      </c>
      <c r="Z169" s="18">
        <v>112</v>
      </c>
      <c r="AA169" s="18">
        <v>63.04347826086957</v>
      </c>
      <c r="AB169" s="18">
        <v>62.5</v>
      </c>
      <c r="AC169" s="18">
        <v>61.842105263157897</v>
      </c>
      <c r="AD169" s="11">
        <v>66.233766233766232</v>
      </c>
      <c r="AE169" s="11">
        <v>69.444444444444443</v>
      </c>
      <c r="AF169" s="11">
        <v>68.181818181818173</v>
      </c>
      <c r="AG169" s="11">
        <v>72.321428571428569</v>
      </c>
      <c r="AH169" s="11">
        <f t="shared" si="59"/>
        <v>63.525290498974705</v>
      </c>
      <c r="AI169" s="26">
        <f t="shared" si="60"/>
        <v>69.982563732563733</v>
      </c>
      <c r="AJ169" s="2">
        <f t="shared" si="61"/>
        <v>42.666666666666664</v>
      </c>
      <c r="AK169" s="2">
        <f t="shared" si="62"/>
        <v>77</v>
      </c>
      <c r="AL169" s="2">
        <f t="shared" si="63"/>
        <v>24.333333333333332</v>
      </c>
      <c r="AM169" s="2">
        <f t="shared" si="64"/>
        <v>33</v>
      </c>
    </row>
    <row r="170" spans="1:39" x14ac:dyDescent="0.3">
      <c r="A170" s="1" t="s">
        <v>230</v>
      </c>
      <c r="B170" s="1" t="s">
        <v>235</v>
      </c>
      <c r="C170" s="1" t="s">
        <v>236</v>
      </c>
      <c r="D170" s="1" t="s">
        <v>236</v>
      </c>
      <c r="E170" s="2">
        <v>40201</v>
      </c>
      <c r="F170" s="18">
        <v>73</v>
      </c>
      <c r="G170" s="18">
        <v>81</v>
      </c>
      <c r="H170" s="18">
        <v>96</v>
      </c>
      <c r="I170" s="18">
        <v>102</v>
      </c>
      <c r="J170" s="18">
        <v>177</v>
      </c>
      <c r="K170" s="18">
        <v>199</v>
      </c>
      <c r="L170" s="11">
        <v>202</v>
      </c>
      <c r="M170" s="2">
        <f t="shared" si="52"/>
        <v>63</v>
      </c>
      <c r="N170" s="2">
        <f t="shared" si="53"/>
        <v>59</v>
      </c>
      <c r="O170" s="2">
        <f t="shared" si="54"/>
        <v>80</v>
      </c>
      <c r="P170" s="2">
        <f t="shared" si="55"/>
        <v>86</v>
      </c>
      <c r="Q170" s="2">
        <f t="shared" si="56"/>
        <v>74</v>
      </c>
      <c r="R170" s="2">
        <f t="shared" si="57"/>
        <v>65</v>
      </c>
      <c r="S170" s="2">
        <f t="shared" si="58"/>
        <v>67</v>
      </c>
      <c r="T170" s="11">
        <v>136</v>
      </c>
      <c r="U170" s="11">
        <v>140</v>
      </c>
      <c r="V170" s="11">
        <v>176</v>
      </c>
      <c r="W170" s="18">
        <v>188</v>
      </c>
      <c r="X170" s="18">
        <v>251</v>
      </c>
      <c r="Y170" s="23">
        <v>264</v>
      </c>
      <c r="Z170" s="18">
        <v>269</v>
      </c>
      <c r="AA170" s="18">
        <v>53.67647058823529</v>
      </c>
      <c r="AB170" s="18">
        <v>57.857142857142861</v>
      </c>
      <c r="AC170" s="18">
        <v>54.54545454545454</v>
      </c>
      <c r="AD170" s="11">
        <v>54.255319148936167</v>
      </c>
      <c r="AE170" s="11">
        <v>70.517928286852595</v>
      </c>
      <c r="AF170" s="11">
        <v>75.378787878787875</v>
      </c>
      <c r="AG170" s="11">
        <v>75.092936802973981</v>
      </c>
      <c r="AH170" s="11">
        <f t="shared" si="59"/>
        <v>55.552638850511187</v>
      </c>
      <c r="AI170" s="26">
        <f t="shared" si="60"/>
        <v>73.663217656204822</v>
      </c>
      <c r="AJ170" s="2">
        <f t="shared" si="61"/>
        <v>93</v>
      </c>
      <c r="AK170" s="2">
        <f t="shared" si="62"/>
        <v>192.66666666666666</v>
      </c>
      <c r="AL170" s="2">
        <f t="shared" si="63"/>
        <v>75</v>
      </c>
      <c r="AM170" s="2">
        <f t="shared" si="64"/>
        <v>68.666666666666671</v>
      </c>
    </row>
    <row r="171" spans="1:39" x14ac:dyDescent="0.3">
      <c r="A171" s="1" t="s">
        <v>230</v>
      </c>
      <c r="B171" s="1" t="s">
        <v>235</v>
      </c>
      <c r="C171" s="1" t="s">
        <v>237</v>
      </c>
      <c r="D171" s="1" t="s">
        <v>237</v>
      </c>
      <c r="E171" s="2">
        <v>40202</v>
      </c>
      <c r="F171" s="18">
        <v>7</v>
      </c>
      <c r="G171" s="18">
        <v>7</v>
      </c>
      <c r="H171" s="18">
        <v>10</v>
      </c>
      <c r="I171" s="18">
        <v>9</v>
      </c>
      <c r="J171" s="18">
        <v>15</v>
      </c>
      <c r="K171" s="18">
        <v>15</v>
      </c>
      <c r="L171" s="11">
        <v>16</v>
      </c>
      <c r="M171" s="2">
        <f t="shared" si="52"/>
        <v>7</v>
      </c>
      <c r="N171" s="2">
        <f t="shared" si="53"/>
        <v>7</v>
      </c>
      <c r="O171" s="2">
        <f t="shared" si="54"/>
        <v>9</v>
      </c>
      <c r="P171" s="2">
        <f t="shared" si="55"/>
        <v>11</v>
      </c>
      <c r="Q171" s="2">
        <f t="shared" si="56"/>
        <v>11</v>
      </c>
      <c r="R171" s="2">
        <f t="shared" si="57"/>
        <v>10</v>
      </c>
      <c r="S171" s="2">
        <f t="shared" si="58"/>
        <v>10</v>
      </c>
      <c r="T171" s="11">
        <v>14</v>
      </c>
      <c r="U171" s="11">
        <v>14</v>
      </c>
      <c r="V171" s="11">
        <v>19</v>
      </c>
      <c r="W171" s="18">
        <v>20</v>
      </c>
      <c r="X171" s="18">
        <v>26</v>
      </c>
      <c r="Y171" s="23">
        <v>25</v>
      </c>
      <c r="Z171" s="18">
        <v>26</v>
      </c>
      <c r="AA171" s="18">
        <v>50</v>
      </c>
      <c r="AB171" s="18">
        <v>50</v>
      </c>
      <c r="AC171" s="18">
        <v>52.631578947368418</v>
      </c>
      <c r="AD171" s="11">
        <v>45</v>
      </c>
      <c r="AE171" s="11">
        <v>57.692307692307686</v>
      </c>
      <c r="AF171" s="11">
        <v>60</v>
      </c>
      <c r="AG171" s="11">
        <v>61.53846153846154</v>
      </c>
      <c r="AH171" s="11">
        <f t="shared" si="59"/>
        <v>49.210526315789473</v>
      </c>
      <c r="AI171" s="26">
        <f t="shared" si="60"/>
        <v>59.743589743589745</v>
      </c>
      <c r="AJ171" s="2">
        <f t="shared" si="61"/>
        <v>8.6666666666666661</v>
      </c>
      <c r="AK171" s="2">
        <f t="shared" si="62"/>
        <v>15.333333333333334</v>
      </c>
      <c r="AL171" s="2">
        <f t="shared" si="63"/>
        <v>9</v>
      </c>
      <c r="AM171" s="2">
        <f t="shared" si="64"/>
        <v>10.333333333333334</v>
      </c>
    </row>
    <row r="172" spans="1:39" x14ac:dyDescent="0.3">
      <c r="A172" s="1" t="s">
        <v>230</v>
      </c>
      <c r="B172" s="1" t="s">
        <v>238</v>
      </c>
      <c r="C172" s="1" t="s">
        <v>239</v>
      </c>
      <c r="D172" s="1" t="s">
        <v>239</v>
      </c>
      <c r="E172" s="2">
        <v>40301</v>
      </c>
      <c r="F172" s="18">
        <v>14</v>
      </c>
      <c r="G172" s="18">
        <v>16</v>
      </c>
      <c r="H172" s="18">
        <v>28</v>
      </c>
      <c r="I172" s="18">
        <v>28</v>
      </c>
      <c r="J172" s="18">
        <v>48</v>
      </c>
      <c r="K172" s="18">
        <v>51</v>
      </c>
      <c r="L172" s="11">
        <v>52</v>
      </c>
      <c r="M172" s="2">
        <f t="shared" si="52"/>
        <v>22</v>
      </c>
      <c r="N172" s="2">
        <f t="shared" si="53"/>
        <v>19</v>
      </c>
      <c r="O172" s="2">
        <f t="shared" si="54"/>
        <v>30</v>
      </c>
      <c r="P172" s="2">
        <f t="shared" si="55"/>
        <v>32</v>
      </c>
      <c r="Q172" s="2">
        <f t="shared" si="56"/>
        <v>27</v>
      </c>
      <c r="R172" s="2">
        <f t="shared" si="57"/>
        <v>26</v>
      </c>
      <c r="S172" s="2">
        <f t="shared" si="58"/>
        <v>26</v>
      </c>
      <c r="T172" s="11">
        <v>36</v>
      </c>
      <c r="U172" s="11">
        <v>35</v>
      </c>
      <c r="V172" s="11">
        <v>58</v>
      </c>
      <c r="W172" s="18">
        <v>60</v>
      </c>
      <c r="X172" s="18">
        <v>75</v>
      </c>
      <c r="Y172" s="23">
        <v>77</v>
      </c>
      <c r="Z172" s="18">
        <v>78</v>
      </c>
      <c r="AA172" s="18">
        <v>38.888888888888893</v>
      </c>
      <c r="AB172" s="18">
        <v>45.714285714285715</v>
      </c>
      <c r="AC172" s="18">
        <v>48.275862068965516</v>
      </c>
      <c r="AD172" s="11">
        <v>46.666666666666664</v>
      </c>
      <c r="AE172" s="11">
        <v>64</v>
      </c>
      <c r="AF172" s="11">
        <v>66.233766233766232</v>
      </c>
      <c r="AG172" s="11">
        <v>66.666666666666657</v>
      </c>
      <c r="AH172" s="11">
        <f t="shared" si="59"/>
        <v>46.885604816639301</v>
      </c>
      <c r="AI172" s="26">
        <f t="shared" si="60"/>
        <v>65.633477633477625</v>
      </c>
      <c r="AJ172" s="2">
        <f t="shared" si="61"/>
        <v>24</v>
      </c>
      <c r="AK172" s="2">
        <f t="shared" si="62"/>
        <v>50.333333333333336</v>
      </c>
      <c r="AL172" s="2">
        <f t="shared" si="63"/>
        <v>27</v>
      </c>
      <c r="AM172" s="2">
        <f t="shared" si="64"/>
        <v>26.333333333333332</v>
      </c>
    </row>
    <row r="173" spans="1:39" x14ac:dyDescent="0.3">
      <c r="A173" s="1" t="s">
        <v>230</v>
      </c>
      <c r="B173" s="1" t="s">
        <v>238</v>
      </c>
      <c r="C173" s="1" t="s">
        <v>240</v>
      </c>
      <c r="D173" s="1" t="s">
        <v>240</v>
      </c>
      <c r="E173" s="2">
        <v>40302</v>
      </c>
      <c r="F173" s="18">
        <v>3</v>
      </c>
      <c r="G173" s="18">
        <v>3</v>
      </c>
      <c r="H173" s="18">
        <v>4</v>
      </c>
      <c r="I173" s="18">
        <v>3</v>
      </c>
      <c r="J173" s="18">
        <v>8</v>
      </c>
      <c r="K173" s="18">
        <v>8</v>
      </c>
      <c r="L173" s="11">
        <v>8</v>
      </c>
      <c r="M173" s="2">
        <f t="shared" si="52"/>
        <v>5</v>
      </c>
      <c r="N173" s="2">
        <f t="shared" si="53"/>
        <v>5</v>
      </c>
      <c r="O173" s="2">
        <f t="shared" si="54"/>
        <v>6</v>
      </c>
      <c r="P173" s="2">
        <f t="shared" si="55"/>
        <v>6</v>
      </c>
      <c r="Q173" s="2">
        <f t="shared" si="56"/>
        <v>3</v>
      </c>
      <c r="R173" s="2">
        <f t="shared" si="57"/>
        <v>3</v>
      </c>
      <c r="S173" s="2">
        <f t="shared" si="58"/>
        <v>2</v>
      </c>
      <c r="T173" s="11">
        <v>8</v>
      </c>
      <c r="U173" s="11">
        <v>8</v>
      </c>
      <c r="V173" s="11">
        <v>10</v>
      </c>
      <c r="W173" s="18">
        <v>9</v>
      </c>
      <c r="X173" s="18">
        <v>11</v>
      </c>
      <c r="Y173" s="23">
        <v>11</v>
      </c>
      <c r="Z173" s="18">
        <v>10</v>
      </c>
      <c r="AA173" s="18">
        <v>37.5</v>
      </c>
      <c r="AB173" s="18">
        <v>37.5</v>
      </c>
      <c r="AC173" s="18">
        <v>40</v>
      </c>
      <c r="AD173" s="11">
        <v>33.333333333333329</v>
      </c>
      <c r="AE173" s="11">
        <v>72.727272727272734</v>
      </c>
      <c r="AF173" s="11">
        <v>72.727272727272734</v>
      </c>
      <c r="AG173" s="11">
        <v>80</v>
      </c>
      <c r="AH173" s="11">
        <f t="shared" si="59"/>
        <v>36.944444444444443</v>
      </c>
      <c r="AI173" s="26">
        <f t="shared" si="60"/>
        <v>75.151515151515156</v>
      </c>
      <c r="AJ173" s="2">
        <f t="shared" si="61"/>
        <v>3.3333333333333335</v>
      </c>
      <c r="AK173" s="2">
        <f t="shared" si="62"/>
        <v>8</v>
      </c>
      <c r="AL173" s="2">
        <f t="shared" si="63"/>
        <v>5.666666666666667</v>
      </c>
      <c r="AM173" s="2">
        <f t="shared" si="64"/>
        <v>2.6666666666666665</v>
      </c>
    </row>
    <row r="174" spans="1:39" x14ac:dyDescent="0.3">
      <c r="A174" s="1" t="s">
        <v>230</v>
      </c>
      <c r="B174" s="1" t="s">
        <v>241</v>
      </c>
      <c r="C174" s="1" t="s">
        <v>242</v>
      </c>
      <c r="D174" s="1" t="s">
        <v>242</v>
      </c>
      <c r="E174" s="2">
        <v>40401</v>
      </c>
      <c r="F174" s="18">
        <v>7</v>
      </c>
      <c r="G174" s="18">
        <v>10</v>
      </c>
      <c r="H174" s="18">
        <v>12</v>
      </c>
      <c r="I174" s="18">
        <v>13</v>
      </c>
      <c r="J174" s="18">
        <v>28</v>
      </c>
      <c r="K174" s="18">
        <v>29</v>
      </c>
      <c r="L174" s="11">
        <v>30</v>
      </c>
      <c r="M174" s="2">
        <f t="shared" si="52"/>
        <v>17</v>
      </c>
      <c r="N174" s="2">
        <f t="shared" si="53"/>
        <v>16</v>
      </c>
      <c r="O174" s="2">
        <f t="shared" si="54"/>
        <v>20</v>
      </c>
      <c r="P174" s="2">
        <f t="shared" si="55"/>
        <v>20</v>
      </c>
      <c r="Q174" s="2">
        <f t="shared" si="56"/>
        <v>12</v>
      </c>
      <c r="R174" s="2">
        <f t="shared" si="57"/>
        <v>11</v>
      </c>
      <c r="S174" s="2">
        <f t="shared" si="58"/>
        <v>9</v>
      </c>
      <c r="T174" s="11">
        <v>24</v>
      </c>
      <c r="U174" s="11">
        <v>26</v>
      </c>
      <c r="V174" s="11">
        <v>32</v>
      </c>
      <c r="W174" s="18">
        <v>33</v>
      </c>
      <c r="X174" s="18">
        <v>40</v>
      </c>
      <c r="Y174" s="23">
        <v>40</v>
      </c>
      <c r="Z174" s="18">
        <v>39</v>
      </c>
      <c r="AA174" s="18">
        <v>29.166666666666668</v>
      </c>
      <c r="AB174" s="18">
        <v>38.461538461538467</v>
      </c>
      <c r="AC174" s="18">
        <v>37.5</v>
      </c>
      <c r="AD174" s="11">
        <v>39.393939393939391</v>
      </c>
      <c r="AE174" s="11">
        <v>70</v>
      </c>
      <c r="AF174" s="11">
        <v>72.5</v>
      </c>
      <c r="AG174" s="11">
        <v>76.923076923076934</v>
      </c>
      <c r="AH174" s="11">
        <f t="shared" si="59"/>
        <v>38.451825951825953</v>
      </c>
      <c r="AI174" s="26">
        <f t="shared" si="60"/>
        <v>73.141025641025649</v>
      </c>
      <c r="AJ174" s="2">
        <f t="shared" si="61"/>
        <v>11.666666666666666</v>
      </c>
      <c r="AK174" s="2">
        <f t="shared" si="62"/>
        <v>29</v>
      </c>
      <c r="AL174" s="2">
        <f t="shared" si="63"/>
        <v>18.666666666666668</v>
      </c>
      <c r="AM174" s="2">
        <f t="shared" si="64"/>
        <v>10.666666666666666</v>
      </c>
    </row>
    <row r="175" spans="1:39" x14ac:dyDescent="0.3">
      <c r="A175" s="1" t="s">
        <v>230</v>
      </c>
      <c r="B175" s="1" t="s">
        <v>241</v>
      </c>
      <c r="C175" s="1" t="s">
        <v>243</v>
      </c>
      <c r="D175" s="1" t="s">
        <v>243</v>
      </c>
      <c r="E175" s="2">
        <v>40402</v>
      </c>
      <c r="F175" s="18">
        <v>8</v>
      </c>
      <c r="G175" s="18">
        <v>8</v>
      </c>
      <c r="H175" s="18">
        <v>12</v>
      </c>
      <c r="I175" s="18">
        <v>11</v>
      </c>
      <c r="J175" s="18">
        <v>22</v>
      </c>
      <c r="K175" s="18">
        <v>24</v>
      </c>
      <c r="L175" s="11">
        <v>24</v>
      </c>
      <c r="M175" s="2">
        <f t="shared" si="52"/>
        <v>13</v>
      </c>
      <c r="N175" s="2">
        <f t="shared" si="53"/>
        <v>13</v>
      </c>
      <c r="O175" s="2">
        <f t="shared" si="54"/>
        <v>21</v>
      </c>
      <c r="P175" s="2">
        <f t="shared" si="55"/>
        <v>22</v>
      </c>
      <c r="Q175" s="2">
        <f t="shared" si="56"/>
        <v>15</v>
      </c>
      <c r="R175" s="2">
        <f t="shared" si="57"/>
        <v>13</v>
      </c>
      <c r="S175" s="2">
        <f t="shared" si="58"/>
        <v>13</v>
      </c>
      <c r="T175" s="11">
        <v>21</v>
      </c>
      <c r="U175" s="11">
        <v>21</v>
      </c>
      <c r="V175" s="11">
        <v>33</v>
      </c>
      <c r="W175" s="18">
        <v>33</v>
      </c>
      <c r="X175" s="18">
        <v>37</v>
      </c>
      <c r="Y175" s="23">
        <v>37</v>
      </c>
      <c r="Z175" s="18">
        <v>37</v>
      </c>
      <c r="AA175" s="18">
        <v>38.095238095238095</v>
      </c>
      <c r="AB175" s="18">
        <v>38.095238095238095</v>
      </c>
      <c r="AC175" s="18">
        <v>36.363636363636367</v>
      </c>
      <c r="AD175" s="11">
        <v>33.333333333333329</v>
      </c>
      <c r="AE175" s="11">
        <v>59.45945945945946</v>
      </c>
      <c r="AF175" s="11">
        <v>64.86486486486487</v>
      </c>
      <c r="AG175" s="11">
        <v>64.86486486486487</v>
      </c>
      <c r="AH175" s="11">
        <f t="shared" si="59"/>
        <v>35.930735930735928</v>
      </c>
      <c r="AI175" s="26">
        <f t="shared" si="60"/>
        <v>63.063063063063062</v>
      </c>
      <c r="AJ175" s="2">
        <f t="shared" si="61"/>
        <v>10.333333333333334</v>
      </c>
      <c r="AK175" s="2">
        <f t="shared" si="62"/>
        <v>23.333333333333332</v>
      </c>
      <c r="AL175" s="2">
        <f t="shared" si="63"/>
        <v>18.666666666666668</v>
      </c>
      <c r="AM175" s="2">
        <f t="shared" si="64"/>
        <v>13.666666666666666</v>
      </c>
    </row>
    <row r="176" spans="1:39" x14ac:dyDescent="0.3">
      <c r="A176" s="1" t="s">
        <v>230</v>
      </c>
      <c r="B176" s="1" t="s">
        <v>244</v>
      </c>
      <c r="C176" s="1" t="s">
        <v>245</v>
      </c>
      <c r="D176" s="1" t="s">
        <v>245</v>
      </c>
      <c r="E176" s="2">
        <v>40501</v>
      </c>
      <c r="F176" s="18">
        <v>8</v>
      </c>
      <c r="G176" s="18">
        <v>10</v>
      </c>
      <c r="H176" s="18">
        <v>12</v>
      </c>
      <c r="I176" s="18">
        <v>12</v>
      </c>
      <c r="J176" s="18">
        <v>11</v>
      </c>
      <c r="K176" s="18">
        <v>12</v>
      </c>
      <c r="L176" s="11">
        <v>12</v>
      </c>
      <c r="M176" s="2">
        <f t="shared" si="52"/>
        <v>6</v>
      </c>
      <c r="N176" s="2">
        <f t="shared" si="53"/>
        <v>4</v>
      </c>
      <c r="O176" s="2">
        <f t="shared" si="54"/>
        <v>4</v>
      </c>
      <c r="P176" s="2">
        <f t="shared" si="55"/>
        <v>4</v>
      </c>
      <c r="Q176" s="2">
        <f t="shared" si="56"/>
        <v>2</v>
      </c>
      <c r="R176" s="2">
        <f t="shared" si="57"/>
        <v>1</v>
      </c>
      <c r="S176" s="2">
        <f t="shared" si="58"/>
        <v>1</v>
      </c>
      <c r="T176" s="11">
        <v>14</v>
      </c>
      <c r="U176" s="11">
        <v>14</v>
      </c>
      <c r="V176" s="11">
        <v>16</v>
      </c>
      <c r="W176" s="18">
        <v>16</v>
      </c>
      <c r="X176" s="18">
        <v>13</v>
      </c>
      <c r="Y176" s="23">
        <v>13</v>
      </c>
      <c r="Z176" s="18">
        <v>13</v>
      </c>
      <c r="AA176" s="18">
        <v>57.142857142857139</v>
      </c>
      <c r="AB176" s="18">
        <v>71.428571428571431</v>
      </c>
      <c r="AC176" s="18">
        <v>75</v>
      </c>
      <c r="AD176" s="11">
        <v>75</v>
      </c>
      <c r="AE176" s="11">
        <v>84.615384615384613</v>
      </c>
      <c r="AF176" s="11">
        <v>92.307692307692307</v>
      </c>
      <c r="AG176" s="11">
        <v>92.307692307692307</v>
      </c>
      <c r="AH176" s="11">
        <f t="shared" si="59"/>
        <v>73.80952380952381</v>
      </c>
      <c r="AI176" s="26">
        <f t="shared" si="60"/>
        <v>89.743589743589737</v>
      </c>
      <c r="AJ176" s="2">
        <f t="shared" si="61"/>
        <v>11.333333333333334</v>
      </c>
      <c r="AK176" s="2">
        <f t="shared" si="62"/>
        <v>11.666666666666666</v>
      </c>
      <c r="AL176" s="2">
        <f t="shared" si="63"/>
        <v>4</v>
      </c>
      <c r="AM176" s="2">
        <f t="shared" si="64"/>
        <v>1.3333333333333333</v>
      </c>
    </row>
    <row r="177" spans="1:39" x14ac:dyDescent="0.3">
      <c r="A177" s="1" t="s">
        <v>230</v>
      </c>
      <c r="B177" s="1" t="s">
        <v>244</v>
      </c>
      <c r="C177" s="1" t="s">
        <v>246</v>
      </c>
      <c r="D177" s="1" t="s">
        <v>246</v>
      </c>
      <c r="E177" s="2">
        <v>40502</v>
      </c>
      <c r="F177" s="18">
        <v>1</v>
      </c>
      <c r="G177" s="18">
        <v>0</v>
      </c>
      <c r="H177" s="18">
        <v>2</v>
      </c>
      <c r="I177" s="18">
        <v>2</v>
      </c>
      <c r="J177" s="18">
        <v>4</v>
      </c>
      <c r="K177" s="18">
        <v>4</v>
      </c>
      <c r="L177" s="11">
        <v>5</v>
      </c>
      <c r="M177" s="2">
        <f t="shared" si="52"/>
        <v>2</v>
      </c>
      <c r="N177" s="2">
        <f t="shared" si="53"/>
        <v>3</v>
      </c>
      <c r="O177" s="2">
        <f t="shared" si="54"/>
        <v>4</v>
      </c>
      <c r="P177" s="2">
        <f t="shared" si="55"/>
        <v>4</v>
      </c>
      <c r="Q177" s="2">
        <f t="shared" si="56"/>
        <v>3</v>
      </c>
      <c r="R177" s="2">
        <f t="shared" si="57"/>
        <v>3</v>
      </c>
      <c r="S177" s="2">
        <f t="shared" si="58"/>
        <v>3</v>
      </c>
      <c r="T177" s="11">
        <v>3</v>
      </c>
      <c r="U177" s="11">
        <v>3</v>
      </c>
      <c r="V177" s="11">
        <v>6</v>
      </c>
      <c r="W177" s="18">
        <v>6</v>
      </c>
      <c r="X177" s="18">
        <v>7</v>
      </c>
      <c r="Y177" s="23">
        <v>7</v>
      </c>
      <c r="Z177" s="18">
        <v>8</v>
      </c>
      <c r="AA177" s="18">
        <v>33.333333333333329</v>
      </c>
      <c r="AB177" s="18">
        <v>0</v>
      </c>
      <c r="AC177" s="18">
        <v>33.333333333333329</v>
      </c>
      <c r="AD177" s="11">
        <v>33.333333333333329</v>
      </c>
      <c r="AE177" s="11">
        <v>57.142857142857139</v>
      </c>
      <c r="AF177" s="11">
        <v>57.142857142857139</v>
      </c>
      <c r="AG177" s="11">
        <v>62.5</v>
      </c>
      <c r="AH177" s="11">
        <f t="shared" si="59"/>
        <v>22.222222222222218</v>
      </c>
      <c r="AI177" s="26">
        <f t="shared" si="60"/>
        <v>58.928571428571423</v>
      </c>
      <c r="AJ177" s="2">
        <f t="shared" si="61"/>
        <v>1.3333333333333333</v>
      </c>
      <c r="AK177" s="2">
        <f t="shared" si="62"/>
        <v>4.333333333333333</v>
      </c>
      <c r="AL177" s="2">
        <f t="shared" si="63"/>
        <v>3.6666666666666665</v>
      </c>
      <c r="AM177" s="2">
        <f t="shared" si="64"/>
        <v>3</v>
      </c>
    </row>
    <row r="178" spans="1:39" x14ac:dyDescent="0.3">
      <c r="A178" s="1" t="s">
        <v>230</v>
      </c>
      <c r="B178" s="1" t="s">
        <v>244</v>
      </c>
      <c r="C178" s="1" t="s">
        <v>247</v>
      </c>
      <c r="D178" s="1" t="s">
        <v>247</v>
      </c>
      <c r="E178" s="2">
        <v>40503</v>
      </c>
      <c r="F178" s="21"/>
      <c r="G178" s="21"/>
      <c r="H178" s="21"/>
      <c r="I178" s="18"/>
      <c r="J178" s="18"/>
      <c r="K178" s="18"/>
      <c r="L178" s="11"/>
      <c r="M178" s="2" t="str">
        <f t="shared" si="52"/>
        <v/>
      </c>
      <c r="N178" s="2" t="str">
        <f t="shared" si="53"/>
        <v/>
      </c>
      <c r="O178" s="2" t="str">
        <f t="shared" si="54"/>
        <v/>
      </c>
      <c r="P178" s="2" t="str">
        <f t="shared" si="55"/>
        <v/>
      </c>
      <c r="Q178" s="2" t="str">
        <f t="shared" si="56"/>
        <v/>
      </c>
      <c r="R178" s="2" t="str">
        <f t="shared" si="57"/>
        <v/>
      </c>
      <c r="S178" s="2" t="str">
        <f t="shared" si="58"/>
        <v/>
      </c>
      <c r="T178" s="11"/>
      <c r="U178" s="11"/>
      <c r="V178" s="11"/>
      <c r="W178" s="1"/>
      <c r="X178" s="1"/>
      <c r="Y178" s="24"/>
      <c r="Z178" s="1"/>
      <c r="AA178" s="1"/>
      <c r="AB178" s="1"/>
      <c r="AC178" s="1"/>
      <c r="AD178" s="11"/>
      <c r="AE178" s="11"/>
      <c r="AF178" s="11"/>
      <c r="AG178" s="11"/>
      <c r="AH178" s="11"/>
      <c r="AI178" s="26"/>
      <c r="AJ178" s="2"/>
      <c r="AK178" s="2"/>
      <c r="AL178" s="2"/>
      <c r="AM178" s="2"/>
    </row>
    <row r="179" spans="1:39" x14ac:dyDescent="0.3">
      <c r="A179" s="1" t="s">
        <v>230</v>
      </c>
      <c r="B179" s="1" t="s">
        <v>244</v>
      </c>
      <c r="C179" s="1" t="s">
        <v>248</v>
      </c>
      <c r="D179" s="1" t="s">
        <v>248</v>
      </c>
      <c r="E179" s="2">
        <v>40504</v>
      </c>
      <c r="F179" s="21"/>
      <c r="G179" s="21"/>
      <c r="H179" s="21"/>
      <c r="I179" s="18"/>
      <c r="J179" s="18"/>
      <c r="K179" s="18"/>
      <c r="L179" s="11"/>
      <c r="M179" s="2" t="str">
        <f t="shared" si="52"/>
        <v/>
      </c>
      <c r="N179" s="2" t="str">
        <f t="shared" si="53"/>
        <v/>
      </c>
      <c r="O179" s="2" t="str">
        <f t="shared" si="54"/>
        <v/>
      </c>
      <c r="P179" s="2" t="str">
        <f t="shared" si="55"/>
        <v/>
      </c>
      <c r="Q179" s="2" t="str">
        <f t="shared" si="56"/>
        <v/>
      </c>
      <c r="R179" s="2" t="str">
        <f t="shared" si="57"/>
        <v/>
      </c>
      <c r="S179" s="2" t="str">
        <f t="shared" si="58"/>
        <v/>
      </c>
      <c r="T179" s="11"/>
      <c r="U179" s="11"/>
      <c r="V179" s="11"/>
      <c r="W179" s="1"/>
      <c r="X179" s="1"/>
      <c r="Y179" s="24"/>
      <c r="Z179" s="1"/>
      <c r="AA179" s="1"/>
      <c r="AB179" s="1"/>
      <c r="AC179" s="1"/>
      <c r="AD179" s="11"/>
      <c r="AE179" s="11"/>
      <c r="AF179" s="11"/>
      <c r="AG179" s="11"/>
      <c r="AH179" s="11"/>
      <c r="AI179" s="26"/>
      <c r="AJ179" s="2"/>
      <c r="AK179" s="2"/>
      <c r="AL179" s="2"/>
      <c r="AM179" s="2"/>
    </row>
    <row r="180" spans="1:39" x14ac:dyDescent="0.3">
      <c r="A180" s="1" t="s">
        <v>230</v>
      </c>
      <c r="B180" s="1" t="s">
        <v>244</v>
      </c>
      <c r="C180" s="1" t="s">
        <v>249</v>
      </c>
      <c r="D180" s="1" t="s">
        <v>249</v>
      </c>
      <c r="E180" s="2">
        <v>40505</v>
      </c>
      <c r="F180" s="21"/>
      <c r="G180" s="21"/>
      <c r="H180" s="21"/>
      <c r="I180" s="18"/>
      <c r="J180" s="18"/>
      <c r="K180" s="18"/>
      <c r="L180" s="11"/>
      <c r="M180" s="2" t="str">
        <f t="shared" si="52"/>
        <v/>
      </c>
      <c r="N180" s="2" t="str">
        <f t="shared" si="53"/>
        <v/>
      </c>
      <c r="O180" s="2" t="str">
        <f t="shared" si="54"/>
        <v/>
      </c>
      <c r="P180" s="2" t="str">
        <f t="shared" si="55"/>
        <v/>
      </c>
      <c r="Q180" s="2" t="str">
        <f t="shared" si="56"/>
        <v/>
      </c>
      <c r="R180" s="2" t="str">
        <f t="shared" si="57"/>
        <v/>
      </c>
      <c r="S180" s="2" t="str">
        <f t="shared" si="58"/>
        <v/>
      </c>
      <c r="T180" s="11"/>
      <c r="U180" s="11"/>
      <c r="V180" s="11"/>
      <c r="W180" s="1"/>
      <c r="X180" s="1"/>
      <c r="Y180" s="24"/>
      <c r="Z180" s="1"/>
      <c r="AA180" s="1"/>
      <c r="AB180" s="1"/>
      <c r="AC180" s="1"/>
      <c r="AD180" s="11"/>
      <c r="AE180" s="11"/>
      <c r="AF180" s="11"/>
      <c r="AG180" s="11"/>
      <c r="AH180" s="11"/>
      <c r="AI180" s="26"/>
      <c r="AJ180" s="2"/>
      <c r="AK180" s="2"/>
      <c r="AL180" s="2"/>
      <c r="AM180" s="2"/>
    </row>
    <row r="181" spans="1:39" x14ac:dyDescent="0.3">
      <c r="A181" s="1" t="s">
        <v>230</v>
      </c>
      <c r="B181" s="1" t="s">
        <v>250</v>
      </c>
      <c r="C181" s="1" t="s">
        <v>250</v>
      </c>
      <c r="D181" s="1" t="s">
        <v>251</v>
      </c>
      <c r="E181" s="2">
        <v>40601</v>
      </c>
      <c r="F181" s="18">
        <v>13</v>
      </c>
      <c r="G181" s="18">
        <v>13</v>
      </c>
      <c r="H181" s="18">
        <v>16</v>
      </c>
      <c r="I181" s="18">
        <v>17</v>
      </c>
      <c r="J181" s="18">
        <v>25</v>
      </c>
      <c r="K181" s="18">
        <v>30</v>
      </c>
      <c r="L181" s="11">
        <v>28</v>
      </c>
      <c r="M181" s="2">
        <f t="shared" si="52"/>
        <v>6</v>
      </c>
      <c r="N181" s="2">
        <f t="shared" si="53"/>
        <v>7</v>
      </c>
      <c r="O181" s="2">
        <f t="shared" si="54"/>
        <v>12</v>
      </c>
      <c r="P181" s="2">
        <f t="shared" si="55"/>
        <v>12</v>
      </c>
      <c r="Q181" s="2">
        <f t="shared" si="56"/>
        <v>10</v>
      </c>
      <c r="R181" s="2">
        <f t="shared" si="57"/>
        <v>8</v>
      </c>
      <c r="S181" s="2">
        <f t="shared" si="58"/>
        <v>9</v>
      </c>
      <c r="T181" s="11">
        <v>19</v>
      </c>
      <c r="U181" s="11">
        <v>20</v>
      </c>
      <c r="V181" s="11">
        <v>28</v>
      </c>
      <c r="W181" s="18">
        <v>29</v>
      </c>
      <c r="X181" s="18">
        <v>35</v>
      </c>
      <c r="Y181" s="23">
        <v>38</v>
      </c>
      <c r="Z181" s="18">
        <v>37</v>
      </c>
      <c r="AA181" s="18">
        <v>68.421052631578945</v>
      </c>
      <c r="AB181" s="18">
        <v>65</v>
      </c>
      <c r="AC181" s="18">
        <v>57.142857142857139</v>
      </c>
      <c r="AD181" s="11">
        <v>58.620689655172406</v>
      </c>
      <c r="AE181" s="11">
        <v>71.428571428571431</v>
      </c>
      <c r="AF181" s="11">
        <v>78.94736842105263</v>
      </c>
      <c r="AG181" s="11">
        <v>75.675675675675677</v>
      </c>
      <c r="AH181" s="11">
        <f t="shared" si="59"/>
        <v>60.254515599343186</v>
      </c>
      <c r="AI181" s="26">
        <f t="shared" si="60"/>
        <v>75.350538508433246</v>
      </c>
      <c r="AJ181" s="2">
        <f t="shared" si="61"/>
        <v>15.333333333333334</v>
      </c>
      <c r="AK181" s="2">
        <f t="shared" si="62"/>
        <v>27.666666666666668</v>
      </c>
      <c r="AL181" s="2">
        <f t="shared" si="63"/>
        <v>10.333333333333334</v>
      </c>
      <c r="AM181" s="2">
        <f t="shared" si="64"/>
        <v>9</v>
      </c>
    </row>
    <row r="182" spans="1:39" x14ac:dyDescent="0.3">
      <c r="A182" s="1" t="s">
        <v>230</v>
      </c>
      <c r="B182" s="1" t="s">
        <v>250</v>
      </c>
      <c r="C182" s="1" t="s">
        <v>252</v>
      </c>
      <c r="D182" s="1" t="s">
        <v>252</v>
      </c>
      <c r="E182" s="2">
        <v>40602</v>
      </c>
      <c r="F182" s="18">
        <v>24</v>
      </c>
      <c r="G182" s="18">
        <v>23</v>
      </c>
      <c r="H182" s="18">
        <v>27</v>
      </c>
      <c r="I182" s="18">
        <v>29</v>
      </c>
      <c r="J182" s="18">
        <v>49</v>
      </c>
      <c r="K182" s="18">
        <v>49</v>
      </c>
      <c r="L182" s="11">
        <v>47</v>
      </c>
      <c r="M182" s="2">
        <f t="shared" si="52"/>
        <v>15</v>
      </c>
      <c r="N182" s="2">
        <f t="shared" si="53"/>
        <v>18</v>
      </c>
      <c r="O182" s="2">
        <f t="shared" si="54"/>
        <v>23</v>
      </c>
      <c r="P182" s="2">
        <f t="shared" si="55"/>
        <v>22</v>
      </c>
      <c r="Q182" s="2">
        <f t="shared" si="56"/>
        <v>14</v>
      </c>
      <c r="R182" s="2">
        <f t="shared" si="57"/>
        <v>12</v>
      </c>
      <c r="S182" s="2">
        <f t="shared" si="58"/>
        <v>13</v>
      </c>
      <c r="T182" s="11">
        <v>39</v>
      </c>
      <c r="U182" s="11">
        <v>41</v>
      </c>
      <c r="V182" s="11">
        <v>50</v>
      </c>
      <c r="W182" s="18">
        <v>51</v>
      </c>
      <c r="X182" s="18">
        <v>63</v>
      </c>
      <c r="Y182" s="23">
        <v>61</v>
      </c>
      <c r="Z182" s="18">
        <v>60</v>
      </c>
      <c r="AA182" s="18">
        <v>61.53846153846154</v>
      </c>
      <c r="AB182" s="18">
        <v>56.09756097560976</v>
      </c>
      <c r="AC182" s="18">
        <v>54</v>
      </c>
      <c r="AD182" s="11">
        <v>56.862745098039213</v>
      </c>
      <c r="AE182" s="11">
        <v>77.777777777777786</v>
      </c>
      <c r="AF182" s="11">
        <v>80.327868852459019</v>
      </c>
      <c r="AG182" s="11">
        <v>78.333333333333329</v>
      </c>
      <c r="AH182" s="11">
        <f t="shared" si="59"/>
        <v>55.653435357882984</v>
      </c>
      <c r="AI182" s="26">
        <f t="shared" si="60"/>
        <v>78.812993321190049</v>
      </c>
      <c r="AJ182" s="2">
        <f t="shared" si="61"/>
        <v>26.333333333333332</v>
      </c>
      <c r="AK182" s="2">
        <f t="shared" si="62"/>
        <v>48.333333333333336</v>
      </c>
      <c r="AL182" s="2">
        <f t="shared" si="63"/>
        <v>21</v>
      </c>
      <c r="AM182" s="2">
        <f t="shared" si="64"/>
        <v>13</v>
      </c>
    </row>
    <row r="183" spans="1:39" x14ac:dyDescent="0.3">
      <c r="A183" s="1" t="s">
        <v>230</v>
      </c>
      <c r="B183" s="1" t="s">
        <v>250</v>
      </c>
      <c r="C183" s="1" t="s">
        <v>253</v>
      </c>
      <c r="D183" s="1" t="s">
        <v>253</v>
      </c>
      <c r="E183" s="2">
        <v>40603</v>
      </c>
      <c r="F183" s="18">
        <v>0</v>
      </c>
      <c r="G183" s="18">
        <v>0</v>
      </c>
      <c r="H183" s="18">
        <v>0</v>
      </c>
      <c r="I183" s="18">
        <v>0</v>
      </c>
      <c r="J183" s="18">
        <v>6</v>
      </c>
      <c r="K183" s="18">
        <v>5</v>
      </c>
      <c r="L183" s="11">
        <v>5</v>
      </c>
      <c r="M183" s="2">
        <f t="shared" si="52"/>
        <v>6</v>
      </c>
      <c r="N183" s="2">
        <f t="shared" si="53"/>
        <v>6</v>
      </c>
      <c r="O183" s="2">
        <f t="shared" si="54"/>
        <v>9</v>
      </c>
      <c r="P183" s="2">
        <f t="shared" si="55"/>
        <v>9</v>
      </c>
      <c r="Q183" s="2">
        <f t="shared" si="56"/>
        <v>6</v>
      </c>
      <c r="R183" s="2">
        <f t="shared" si="57"/>
        <v>6</v>
      </c>
      <c r="S183" s="2">
        <f t="shared" si="58"/>
        <v>6</v>
      </c>
      <c r="T183" s="11">
        <v>6</v>
      </c>
      <c r="U183" s="11">
        <v>6</v>
      </c>
      <c r="V183" s="11">
        <v>9</v>
      </c>
      <c r="W183" s="18">
        <v>9</v>
      </c>
      <c r="X183" s="18">
        <v>12</v>
      </c>
      <c r="Y183" s="23">
        <v>11</v>
      </c>
      <c r="Z183" s="18">
        <v>11</v>
      </c>
      <c r="AA183" s="18"/>
      <c r="AB183" s="18"/>
      <c r="AC183" s="18"/>
      <c r="AD183" s="11"/>
      <c r="AE183" s="11">
        <v>50</v>
      </c>
      <c r="AF183" s="11">
        <v>45.454545454545453</v>
      </c>
      <c r="AG183" s="11">
        <v>45.454545454545453</v>
      </c>
      <c r="AH183" s="11"/>
      <c r="AI183" s="26">
        <f t="shared" si="60"/>
        <v>46.969696969696969</v>
      </c>
      <c r="AJ183" s="2">
        <f t="shared" si="61"/>
        <v>0</v>
      </c>
      <c r="AK183" s="2">
        <f t="shared" si="62"/>
        <v>5.333333333333333</v>
      </c>
      <c r="AL183" s="2">
        <f t="shared" si="63"/>
        <v>8</v>
      </c>
      <c r="AM183" s="2">
        <f t="shared" si="64"/>
        <v>6</v>
      </c>
    </row>
    <row r="184" spans="1:39" x14ac:dyDescent="0.3">
      <c r="A184" s="1" t="s">
        <v>230</v>
      </c>
      <c r="B184" s="1" t="s">
        <v>254</v>
      </c>
      <c r="C184" s="1" t="s">
        <v>255</v>
      </c>
      <c r="D184" s="1" t="s">
        <v>256</v>
      </c>
      <c r="E184" s="2">
        <v>40701</v>
      </c>
      <c r="F184" s="18">
        <v>99</v>
      </c>
      <c r="G184" s="18">
        <v>102</v>
      </c>
      <c r="H184" s="18">
        <v>126</v>
      </c>
      <c r="I184" s="18">
        <v>130</v>
      </c>
      <c r="J184" s="18">
        <v>179</v>
      </c>
      <c r="K184" s="18">
        <v>179</v>
      </c>
      <c r="L184" s="11">
        <v>182</v>
      </c>
      <c r="M184" s="2">
        <f t="shared" si="52"/>
        <v>56</v>
      </c>
      <c r="N184" s="2">
        <f t="shared" si="53"/>
        <v>50</v>
      </c>
      <c r="O184" s="2">
        <f t="shared" si="54"/>
        <v>84</v>
      </c>
      <c r="P184" s="2">
        <f t="shared" si="55"/>
        <v>81</v>
      </c>
      <c r="Q184" s="2">
        <f t="shared" si="56"/>
        <v>43</v>
      </c>
      <c r="R184" s="2">
        <f t="shared" si="57"/>
        <v>45</v>
      </c>
      <c r="S184" s="2">
        <f t="shared" si="58"/>
        <v>51</v>
      </c>
      <c r="T184" s="11">
        <v>155</v>
      </c>
      <c r="U184" s="11">
        <v>152</v>
      </c>
      <c r="V184" s="11">
        <v>210</v>
      </c>
      <c r="W184" s="18">
        <v>211</v>
      </c>
      <c r="X184" s="18">
        <v>222</v>
      </c>
      <c r="Y184" s="23">
        <v>224</v>
      </c>
      <c r="Z184" s="18">
        <v>233</v>
      </c>
      <c r="AA184" s="18">
        <v>63.87096774193548</v>
      </c>
      <c r="AB184" s="18">
        <v>67.10526315789474</v>
      </c>
      <c r="AC184" s="18">
        <v>60</v>
      </c>
      <c r="AD184" s="11">
        <v>61.611374407582943</v>
      </c>
      <c r="AE184" s="11">
        <v>80.630630630630634</v>
      </c>
      <c r="AF184" s="11">
        <v>79.910714285714292</v>
      </c>
      <c r="AG184" s="11">
        <v>78.111587982832617</v>
      </c>
      <c r="AH184" s="11">
        <f t="shared" si="59"/>
        <v>62.905545855159232</v>
      </c>
      <c r="AI184" s="26">
        <f t="shared" si="60"/>
        <v>79.55097763305919</v>
      </c>
      <c r="AJ184" s="2">
        <f t="shared" si="61"/>
        <v>119.33333333333333</v>
      </c>
      <c r="AK184" s="2">
        <f t="shared" si="62"/>
        <v>180</v>
      </c>
      <c r="AL184" s="2">
        <f t="shared" si="63"/>
        <v>71.666666666666671</v>
      </c>
      <c r="AM184" s="2">
        <f t="shared" si="64"/>
        <v>46.333333333333336</v>
      </c>
    </row>
    <row r="185" spans="1:39" x14ac:dyDescent="0.3">
      <c r="A185" s="1" t="s">
        <v>230</v>
      </c>
      <c r="B185" s="1" t="s">
        <v>254</v>
      </c>
      <c r="C185" s="1" t="s">
        <v>257</v>
      </c>
      <c r="D185" s="1" t="s">
        <v>257</v>
      </c>
      <c r="E185" s="2">
        <v>40702</v>
      </c>
      <c r="F185" s="18">
        <v>27</v>
      </c>
      <c r="G185" s="18">
        <v>27</v>
      </c>
      <c r="H185" s="18">
        <v>33</v>
      </c>
      <c r="I185" s="18">
        <v>31</v>
      </c>
      <c r="J185" s="18">
        <v>41</v>
      </c>
      <c r="K185" s="18">
        <v>42</v>
      </c>
      <c r="L185" s="11">
        <v>41</v>
      </c>
      <c r="M185" s="2">
        <f t="shared" si="52"/>
        <v>12</v>
      </c>
      <c r="N185" s="2">
        <f t="shared" si="53"/>
        <v>13</v>
      </c>
      <c r="O185" s="2">
        <f t="shared" si="54"/>
        <v>18</v>
      </c>
      <c r="P185" s="2">
        <f t="shared" si="55"/>
        <v>17</v>
      </c>
      <c r="Q185" s="2">
        <f t="shared" si="56"/>
        <v>18</v>
      </c>
      <c r="R185" s="2">
        <f t="shared" si="57"/>
        <v>17</v>
      </c>
      <c r="S185" s="2">
        <f t="shared" si="58"/>
        <v>18</v>
      </c>
      <c r="T185" s="11">
        <v>39</v>
      </c>
      <c r="U185" s="11">
        <v>40</v>
      </c>
      <c r="V185" s="11">
        <v>51</v>
      </c>
      <c r="W185" s="18">
        <v>48</v>
      </c>
      <c r="X185" s="18">
        <v>59</v>
      </c>
      <c r="Y185" s="23">
        <v>59</v>
      </c>
      <c r="Z185" s="18">
        <v>59</v>
      </c>
      <c r="AA185" s="18">
        <v>69.230769230769226</v>
      </c>
      <c r="AB185" s="18">
        <v>67.5</v>
      </c>
      <c r="AC185" s="18">
        <v>64.705882352941174</v>
      </c>
      <c r="AD185" s="11">
        <v>64.583333333333343</v>
      </c>
      <c r="AE185" s="11">
        <v>69.491525423728817</v>
      </c>
      <c r="AF185" s="11">
        <v>71.186440677966104</v>
      </c>
      <c r="AG185" s="11">
        <v>69.491525423728817</v>
      </c>
      <c r="AH185" s="11">
        <f t="shared" si="59"/>
        <v>65.596405228758172</v>
      </c>
      <c r="AI185" s="26">
        <f t="shared" si="60"/>
        <v>70.056497175141246</v>
      </c>
      <c r="AJ185" s="2">
        <f t="shared" si="61"/>
        <v>30.333333333333332</v>
      </c>
      <c r="AK185" s="2">
        <f t="shared" si="62"/>
        <v>41.333333333333336</v>
      </c>
      <c r="AL185" s="2">
        <f t="shared" si="63"/>
        <v>16</v>
      </c>
      <c r="AM185" s="2">
        <f t="shared" si="64"/>
        <v>17.666666666666668</v>
      </c>
    </row>
    <row r="186" spans="1:39" x14ac:dyDescent="0.3">
      <c r="A186" s="1" t="s">
        <v>230</v>
      </c>
      <c r="B186" s="1" t="s">
        <v>258</v>
      </c>
      <c r="C186" s="1" t="s">
        <v>259</v>
      </c>
      <c r="D186" s="1" t="s">
        <v>259</v>
      </c>
      <c r="E186" s="2">
        <v>40801</v>
      </c>
      <c r="F186" s="18">
        <v>9</v>
      </c>
      <c r="G186" s="18">
        <v>11</v>
      </c>
      <c r="H186" s="18">
        <v>12</v>
      </c>
      <c r="I186" s="18">
        <v>15</v>
      </c>
      <c r="J186" s="18">
        <v>36</v>
      </c>
      <c r="K186" s="18">
        <v>38</v>
      </c>
      <c r="L186" s="11">
        <v>37</v>
      </c>
      <c r="M186" s="2">
        <f t="shared" si="52"/>
        <v>22</v>
      </c>
      <c r="N186" s="2">
        <f t="shared" si="53"/>
        <v>22</v>
      </c>
      <c r="O186" s="2">
        <f t="shared" si="54"/>
        <v>33</v>
      </c>
      <c r="P186" s="2">
        <f t="shared" si="55"/>
        <v>35</v>
      </c>
      <c r="Q186" s="2">
        <f t="shared" si="56"/>
        <v>24</v>
      </c>
      <c r="R186" s="2">
        <f t="shared" si="57"/>
        <v>25</v>
      </c>
      <c r="S186" s="2">
        <f t="shared" si="58"/>
        <v>24</v>
      </c>
      <c r="T186" s="11">
        <v>31</v>
      </c>
      <c r="U186" s="11">
        <v>33</v>
      </c>
      <c r="V186" s="11">
        <v>45</v>
      </c>
      <c r="W186" s="18">
        <v>50</v>
      </c>
      <c r="X186" s="18">
        <v>60</v>
      </c>
      <c r="Y186" s="23">
        <v>63</v>
      </c>
      <c r="Z186" s="18">
        <v>61</v>
      </c>
      <c r="AA186" s="18">
        <v>29.032258064516132</v>
      </c>
      <c r="AB186" s="18">
        <v>33.333333333333329</v>
      </c>
      <c r="AC186" s="18">
        <v>26.666666666666668</v>
      </c>
      <c r="AD186" s="11">
        <v>30</v>
      </c>
      <c r="AE186" s="11">
        <v>60</v>
      </c>
      <c r="AF186" s="11">
        <v>60.317460317460316</v>
      </c>
      <c r="AG186" s="11">
        <v>60.655737704918032</v>
      </c>
      <c r="AH186" s="11">
        <f t="shared" si="59"/>
        <v>30</v>
      </c>
      <c r="AI186" s="26">
        <f t="shared" si="60"/>
        <v>60.32439934079278</v>
      </c>
      <c r="AJ186" s="2">
        <f t="shared" si="61"/>
        <v>12.666666666666666</v>
      </c>
      <c r="AK186" s="2">
        <f t="shared" si="62"/>
        <v>37</v>
      </c>
      <c r="AL186" s="2">
        <f t="shared" si="63"/>
        <v>30</v>
      </c>
      <c r="AM186" s="2">
        <f t="shared" si="64"/>
        <v>24.333333333333332</v>
      </c>
    </row>
    <row r="187" spans="1:39" x14ac:dyDescent="0.3">
      <c r="A187" s="1" t="s">
        <v>230</v>
      </c>
      <c r="B187" s="1" t="s">
        <v>258</v>
      </c>
      <c r="C187" s="1" t="s">
        <v>260</v>
      </c>
      <c r="D187" s="1" t="s">
        <v>260</v>
      </c>
      <c r="E187" s="2">
        <v>40802</v>
      </c>
      <c r="F187" s="18">
        <v>3</v>
      </c>
      <c r="G187" s="18">
        <v>5</v>
      </c>
      <c r="H187" s="18">
        <v>5</v>
      </c>
      <c r="I187" s="18">
        <v>5</v>
      </c>
      <c r="J187" s="18">
        <v>12</v>
      </c>
      <c r="K187" s="18">
        <v>13</v>
      </c>
      <c r="L187" s="11">
        <v>17</v>
      </c>
      <c r="M187" s="2">
        <f t="shared" si="52"/>
        <v>8</v>
      </c>
      <c r="N187" s="2">
        <f t="shared" si="53"/>
        <v>6</v>
      </c>
      <c r="O187" s="2">
        <f t="shared" si="54"/>
        <v>9</v>
      </c>
      <c r="P187" s="2">
        <f t="shared" si="55"/>
        <v>9</v>
      </c>
      <c r="Q187" s="2">
        <f t="shared" si="56"/>
        <v>6</v>
      </c>
      <c r="R187" s="2">
        <f t="shared" si="57"/>
        <v>7</v>
      </c>
      <c r="S187" s="2">
        <f t="shared" si="58"/>
        <v>5</v>
      </c>
      <c r="T187" s="11">
        <v>11</v>
      </c>
      <c r="U187" s="11">
        <v>11</v>
      </c>
      <c r="V187" s="11">
        <v>14</v>
      </c>
      <c r="W187" s="18">
        <v>14</v>
      </c>
      <c r="X187" s="18">
        <v>18</v>
      </c>
      <c r="Y187" s="23">
        <v>20</v>
      </c>
      <c r="Z187" s="18">
        <v>22</v>
      </c>
      <c r="AA187" s="18">
        <v>27.27272727272727</v>
      </c>
      <c r="AB187" s="18">
        <v>45.454545454545453</v>
      </c>
      <c r="AC187" s="18">
        <v>35.714285714285715</v>
      </c>
      <c r="AD187" s="11">
        <v>35.714285714285715</v>
      </c>
      <c r="AE187" s="11">
        <v>66.666666666666657</v>
      </c>
      <c r="AF187" s="11">
        <v>65</v>
      </c>
      <c r="AG187" s="11">
        <v>77.272727272727266</v>
      </c>
      <c r="AH187" s="11">
        <f t="shared" si="59"/>
        <v>38.961038961038959</v>
      </c>
      <c r="AI187" s="26">
        <f t="shared" si="60"/>
        <v>69.646464646464651</v>
      </c>
      <c r="AJ187" s="2">
        <f t="shared" si="61"/>
        <v>5</v>
      </c>
      <c r="AK187" s="2">
        <f t="shared" si="62"/>
        <v>14</v>
      </c>
      <c r="AL187" s="2">
        <f t="shared" si="63"/>
        <v>8</v>
      </c>
      <c r="AM187" s="2">
        <f t="shared" si="64"/>
        <v>6</v>
      </c>
    </row>
    <row r="188" spans="1:39" x14ac:dyDescent="0.3">
      <c r="A188" s="1" t="s">
        <v>230</v>
      </c>
      <c r="B188" s="1" t="s">
        <v>261</v>
      </c>
      <c r="C188" s="1" t="s">
        <v>261</v>
      </c>
      <c r="D188" s="1" t="s">
        <v>261</v>
      </c>
      <c r="E188" s="2">
        <v>40901</v>
      </c>
      <c r="F188" s="18">
        <v>7</v>
      </c>
      <c r="G188" s="18">
        <v>7</v>
      </c>
      <c r="H188" s="18">
        <v>8</v>
      </c>
      <c r="I188" s="18">
        <v>11</v>
      </c>
      <c r="J188" s="18">
        <v>25</v>
      </c>
      <c r="K188" s="18">
        <v>25</v>
      </c>
      <c r="L188" s="11">
        <v>26</v>
      </c>
      <c r="M188" s="2">
        <f t="shared" si="52"/>
        <v>8</v>
      </c>
      <c r="N188" s="2">
        <f t="shared" si="53"/>
        <v>8</v>
      </c>
      <c r="O188" s="2">
        <f t="shared" si="54"/>
        <v>12</v>
      </c>
      <c r="P188" s="2">
        <f t="shared" si="55"/>
        <v>10</v>
      </c>
      <c r="Q188" s="2">
        <f t="shared" si="56"/>
        <v>6</v>
      </c>
      <c r="R188" s="2">
        <f t="shared" si="57"/>
        <v>6</v>
      </c>
      <c r="S188" s="2">
        <f t="shared" si="58"/>
        <v>6</v>
      </c>
      <c r="T188" s="11">
        <v>15</v>
      </c>
      <c r="U188" s="11">
        <v>15</v>
      </c>
      <c r="V188" s="11">
        <v>20</v>
      </c>
      <c r="W188" s="18">
        <v>21</v>
      </c>
      <c r="X188" s="18">
        <v>31</v>
      </c>
      <c r="Y188" s="23">
        <v>31</v>
      </c>
      <c r="Z188" s="18">
        <v>32</v>
      </c>
      <c r="AA188" s="18">
        <v>46.666666666666664</v>
      </c>
      <c r="AB188" s="18">
        <v>46.666666666666664</v>
      </c>
      <c r="AC188" s="18">
        <v>40</v>
      </c>
      <c r="AD188" s="11">
        <v>52.380952380952387</v>
      </c>
      <c r="AE188" s="11">
        <v>80.645161290322577</v>
      </c>
      <c r="AF188" s="11">
        <v>80.645161290322577</v>
      </c>
      <c r="AG188" s="11">
        <v>81.25</v>
      </c>
      <c r="AH188" s="11">
        <f t="shared" si="59"/>
        <v>46.349206349206348</v>
      </c>
      <c r="AI188" s="26">
        <f t="shared" si="60"/>
        <v>80.846774193548384</v>
      </c>
      <c r="AJ188" s="2">
        <f t="shared" si="61"/>
        <v>8.6666666666666661</v>
      </c>
      <c r="AK188" s="2">
        <f t="shared" si="62"/>
        <v>25.333333333333332</v>
      </c>
      <c r="AL188" s="2">
        <f t="shared" si="63"/>
        <v>10</v>
      </c>
      <c r="AM188" s="2">
        <f t="shared" si="64"/>
        <v>6</v>
      </c>
    </row>
    <row r="189" spans="1:39" x14ac:dyDescent="0.3">
      <c r="A189" s="1" t="s">
        <v>230</v>
      </c>
      <c r="B189" s="1" t="s">
        <v>261</v>
      </c>
      <c r="C189" s="1" t="s">
        <v>262</v>
      </c>
      <c r="D189" s="1" t="s">
        <v>262</v>
      </c>
      <c r="E189" s="2">
        <v>40902</v>
      </c>
      <c r="F189" s="18">
        <v>0</v>
      </c>
      <c r="G189" s="18">
        <v>2</v>
      </c>
      <c r="H189" s="18">
        <v>2</v>
      </c>
      <c r="I189" s="18">
        <v>3</v>
      </c>
      <c r="J189" s="18">
        <v>4</v>
      </c>
      <c r="K189" s="18">
        <v>5</v>
      </c>
      <c r="L189" s="11">
        <v>5</v>
      </c>
      <c r="M189" s="2">
        <f t="shared" si="52"/>
        <v>4</v>
      </c>
      <c r="N189" s="2">
        <f t="shared" si="53"/>
        <v>2</v>
      </c>
      <c r="O189" s="2">
        <f t="shared" si="54"/>
        <v>4</v>
      </c>
      <c r="P189" s="2">
        <f t="shared" si="55"/>
        <v>3</v>
      </c>
      <c r="Q189" s="2">
        <f t="shared" si="56"/>
        <v>3</v>
      </c>
      <c r="R189" s="2">
        <f t="shared" si="57"/>
        <v>2</v>
      </c>
      <c r="S189" s="2">
        <f t="shared" si="58"/>
        <v>2</v>
      </c>
      <c r="T189" s="11">
        <v>4</v>
      </c>
      <c r="U189" s="11">
        <v>4</v>
      </c>
      <c r="V189" s="11">
        <v>6</v>
      </c>
      <c r="W189" s="18">
        <v>6</v>
      </c>
      <c r="X189" s="18">
        <v>7</v>
      </c>
      <c r="Y189" s="23">
        <v>7</v>
      </c>
      <c r="Z189" s="18">
        <v>7</v>
      </c>
      <c r="AA189" s="18">
        <v>0</v>
      </c>
      <c r="AB189" s="18">
        <v>50</v>
      </c>
      <c r="AC189" s="18">
        <v>33.333333333333329</v>
      </c>
      <c r="AD189" s="11">
        <v>50</v>
      </c>
      <c r="AE189" s="11">
        <v>57.142857142857139</v>
      </c>
      <c r="AF189" s="11">
        <v>71.428571428571431</v>
      </c>
      <c r="AG189" s="11">
        <v>71.428571428571431</v>
      </c>
      <c r="AH189" s="11">
        <f t="shared" si="59"/>
        <v>44.444444444444436</v>
      </c>
      <c r="AI189" s="26">
        <f t="shared" si="60"/>
        <v>66.666666666666671</v>
      </c>
      <c r="AJ189" s="2">
        <f t="shared" si="61"/>
        <v>2.3333333333333335</v>
      </c>
      <c r="AK189" s="2">
        <f t="shared" si="62"/>
        <v>4.666666666666667</v>
      </c>
      <c r="AL189" s="2">
        <f t="shared" si="63"/>
        <v>3</v>
      </c>
      <c r="AM189" s="2">
        <f t="shared" si="64"/>
        <v>2.3333333333333335</v>
      </c>
    </row>
    <row r="190" spans="1:39" x14ac:dyDescent="0.3">
      <c r="A190" s="1" t="s">
        <v>230</v>
      </c>
      <c r="B190" s="1" t="s">
        <v>261</v>
      </c>
      <c r="C190" s="1" t="s">
        <v>263</v>
      </c>
      <c r="D190" s="1" t="s">
        <v>263</v>
      </c>
      <c r="E190" s="2">
        <v>40903</v>
      </c>
      <c r="F190" s="18">
        <v>3</v>
      </c>
      <c r="G190" s="18">
        <v>3</v>
      </c>
      <c r="H190" s="18">
        <v>4</v>
      </c>
      <c r="I190" s="18">
        <v>4</v>
      </c>
      <c r="J190" s="18">
        <v>17</v>
      </c>
      <c r="K190" s="18">
        <v>18</v>
      </c>
      <c r="L190" s="11">
        <v>17</v>
      </c>
      <c r="M190" s="2">
        <f t="shared" si="52"/>
        <v>4</v>
      </c>
      <c r="N190" s="2">
        <f t="shared" si="53"/>
        <v>4</v>
      </c>
      <c r="O190" s="2">
        <f t="shared" si="54"/>
        <v>9</v>
      </c>
      <c r="P190" s="2">
        <f t="shared" si="55"/>
        <v>9</v>
      </c>
      <c r="Q190" s="2">
        <f t="shared" si="56"/>
        <v>3</v>
      </c>
      <c r="R190" s="2">
        <f t="shared" si="57"/>
        <v>2</v>
      </c>
      <c r="S190" s="2">
        <f t="shared" si="58"/>
        <v>2</v>
      </c>
      <c r="T190" s="11">
        <v>7</v>
      </c>
      <c r="U190" s="11">
        <v>7</v>
      </c>
      <c r="V190" s="11">
        <v>13</v>
      </c>
      <c r="W190" s="18">
        <v>13</v>
      </c>
      <c r="X190" s="18">
        <v>20</v>
      </c>
      <c r="Y190" s="23">
        <v>20</v>
      </c>
      <c r="Z190" s="18">
        <v>19</v>
      </c>
      <c r="AA190" s="18">
        <v>42.857142857142854</v>
      </c>
      <c r="AB190" s="18">
        <v>42.857142857142854</v>
      </c>
      <c r="AC190" s="18">
        <v>30.76923076923077</v>
      </c>
      <c r="AD190" s="11">
        <v>30.76923076923077</v>
      </c>
      <c r="AE190" s="11">
        <v>85</v>
      </c>
      <c r="AF190" s="11">
        <v>90</v>
      </c>
      <c r="AG190" s="11">
        <v>89.473684210526315</v>
      </c>
      <c r="AH190" s="11">
        <f t="shared" si="59"/>
        <v>34.798534798534796</v>
      </c>
      <c r="AI190" s="26">
        <f t="shared" si="60"/>
        <v>88.157894736842096</v>
      </c>
      <c r="AJ190" s="2">
        <f t="shared" si="61"/>
        <v>3.6666666666666665</v>
      </c>
      <c r="AK190" s="2">
        <f t="shared" si="62"/>
        <v>17.333333333333332</v>
      </c>
      <c r="AL190" s="2">
        <f t="shared" si="63"/>
        <v>7.333333333333333</v>
      </c>
      <c r="AM190" s="2">
        <f t="shared" si="64"/>
        <v>2.3333333333333335</v>
      </c>
    </row>
    <row r="191" spans="1:39" x14ac:dyDescent="0.3">
      <c r="A191" s="1" t="s">
        <v>230</v>
      </c>
      <c r="B191" s="1" t="s">
        <v>264</v>
      </c>
      <c r="C191" s="1" t="s">
        <v>265</v>
      </c>
      <c r="D191" s="1" t="s">
        <v>265</v>
      </c>
      <c r="E191" s="2">
        <v>41001</v>
      </c>
      <c r="F191" s="18">
        <v>12</v>
      </c>
      <c r="G191" s="18">
        <v>14</v>
      </c>
      <c r="H191" s="18">
        <v>14</v>
      </c>
      <c r="I191" s="18">
        <v>15</v>
      </c>
      <c r="J191" s="18">
        <v>29</v>
      </c>
      <c r="K191" s="18">
        <v>31</v>
      </c>
      <c r="L191" s="11">
        <v>31</v>
      </c>
      <c r="M191" s="2">
        <f t="shared" si="52"/>
        <v>11</v>
      </c>
      <c r="N191" s="2">
        <f t="shared" si="53"/>
        <v>9</v>
      </c>
      <c r="O191" s="2">
        <f t="shared" si="54"/>
        <v>20</v>
      </c>
      <c r="P191" s="2">
        <f t="shared" si="55"/>
        <v>20</v>
      </c>
      <c r="Q191" s="2">
        <f t="shared" si="56"/>
        <v>16</v>
      </c>
      <c r="R191" s="2">
        <f t="shared" si="57"/>
        <v>16</v>
      </c>
      <c r="S191" s="2">
        <f t="shared" si="58"/>
        <v>16</v>
      </c>
      <c r="T191" s="11">
        <v>23</v>
      </c>
      <c r="U191" s="11">
        <v>23</v>
      </c>
      <c r="V191" s="11">
        <v>34</v>
      </c>
      <c r="W191" s="18">
        <v>35</v>
      </c>
      <c r="X191" s="18">
        <v>45</v>
      </c>
      <c r="Y191" s="23">
        <v>47</v>
      </c>
      <c r="Z191" s="18">
        <v>47</v>
      </c>
      <c r="AA191" s="18">
        <v>52.173913043478258</v>
      </c>
      <c r="AB191" s="18">
        <v>60.869565217391312</v>
      </c>
      <c r="AC191" s="18">
        <v>41.17647058823529</v>
      </c>
      <c r="AD191" s="11">
        <v>42.857142857142854</v>
      </c>
      <c r="AE191" s="11">
        <v>64.444444444444443</v>
      </c>
      <c r="AF191" s="11">
        <v>65.957446808510639</v>
      </c>
      <c r="AG191" s="11">
        <v>65.957446808510639</v>
      </c>
      <c r="AH191" s="11">
        <f t="shared" si="59"/>
        <v>48.301059554256483</v>
      </c>
      <c r="AI191" s="26">
        <f t="shared" si="60"/>
        <v>65.45311268715524</v>
      </c>
      <c r="AJ191" s="2">
        <f t="shared" si="61"/>
        <v>14.333333333333334</v>
      </c>
      <c r="AK191" s="2">
        <f t="shared" si="62"/>
        <v>30.333333333333332</v>
      </c>
      <c r="AL191" s="2">
        <f t="shared" si="63"/>
        <v>16.333333333333332</v>
      </c>
      <c r="AM191" s="2">
        <f t="shared" si="64"/>
        <v>16</v>
      </c>
    </row>
    <row r="192" spans="1:39" x14ac:dyDescent="0.3">
      <c r="A192" s="1" t="s">
        <v>230</v>
      </c>
      <c r="B192" s="1" t="s">
        <v>266</v>
      </c>
      <c r="C192" s="1" t="s">
        <v>267</v>
      </c>
      <c r="D192" s="1" t="s">
        <v>267</v>
      </c>
      <c r="E192" s="2">
        <v>41101</v>
      </c>
      <c r="F192" s="18">
        <v>29</v>
      </c>
      <c r="G192" s="18">
        <v>30</v>
      </c>
      <c r="H192" s="18">
        <v>30</v>
      </c>
      <c r="I192" s="18">
        <v>30</v>
      </c>
      <c r="J192" s="18">
        <v>38</v>
      </c>
      <c r="K192" s="18">
        <v>39</v>
      </c>
      <c r="L192" s="11">
        <v>40</v>
      </c>
      <c r="M192" s="2">
        <f t="shared" si="52"/>
        <v>21</v>
      </c>
      <c r="N192" s="2">
        <f t="shared" si="53"/>
        <v>20</v>
      </c>
      <c r="O192" s="2">
        <f t="shared" si="54"/>
        <v>25</v>
      </c>
      <c r="P192" s="2">
        <f t="shared" si="55"/>
        <v>25</v>
      </c>
      <c r="Q192" s="2">
        <f t="shared" si="56"/>
        <v>22</v>
      </c>
      <c r="R192" s="2">
        <f t="shared" si="57"/>
        <v>21</v>
      </c>
      <c r="S192" s="2">
        <f t="shared" si="58"/>
        <v>18</v>
      </c>
      <c r="T192" s="11">
        <v>50</v>
      </c>
      <c r="U192" s="11">
        <v>50</v>
      </c>
      <c r="V192" s="11">
        <v>55</v>
      </c>
      <c r="W192" s="18">
        <v>55</v>
      </c>
      <c r="X192" s="18">
        <v>60</v>
      </c>
      <c r="Y192" s="23">
        <v>60</v>
      </c>
      <c r="Z192" s="18">
        <v>58</v>
      </c>
      <c r="AA192" s="18">
        <v>57.999999999999993</v>
      </c>
      <c r="AB192" s="18">
        <v>60</v>
      </c>
      <c r="AC192" s="18">
        <v>54.54545454545454</v>
      </c>
      <c r="AD192" s="11">
        <v>54.54545454545454</v>
      </c>
      <c r="AE192" s="11">
        <v>63.333333333333329</v>
      </c>
      <c r="AF192" s="11">
        <v>65</v>
      </c>
      <c r="AG192" s="11">
        <v>68.965517241379317</v>
      </c>
      <c r="AH192" s="11">
        <f t="shared" si="59"/>
        <v>56.363636363636353</v>
      </c>
      <c r="AI192" s="26">
        <f t="shared" si="60"/>
        <v>65.76628352490421</v>
      </c>
      <c r="AJ192" s="2">
        <f t="shared" si="61"/>
        <v>30</v>
      </c>
      <c r="AK192" s="2">
        <f t="shared" si="62"/>
        <v>39</v>
      </c>
      <c r="AL192" s="2">
        <f t="shared" si="63"/>
        <v>23.333333333333332</v>
      </c>
      <c r="AM192" s="2">
        <f t="shared" si="64"/>
        <v>20.333333333333332</v>
      </c>
    </row>
    <row r="193" spans="1:39" x14ac:dyDescent="0.3">
      <c r="A193" s="1" t="s">
        <v>230</v>
      </c>
      <c r="B193" s="1" t="s">
        <v>268</v>
      </c>
      <c r="C193" s="1" t="s">
        <v>269</v>
      </c>
      <c r="D193" s="1" t="s">
        <v>270</v>
      </c>
      <c r="E193" s="2">
        <v>41201</v>
      </c>
      <c r="F193" s="18">
        <v>14</v>
      </c>
      <c r="G193" s="18">
        <v>12</v>
      </c>
      <c r="H193" s="18">
        <v>14</v>
      </c>
      <c r="I193" s="18">
        <v>15</v>
      </c>
      <c r="J193" s="18">
        <v>19</v>
      </c>
      <c r="K193" s="18">
        <v>20</v>
      </c>
      <c r="L193" s="11">
        <v>20</v>
      </c>
      <c r="M193" s="2">
        <f t="shared" si="52"/>
        <v>12</v>
      </c>
      <c r="N193" s="2">
        <f t="shared" si="53"/>
        <v>15</v>
      </c>
      <c r="O193" s="2">
        <f t="shared" si="54"/>
        <v>19</v>
      </c>
      <c r="P193" s="2">
        <f t="shared" si="55"/>
        <v>21</v>
      </c>
      <c r="Q193" s="2">
        <f t="shared" si="56"/>
        <v>18</v>
      </c>
      <c r="R193" s="2">
        <f t="shared" si="57"/>
        <v>17</v>
      </c>
      <c r="S193" s="2">
        <f t="shared" si="58"/>
        <v>17</v>
      </c>
      <c r="T193" s="11">
        <v>26</v>
      </c>
      <c r="U193" s="11">
        <v>27</v>
      </c>
      <c r="V193" s="11">
        <v>33</v>
      </c>
      <c r="W193" s="18">
        <v>36</v>
      </c>
      <c r="X193" s="18">
        <v>37</v>
      </c>
      <c r="Y193" s="23">
        <v>37</v>
      </c>
      <c r="Z193" s="18">
        <v>37</v>
      </c>
      <c r="AA193" s="18">
        <v>53.846153846153847</v>
      </c>
      <c r="AB193" s="18">
        <v>44.444444444444443</v>
      </c>
      <c r="AC193" s="18">
        <v>42.424242424242422</v>
      </c>
      <c r="AD193" s="11">
        <v>41.666666666666671</v>
      </c>
      <c r="AE193" s="11">
        <v>51.351351351351347</v>
      </c>
      <c r="AF193" s="11">
        <v>54.054054054054056</v>
      </c>
      <c r="AG193" s="11">
        <v>54.054054054054056</v>
      </c>
      <c r="AH193" s="11">
        <f t="shared" si="59"/>
        <v>42.845117845117841</v>
      </c>
      <c r="AI193" s="26">
        <f t="shared" si="60"/>
        <v>53.153153153153148</v>
      </c>
      <c r="AJ193" s="2">
        <f t="shared" si="61"/>
        <v>13.666666666666666</v>
      </c>
      <c r="AK193" s="2">
        <f t="shared" si="62"/>
        <v>19.666666666666668</v>
      </c>
      <c r="AL193" s="2">
        <f t="shared" si="63"/>
        <v>18.333333333333332</v>
      </c>
      <c r="AM193" s="2">
        <f t="shared" si="64"/>
        <v>17.333333333333332</v>
      </c>
    </row>
    <row r="194" spans="1:39" x14ac:dyDescent="0.3">
      <c r="A194" s="1" t="s">
        <v>230</v>
      </c>
      <c r="B194" s="1" t="s">
        <v>268</v>
      </c>
      <c r="C194" s="1" t="s">
        <v>271</v>
      </c>
      <c r="D194" s="1" t="s">
        <v>271</v>
      </c>
      <c r="E194" s="2">
        <v>41202</v>
      </c>
      <c r="F194" s="18">
        <v>3</v>
      </c>
      <c r="G194" s="18">
        <v>3</v>
      </c>
      <c r="H194" s="18">
        <v>5</v>
      </c>
      <c r="I194" s="18">
        <v>7</v>
      </c>
      <c r="J194" s="18">
        <v>10</v>
      </c>
      <c r="K194" s="18">
        <v>11</v>
      </c>
      <c r="L194" s="11">
        <v>11</v>
      </c>
      <c r="M194" s="2">
        <f t="shared" si="52"/>
        <v>7</v>
      </c>
      <c r="N194" s="2">
        <f t="shared" si="53"/>
        <v>7</v>
      </c>
      <c r="O194" s="2">
        <f t="shared" si="54"/>
        <v>10</v>
      </c>
      <c r="P194" s="2">
        <f t="shared" si="55"/>
        <v>9</v>
      </c>
      <c r="Q194" s="2">
        <f t="shared" si="56"/>
        <v>8</v>
      </c>
      <c r="R194" s="2">
        <f t="shared" si="57"/>
        <v>7</v>
      </c>
      <c r="S194" s="2">
        <f t="shared" si="58"/>
        <v>7</v>
      </c>
      <c r="T194" s="11">
        <v>10</v>
      </c>
      <c r="U194" s="11">
        <v>10</v>
      </c>
      <c r="V194" s="11">
        <v>15</v>
      </c>
      <c r="W194" s="18">
        <v>16</v>
      </c>
      <c r="X194" s="18">
        <v>18</v>
      </c>
      <c r="Y194" s="23">
        <v>18</v>
      </c>
      <c r="Z194" s="18">
        <v>18</v>
      </c>
      <c r="AA194" s="18">
        <v>30</v>
      </c>
      <c r="AB194" s="18">
        <v>30</v>
      </c>
      <c r="AC194" s="18">
        <v>33.333333333333329</v>
      </c>
      <c r="AD194" s="11">
        <v>43.75</v>
      </c>
      <c r="AE194" s="11">
        <v>55.555555555555557</v>
      </c>
      <c r="AF194" s="11">
        <v>61.111111111111114</v>
      </c>
      <c r="AG194" s="11">
        <v>61.111111111111114</v>
      </c>
      <c r="AH194" s="11">
        <f t="shared" si="59"/>
        <v>35.694444444444443</v>
      </c>
      <c r="AI194" s="26">
        <f t="shared" si="60"/>
        <v>59.25925925925926</v>
      </c>
      <c r="AJ194" s="2">
        <f t="shared" si="61"/>
        <v>5</v>
      </c>
      <c r="AK194" s="2">
        <f t="shared" si="62"/>
        <v>10.666666666666666</v>
      </c>
      <c r="AL194" s="2">
        <f t="shared" si="63"/>
        <v>8.6666666666666661</v>
      </c>
      <c r="AM194" s="2">
        <f t="shared" si="64"/>
        <v>7.333333333333333</v>
      </c>
    </row>
    <row r="195" spans="1:39" x14ac:dyDescent="0.3">
      <c r="A195" s="1" t="s">
        <v>230</v>
      </c>
      <c r="B195" s="1" t="s">
        <v>272</v>
      </c>
      <c r="C195" s="1" t="s">
        <v>208</v>
      </c>
      <c r="D195" s="1" t="s">
        <v>208</v>
      </c>
      <c r="E195" s="2">
        <v>41301</v>
      </c>
      <c r="F195" s="18">
        <v>14</v>
      </c>
      <c r="G195" s="18">
        <v>16</v>
      </c>
      <c r="H195" s="18">
        <v>20</v>
      </c>
      <c r="I195" s="18">
        <v>19</v>
      </c>
      <c r="J195" s="18">
        <v>41</v>
      </c>
      <c r="K195" s="18">
        <v>44</v>
      </c>
      <c r="L195" s="11">
        <v>45</v>
      </c>
      <c r="M195" s="2">
        <f t="shared" ref="M195:M258" si="65">IF(AND(ISBLANK(F195), NOT(ISBLANK(T195))), T195, IF(OR(ISBLANK(T195), ISBLANK(F195)), "", T195-F195))</f>
        <v>26</v>
      </c>
      <c r="N195" s="2">
        <f t="shared" ref="N195:N258" si="66">IF(AND(ISBLANK(G195), NOT(ISBLANK(U195))), U195, IF(OR(ISBLANK(U195), ISBLANK(G195)), "", U195-G195))</f>
        <v>24</v>
      </c>
      <c r="O195" s="2">
        <f t="shared" ref="O195:O258" si="67">IF(AND(ISBLANK(H195), NOT(ISBLANK(V195))), V195, IF(OR(ISBLANK(V195), ISBLANK(H195)), "", V195-H195))</f>
        <v>34</v>
      </c>
      <c r="P195" s="2">
        <f t="shared" ref="P195:P258" si="68">IF(AND(ISBLANK(I195), NOT(ISBLANK(W195))), W195, IF(OR(ISBLANK(W195), ISBLANK(I195)), "", W195-I195))</f>
        <v>36</v>
      </c>
      <c r="Q195" s="2">
        <f t="shared" ref="Q195:Q258" si="69">IF(AND(ISBLANK(J195), NOT(ISBLANK(X195))), X195, IF(OR(ISBLANK(X195), ISBLANK(J195)), "", X195-J195))</f>
        <v>24</v>
      </c>
      <c r="R195" s="2">
        <f t="shared" ref="R195:R258" si="70">IF(AND(ISBLANK(K195), NOT(ISBLANK(Y195))), Y195, IF(OR(ISBLANK(Y195), ISBLANK(K195)), "", Y195-K195))</f>
        <v>21</v>
      </c>
      <c r="S195" s="2">
        <f t="shared" ref="S195:S258" si="71">IF(AND(ISBLANK(L195), NOT(ISBLANK(Z195))), Z195, IF(OR(ISBLANK(Z195), ISBLANK(L195)), "", Z195-L195))</f>
        <v>20</v>
      </c>
      <c r="T195" s="11">
        <v>40</v>
      </c>
      <c r="U195" s="11">
        <v>40</v>
      </c>
      <c r="V195" s="11">
        <v>54</v>
      </c>
      <c r="W195" s="18">
        <v>55</v>
      </c>
      <c r="X195" s="18">
        <v>65</v>
      </c>
      <c r="Y195" s="23">
        <v>65</v>
      </c>
      <c r="Z195" s="18">
        <v>65</v>
      </c>
      <c r="AA195" s="18">
        <v>35</v>
      </c>
      <c r="AB195" s="18">
        <v>40</v>
      </c>
      <c r="AC195" s="18">
        <v>37.037037037037038</v>
      </c>
      <c r="AD195" s="11">
        <v>34.545454545454547</v>
      </c>
      <c r="AE195" s="11">
        <v>63.076923076923073</v>
      </c>
      <c r="AF195" s="11">
        <v>67.692307692307693</v>
      </c>
      <c r="AG195" s="11">
        <v>69.230769230769226</v>
      </c>
      <c r="AH195" s="11">
        <f t="shared" ref="AH195:AH258" si="72">AVERAGE(AB195:AD195)</f>
        <v>37.194163860830528</v>
      </c>
      <c r="AI195" s="26">
        <f t="shared" ref="AI195:AI258" si="73">AVERAGE(AE195:AG195)</f>
        <v>66.666666666666671</v>
      </c>
      <c r="AJ195" s="2">
        <f t="shared" ref="AJ195:AJ258" si="74">AVERAGE(G195:I195)</f>
        <v>18.333333333333332</v>
      </c>
      <c r="AK195" s="2">
        <f t="shared" ref="AK195:AK258" si="75">AVERAGE(J195:L195)</f>
        <v>43.333333333333336</v>
      </c>
      <c r="AL195" s="2">
        <f t="shared" ref="AL195:AL258" si="76">AVERAGE(N195:P195)</f>
        <v>31.333333333333332</v>
      </c>
      <c r="AM195" s="2">
        <f t="shared" ref="AM195:AM258" si="77">AVERAGE(Q195:S195)</f>
        <v>21.666666666666668</v>
      </c>
    </row>
    <row r="196" spans="1:39" x14ac:dyDescent="0.3">
      <c r="A196" s="1" t="s">
        <v>230</v>
      </c>
      <c r="B196" s="1" t="s">
        <v>273</v>
      </c>
      <c r="C196" s="1" t="s">
        <v>274</v>
      </c>
      <c r="D196" s="1" t="s">
        <v>274</v>
      </c>
      <c r="E196" s="2">
        <v>41401</v>
      </c>
      <c r="F196" s="18">
        <v>22</v>
      </c>
      <c r="G196" s="18">
        <v>27</v>
      </c>
      <c r="H196" s="18">
        <v>30</v>
      </c>
      <c r="I196" s="18">
        <v>30</v>
      </c>
      <c r="J196" s="18">
        <v>45</v>
      </c>
      <c r="K196" s="18">
        <v>47</v>
      </c>
      <c r="L196" s="11">
        <v>51</v>
      </c>
      <c r="M196" s="2">
        <f t="shared" si="65"/>
        <v>11</v>
      </c>
      <c r="N196" s="2">
        <f t="shared" si="66"/>
        <v>9</v>
      </c>
      <c r="O196" s="2">
        <f t="shared" si="67"/>
        <v>27</v>
      </c>
      <c r="P196" s="2">
        <f t="shared" si="68"/>
        <v>28</v>
      </c>
      <c r="Q196" s="2">
        <f t="shared" si="69"/>
        <v>20</v>
      </c>
      <c r="R196" s="2">
        <f t="shared" si="70"/>
        <v>19</v>
      </c>
      <c r="S196" s="2">
        <f t="shared" si="71"/>
        <v>17</v>
      </c>
      <c r="T196" s="11">
        <v>33</v>
      </c>
      <c r="U196" s="11">
        <v>36</v>
      </c>
      <c r="V196" s="11">
        <v>57</v>
      </c>
      <c r="W196" s="18">
        <v>58</v>
      </c>
      <c r="X196" s="18">
        <v>65</v>
      </c>
      <c r="Y196" s="23">
        <v>66</v>
      </c>
      <c r="Z196" s="18">
        <v>68</v>
      </c>
      <c r="AA196" s="18">
        <v>66.666666666666657</v>
      </c>
      <c r="AB196" s="18">
        <v>75</v>
      </c>
      <c r="AC196" s="18">
        <v>52.631578947368418</v>
      </c>
      <c r="AD196" s="11">
        <v>51.724137931034484</v>
      </c>
      <c r="AE196" s="11">
        <v>69.230769230769226</v>
      </c>
      <c r="AF196" s="11">
        <v>71.212121212121218</v>
      </c>
      <c r="AG196" s="11">
        <v>75</v>
      </c>
      <c r="AH196" s="11">
        <f t="shared" si="72"/>
        <v>59.785238959467627</v>
      </c>
      <c r="AI196" s="26">
        <f t="shared" si="73"/>
        <v>71.81429681429681</v>
      </c>
      <c r="AJ196" s="2">
        <f t="shared" si="74"/>
        <v>29</v>
      </c>
      <c r="AK196" s="2">
        <f t="shared" si="75"/>
        <v>47.666666666666664</v>
      </c>
      <c r="AL196" s="2">
        <f t="shared" si="76"/>
        <v>21.333333333333332</v>
      </c>
      <c r="AM196" s="2">
        <f t="shared" si="77"/>
        <v>18.666666666666668</v>
      </c>
    </row>
    <row r="197" spans="1:39" x14ac:dyDescent="0.3">
      <c r="A197" s="1" t="s">
        <v>230</v>
      </c>
      <c r="B197" s="1" t="s">
        <v>275</v>
      </c>
      <c r="C197" s="1" t="s">
        <v>276</v>
      </c>
      <c r="D197" s="1" t="s">
        <v>276</v>
      </c>
      <c r="E197" s="2">
        <v>41501</v>
      </c>
      <c r="F197" s="18">
        <v>2</v>
      </c>
      <c r="G197" s="18">
        <v>2</v>
      </c>
      <c r="H197" s="18">
        <v>1</v>
      </c>
      <c r="I197" s="18">
        <v>2</v>
      </c>
      <c r="J197" s="18">
        <v>8</v>
      </c>
      <c r="K197" s="18">
        <v>9</v>
      </c>
      <c r="L197" s="11">
        <v>9</v>
      </c>
      <c r="M197" s="2">
        <f t="shared" si="65"/>
        <v>5</v>
      </c>
      <c r="N197" s="2">
        <f t="shared" si="66"/>
        <v>5</v>
      </c>
      <c r="O197" s="2">
        <f t="shared" si="67"/>
        <v>6</v>
      </c>
      <c r="P197" s="2">
        <f t="shared" si="68"/>
        <v>6</v>
      </c>
      <c r="Q197" s="2">
        <f t="shared" si="69"/>
        <v>1</v>
      </c>
      <c r="R197" s="2">
        <f t="shared" si="70"/>
        <v>1</v>
      </c>
      <c r="S197" s="2">
        <f t="shared" si="71"/>
        <v>1</v>
      </c>
      <c r="T197" s="11">
        <v>7</v>
      </c>
      <c r="U197" s="11">
        <v>7</v>
      </c>
      <c r="V197" s="11">
        <v>7</v>
      </c>
      <c r="W197" s="18">
        <v>8</v>
      </c>
      <c r="X197" s="18">
        <v>9</v>
      </c>
      <c r="Y197" s="23">
        <v>10</v>
      </c>
      <c r="Z197" s="18">
        <v>10</v>
      </c>
      <c r="AA197" s="18">
        <v>28.571428571428569</v>
      </c>
      <c r="AB197" s="18">
        <v>28.571428571428569</v>
      </c>
      <c r="AC197" s="18">
        <v>14.285714285714285</v>
      </c>
      <c r="AD197" s="11">
        <v>25</v>
      </c>
      <c r="AE197" s="11">
        <v>88.888888888888886</v>
      </c>
      <c r="AF197" s="11">
        <v>90</v>
      </c>
      <c r="AG197" s="11">
        <v>90</v>
      </c>
      <c r="AH197" s="11">
        <f t="shared" si="72"/>
        <v>22.61904761904762</v>
      </c>
      <c r="AI197" s="26">
        <f t="shared" si="73"/>
        <v>89.629629629629633</v>
      </c>
      <c r="AJ197" s="2">
        <f t="shared" si="74"/>
        <v>1.6666666666666667</v>
      </c>
      <c r="AK197" s="2">
        <f t="shared" si="75"/>
        <v>8.6666666666666661</v>
      </c>
      <c r="AL197" s="2">
        <f t="shared" si="76"/>
        <v>5.666666666666667</v>
      </c>
      <c r="AM197" s="2">
        <f t="shared" si="77"/>
        <v>1</v>
      </c>
    </row>
    <row r="198" spans="1:39" x14ac:dyDescent="0.3">
      <c r="A198" s="1" t="s">
        <v>230</v>
      </c>
      <c r="B198" s="1" t="s">
        <v>275</v>
      </c>
      <c r="C198" s="1" t="s">
        <v>277</v>
      </c>
      <c r="D198" s="1" t="s">
        <v>277</v>
      </c>
      <c r="E198" s="2">
        <v>41502</v>
      </c>
      <c r="F198" s="18">
        <v>2</v>
      </c>
      <c r="G198" s="18">
        <v>2</v>
      </c>
      <c r="H198" s="18">
        <v>2</v>
      </c>
      <c r="I198" s="18">
        <v>2</v>
      </c>
      <c r="J198" s="18">
        <v>7</v>
      </c>
      <c r="K198" s="18">
        <v>7</v>
      </c>
      <c r="L198" s="11">
        <v>7</v>
      </c>
      <c r="M198" s="2">
        <f t="shared" si="65"/>
        <v>4</v>
      </c>
      <c r="N198" s="2">
        <f t="shared" si="66"/>
        <v>4</v>
      </c>
      <c r="O198" s="2">
        <f t="shared" si="67"/>
        <v>6</v>
      </c>
      <c r="P198" s="2">
        <f t="shared" si="68"/>
        <v>6</v>
      </c>
      <c r="Q198" s="2">
        <f t="shared" si="69"/>
        <v>3</v>
      </c>
      <c r="R198" s="2">
        <f t="shared" si="70"/>
        <v>3</v>
      </c>
      <c r="S198" s="2">
        <f t="shared" si="71"/>
        <v>3</v>
      </c>
      <c r="T198" s="11">
        <v>6</v>
      </c>
      <c r="U198" s="11">
        <v>6</v>
      </c>
      <c r="V198" s="11">
        <v>8</v>
      </c>
      <c r="W198" s="18">
        <v>8</v>
      </c>
      <c r="X198" s="18">
        <v>10</v>
      </c>
      <c r="Y198" s="23">
        <v>10</v>
      </c>
      <c r="Z198" s="1">
        <v>10</v>
      </c>
      <c r="AA198" s="1">
        <v>33.333333333333329</v>
      </c>
      <c r="AB198" s="1">
        <v>33.333333333333329</v>
      </c>
      <c r="AC198" s="1">
        <v>25</v>
      </c>
      <c r="AD198" s="11">
        <v>25</v>
      </c>
      <c r="AE198" s="11">
        <v>70</v>
      </c>
      <c r="AF198" s="11">
        <v>70</v>
      </c>
      <c r="AG198" s="11">
        <v>70</v>
      </c>
      <c r="AH198" s="11">
        <f t="shared" si="72"/>
        <v>27.777777777777775</v>
      </c>
      <c r="AI198" s="26">
        <f t="shared" si="73"/>
        <v>70</v>
      </c>
      <c r="AJ198" s="2">
        <f t="shared" si="74"/>
        <v>2</v>
      </c>
      <c r="AK198" s="2">
        <f t="shared" si="75"/>
        <v>7</v>
      </c>
      <c r="AL198" s="2">
        <f t="shared" si="76"/>
        <v>5.333333333333333</v>
      </c>
      <c r="AM198" s="2">
        <f t="shared" si="77"/>
        <v>3</v>
      </c>
    </row>
    <row r="199" spans="1:39" x14ac:dyDescent="0.3">
      <c r="A199" s="1" t="s">
        <v>230</v>
      </c>
      <c r="B199" s="1" t="s">
        <v>275</v>
      </c>
      <c r="C199" s="1" t="s">
        <v>238</v>
      </c>
      <c r="D199" s="1" t="s">
        <v>238</v>
      </c>
      <c r="E199" s="2">
        <v>41503</v>
      </c>
      <c r="F199" s="18">
        <v>0</v>
      </c>
      <c r="G199" s="18">
        <v>0</v>
      </c>
      <c r="H199" s="18">
        <v>0</v>
      </c>
      <c r="I199" s="18">
        <v>0</v>
      </c>
      <c r="J199" s="18">
        <v>3</v>
      </c>
      <c r="K199" s="18">
        <v>3</v>
      </c>
      <c r="L199" s="11">
        <v>3</v>
      </c>
      <c r="M199" s="2">
        <f t="shared" si="65"/>
        <v>0</v>
      </c>
      <c r="N199" s="2">
        <f t="shared" si="66"/>
        <v>0</v>
      </c>
      <c r="O199" s="2">
        <f t="shared" si="67"/>
        <v>0</v>
      </c>
      <c r="P199" s="2">
        <f t="shared" si="68"/>
        <v>0</v>
      </c>
      <c r="Q199" s="2">
        <f t="shared" si="69"/>
        <v>0</v>
      </c>
      <c r="R199" s="2">
        <f t="shared" si="70"/>
        <v>0</v>
      </c>
      <c r="S199" s="2">
        <f t="shared" si="71"/>
        <v>0</v>
      </c>
      <c r="T199" s="11">
        <v>0</v>
      </c>
      <c r="U199" s="11">
        <v>0</v>
      </c>
      <c r="V199" s="11">
        <v>0</v>
      </c>
      <c r="W199" s="18">
        <v>0</v>
      </c>
      <c r="X199" s="18">
        <v>3</v>
      </c>
      <c r="Y199" s="23">
        <v>3</v>
      </c>
      <c r="Z199" s="18">
        <v>3</v>
      </c>
      <c r="AA199" s="18"/>
      <c r="AB199" s="18"/>
      <c r="AC199" s="18"/>
      <c r="AD199" s="11"/>
      <c r="AE199" s="11">
        <v>100</v>
      </c>
      <c r="AF199" s="11">
        <v>100</v>
      </c>
      <c r="AG199" s="11">
        <v>100</v>
      </c>
      <c r="AH199" s="11"/>
      <c r="AI199" s="26">
        <f t="shared" si="73"/>
        <v>100</v>
      </c>
      <c r="AJ199" s="2">
        <f t="shared" si="74"/>
        <v>0</v>
      </c>
      <c r="AK199" s="2">
        <f t="shared" si="75"/>
        <v>3</v>
      </c>
      <c r="AL199" s="2">
        <f t="shared" si="76"/>
        <v>0</v>
      </c>
      <c r="AM199" s="2">
        <f t="shared" si="77"/>
        <v>0</v>
      </c>
    </row>
    <row r="200" spans="1:39" x14ac:dyDescent="0.3">
      <c r="A200" s="1" t="s">
        <v>230</v>
      </c>
      <c r="B200" s="1" t="s">
        <v>278</v>
      </c>
      <c r="C200" s="1" t="s">
        <v>279</v>
      </c>
      <c r="D200" s="1" t="s">
        <v>280</v>
      </c>
      <c r="E200" s="2">
        <v>41601</v>
      </c>
      <c r="F200" s="18">
        <v>10</v>
      </c>
      <c r="G200" s="18">
        <v>10</v>
      </c>
      <c r="H200" s="18">
        <v>14</v>
      </c>
      <c r="I200" s="18">
        <v>14</v>
      </c>
      <c r="J200" s="18">
        <v>35</v>
      </c>
      <c r="K200" s="18">
        <v>36</v>
      </c>
      <c r="L200" s="11">
        <v>36</v>
      </c>
      <c r="M200" s="2">
        <f t="shared" si="65"/>
        <v>23</v>
      </c>
      <c r="N200" s="2">
        <f t="shared" si="66"/>
        <v>23</v>
      </c>
      <c r="O200" s="2">
        <f t="shared" si="67"/>
        <v>28</v>
      </c>
      <c r="P200" s="2">
        <f t="shared" si="68"/>
        <v>30</v>
      </c>
      <c r="Q200" s="2">
        <f t="shared" si="69"/>
        <v>21</v>
      </c>
      <c r="R200" s="2">
        <f t="shared" si="70"/>
        <v>21</v>
      </c>
      <c r="S200" s="2">
        <f t="shared" si="71"/>
        <v>19</v>
      </c>
      <c r="T200" s="11">
        <v>33</v>
      </c>
      <c r="U200" s="11">
        <v>33</v>
      </c>
      <c r="V200" s="11">
        <v>42</v>
      </c>
      <c r="W200" s="18">
        <v>44</v>
      </c>
      <c r="X200" s="18">
        <v>56</v>
      </c>
      <c r="Y200" s="23">
        <v>57</v>
      </c>
      <c r="Z200" s="18">
        <v>55</v>
      </c>
      <c r="AA200" s="18">
        <v>30.303030303030305</v>
      </c>
      <c r="AB200" s="18">
        <v>30.303030303030305</v>
      </c>
      <c r="AC200" s="18">
        <v>33.333333333333329</v>
      </c>
      <c r="AD200" s="11">
        <v>31.818181818181817</v>
      </c>
      <c r="AE200" s="11">
        <v>62.5</v>
      </c>
      <c r="AF200" s="11">
        <v>63.157894736842103</v>
      </c>
      <c r="AG200" s="11">
        <v>65.454545454545453</v>
      </c>
      <c r="AH200" s="11">
        <f t="shared" si="72"/>
        <v>31.818181818181817</v>
      </c>
      <c r="AI200" s="26">
        <f t="shared" si="73"/>
        <v>63.704146730462526</v>
      </c>
      <c r="AJ200" s="2">
        <f t="shared" si="74"/>
        <v>12.666666666666666</v>
      </c>
      <c r="AK200" s="2">
        <f t="shared" si="75"/>
        <v>35.666666666666664</v>
      </c>
      <c r="AL200" s="2">
        <f t="shared" si="76"/>
        <v>27</v>
      </c>
      <c r="AM200" s="2">
        <f t="shared" si="77"/>
        <v>20.333333333333332</v>
      </c>
    </row>
    <row r="201" spans="1:39" x14ac:dyDescent="0.3">
      <c r="A201" s="1" t="s">
        <v>281</v>
      </c>
      <c r="B201" s="1" t="s">
        <v>282</v>
      </c>
      <c r="C201" s="1" t="s">
        <v>281</v>
      </c>
      <c r="D201" s="1" t="s">
        <v>281</v>
      </c>
      <c r="E201" s="2">
        <v>50101</v>
      </c>
      <c r="F201" s="18">
        <v>621</v>
      </c>
      <c r="G201" s="18">
        <v>718</v>
      </c>
      <c r="H201" s="18">
        <v>895</v>
      </c>
      <c r="I201" s="18">
        <v>917</v>
      </c>
      <c r="J201" s="18">
        <v>1016</v>
      </c>
      <c r="K201" s="18">
        <v>1034</v>
      </c>
      <c r="L201" s="11">
        <v>1082</v>
      </c>
      <c r="M201" s="2">
        <f t="shared" si="65"/>
        <v>120</v>
      </c>
      <c r="N201" s="2">
        <f t="shared" si="66"/>
        <v>144</v>
      </c>
      <c r="O201" s="2">
        <f t="shared" si="67"/>
        <v>242</v>
      </c>
      <c r="P201" s="2">
        <f t="shared" si="68"/>
        <v>249</v>
      </c>
      <c r="Q201" s="2">
        <f t="shared" si="69"/>
        <v>310</v>
      </c>
      <c r="R201" s="2">
        <f t="shared" si="70"/>
        <v>316</v>
      </c>
      <c r="S201" s="2">
        <f t="shared" si="71"/>
        <v>325</v>
      </c>
      <c r="T201" s="11">
        <v>741</v>
      </c>
      <c r="U201" s="11">
        <v>862</v>
      </c>
      <c r="V201" s="11">
        <v>1137</v>
      </c>
      <c r="W201" s="18">
        <v>1166</v>
      </c>
      <c r="X201" s="18">
        <v>1326</v>
      </c>
      <c r="Y201" s="23">
        <v>1350</v>
      </c>
      <c r="Z201" s="18">
        <v>1407</v>
      </c>
      <c r="AA201" s="18">
        <v>83.805668016194332</v>
      </c>
      <c r="AB201" s="18">
        <v>83.294663573085842</v>
      </c>
      <c r="AC201" s="18">
        <v>78.715919085312223</v>
      </c>
      <c r="AD201" s="11">
        <v>78.644939965694675</v>
      </c>
      <c r="AE201" s="11">
        <v>76.621417797888398</v>
      </c>
      <c r="AF201" s="11">
        <v>76.592592592592595</v>
      </c>
      <c r="AG201" s="11">
        <v>76.901208244491826</v>
      </c>
      <c r="AH201" s="11">
        <f t="shared" si="72"/>
        <v>80.218507541364247</v>
      </c>
      <c r="AI201" s="26">
        <f t="shared" si="73"/>
        <v>76.705072878324287</v>
      </c>
      <c r="AJ201" s="2">
        <f t="shared" si="74"/>
        <v>843.33333333333337</v>
      </c>
      <c r="AK201" s="2">
        <f t="shared" si="75"/>
        <v>1044</v>
      </c>
      <c r="AL201" s="2">
        <f t="shared" si="76"/>
        <v>211.66666666666666</v>
      </c>
      <c r="AM201" s="2">
        <f t="shared" si="77"/>
        <v>317</v>
      </c>
    </row>
    <row r="202" spans="1:39" x14ac:dyDescent="0.3">
      <c r="A202" s="1" t="s">
        <v>281</v>
      </c>
      <c r="B202" s="1" t="s">
        <v>282</v>
      </c>
      <c r="C202" s="1" t="s">
        <v>283</v>
      </c>
      <c r="D202" s="1" t="s">
        <v>283</v>
      </c>
      <c r="E202" s="2">
        <v>50102</v>
      </c>
      <c r="F202" s="18">
        <v>26</v>
      </c>
      <c r="G202" s="18">
        <v>28</v>
      </c>
      <c r="H202" s="18">
        <v>31</v>
      </c>
      <c r="I202" s="18">
        <v>33</v>
      </c>
      <c r="J202" s="18">
        <v>58</v>
      </c>
      <c r="K202" s="18">
        <v>58</v>
      </c>
      <c r="L202" s="11">
        <v>58</v>
      </c>
      <c r="M202" s="2">
        <f t="shared" si="65"/>
        <v>8</v>
      </c>
      <c r="N202" s="2">
        <f t="shared" si="66"/>
        <v>10</v>
      </c>
      <c r="O202" s="2">
        <f t="shared" si="67"/>
        <v>41</v>
      </c>
      <c r="P202" s="2">
        <f t="shared" si="68"/>
        <v>52</v>
      </c>
      <c r="Q202" s="2">
        <f t="shared" si="69"/>
        <v>41</v>
      </c>
      <c r="R202" s="2">
        <f t="shared" si="70"/>
        <v>45</v>
      </c>
      <c r="S202" s="2">
        <f t="shared" si="71"/>
        <v>48</v>
      </c>
      <c r="T202" s="11">
        <v>34</v>
      </c>
      <c r="U202" s="11">
        <v>38</v>
      </c>
      <c r="V202" s="11">
        <v>72</v>
      </c>
      <c r="W202" s="18">
        <v>85</v>
      </c>
      <c r="X202" s="18">
        <v>99</v>
      </c>
      <c r="Y202" s="23">
        <v>103</v>
      </c>
      <c r="Z202" s="18">
        <v>106</v>
      </c>
      <c r="AA202" s="18">
        <v>76.470588235294116</v>
      </c>
      <c r="AB202" s="18">
        <v>73.68421052631578</v>
      </c>
      <c r="AC202" s="18">
        <v>43.055555555555557</v>
      </c>
      <c r="AD202" s="11">
        <v>38.82352941176471</v>
      </c>
      <c r="AE202" s="11">
        <v>58.585858585858588</v>
      </c>
      <c r="AF202" s="11">
        <v>56.310679611650485</v>
      </c>
      <c r="AG202" s="11">
        <v>54.716981132075468</v>
      </c>
      <c r="AH202" s="11">
        <f t="shared" si="72"/>
        <v>51.854431831212018</v>
      </c>
      <c r="AI202" s="26">
        <f t="shared" si="73"/>
        <v>56.53783977652818</v>
      </c>
      <c r="AJ202" s="2">
        <f t="shared" si="74"/>
        <v>30.666666666666668</v>
      </c>
      <c r="AK202" s="2">
        <f t="shared" si="75"/>
        <v>58</v>
      </c>
      <c r="AL202" s="2">
        <f t="shared" si="76"/>
        <v>34.333333333333336</v>
      </c>
      <c r="AM202" s="2">
        <f t="shared" si="77"/>
        <v>44.666666666666664</v>
      </c>
    </row>
    <row r="203" spans="1:39" x14ac:dyDescent="0.3">
      <c r="A203" s="1" t="s">
        <v>281</v>
      </c>
      <c r="B203" s="1" t="s">
        <v>282</v>
      </c>
      <c r="C203" s="1" t="s">
        <v>284</v>
      </c>
      <c r="D203" s="1" t="s">
        <v>285</v>
      </c>
      <c r="E203" s="2">
        <v>50103</v>
      </c>
      <c r="F203" s="18">
        <v>33</v>
      </c>
      <c r="G203" s="18">
        <v>35</v>
      </c>
      <c r="H203" s="18">
        <v>46</v>
      </c>
      <c r="I203" s="18">
        <v>45</v>
      </c>
      <c r="J203" s="18">
        <v>56</v>
      </c>
      <c r="K203" s="18">
        <v>56</v>
      </c>
      <c r="L203" s="11">
        <v>55</v>
      </c>
      <c r="M203" s="2">
        <f t="shared" si="65"/>
        <v>16</v>
      </c>
      <c r="N203" s="2">
        <f t="shared" si="66"/>
        <v>14</v>
      </c>
      <c r="O203" s="2">
        <f t="shared" si="67"/>
        <v>27</v>
      </c>
      <c r="P203" s="2">
        <f t="shared" si="68"/>
        <v>31</v>
      </c>
      <c r="Q203" s="2">
        <f t="shared" si="69"/>
        <v>22</v>
      </c>
      <c r="R203" s="2">
        <f t="shared" si="70"/>
        <v>22</v>
      </c>
      <c r="S203" s="2">
        <f t="shared" si="71"/>
        <v>23</v>
      </c>
      <c r="T203" s="11">
        <v>49</v>
      </c>
      <c r="U203" s="11">
        <v>49</v>
      </c>
      <c r="V203" s="11">
        <v>73</v>
      </c>
      <c r="W203" s="18">
        <v>76</v>
      </c>
      <c r="X203" s="18">
        <v>78</v>
      </c>
      <c r="Y203" s="23">
        <v>78</v>
      </c>
      <c r="Z203" s="18">
        <v>78</v>
      </c>
      <c r="AA203" s="18">
        <v>67.346938775510196</v>
      </c>
      <c r="AB203" s="18">
        <v>71.428571428571431</v>
      </c>
      <c r="AC203" s="18">
        <v>63.013698630136986</v>
      </c>
      <c r="AD203" s="11">
        <v>59.210526315789465</v>
      </c>
      <c r="AE203" s="11">
        <v>71.794871794871796</v>
      </c>
      <c r="AF203" s="11">
        <v>71.794871794871796</v>
      </c>
      <c r="AG203" s="11">
        <v>70.512820512820511</v>
      </c>
      <c r="AH203" s="11">
        <f t="shared" si="72"/>
        <v>64.550932124832627</v>
      </c>
      <c r="AI203" s="26">
        <f t="shared" si="73"/>
        <v>71.367521367521363</v>
      </c>
      <c r="AJ203" s="2">
        <f t="shared" si="74"/>
        <v>42</v>
      </c>
      <c r="AK203" s="2">
        <f t="shared" si="75"/>
        <v>55.666666666666664</v>
      </c>
      <c r="AL203" s="2">
        <f t="shared" si="76"/>
        <v>24</v>
      </c>
      <c r="AM203" s="2">
        <f t="shared" si="77"/>
        <v>22.333333333333332</v>
      </c>
    </row>
    <row r="204" spans="1:39" x14ac:dyDescent="0.3">
      <c r="A204" s="1" t="s">
        <v>281</v>
      </c>
      <c r="B204" s="1" t="s">
        <v>282</v>
      </c>
      <c r="C204" s="1" t="s">
        <v>286</v>
      </c>
      <c r="D204" s="1" t="s">
        <v>287</v>
      </c>
      <c r="E204" s="2">
        <v>50104</v>
      </c>
      <c r="F204" s="18">
        <v>31</v>
      </c>
      <c r="G204" s="18">
        <v>33</v>
      </c>
      <c r="H204" s="18">
        <v>26</v>
      </c>
      <c r="I204" s="18">
        <v>49</v>
      </c>
      <c r="J204" s="18">
        <v>22</v>
      </c>
      <c r="K204" s="18">
        <v>24</v>
      </c>
      <c r="L204" s="11">
        <v>28</v>
      </c>
      <c r="M204" s="2">
        <f t="shared" si="65"/>
        <v>21</v>
      </c>
      <c r="N204" s="2">
        <f t="shared" si="66"/>
        <v>19</v>
      </c>
      <c r="O204" s="2">
        <f t="shared" si="67"/>
        <v>23</v>
      </c>
      <c r="P204" s="2">
        <f t="shared" si="68"/>
        <v>30</v>
      </c>
      <c r="Q204" s="2">
        <f t="shared" si="69"/>
        <v>15</v>
      </c>
      <c r="R204" s="2">
        <f t="shared" si="70"/>
        <v>15</v>
      </c>
      <c r="S204" s="2">
        <f t="shared" si="71"/>
        <v>17</v>
      </c>
      <c r="T204" s="11">
        <v>52</v>
      </c>
      <c r="U204" s="11">
        <v>52</v>
      </c>
      <c r="V204" s="11">
        <v>49</v>
      </c>
      <c r="W204" s="18">
        <v>79</v>
      </c>
      <c r="X204" s="18">
        <v>37</v>
      </c>
      <c r="Y204" s="23">
        <v>39</v>
      </c>
      <c r="Z204" s="18">
        <v>45</v>
      </c>
      <c r="AA204" s="18">
        <v>59.615384615384613</v>
      </c>
      <c r="AB204" s="18">
        <v>63.46153846153846</v>
      </c>
      <c r="AC204" s="18">
        <v>53.061224489795919</v>
      </c>
      <c r="AD204" s="11">
        <v>62.025316455696199</v>
      </c>
      <c r="AE204" s="11">
        <v>59.45945945945946</v>
      </c>
      <c r="AF204" s="11">
        <v>61.53846153846154</v>
      </c>
      <c r="AG204" s="11">
        <v>62.222222222222221</v>
      </c>
      <c r="AH204" s="11">
        <f t="shared" si="72"/>
        <v>59.516026469010193</v>
      </c>
      <c r="AI204" s="26">
        <f t="shared" si="73"/>
        <v>61.073381073381078</v>
      </c>
      <c r="AJ204" s="2">
        <f t="shared" si="74"/>
        <v>36</v>
      </c>
      <c r="AK204" s="2">
        <f t="shared" si="75"/>
        <v>24.666666666666668</v>
      </c>
      <c r="AL204" s="2">
        <f t="shared" si="76"/>
        <v>24</v>
      </c>
      <c r="AM204" s="2">
        <f t="shared" si="77"/>
        <v>15.666666666666666</v>
      </c>
    </row>
    <row r="205" spans="1:39" x14ac:dyDescent="0.3">
      <c r="A205" s="1" t="s">
        <v>281</v>
      </c>
      <c r="B205" s="1" t="s">
        <v>288</v>
      </c>
      <c r="C205" s="1" t="s">
        <v>289</v>
      </c>
      <c r="D205" s="1" t="s">
        <v>289</v>
      </c>
      <c r="E205" s="2">
        <v>50201</v>
      </c>
      <c r="F205" s="18">
        <v>67</v>
      </c>
      <c r="G205" s="18">
        <v>73</v>
      </c>
      <c r="H205" s="18">
        <v>90</v>
      </c>
      <c r="I205" s="18">
        <v>81</v>
      </c>
      <c r="J205" s="18">
        <v>118</v>
      </c>
      <c r="K205" s="18">
        <v>122</v>
      </c>
      <c r="L205" s="11">
        <v>127</v>
      </c>
      <c r="M205" s="2">
        <f t="shared" si="65"/>
        <v>42</v>
      </c>
      <c r="N205" s="2">
        <f t="shared" si="66"/>
        <v>61</v>
      </c>
      <c r="O205" s="2">
        <f t="shared" si="67"/>
        <v>77</v>
      </c>
      <c r="P205" s="2">
        <f t="shared" si="68"/>
        <v>53</v>
      </c>
      <c r="Q205" s="2">
        <f t="shared" si="69"/>
        <v>34</v>
      </c>
      <c r="R205" s="2">
        <f t="shared" si="70"/>
        <v>31</v>
      </c>
      <c r="S205" s="2">
        <f t="shared" si="71"/>
        <v>30</v>
      </c>
      <c r="T205" s="11">
        <v>109</v>
      </c>
      <c r="U205" s="11">
        <v>134</v>
      </c>
      <c r="V205" s="11">
        <v>167</v>
      </c>
      <c r="W205" s="18">
        <v>134</v>
      </c>
      <c r="X205" s="18">
        <v>152</v>
      </c>
      <c r="Y205" s="23">
        <v>153</v>
      </c>
      <c r="Z205" s="18">
        <v>157</v>
      </c>
      <c r="AA205" s="18">
        <v>61.467889908256879</v>
      </c>
      <c r="AB205" s="18">
        <v>54.477611940298509</v>
      </c>
      <c r="AC205" s="18">
        <v>53.892215568862277</v>
      </c>
      <c r="AD205" s="11">
        <v>60.447761194029844</v>
      </c>
      <c r="AE205" s="11">
        <v>77.631578947368425</v>
      </c>
      <c r="AF205" s="11">
        <v>79.738562091503269</v>
      </c>
      <c r="AG205" s="11">
        <v>80.891719745222929</v>
      </c>
      <c r="AH205" s="11">
        <f t="shared" si="72"/>
        <v>56.27252956773021</v>
      </c>
      <c r="AI205" s="26">
        <f t="shared" si="73"/>
        <v>79.420620261364874</v>
      </c>
      <c r="AJ205" s="2">
        <f t="shared" si="74"/>
        <v>81.333333333333329</v>
      </c>
      <c r="AK205" s="2">
        <f t="shared" si="75"/>
        <v>122.33333333333333</v>
      </c>
      <c r="AL205" s="2">
        <f t="shared" si="76"/>
        <v>63.666666666666664</v>
      </c>
      <c r="AM205" s="2">
        <f t="shared" si="77"/>
        <v>31.666666666666668</v>
      </c>
    </row>
    <row r="206" spans="1:39" x14ac:dyDescent="0.3">
      <c r="A206" s="1" t="s">
        <v>281</v>
      </c>
      <c r="B206" s="1" t="s">
        <v>288</v>
      </c>
      <c r="C206" s="1" t="s">
        <v>290</v>
      </c>
      <c r="D206" s="1" t="s">
        <v>290</v>
      </c>
      <c r="E206" s="2">
        <v>50202</v>
      </c>
      <c r="F206" s="18">
        <v>17</v>
      </c>
      <c r="G206" s="18">
        <v>27</v>
      </c>
      <c r="H206" s="18">
        <v>34</v>
      </c>
      <c r="I206" s="18">
        <v>40</v>
      </c>
      <c r="J206" s="18">
        <v>82</v>
      </c>
      <c r="K206" s="18">
        <v>85</v>
      </c>
      <c r="L206" s="11">
        <v>91</v>
      </c>
      <c r="M206" s="2">
        <f t="shared" si="65"/>
        <v>28</v>
      </c>
      <c r="N206" s="2">
        <f t="shared" si="66"/>
        <v>31</v>
      </c>
      <c r="O206" s="2">
        <f t="shared" si="67"/>
        <v>50</v>
      </c>
      <c r="P206" s="2">
        <f t="shared" si="68"/>
        <v>47</v>
      </c>
      <c r="Q206" s="2">
        <f t="shared" si="69"/>
        <v>31</v>
      </c>
      <c r="R206" s="2">
        <f t="shared" si="70"/>
        <v>31</v>
      </c>
      <c r="S206" s="2">
        <f t="shared" si="71"/>
        <v>29</v>
      </c>
      <c r="T206" s="11">
        <v>45</v>
      </c>
      <c r="U206" s="11">
        <v>58</v>
      </c>
      <c r="V206" s="11">
        <v>84</v>
      </c>
      <c r="W206" s="18">
        <v>87</v>
      </c>
      <c r="X206" s="18">
        <v>113</v>
      </c>
      <c r="Y206" s="23">
        <v>116</v>
      </c>
      <c r="Z206" s="18">
        <v>120</v>
      </c>
      <c r="AA206" s="18">
        <v>37.777777777777779</v>
      </c>
      <c r="AB206" s="18">
        <v>46.551724137931032</v>
      </c>
      <c r="AC206" s="18">
        <v>40.476190476190474</v>
      </c>
      <c r="AD206" s="11">
        <v>45.977011494252871</v>
      </c>
      <c r="AE206" s="11">
        <v>72.56637168141593</v>
      </c>
      <c r="AF206" s="11">
        <v>73.275862068965509</v>
      </c>
      <c r="AG206" s="11">
        <v>75.833333333333329</v>
      </c>
      <c r="AH206" s="11">
        <f t="shared" si="72"/>
        <v>44.334975369458128</v>
      </c>
      <c r="AI206" s="26">
        <f t="shared" si="73"/>
        <v>73.891855694571589</v>
      </c>
      <c r="AJ206" s="2">
        <f t="shared" si="74"/>
        <v>33.666666666666664</v>
      </c>
      <c r="AK206" s="2">
        <f t="shared" si="75"/>
        <v>86</v>
      </c>
      <c r="AL206" s="2">
        <f t="shared" si="76"/>
        <v>42.666666666666664</v>
      </c>
      <c r="AM206" s="2">
        <f t="shared" si="77"/>
        <v>30.333333333333332</v>
      </c>
    </row>
    <row r="207" spans="1:39" x14ac:dyDescent="0.3">
      <c r="A207" s="1" t="s">
        <v>281</v>
      </c>
      <c r="B207" s="1" t="s">
        <v>288</v>
      </c>
      <c r="C207" s="1" t="s">
        <v>291</v>
      </c>
      <c r="D207" s="1" t="s">
        <v>291</v>
      </c>
      <c r="E207" s="2">
        <v>50203</v>
      </c>
      <c r="F207" s="18">
        <v>137</v>
      </c>
      <c r="G207" s="18">
        <v>139</v>
      </c>
      <c r="H207" s="18">
        <v>161</v>
      </c>
      <c r="I207" s="18">
        <v>212</v>
      </c>
      <c r="J207" s="18">
        <v>244</v>
      </c>
      <c r="K207" s="18">
        <v>245</v>
      </c>
      <c r="L207" s="11">
        <v>248</v>
      </c>
      <c r="M207" s="2">
        <f t="shared" si="65"/>
        <v>25</v>
      </c>
      <c r="N207" s="2">
        <f t="shared" si="66"/>
        <v>25</v>
      </c>
      <c r="O207" s="2">
        <f t="shared" si="67"/>
        <v>47</v>
      </c>
      <c r="P207" s="2">
        <f t="shared" si="68"/>
        <v>64</v>
      </c>
      <c r="Q207" s="2">
        <f t="shared" si="69"/>
        <v>50</v>
      </c>
      <c r="R207" s="2">
        <f t="shared" si="70"/>
        <v>50</v>
      </c>
      <c r="S207" s="2">
        <f t="shared" si="71"/>
        <v>52</v>
      </c>
      <c r="T207" s="11">
        <v>162</v>
      </c>
      <c r="U207" s="11">
        <v>164</v>
      </c>
      <c r="V207" s="11">
        <v>208</v>
      </c>
      <c r="W207" s="18">
        <v>276</v>
      </c>
      <c r="X207" s="18">
        <v>294</v>
      </c>
      <c r="Y207" s="23">
        <v>295</v>
      </c>
      <c r="Z207" s="18">
        <v>300</v>
      </c>
      <c r="AA207" s="18">
        <v>84.567901234567898</v>
      </c>
      <c r="AB207" s="18">
        <v>84.756097560975604</v>
      </c>
      <c r="AC207" s="18">
        <v>77.40384615384616</v>
      </c>
      <c r="AD207" s="11">
        <v>76.811594202898547</v>
      </c>
      <c r="AE207" s="11">
        <v>82.993197278911566</v>
      </c>
      <c r="AF207" s="11">
        <v>83.050847457627114</v>
      </c>
      <c r="AG207" s="11">
        <v>82.666666666666671</v>
      </c>
      <c r="AH207" s="11">
        <f t="shared" si="72"/>
        <v>79.657179305906766</v>
      </c>
      <c r="AI207" s="26">
        <f t="shared" si="73"/>
        <v>82.903570467735122</v>
      </c>
      <c r="AJ207" s="2">
        <f t="shared" si="74"/>
        <v>170.66666666666666</v>
      </c>
      <c r="AK207" s="2">
        <f t="shared" si="75"/>
        <v>245.66666666666666</v>
      </c>
      <c r="AL207" s="2">
        <f t="shared" si="76"/>
        <v>45.333333333333336</v>
      </c>
      <c r="AM207" s="2">
        <f t="shared" si="77"/>
        <v>50.666666666666664</v>
      </c>
    </row>
    <row r="208" spans="1:39" x14ac:dyDescent="0.3">
      <c r="A208" s="1" t="s">
        <v>281</v>
      </c>
      <c r="B208" s="1" t="s">
        <v>288</v>
      </c>
      <c r="C208" s="1" t="s">
        <v>292</v>
      </c>
      <c r="D208" s="1" t="s">
        <v>292</v>
      </c>
      <c r="E208" s="2">
        <v>50204</v>
      </c>
      <c r="F208" s="18">
        <v>0</v>
      </c>
      <c r="G208" s="18">
        <v>0</v>
      </c>
      <c r="H208" s="18">
        <v>0</v>
      </c>
      <c r="I208" s="18">
        <v>14</v>
      </c>
      <c r="J208" s="18">
        <v>36</v>
      </c>
      <c r="K208" s="18">
        <v>39</v>
      </c>
      <c r="L208" s="11">
        <v>41</v>
      </c>
      <c r="M208" s="2">
        <f t="shared" si="65"/>
        <v>8</v>
      </c>
      <c r="N208" s="2">
        <f t="shared" si="66"/>
        <v>8</v>
      </c>
      <c r="O208" s="2">
        <f t="shared" si="67"/>
        <v>8</v>
      </c>
      <c r="P208" s="2">
        <f t="shared" si="68"/>
        <v>30</v>
      </c>
      <c r="Q208" s="2">
        <f t="shared" si="69"/>
        <v>18</v>
      </c>
      <c r="R208" s="2">
        <f t="shared" si="70"/>
        <v>19</v>
      </c>
      <c r="S208" s="2">
        <f t="shared" si="71"/>
        <v>23</v>
      </c>
      <c r="T208" s="11">
        <v>8</v>
      </c>
      <c r="U208" s="11">
        <v>8</v>
      </c>
      <c r="V208" s="11">
        <v>8</v>
      </c>
      <c r="W208" s="18">
        <v>44</v>
      </c>
      <c r="X208" s="18">
        <v>54</v>
      </c>
      <c r="Y208" s="23">
        <v>58</v>
      </c>
      <c r="Z208" s="18">
        <v>64</v>
      </c>
      <c r="AA208" s="18">
        <v>0</v>
      </c>
      <c r="AB208" s="18">
        <v>0</v>
      </c>
      <c r="AC208" s="18">
        <v>0</v>
      </c>
      <c r="AD208" s="11">
        <v>31.818181818181817</v>
      </c>
      <c r="AE208" s="11">
        <v>66.666666666666657</v>
      </c>
      <c r="AF208" s="11">
        <v>67.241379310344826</v>
      </c>
      <c r="AG208" s="11">
        <v>64.0625</v>
      </c>
      <c r="AH208" s="11">
        <f t="shared" si="72"/>
        <v>10.606060606060606</v>
      </c>
      <c r="AI208" s="26">
        <f t="shared" si="73"/>
        <v>65.990181992337156</v>
      </c>
      <c r="AJ208" s="2">
        <f t="shared" si="74"/>
        <v>4.666666666666667</v>
      </c>
      <c r="AK208" s="2">
        <f t="shared" si="75"/>
        <v>38.666666666666664</v>
      </c>
      <c r="AL208" s="2">
        <f t="shared" si="76"/>
        <v>15.333333333333334</v>
      </c>
      <c r="AM208" s="2">
        <f t="shared" si="77"/>
        <v>20</v>
      </c>
    </row>
    <row r="209" spans="1:39" x14ac:dyDescent="0.3">
      <c r="A209" s="1" t="s">
        <v>281</v>
      </c>
      <c r="B209" s="1" t="s">
        <v>293</v>
      </c>
      <c r="C209" s="1" t="s">
        <v>294</v>
      </c>
      <c r="D209" s="1" t="s">
        <v>295</v>
      </c>
      <c r="E209" s="2">
        <v>50301</v>
      </c>
      <c r="F209" s="18">
        <v>66</v>
      </c>
      <c r="G209" s="18">
        <v>71</v>
      </c>
      <c r="H209" s="18">
        <v>87</v>
      </c>
      <c r="I209" s="18">
        <v>91</v>
      </c>
      <c r="J209" s="18">
        <v>163</v>
      </c>
      <c r="K209" s="18">
        <v>165</v>
      </c>
      <c r="L209" s="11">
        <v>167</v>
      </c>
      <c r="M209" s="2">
        <f t="shared" si="65"/>
        <v>29</v>
      </c>
      <c r="N209" s="2">
        <f t="shared" si="66"/>
        <v>29</v>
      </c>
      <c r="O209" s="2">
        <f t="shared" si="67"/>
        <v>98</v>
      </c>
      <c r="P209" s="2">
        <f t="shared" si="68"/>
        <v>106</v>
      </c>
      <c r="Q209" s="2">
        <f t="shared" si="69"/>
        <v>73</v>
      </c>
      <c r="R209" s="2">
        <f t="shared" si="70"/>
        <v>73</v>
      </c>
      <c r="S209" s="2">
        <f t="shared" si="71"/>
        <v>73</v>
      </c>
      <c r="T209" s="11">
        <v>95</v>
      </c>
      <c r="U209" s="11">
        <v>100</v>
      </c>
      <c r="V209" s="11">
        <v>185</v>
      </c>
      <c r="W209" s="18">
        <v>197</v>
      </c>
      <c r="X209" s="18">
        <v>236</v>
      </c>
      <c r="Y209" s="23">
        <v>238</v>
      </c>
      <c r="Z209" s="18">
        <v>240</v>
      </c>
      <c r="AA209" s="18">
        <v>69.473684210526315</v>
      </c>
      <c r="AB209" s="18">
        <v>71</v>
      </c>
      <c r="AC209" s="18">
        <v>47.027027027027032</v>
      </c>
      <c r="AD209" s="11">
        <v>46.192893401015226</v>
      </c>
      <c r="AE209" s="11">
        <v>69.067796610169495</v>
      </c>
      <c r="AF209" s="11">
        <v>69.327731092436977</v>
      </c>
      <c r="AG209" s="11">
        <v>69.583333333333329</v>
      </c>
      <c r="AH209" s="11">
        <f t="shared" si="72"/>
        <v>54.739973476014086</v>
      </c>
      <c r="AI209" s="26">
        <f t="shared" si="73"/>
        <v>69.326287011979943</v>
      </c>
      <c r="AJ209" s="2">
        <f t="shared" si="74"/>
        <v>83</v>
      </c>
      <c r="AK209" s="2">
        <f t="shared" si="75"/>
        <v>165</v>
      </c>
      <c r="AL209" s="2">
        <f t="shared" si="76"/>
        <v>77.666666666666671</v>
      </c>
      <c r="AM209" s="2">
        <f t="shared" si="77"/>
        <v>73</v>
      </c>
    </row>
    <row r="210" spans="1:39" x14ac:dyDescent="0.3">
      <c r="A210" s="1" t="s">
        <v>281</v>
      </c>
      <c r="B210" s="1" t="s">
        <v>293</v>
      </c>
      <c r="C210" s="1" t="s">
        <v>296</v>
      </c>
      <c r="D210" s="1" t="s">
        <v>296</v>
      </c>
      <c r="E210" s="2">
        <v>50302</v>
      </c>
      <c r="F210" s="18">
        <v>33</v>
      </c>
      <c r="G210" s="18">
        <v>33</v>
      </c>
      <c r="H210" s="18">
        <v>39</v>
      </c>
      <c r="I210" s="18">
        <v>47</v>
      </c>
      <c r="J210" s="18">
        <v>61</v>
      </c>
      <c r="K210" s="18">
        <v>61</v>
      </c>
      <c r="L210" s="11">
        <v>63</v>
      </c>
      <c r="M210" s="2">
        <f t="shared" si="65"/>
        <v>8</v>
      </c>
      <c r="N210" s="2">
        <f t="shared" si="66"/>
        <v>8</v>
      </c>
      <c r="O210" s="2">
        <f t="shared" si="67"/>
        <v>27</v>
      </c>
      <c r="P210" s="2">
        <f t="shared" si="68"/>
        <v>37</v>
      </c>
      <c r="Q210" s="2">
        <f t="shared" si="69"/>
        <v>30</v>
      </c>
      <c r="R210" s="2">
        <f t="shared" si="70"/>
        <v>29</v>
      </c>
      <c r="S210" s="2">
        <f t="shared" si="71"/>
        <v>28</v>
      </c>
      <c r="T210" s="11">
        <v>41</v>
      </c>
      <c r="U210" s="11">
        <v>41</v>
      </c>
      <c r="V210" s="11">
        <v>66</v>
      </c>
      <c r="W210" s="18">
        <v>84</v>
      </c>
      <c r="X210" s="18">
        <v>91</v>
      </c>
      <c r="Y210" s="23">
        <v>90</v>
      </c>
      <c r="Z210" s="18">
        <v>91</v>
      </c>
      <c r="AA210" s="18">
        <v>80.487804878048792</v>
      </c>
      <c r="AB210" s="18">
        <v>80.487804878048792</v>
      </c>
      <c r="AC210" s="18">
        <v>59.090909090909093</v>
      </c>
      <c r="AD210" s="11">
        <v>55.952380952380956</v>
      </c>
      <c r="AE210" s="11">
        <v>67.032967032967022</v>
      </c>
      <c r="AF210" s="11">
        <v>67.777777777777786</v>
      </c>
      <c r="AG210" s="11">
        <v>69.230769230769226</v>
      </c>
      <c r="AH210" s="11">
        <f t="shared" si="72"/>
        <v>65.177031640446287</v>
      </c>
      <c r="AI210" s="26">
        <f t="shared" si="73"/>
        <v>68.013838013838011</v>
      </c>
      <c r="AJ210" s="2">
        <f t="shared" si="74"/>
        <v>39.666666666666664</v>
      </c>
      <c r="AK210" s="2">
        <f t="shared" si="75"/>
        <v>61.666666666666664</v>
      </c>
      <c r="AL210" s="2">
        <f t="shared" si="76"/>
        <v>24</v>
      </c>
      <c r="AM210" s="2">
        <f t="shared" si="77"/>
        <v>29</v>
      </c>
    </row>
    <row r="211" spans="1:39" x14ac:dyDescent="0.3">
      <c r="A211" s="1" t="s">
        <v>281</v>
      </c>
      <c r="B211" s="1" t="s">
        <v>293</v>
      </c>
      <c r="C211" s="1" t="s">
        <v>297</v>
      </c>
      <c r="D211" s="1" t="s">
        <v>297</v>
      </c>
      <c r="E211" s="2">
        <v>50303</v>
      </c>
      <c r="F211" s="18">
        <v>22</v>
      </c>
      <c r="G211" s="18">
        <v>23</v>
      </c>
      <c r="H211" s="18">
        <v>26</v>
      </c>
      <c r="I211" s="18">
        <v>27</v>
      </c>
      <c r="J211" s="18">
        <v>46</v>
      </c>
      <c r="K211" s="18">
        <v>49</v>
      </c>
      <c r="L211" s="11">
        <v>48</v>
      </c>
      <c r="M211" s="2">
        <f t="shared" si="65"/>
        <v>6</v>
      </c>
      <c r="N211" s="2">
        <f t="shared" si="66"/>
        <v>6</v>
      </c>
      <c r="O211" s="2">
        <f t="shared" si="67"/>
        <v>29</v>
      </c>
      <c r="P211" s="2">
        <f t="shared" si="68"/>
        <v>31</v>
      </c>
      <c r="Q211" s="2">
        <f t="shared" si="69"/>
        <v>26</v>
      </c>
      <c r="R211" s="2">
        <f t="shared" si="70"/>
        <v>24</v>
      </c>
      <c r="S211" s="2">
        <f t="shared" si="71"/>
        <v>25</v>
      </c>
      <c r="T211" s="11">
        <v>28</v>
      </c>
      <c r="U211" s="11">
        <v>29</v>
      </c>
      <c r="V211" s="11">
        <v>55</v>
      </c>
      <c r="W211" s="18">
        <v>58</v>
      </c>
      <c r="X211" s="18">
        <v>72</v>
      </c>
      <c r="Y211" s="23">
        <v>73</v>
      </c>
      <c r="Z211" s="18">
        <v>73</v>
      </c>
      <c r="AA211" s="18">
        <v>78.571428571428569</v>
      </c>
      <c r="AB211" s="18">
        <v>79.310344827586206</v>
      </c>
      <c r="AC211" s="18">
        <v>47.272727272727273</v>
      </c>
      <c r="AD211" s="11">
        <v>46.551724137931032</v>
      </c>
      <c r="AE211" s="11">
        <v>63.888888888888886</v>
      </c>
      <c r="AF211" s="11">
        <v>67.123287671232873</v>
      </c>
      <c r="AG211" s="11">
        <v>65.753424657534239</v>
      </c>
      <c r="AH211" s="11">
        <f t="shared" si="72"/>
        <v>57.711598746081506</v>
      </c>
      <c r="AI211" s="26">
        <f t="shared" si="73"/>
        <v>65.588533739218676</v>
      </c>
      <c r="AJ211" s="2">
        <f t="shared" si="74"/>
        <v>25.333333333333332</v>
      </c>
      <c r="AK211" s="2">
        <f t="shared" si="75"/>
        <v>47.666666666666664</v>
      </c>
      <c r="AL211" s="2">
        <f t="shared" si="76"/>
        <v>22</v>
      </c>
      <c r="AM211" s="2">
        <f t="shared" si="77"/>
        <v>25</v>
      </c>
    </row>
    <row r="212" spans="1:39" x14ac:dyDescent="0.3">
      <c r="A212" s="1" t="s">
        <v>281</v>
      </c>
      <c r="B212" s="1" t="s">
        <v>290</v>
      </c>
      <c r="C212" s="1" t="s">
        <v>298</v>
      </c>
      <c r="D212" s="1" t="s">
        <v>298</v>
      </c>
      <c r="E212" s="2">
        <v>50401</v>
      </c>
      <c r="F212" s="18">
        <v>37</v>
      </c>
      <c r="G212" s="18">
        <v>41</v>
      </c>
      <c r="H212" s="18">
        <v>47</v>
      </c>
      <c r="I212" s="18">
        <v>50</v>
      </c>
      <c r="J212" s="18">
        <v>97</v>
      </c>
      <c r="K212" s="18">
        <v>102</v>
      </c>
      <c r="L212" s="11">
        <v>110</v>
      </c>
      <c r="M212" s="2">
        <f t="shared" si="65"/>
        <v>10</v>
      </c>
      <c r="N212" s="2">
        <f t="shared" si="66"/>
        <v>10</v>
      </c>
      <c r="O212" s="2">
        <f t="shared" si="67"/>
        <v>41</v>
      </c>
      <c r="P212" s="2">
        <f t="shared" si="68"/>
        <v>41</v>
      </c>
      <c r="Q212" s="2">
        <f t="shared" si="69"/>
        <v>29</v>
      </c>
      <c r="R212" s="2">
        <f t="shared" si="70"/>
        <v>30</v>
      </c>
      <c r="S212" s="2">
        <f t="shared" si="71"/>
        <v>30</v>
      </c>
      <c r="T212" s="11">
        <v>47</v>
      </c>
      <c r="U212" s="11">
        <v>51</v>
      </c>
      <c r="V212" s="11">
        <v>88</v>
      </c>
      <c r="W212" s="18">
        <v>91</v>
      </c>
      <c r="X212" s="18">
        <v>126</v>
      </c>
      <c r="Y212" s="23">
        <v>132</v>
      </c>
      <c r="Z212" s="18">
        <v>140</v>
      </c>
      <c r="AA212" s="18">
        <v>78.723404255319153</v>
      </c>
      <c r="AB212" s="18">
        <v>80.392156862745097</v>
      </c>
      <c r="AC212" s="18">
        <v>53.409090909090907</v>
      </c>
      <c r="AD212" s="11">
        <v>54.945054945054949</v>
      </c>
      <c r="AE212" s="11">
        <v>76.984126984126988</v>
      </c>
      <c r="AF212" s="11">
        <v>77.272727272727266</v>
      </c>
      <c r="AG212" s="11">
        <v>78.571428571428569</v>
      </c>
      <c r="AH212" s="11">
        <f t="shared" si="72"/>
        <v>62.915434238963655</v>
      </c>
      <c r="AI212" s="26">
        <f t="shared" si="73"/>
        <v>77.609427609427598</v>
      </c>
      <c r="AJ212" s="2">
        <f t="shared" si="74"/>
        <v>46</v>
      </c>
      <c r="AK212" s="2">
        <f t="shared" si="75"/>
        <v>103</v>
      </c>
      <c r="AL212" s="2">
        <f t="shared" si="76"/>
        <v>30.666666666666668</v>
      </c>
      <c r="AM212" s="2">
        <f t="shared" si="77"/>
        <v>29.666666666666668</v>
      </c>
    </row>
    <row r="213" spans="1:39" x14ac:dyDescent="0.3">
      <c r="A213" s="1" t="s">
        <v>281</v>
      </c>
      <c r="B213" s="1" t="s">
        <v>290</v>
      </c>
      <c r="C213" s="1" t="s">
        <v>299</v>
      </c>
      <c r="D213" s="1" t="s">
        <v>299</v>
      </c>
      <c r="E213" s="2">
        <v>50402</v>
      </c>
      <c r="F213" s="18">
        <v>19</v>
      </c>
      <c r="G213" s="18">
        <v>23</v>
      </c>
      <c r="H213" s="18">
        <v>23</v>
      </c>
      <c r="I213" s="18">
        <v>26</v>
      </c>
      <c r="J213" s="18">
        <v>65</v>
      </c>
      <c r="K213" s="18">
        <v>74</v>
      </c>
      <c r="L213" s="11">
        <v>79</v>
      </c>
      <c r="M213" s="2">
        <f t="shared" si="65"/>
        <v>2</v>
      </c>
      <c r="N213" s="2">
        <f t="shared" si="66"/>
        <v>3</v>
      </c>
      <c r="O213" s="2">
        <f t="shared" si="67"/>
        <v>29</v>
      </c>
      <c r="P213" s="2">
        <f t="shared" si="68"/>
        <v>32</v>
      </c>
      <c r="Q213" s="2">
        <f t="shared" si="69"/>
        <v>37</v>
      </c>
      <c r="R213" s="2">
        <f t="shared" si="70"/>
        <v>32</v>
      </c>
      <c r="S213" s="2">
        <f t="shared" si="71"/>
        <v>30</v>
      </c>
      <c r="T213" s="11">
        <v>21</v>
      </c>
      <c r="U213" s="11">
        <v>26</v>
      </c>
      <c r="V213" s="11">
        <v>52</v>
      </c>
      <c r="W213" s="18">
        <v>58</v>
      </c>
      <c r="X213" s="18">
        <v>102</v>
      </c>
      <c r="Y213" s="23">
        <v>106</v>
      </c>
      <c r="Z213" s="18">
        <v>109</v>
      </c>
      <c r="AA213" s="18">
        <v>90.476190476190482</v>
      </c>
      <c r="AB213" s="18">
        <v>88.461538461538453</v>
      </c>
      <c r="AC213" s="18">
        <v>44.230769230769226</v>
      </c>
      <c r="AD213" s="11">
        <v>44.827586206896555</v>
      </c>
      <c r="AE213" s="11">
        <v>63.725490196078425</v>
      </c>
      <c r="AF213" s="11">
        <v>69.811320754716974</v>
      </c>
      <c r="AG213" s="11">
        <v>72.477064220183479</v>
      </c>
      <c r="AH213" s="11">
        <f t="shared" si="72"/>
        <v>59.173297966401414</v>
      </c>
      <c r="AI213" s="26">
        <f t="shared" si="73"/>
        <v>68.671291723659621</v>
      </c>
      <c r="AJ213" s="2">
        <f t="shared" si="74"/>
        <v>24</v>
      </c>
      <c r="AK213" s="2">
        <f t="shared" si="75"/>
        <v>72.666666666666671</v>
      </c>
      <c r="AL213" s="2">
        <f t="shared" si="76"/>
        <v>21.333333333333332</v>
      </c>
      <c r="AM213" s="2">
        <f t="shared" si="77"/>
        <v>33</v>
      </c>
    </row>
    <row r="214" spans="1:39" x14ac:dyDescent="0.3">
      <c r="A214" s="1" t="s">
        <v>281</v>
      </c>
      <c r="B214" s="1" t="s">
        <v>290</v>
      </c>
      <c r="C214" s="1" t="s">
        <v>300</v>
      </c>
      <c r="D214" s="1" t="s">
        <v>300</v>
      </c>
      <c r="E214" s="2">
        <v>50403</v>
      </c>
      <c r="F214" s="18">
        <v>35</v>
      </c>
      <c r="G214" s="18">
        <v>38</v>
      </c>
      <c r="H214" s="18">
        <v>44</v>
      </c>
      <c r="I214" s="18">
        <v>53</v>
      </c>
      <c r="J214" s="18">
        <v>102</v>
      </c>
      <c r="K214" s="18">
        <v>109</v>
      </c>
      <c r="L214" s="11">
        <v>113</v>
      </c>
      <c r="M214" s="2">
        <f t="shared" si="65"/>
        <v>15</v>
      </c>
      <c r="N214" s="2">
        <f t="shared" si="66"/>
        <v>21</v>
      </c>
      <c r="O214" s="2">
        <f t="shared" si="67"/>
        <v>37</v>
      </c>
      <c r="P214" s="2">
        <f t="shared" si="68"/>
        <v>44</v>
      </c>
      <c r="Q214" s="2">
        <f t="shared" si="69"/>
        <v>25</v>
      </c>
      <c r="R214" s="2">
        <f t="shared" si="70"/>
        <v>26</v>
      </c>
      <c r="S214" s="2">
        <f t="shared" si="71"/>
        <v>27</v>
      </c>
      <c r="T214" s="11">
        <v>50</v>
      </c>
      <c r="U214" s="11">
        <v>59</v>
      </c>
      <c r="V214" s="11">
        <v>81</v>
      </c>
      <c r="W214" s="18">
        <v>97</v>
      </c>
      <c r="X214" s="18">
        <v>127</v>
      </c>
      <c r="Y214" s="23">
        <v>135</v>
      </c>
      <c r="Z214" s="18">
        <v>140</v>
      </c>
      <c r="AA214" s="18">
        <v>70</v>
      </c>
      <c r="AB214" s="18">
        <v>64.406779661016941</v>
      </c>
      <c r="AC214" s="18">
        <v>54.320987654320987</v>
      </c>
      <c r="AD214" s="11">
        <v>54.639175257731956</v>
      </c>
      <c r="AE214" s="11">
        <v>80.314960629921259</v>
      </c>
      <c r="AF214" s="11">
        <v>80.740740740740748</v>
      </c>
      <c r="AG214" s="11">
        <v>80.714285714285722</v>
      </c>
      <c r="AH214" s="11">
        <f t="shared" si="72"/>
        <v>57.788980857689957</v>
      </c>
      <c r="AI214" s="26">
        <f t="shared" si="73"/>
        <v>80.589995694982576</v>
      </c>
      <c r="AJ214" s="2">
        <f t="shared" si="74"/>
        <v>45</v>
      </c>
      <c r="AK214" s="2">
        <f t="shared" si="75"/>
        <v>108</v>
      </c>
      <c r="AL214" s="2">
        <f t="shared" si="76"/>
        <v>34</v>
      </c>
      <c r="AM214" s="2">
        <f t="shared" si="77"/>
        <v>26</v>
      </c>
    </row>
    <row r="215" spans="1:39" x14ac:dyDescent="0.3">
      <c r="A215" s="1" t="s">
        <v>281</v>
      </c>
      <c r="B215" s="1" t="s">
        <v>290</v>
      </c>
      <c r="C215" s="1" t="s">
        <v>301</v>
      </c>
      <c r="D215" s="1" t="s">
        <v>301</v>
      </c>
      <c r="E215" s="2">
        <v>50404</v>
      </c>
      <c r="F215" s="18">
        <v>15</v>
      </c>
      <c r="G215" s="18">
        <v>24</v>
      </c>
      <c r="H215" s="18">
        <v>28</v>
      </c>
      <c r="I215" s="18">
        <v>31</v>
      </c>
      <c r="J215" s="18">
        <v>49</v>
      </c>
      <c r="K215" s="18">
        <v>53</v>
      </c>
      <c r="L215" s="11">
        <v>59</v>
      </c>
      <c r="M215" s="2">
        <f t="shared" si="65"/>
        <v>7</v>
      </c>
      <c r="N215" s="2">
        <f t="shared" si="66"/>
        <v>12</v>
      </c>
      <c r="O215" s="2">
        <f t="shared" si="67"/>
        <v>29</v>
      </c>
      <c r="P215" s="2">
        <f t="shared" si="68"/>
        <v>37</v>
      </c>
      <c r="Q215" s="2">
        <f t="shared" si="69"/>
        <v>25</v>
      </c>
      <c r="R215" s="2">
        <f t="shared" si="70"/>
        <v>25</v>
      </c>
      <c r="S215" s="2">
        <f t="shared" si="71"/>
        <v>23</v>
      </c>
      <c r="T215" s="11">
        <v>22</v>
      </c>
      <c r="U215" s="11">
        <v>36</v>
      </c>
      <c r="V215" s="11">
        <v>57</v>
      </c>
      <c r="W215" s="18">
        <v>68</v>
      </c>
      <c r="X215" s="18">
        <v>74</v>
      </c>
      <c r="Y215" s="23">
        <v>78</v>
      </c>
      <c r="Z215" s="18">
        <v>82</v>
      </c>
      <c r="AA215" s="18">
        <v>68.181818181818173</v>
      </c>
      <c r="AB215" s="18">
        <v>66.666666666666657</v>
      </c>
      <c r="AC215" s="18">
        <v>49.122807017543856</v>
      </c>
      <c r="AD215" s="11">
        <v>45.588235294117645</v>
      </c>
      <c r="AE215" s="11">
        <v>66.21621621621621</v>
      </c>
      <c r="AF215" s="11">
        <v>67.948717948717956</v>
      </c>
      <c r="AG215" s="11">
        <v>71.951219512195124</v>
      </c>
      <c r="AH215" s="11">
        <f t="shared" si="72"/>
        <v>53.792569659442727</v>
      </c>
      <c r="AI215" s="26">
        <f t="shared" si="73"/>
        <v>68.705384559043083</v>
      </c>
      <c r="AJ215" s="2">
        <f t="shared" si="74"/>
        <v>27.666666666666668</v>
      </c>
      <c r="AK215" s="2">
        <f t="shared" si="75"/>
        <v>53.666666666666664</v>
      </c>
      <c r="AL215" s="2">
        <f t="shared" si="76"/>
        <v>26</v>
      </c>
      <c r="AM215" s="2">
        <f t="shared" si="77"/>
        <v>24.333333333333332</v>
      </c>
    </row>
    <row r="216" spans="1:39" x14ac:dyDescent="0.3">
      <c r="A216" s="1" t="s">
        <v>281</v>
      </c>
      <c r="B216" s="1" t="s">
        <v>290</v>
      </c>
      <c r="C216" s="1" t="s">
        <v>302</v>
      </c>
      <c r="D216" s="1" t="s">
        <v>302</v>
      </c>
      <c r="E216" s="2">
        <v>50405</v>
      </c>
      <c r="F216" s="18">
        <v>37</v>
      </c>
      <c r="G216" s="18">
        <v>41</v>
      </c>
      <c r="H216" s="18">
        <v>47</v>
      </c>
      <c r="I216" s="18">
        <v>50</v>
      </c>
      <c r="J216" s="18">
        <v>97</v>
      </c>
      <c r="K216" s="18">
        <v>102</v>
      </c>
      <c r="L216" s="11">
        <v>110</v>
      </c>
      <c r="M216" s="2">
        <f t="shared" si="65"/>
        <v>10</v>
      </c>
      <c r="N216" s="2">
        <f t="shared" si="66"/>
        <v>10</v>
      </c>
      <c r="O216" s="2">
        <f t="shared" si="67"/>
        <v>41</v>
      </c>
      <c r="P216" s="2">
        <f t="shared" si="68"/>
        <v>41</v>
      </c>
      <c r="Q216" s="2">
        <f t="shared" si="69"/>
        <v>29</v>
      </c>
      <c r="R216" s="2">
        <f t="shared" si="70"/>
        <v>30</v>
      </c>
      <c r="S216" s="2">
        <f t="shared" si="71"/>
        <v>30</v>
      </c>
      <c r="T216" s="11">
        <v>47</v>
      </c>
      <c r="U216" s="11">
        <v>51</v>
      </c>
      <c r="V216" s="11">
        <v>88</v>
      </c>
      <c r="W216" s="18">
        <v>91</v>
      </c>
      <c r="X216" s="18">
        <v>126</v>
      </c>
      <c r="Y216" s="23">
        <v>132</v>
      </c>
      <c r="Z216" s="18">
        <v>140</v>
      </c>
      <c r="AA216" s="18">
        <v>78.723404255319153</v>
      </c>
      <c r="AB216" s="18">
        <v>80.392156862745097</v>
      </c>
      <c r="AC216" s="18">
        <v>53.409090909090907</v>
      </c>
      <c r="AD216" s="11">
        <v>54.945054945054949</v>
      </c>
      <c r="AE216" s="11">
        <v>76.984126984126988</v>
      </c>
      <c r="AF216" s="11">
        <v>77.272727272727266</v>
      </c>
      <c r="AG216" s="11">
        <v>78.571428571428569</v>
      </c>
      <c r="AH216" s="11">
        <f t="shared" si="72"/>
        <v>62.915434238963655</v>
      </c>
      <c r="AI216" s="26">
        <f t="shared" si="73"/>
        <v>77.609427609427598</v>
      </c>
      <c r="AJ216" s="2">
        <f t="shared" si="74"/>
        <v>46</v>
      </c>
      <c r="AK216" s="2">
        <f t="shared" si="75"/>
        <v>103</v>
      </c>
      <c r="AL216" s="2">
        <f t="shared" si="76"/>
        <v>30.666666666666668</v>
      </c>
      <c r="AM216" s="2">
        <f t="shared" si="77"/>
        <v>29.666666666666668</v>
      </c>
    </row>
    <row r="217" spans="1:39" x14ac:dyDescent="0.3">
      <c r="A217" s="1" t="s">
        <v>281</v>
      </c>
      <c r="B217" s="1" t="s">
        <v>303</v>
      </c>
      <c r="C217" s="1" t="s">
        <v>304</v>
      </c>
      <c r="D217" s="1" t="s">
        <v>304</v>
      </c>
      <c r="E217" s="2">
        <v>50501</v>
      </c>
      <c r="F217" s="18">
        <v>37</v>
      </c>
      <c r="G217" s="18">
        <v>43</v>
      </c>
      <c r="H217" s="18">
        <v>51</v>
      </c>
      <c r="I217" s="18">
        <v>61</v>
      </c>
      <c r="J217" s="18">
        <v>120</v>
      </c>
      <c r="K217" s="18">
        <v>121</v>
      </c>
      <c r="L217" s="11">
        <v>123</v>
      </c>
      <c r="M217" s="2">
        <f t="shared" si="65"/>
        <v>18</v>
      </c>
      <c r="N217" s="2">
        <f t="shared" si="66"/>
        <v>20</v>
      </c>
      <c r="O217" s="2">
        <f t="shared" si="67"/>
        <v>43</v>
      </c>
      <c r="P217" s="2">
        <f t="shared" si="68"/>
        <v>40</v>
      </c>
      <c r="Q217" s="2">
        <f t="shared" si="69"/>
        <v>16</v>
      </c>
      <c r="R217" s="2">
        <f t="shared" si="70"/>
        <v>16</v>
      </c>
      <c r="S217" s="2">
        <f t="shared" si="71"/>
        <v>16</v>
      </c>
      <c r="T217" s="11">
        <v>55</v>
      </c>
      <c r="U217" s="11">
        <v>63</v>
      </c>
      <c r="V217" s="11">
        <v>94</v>
      </c>
      <c r="W217" s="18">
        <v>101</v>
      </c>
      <c r="X217" s="18">
        <v>136</v>
      </c>
      <c r="Y217" s="23">
        <v>137</v>
      </c>
      <c r="Z217" s="18">
        <v>139</v>
      </c>
      <c r="AA217" s="18">
        <v>67.272727272727266</v>
      </c>
      <c r="AB217" s="18">
        <v>68.253968253968253</v>
      </c>
      <c r="AC217" s="18">
        <v>54.255319148936167</v>
      </c>
      <c r="AD217" s="11">
        <v>60.396039603960396</v>
      </c>
      <c r="AE217" s="11">
        <v>88.235294117647058</v>
      </c>
      <c r="AF217" s="11">
        <v>88.321167883211686</v>
      </c>
      <c r="AG217" s="11">
        <v>88.489208633093526</v>
      </c>
      <c r="AH217" s="11">
        <f t="shared" si="72"/>
        <v>60.968442335621603</v>
      </c>
      <c r="AI217" s="26">
        <f t="shared" si="73"/>
        <v>88.348556877984095</v>
      </c>
      <c r="AJ217" s="2">
        <f t="shared" si="74"/>
        <v>51.666666666666664</v>
      </c>
      <c r="AK217" s="2">
        <f t="shared" si="75"/>
        <v>121.33333333333333</v>
      </c>
      <c r="AL217" s="2">
        <f t="shared" si="76"/>
        <v>34.333333333333336</v>
      </c>
      <c r="AM217" s="2">
        <f t="shared" si="77"/>
        <v>16</v>
      </c>
    </row>
    <row r="218" spans="1:39" x14ac:dyDescent="0.3">
      <c r="A218" s="1" t="s">
        <v>281</v>
      </c>
      <c r="B218" s="1" t="s">
        <v>303</v>
      </c>
      <c r="C218" s="1" t="s">
        <v>305</v>
      </c>
      <c r="D218" s="1" t="s">
        <v>305</v>
      </c>
      <c r="E218" s="2">
        <v>50502</v>
      </c>
      <c r="F218" s="18">
        <v>28</v>
      </c>
      <c r="G218" s="18">
        <v>31</v>
      </c>
      <c r="H218" s="18">
        <v>32</v>
      </c>
      <c r="I218" s="18">
        <v>36</v>
      </c>
      <c r="J218" s="18">
        <v>59</v>
      </c>
      <c r="K218" s="18">
        <v>62</v>
      </c>
      <c r="L218" s="11">
        <v>64</v>
      </c>
      <c r="M218" s="2">
        <f t="shared" si="65"/>
        <v>8</v>
      </c>
      <c r="N218" s="2">
        <f t="shared" si="66"/>
        <v>9</v>
      </c>
      <c r="O218" s="2">
        <f t="shared" si="67"/>
        <v>20</v>
      </c>
      <c r="P218" s="2">
        <f t="shared" si="68"/>
        <v>23</v>
      </c>
      <c r="Q218" s="2">
        <f t="shared" si="69"/>
        <v>16</v>
      </c>
      <c r="R218" s="2">
        <f t="shared" si="70"/>
        <v>15</v>
      </c>
      <c r="S218" s="2">
        <f t="shared" si="71"/>
        <v>15</v>
      </c>
      <c r="T218" s="11">
        <v>36</v>
      </c>
      <c r="U218" s="11">
        <v>40</v>
      </c>
      <c r="V218" s="11">
        <v>52</v>
      </c>
      <c r="W218" s="18">
        <v>59</v>
      </c>
      <c r="X218" s="18">
        <v>75</v>
      </c>
      <c r="Y218" s="23">
        <v>77</v>
      </c>
      <c r="Z218" s="18">
        <v>79</v>
      </c>
      <c r="AA218" s="18">
        <v>77.777777777777786</v>
      </c>
      <c r="AB218" s="18">
        <v>77.5</v>
      </c>
      <c r="AC218" s="18">
        <v>61.53846153846154</v>
      </c>
      <c r="AD218" s="11">
        <v>61.016949152542374</v>
      </c>
      <c r="AE218" s="11">
        <v>78.666666666666657</v>
      </c>
      <c r="AF218" s="11">
        <v>80.519480519480524</v>
      </c>
      <c r="AG218" s="11">
        <v>81.012658227848107</v>
      </c>
      <c r="AH218" s="11">
        <f t="shared" si="72"/>
        <v>66.6851368970013</v>
      </c>
      <c r="AI218" s="26">
        <f t="shared" si="73"/>
        <v>80.066268471331767</v>
      </c>
      <c r="AJ218" s="2">
        <f t="shared" si="74"/>
        <v>33</v>
      </c>
      <c r="AK218" s="2">
        <f t="shared" si="75"/>
        <v>61.666666666666664</v>
      </c>
      <c r="AL218" s="2">
        <f t="shared" si="76"/>
        <v>17.333333333333332</v>
      </c>
      <c r="AM218" s="2">
        <f t="shared" si="77"/>
        <v>15.333333333333334</v>
      </c>
    </row>
    <row r="219" spans="1:39" x14ac:dyDescent="0.3">
      <c r="A219" s="1" t="s">
        <v>281</v>
      </c>
      <c r="B219" s="1" t="s">
        <v>306</v>
      </c>
      <c r="C219" s="1" t="s">
        <v>307</v>
      </c>
      <c r="D219" s="1" t="s">
        <v>307</v>
      </c>
      <c r="E219" s="2">
        <v>50601</v>
      </c>
      <c r="F219" s="18">
        <v>48</v>
      </c>
      <c r="G219" s="18">
        <v>48</v>
      </c>
      <c r="H219" s="18">
        <v>62</v>
      </c>
      <c r="I219" s="18">
        <v>66</v>
      </c>
      <c r="J219" s="18">
        <v>137</v>
      </c>
      <c r="K219" s="18">
        <v>138</v>
      </c>
      <c r="L219" s="11">
        <v>134</v>
      </c>
      <c r="M219" s="2">
        <f t="shared" si="65"/>
        <v>70</v>
      </c>
      <c r="N219" s="2">
        <f t="shared" si="66"/>
        <v>77</v>
      </c>
      <c r="O219" s="2">
        <f t="shared" si="67"/>
        <v>145</v>
      </c>
      <c r="P219" s="2">
        <f t="shared" si="68"/>
        <v>143</v>
      </c>
      <c r="Q219" s="2">
        <f t="shared" si="69"/>
        <v>115</v>
      </c>
      <c r="R219" s="2">
        <f t="shared" si="70"/>
        <v>119</v>
      </c>
      <c r="S219" s="2">
        <f t="shared" si="71"/>
        <v>118</v>
      </c>
      <c r="T219" s="11">
        <v>118</v>
      </c>
      <c r="U219" s="11">
        <v>125</v>
      </c>
      <c r="V219" s="11">
        <v>207</v>
      </c>
      <c r="W219" s="18">
        <v>209</v>
      </c>
      <c r="X219" s="18">
        <v>252</v>
      </c>
      <c r="Y219" s="23">
        <v>257</v>
      </c>
      <c r="Z219" s="18">
        <v>252</v>
      </c>
      <c r="AA219" s="18">
        <v>40.677966101694921</v>
      </c>
      <c r="AB219" s="18">
        <v>38.4</v>
      </c>
      <c r="AC219" s="18">
        <v>29.951690821256037</v>
      </c>
      <c r="AD219" s="11">
        <v>31.578947368421051</v>
      </c>
      <c r="AE219" s="11">
        <v>54.36507936507936</v>
      </c>
      <c r="AF219" s="11">
        <v>53.696498054474709</v>
      </c>
      <c r="AG219" s="11">
        <v>53.174603174603178</v>
      </c>
      <c r="AH219" s="11">
        <f t="shared" si="72"/>
        <v>33.310212729892363</v>
      </c>
      <c r="AI219" s="26">
        <f t="shared" si="73"/>
        <v>53.745393531385751</v>
      </c>
      <c r="AJ219" s="2">
        <f t="shared" si="74"/>
        <v>58.666666666666664</v>
      </c>
      <c r="AK219" s="2">
        <f t="shared" si="75"/>
        <v>136.33333333333334</v>
      </c>
      <c r="AL219" s="2">
        <f t="shared" si="76"/>
        <v>121.66666666666667</v>
      </c>
      <c r="AM219" s="2">
        <f t="shared" si="77"/>
        <v>117.33333333333333</v>
      </c>
    </row>
    <row r="220" spans="1:39" x14ac:dyDescent="0.3">
      <c r="A220" s="1" t="s">
        <v>281</v>
      </c>
      <c r="B220" s="1" t="s">
        <v>306</v>
      </c>
      <c r="C220" s="1" t="s">
        <v>308</v>
      </c>
      <c r="D220" s="1" t="s">
        <v>308</v>
      </c>
      <c r="E220" s="2">
        <v>50602</v>
      </c>
      <c r="F220" s="18">
        <v>30</v>
      </c>
      <c r="G220" s="18">
        <v>34</v>
      </c>
      <c r="H220" s="18">
        <v>43</v>
      </c>
      <c r="I220" s="18">
        <v>41</v>
      </c>
      <c r="J220" s="18">
        <v>54</v>
      </c>
      <c r="K220" s="18">
        <v>52</v>
      </c>
      <c r="L220" s="11">
        <v>53</v>
      </c>
      <c r="M220" s="2">
        <f t="shared" si="65"/>
        <v>25</v>
      </c>
      <c r="N220" s="2">
        <f t="shared" si="66"/>
        <v>23</v>
      </c>
      <c r="O220" s="2">
        <f t="shared" si="67"/>
        <v>42</v>
      </c>
      <c r="P220" s="2">
        <f t="shared" si="68"/>
        <v>45</v>
      </c>
      <c r="Q220" s="2">
        <f t="shared" si="69"/>
        <v>35</v>
      </c>
      <c r="R220" s="2">
        <f t="shared" si="70"/>
        <v>38</v>
      </c>
      <c r="S220" s="2">
        <f t="shared" si="71"/>
        <v>37</v>
      </c>
      <c r="T220" s="11">
        <v>55</v>
      </c>
      <c r="U220" s="11">
        <v>57</v>
      </c>
      <c r="V220" s="11">
        <v>85</v>
      </c>
      <c r="W220" s="18">
        <v>86</v>
      </c>
      <c r="X220" s="18">
        <v>89</v>
      </c>
      <c r="Y220" s="23">
        <v>90</v>
      </c>
      <c r="Z220" s="18">
        <v>90</v>
      </c>
      <c r="AA220" s="18">
        <v>54.54545454545454</v>
      </c>
      <c r="AB220" s="18">
        <v>59.649122807017541</v>
      </c>
      <c r="AC220" s="18">
        <v>50.588235294117645</v>
      </c>
      <c r="AD220" s="11">
        <v>47.674418604651166</v>
      </c>
      <c r="AE220" s="11">
        <v>60.674157303370791</v>
      </c>
      <c r="AF220" s="11">
        <v>57.777777777777771</v>
      </c>
      <c r="AG220" s="11">
        <v>58.888888888888893</v>
      </c>
      <c r="AH220" s="11">
        <f t="shared" si="72"/>
        <v>52.637258901928782</v>
      </c>
      <c r="AI220" s="26">
        <f t="shared" si="73"/>
        <v>59.11360799001249</v>
      </c>
      <c r="AJ220" s="2">
        <f t="shared" si="74"/>
        <v>39.333333333333336</v>
      </c>
      <c r="AK220" s="2">
        <f t="shared" si="75"/>
        <v>53</v>
      </c>
      <c r="AL220" s="2">
        <f t="shared" si="76"/>
        <v>36.666666666666664</v>
      </c>
      <c r="AM220" s="2">
        <f t="shared" si="77"/>
        <v>36.666666666666664</v>
      </c>
    </row>
    <row r="221" spans="1:39" x14ac:dyDescent="0.3">
      <c r="A221" s="1" t="s">
        <v>281</v>
      </c>
      <c r="B221" s="1" t="s">
        <v>309</v>
      </c>
      <c r="C221" s="1" t="s">
        <v>310</v>
      </c>
      <c r="D221" s="1" t="s">
        <v>311</v>
      </c>
      <c r="E221" s="2">
        <v>50701</v>
      </c>
      <c r="F221" s="18">
        <v>21</v>
      </c>
      <c r="G221" s="18">
        <v>27</v>
      </c>
      <c r="H221" s="18">
        <v>34</v>
      </c>
      <c r="I221" s="18">
        <v>44</v>
      </c>
      <c r="J221" s="18">
        <v>85</v>
      </c>
      <c r="K221" s="18">
        <v>83</v>
      </c>
      <c r="L221" s="11">
        <v>86</v>
      </c>
      <c r="M221" s="2">
        <f t="shared" si="65"/>
        <v>14</v>
      </c>
      <c r="N221" s="2">
        <f t="shared" si="66"/>
        <v>26</v>
      </c>
      <c r="O221" s="2">
        <f t="shared" si="67"/>
        <v>36</v>
      </c>
      <c r="P221" s="2">
        <f t="shared" si="68"/>
        <v>33</v>
      </c>
      <c r="Q221" s="2">
        <f t="shared" si="69"/>
        <v>14</v>
      </c>
      <c r="R221" s="2">
        <f t="shared" si="70"/>
        <v>17</v>
      </c>
      <c r="S221" s="2">
        <f t="shared" si="71"/>
        <v>17</v>
      </c>
      <c r="T221" s="11">
        <v>35</v>
      </c>
      <c r="U221" s="11">
        <v>53</v>
      </c>
      <c r="V221" s="11">
        <v>70</v>
      </c>
      <c r="W221" s="18">
        <v>77</v>
      </c>
      <c r="X221" s="18">
        <v>99</v>
      </c>
      <c r="Y221" s="23">
        <v>100</v>
      </c>
      <c r="Z221" s="18">
        <v>103</v>
      </c>
      <c r="AA221" s="18">
        <v>60</v>
      </c>
      <c r="AB221" s="18">
        <v>50.943396226415096</v>
      </c>
      <c r="AC221" s="18">
        <v>48.571428571428569</v>
      </c>
      <c r="AD221" s="11">
        <v>57.142857142857139</v>
      </c>
      <c r="AE221" s="11">
        <v>85.858585858585855</v>
      </c>
      <c r="AF221" s="11">
        <v>83</v>
      </c>
      <c r="AG221" s="11">
        <v>83.495145631067956</v>
      </c>
      <c r="AH221" s="11">
        <f t="shared" si="72"/>
        <v>52.219227313566932</v>
      </c>
      <c r="AI221" s="26">
        <f t="shared" si="73"/>
        <v>84.117910496551261</v>
      </c>
      <c r="AJ221" s="2">
        <f t="shared" si="74"/>
        <v>35</v>
      </c>
      <c r="AK221" s="2">
        <f t="shared" si="75"/>
        <v>84.666666666666671</v>
      </c>
      <c r="AL221" s="2">
        <f t="shared" si="76"/>
        <v>31.666666666666668</v>
      </c>
      <c r="AM221" s="2">
        <f t="shared" si="77"/>
        <v>16</v>
      </c>
    </row>
    <row r="222" spans="1:39" x14ac:dyDescent="0.3">
      <c r="A222" s="1" t="s">
        <v>281</v>
      </c>
      <c r="B222" s="1" t="s">
        <v>309</v>
      </c>
      <c r="C222" s="1" t="s">
        <v>312</v>
      </c>
      <c r="D222" s="1" t="s">
        <v>312</v>
      </c>
      <c r="E222" s="2">
        <v>50702</v>
      </c>
      <c r="F222" s="18">
        <v>28</v>
      </c>
      <c r="G222" s="18">
        <v>29</v>
      </c>
      <c r="H222" s="18">
        <v>34</v>
      </c>
      <c r="I222" s="18">
        <v>35</v>
      </c>
      <c r="J222" s="18">
        <v>47</v>
      </c>
      <c r="K222" s="18">
        <v>48</v>
      </c>
      <c r="L222" s="11">
        <v>49</v>
      </c>
      <c r="M222" s="2">
        <f t="shared" si="65"/>
        <v>7</v>
      </c>
      <c r="N222" s="2">
        <f t="shared" si="66"/>
        <v>11</v>
      </c>
      <c r="O222" s="2">
        <f t="shared" si="67"/>
        <v>26</v>
      </c>
      <c r="P222" s="2">
        <f t="shared" si="68"/>
        <v>24</v>
      </c>
      <c r="Q222" s="2">
        <f t="shared" si="69"/>
        <v>12</v>
      </c>
      <c r="R222" s="2">
        <f t="shared" si="70"/>
        <v>11</v>
      </c>
      <c r="S222" s="2">
        <f t="shared" si="71"/>
        <v>11</v>
      </c>
      <c r="T222" s="11">
        <v>35</v>
      </c>
      <c r="U222" s="11">
        <v>40</v>
      </c>
      <c r="V222" s="11">
        <v>60</v>
      </c>
      <c r="W222" s="18">
        <v>59</v>
      </c>
      <c r="X222" s="18">
        <v>59</v>
      </c>
      <c r="Y222" s="23">
        <v>59</v>
      </c>
      <c r="Z222" s="18">
        <v>60</v>
      </c>
      <c r="AA222" s="18">
        <v>80</v>
      </c>
      <c r="AB222" s="18">
        <v>72.5</v>
      </c>
      <c r="AC222" s="18">
        <v>56.666666666666664</v>
      </c>
      <c r="AD222" s="11">
        <v>59.322033898305079</v>
      </c>
      <c r="AE222" s="11">
        <v>79.66101694915254</v>
      </c>
      <c r="AF222" s="11">
        <v>81.355932203389841</v>
      </c>
      <c r="AG222" s="11">
        <v>81.666666666666671</v>
      </c>
      <c r="AH222" s="11">
        <f t="shared" si="72"/>
        <v>62.829566854990581</v>
      </c>
      <c r="AI222" s="26">
        <f t="shared" si="73"/>
        <v>80.894538606403032</v>
      </c>
      <c r="AJ222" s="2">
        <f t="shared" si="74"/>
        <v>32.666666666666664</v>
      </c>
      <c r="AK222" s="2">
        <f t="shared" si="75"/>
        <v>48</v>
      </c>
      <c r="AL222" s="2">
        <f t="shared" si="76"/>
        <v>20.333333333333332</v>
      </c>
      <c r="AM222" s="2">
        <f t="shared" si="77"/>
        <v>11.333333333333334</v>
      </c>
    </row>
    <row r="223" spans="1:39" x14ac:dyDescent="0.3">
      <c r="A223" s="1" t="s">
        <v>281</v>
      </c>
      <c r="B223" s="1" t="s">
        <v>313</v>
      </c>
      <c r="C223" s="1" t="s">
        <v>314</v>
      </c>
      <c r="D223" s="1" t="s">
        <v>314</v>
      </c>
      <c r="E223" s="2">
        <v>50801</v>
      </c>
      <c r="F223" s="18">
        <v>150</v>
      </c>
      <c r="G223" s="18">
        <v>152</v>
      </c>
      <c r="H223" s="18">
        <v>203</v>
      </c>
      <c r="I223" s="18">
        <v>222</v>
      </c>
      <c r="J223" s="18">
        <v>313</v>
      </c>
      <c r="K223" s="18">
        <v>313</v>
      </c>
      <c r="L223" s="11">
        <v>310</v>
      </c>
      <c r="M223" s="2">
        <f t="shared" si="65"/>
        <v>67</v>
      </c>
      <c r="N223" s="2">
        <f t="shared" si="66"/>
        <v>63</v>
      </c>
      <c r="O223" s="2">
        <f t="shared" si="67"/>
        <v>129</v>
      </c>
      <c r="P223" s="2">
        <f t="shared" si="68"/>
        <v>140</v>
      </c>
      <c r="Q223" s="2">
        <f t="shared" si="69"/>
        <v>125</v>
      </c>
      <c r="R223" s="2">
        <f t="shared" si="70"/>
        <v>131</v>
      </c>
      <c r="S223" s="2">
        <f t="shared" si="71"/>
        <v>136</v>
      </c>
      <c r="T223" s="11">
        <v>217</v>
      </c>
      <c r="U223" s="11">
        <v>215</v>
      </c>
      <c r="V223" s="11">
        <v>332</v>
      </c>
      <c r="W223" s="18">
        <v>362</v>
      </c>
      <c r="X223" s="18">
        <v>438</v>
      </c>
      <c r="Y223" s="23">
        <v>444</v>
      </c>
      <c r="Z223" s="18">
        <v>446</v>
      </c>
      <c r="AA223" s="18">
        <v>69.124423963133637</v>
      </c>
      <c r="AB223" s="18">
        <v>70.697674418604649</v>
      </c>
      <c r="AC223" s="18">
        <v>61.144578313253021</v>
      </c>
      <c r="AD223" s="11">
        <v>61.325966850828728</v>
      </c>
      <c r="AE223" s="11">
        <v>71.461187214611883</v>
      </c>
      <c r="AF223" s="11">
        <v>70.495495495495504</v>
      </c>
      <c r="AG223" s="11">
        <v>69.506726457399111</v>
      </c>
      <c r="AH223" s="11">
        <f t="shared" si="72"/>
        <v>64.389406527562144</v>
      </c>
      <c r="AI223" s="26">
        <f t="shared" si="73"/>
        <v>70.487803055835499</v>
      </c>
      <c r="AJ223" s="2">
        <f t="shared" si="74"/>
        <v>192.33333333333334</v>
      </c>
      <c r="AK223" s="2">
        <f t="shared" si="75"/>
        <v>312</v>
      </c>
      <c r="AL223" s="2">
        <f t="shared" si="76"/>
        <v>110.66666666666667</v>
      </c>
      <c r="AM223" s="2">
        <f t="shared" si="77"/>
        <v>130.66666666666666</v>
      </c>
    </row>
    <row r="224" spans="1:39" x14ac:dyDescent="0.3">
      <c r="A224" s="1" t="s">
        <v>281</v>
      </c>
      <c r="B224" s="1" t="s">
        <v>313</v>
      </c>
      <c r="C224" s="1" t="s">
        <v>315</v>
      </c>
      <c r="D224" s="1" t="s">
        <v>315</v>
      </c>
      <c r="E224" s="2">
        <v>50802</v>
      </c>
      <c r="F224" s="18">
        <v>43</v>
      </c>
      <c r="G224" s="18">
        <v>59</v>
      </c>
      <c r="H224" s="18">
        <v>58</v>
      </c>
      <c r="I224" s="18">
        <v>61</v>
      </c>
      <c r="J224" s="18">
        <v>76</v>
      </c>
      <c r="K224" s="18">
        <v>76</v>
      </c>
      <c r="L224" s="11">
        <v>76</v>
      </c>
      <c r="M224" s="2">
        <f t="shared" si="65"/>
        <v>25</v>
      </c>
      <c r="N224" s="2">
        <f t="shared" si="66"/>
        <v>24</v>
      </c>
      <c r="O224" s="2">
        <f t="shared" si="67"/>
        <v>32</v>
      </c>
      <c r="P224" s="2">
        <f t="shared" si="68"/>
        <v>32</v>
      </c>
      <c r="Q224" s="2">
        <f t="shared" si="69"/>
        <v>22</v>
      </c>
      <c r="R224" s="2">
        <f t="shared" si="70"/>
        <v>21</v>
      </c>
      <c r="S224" s="2">
        <f t="shared" si="71"/>
        <v>24</v>
      </c>
      <c r="T224" s="11">
        <v>68</v>
      </c>
      <c r="U224" s="11">
        <v>83</v>
      </c>
      <c r="V224" s="11">
        <v>90</v>
      </c>
      <c r="W224" s="18">
        <v>93</v>
      </c>
      <c r="X224" s="18">
        <v>98</v>
      </c>
      <c r="Y224" s="23">
        <v>97</v>
      </c>
      <c r="Z224" s="18">
        <v>100</v>
      </c>
      <c r="AA224" s="18">
        <v>63.235294117647058</v>
      </c>
      <c r="AB224" s="18">
        <v>71.084337349397586</v>
      </c>
      <c r="AC224" s="18">
        <v>64.444444444444443</v>
      </c>
      <c r="AD224" s="11">
        <v>65.591397849462368</v>
      </c>
      <c r="AE224" s="11">
        <v>77.551020408163268</v>
      </c>
      <c r="AF224" s="11">
        <v>78.350515463917532</v>
      </c>
      <c r="AG224" s="11">
        <v>76</v>
      </c>
      <c r="AH224" s="11">
        <f t="shared" si="72"/>
        <v>67.04005988110147</v>
      </c>
      <c r="AI224" s="26">
        <f t="shared" si="73"/>
        <v>77.300511957360257</v>
      </c>
      <c r="AJ224" s="2">
        <f t="shared" si="74"/>
        <v>59.333333333333336</v>
      </c>
      <c r="AK224" s="2">
        <f t="shared" si="75"/>
        <v>76</v>
      </c>
      <c r="AL224" s="2">
        <f t="shared" si="76"/>
        <v>29.333333333333332</v>
      </c>
      <c r="AM224" s="2">
        <f t="shared" si="77"/>
        <v>22.333333333333332</v>
      </c>
    </row>
    <row r="225" spans="1:39" x14ac:dyDescent="0.3">
      <c r="A225" s="1" t="s">
        <v>281</v>
      </c>
      <c r="B225" s="1" t="s">
        <v>316</v>
      </c>
      <c r="C225" s="1" t="s">
        <v>317</v>
      </c>
      <c r="D225" s="1" t="s">
        <v>318</v>
      </c>
      <c r="E225" s="2">
        <v>50901</v>
      </c>
      <c r="F225" s="18">
        <v>22</v>
      </c>
      <c r="G225" s="18">
        <v>28</v>
      </c>
      <c r="H225" s="18">
        <v>37</v>
      </c>
      <c r="I225" s="18">
        <v>39</v>
      </c>
      <c r="J225" s="18">
        <v>68</v>
      </c>
      <c r="K225" s="18">
        <v>69</v>
      </c>
      <c r="L225" s="11">
        <v>74</v>
      </c>
      <c r="M225" s="2">
        <f t="shared" si="65"/>
        <v>33</v>
      </c>
      <c r="N225" s="2">
        <f t="shared" si="66"/>
        <v>31</v>
      </c>
      <c r="O225" s="2">
        <f t="shared" si="67"/>
        <v>56</v>
      </c>
      <c r="P225" s="2">
        <f t="shared" si="68"/>
        <v>57</v>
      </c>
      <c r="Q225" s="2">
        <f t="shared" si="69"/>
        <v>48</v>
      </c>
      <c r="R225" s="2">
        <f t="shared" si="70"/>
        <v>50</v>
      </c>
      <c r="S225" s="2">
        <f t="shared" si="71"/>
        <v>49</v>
      </c>
      <c r="T225" s="11">
        <v>55</v>
      </c>
      <c r="U225" s="11">
        <v>59</v>
      </c>
      <c r="V225" s="11">
        <v>93</v>
      </c>
      <c r="W225" s="18">
        <v>96</v>
      </c>
      <c r="X225" s="18">
        <v>116</v>
      </c>
      <c r="Y225" s="23">
        <v>119</v>
      </c>
      <c r="Z225" s="18">
        <v>123</v>
      </c>
      <c r="AA225" s="18">
        <v>40</v>
      </c>
      <c r="AB225" s="18">
        <v>47.457627118644069</v>
      </c>
      <c r="AC225" s="18">
        <v>39.784946236559136</v>
      </c>
      <c r="AD225" s="11">
        <v>40.625</v>
      </c>
      <c r="AE225" s="11">
        <v>58.620689655172406</v>
      </c>
      <c r="AF225" s="11">
        <v>57.983193277310932</v>
      </c>
      <c r="AG225" s="11">
        <v>60.162601626016269</v>
      </c>
      <c r="AH225" s="11">
        <f t="shared" si="72"/>
        <v>42.6225244517344</v>
      </c>
      <c r="AI225" s="26">
        <f t="shared" si="73"/>
        <v>58.922161519499866</v>
      </c>
      <c r="AJ225" s="2">
        <f t="shared" si="74"/>
        <v>34.666666666666664</v>
      </c>
      <c r="AK225" s="2">
        <f t="shared" si="75"/>
        <v>70.333333333333329</v>
      </c>
      <c r="AL225" s="2">
        <f t="shared" si="76"/>
        <v>48</v>
      </c>
      <c r="AM225" s="2">
        <f t="shared" si="77"/>
        <v>49</v>
      </c>
    </row>
    <row r="226" spans="1:39" x14ac:dyDescent="0.3">
      <c r="A226" s="1" t="s">
        <v>281</v>
      </c>
      <c r="B226" s="1" t="s">
        <v>316</v>
      </c>
      <c r="C226" s="1" t="s">
        <v>319</v>
      </c>
      <c r="D226" s="1" t="s">
        <v>320</v>
      </c>
      <c r="E226" s="2">
        <v>50902</v>
      </c>
      <c r="F226" s="18">
        <v>3</v>
      </c>
      <c r="G226" s="18">
        <v>4</v>
      </c>
      <c r="H226" s="18">
        <v>5</v>
      </c>
      <c r="I226" s="18">
        <v>5</v>
      </c>
      <c r="J226" s="18">
        <v>6</v>
      </c>
      <c r="K226" s="18">
        <v>6</v>
      </c>
      <c r="L226" s="11">
        <v>6</v>
      </c>
      <c r="M226" s="2">
        <f t="shared" si="65"/>
        <v>2</v>
      </c>
      <c r="N226" s="2">
        <f t="shared" si="66"/>
        <v>1</v>
      </c>
      <c r="O226" s="2">
        <f t="shared" si="67"/>
        <v>2</v>
      </c>
      <c r="P226" s="2">
        <f t="shared" si="68"/>
        <v>3</v>
      </c>
      <c r="Q226" s="2">
        <f t="shared" si="69"/>
        <v>3</v>
      </c>
      <c r="R226" s="2">
        <f t="shared" si="70"/>
        <v>3</v>
      </c>
      <c r="S226" s="2">
        <f t="shared" si="71"/>
        <v>3</v>
      </c>
      <c r="T226" s="11">
        <v>5</v>
      </c>
      <c r="U226" s="11">
        <v>5</v>
      </c>
      <c r="V226" s="11">
        <v>7</v>
      </c>
      <c r="W226" s="18">
        <v>8</v>
      </c>
      <c r="X226" s="18">
        <v>9</v>
      </c>
      <c r="Y226" s="23">
        <v>9</v>
      </c>
      <c r="Z226" s="18">
        <v>9</v>
      </c>
      <c r="AA226" s="18">
        <v>60</v>
      </c>
      <c r="AB226" s="18">
        <v>80</v>
      </c>
      <c r="AC226" s="18">
        <v>71.428571428571431</v>
      </c>
      <c r="AD226" s="11">
        <v>62.5</v>
      </c>
      <c r="AE226" s="11">
        <v>66.666666666666657</v>
      </c>
      <c r="AF226" s="11">
        <v>66.666666666666657</v>
      </c>
      <c r="AG226" s="11">
        <v>66.666666666666657</v>
      </c>
      <c r="AH226" s="11">
        <f t="shared" si="72"/>
        <v>71.30952380952381</v>
      </c>
      <c r="AI226" s="26">
        <f t="shared" si="73"/>
        <v>66.666666666666657</v>
      </c>
      <c r="AJ226" s="2">
        <f t="shared" si="74"/>
        <v>4.666666666666667</v>
      </c>
      <c r="AK226" s="2">
        <f t="shared" si="75"/>
        <v>6</v>
      </c>
      <c r="AL226" s="2">
        <f t="shared" si="76"/>
        <v>2</v>
      </c>
      <c r="AM226" s="2">
        <f t="shared" si="77"/>
        <v>3</v>
      </c>
    </row>
    <row r="227" spans="1:39" x14ac:dyDescent="0.3">
      <c r="A227" s="1" t="s">
        <v>281</v>
      </c>
      <c r="B227" s="1" t="s">
        <v>321</v>
      </c>
      <c r="C227" s="1" t="s">
        <v>322</v>
      </c>
      <c r="D227" s="1" t="s">
        <v>323</v>
      </c>
      <c r="E227" s="2">
        <v>51001</v>
      </c>
      <c r="F227" s="18">
        <v>4</v>
      </c>
      <c r="G227" s="18">
        <v>5</v>
      </c>
      <c r="H227" s="18">
        <v>9</v>
      </c>
      <c r="I227" s="18">
        <v>7</v>
      </c>
      <c r="J227" s="18">
        <v>20</v>
      </c>
      <c r="K227" s="18">
        <v>20</v>
      </c>
      <c r="L227" s="11">
        <v>21</v>
      </c>
      <c r="M227" s="2">
        <f t="shared" si="65"/>
        <v>9</v>
      </c>
      <c r="N227" s="2">
        <f t="shared" si="66"/>
        <v>9</v>
      </c>
      <c r="O227" s="2">
        <f t="shared" si="67"/>
        <v>15</v>
      </c>
      <c r="P227" s="2">
        <f t="shared" si="68"/>
        <v>18</v>
      </c>
      <c r="Q227" s="2">
        <f t="shared" si="69"/>
        <v>12</v>
      </c>
      <c r="R227" s="2">
        <f t="shared" si="70"/>
        <v>12</v>
      </c>
      <c r="S227" s="2">
        <f t="shared" si="71"/>
        <v>12</v>
      </c>
      <c r="T227" s="11">
        <v>13</v>
      </c>
      <c r="U227" s="11">
        <v>14</v>
      </c>
      <c r="V227" s="11">
        <v>24</v>
      </c>
      <c r="W227" s="18">
        <v>25</v>
      </c>
      <c r="X227" s="18">
        <v>32</v>
      </c>
      <c r="Y227" s="23">
        <v>32</v>
      </c>
      <c r="Z227" s="18">
        <v>33</v>
      </c>
      <c r="AA227" s="18">
        <v>30.76923076923077</v>
      </c>
      <c r="AB227" s="18">
        <v>35.714285714285715</v>
      </c>
      <c r="AC227" s="18">
        <v>37.5</v>
      </c>
      <c r="AD227" s="11">
        <v>28.000000000000004</v>
      </c>
      <c r="AE227" s="11">
        <v>62.5</v>
      </c>
      <c r="AF227" s="11">
        <v>62.5</v>
      </c>
      <c r="AG227" s="11">
        <v>63.636363636363633</v>
      </c>
      <c r="AH227" s="11">
        <f t="shared" si="72"/>
        <v>33.738095238095241</v>
      </c>
      <c r="AI227" s="26">
        <f t="shared" si="73"/>
        <v>62.878787878787875</v>
      </c>
      <c r="AJ227" s="2">
        <f t="shared" si="74"/>
        <v>7</v>
      </c>
      <c r="AK227" s="2">
        <f t="shared" si="75"/>
        <v>20.333333333333332</v>
      </c>
      <c r="AL227" s="2">
        <f t="shared" si="76"/>
        <v>14</v>
      </c>
      <c r="AM227" s="2">
        <f t="shared" si="77"/>
        <v>12</v>
      </c>
    </row>
    <row r="228" spans="1:39" x14ac:dyDescent="0.3">
      <c r="A228" s="1" t="s">
        <v>281</v>
      </c>
      <c r="B228" s="1" t="s">
        <v>321</v>
      </c>
      <c r="C228" s="1" t="s">
        <v>324</v>
      </c>
      <c r="D228" s="1" t="s">
        <v>324</v>
      </c>
      <c r="E228" s="2">
        <v>51002</v>
      </c>
      <c r="F228" s="18">
        <v>2</v>
      </c>
      <c r="G228" s="18">
        <v>2</v>
      </c>
      <c r="H228" s="18">
        <v>2</v>
      </c>
      <c r="I228" s="18">
        <v>3</v>
      </c>
      <c r="J228" s="18">
        <v>5</v>
      </c>
      <c r="K228" s="18">
        <v>4</v>
      </c>
      <c r="L228" s="11">
        <v>6</v>
      </c>
      <c r="M228" s="2">
        <f t="shared" si="65"/>
        <v>3</v>
      </c>
      <c r="N228" s="2">
        <f t="shared" si="66"/>
        <v>3</v>
      </c>
      <c r="O228" s="2">
        <f t="shared" si="67"/>
        <v>5</v>
      </c>
      <c r="P228" s="2">
        <f t="shared" si="68"/>
        <v>4</v>
      </c>
      <c r="Q228" s="2">
        <f t="shared" si="69"/>
        <v>4</v>
      </c>
      <c r="R228" s="2">
        <f t="shared" si="70"/>
        <v>5</v>
      </c>
      <c r="S228" s="2">
        <f t="shared" si="71"/>
        <v>3</v>
      </c>
      <c r="T228" s="11">
        <v>5</v>
      </c>
      <c r="U228" s="11">
        <v>5</v>
      </c>
      <c r="V228" s="11">
        <v>7</v>
      </c>
      <c r="W228" s="18">
        <v>7</v>
      </c>
      <c r="X228" s="18">
        <v>9</v>
      </c>
      <c r="Y228" s="23">
        <v>9</v>
      </c>
      <c r="Z228" s="18">
        <v>9</v>
      </c>
      <c r="AA228" s="18">
        <v>40</v>
      </c>
      <c r="AB228" s="18">
        <v>40</v>
      </c>
      <c r="AC228" s="18">
        <v>28.571428571428569</v>
      </c>
      <c r="AD228" s="11">
        <v>42.857142857142854</v>
      </c>
      <c r="AE228" s="11">
        <v>55.555555555555557</v>
      </c>
      <c r="AF228" s="11">
        <v>44.444444444444443</v>
      </c>
      <c r="AG228" s="11">
        <v>66.666666666666657</v>
      </c>
      <c r="AH228" s="11">
        <f t="shared" si="72"/>
        <v>37.142857142857139</v>
      </c>
      <c r="AI228" s="26">
        <f t="shared" si="73"/>
        <v>55.55555555555555</v>
      </c>
      <c r="AJ228" s="2">
        <f t="shared" si="74"/>
        <v>2.3333333333333335</v>
      </c>
      <c r="AK228" s="2">
        <f t="shared" si="75"/>
        <v>5</v>
      </c>
      <c r="AL228" s="2">
        <f t="shared" si="76"/>
        <v>4</v>
      </c>
      <c r="AM228" s="2">
        <f t="shared" si="77"/>
        <v>4</v>
      </c>
    </row>
    <row r="229" spans="1:39" x14ac:dyDescent="0.3">
      <c r="A229" s="1" t="s">
        <v>281</v>
      </c>
      <c r="B229" s="1" t="s">
        <v>321</v>
      </c>
      <c r="C229" s="1" t="s">
        <v>325</v>
      </c>
      <c r="D229" s="1" t="s">
        <v>325</v>
      </c>
      <c r="E229" s="2">
        <v>51003</v>
      </c>
      <c r="F229" s="18">
        <v>2</v>
      </c>
      <c r="G229" s="18">
        <v>2</v>
      </c>
      <c r="H229" s="18">
        <v>3</v>
      </c>
      <c r="I229" s="18">
        <v>5</v>
      </c>
      <c r="J229" s="18">
        <v>9</v>
      </c>
      <c r="K229" s="18">
        <v>12</v>
      </c>
      <c r="L229" s="11">
        <v>13</v>
      </c>
      <c r="M229" s="2">
        <f t="shared" si="65"/>
        <v>3</v>
      </c>
      <c r="N229" s="2">
        <f t="shared" si="66"/>
        <v>3</v>
      </c>
      <c r="O229" s="2">
        <f t="shared" si="67"/>
        <v>9</v>
      </c>
      <c r="P229" s="2">
        <f t="shared" si="68"/>
        <v>7</v>
      </c>
      <c r="Q229" s="2">
        <f t="shared" si="69"/>
        <v>5</v>
      </c>
      <c r="R229" s="2">
        <f t="shared" si="70"/>
        <v>5</v>
      </c>
      <c r="S229" s="2">
        <f t="shared" si="71"/>
        <v>5</v>
      </c>
      <c r="T229" s="11">
        <v>5</v>
      </c>
      <c r="U229" s="11">
        <v>5</v>
      </c>
      <c r="V229" s="11">
        <v>12</v>
      </c>
      <c r="W229" s="18">
        <v>12</v>
      </c>
      <c r="X229" s="18">
        <v>14</v>
      </c>
      <c r="Y229" s="23">
        <v>17</v>
      </c>
      <c r="Z229" s="18">
        <v>18</v>
      </c>
      <c r="AA229" s="18">
        <v>40</v>
      </c>
      <c r="AB229" s="18">
        <v>40</v>
      </c>
      <c r="AC229" s="18">
        <v>25</v>
      </c>
      <c r="AD229" s="11">
        <v>41.666666666666671</v>
      </c>
      <c r="AE229" s="11">
        <v>64.285714285714292</v>
      </c>
      <c r="AF229" s="11">
        <v>70.588235294117652</v>
      </c>
      <c r="AG229" s="11">
        <v>72.222222222222214</v>
      </c>
      <c r="AH229" s="11">
        <f t="shared" si="72"/>
        <v>35.555555555555557</v>
      </c>
      <c r="AI229" s="26">
        <f t="shared" si="73"/>
        <v>69.032057267351391</v>
      </c>
      <c r="AJ229" s="2">
        <f t="shared" si="74"/>
        <v>3.3333333333333335</v>
      </c>
      <c r="AK229" s="2">
        <f t="shared" si="75"/>
        <v>11.333333333333334</v>
      </c>
      <c r="AL229" s="2">
        <f t="shared" si="76"/>
        <v>6.333333333333333</v>
      </c>
      <c r="AM229" s="2">
        <f t="shared" si="77"/>
        <v>5</v>
      </c>
    </row>
    <row r="230" spans="1:39" x14ac:dyDescent="0.3">
      <c r="A230" s="1" t="s">
        <v>281</v>
      </c>
      <c r="B230" s="1" t="s">
        <v>326</v>
      </c>
      <c r="C230" s="1" t="s">
        <v>327</v>
      </c>
      <c r="D230" s="1" t="s">
        <v>328</v>
      </c>
      <c r="E230" s="2">
        <v>51101</v>
      </c>
      <c r="F230" s="18">
        <v>70</v>
      </c>
      <c r="G230" s="18">
        <v>82</v>
      </c>
      <c r="H230" s="18">
        <v>96</v>
      </c>
      <c r="I230" s="18">
        <v>73</v>
      </c>
      <c r="J230" s="18">
        <v>122</v>
      </c>
      <c r="K230" s="18">
        <v>126</v>
      </c>
      <c r="L230" s="11">
        <v>134</v>
      </c>
      <c r="M230" s="2">
        <f t="shared" si="65"/>
        <v>67</v>
      </c>
      <c r="N230" s="2">
        <f t="shared" si="66"/>
        <v>55</v>
      </c>
      <c r="O230" s="2">
        <f t="shared" si="67"/>
        <v>129</v>
      </c>
      <c r="P230" s="2">
        <f t="shared" si="68"/>
        <v>95</v>
      </c>
      <c r="Q230" s="2">
        <f t="shared" si="69"/>
        <v>67</v>
      </c>
      <c r="R230" s="2">
        <f t="shared" si="70"/>
        <v>66</v>
      </c>
      <c r="S230" s="2">
        <f t="shared" si="71"/>
        <v>59</v>
      </c>
      <c r="T230" s="11">
        <v>137</v>
      </c>
      <c r="U230" s="11">
        <v>137</v>
      </c>
      <c r="V230" s="11">
        <v>225</v>
      </c>
      <c r="W230" s="18">
        <v>168</v>
      </c>
      <c r="X230" s="18">
        <v>189</v>
      </c>
      <c r="Y230" s="23">
        <v>192</v>
      </c>
      <c r="Z230" s="18">
        <v>193</v>
      </c>
      <c r="AA230" s="18">
        <v>51.094890510948908</v>
      </c>
      <c r="AB230" s="18">
        <v>59.854014598540154</v>
      </c>
      <c r="AC230" s="18">
        <v>42.666666666666671</v>
      </c>
      <c r="AD230" s="11">
        <v>43.452380952380956</v>
      </c>
      <c r="AE230" s="11">
        <v>64.550264550264544</v>
      </c>
      <c r="AF230" s="11">
        <v>65.625</v>
      </c>
      <c r="AG230" s="11">
        <v>69.430051813471508</v>
      </c>
      <c r="AH230" s="11">
        <f t="shared" si="72"/>
        <v>48.657687405862596</v>
      </c>
      <c r="AI230" s="26">
        <f t="shared" si="73"/>
        <v>66.535105454578684</v>
      </c>
      <c r="AJ230" s="2">
        <f t="shared" si="74"/>
        <v>83.666666666666671</v>
      </c>
      <c r="AK230" s="2">
        <f t="shared" si="75"/>
        <v>127.33333333333333</v>
      </c>
      <c r="AL230" s="2">
        <f t="shared" si="76"/>
        <v>93</v>
      </c>
      <c r="AM230" s="2">
        <f t="shared" si="77"/>
        <v>64</v>
      </c>
    </row>
    <row r="231" spans="1:39" x14ac:dyDescent="0.3">
      <c r="A231" s="1" t="s">
        <v>281</v>
      </c>
      <c r="B231" s="1" t="s">
        <v>326</v>
      </c>
      <c r="C231" s="1" t="s">
        <v>329</v>
      </c>
      <c r="D231" s="1" t="s">
        <v>329</v>
      </c>
      <c r="E231" s="2">
        <v>51102</v>
      </c>
      <c r="F231" s="18">
        <v>27</v>
      </c>
      <c r="G231" s="18">
        <v>31</v>
      </c>
      <c r="H231" s="18">
        <v>38</v>
      </c>
      <c r="I231" s="18">
        <v>42</v>
      </c>
      <c r="J231" s="18">
        <v>55</v>
      </c>
      <c r="K231" s="18">
        <v>56</v>
      </c>
      <c r="L231" s="11">
        <v>58</v>
      </c>
      <c r="M231" s="2">
        <f t="shared" si="65"/>
        <v>23</v>
      </c>
      <c r="N231" s="2">
        <f t="shared" si="66"/>
        <v>21</v>
      </c>
      <c r="O231" s="2">
        <f t="shared" si="67"/>
        <v>36</v>
      </c>
      <c r="P231" s="2">
        <f t="shared" si="68"/>
        <v>32</v>
      </c>
      <c r="Q231" s="2">
        <f t="shared" si="69"/>
        <v>35</v>
      </c>
      <c r="R231" s="2">
        <f t="shared" si="70"/>
        <v>38</v>
      </c>
      <c r="S231" s="2">
        <f t="shared" si="71"/>
        <v>43</v>
      </c>
      <c r="T231" s="11">
        <v>50</v>
      </c>
      <c r="U231" s="11">
        <v>52</v>
      </c>
      <c r="V231" s="11">
        <v>74</v>
      </c>
      <c r="W231" s="18">
        <v>74</v>
      </c>
      <c r="X231" s="18">
        <v>90</v>
      </c>
      <c r="Y231" s="23">
        <v>94</v>
      </c>
      <c r="Z231" s="18">
        <v>101</v>
      </c>
      <c r="AA231" s="18">
        <v>54</v>
      </c>
      <c r="AB231" s="18">
        <v>59.615384615384613</v>
      </c>
      <c r="AC231" s="18">
        <v>51.351351351351347</v>
      </c>
      <c r="AD231" s="11">
        <v>56.756756756756758</v>
      </c>
      <c r="AE231" s="11">
        <v>61.111111111111114</v>
      </c>
      <c r="AF231" s="11">
        <v>59.574468085106382</v>
      </c>
      <c r="AG231" s="11">
        <v>57.42574257425742</v>
      </c>
      <c r="AH231" s="11">
        <f t="shared" si="72"/>
        <v>55.907830907830906</v>
      </c>
      <c r="AI231" s="26">
        <f t="shared" si="73"/>
        <v>59.370440590158303</v>
      </c>
      <c r="AJ231" s="2">
        <f t="shared" si="74"/>
        <v>37</v>
      </c>
      <c r="AK231" s="2">
        <f t="shared" si="75"/>
        <v>56.333333333333336</v>
      </c>
      <c r="AL231" s="2">
        <f t="shared" si="76"/>
        <v>29.666666666666668</v>
      </c>
      <c r="AM231" s="2">
        <f t="shared" si="77"/>
        <v>38.666666666666664</v>
      </c>
    </row>
    <row r="232" spans="1:39" x14ac:dyDescent="0.3">
      <c r="A232" s="1" t="s">
        <v>281</v>
      </c>
      <c r="B232" s="1" t="s">
        <v>326</v>
      </c>
      <c r="C232" s="1" t="s">
        <v>330</v>
      </c>
      <c r="D232" s="1" t="s">
        <v>330</v>
      </c>
      <c r="E232" s="2">
        <v>51103</v>
      </c>
      <c r="F232" s="18">
        <v>0</v>
      </c>
      <c r="G232" s="18">
        <v>0</v>
      </c>
      <c r="H232" s="18">
        <v>0</v>
      </c>
      <c r="I232" s="18">
        <v>39</v>
      </c>
      <c r="J232" s="18">
        <v>79</v>
      </c>
      <c r="K232" s="18">
        <v>81</v>
      </c>
      <c r="L232" s="11">
        <v>84</v>
      </c>
      <c r="M232" s="2">
        <f t="shared" si="65"/>
        <v>0</v>
      </c>
      <c r="N232" s="2">
        <f t="shared" si="66"/>
        <v>0</v>
      </c>
      <c r="O232" s="2">
        <f t="shared" si="67"/>
        <v>0</v>
      </c>
      <c r="P232" s="2">
        <f t="shared" si="68"/>
        <v>45</v>
      </c>
      <c r="Q232" s="2">
        <f t="shared" si="69"/>
        <v>39</v>
      </c>
      <c r="R232" s="2">
        <f t="shared" si="70"/>
        <v>39</v>
      </c>
      <c r="S232" s="2">
        <f t="shared" si="71"/>
        <v>38</v>
      </c>
      <c r="T232" s="11">
        <v>0</v>
      </c>
      <c r="U232" s="11">
        <v>0</v>
      </c>
      <c r="V232" s="11">
        <v>0</v>
      </c>
      <c r="W232" s="18">
        <v>84</v>
      </c>
      <c r="X232" s="18">
        <v>118</v>
      </c>
      <c r="Y232" s="23">
        <v>120</v>
      </c>
      <c r="Z232" s="18">
        <v>122</v>
      </c>
      <c r="AA232" s="18"/>
      <c r="AB232" s="18"/>
      <c r="AC232" s="18"/>
      <c r="AD232" s="11">
        <v>46.428571428571431</v>
      </c>
      <c r="AE232" s="11">
        <v>66.949152542372886</v>
      </c>
      <c r="AF232" s="11">
        <v>67.5</v>
      </c>
      <c r="AG232" s="11">
        <v>68.852459016393439</v>
      </c>
      <c r="AH232" s="11">
        <f t="shared" si="72"/>
        <v>46.428571428571431</v>
      </c>
      <c r="AI232" s="26">
        <f t="shared" si="73"/>
        <v>67.767203852922094</v>
      </c>
      <c r="AJ232" s="2">
        <f t="shared" si="74"/>
        <v>13</v>
      </c>
      <c r="AK232" s="2">
        <f t="shared" si="75"/>
        <v>81.333333333333329</v>
      </c>
      <c r="AL232" s="2">
        <f t="shared" si="76"/>
        <v>15</v>
      </c>
      <c r="AM232" s="2">
        <f t="shared" si="77"/>
        <v>38.666666666666664</v>
      </c>
    </row>
    <row r="233" spans="1:39" x14ac:dyDescent="0.3">
      <c r="A233" s="1" t="s">
        <v>281</v>
      </c>
      <c r="B233" s="1" t="s">
        <v>331</v>
      </c>
      <c r="C233" s="1" t="s">
        <v>332</v>
      </c>
      <c r="D233" s="1" t="s">
        <v>332</v>
      </c>
      <c r="E233" s="2">
        <v>51201</v>
      </c>
      <c r="F233" s="18">
        <v>111</v>
      </c>
      <c r="G233" s="18">
        <v>118</v>
      </c>
      <c r="H233" s="18">
        <v>146</v>
      </c>
      <c r="I233" s="18">
        <v>150</v>
      </c>
      <c r="J233" s="18">
        <v>207</v>
      </c>
      <c r="K233" s="18">
        <v>211</v>
      </c>
      <c r="L233" s="11">
        <v>213</v>
      </c>
      <c r="M233" s="2">
        <f t="shared" si="65"/>
        <v>53</v>
      </c>
      <c r="N233" s="2">
        <f t="shared" si="66"/>
        <v>47</v>
      </c>
      <c r="O233" s="2">
        <f t="shared" si="67"/>
        <v>71</v>
      </c>
      <c r="P233" s="2">
        <f t="shared" si="68"/>
        <v>72</v>
      </c>
      <c r="Q233" s="2">
        <f t="shared" si="69"/>
        <v>76</v>
      </c>
      <c r="R233" s="2">
        <f t="shared" si="70"/>
        <v>76</v>
      </c>
      <c r="S233" s="2">
        <f t="shared" si="71"/>
        <v>79</v>
      </c>
      <c r="T233" s="11">
        <v>164</v>
      </c>
      <c r="U233" s="11">
        <v>165</v>
      </c>
      <c r="V233" s="11">
        <v>217</v>
      </c>
      <c r="W233" s="18">
        <v>222</v>
      </c>
      <c r="X233" s="18">
        <v>283</v>
      </c>
      <c r="Y233" s="23">
        <v>287</v>
      </c>
      <c r="Z233" s="18">
        <v>292</v>
      </c>
      <c r="AA233" s="18">
        <v>67.682926829268297</v>
      </c>
      <c r="AB233" s="18">
        <v>71.515151515151516</v>
      </c>
      <c r="AC233" s="18">
        <v>67.281105990783402</v>
      </c>
      <c r="AD233" s="11">
        <v>67.567567567567565</v>
      </c>
      <c r="AE233" s="11">
        <v>73.144876325088333</v>
      </c>
      <c r="AF233" s="11">
        <v>73.519163763066203</v>
      </c>
      <c r="AG233" s="11">
        <v>72.945205479452056</v>
      </c>
      <c r="AH233" s="11">
        <f t="shared" si="72"/>
        <v>68.787941691167489</v>
      </c>
      <c r="AI233" s="26">
        <f t="shared" si="73"/>
        <v>73.203081855868859</v>
      </c>
      <c r="AJ233" s="2">
        <f t="shared" si="74"/>
        <v>138</v>
      </c>
      <c r="AK233" s="2">
        <f t="shared" si="75"/>
        <v>210.33333333333334</v>
      </c>
      <c r="AL233" s="2">
        <f t="shared" si="76"/>
        <v>63.333333333333336</v>
      </c>
      <c r="AM233" s="2">
        <f t="shared" si="77"/>
        <v>77</v>
      </c>
    </row>
    <row r="234" spans="1:39" x14ac:dyDescent="0.3">
      <c r="A234" s="1" t="s">
        <v>281</v>
      </c>
      <c r="B234" s="1" t="s">
        <v>331</v>
      </c>
      <c r="C234" s="1" t="s">
        <v>333</v>
      </c>
      <c r="D234" s="1" t="s">
        <v>333</v>
      </c>
      <c r="E234" s="2">
        <v>51202</v>
      </c>
      <c r="F234" s="18">
        <v>28</v>
      </c>
      <c r="G234" s="18">
        <v>34</v>
      </c>
      <c r="H234" s="18">
        <v>42</v>
      </c>
      <c r="I234" s="18">
        <v>49</v>
      </c>
      <c r="J234" s="18">
        <v>71</v>
      </c>
      <c r="K234" s="18">
        <v>70</v>
      </c>
      <c r="L234" s="11">
        <v>75</v>
      </c>
      <c r="M234" s="2">
        <f t="shared" si="65"/>
        <v>39</v>
      </c>
      <c r="N234" s="2">
        <f t="shared" si="66"/>
        <v>45</v>
      </c>
      <c r="O234" s="2">
        <f t="shared" si="67"/>
        <v>64</v>
      </c>
      <c r="P234" s="2">
        <f t="shared" si="68"/>
        <v>62</v>
      </c>
      <c r="Q234" s="2">
        <f t="shared" si="69"/>
        <v>49</v>
      </c>
      <c r="R234" s="2">
        <f t="shared" si="70"/>
        <v>49</v>
      </c>
      <c r="S234" s="2">
        <f t="shared" si="71"/>
        <v>45</v>
      </c>
      <c r="T234" s="11">
        <v>67</v>
      </c>
      <c r="U234" s="11">
        <v>79</v>
      </c>
      <c r="V234" s="11">
        <v>106</v>
      </c>
      <c r="W234" s="18">
        <v>111</v>
      </c>
      <c r="X234" s="18">
        <v>120</v>
      </c>
      <c r="Y234" s="23">
        <v>119</v>
      </c>
      <c r="Z234" s="18">
        <v>120</v>
      </c>
      <c r="AA234" s="18">
        <v>41.791044776119399</v>
      </c>
      <c r="AB234" s="18">
        <v>43.037974683544306</v>
      </c>
      <c r="AC234" s="18">
        <v>39.622641509433961</v>
      </c>
      <c r="AD234" s="11">
        <v>44.144144144144143</v>
      </c>
      <c r="AE234" s="11">
        <v>59.166666666666664</v>
      </c>
      <c r="AF234" s="11">
        <v>58.82352941176471</v>
      </c>
      <c r="AG234" s="11">
        <v>62.5</v>
      </c>
      <c r="AH234" s="11">
        <f t="shared" si="72"/>
        <v>42.268253445707472</v>
      </c>
      <c r="AI234" s="26">
        <f t="shared" si="73"/>
        <v>60.16339869281046</v>
      </c>
      <c r="AJ234" s="2">
        <f t="shared" si="74"/>
        <v>41.666666666666664</v>
      </c>
      <c r="AK234" s="2">
        <f t="shared" si="75"/>
        <v>72</v>
      </c>
      <c r="AL234" s="2">
        <f t="shared" si="76"/>
        <v>57</v>
      </c>
      <c r="AM234" s="2">
        <f t="shared" si="77"/>
        <v>47.666666666666664</v>
      </c>
    </row>
    <row r="235" spans="1:39" x14ac:dyDescent="0.3">
      <c r="A235" s="1" t="s">
        <v>281</v>
      </c>
      <c r="B235" s="1" t="s">
        <v>331</v>
      </c>
      <c r="C235" s="1" t="s">
        <v>334</v>
      </c>
      <c r="D235" s="1" t="s">
        <v>334</v>
      </c>
      <c r="E235" s="2">
        <v>51203</v>
      </c>
      <c r="F235" s="18">
        <v>12</v>
      </c>
      <c r="G235" s="18">
        <v>15</v>
      </c>
      <c r="H235" s="18">
        <v>21</v>
      </c>
      <c r="I235" s="18">
        <v>20</v>
      </c>
      <c r="J235" s="18">
        <v>31</v>
      </c>
      <c r="K235" s="18">
        <v>33</v>
      </c>
      <c r="L235" s="11">
        <v>33</v>
      </c>
      <c r="M235" s="2">
        <f t="shared" si="65"/>
        <v>10</v>
      </c>
      <c r="N235" s="2">
        <f t="shared" si="66"/>
        <v>7</v>
      </c>
      <c r="O235" s="2">
        <f t="shared" si="67"/>
        <v>16</v>
      </c>
      <c r="P235" s="2">
        <f t="shared" si="68"/>
        <v>17</v>
      </c>
      <c r="Q235" s="2">
        <f t="shared" si="69"/>
        <v>24</v>
      </c>
      <c r="R235" s="2">
        <f t="shared" si="70"/>
        <v>23</v>
      </c>
      <c r="S235" s="2">
        <f t="shared" si="71"/>
        <v>23</v>
      </c>
      <c r="T235" s="11">
        <v>22</v>
      </c>
      <c r="U235" s="11">
        <v>22</v>
      </c>
      <c r="V235" s="11">
        <v>37</v>
      </c>
      <c r="W235" s="18">
        <v>37</v>
      </c>
      <c r="X235" s="18">
        <v>55</v>
      </c>
      <c r="Y235" s="23">
        <v>56</v>
      </c>
      <c r="Z235" s="18">
        <v>56</v>
      </c>
      <c r="AA235" s="18">
        <v>54.54545454545454</v>
      </c>
      <c r="AB235" s="18">
        <v>68.181818181818173</v>
      </c>
      <c r="AC235" s="18">
        <v>56.756756756756758</v>
      </c>
      <c r="AD235" s="11">
        <v>54.054054054054056</v>
      </c>
      <c r="AE235" s="11">
        <v>56.36363636363636</v>
      </c>
      <c r="AF235" s="11">
        <v>58.928571428571431</v>
      </c>
      <c r="AG235" s="11">
        <v>58.928571428571431</v>
      </c>
      <c r="AH235" s="11">
        <f t="shared" si="72"/>
        <v>59.664209664209665</v>
      </c>
      <c r="AI235" s="26">
        <f t="shared" si="73"/>
        <v>58.073593073593067</v>
      </c>
      <c r="AJ235" s="2">
        <f t="shared" si="74"/>
        <v>18.666666666666668</v>
      </c>
      <c r="AK235" s="2">
        <f t="shared" si="75"/>
        <v>32.333333333333336</v>
      </c>
      <c r="AL235" s="2">
        <f t="shared" si="76"/>
        <v>13.333333333333334</v>
      </c>
      <c r="AM235" s="2">
        <f t="shared" si="77"/>
        <v>23.333333333333332</v>
      </c>
    </row>
    <row r="236" spans="1:39" x14ac:dyDescent="0.3">
      <c r="A236" s="1" t="s">
        <v>281</v>
      </c>
      <c r="B236" s="1" t="s">
        <v>333</v>
      </c>
      <c r="C236" s="1" t="s">
        <v>335</v>
      </c>
      <c r="D236" s="1" t="s">
        <v>335</v>
      </c>
      <c r="E236" s="2">
        <v>51204</v>
      </c>
      <c r="F236" s="18">
        <v>28</v>
      </c>
      <c r="G236" s="18">
        <v>34</v>
      </c>
      <c r="H236" s="18">
        <v>42</v>
      </c>
      <c r="I236" s="18">
        <v>49</v>
      </c>
      <c r="J236" s="18">
        <v>71</v>
      </c>
      <c r="K236" s="18">
        <v>70</v>
      </c>
      <c r="L236" s="11">
        <v>75</v>
      </c>
      <c r="M236" s="2">
        <f t="shared" si="65"/>
        <v>39</v>
      </c>
      <c r="N236" s="2">
        <f t="shared" si="66"/>
        <v>45</v>
      </c>
      <c r="O236" s="2">
        <f t="shared" si="67"/>
        <v>64</v>
      </c>
      <c r="P236" s="2">
        <f t="shared" si="68"/>
        <v>62</v>
      </c>
      <c r="Q236" s="2">
        <f t="shared" si="69"/>
        <v>49</v>
      </c>
      <c r="R236" s="2">
        <f t="shared" si="70"/>
        <v>49</v>
      </c>
      <c r="S236" s="2">
        <f t="shared" si="71"/>
        <v>45</v>
      </c>
      <c r="T236" s="11">
        <v>67</v>
      </c>
      <c r="U236" s="11">
        <v>79</v>
      </c>
      <c r="V236" s="11">
        <v>106</v>
      </c>
      <c r="W236" s="18">
        <v>111</v>
      </c>
      <c r="X236" s="18">
        <v>120</v>
      </c>
      <c r="Y236" s="23">
        <v>119</v>
      </c>
      <c r="Z236" s="18">
        <v>120</v>
      </c>
      <c r="AA236" s="18">
        <v>41.791044776119399</v>
      </c>
      <c r="AB236" s="18">
        <v>43.037974683544306</v>
      </c>
      <c r="AC236" s="18">
        <v>39.622641509433961</v>
      </c>
      <c r="AD236" s="11">
        <v>44.144144144144143</v>
      </c>
      <c r="AE236" s="11">
        <v>59.166666666666664</v>
      </c>
      <c r="AF236" s="11">
        <v>58.82352941176471</v>
      </c>
      <c r="AG236" s="11">
        <v>62.5</v>
      </c>
      <c r="AH236" s="11">
        <f t="shared" si="72"/>
        <v>42.268253445707472</v>
      </c>
      <c r="AI236" s="26">
        <f t="shared" si="73"/>
        <v>60.16339869281046</v>
      </c>
      <c r="AJ236" s="2">
        <f t="shared" si="74"/>
        <v>41.666666666666664</v>
      </c>
      <c r="AK236" s="2">
        <f t="shared" si="75"/>
        <v>72</v>
      </c>
      <c r="AL236" s="2">
        <f t="shared" si="76"/>
        <v>57</v>
      </c>
      <c r="AM236" s="2">
        <f t="shared" si="77"/>
        <v>47.666666666666664</v>
      </c>
    </row>
    <row r="237" spans="1:39" x14ac:dyDescent="0.3">
      <c r="A237" s="1" t="s">
        <v>281</v>
      </c>
      <c r="B237" s="1" t="s">
        <v>336</v>
      </c>
      <c r="C237" s="1" t="s">
        <v>337</v>
      </c>
      <c r="D237" s="1" t="s">
        <v>337</v>
      </c>
      <c r="E237" s="2">
        <v>51301</v>
      </c>
      <c r="F237" s="18">
        <v>6</v>
      </c>
      <c r="G237" s="18">
        <v>7</v>
      </c>
      <c r="H237" s="18">
        <v>7</v>
      </c>
      <c r="I237" s="18">
        <v>9</v>
      </c>
      <c r="J237" s="18">
        <v>31</v>
      </c>
      <c r="K237" s="18">
        <v>31</v>
      </c>
      <c r="L237" s="11">
        <v>28</v>
      </c>
      <c r="M237" s="2">
        <f t="shared" si="65"/>
        <v>5</v>
      </c>
      <c r="N237" s="2">
        <f t="shared" si="66"/>
        <v>4</v>
      </c>
      <c r="O237" s="2">
        <f t="shared" si="67"/>
        <v>13</v>
      </c>
      <c r="P237" s="2">
        <f t="shared" si="68"/>
        <v>12</v>
      </c>
      <c r="Q237" s="2">
        <f t="shared" si="69"/>
        <v>6</v>
      </c>
      <c r="R237" s="2">
        <f t="shared" si="70"/>
        <v>6</v>
      </c>
      <c r="S237" s="2">
        <f t="shared" si="71"/>
        <v>9</v>
      </c>
      <c r="T237" s="11">
        <v>11</v>
      </c>
      <c r="U237" s="11">
        <v>11</v>
      </c>
      <c r="V237" s="11">
        <v>20</v>
      </c>
      <c r="W237" s="18">
        <v>21</v>
      </c>
      <c r="X237" s="18">
        <v>37</v>
      </c>
      <c r="Y237" s="23">
        <v>37</v>
      </c>
      <c r="Z237" s="18">
        <v>37</v>
      </c>
      <c r="AA237" s="18">
        <v>54.54545454545454</v>
      </c>
      <c r="AB237" s="18">
        <v>63.636363636363633</v>
      </c>
      <c r="AC237" s="18">
        <v>35</v>
      </c>
      <c r="AD237" s="11">
        <v>42.857142857142854</v>
      </c>
      <c r="AE237" s="11">
        <v>83.78378378378379</v>
      </c>
      <c r="AF237" s="11">
        <v>83.78378378378379</v>
      </c>
      <c r="AG237" s="11">
        <v>75.675675675675677</v>
      </c>
      <c r="AH237" s="11">
        <f t="shared" si="72"/>
        <v>47.16450216450216</v>
      </c>
      <c r="AI237" s="26">
        <f t="shared" si="73"/>
        <v>81.081081081081081</v>
      </c>
      <c r="AJ237" s="2">
        <f t="shared" si="74"/>
        <v>7.666666666666667</v>
      </c>
      <c r="AK237" s="2">
        <f t="shared" si="75"/>
        <v>30</v>
      </c>
      <c r="AL237" s="2">
        <f t="shared" si="76"/>
        <v>9.6666666666666661</v>
      </c>
      <c r="AM237" s="2">
        <f t="shared" si="77"/>
        <v>7</v>
      </c>
    </row>
    <row r="238" spans="1:39" x14ac:dyDescent="0.3">
      <c r="A238" s="1" t="s">
        <v>281</v>
      </c>
      <c r="B238" s="1" t="s">
        <v>336</v>
      </c>
      <c r="C238" s="1" t="s">
        <v>338</v>
      </c>
      <c r="D238" s="1" t="s">
        <v>338</v>
      </c>
      <c r="E238" s="2">
        <v>51302</v>
      </c>
      <c r="F238" s="18">
        <v>9</v>
      </c>
      <c r="G238" s="18">
        <v>10</v>
      </c>
      <c r="H238" s="18">
        <v>13</v>
      </c>
      <c r="I238" s="18">
        <v>12</v>
      </c>
      <c r="J238" s="18">
        <v>38</v>
      </c>
      <c r="K238" s="18">
        <v>36</v>
      </c>
      <c r="L238" s="11">
        <v>39</v>
      </c>
      <c r="M238" s="2">
        <f t="shared" si="65"/>
        <v>5</v>
      </c>
      <c r="N238" s="2">
        <f t="shared" si="66"/>
        <v>4</v>
      </c>
      <c r="O238" s="2">
        <f t="shared" si="67"/>
        <v>14</v>
      </c>
      <c r="P238" s="2">
        <f t="shared" si="68"/>
        <v>14</v>
      </c>
      <c r="Q238" s="2">
        <f t="shared" si="69"/>
        <v>7</v>
      </c>
      <c r="R238" s="2">
        <f t="shared" si="70"/>
        <v>9</v>
      </c>
      <c r="S238" s="2">
        <f t="shared" si="71"/>
        <v>7</v>
      </c>
      <c r="T238" s="11">
        <v>14</v>
      </c>
      <c r="U238" s="11">
        <v>14</v>
      </c>
      <c r="V238" s="11">
        <v>27</v>
      </c>
      <c r="W238" s="18">
        <v>26</v>
      </c>
      <c r="X238" s="18">
        <v>45</v>
      </c>
      <c r="Y238" s="23">
        <v>45</v>
      </c>
      <c r="Z238" s="18">
        <v>46</v>
      </c>
      <c r="AA238" s="18">
        <v>64.285714285714292</v>
      </c>
      <c r="AB238" s="18">
        <v>71.428571428571431</v>
      </c>
      <c r="AC238" s="18">
        <v>48.148148148148145</v>
      </c>
      <c r="AD238" s="11">
        <v>46.153846153846153</v>
      </c>
      <c r="AE238" s="11">
        <v>84.444444444444443</v>
      </c>
      <c r="AF238" s="11">
        <v>80</v>
      </c>
      <c r="AG238" s="11">
        <v>84.782608695652172</v>
      </c>
      <c r="AH238" s="11">
        <f t="shared" si="72"/>
        <v>55.243521910188576</v>
      </c>
      <c r="AI238" s="26">
        <f t="shared" si="73"/>
        <v>83.075684380032214</v>
      </c>
      <c r="AJ238" s="2">
        <f t="shared" si="74"/>
        <v>11.666666666666666</v>
      </c>
      <c r="AK238" s="2">
        <f t="shared" si="75"/>
        <v>37.666666666666664</v>
      </c>
      <c r="AL238" s="2">
        <f t="shared" si="76"/>
        <v>10.666666666666666</v>
      </c>
      <c r="AM238" s="2">
        <f t="shared" si="77"/>
        <v>7.666666666666667</v>
      </c>
    </row>
    <row r="239" spans="1:39" x14ac:dyDescent="0.3">
      <c r="A239" s="1" t="s">
        <v>281</v>
      </c>
      <c r="B239" s="1" t="s">
        <v>339</v>
      </c>
      <c r="C239" s="1" t="s">
        <v>340</v>
      </c>
      <c r="D239" s="1" t="s">
        <v>340</v>
      </c>
      <c r="E239" s="2">
        <v>51401</v>
      </c>
      <c r="F239" s="18">
        <v>7</v>
      </c>
      <c r="G239" s="18">
        <v>8</v>
      </c>
      <c r="H239" s="18">
        <v>9</v>
      </c>
      <c r="I239" s="18">
        <v>10</v>
      </c>
      <c r="J239" s="18">
        <v>17</v>
      </c>
      <c r="K239" s="18">
        <v>17</v>
      </c>
      <c r="L239" s="11">
        <v>18</v>
      </c>
      <c r="M239" s="2">
        <f t="shared" si="65"/>
        <v>10</v>
      </c>
      <c r="N239" s="2">
        <f t="shared" si="66"/>
        <v>9</v>
      </c>
      <c r="O239" s="2">
        <f t="shared" si="67"/>
        <v>23</v>
      </c>
      <c r="P239" s="2">
        <f t="shared" si="68"/>
        <v>24</v>
      </c>
      <c r="Q239" s="2">
        <f t="shared" si="69"/>
        <v>18</v>
      </c>
      <c r="R239" s="2">
        <f t="shared" si="70"/>
        <v>20</v>
      </c>
      <c r="S239" s="2">
        <f t="shared" si="71"/>
        <v>20</v>
      </c>
      <c r="T239" s="11">
        <v>17</v>
      </c>
      <c r="U239" s="11">
        <v>17</v>
      </c>
      <c r="V239" s="11">
        <v>32</v>
      </c>
      <c r="W239" s="18">
        <v>34</v>
      </c>
      <c r="X239" s="18">
        <v>35</v>
      </c>
      <c r="Y239" s="23">
        <v>37</v>
      </c>
      <c r="Z239" s="18">
        <v>38</v>
      </c>
      <c r="AA239" s="18">
        <v>41.17647058823529</v>
      </c>
      <c r="AB239" s="18">
        <v>47.058823529411761</v>
      </c>
      <c r="AC239" s="18">
        <v>28.125</v>
      </c>
      <c r="AD239" s="11">
        <v>29.411764705882355</v>
      </c>
      <c r="AE239" s="11">
        <v>48.571428571428569</v>
      </c>
      <c r="AF239" s="11">
        <v>45.945945945945951</v>
      </c>
      <c r="AG239" s="11">
        <v>47.368421052631575</v>
      </c>
      <c r="AH239" s="11">
        <f t="shared" si="72"/>
        <v>34.865196078431374</v>
      </c>
      <c r="AI239" s="26">
        <f t="shared" si="73"/>
        <v>47.295265190002034</v>
      </c>
      <c r="AJ239" s="2">
        <f t="shared" si="74"/>
        <v>9</v>
      </c>
      <c r="AK239" s="2">
        <f t="shared" si="75"/>
        <v>17.333333333333332</v>
      </c>
      <c r="AL239" s="2">
        <f t="shared" si="76"/>
        <v>18.666666666666668</v>
      </c>
      <c r="AM239" s="2">
        <f t="shared" si="77"/>
        <v>19.333333333333332</v>
      </c>
    </row>
    <row r="240" spans="1:39" x14ac:dyDescent="0.3">
      <c r="A240" s="1" t="s">
        <v>281</v>
      </c>
      <c r="B240" s="1" t="s">
        <v>339</v>
      </c>
      <c r="C240" s="1" t="s">
        <v>341</v>
      </c>
      <c r="D240" s="1" t="s">
        <v>341</v>
      </c>
      <c r="E240" s="2">
        <v>51402</v>
      </c>
      <c r="F240" s="18">
        <v>1</v>
      </c>
      <c r="G240" s="18">
        <v>4</v>
      </c>
      <c r="H240" s="18">
        <v>4</v>
      </c>
      <c r="I240" s="18">
        <v>3</v>
      </c>
      <c r="J240" s="18">
        <v>5</v>
      </c>
      <c r="K240" s="18">
        <v>5</v>
      </c>
      <c r="L240" s="11">
        <v>6</v>
      </c>
      <c r="M240" s="2">
        <f t="shared" si="65"/>
        <v>4</v>
      </c>
      <c r="N240" s="2">
        <f t="shared" si="66"/>
        <v>1</v>
      </c>
      <c r="O240" s="2">
        <f t="shared" si="67"/>
        <v>7</v>
      </c>
      <c r="P240" s="2">
        <f t="shared" si="68"/>
        <v>9</v>
      </c>
      <c r="Q240" s="2">
        <f t="shared" si="69"/>
        <v>7</v>
      </c>
      <c r="R240" s="2">
        <f t="shared" si="70"/>
        <v>7</v>
      </c>
      <c r="S240" s="2">
        <f t="shared" si="71"/>
        <v>6</v>
      </c>
      <c r="T240" s="11">
        <v>5</v>
      </c>
      <c r="U240" s="11">
        <v>5</v>
      </c>
      <c r="V240" s="11">
        <v>11</v>
      </c>
      <c r="W240" s="18">
        <v>12</v>
      </c>
      <c r="X240" s="18">
        <v>12</v>
      </c>
      <c r="Y240" s="23">
        <v>12</v>
      </c>
      <c r="Z240" s="18">
        <v>12</v>
      </c>
      <c r="AA240" s="18">
        <v>20</v>
      </c>
      <c r="AB240" s="18">
        <v>80</v>
      </c>
      <c r="AC240" s="18">
        <v>36.363636363636367</v>
      </c>
      <c r="AD240" s="11">
        <v>25</v>
      </c>
      <c r="AE240" s="11">
        <v>41.666666666666671</v>
      </c>
      <c r="AF240" s="11">
        <v>41.666666666666671</v>
      </c>
      <c r="AG240" s="11">
        <v>50</v>
      </c>
      <c r="AH240" s="11">
        <f t="shared" si="72"/>
        <v>47.121212121212125</v>
      </c>
      <c r="AI240" s="26">
        <f t="shared" si="73"/>
        <v>44.44444444444445</v>
      </c>
      <c r="AJ240" s="2">
        <f t="shared" si="74"/>
        <v>3.6666666666666665</v>
      </c>
      <c r="AK240" s="2">
        <f t="shared" si="75"/>
        <v>5.333333333333333</v>
      </c>
      <c r="AL240" s="2">
        <f t="shared" si="76"/>
        <v>5.666666666666667</v>
      </c>
      <c r="AM240" s="2">
        <f t="shared" si="77"/>
        <v>6.666666666666667</v>
      </c>
    </row>
    <row r="241" spans="1:39" x14ac:dyDescent="0.3">
      <c r="A241" s="1" t="s">
        <v>281</v>
      </c>
      <c r="B241" s="1" t="s">
        <v>342</v>
      </c>
      <c r="C241" s="1" t="s">
        <v>343</v>
      </c>
      <c r="D241" s="1" t="s">
        <v>343</v>
      </c>
      <c r="E241" s="2">
        <v>51501</v>
      </c>
      <c r="F241" s="18">
        <v>144</v>
      </c>
      <c r="G241" s="18">
        <v>166</v>
      </c>
      <c r="H241" s="18">
        <v>200</v>
      </c>
      <c r="I241" s="18">
        <v>204</v>
      </c>
      <c r="J241" s="18">
        <v>275</v>
      </c>
      <c r="K241" s="18">
        <v>277</v>
      </c>
      <c r="L241" s="11">
        <v>280</v>
      </c>
      <c r="M241" s="2">
        <f t="shared" si="65"/>
        <v>64</v>
      </c>
      <c r="N241" s="2">
        <f t="shared" si="66"/>
        <v>83</v>
      </c>
      <c r="O241" s="2">
        <f t="shared" si="67"/>
        <v>129</v>
      </c>
      <c r="P241" s="2">
        <f t="shared" si="68"/>
        <v>124</v>
      </c>
      <c r="Q241" s="2">
        <f t="shared" si="69"/>
        <v>85</v>
      </c>
      <c r="R241" s="2">
        <f t="shared" si="70"/>
        <v>88</v>
      </c>
      <c r="S241" s="2">
        <f t="shared" si="71"/>
        <v>88</v>
      </c>
      <c r="T241" s="11">
        <v>208</v>
      </c>
      <c r="U241" s="11">
        <v>249</v>
      </c>
      <c r="V241" s="11">
        <v>329</v>
      </c>
      <c r="W241" s="18">
        <v>328</v>
      </c>
      <c r="X241" s="18">
        <v>360</v>
      </c>
      <c r="Y241" s="23">
        <v>365</v>
      </c>
      <c r="Z241" s="18">
        <v>368</v>
      </c>
      <c r="AA241" s="18">
        <v>69.230769230769226</v>
      </c>
      <c r="AB241" s="18">
        <v>66.666666666666657</v>
      </c>
      <c r="AC241" s="18">
        <v>60.790273556231</v>
      </c>
      <c r="AD241" s="11">
        <v>62.195121951219512</v>
      </c>
      <c r="AE241" s="11">
        <v>76.388888888888886</v>
      </c>
      <c r="AF241" s="11">
        <v>75.890410958904113</v>
      </c>
      <c r="AG241" s="11">
        <v>76.08695652173914</v>
      </c>
      <c r="AH241" s="11">
        <f t="shared" si="72"/>
        <v>63.217354058039056</v>
      </c>
      <c r="AI241" s="26">
        <f t="shared" si="73"/>
        <v>76.122085456510717</v>
      </c>
      <c r="AJ241" s="2">
        <f t="shared" si="74"/>
        <v>190</v>
      </c>
      <c r="AK241" s="2">
        <f t="shared" si="75"/>
        <v>277.33333333333331</v>
      </c>
      <c r="AL241" s="2">
        <f t="shared" si="76"/>
        <v>112</v>
      </c>
      <c r="AM241" s="2">
        <f t="shared" si="77"/>
        <v>87</v>
      </c>
    </row>
    <row r="242" spans="1:39" x14ac:dyDescent="0.3">
      <c r="A242" s="1" t="s">
        <v>281</v>
      </c>
      <c r="B242" s="1" t="s">
        <v>344</v>
      </c>
      <c r="C242" s="1" t="s">
        <v>345</v>
      </c>
      <c r="D242" s="1" t="s">
        <v>345</v>
      </c>
      <c r="E242" s="2">
        <v>51601</v>
      </c>
      <c r="F242" s="18">
        <v>0</v>
      </c>
      <c r="G242" s="18">
        <v>1</v>
      </c>
      <c r="H242" s="18">
        <v>1</v>
      </c>
      <c r="I242" s="18">
        <v>1</v>
      </c>
      <c r="J242" s="18">
        <v>11</v>
      </c>
      <c r="K242" s="18">
        <v>11</v>
      </c>
      <c r="L242" s="11">
        <v>10</v>
      </c>
      <c r="M242" s="2">
        <f t="shared" si="65"/>
        <v>10</v>
      </c>
      <c r="N242" s="2">
        <f t="shared" si="66"/>
        <v>13</v>
      </c>
      <c r="O242" s="2">
        <f t="shared" si="67"/>
        <v>17</v>
      </c>
      <c r="P242" s="2">
        <f t="shared" si="68"/>
        <v>16</v>
      </c>
      <c r="Q242" s="2">
        <f t="shared" si="69"/>
        <v>11</v>
      </c>
      <c r="R242" s="2">
        <f t="shared" si="70"/>
        <v>11</v>
      </c>
      <c r="S242" s="2">
        <f t="shared" si="71"/>
        <v>12</v>
      </c>
      <c r="T242" s="11">
        <v>10</v>
      </c>
      <c r="U242" s="11">
        <v>14</v>
      </c>
      <c r="V242" s="11">
        <v>18</v>
      </c>
      <c r="W242" s="18">
        <v>17</v>
      </c>
      <c r="X242" s="18">
        <v>22</v>
      </c>
      <c r="Y242" s="23">
        <v>22</v>
      </c>
      <c r="Z242" s="18">
        <v>22</v>
      </c>
      <c r="AA242" s="18">
        <v>0</v>
      </c>
      <c r="AB242" s="18">
        <v>7.1428571428571423</v>
      </c>
      <c r="AC242" s="18">
        <v>5.5555555555555554</v>
      </c>
      <c r="AD242" s="11">
        <v>5.8823529411764701</v>
      </c>
      <c r="AE242" s="11">
        <v>50</v>
      </c>
      <c r="AF242" s="11">
        <v>50</v>
      </c>
      <c r="AG242" s="11">
        <v>45.454545454545453</v>
      </c>
      <c r="AH242" s="11">
        <f t="shared" si="72"/>
        <v>6.193588546529722</v>
      </c>
      <c r="AI242" s="26">
        <f t="shared" si="73"/>
        <v>48.484848484848477</v>
      </c>
      <c r="AJ242" s="2">
        <f t="shared" si="74"/>
        <v>1</v>
      </c>
      <c r="AK242" s="2">
        <f t="shared" si="75"/>
        <v>10.666666666666666</v>
      </c>
      <c r="AL242" s="2">
        <f t="shared" si="76"/>
        <v>15.333333333333334</v>
      </c>
      <c r="AM242" s="2">
        <f t="shared" si="77"/>
        <v>11.333333333333334</v>
      </c>
    </row>
    <row r="243" spans="1:39" x14ac:dyDescent="0.3">
      <c r="A243" s="1" t="s">
        <v>346</v>
      </c>
      <c r="B243" s="1" t="s">
        <v>168</v>
      </c>
      <c r="C243" s="1" t="s">
        <v>346</v>
      </c>
      <c r="D243" s="1" t="s">
        <v>346</v>
      </c>
      <c r="E243" s="2">
        <v>60101</v>
      </c>
      <c r="F243" s="18">
        <v>565</v>
      </c>
      <c r="G243" s="18">
        <v>605</v>
      </c>
      <c r="H243" s="18">
        <v>707</v>
      </c>
      <c r="I243" s="18">
        <v>724</v>
      </c>
      <c r="J243" s="18">
        <v>850</v>
      </c>
      <c r="K243" s="18">
        <v>870</v>
      </c>
      <c r="L243" s="11">
        <v>881</v>
      </c>
      <c r="M243" s="2">
        <f t="shared" si="65"/>
        <v>156</v>
      </c>
      <c r="N243" s="2">
        <f t="shared" si="66"/>
        <v>149</v>
      </c>
      <c r="O243" s="2">
        <f t="shared" si="67"/>
        <v>288</v>
      </c>
      <c r="P243" s="2">
        <f t="shared" si="68"/>
        <v>306</v>
      </c>
      <c r="Q243" s="2">
        <f t="shared" si="69"/>
        <v>254</v>
      </c>
      <c r="R243" s="2">
        <f t="shared" si="70"/>
        <v>260</v>
      </c>
      <c r="S243" s="2">
        <f t="shared" si="71"/>
        <v>264</v>
      </c>
      <c r="T243" s="11">
        <v>721</v>
      </c>
      <c r="U243" s="11">
        <v>754</v>
      </c>
      <c r="V243" s="11">
        <v>995</v>
      </c>
      <c r="W243" s="18">
        <v>1030</v>
      </c>
      <c r="X243" s="18">
        <v>1104</v>
      </c>
      <c r="Y243" s="23">
        <v>1130</v>
      </c>
      <c r="Z243" s="18">
        <v>1145</v>
      </c>
      <c r="AA243" s="18">
        <v>78.36338418862691</v>
      </c>
      <c r="AB243" s="18">
        <v>80.238726790450926</v>
      </c>
      <c r="AC243" s="18">
        <v>71.05527638190955</v>
      </c>
      <c r="AD243" s="11">
        <v>70.291262135922324</v>
      </c>
      <c r="AE243" s="11">
        <v>76.992753623188406</v>
      </c>
      <c r="AF243" s="11">
        <v>76.991150442477874</v>
      </c>
      <c r="AG243" s="11">
        <v>76.943231441048027</v>
      </c>
      <c r="AH243" s="11">
        <f t="shared" si="72"/>
        <v>73.861755102760938</v>
      </c>
      <c r="AI243" s="26">
        <f t="shared" si="73"/>
        <v>76.975711835571431</v>
      </c>
      <c r="AJ243" s="2">
        <f t="shared" si="74"/>
        <v>678.66666666666663</v>
      </c>
      <c r="AK243" s="2">
        <f t="shared" si="75"/>
        <v>867</v>
      </c>
      <c r="AL243" s="2">
        <f t="shared" si="76"/>
        <v>247.66666666666666</v>
      </c>
      <c r="AM243" s="2">
        <f t="shared" si="77"/>
        <v>259.33333333333331</v>
      </c>
    </row>
    <row r="244" spans="1:39" x14ac:dyDescent="0.3">
      <c r="A244" s="1" t="s">
        <v>346</v>
      </c>
      <c r="B244" s="1" t="s">
        <v>347</v>
      </c>
      <c r="C244" s="1" t="s">
        <v>348</v>
      </c>
      <c r="D244" s="1" t="s">
        <v>348</v>
      </c>
      <c r="E244" s="2">
        <v>60201</v>
      </c>
      <c r="F244" s="18">
        <v>26</v>
      </c>
      <c r="G244" s="18">
        <v>28</v>
      </c>
      <c r="H244" s="18">
        <v>32</v>
      </c>
      <c r="I244" s="18">
        <v>45</v>
      </c>
      <c r="J244" s="18">
        <v>82</v>
      </c>
      <c r="K244" s="18">
        <v>85</v>
      </c>
      <c r="L244" s="11">
        <v>86</v>
      </c>
      <c r="M244" s="2">
        <f t="shared" si="65"/>
        <v>28</v>
      </c>
      <c r="N244" s="2">
        <f t="shared" si="66"/>
        <v>31</v>
      </c>
      <c r="O244" s="2">
        <f t="shared" si="67"/>
        <v>58</v>
      </c>
      <c r="P244" s="2">
        <f t="shared" si="68"/>
        <v>54</v>
      </c>
      <c r="Q244" s="2">
        <f t="shared" si="69"/>
        <v>42</v>
      </c>
      <c r="R244" s="2">
        <f t="shared" si="70"/>
        <v>40</v>
      </c>
      <c r="S244" s="2">
        <f t="shared" si="71"/>
        <v>38</v>
      </c>
      <c r="T244" s="11">
        <v>54</v>
      </c>
      <c r="U244" s="11">
        <v>59</v>
      </c>
      <c r="V244" s="11">
        <v>90</v>
      </c>
      <c r="W244" s="18">
        <v>99</v>
      </c>
      <c r="X244" s="18">
        <v>124</v>
      </c>
      <c r="Y244" s="23">
        <v>125</v>
      </c>
      <c r="Z244" s="18">
        <v>124</v>
      </c>
      <c r="AA244" s="18">
        <v>48.148148148148145</v>
      </c>
      <c r="AB244" s="18">
        <v>47.457627118644069</v>
      </c>
      <c r="AC244" s="18">
        <v>35.555555555555557</v>
      </c>
      <c r="AD244" s="11">
        <v>45.454545454545453</v>
      </c>
      <c r="AE244" s="11">
        <v>66.129032258064512</v>
      </c>
      <c r="AF244" s="11">
        <v>68</v>
      </c>
      <c r="AG244" s="11">
        <v>69.354838709677423</v>
      </c>
      <c r="AH244" s="11">
        <f t="shared" si="72"/>
        <v>42.822576042915024</v>
      </c>
      <c r="AI244" s="26">
        <f t="shared" si="73"/>
        <v>67.827956989247312</v>
      </c>
      <c r="AJ244" s="2">
        <f t="shared" si="74"/>
        <v>35</v>
      </c>
      <c r="AK244" s="2">
        <f t="shared" si="75"/>
        <v>84.333333333333329</v>
      </c>
      <c r="AL244" s="2">
        <f t="shared" si="76"/>
        <v>47.666666666666664</v>
      </c>
      <c r="AM244" s="2">
        <f t="shared" si="77"/>
        <v>40</v>
      </c>
    </row>
    <row r="245" spans="1:39" x14ac:dyDescent="0.3">
      <c r="A245" s="1" t="s">
        <v>346</v>
      </c>
      <c r="B245" s="1" t="s">
        <v>347</v>
      </c>
      <c r="C245" s="1" t="s">
        <v>349</v>
      </c>
      <c r="D245" s="1" t="s">
        <v>349</v>
      </c>
      <c r="E245" s="2">
        <v>60202</v>
      </c>
      <c r="F245" s="18">
        <v>107</v>
      </c>
      <c r="G245" s="18">
        <v>116</v>
      </c>
      <c r="H245" s="18">
        <v>125</v>
      </c>
      <c r="I245" s="18">
        <v>134</v>
      </c>
      <c r="J245" s="18">
        <v>175</v>
      </c>
      <c r="K245" s="18">
        <v>177</v>
      </c>
      <c r="L245" s="11">
        <v>176</v>
      </c>
      <c r="M245" s="2">
        <f t="shared" si="65"/>
        <v>38</v>
      </c>
      <c r="N245" s="2">
        <f t="shared" si="66"/>
        <v>40</v>
      </c>
      <c r="O245" s="2">
        <f t="shared" si="67"/>
        <v>69</v>
      </c>
      <c r="P245" s="2">
        <f t="shared" si="68"/>
        <v>93</v>
      </c>
      <c r="Q245" s="2">
        <f t="shared" si="69"/>
        <v>63</v>
      </c>
      <c r="R245" s="2">
        <f t="shared" si="70"/>
        <v>58</v>
      </c>
      <c r="S245" s="2">
        <f t="shared" si="71"/>
        <v>57</v>
      </c>
      <c r="T245" s="11">
        <v>145</v>
      </c>
      <c r="U245" s="11">
        <v>156</v>
      </c>
      <c r="V245" s="11">
        <v>194</v>
      </c>
      <c r="W245" s="18">
        <v>227</v>
      </c>
      <c r="X245" s="18">
        <v>238</v>
      </c>
      <c r="Y245" s="23">
        <v>235</v>
      </c>
      <c r="Z245" s="18">
        <v>233</v>
      </c>
      <c r="AA245" s="18">
        <v>73.793103448275872</v>
      </c>
      <c r="AB245" s="18">
        <v>74.358974358974365</v>
      </c>
      <c r="AC245" s="18">
        <v>64.432989690721655</v>
      </c>
      <c r="AD245" s="11">
        <v>59.030837004405292</v>
      </c>
      <c r="AE245" s="11">
        <v>73.529411764705884</v>
      </c>
      <c r="AF245" s="11">
        <v>75.319148936170208</v>
      </c>
      <c r="AG245" s="11">
        <v>75.536480686695285</v>
      </c>
      <c r="AH245" s="11">
        <f t="shared" si="72"/>
        <v>65.94093368470044</v>
      </c>
      <c r="AI245" s="26">
        <f t="shared" si="73"/>
        <v>74.795013795857116</v>
      </c>
      <c r="AJ245" s="2">
        <f t="shared" si="74"/>
        <v>125</v>
      </c>
      <c r="AK245" s="2">
        <f t="shared" si="75"/>
        <v>176</v>
      </c>
      <c r="AL245" s="2">
        <f t="shared" si="76"/>
        <v>67.333333333333329</v>
      </c>
      <c r="AM245" s="2">
        <f t="shared" si="77"/>
        <v>59.333333333333336</v>
      </c>
    </row>
    <row r="246" spans="1:39" x14ac:dyDescent="0.3">
      <c r="A246" s="1" t="s">
        <v>346</v>
      </c>
      <c r="B246" s="1" t="s">
        <v>350</v>
      </c>
      <c r="C246" s="1" t="s">
        <v>351</v>
      </c>
      <c r="D246" s="1" t="s">
        <v>351</v>
      </c>
      <c r="E246" s="2">
        <v>60301</v>
      </c>
      <c r="F246" s="18">
        <v>227</v>
      </c>
      <c r="G246" s="18">
        <v>255</v>
      </c>
      <c r="H246" s="18">
        <v>315</v>
      </c>
      <c r="I246" s="18">
        <v>326</v>
      </c>
      <c r="J246" s="18">
        <v>456</v>
      </c>
      <c r="K246" s="18">
        <v>463</v>
      </c>
      <c r="L246" s="11">
        <v>468</v>
      </c>
      <c r="M246" s="2">
        <f t="shared" si="65"/>
        <v>57</v>
      </c>
      <c r="N246" s="2">
        <f t="shared" si="66"/>
        <v>54</v>
      </c>
      <c r="O246" s="2">
        <f t="shared" si="67"/>
        <v>143</v>
      </c>
      <c r="P246" s="2">
        <f t="shared" si="68"/>
        <v>152</v>
      </c>
      <c r="Q246" s="2">
        <f t="shared" si="69"/>
        <v>104</v>
      </c>
      <c r="R246" s="2">
        <f t="shared" si="70"/>
        <v>103</v>
      </c>
      <c r="S246" s="2">
        <f t="shared" si="71"/>
        <v>105</v>
      </c>
      <c r="T246" s="11">
        <v>284</v>
      </c>
      <c r="U246" s="11">
        <v>309</v>
      </c>
      <c r="V246" s="11">
        <v>458</v>
      </c>
      <c r="W246" s="18">
        <v>478</v>
      </c>
      <c r="X246" s="18">
        <v>560</v>
      </c>
      <c r="Y246" s="23">
        <v>566</v>
      </c>
      <c r="Z246" s="18">
        <v>573</v>
      </c>
      <c r="AA246" s="18">
        <v>79.929577464788736</v>
      </c>
      <c r="AB246" s="18">
        <v>82.524271844660191</v>
      </c>
      <c r="AC246" s="18">
        <v>68.777292576419214</v>
      </c>
      <c r="AD246" s="11">
        <v>68.20083682008368</v>
      </c>
      <c r="AE246" s="11">
        <v>81.428571428571431</v>
      </c>
      <c r="AF246" s="11">
        <v>81.802120141342755</v>
      </c>
      <c r="AG246" s="11">
        <v>81.675392670157066</v>
      </c>
      <c r="AH246" s="11">
        <f t="shared" si="72"/>
        <v>73.167467080387695</v>
      </c>
      <c r="AI246" s="26">
        <f t="shared" si="73"/>
        <v>81.635361413357089</v>
      </c>
      <c r="AJ246" s="2">
        <f t="shared" si="74"/>
        <v>298.66666666666669</v>
      </c>
      <c r="AK246" s="2">
        <f t="shared" si="75"/>
        <v>462.33333333333331</v>
      </c>
      <c r="AL246" s="2">
        <f t="shared" si="76"/>
        <v>116.33333333333333</v>
      </c>
      <c r="AM246" s="2">
        <f t="shared" si="77"/>
        <v>104</v>
      </c>
    </row>
    <row r="247" spans="1:39" x14ac:dyDescent="0.3">
      <c r="A247" s="1" t="s">
        <v>346</v>
      </c>
      <c r="B247" s="1" t="s">
        <v>350</v>
      </c>
      <c r="C247" s="1" t="s">
        <v>352</v>
      </c>
      <c r="D247" s="1" t="s">
        <v>352</v>
      </c>
      <c r="E247" s="2">
        <v>60302</v>
      </c>
      <c r="F247" s="18">
        <v>16</v>
      </c>
      <c r="G247" s="18">
        <v>20</v>
      </c>
      <c r="H247" s="18">
        <v>23</v>
      </c>
      <c r="I247" s="18">
        <v>31</v>
      </c>
      <c r="J247" s="18">
        <v>80</v>
      </c>
      <c r="K247" s="18">
        <v>90</v>
      </c>
      <c r="L247" s="11">
        <v>92</v>
      </c>
      <c r="M247" s="2">
        <f t="shared" si="65"/>
        <v>33</v>
      </c>
      <c r="N247" s="2">
        <f t="shared" si="66"/>
        <v>32</v>
      </c>
      <c r="O247" s="2">
        <f t="shared" si="67"/>
        <v>57</v>
      </c>
      <c r="P247" s="2">
        <f t="shared" si="68"/>
        <v>51</v>
      </c>
      <c r="Q247" s="2">
        <f t="shared" si="69"/>
        <v>36</v>
      </c>
      <c r="R247" s="2">
        <f t="shared" si="70"/>
        <v>33</v>
      </c>
      <c r="S247" s="2">
        <f t="shared" si="71"/>
        <v>35</v>
      </c>
      <c r="T247" s="11">
        <v>49</v>
      </c>
      <c r="U247" s="11">
        <v>52</v>
      </c>
      <c r="V247" s="11">
        <v>80</v>
      </c>
      <c r="W247" s="18">
        <v>82</v>
      </c>
      <c r="X247" s="18">
        <v>116</v>
      </c>
      <c r="Y247" s="23">
        <v>123</v>
      </c>
      <c r="Z247" s="18">
        <v>127</v>
      </c>
      <c r="AA247" s="18">
        <v>32.653061224489797</v>
      </c>
      <c r="AB247" s="18">
        <v>38.461538461538467</v>
      </c>
      <c r="AC247" s="18">
        <v>28.749999999999996</v>
      </c>
      <c r="AD247" s="11">
        <v>37.804878048780488</v>
      </c>
      <c r="AE247" s="11">
        <v>68.965517241379317</v>
      </c>
      <c r="AF247" s="11">
        <v>73.170731707317074</v>
      </c>
      <c r="AG247" s="11">
        <v>72.440944881889763</v>
      </c>
      <c r="AH247" s="11">
        <f t="shared" si="72"/>
        <v>35.005472170106316</v>
      </c>
      <c r="AI247" s="26">
        <f t="shared" si="73"/>
        <v>71.525731276862061</v>
      </c>
      <c r="AJ247" s="2">
        <f t="shared" si="74"/>
        <v>24.666666666666668</v>
      </c>
      <c r="AK247" s="2">
        <f t="shared" si="75"/>
        <v>87.333333333333329</v>
      </c>
      <c r="AL247" s="2">
        <f t="shared" si="76"/>
        <v>46.666666666666664</v>
      </c>
      <c r="AM247" s="2">
        <f t="shared" si="77"/>
        <v>34.666666666666664</v>
      </c>
    </row>
    <row r="248" spans="1:39" x14ac:dyDescent="0.3">
      <c r="A248" s="1" t="s">
        <v>346</v>
      </c>
      <c r="B248" s="1" t="s">
        <v>350</v>
      </c>
      <c r="C248" s="1" t="s">
        <v>353</v>
      </c>
      <c r="D248" s="1" t="s">
        <v>353</v>
      </c>
      <c r="E248" s="2">
        <v>60303</v>
      </c>
      <c r="F248" s="18">
        <v>93</v>
      </c>
      <c r="G248" s="18">
        <v>124</v>
      </c>
      <c r="H248" s="18">
        <v>135</v>
      </c>
      <c r="I248" s="18">
        <v>154</v>
      </c>
      <c r="J248" s="18">
        <v>230</v>
      </c>
      <c r="K248" s="18">
        <v>235</v>
      </c>
      <c r="L248" s="11">
        <v>233</v>
      </c>
      <c r="M248" s="2">
        <f t="shared" si="65"/>
        <v>58</v>
      </c>
      <c r="N248" s="2">
        <f t="shared" si="66"/>
        <v>55</v>
      </c>
      <c r="O248" s="2">
        <f t="shared" si="67"/>
        <v>84</v>
      </c>
      <c r="P248" s="2">
        <f t="shared" si="68"/>
        <v>87</v>
      </c>
      <c r="Q248" s="2">
        <f t="shared" si="69"/>
        <v>63</v>
      </c>
      <c r="R248" s="2">
        <f t="shared" si="70"/>
        <v>66</v>
      </c>
      <c r="S248" s="2">
        <f t="shared" si="71"/>
        <v>69</v>
      </c>
      <c r="T248" s="11">
        <v>151</v>
      </c>
      <c r="U248" s="11">
        <v>179</v>
      </c>
      <c r="V248" s="11">
        <v>219</v>
      </c>
      <c r="W248" s="18">
        <v>241</v>
      </c>
      <c r="X248" s="18">
        <v>293</v>
      </c>
      <c r="Y248" s="23">
        <v>301</v>
      </c>
      <c r="Z248" s="18">
        <v>302</v>
      </c>
      <c r="AA248" s="18">
        <v>61.589403973509938</v>
      </c>
      <c r="AB248" s="18">
        <v>69.273743016759781</v>
      </c>
      <c r="AC248" s="18">
        <v>61.643835616438359</v>
      </c>
      <c r="AD248" s="11">
        <v>63.900414937759329</v>
      </c>
      <c r="AE248" s="11">
        <v>78.49829351535837</v>
      </c>
      <c r="AF248" s="11">
        <v>78.073089700996675</v>
      </c>
      <c r="AG248" s="11">
        <v>77.152317880794712</v>
      </c>
      <c r="AH248" s="11">
        <f t="shared" si="72"/>
        <v>64.939331190319152</v>
      </c>
      <c r="AI248" s="26">
        <f t="shared" si="73"/>
        <v>77.9079003657166</v>
      </c>
      <c r="AJ248" s="2">
        <f t="shared" si="74"/>
        <v>137.66666666666666</v>
      </c>
      <c r="AK248" s="2">
        <f t="shared" si="75"/>
        <v>232.66666666666666</v>
      </c>
      <c r="AL248" s="2">
        <f t="shared" si="76"/>
        <v>75.333333333333329</v>
      </c>
      <c r="AM248" s="2">
        <f t="shared" si="77"/>
        <v>66</v>
      </c>
    </row>
    <row r="249" spans="1:39" x14ac:dyDescent="0.3">
      <c r="A249" s="1" t="s">
        <v>346</v>
      </c>
      <c r="B249" s="1" t="s">
        <v>354</v>
      </c>
      <c r="C249" s="1" t="s">
        <v>355</v>
      </c>
      <c r="D249" s="1" t="s">
        <v>356</v>
      </c>
      <c r="E249" s="2">
        <v>60401</v>
      </c>
      <c r="F249" s="18">
        <v>29</v>
      </c>
      <c r="G249" s="18">
        <v>29</v>
      </c>
      <c r="H249" s="18">
        <v>38</v>
      </c>
      <c r="I249" s="18">
        <v>38</v>
      </c>
      <c r="J249" s="18">
        <v>64</v>
      </c>
      <c r="K249" s="18">
        <v>66</v>
      </c>
      <c r="L249" s="11">
        <v>66</v>
      </c>
      <c r="M249" s="2">
        <f t="shared" si="65"/>
        <v>22</v>
      </c>
      <c r="N249" s="2">
        <f t="shared" si="66"/>
        <v>29</v>
      </c>
      <c r="O249" s="2">
        <f t="shared" si="67"/>
        <v>41</v>
      </c>
      <c r="P249" s="2">
        <f t="shared" si="68"/>
        <v>44</v>
      </c>
      <c r="Q249" s="2">
        <f t="shared" si="69"/>
        <v>29</v>
      </c>
      <c r="R249" s="2">
        <f t="shared" si="70"/>
        <v>28</v>
      </c>
      <c r="S249" s="2">
        <f t="shared" si="71"/>
        <v>28</v>
      </c>
      <c r="T249" s="11">
        <v>51</v>
      </c>
      <c r="U249" s="11">
        <v>58</v>
      </c>
      <c r="V249" s="11">
        <v>79</v>
      </c>
      <c r="W249" s="18">
        <v>82</v>
      </c>
      <c r="X249" s="18">
        <v>93</v>
      </c>
      <c r="Y249" s="23">
        <v>94</v>
      </c>
      <c r="Z249" s="18">
        <v>94</v>
      </c>
      <c r="AA249" s="18">
        <v>56.862745098039213</v>
      </c>
      <c r="AB249" s="18">
        <v>50</v>
      </c>
      <c r="AC249" s="18">
        <v>48.101265822784811</v>
      </c>
      <c r="AD249" s="11">
        <v>46.341463414634148</v>
      </c>
      <c r="AE249" s="11">
        <v>68.817204301075279</v>
      </c>
      <c r="AF249" s="11">
        <v>70.212765957446805</v>
      </c>
      <c r="AG249" s="11">
        <v>70.212765957446805</v>
      </c>
      <c r="AH249" s="11">
        <f t="shared" si="72"/>
        <v>48.147576412472993</v>
      </c>
      <c r="AI249" s="26">
        <f t="shared" si="73"/>
        <v>69.747578738656301</v>
      </c>
      <c r="AJ249" s="2">
        <f t="shared" si="74"/>
        <v>35</v>
      </c>
      <c r="AK249" s="2">
        <f t="shared" si="75"/>
        <v>65.333333333333329</v>
      </c>
      <c r="AL249" s="2">
        <f t="shared" si="76"/>
        <v>38</v>
      </c>
      <c r="AM249" s="2">
        <f t="shared" si="77"/>
        <v>28.333333333333332</v>
      </c>
    </row>
    <row r="250" spans="1:39" x14ac:dyDescent="0.3">
      <c r="A250" s="1" t="s">
        <v>346</v>
      </c>
      <c r="B250" s="1" t="s">
        <v>354</v>
      </c>
      <c r="C250" s="1" t="s">
        <v>357</v>
      </c>
      <c r="D250" s="1" t="s">
        <v>357</v>
      </c>
      <c r="E250" s="2">
        <v>60402</v>
      </c>
      <c r="F250" s="18">
        <v>6</v>
      </c>
      <c r="G250" s="18">
        <v>5</v>
      </c>
      <c r="H250" s="18">
        <v>10</v>
      </c>
      <c r="I250" s="18">
        <v>12</v>
      </c>
      <c r="J250" s="18">
        <v>29</v>
      </c>
      <c r="K250" s="18">
        <v>31</v>
      </c>
      <c r="L250" s="11">
        <v>33</v>
      </c>
      <c r="M250" s="2">
        <f t="shared" si="65"/>
        <v>6</v>
      </c>
      <c r="N250" s="2">
        <f t="shared" si="66"/>
        <v>7</v>
      </c>
      <c r="O250" s="2">
        <f t="shared" si="67"/>
        <v>17</v>
      </c>
      <c r="P250" s="2">
        <f t="shared" si="68"/>
        <v>15</v>
      </c>
      <c r="Q250" s="2">
        <f t="shared" si="69"/>
        <v>14</v>
      </c>
      <c r="R250" s="2">
        <f t="shared" si="70"/>
        <v>14</v>
      </c>
      <c r="S250" s="2">
        <f t="shared" si="71"/>
        <v>14</v>
      </c>
      <c r="T250" s="11">
        <v>12</v>
      </c>
      <c r="U250" s="11">
        <v>12</v>
      </c>
      <c r="V250" s="11">
        <v>27</v>
      </c>
      <c r="W250" s="18">
        <v>27</v>
      </c>
      <c r="X250" s="18">
        <v>43</v>
      </c>
      <c r="Y250" s="23">
        <v>45</v>
      </c>
      <c r="Z250" s="18">
        <v>47</v>
      </c>
      <c r="AA250" s="18">
        <v>50</v>
      </c>
      <c r="AB250" s="18">
        <v>41.666666666666671</v>
      </c>
      <c r="AC250" s="18">
        <v>37.037037037037038</v>
      </c>
      <c r="AD250" s="11">
        <v>44.444444444444443</v>
      </c>
      <c r="AE250" s="11">
        <v>67.441860465116278</v>
      </c>
      <c r="AF250" s="11">
        <v>68.888888888888886</v>
      </c>
      <c r="AG250" s="11">
        <v>70.212765957446805</v>
      </c>
      <c r="AH250" s="11">
        <f t="shared" si="72"/>
        <v>41.049382716049386</v>
      </c>
      <c r="AI250" s="26">
        <f t="shared" si="73"/>
        <v>68.847838437150656</v>
      </c>
      <c r="AJ250" s="2">
        <f t="shared" si="74"/>
        <v>9</v>
      </c>
      <c r="AK250" s="2">
        <f t="shared" si="75"/>
        <v>31</v>
      </c>
      <c r="AL250" s="2">
        <f t="shared" si="76"/>
        <v>13</v>
      </c>
      <c r="AM250" s="2">
        <f t="shared" si="77"/>
        <v>14</v>
      </c>
    </row>
    <row r="251" spans="1:39" x14ac:dyDescent="0.3">
      <c r="A251" s="1" t="s">
        <v>346</v>
      </c>
      <c r="B251" s="1" t="s">
        <v>358</v>
      </c>
      <c r="C251" s="1" t="s">
        <v>359</v>
      </c>
      <c r="D251" s="1" t="s">
        <v>360</v>
      </c>
      <c r="E251" s="2">
        <v>60501</v>
      </c>
      <c r="F251" s="18">
        <v>66</v>
      </c>
      <c r="G251" s="18">
        <v>70</v>
      </c>
      <c r="H251" s="18">
        <v>62</v>
      </c>
      <c r="I251" s="18">
        <v>70</v>
      </c>
      <c r="J251" s="18">
        <v>107</v>
      </c>
      <c r="K251" s="18">
        <v>109</v>
      </c>
      <c r="L251" s="11">
        <v>112</v>
      </c>
      <c r="M251" s="2">
        <f t="shared" si="65"/>
        <v>63</v>
      </c>
      <c r="N251" s="2">
        <f t="shared" si="66"/>
        <v>58</v>
      </c>
      <c r="O251" s="2">
        <f t="shared" si="67"/>
        <v>80</v>
      </c>
      <c r="P251" s="2">
        <f t="shared" si="68"/>
        <v>79</v>
      </c>
      <c r="Q251" s="2">
        <f t="shared" si="69"/>
        <v>45</v>
      </c>
      <c r="R251" s="2">
        <f t="shared" si="70"/>
        <v>49</v>
      </c>
      <c r="S251" s="2">
        <f t="shared" si="71"/>
        <v>51</v>
      </c>
      <c r="T251" s="11">
        <v>129</v>
      </c>
      <c r="U251" s="11">
        <v>128</v>
      </c>
      <c r="V251" s="11">
        <v>142</v>
      </c>
      <c r="W251" s="18">
        <v>149</v>
      </c>
      <c r="X251" s="18">
        <v>152</v>
      </c>
      <c r="Y251" s="23">
        <v>158</v>
      </c>
      <c r="Z251" s="18">
        <v>163</v>
      </c>
      <c r="AA251" s="18">
        <v>51.162790697674424</v>
      </c>
      <c r="AB251" s="18">
        <v>54.6875</v>
      </c>
      <c r="AC251" s="18">
        <v>43.661971830985912</v>
      </c>
      <c r="AD251" s="11">
        <v>46.979865771812079</v>
      </c>
      <c r="AE251" s="11">
        <v>70.39473684210526</v>
      </c>
      <c r="AF251" s="11">
        <v>68.987341772151893</v>
      </c>
      <c r="AG251" s="11">
        <v>68.711656441717793</v>
      </c>
      <c r="AH251" s="11">
        <f t="shared" si="72"/>
        <v>48.443112534266</v>
      </c>
      <c r="AI251" s="26">
        <f t="shared" si="73"/>
        <v>69.364578351991653</v>
      </c>
      <c r="AJ251" s="2">
        <f t="shared" si="74"/>
        <v>67.333333333333329</v>
      </c>
      <c r="AK251" s="2">
        <f t="shared" si="75"/>
        <v>109.33333333333333</v>
      </c>
      <c r="AL251" s="2">
        <f t="shared" si="76"/>
        <v>72.333333333333329</v>
      </c>
      <c r="AM251" s="2">
        <f t="shared" si="77"/>
        <v>48.333333333333336</v>
      </c>
    </row>
    <row r="252" spans="1:39" x14ac:dyDescent="0.3">
      <c r="A252" s="1" t="s">
        <v>346</v>
      </c>
      <c r="B252" s="1" t="s">
        <v>358</v>
      </c>
      <c r="C252" s="1" t="s">
        <v>361</v>
      </c>
      <c r="D252" s="1" t="s">
        <v>361</v>
      </c>
      <c r="E252" s="2">
        <v>60502</v>
      </c>
      <c r="F252" s="18">
        <v>5</v>
      </c>
      <c r="G252" s="18">
        <v>8</v>
      </c>
      <c r="H252" s="18">
        <v>12</v>
      </c>
      <c r="I252" s="18">
        <v>15</v>
      </c>
      <c r="J252" s="18">
        <v>40</v>
      </c>
      <c r="K252" s="18">
        <v>42</v>
      </c>
      <c r="L252" s="11">
        <v>44</v>
      </c>
      <c r="M252" s="2">
        <f t="shared" si="65"/>
        <v>16</v>
      </c>
      <c r="N252" s="2">
        <f t="shared" si="66"/>
        <v>14</v>
      </c>
      <c r="O252" s="2">
        <f t="shared" si="67"/>
        <v>42</v>
      </c>
      <c r="P252" s="2">
        <f t="shared" si="68"/>
        <v>41</v>
      </c>
      <c r="Q252" s="2">
        <f t="shared" si="69"/>
        <v>21</v>
      </c>
      <c r="R252" s="2">
        <f t="shared" si="70"/>
        <v>22</v>
      </c>
      <c r="S252" s="2">
        <f t="shared" si="71"/>
        <v>22</v>
      </c>
      <c r="T252" s="11">
        <v>21</v>
      </c>
      <c r="U252" s="11">
        <v>22</v>
      </c>
      <c r="V252" s="11">
        <v>54</v>
      </c>
      <c r="W252" s="18">
        <v>56</v>
      </c>
      <c r="X252" s="18">
        <v>61</v>
      </c>
      <c r="Y252" s="23">
        <v>64</v>
      </c>
      <c r="Z252" s="18">
        <v>66</v>
      </c>
      <c r="AA252" s="18">
        <v>23.809523809523807</v>
      </c>
      <c r="AB252" s="18">
        <v>36.363636363636367</v>
      </c>
      <c r="AC252" s="18">
        <v>22.222222222222221</v>
      </c>
      <c r="AD252" s="11">
        <v>26.785714285714285</v>
      </c>
      <c r="AE252" s="11">
        <v>65.573770491803273</v>
      </c>
      <c r="AF252" s="11">
        <v>65.625</v>
      </c>
      <c r="AG252" s="11">
        <v>66.666666666666657</v>
      </c>
      <c r="AH252" s="11">
        <f t="shared" si="72"/>
        <v>28.45719095719096</v>
      </c>
      <c r="AI252" s="26">
        <f t="shared" si="73"/>
        <v>65.955145719489977</v>
      </c>
      <c r="AJ252" s="2">
        <f t="shared" si="74"/>
        <v>11.666666666666666</v>
      </c>
      <c r="AK252" s="2">
        <f t="shared" si="75"/>
        <v>42</v>
      </c>
      <c r="AL252" s="2">
        <f t="shared" si="76"/>
        <v>32.333333333333336</v>
      </c>
      <c r="AM252" s="2">
        <f t="shared" si="77"/>
        <v>21.666666666666668</v>
      </c>
    </row>
    <row r="253" spans="1:39" x14ac:dyDescent="0.3">
      <c r="A253" s="1" t="s">
        <v>346</v>
      </c>
      <c r="B253" s="1" t="s">
        <v>362</v>
      </c>
      <c r="C253" s="1" t="s">
        <v>213</v>
      </c>
      <c r="D253" s="1" t="s">
        <v>213</v>
      </c>
      <c r="E253" s="2">
        <v>60601</v>
      </c>
      <c r="F253" s="18">
        <v>63</v>
      </c>
      <c r="G253" s="18">
        <v>75</v>
      </c>
      <c r="H253" s="18">
        <v>67</v>
      </c>
      <c r="I253" s="18">
        <v>78</v>
      </c>
      <c r="J253" s="18">
        <v>113</v>
      </c>
      <c r="K253" s="18">
        <v>120</v>
      </c>
      <c r="L253" s="11">
        <v>125</v>
      </c>
      <c r="M253" s="2">
        <f t="shared" si="65"/>
        <v>60</v>
      </c>
      <c r="N253" s="2">
        <f t="shared" si="66"/>
        <v>56</v>
      </c>
      <c r="O253" s="2">
        <f t="shared" si="67"/>
        <v>88</v>
      </c>
      <c r="P253" s="2">
        <f t="shared" si="68"/>
        <v>82</v>
      </c>
      <c r="Q253" s="2">
        <f t="shared" si="69"/>
        <v>40</v>
      </c>
      <c r="R253" s="2">
        <f t="shared" si="70"/>
        <v>36</v>
      </c>
      <c r="S253" s="2">
        <f t="shared" si="71"/>
        <v>33</v>
      </c>
      <c r="T253" s="11">
        <v>123</v>
      </c>
      <c r="U253" s="11">
        <v>131</v>
      </c>
      <c r="V253" s="11">
        <v>155</v>
      </c>
      <c r="W253" s="18">
        <v>160</v>
      </c>
      <c r="X253" s="18">
        <v>153</v>
      </c>
      <c r="Y253" s="23">
        <v>156</v>
      </c>
      <c r="Z253" s="18">
        <v>158</v>
      </c>
      <c r="AA253" s="18">
        <v>51.219512195121951</v>
      </c>
      <c r="AB253" s="18">
        <v>57.251908396946561</v>
      </c>
      <c r="AC253" s="18">
        <v>43.225806451612904</v>
      </c>
      <c r="AD253" s="11">
        <v>48.75</v>
      </c>
      <c r="AE253" s="11">
        <v>73.856209150326805</v>
      </c>
      <c r="AF253" s="11">
        <v>76.923076923076934</v>
      </c>
      <c r="AG253" s="11">
        <v>79.113924050632917</v>
      </c>
      <c r="AH253" s="11">
        <f t="shared" si="72"/>
        <v>49.742571616186488</v>
      </c>
      <c r="AI253" s="26">
        <f t="shared" si="73"/>
        <v>76.631070041345552</v>
      </c>
      <c r="AJ253" s="2">
        <f t="shared" si="74"/>
        <v>73.333333333333329</v>
      </c>
      <c r="AK253" s="2">
        <f t="shared" si="75"/>
        <v>119.33333333333333</v>
      </c>
      <c r="AL253" s="2">
        <f t="shared" si="76"/>
        <v>75.333333333333329</v>
      </c>
      <c r="AM253" s="2">
        <f t="shared" si="77"/>
        <v>36.333333333333336</v>
      </c>
    </row>
    <row r="254" spans="1:39" x14ac:dyDescent="0.3">
      <c r="A254" s="1" t="s">
        <v>363</v>
      </c>
      <c r="B254" s="1" t="s">
        <v>364</v>
      </c>
      <c r="C254" s="1" t="s">
        <v>365</v>
      </c>
      <c r="D254" s="1" t="s">
        <v>365</v>
      </c>
      <c r="E254" s="2">
        <v>70101</v>
      </c>
      <c r="F254" s="18">
        <v>2324</v>
      </c>
      <c r="G254" s="18">
        <v>2634</v>
      </c>
      <c r="H254" s="18">
        <v>3225</v>
      </c>
      <c r="I254" s="18">
        <v>3361</v>
      </c>
      <c r="J254" s="18">
        <v>4246</v>
      </c>
      <c r="K254" s="18">
        <v>4292</v>
      </c>
      <c r="L254" s="11">
        <v>4321</v>
      </c>
      <c r="M254" s="2">
        <f t="shared" si="65"/>
        <v>673</v>
      </c>
      <c r="N254" s="2">
        <f t="shared" si="66"/>
        <v>632</v>
      </c>
      <c r="O254" s="2">
        <f t="shared" si="67"/>
        <v>1253</v>
      </c>
      <c r="P254" s="2">
        <f t="shared" si="68"/>
        <v>1235</v>
      </c>
      <c r="Q254" s="2">
        <f t="shared" si="69"/>
        <v>1092</v>
      </c>
      <c r="R254" s="2">
        <f t="shared" si="70"/>
        <v>1099</v>
      </c>
      <c r="S254" s="2">
        <f t="shared" si="71"/>
        <v>1114</v>
      </c>
      <c r="T254" s="11">
        <v>2997</v>
      </c>
      <c r="U254" s="11">
        <v>3266</v>
      </c>
      <c r="V254" s="11">
        <v>4478</v>
      </c>
      <c r="W254" s="18">
        <v>4596</v>
      </c>
      <c r="X254" s="18">
        <v>5338</v>
      </c>
      <c r="Y254" s="23">
        <v>5391</v>
      </c>
      <c r="Z254" s="18">
        <v>5435</v>
      </c>
      <c r="AA254" s="18">
        <v>77.544210877544202</v>
      </c>
      <c r="AB254" s="18">
        <v>80.649112063686474</v>
      </c>
      <c r="AC254" s="18">
        <v>72.018758374274228</v>
      </c>
      <c r="AD254" s="11">
        <v>73.128807658833779</v>
      </c>
      <c r="AE254" s="11">
        <v>79.542899962532786</v>
      </c>
      <c r="AF254" s="11">
        <v>79.614171767761093</v>
      </c>
      <c r="AG254" s="11">
        <v>79.503219871205161</v>
      </c>
      <c r="AH254" s="11">
        <f t="shared" si="72"/>
        <v>75.265559365598151</v>
      </c>
      <c r="AI254" s="26">
        <f t="shared" si="73"/>
        <v>79.553430533833009</v>
      </c>
      <c r="AJ254" s="2">
        <f t="shared" si="74"/>
        <v>3073.3333333333335</v>
      </c>
      <c r="AK254" s="2">
        <f t="shared" si="75"/>
        <v>4286.333333333333</v>
      </c>
      <c r="AL254" s="2">
        <f t="shared" si="76"/>
        <v>1040</v>
      </c>
      <c r="AM254" s="2">
        <f t="shared" si="77"/>
        <v>1101.6666666666667</v>
      </c>
    </row>
    <row r="255" spans="1:39" x14ac:dyDescent="0.3">
      <c r="A255" s="1" t="s">
        <v>363</v>
      </c>
      <c r="B255" s="1" t="s">
        <v>364</v>
      </c>
      <c r="C255" s="1" t="s">
        <v>366</v>
      </c>
      <c r="D255" s="1" t="s">
        <v>366</v>
      </c>
      <c r="E255" s="2">
        <v>70102</v>
      </c>
      <c r="F255" s="18">
        <v>99</v>
      </c>
      <c r="G255" s="18">
        <v>115</v>
      </c>
      <c r="H255" s="18">
        <v>151</v>
      </c>
      <c r="I255" s="18">
        <v>178</v>
      </c>
      <c r="J255" s="18">
        <v>289</v>
      </c>
      <c r="K255" s="18">
        <v>295</v>
      </c>
      <c r="L255" s="11">
        <v>313</v>
      </c>
      <c r="M255" s="2">
        <f t="shared" si="65"/>
        <v>13</v>
      </c>
      <c r="N255" s="2">
        <f t="shared" si="66"/>
        <v>13</v>
      </c>
      <c r="O255" s="2">
        <f t="shared" si="67"/>
        <v>54</v>
      </c>
      <c r="P255" s="2">
        <f t="shared" si="68"/>
        <v>42</v>
      </c>
      <c r="Q255" s="2">
        <f t="shared" si="69"/>
        <v>35</v>
      </c>
      <c r="R255" s="2">
        <f t="shared" si="70"/>
        <v>37</v>
      </c>
      <c r="S255" s="2">
        <f t="shared" si="71"/>
        <v>38</v>
      </c>
      <c r="T255" s="11">
        <v>112</v>
      </c>
      <c r="U255" s="11">
        <v>128</v>
      </c>
      <c r="V255" s="11">
        <v>205</v>
      </c>
      <c r="W255" s="18">
        <v>220</v>
      </c>
      <c r="X255" s="18">
        <v>324</v>
      </c>
      <c r="Y255" s="23">
        <v>332</v>
      </c>
      <c r="Z255" s="18">
        <v>351</v>
      </c>
      <c r="AA255" s="18">
        <v>88.392857142857139</v>
      </c>
      <c r="AB255" s="18">
        <v>89.84375</v>
      </c>
      <c r="AC255" s="18">
        <v>73.658536585365852</v>
      </c>
      <c r="AD255" s="11">
        <v>80.909090909090907</v>
      </c>
      <c r="AE255" s="11">
        <v>89.197530864197532</v>
      </c>
      <c r="AF255" s="11">
        <v>88.855421686746979</v>
      </c>
      <c r="AG255" s="11">
        <v>89.173789173789174</v>
      </c>
      <c r="AH255" s="11">
        <f t="shared" si="72"/>
        <v>81.470459164818919</v>
      </c>
      <c r="AI255" s="26">
        <f t="shared" si="73"/>
        <v>89.075580574911214</v>
      </c>
      <c r="AJ255" s="2">
        <f t="shared" si="74"/>
        <v>148</v>
      </c>
      <c r="AK255" s="2">
        <f t="shared" si="75"/>
        <v>299</v>
      </c>
      <c r="AL255" s="2">
        <f t="shared" si="76"/>
        <v>36.333333333333336</v>
      </c>
      <c r="AM255" s="2">
        <f t="shared" si="77"/>
        <v>36.666666666666664</v>
      </c>
    </row>
    <row r="256" spans="1:39" x14ac:dyDescent="0.3">
      <c r="A256" s="1" t="s">
        <v>363</v>
      </c>
      <c r="B256" s="1" t="s">
        <v>364</v>
      </c>
      <c r="C256" s="1" t="s">
        <v>367</v>
      </c>
      <c r="D256" s="1" t="s">
        <v>368</v>
      </c>
      <c r="E256" s="2">
        <v>70103</v>
      </c>
      <c r="F256" s="18">
        <v>19</v>
      </c>
      <c r="G256" s="18">
        <v>24</v>
      </c>
      <c r="H256" s="18">
        <v>35</v>
      </c>
      <c r="I256" s="18">
        <v>36</v>
      </c>
      <c r="J256" s="18">
        <v>57</v>
      </c>
      <c r="K256" s="18">
        <v>59</v>
      </c>
      <c r="L256" s="11">
        <v>60</v>
      </c>
      <c r="M256" s="2">
        <f t="shared" si="65"/>
        <v>6</v>
      </c>
      <c r="N256" s="2">
        <f t="shared" si="66"/>
        <v>8</v>
      </c>
      <c r="O256" s="2">
        <f t="shared" si="67"/>
        <v>24</v>
      </c>
      <c r="P256" s="2">
        <f t="shared" si="68"/>
        <v>28</v>
      </c>
      <c r="Q256" s="2">
        <f t="shared" si="69"/>
        <v>23</v>
      </c>
      <c r="R256" s="2">
        <f t="shared" si="70"/>
        <v>23</v>
      </c>
      <c r="S256" s="2">
        <f t="shared" si="71"/>
        <v>25</v>
      </c>
      <c r="T256" s="11">
        <v>25</v>
      </c>
      <c r="U256" s="11">
        <v>32</v>
      </c>
      <c r="V256" s="11">
        <v>59</v>
      </c>
      <c r="W256" s="18">
        <v>64</v>
      </c>
      <c r="X256" s="18">
        <v>80</v>
      </c>
      <c r="Y256" s="23">
        <v>82</v>
      </c>
      <c r="Z256" s="18">
        <v>85</v>
      </c>
      <c r="AA256" s="18">
        <v>76</v>
      </c>
      <c r="AB256" s="18">
        <v>75</v>
      </c>
      <c r="AC256" s="18">
        <v>59.322033898305079</v>
      </c>
      <c r="AD256" s="11">
        <v>56.25</v>
      </c>
      <c r="AE256" s="11">
        <v>71.25</v>
      </c>
      <c r="AF256" s="11">
        <v>71.951219512195124</v>
      </c>
      <c r="AG256" s="11">
        <v>70.588235294117652</v>
      </c>
      <c r="AH256" s="11">
        <f t="shared" si="72"/>
        <v>63.524011299435024</v>
      </c>
      <c r="AI256" s="26">
        <f t="shared" si="73"/>
        <v>71.263151602104259</v>
      </c>
      <c r="AJ256" s="2">
        <f t="shared" si="74"/>
        <v>31.666666666666668</v>
      </c>
      <c r="AK256" s="2">
        <f t="shared" si="75"/>
        <v>58.666666666666664</v>
      </c>
      <c r="AL256" s="2">
        <f t="shared" si="76"/>
        <v>20</v>
      </c>
      <c r="AM256" s="2">
        <f t="shared" si="77"/>
        <v>23.666666666666668</v>
      </c>
    </row>
    <row r="257" spans="1:39" x14ac:dyDescent="0.3">
      <c r="A257" s="1" t="s">
        <v>363</v>
      </c>
      <c r="B257" s="1" t="s">
        <v>364</v>
      </c>
      <c r="C257" s="1" t="s">
        <v>369</v>
      </c>
      <c r="D257" s="1" t="s">
        <v>369</v>
      </c>
      <c r="E257" s="2">
        <v>70104</v>
      </c>
      <c r="F257" s="18">
        <v>114</v>
      </c>
      <c r="G257" s="18">
        <v>143</v>
      </c>
      <c r="H257" s="18">
        <v>167</v>
      </c>
      <c r="I257" s="18">
        <v>185</v>
      </c>
      <c r="J257" s="18">
        <v>353</v>
      </c>
      <c r="K257" s="18">
        <v>385</v>
      </c>
      <c r="L257" s="11">
        <v>403</v>
      </c>
      <c r="M257" s="2">
        <f t="shared" si="65"/>
        <v>19</v>
      </c>
      <c r="N257" s="2">
        <f t="shared" si="66"/>
        <v>21</v>
      </c>
      <c r="O257" s="2">
        <f t="shared" si="67"/>
        <v>78</v>
      </c>
      <c r="P257" s="2">
        <f t="shared" si="68"/>
        <v>87</v>
      </c>
      <c r="Q257" s="2">
        <f t="shared" si="69"/>
        <v>104</v>
      </c>
      <c r="R257" s="2">
        <f t="shared" si="70"/>
        <v>109</v>
      </c>
      <c r="S257" s="2">
        <f t="shared" si="71"/>
        <v>112</v>
      </c>
      <c r="T257" s="11">
        <v>133</v>
      </c>
      <c r="U257" s="11">
        <v>164</v>
      </c>
      <c r="V257" s="11">
        <v>245</v>
      </c>
      <c r="W257" s="18">
        <v>272</v>
      </c>
      <c r="X257" s="18">
        <v>457</v>
      </c>
      <c r="Y257" s="23">
        <v>494</v>
      </c>
      <c r="Z257" s="18">
        <v>515</v>
      </c>
      <c r="AA257" s="18">
        <v>85.714285714285708</v>
      </c>
      <c r="AB257" s="18">
        <v>87.195121951219505</v>
      </c>
      <c r="AC257" s="18">
        <v>68.16326530612244</v>
      </c>
      <c r="AD257" s="11">
        <v>68.014705882352942</v>
      </c>
      <c r="AE257" s="11">
        <v>77.242888402625823</v>
      </c>
      <c r="AF257" s="11">
        <v>77.935222672064768</v>
      </c>
      <c r="AG257" s="11">
        <v>78.252427184466029</v>
      </c>
      <c r="AH257" s="11">
        <f t="shared" si="72"/>
        <v>74.457697713231639</v>
      </c>
      <c r="AI257" s="26">
        <f t="shared" si="73"/>
        <v>77.810179419718878</v>
      </c>
      <c r="AJ257" s="2">
        <f t="shared" si="74"/>
        <v>165</v>
      </c>
      <c r="AK257" s="2">
        <f t="shared" si="75"/>
        <v>380.33333333333331</v>
      </c>
      <c r="AL257" s="2">
        <f t="shared" si="76"/>
        <v>62</v>
      </c>
      <c r="AM257" s="2">
        <f t="shared" si="77"/>
        <v>108.33333333333333</v>
      </c>
    </row>
    <row r="258" spans="1:39" x14ac:dyDescent="0.3">
      <c r="A258" s="1" t="s">
        <v>363</v>
      </c>
      <c r="B258" s="1" t="s">
        <v>364</v>
      </c>
      <c r="C258" s="1" t="s">
        <v>370</v>
      </c>
      <c r="D258" s="1" t="s">
        <v>370</v>
      </c>
      <c r="E258" s="2">
        <v>70105</v>
      </c>
      <c r="F258" s="18">
        <v>106</v>
      </c>
      <c r="G258" s="18">
        <v>138</v>
      </c>
      <c r="H258" s="18">
        <v>161</v>
      </c>
      <c r="I258" s="18">
        <v>168</v>
      </c>
      <c r="J258" s="18">
        <v>221</v>
      </c>
      <c r="K258" s="18">
        <v>224</v>
      </c>
      <c r="L258" s="11">
        <v>228</v>
      </c>
      <c r="M258" s="2">
        <f t="shared" si="65"/>
        <v>59</v>
      </c>
      <c r="N258" s="2">
        <f t="shared" si="66"/>
        <v>87</v>
      </c>
      <c r="O258" s="2">
        <f t="shared" si="67"/>
        <v>129</v>
      </c>
      <c r="P258" s="2">
        <f t="shared" si="68"/>
        <v>129</v>
      </c>
      <c r="Q258" s="2">
        <f t="shared" si="69"/>
        <v>129</v>
      </c>
      <c r="R258" s="2">
        <f t="shared" si="70"/>
        <v>132</v>
      </c>
      <c r="S258" s="2">
        <f t="shared" si="71"/>
        <v>133</v>
      </c>
      <c r="T258" s="11">
        <v>165</v>
      </c>
      <c r="U258" s="11">
        <v>225</v>
      </c>
      <c r="V258" s="11">
        <v>290</v>
      </c>
      <c r="W258" s="18">
        <v>297</v>
      </c>
      <c r="X258" s="18">
        <v>350</v>
      </c>
      <c r="Y258" s="23">
        <v>356</v>
      </c>
      <c r="Z258" s="18">
        <v>361</v>
      </c>
      <c r="AA258" s="18">
        <v>64.242424242424249</v>
      </c>
      <c r="AB258" s="18">
        <v>61.333333333333329</v>
      </c>
      <c r="AC258" s="18">
        <v>55.517241379310342</v>
      </c>
      <c r="AD258" s="11">
        <v>56.56565656565656</v>
      </c>
      <c r="AE258" s="11">
        <v>63.142857142857146</v>
      </c>
      <c r="AF258" s="11">
        <v>62.921348314606739</v>
      </c>
      <c r="AG258" s="11">
        <v>63.157894736842103</v>
      </c>
      <c r="AH258" s="11">
        <f t="shared" si="72"/>
        <v>57.805410426100075</v>
      </c>
      <c r="AI258" s="26">
        <f t="shared" si="73"/>
        <v>63.074033398101996</v>
      </c>
      <c r="AJ258" s="2">
        <f t="shared" si="74"/>
        <v>155.66666666666666</v>
      </c>
      <c r="AK258" s="2">
        <f t="shared" si="75"/>
        <v>224.33333333333334</v>
      </c>
      <c r="AL258" s="2">
        <f t="shared" si="76"/>
        <v>115</v>
      </c>
      <c r="AM258" s="2">
        <f t="shared" si="77"/>
        <v>131.33333333333334</v>
      </c>
    </row>
    <row r="259" spans="1:39" x14ac:dyDescent="0.3">
      <c r="A259" s="1" t="s">
        <v>363</v>
      </c>
      <c r="B259" s="1" t="s">
        <v>371</v>
      </c>
      <c r="C259" s="1" t="s">
        <v>371</v>
      </c>
      <c r="D259" s="1" t="s">
        <v>371</v>
      </c>
      <c r="E259" s="2">
        <v>70201</v>
      </c>
      <c r="F259" s="18">
        <v>89</v>
      </c>
      <c r="G259" s="18">
        <v>149</v>
      </c>
      <c r="H259" s="18">
        <v>200</v>
      </c>
      <c r="I259" s="18">
        <v>252</v>
      </c>
      <c r="J259" s="18">
        <v>467</v>
      </c>
      <c r="K259" s="18">
        <v>494</v>
      </c>
      <c r="L259" s="11">
        <v>516</v>
      </c>
      <c r="M259" s="2">
        <f t="shared" ref="M259:M322" si="78">IF(AND(ISBLANK(F259), NOT(ISBLANK(T259))), T259, IF(OR(ISBLANK(T259), ISBLANK(F259)), "", T259-F259))</f>
        <v>47</v>
      </c>
      <c r="N259" s="2">
        <f t="shared" ref="N259:N322" si="79">IF(AND(ISBLANK(G259), NOT(ISBLANK(U259))), U259, IF(OR(ISBLANK(U259), ISBLANK(G259)), "", U259-G259))</f>
        <v>50</v>
      </c>
      <c r="O259" s="2">
        <f t="shared" ref="O259:O322" si="80">IF(AND(ISBLANK(H259), NOT(ISBLANK(V259))), V259, IF(OR(ISBLANK(V259), ISBLANK(H259)), "", V259-H259))</f>
        <v>146</v>
      </c>
      <c r="P259" s="2">
        <f t="shared" ref="P259:P322" si="81">IF(AND(ISBLANK(I259), NOT(ISBLANK(W259))), W259, IF(OR(ISBLANK(W259), ISBLANK(I259)), "", W259-I259))</f>
        <v>141</v>
      </c>
      <c r="Q259" s="2">
        <f t="shared" ref="Q259:Q322" si="82">IF(AND(ISBLANK(J259), NOT(ISBLANK(X259))), X259, IF(OR(ISBLANK(X259), ISBLANK(J259)), "", X259-J259))</f>
        <v>163</v>
      </c>
      <c r="R259" s="2">
        <f t="shared" ref="R259:R322" si="83">IF(AND(ISBLANK(K259), NOT(ISBLANK(Y259))), Y259, IF(OR(ISBLANK(Y259), ISBLANK(K259)), "", Y259-K259))</f>
        <v>176</v>
      </c>
      <c r="S259" s="2">
        <f t="shared" ref="S259:S322" si="84">IF(AND(ISBLANK(L259), NOT(ISBLANK(Z259))), Z259, IF(OR(ISBLANK(Z259), ISBLANK(L259)), "", Z259-L259))</f>
        <v>182</v>
      </c>
      <c r="T259" s="11">
        <v>136</v>
      </c>
      <c r="U259" s="11">
        <v>199</v>
      </c>
      <c r="V259" s="11">
        <v>346</v>
      </c>
      <c r="W259" s="18">
        <v>393</v>
      </c>
      <c r="X259" s="18">
        <v>630</v>
      </c>
      <c r="Y259" s="23">
        <v>670</v>
      </c>
      <c r="Z259" s="18">
        <v>698</v>
      </c>
      <c r="AA259" s="18">
        <v>65.441176470588232</v>
      </c>
      <c r="AB259" s="18">
        <v>74.874371859296488</v>
      </c>
      <c r="AC259" s="18">
        <v>57.80346820809249</v>
      </c>
      <c r="AD259" s="11">
        <v>64.122137404580144</v>
      </c>
      <c r="AE259" s="11">
        <v>74.126984126984127</v>
      </c>
      <c r="AF259" s="11">
        <v>73.731343283582078</v>
      </c>
      <c r="AG259" s="11">
        <v>73.92550143266476</v>
      </c>
      <c r="AH259" s="11">
        <f t="shared" ref="AH259:AH322" si="85">AVERAGE(AB259:AD259)</f>
        <v>65.599992490656376</v>
      </c>
      <c r="AI259" s="26">
        <f t="shared" ref="AI259:AI322" si="86">AVERAGE(AE259:AG259)</f>
        <v>73.927942947743659</v>
      </c>
      <c r="AJ259" s="2">
        <f t="shared" ref="AJ259:AJ322" si="87">AVERAGE(G259:I259)</f>
        <v>200.33333333333334</v>
      </c>
      <c r="AK259" s="2">
        <f t="shared" ref="AK259:AK322" si="88">AVERAGE(J259:L259)</f>
        <v>492.33333333333331</v>
      </c>
      <c r="AL259" s="2">
        <f t="shared" ref="AL259:AL322" si="89">AVERAGE(N259:P259)</f>
        <v>112.33333333333333</v>
      </c>
      <c r="AM259" s="2">
        <f t="shared" ref="AM259:AM322" si="90">AVERAGE(Q259:S259)</f>
        <v>173.66666666666666</v>
      </c>
    </row>
    <row r="260" spans="1:39" x14ac:dyDescent="0.3">
      <c r="A260" s="1" t="s">
        <v>363</v>
      </c>
      <c r="B260" s="1" t="s">
        <v>371</v>
      </c>
      <c r="C260" s="1" t="s">
        <v>372</v>
      </c>
      <c r="D260" s="1" t="s">
        <v>372</v>
      </c>
      <c r="E260" s="2">
        <v>70202</v>
      </c>
      <c r="F260" s="18">
        <v>24</v>
      </c>
      <c r="G260" s="18">
        <v>26</v>
      </c>
      <c r="H260" s="18">
        <v>29</v>
      </c>
      <c r="I260" s="18">
        <v>34</v>
      </c>
      <c r="J260" s="18">
        <v>60</v>
      </c>
      <c r="K260" s="18">
        <v>56</v>
      </c>
      <c r="L260" s="11">
        <v>60</v>
      </c>
      <c r="M260" s="2">
        <f t="shared" si="78"/>
        <v>16</v>
      </c>
      <c r="N260" s="2">
        <f t="shared" si="79"/>
        <v>15</v>
      </c>
      <c r="O260" s="2">
        <f t="shared" si="80"/>
        <v>28</v>
      </c>
      <c r="P260" s="2">
        <f t="shared" si="81"/>
        <v>27</v>
      </c>
      <c r="Q260" s="2">
        <f t="shared" si="82"/>
        <v>33</v>
      </c>
      <c r="R260" s="2">
        <f t="shared" si="83"/>
        <v>39</v>
      </c>
      <c r="S260" s="2">
        <f t="shared" si="84"/>
        <v>36</v>
      </c>
      <c r="T260" s="11">
        <v>40</v>
      </c>
      <c r="U260" s="11">
        <v>41</v>
      </c>
      <c r="V260" s="11">
        <v>57</v>
      </c>
      <c r="W260" s="18">
        <v>61</v>
      </c>
      <c r="X260" s="18">
        <v>93</v>
      </c>
      <c r="Y260" s="23">
        <v>95</v>
      </c>
      <c r="Z260" s="18">
        <v>96</v>
      </c>
      <c r="AA260" s="18">
        <v>60</v>
      </c>
      <c r="AB260" s="18">
        <v>63.414634146341463</v>
      </c>
      <c r="AC260" s="18">
        <v>50.877192982456144</v>
      </c>
      <c r="AD260" s="11">
        <v>55.737704918032783</v>
      </c>
      <c r="AE260" s="11">
        <v>64.516129032258064</v>
      </c>
      <c r="AF260" s="11">
        <v>58.947368421052623</v>
      </c>
      <c r="AG260" s="11">
        <v>62.5</v>
      </c>
      <c r="AH260" s="11">
        <f t="shared" si="85"/>
        <v>56.676510682276792</v>
      </c>
      <c r="AI260" s="26">
        <f t="shared" si="86"/>
        <v>61.987832484436893</v>
      </c>
      <c r="AJ260" s="2">
        <f t="shared" si="87"/>
        <v>29.666666666666668</v>
      </c>
      <c r="AK260" s="2">
        <f t="shared" si="88"/>
        <v>58.666666666666664</v>
      </c>
      <c r="AL260" s="2">
        <f t="shared" si="89"/>
        <v>23.333333333333332</v>
      </c>
      <c r="AM260" s="2">
        <f t="shared" si="90"/>
        <v>36</v>
      </c>
    </row>
    <row r="261" spans="1:39" x14ac:dyDescent="0.3">
      <c r="A261" s="1" t="s">
        <v>363</v>
      </c>
      <c r="B261" s="1" t="s">
        <v>373</v>
      </c>
      <c r="C261" s="1" t="s">
        <v>374</v>
      </c>
      <c r="D261" s="1" t="s">
        <v>375</v>
      </c>
      <c r="E261" s="2">
        <v>70301</v>
      </c>
      <c r="F261" s="18">
        <v>60</v>
      </c>
      <c r="G261" s="18">
        <v>81</v>
      </c>
      <c r="H261" s="18">
        <v>91</v>
      </c>
      <c r="I261" s="18">
        <v>113</v>
      </c>
      <c r="J261" s="18">
        <v>265</v>
      </c>
      <c r="K261" s="18">
        <v>276</v>
      </c>
      <c r="L261" s="11">
        <v>283</v>
      </c>
      <c r="M261" s="2">
        <f t="shared" si="78"/>
        <v>46</v>
      </c>
      <c r="N261" s="2">
        <f t="shared" si="79"/>
        <v>50</v>
      </c>
      <c r="O261" s="2">
        <f t="shared" si="80"/>
        <v>100</v>
      </c>
      <c r="P261" s="2">
        <f t="shared" si="81"/>
        <v>103</v>
      </c>
      <c r="Q261" s="2">
        <f t="shared" si="82"/>
        <v>65</v>
      </c>
      <c r="R261" s="2">
        <f t="shared" si="83"/>
        <v>57</v>
      </c>
      <c r="S261" s="2">
        <f t="shared" si="84"/>
        <v>56</v>
      </c>
      <c r="T261" s="11">
        <v>106</v>
      </c>
      <c r="U261" s="11">
        <v>131</v>
      </c>
      <c r="V261" s="11">
        <v>191</v>
      </c>
      <c r="W261" s="18">
        <v>216</v>
      </c>
      <c r="X261" s="18">
        <v>330</v>
      </c>
      <c r="Y261" s="23">
        <v>333</v>
      </c>
      <c r="Z261" s="18">
        <v>339</v>
      </c>
      <c r="AA261" s="18">
        <v>56.60377358490566</v>
      </c>
      <c r="AB261" s="18">
        <v>61.832061068702295</v>
      </c>
      <c r="AC261" s="18">
        <v>47.643979057591622</v>
      </c>
      <c r="AD261" s="11">
        <v>52.314814814814817</v>
      </c>
      <c r="AE261" s="11">
        <v>80.303030303030297</v>
      </c>
      <c r="AF261" s="11">
        <v>82.882882882882882</v>
      </c>
      <c r="AG261" s="11">
        <v>83.48082595870207</v>
      </c>
      <c r="AH261" s="11">
        <f t="shared" si="85"/>
        <v>53.930284980369578</v>
      </c>
      <c r="AI261" s="26">
        <f t="shared" si="86"/>
        <v>82.222246381538426</v>
      </c>
      <c r="AJ261" s="2">
        <f t="shared" si="87"/>
        <v>95</v>
      </c>
      <c r="AK261" s="2">
        <f t="shared" si="88"/>
        <v>274.66666666666669</v>
      </c>
      <c r="AL261" s="2">
        <f t="shared" si="89"/>
        <v>84.333333333333329</v>
      </c>
      <c r="AM261" s="2">
        <f t="shared" si="90"/>
        <v>59.333333333333336</v>
      </c>
    </row>
    <row r="262" spans="1:39" x14ac:dyDescent="0.3">
      <c r="A262" s="1" t="s">
        <v>363</v>
      </c>
      <c r="B262" s="1" t="s">
        <v>373</v>
      </c>
      <c r="C262" s="1" t="s">
        <v>376</v>
      </c>
      <c r="D262" s="1" t="s">
        <v>377</v>
      </c>
      <c r="E262" s="2">
        <v>70302</v>
      </c>
      <c r="F262" s="18">
        <v>15</v>
      </c>
      <c r="G262" s="18">
        <v>20</v>
      </c>
      <c r="H262" s="18">
        <v>23</v>
      </c>
      <c r="I262" s="18">
        <v>24</v>
      </c>
      <c r="J262" s="18">
        <v>54</v>
      </c>
      <c r="K262" s="18">
        <v>57</v>
      </c>
      <c r="L262" s="11">
        <v>60</v>
      </c>
      <c r="M262" s="2">
        <f t="shared" si="78"/>
        <v>27</v>
      </c>
      <c r="N262" s="2">
        <f t="shared" si="79"/>
        <v>22</v>
      </c>
      <c r="O262" s="2">
        <f t="shared" si="80"/>
        <v>45</v>
      </c>
      <c r="P262" s="2">
        <f t="shared" si="81"/>
        <v>42</v>
      </c>
      <c r="Q262" s="2">
        <f t="shared" si="82"/>
        <v>23</v>
      </c>
      <c r="R262" s="2">
        <f t="shared" si="83"/>
        <v>21</v>
      </c>
      <c r="S262" s="2">
        <f t="shared" si="84"/>
        <v>20</v>
      </c>
      <c r="T262" s="11">
        <v>42</v>
      </c>
      <c r="U262" s="11">
        <v>42</v>
      </c>
      <c r="V262" s="11">
        <v>68</v>
      </c>
      <c r="W262" s="18">
        <v>66</v>
      </c>
      <c r="X262" s="18">
        <v>77</v>
      </c>
      <c r="Y262" s="23">
        <v>78</v>
      </c>
      <c r="Z262" s="18">
        <v>80</v>
      </c>
      <c r="AA262" s="18">
        <v>35.714285714285715</v>
      </c>
      <c r="AB262" s="18">
        <v>47.619047619047613</v>
      </c>
      <c r="AC262" s="18">
        <v>33.82352941176471</v>
      </c>
      <c r="AD262" s="11">
        <v>36.363636363636367</v>
      </c>
      <c r="AE262" s="11">
        <v>70.129870129870127</v>
      </c>
      <c r="AF262" s="11">
        <v>73.076923076923066</v>
      </c>
      <c r="AG262" s="11">
        <v>75</v>
      </c>
      <c r="AH262" s="11">
        <f t="shared" si="85"/>
        <v>39.268737798149566</v>
      </c>
      <c r="AI262" s="26">
        <f t="shared" si="86"/>
        <v>72.735597735597722</v>
      </c>
      <c r="AJ262" s="2">
        <f t="shared" si="87"/>
        <v>22.333333333333332</v>
      </c>
      <c r="AK262" s="2">
        <f t="shared" si="88"/>
        <v>57</v>
      </c>
      <c r="AL262" s="2">
        <f t="shared" si="89"/>
        <v>36.333333333333336</v>
      </c>
      <c r="AM262" s="2">
        <f t="shared" si="90"/>
        <v>21.333333333333332</v>
      </c>
    </row>
    <row r="263" spans="1:39" x14ac:dyDescent="0.3">
      <c r="A263" s="1" t="s">
        <v>363</v>
      </c>
      <c r="B263" s="1" t="s">
        <v>373</v>
      </c>
      <c r="C263" s="1" t="s">
        <v>378</v>
      </c>
      <c r="D263" s="1" t="s">
        <v>378</v>
      </c>
      <c r="E263" s="2">
        <v>70303</v>
      </c>
      <c r="F263" s="18">
        <v>2</v>
      </c>
      <c r="G263" s="18">
        <v>2</v>
      </c>
      <c r="H263" s="18">
        <v>3</v>
      </c>
      <c r="I263" s="18">
        <v>9</v>
      </c>
      <c r="J263" s="18">
        <v>32</v>
      </c>
      <c r="K263" s="18">
        <v>30</v>
      </c>
      <c r="L263" s="11">
        <v>33</v>
      </c>
      <c r="M263" s="2">
        <f t="shared" si="78"/>
        <v>7</v>
      </c>
      <c r="N263" s="2">
        <f t="shared" si="79"/>
        <v>6</v>
      </c>
      <c r="O263" s="2">
        <f t="shared" si="80"/>
        <v>10</v>
      </c>
      <c r="P263" s="2">
        <f t="shared" si="81"/>
        <v>10</v>
      </c>
      <c r="Q263" s="2">
        <f t="shared" si="82"/>
        <v>9</v>
      </c>
      <c r="R263" s="2">
        <f t="shared" si="83"/>
        <v>10</v>
      </c>
      <c r="S263" s="2">
        <f t="shared" si="84"/>
        <v>7</v>
      </c>
      <c r="T263" s="11">
        <v>9</v>
      </c>
      <c r="U263" s="11">
        <v>8</v>
      </c>
      <c r="V263" s="11">
        <v>13</v>
      </c>
      <c r="W263" s="18">
        <v>19</v>
      </c>
      <c r="X263" s="18">
        <v>41</v>
      </c>
      <c r="Y263" s="23">
        <v>40</v>
      </c>
      <c r="Z263" s="18">
        <v>40</v>
      </c>
      <c r="AA263" s="18">
        <v>22.222222222222221</v>
      </c>
      <c r="AB263" s="18">
        <v>25</v>
      </c>
      <c r="AC263" s="18">
        <v>23.076923076923077</v>
      </c>
      <c r="AD263" s="11">
        <v>47.368421052631575</v>
      </c>
      <c r="AE263" s="11">
        <v>78.048780487804876</v>
      </c>
      <c r="AF263" s="11">
        <v>75</v>
      </c>
      <c r="AG263" s="11">
        <v>82.5</v>
      </c>
      <c r="AH263" s="11">
        <f t="shared" si="85"/>
        <v>31.815114709851553</v>
      </c>
      <c r="AI263" s="26">
        <f t="shared" si="86"/>
        <v>78.516260162601625</v>
      </c>
      <c r="AJ263" s="2">
        <f t="shared" si="87"/>
        <v>4.666666666666667</v>
      </c>
      <c r="AK263" s="2">
        <f t="shared" si="88"/>
        <v>31.666666666666668</v>
      </c>
      <c r="AL263" s="2">
        <f t="shared" si="89"/>
        <v>8.6666666666666661</v>
      </c>
      <c r="AM263" s="2">
        <f t="shared" si="90"/>
        <v>8.6666666666666661</v>
      </c>
    </row>
    <row r="264" spans="1:39" x14ac:dyDescent="0.3">
      <c r="A264" s="1" t="s">
        <v>363</v>
      </c>
      <c r="B264" s="1" t="s">
        <v>379</v>
      </c>
      <c r="C264" s="1" t="s">
        <v>380</v>
      </c>
      <c r="D264" s="1" t="s">
        <v>380</v>
      </c>
      <c r="E264" s="2">
        <v>70401</v>
      </c>
      <c r="F264" s="18">
        <v>13</v>
      </c>
      <c r="G264" s="18">
        <v>15</v>
      </c>
      <c r="H264" s="18">
        <v>18</v>
      </c>
      <c r="I264" s="18">
        <v>27</v>
      </c>
      <c r="J264" s="18">
        <v>53</v>
      </c>
      <c r="K264" s="18">
        <v>55</v>
      </c>
      <c r="L264" s="11">
        <v>53</v>
      </c>
      <c r="M264" s="2">
        <f t="shared" si="78"/>
        <v>44</v>
      </c>
      <c r="N264" s="2">
        <f t="shared" si="79"/>
        <v>47</v>
      </c>
      <c r="O264" s="2">
        <f t="shared" si="80"/>
        <v>76</v>
      </c>
      <c r="P264" s="2">
        <f t="shared" si="81"/>
        <v>66</v>
      </c>
      <c r="Q264" s="2">
        <f t="shared" si="82"/>
        <v>46</v>
      </c>
      <c r="R264" s="2">
        <f t="shared" si="83"/>
        <v>47</v>
      </c>
      <c r="S264" s="2">
        <f t="shared" si="84"/>
        <v>49</v>
      </c>
      <c r="T264" s="11">
        <v>57</v>
      </c>
      <c r="U264" s="11">
        <v>62</v>
      </c>
      <c r="V264" s="11">
        <v>94</v>
      </c>
      <c r="W264" s="18">
        <v>93</v>
      </c>
      <c r="X264" s="18">
        <v>99</v>
      </c>
      <c r="Y264" s="23">
        <v>102</v>
      </c>
      <c r="Z264" s="18">
        <v>102</v>
      </c>
      <c r="AA264" s="18">
        <v>22.807017543859647</v>
      </c>
      <c r="AB264" s="18">
        <v>24.193548387096776</v>
      </c>
      <c r="AC264" s="18">
        <v>19.148936170212767</v>
      </c>
      <c r="AD264" s="11">
        <v>29.032258064516132</v>
      </c>
      <c r="AE264" s="11">
        <v>53.535353535353536</v>
      </c>
      <c r="AF264" s="11">
        <v>53.921568627450981</v>
      </c>
      <c r="AG264" s="11">
        <v>51.960784313725497</v>
      </c>
      <c r="AH264" s="11">
        <f t="shared" si="85"/>
        <v>24.124914207275225</v>
      </c>
      <c r="AI264" s="26">
        <f t="shared" si="86"/>
        <v>53.139235492176674</v>
      </c>
      <c r="AJ264" s="2">
        <f t="shared" si="87"/>
        <v>20</v>
      </c>
      <c r="AK264" s="2">
        <f t="shared" si="88"/>
        <v>53.666666666666664</v>
      </c>
      <c r="AL264" s="2">
        <f t="shared" si="89"/>
        <v>63</v>
      </c>
      <c r="AM264" s="2">
        <f t="shared" si="90"/>
        <v>47.333333333333336</v>
      </c>
    </row>
    <row r="265" spans="1:39" x14ac:dyDescent="0.3">
      <c r="A265" s="1" t="s">
        <v>363</v>
      </c>
      <c r="B265" s="1" t="s">
        <v>379</v>
      </c>
      <c r="C265" s="1" t="s">
        <v>381</v>
      </c>
      <c r="D265" s="1" t="s">
        <v>381</v>
      </c>
      <c r="E265" s="2">
        <v>70402</v>
      </c>
      <c r="F265" s="18">
        <v>26</v>
      </c>
      <c r="G265" s="18">
        <v>33</v>
      </c>
      <c r="H265" s="18">
        <v>43</v>
      </c>
      <c r="I265" s="18">
        <v>49</v>
      </c>
      <c r="J265" s="18">
        <v>97</v>
      </c>
      <c r="K265" s="18">
        <v>95</v>
      </c>
      <c r="L265" s="11">
        <v>96</v>
      </c>
      <c r="M265" s="2">
        <f t="shared" si="78"/>
        <v>39</v>
      </c>
      <c r="N265" s="2">
        <f t="shared" si="79"/>
        <v>33</v>
      </c>
      <c r="O265" s="2">
        <f t="shared" si="80"/>
        <v>64</v>
      </c>
      <c r="P265" s="2">
        <f t="shared" si="81"/>
        <v>67</v>
      </c>
      <c r="Q265" s="2">
        <f t="shared" si="82"/>
        <v>43</v>
      </c>
      <c r="R265" s="2">
        <f t="shared" si="83"/>
        <v>49</v>
      </c>
      <c r="S265" s="2">
        <f t="shared" si="84"/>
        <v>50</v>
      </c>
      <c r="T265" s="11">
        <v>65</v>
      </c>
      <c r="U265" s="11">
        <v>66</v>
      </c>
      <c r="V265" s="11">
        <v>107</v>
      </c>
      <c r="W265" s="18">
        <v>116</v>
      </c>
      <c r="X265" s="18">
        <v>140</v>
      </c>
      <c r="Y265" s="23">
        <v>144</v>
      </c>
      <c r="Z265" s="18">
        <v>146</v>
      </c>
      <c r="AA265" s="18">
        <v>40</v>
      </c>
      <c r="AB265" s="18">
        <v>50</v>
      </c>
      <c r="AC265" s="18">
        <v>40.186915887850468</v>
      </c>
      <c r="AD265" s="11">
        <v>42.241379310344826</v>
      </c>
      <c r="AE265" s="11">
        <v>69.285714285714278</v>
      </c>
      <c r="AF265" s="11">
        <v>65.972222222222214</v>
      </c>
      <c r="AG265" s="11">
        <v>65.753424657534239</v>
      </c>
      <c r="AH265" s="11">
        <f t="shared" si="85"/>
        <v>44.142765066065095</v>
      </c>
      <c r="AI265" s="26">
        <f t="shared" si="86"/>
        <v>67.00378705515692</v>
      </c>
      <c r="AJ265" s="2">
        <f t="shared" si="87"/>
        <v>41.666666666666664</v>
      </c>
      <c r="AK265" s="2">
        <f t="shared" si="88"/>
        <v>96</v>
      </c>
      <c r="AL265" s="2">
        <f t="shared" si="89"/>
        <v>54.666666666666664</v>
      </c>
      <c r="AM265" s="2">
        <f t="shared" si="90"/>
        <v>47.333333333333336</v>
      </c>
    </row>
    <row r="266" spans="1:39" x14ac:dyDescent="0.3">
      <c r="A266" s="1" t="s">
        <v>363</v>
      </c>
      <c r="B266" s="1" t="s">
        <v>379</v>
      </c>
      <c r="C266" s="1" t="s">
        <v>382</v>
      </c>
      <c r="D266" s="1" t="s">
        <v>382</v>
      </c>
      <c r="E266" s="2">
        <v>70403</v>
      </c>
      <c r="F266" s="18">
        <v>96</v>
      </c>
      <c r="G266" s="18">
        <v>107</v>
      </c>
      <c r="H266" s="18">
        <v>120</v>
      </c>
      <c r="I266" s="18">
        <v>138</v>
      </c>
      <c r="J266" s="18">
        <v>244</v>
      </c>
      <c r="K266" s="18">
        <v>254</v>
      </c>
      <c r="L266" s="11">
        <v>264</v>
      </c>
      <c r="M266" s="2">
        <f t="shared" si="78"/>
        <v>32</v>
      </c>
      <c r="N266" s="2">
        <f t="shared" si="79"/>
        <v>73</v>
      </c>
      <c r="O266" s="2">
        <f t="shared" si="80"/>
        <v>101</v>
      </c>
      <c r="P266" s="2">
        <f t="shared" si="81"/>
        <v>95</v>
      </c>
      <c r="Q266" s="2">
        <f t="shared" si="82"/>
        <v>98</v>
      </c>
      <c r="R266" s="2">
        <f t="shared" si="83"/>
        <v>94</v>
      </c>
      <c r="S266" s="2">
        <f t="shared" si="84"/>
        <v>94</v>
      </c>
      <c r="T266" s="11">
        <v>128</v>
      </c>
      <c r="U266" s="11">
        <v>180</v>
      </c>
      <c r="V266" s="11">
        <v>221</v>
      </c>
      <c r="W266" s="18">
        <v>233</v>
      </c>
      <c r="X266" s="18">
        <v>342</v>
      </c>
      <c r="Y266" s="23">
        <v>348</v>
      </c>
      <c r="Z266" s="18">
        <v>358</v>
      </c>
      <c r="AA266" s="18">
        <v>75</v>
      </c>
      <c r="AB266" s="18">
        <v>59.444444444444443</v>
      </c>
      <c r="AC266" s="18">
        <v>54.298642533936651</v>
      </c>
      <c r="AD266" s="11">
        <v>59.227467811158796</v>
      </c>
      <c r="AE266" s="11">
        <v>71.345029239766077</v>
      </c>
      <c r="AF266" s="11">
        <v>72.988505747126439</v>
      </c>
      <c r="AG266" s="11">
        <v>73.743016759776538</v>
      </c>
      <c r="AH266" s="11">
        <f t="shared" si="85"/>
        <v>57.656851596513292</v>
      </c>
      <c r="AI266" s="26">
        <f t="shared" si="86"/>
        <v>72.692183915556356</v>
      </c>
      <c r="AJ266" s="2">
        <f t="shared" si="87"/>
        <v>121.66666666666667</v>
      </c>
      <c r="AK266" s="2">
        <f t="shared" si="88"/>
        <v>254</v>
      </c>
      <c r="AL266" s="2">
        <f t="shared" si="89"/>
        <v>89.666666666666671</v>
      </c>
      <c r="AM266" s="2">
        <f t="shared" si="90"/>
        <v>95.333333333333329</v>
      </c>
    </row>
    <row r="267" spans="1:39" x14ac:dyDescent="0.3">
      <c r="A267" s="1" t="s">
        <v>363</v>
      </c>
      <c r="B267" s="1" t="s">
        <v>379</v>
      </c>
      <c r="C267" s="1" t="s">
        <v>383</v>
      </c>
      <c r="D267" s="1" t="s">
        <v>383</v>
      </c>
      <c r="E267" s="2">
        <v>70404</v>
      </c>
      <c r="F267" s="18">
        <v>16</v>
      </c>
      <c r="G267" s="18">
        <v>18</v>
      </c>
      <c r="H267" s="18">
        <v>23</v>
      </c>
      <c r="I267" s="18">
        <v>29</v>
      </c>
      <c r="J267" s="18">
        <v>52</v>
      </c>
      <c r="K267" s="18">
        <v>52</v>
      </c>
      <c r="L267" s="11">
        <v>53</v>
      </c>
      <c r="M267" s="2">
        <f t="shared" si="78"/>
        <v>10</v>
      </c>
      <c r="N267" s="2">
        <f t="shared" si="79"/>
        <v>10</v>
      </c>
      <c r="O267" s="2">
        <f t="shared" si="80"/>
        <v>23</v>
      </c>
      <c r="P267" s="2">
        <f t="shared" si="81"/>
        <v>26</v>
      </c>
      <c r="Q267" s="2">
        <f t="shared" si="82"/>
        <v>20</v>
      </c>
      <c r="R267" s="2">
        <f t="shared" si="83"/>
        <v>21</v>
      </c>
      <c r="S267" s="2">
        <f t="shared" si="84"/>
        <v>23</v>
      </c>
      <c r="T267" s="11">
        <v>26</v>
      </c>
      <c r="U267" s="11">
        <v>28</v>
      </c>
      <c r="V267" s="11">
        <v>46</v>
      </c>
      <c r="W267" s="18">
        <v>55</v>
      </c>
      <c r="X267" s="18">
        <v>72</v>
      </c>
      <c r="Y267" s="23">
        <v>73</v>
      </c>
      <c r="Z267" s="18">
        <v>76</v>
      </c>
      <c r="AA267" s="18">
        <v>61.53846153846154</v>
      </c>
      <c r="AB267" s="18">
        <v>64.285714285714292</v>
      </c>
      <c r="AC267" s="18">
        <v>50</v>
      </c>
      <c r="AD267" s="11">
        <v>52.72727272727272</v>
      </c>
      <c r="AE267" s="11">
        <v>72.222222222222214</v>
      </c>
      <c r="AF267" s="11">
        <v>71.232876712328761</v>
      </c>
      <c r="AG267" s="11">
        <v>69.73684210526315</v>
      </c>
      <c r="AH267" s="11">
        <f t="shared" si="85"/>
        <v>55.670995670995673</v>
      </c>
      <c r="AI267" s="26">
        <f t="shared" si="86"/>
        <v>71.063980346604708</v>
      </c>
      <c r="AJ267" s="2">
        <f t="shared" si="87"/>
        <v>23.333333333333332</v>
      </c>
      <c r="AK267" s="2">
        <f t="shared" si="88"/>
        <v>52.333333333333336</v>
      </c>
      <c r="AL267" s="2">
        <f t="shared" si="89"/>
        <v>19.666666666666668</v>
      </c>
      <c r="AM267" s="2">
        <f t="shared" si="90"/>
        <v>21.333333333333332</v>
      </c>
    </row>
    <row r="268" spans="1:39" x14ac:dyDescent="0.3">
      <c r="A268" s="1" t="s">
        <v>363</v>
      </c>
      <c r="B268" s="1" t="s">
        <v>384</v>
      </c>
      <c r="C268" s="1" t="s">
        <v>385</v>
      </c>
      <c r="D268" s="1" t="s">
        <v>386</v>
      </c>
      <c r="E268" s="2">
        <v>70501</v>
      </c>
      <c r="F268" s="18">
        <v>31</v>
      </c>
      <c r="G268" s="18">
        <v>32</v>
      </c>
      <c r="H268" s="18">
        <v>40</v>
      </c>
      <c r="I268" s="18">
        <v>50</v>
      </c>
      <c r="J268" s="18">
        <v>102</v>
      </c>
      <c r="K268" s="18">
        <v>100</v>
      </c>
      <c r="L268" s="11">
        <v>100</v>
      </c>
      <c r="M268" s="2">
        <f t="shared" si="78"/>
        <v>32</v>
      </c>
      <c r="N268" s="2">
        <f t="shared" si="79"/>
        <v>29</v>
      </c>
      <c r="O268" s="2">
        <f t="shared" si="80"/>
        <v>59</v>
      </c>
      <c r="P268" s="2">
        <f t="shared" si="81"/>
        <v>55</v>
      </c>
      <c r="Q268" s="2">
        <f t="shared" si="82"/>
        <v>27</v>
      </c>
      <c r="R268" s="2">
        <f t="shared" si="83"/>
        <v>30</v>
      </c>
      <c r="S268" s="2">
        <f t="shared" si="84"/>
        <v>30</v>
      </c>
      <c r="T268" s="11">
        <v>63</v>
      </c>
      <c r="U268" s="11">
        <v>61</v>
      </c>
      <c r="V268" s="11">
        <v>99</v>
      </c>
      <c r="W268" s="18">
        <v>105</v>
      </c>
      <c r="X268" s="18">
        <v>129</v>
      </c>
      <c r="Y268" s="23">
        <v>130</v>
      </c>
      <c r="Z268" s="18">
        <v>130</v>
      </c>
      <c r="AA268" s="18">
        <v>49.206349206349202</v>
      </c>
      <c r="AB268" s="18">
        <v>52.459016393442624</v>
      </c>
      <c r="AC268" s="18">
        <v>40.404040404040401</v>
      </c>
      <c r="AD268" s="11">
        <v>47.619047619047613</v>
      </c>
      <c r="AE268" s="11">
        <v>79.069767441860463</v>
      </c>
      <c r="AF268" s="11">
        <v>76.923076923076934</v>
      </c>
      <c r="AG268" s="11">
        <v>76.923076923076934</v>
      </c>
      <c r="AH268" s="11">
        <f t="shared" si="85"/>
        <v>46.827368138843546</v>
      </c>
      <c r="AI268" s="26">
        <f t="shared" si="86"/>
        <v>77.63864042933811</v>
      </c>
      <c r="AJ268" s="2">
        <f t="shared" si="87"/>
        <v>40.666666666666664</v>
      </c>
      <c r="AK268" s="2">
        <f t="shared" si="88"/>
        <v>100.66666666666667</v>
      </c>
      <c r="AL268" s="2">
        <f t="shared" si="89"/>
        <v>47.666666666666664</v>
      </c>
      <c r="AM268" s="2">
        <f t="shared" si="90"/>
        <v>29</v>
      </c>
    </row>
    <row r="269" spans="1:39" x14ac:dyDescent="0.3">
      <c r="A269" s="1" t="s">
        <v>363</v>
      </c>
      <c r="B269" s="1" t="s">
        <v>384</v>
      </c>
      <c r="C269" s="1" t="s">
        <v>387</v>
      </c>
      <c r="D269" s="1" t="s">
        <v>387</v>
      </c>
      <c r="E269" s="2">
        <v>70502</v>
      </c>
      <c r="F269" s="18">
        <v>45</v>
      </c>
      <c r="G269" s="18">
        <v>53</v>
      </c>
      <c r="H269" s="18">
        <v>63</v>
      </c>
      <c r="I269" s="18">
        <v>69</v>
      </c>
      <c r="J269" s="18">
        <v>112</v>
      </c>
      <c r="K269" s="18">
        <v>115</v>
      </c>
      <c r="L269" s="11">
        <v>116</v>
      </c>
      <c r="M269" s="2">
        <f t="shared" si="78"/>
        <v>22</v>
      </c>
      <c r="N269" s="2">
        <f t="shared" si="79"/>
        <v>19</v>
      </c>
      <c r="O269" s="2">
        <f t="shared" si="80"/>
        <v>53</v>
      </c>
      <c r="P269" s="2">
        <f t="shared" si="81"/>
        <v>56</v>
      </c>
      <c r="Q269" s="2">
        <f t="shared" si="82"/>
        <v>42</v>
      </c>
      <c r="R269" s="2">
        <f t="shared" si="83"/>
        <v>41</v>
      </c>
      <c r="S269" s="2">
        <f t="shared" si="84"/>
        <v>44</v>
      </c>
      <c r="T269" s="11">
        <v>67</v>
      </c>
      <c r="U269" s="11">
        <v>72</v>
      </c>
      <c r="V269" s="11">
        <v>116</v>
      </c>
      <c r="W269" s="18">
        <v>125</v>
      </c>
      <c r="X269" s="18">
        <v>154</v>
      </c>
      <c r="Y269" s="23">
        <v>156</v>
      </c>
      <c r="Z269" s="18">
        <v>160</v>
      </c>
      <c r="AA269" s="18">
        <v>67.164179104477611</v>
      </c>
      <c r="AB269" s="18">
        <v>73.611111111111114</v>
      </c>
      <c r="AC269" s="18">
        <v>54.310344827586206</v>
      </c>
      <c r="AD269" s="11">
        <v>55.2</v>
      </c>
      <c r="AE269" s="11">
        <v>72.727272727272734</v>
      </c>
      <c r="AF269" s="11">
        <v>73.71794871794873</v>
      </c>
      <c r="AG269" s="11">
        <v>72.5</v>
      </c>
      <c r="AH269" s="11">
        <f t="shared" si="85"/>
        <v>61.040485312899108</v>
      </c>
      <c r="AI269" s="26">
        <f t="shared" si="86"/>
        <v>72.981740481740488</v>
      </c>
      <c r="AJ269" s="2">
        <f t="shared" si="87"/>
        <v>61.666666666666664</v>
      </c>
      <c r="AK269" s="2">
        <f t="shared" si="88"/>
        <v>114.33333333333333</v>
      </c>
      <c r="AL269" s="2">
        <f t="shared" si="89"/>
        <v>42.666666666666664</v>
      </c>
      <c r="AM269" s="2">
        <f t="shared" si="90"/>
        <v>42.333333333333336</v>
      </c>
    </row>
    <row r="270" spans="1:39" x14ac:dyDescent="0.3">
      <c r="A270" s="1" t="s">
        <v>363</v>
      </c>
      <c r="B270" s="1" t="s">
        <v>384</v>
      </c>
      <c r="C270" s="1" t="s">
        <v>388</v>
      </c>
      <c r="D270" s="1" t="s">
        <v>388</v>
      </c>
      <c r="E270" s="2">
        <v>70503</v>
      </c>
      <c r="F270" s="18">
        <v>34</v>
      </c>
      <c r="G270" s="18">
        <v>43</v>
      </c>
      <c r="H270" s="18">
        <v>53</v>
      </c>
      <c r="I270" s="18">
        <v>64</v>
      </c>
      <c r="J270" s="18">
        <v>93</v>
      </c>
      <c r="K270" s="18">
        <v>97</v>
      </c>
      <c r="L270" s="11">
        <v>100</v>
      </c>
      <c r="M270" s="2">
        <f t="shared" si="78"/>
        <v>54</v>
      </c>
      <c r="N270" s="2">
        <f t="shared" si="79"/>
        <v>45</v>
      </c>
      <c r="O270" s="2">
        <f t="shared" si="80"/>
        <v>72</v>
      </c>
      <c r="P270" s="2">
        <f t="shared" si="81"/>
        <v>61</v>
      </c>
      <c r="Q270" s="2">
        <f t="shared" si="82"/>
        <v>18</v>
      </c>
      <c r="R270" s="2">
        <f t="shared" si="83"/>
        <v>17</v>
      </c>
      <c r="S270" s="2">
        <f t="shared" si="84"/>
        <v>16</v>
      </c>
      <c r="T270" s="11">
        <v>88</v>
      </c>
      <c r="U270" s="11">
        <v>88</v>
      </c>
      <c r="V270" s="11">
        <v>125</v>
      </c>
      <c r="W270" s="18">
        <v>125</v>
      </c>
      <c r="X270" s="18">
        <v>111</v>
      </c>
      <c r="Y270" s="23">
        <v>114</v>
      </c>
      <c r="Z270" s="18">
        <v>116</v>
      </c>
      <c r="AA270" s="18">
        <v>38.636363636363633</v>
      </c>
      <c r="AB270" s="18">
        <v>48.863636363636367</v>
      </c>
      <c r="AC270" s="18">
        <v>42.4</v>
      </c>
      <c r="AD270" s="11">
        <v>51.2</v>
      </c>
      <c r="AE270" s="11">
        <v>83.78378378378379</v>
      </c>
      <c r="AF270" s="11">
        <v>85.087719298245617</v>
      </c>
      <c r="AG270" s="11">
        <v>86.206896551724128</v>
      </c>
      <c r="AH270" s="11">
        <f t="shared" si="85"/>
        <v>47.487878787878792</v>
      </c>
      <c r="AI270" s="26">
        <f t="shared" si="86"/>
        <v>85.026133211251178</v>
      </c>
      <c r="AJ270" s="2">
        <f t="shared" si="87"/>
        <v>53.333333333333336</v>
      </c>
      <c r="AK270" s="2">
        <f t="shared" si="88"/>
        <v>96.666666666666671</v>
      </c>
      <c r="AL270" s="2">
        <f t="shared" si="89"/>
        <v>59.333333333333336</v>
      </c>
      <c r="AM270" s="2">
        <f t="shared" si="90"/>
        <v>17</v>
      </c>
    </row>
    <row r="271" spans="1:39" x14ac:dyDescent="0.3">
      <c r="A271" s="1" t="s">
        <v>363</v>
      </c>
      <c r="B271" s="1" t="s">
        <v>389</v>
      </c>
      <c r="C271" s="1" t="s">
        <v>390</v>
      </c>
      <c r="D271" s="1" t="s">
        <v>390</v>
      </c>
      <c r="E271" s="2">
        <v>70601</v>
      </c>
      <c r="F271" s="18">
        <v>30</v>
      </c>
      <c r="G271" s="18">
        <v>29</v>
      </c>
      <c r="H271" s="18">
        <v>35</v>
      </c>
      <c r="I271" s="18">
        <v>39</v>
      </c>
      <c r="J271" s="18">
        <v>62</v>
      </c>
      <c r="K271" s="18">
        <v>64</v>
      </c>
      <c r="L271" s="11">
        <v>69</v>
      </c>
      <c r="M271" s="2">
        <f t="shared" si="78"/>
        <v>33</v>
      </c>
      <c r="N271" s="2">
        <f t="shared" si="79"/>
        <v>34</v>
      </c>
      <c r="O271" s="2">
        <f t="shared" si="80"/>
        <v>62</v>
      </c>
      <c r="P271" s="2">
        <f t="shared" si="81"/>
        <v>60</v>
      </c>
      <c r="Q271" s="2">
        <f t="shared" si="82"/>
        <v>51</v>
      </c>
      <c r="R271" s="2">
        <f t="shared" si="83"/>
        <v>54</v>
      </c>
      <c r="S271" s="2">
        <f t="shared" si="84"/>
        <v>52</v>
      </c>
      <c r="T271" s="11">
        <v>63</v>
      </c>
      <c r="U271" s="11">
        <v>63</v>
      </c>
      <c r="V271" s="11">
        <v>97</v>
      </c>
      <c r="W271" s="18">
        <v>99</v>
      </c>
      <c r="X271" s="18">
        <v>113</v>
      </c>
      <c r="Y271" s="23">
        <v>118</v>
      </c>
      <c r="Z271" s="18">
        <v>121</v>
      </c>
      <c r="AA271" s="18">
        <v>47.619047619047613</v>
      </c>
      <c r="AB271" s="18">
        <v>46.031746031746032</v>
      </c>
      <c r="AC271" s="18">
        <v>36.082474226804123</v>
      </c>
      <c r="AD271" s="11">
        <v>39.393939393939391</v>
      </c>
      <c r="AE271" s="11">
        <v>54.86725663716814</v>
      </c>
      <c r="AF271" s="11">
        <v>54.237288135593218</v>
      </c>
      <c r="AG271" s="11">
        <v>57.02479338842975</v>
      </c>
      <c r="AH271" s="11">
        <f t="shared" si="85"/>
        <v>40.502719884163177</v>
      </c>
      <c r="AI271" s="26">
        <f t="shared" si="86"/>
        <v>55.376446053730369</v>
      </c>
      <c r="AJ271" s="2">
        <f t="shared" si="87"/>
        <v>34.333333333333336</v>
      </c>
      <c r="AK271" s="2">
        <f t="shared" si="88"/>
        <v>65</v>
      </c>
      <c r="AL271" s="2">
        <f t="shared" si="89"/>
        <v>52</v>
      </c>
      <c r="AM271" s="2">
        <f t="shared" si="90"/>
        <v>52.333333333333336</v>
      </c>
    </row>
    <row r="272" spans="1:39" x14ac:dyDescent="0.3">
      <c r="A272" s="1" t="s">
        <v>363</v>
      </c>
      <c r="B272" s="1" t="s">
        <v>389</v>
      </c>
      <c r="C272" s="1" t="s">
        <v>391</v>
      </c>
      <c r="D272" s="1" t="s">
        <v>392</v>
      </c>
      <c r="E272" s="2">
        <v>70602</v>
      </c>
      <c r="F272" s="18">
        <v>13</v>
      </c>
      <c r="G272" s="18">
        <v>19</v>
      </c>
      <c r="H272" s="18">
        <v>23</v>
      </c>
      <c r="I272" s="18">
        <v>32</v>
      </c>
      <c r="J272" s="18">
        <v>72</v>
      </c>
      <c r="K272" s="18">
        <v>72</v>
      </c>
      <c r="L272" s="11">
        <v>69</v>
      </c>
      <c r="M272" s="2">
        <f t="shared" si="78"/>
        <v>22</v>
      </c>
      <c r="N272" s="2">
        <f t="shared" si="79"/>
        <v>24</v>
      </c>
      <c r="O272" s="2">
        <f t="shared" si="80"/>
        <v>39</v>
      </c>
      <c r="P272" s="2">
        <f t="shared" si="81"/>
        <v>33</v>
      </c>
      <c r="Q272" s="2">
        <f t="shared" si="82"/>
        <v>36</v>
      </c>
      <c r="R272" s="2">
        <f t="shared" si="83"/>
        <v>39</v>
      </c>
      <c r="S272" s="2">
        <f t="shared" si="84"/>
        <v>43</v>
      </c>
      <c r="T272" s="11">
        <v>35</v>
      </c>
      <c r="U272" s="11">
        <v>43</v>
      </c>
      <c r="V272" s="11">
        <v>62</v>
      </c>
      <c r="W272" s="18">
        <v>65</v>
      </c>
      <c r="X272" s="18">
        <v>108</v>
      </c>
      <c r="Y272" s="23">
        <v>111</v>
      </c>
      <c r="Z272" s="18">
        <v>112</v>
      </c>
      <c r="AA272" s="18">
        <v>37.142857142857146</v>
      </c>
      <c r="AB272" s="18">
        <v>44.186046511627907</v>
      </c>
      <c r="AC272" s="18">
        <v>37.096774193548384</v>
      </c>
      <c r="AD272" s="11">
        <v>49.230769230769234</v>
      </c>
      <c r="AE272" s="11">
        <v>66.666666666666657</v>
      </c>
      <c r="AF272" s="11">
        <v>64.86486486486487</v>
      </c>
      <c r="AG272" s="11">
        <v>61.607142857142861</v>
      </c>
      <c r="AH272" s="11">
        <f t="shared" si="85"/>
        <v>43.504529978648513</v>
      </c>
      <c r="AI272" s="26">
        <f t="shared" si="86"/>
        <v>64.379558129558134</v>
      </c>
      <c r="AJ272" s="2">
        <f t="shared" si="87"/>
        <v>24.666666666666668</v>
      </c>
      <c r="AK272" s="2">
        <f t="shared" si="88"/>
        <v>71</v>
      </c>
      <c r="AL272" s="2">
        <f t="shared" si="89"/>
        <v>32</v>
      </c>
      <c r="AM272" s="2">
        <f t="shared" si="90"/>
        <v>39.333333333333336</v>
      </c>
    </row>
    <row r="273" spans="1:39" x14ac:dyDescent="0.3">
      <c r="A273" s="1" t="s">
        <v>363</v>
      </c>
      <c r="B273" s="1" t="s">
        <v>389</v>
      </c>
      <c r="C273" s="1" t="s">
        <v>393</v>
      </c>
      <c r="D273" s="1" t="s">
        <v>393</v>
      </c>
      <c r="E273" s="2">
        <v>70603</v>
      </c>
      <c r="F273" s="18">
        <v>10</v>
      </c>
      <c r="G273" s="18">
        <v>11</v>
      </c>
      <c r="H273" s="18">
        <v>11</v>
      </c>
      <c r="I273" s="18">
        <v>12</v>
      </c>
      <c r="J273" s="18">
        <v>19</v>
      </c>
      <c r="K273" s="18">
        <v>17</v>
      </c>
      <c r="L273" s="11">
        <v>23</v>
      </c>
      <c r="M273" s="2">
        <f t="shared" si="78"/>
        <v>3</v>
      </c>
      <c r="N273" s="2">
        <f t="shared" si="79"/>
        <v>4</v>
      </c>
      <c r="O273" s="2">
        <f t="shared" si="80"/>
        <v>12</v>
      </c>
      <c r="P273" s="2">
        <f t="shared" si="81"/>
        <v>11</v>
      </c>
      <c r="Q273" s="2">
        <f t="shared" si="82"/>
        <v>12</v>
      </c>
      <c r="R273" s="2">
        <f t="shared" si="83"/>
        <v>15</v>
      </c>
      <c r="S273" s="2">
        <f t="shared" si="84"/>
        <v>13</v>
      </c>
      <c r="T273" s="11">
        <v>13</v>
      </c>
      <c r="U273" s="11">
        <v>15</v>
      </c>
      <c r="V273" s="11">
        <v>23</v>
      </c>
      <c r="W273" s="18">
        <v>23</v>
      </c>
      <c r="X273" s="18">
        <v>31</v>
      </c>
      <c r="Y273" s="23">
        <v>32</v>
      </c>
      <c r="Z273" s="18">
        <v>36</v>
      </c>
      <c r="AA273" s="18">
        <v>76.923076923076934</v>
      </c>
      <c r="AB273" s="18">
        <v>73.333333333333329</v>
      </c>
      <c r="AC273" s="18">
        <v>47.826086956521742</v>
      </c>
      <c r="AD273" s="11">
        <v>52.173913043478258</v>
      </c>
      <c r="AE273" s="11">
        <v>61.29032258064516</v>
      </c>
      <c r="AF273" s="11">
        <v>53.125</v>
      </c>
      <c r="AG273" s="11">
        <v>63.888888888888886</v>
      </c>
      <c r="AH273" s="11">
        <f t="shared" si="85"/>
        <v>57.777777777777771</v>
      </c>
      <c r="AI273" s="26">
        <f t="shared" si="86"/>
        <v>59.434737156511346</v>
      </c>
      <c r="AJ273" s="2">
        <f t="shared" si="87"/>
        <v>11.333333333333334</v>
      </c>
      <c r="AK273" s="2">
        <f t="shared" si="88"/>
        <v>19.666666666666668</v>
      </c>
      <c r="AL273" s="2">
        <f t="shared" si="89"/>
        <v>9</v>
      </c>
      <c r="AM273" s="2">
        <f t="shared" si="90"/>
        <v>13.333333333333334</v>
      </c>
    </row>
    <row r="274" spans="1:39" x14ac:dyDescent="0.3">
      <c r="A274" s="1" t="s">
        <v>363</v>
      </c>
      <c r="B274" s="1" t="s">
        <v>394</v>
      </c>
      <c r="C274" s="1" t="s">
        <v>395</v>
      </c>
      <c r="D274" s="1" t="s">
        <v>395</v>
      </c>
      <c r="E274" s="2">
        <v>70701</v>
      </c>
      <c r="F274" s="18">
        <v>11</v>
      </c>
      <c r="G274" s="18">
        <v>18</v>
      </c>
      <c r="H274" s="18">
        <v>20</v>
      </c>
      <c r="I274" s="18">
        <v>18</v>
      </c>
      <c r="J274" s="18">
        <v>52</v>
      </c>
      <c r="K274" s="18">
        <v>49</v>
      </c>
      <c r="L274" s="11">
        <v>50</v>
      </c>
      <c r="M274" s="2">
        <f t="shared" si="78"/>
        <v>12</v>
      </c>
      <c r="N274" s="2">
        <f t="shared" si="79"/>
        <v>11</v>
      </c>
      <c r="O274" s="2">
        <f t="shared" si="80"/>
        <v>22</v>
      </c>
      <c r="P274" s="2">
        <f t="shared" si="81"/>
        <v>26</v>
      </c>
      <c r="Q274" s="2">
        <f t="shared" si="82"/>
        <v>16</v>
      </c>
      <c r="R274" s="2">
        <f t="shared" si="83"/>
        <v>17</v>
      </c>
      <c r="S274" s="2">
        <f t="shared" si="84"/>
        <v>17</v>
      </c>
      <c r="T274" s="11">
        <v>23</v>
      </c>
      <c r="U274" s="11">
        <v>29</v>
      </c>
      <c r="V274" s="11">
        <v>42</v>
      </c>
      <c r="W274" s="18">
        <v>44</v>
      </c>
      <c r="X274" s="18">
        <v>68</v>
      </c>
      <c r="Y274" s="23">
        <v>66</v>
      </c>
      <c r="Z274" s="18">
        <v>67</v>
      </c>
      <c r="AA274" s="18">
        <v>47.826086956521742</v>
      </c>
      <c r="AB274" s="18">
        <v>62.068965517241381</v>
      </c>
      <c r="AC274" s="18">
        <v>47.619047619047613</v>
      </c>
      <c r="AD274" s="11">
        <v>40.909090909090914</v>
      </c>
      <c r="AE274" s="11">
        <v>76.470588235294116</v>
      </c>
      <c r="AF274" s="11">
        <v>74.242424242424249</v>
      </c>
      <c r="AG274" s="11">
        <v>74.626865671641795</v>
      </c>
      <c r="AH274" s="11">
        <f t="shared" si="85"/>
        <v>50.1990346817933</v>
      </c>
      <c r="AI274" s="26">
        <f t="shared" si="86"/>
        <v>75.113292716453387</v>
      </c>
      <c r="AJ274" s="2">
        <f t="shared" si="87"/>
        <v>18.666666666666668</v>
      </c>
      <c r="AK274" s="2">
        <f t="shared" si="88"/>
        <v>50.333333333333336</v>
      </c>
      <c r="AL274" s="2">
        <f t="shared" si="89"/>
        <v>19.666666666666668</v>
      </c>
      <c r="AM274" s="2">
        <f t="shared" si="90"/>
        <v>16.666666666666668</v>
      </c>
    </row>
    <row r="275" spans="1:39" x14ac:dyDescent="0.3">
      <c r="A275" s="1" t="s">
        <v>363</v>
      </c>
      <c r="B275" s="1" t="s">
        <v>394</v>
      </c>
      <c r="C275" s="1" t="s">
        <v>396</v>
      </c>
      <c r="D275" s="1" t="s">
        <v>396</v>
      </c>
      <c r="E275" s="2">
        <v>70702</v>
      </c>
      <c r="F275" s="18">
        <v>31</v>
      </c>
      <c r="G275" s="18">
        <v>32</v>
      </c>
      <c r="H275" s="18">
        <v>43</v>
      </c>
      <c r="I275" s="18">
        <v>48</v>
      </c>
      <c r="J275" s="18">
        <v>138</v>
      </c>
      <c r="K275" s="18">
        <v>149</v>
      </c>
      <c r="L275" s="11">
        <v>152</v>
      </c>
      <c r="M275" s="2">
        <f t="shared" si="78"/>
        <v>47</v>
      </c>
      <c r="N275" s="2">
        <f t="shared" si="79"/>
        <v>57</v>
      </c>
      <c r="O275" s="2">
        <f t="shared" si="80"/>
        <v>94</v>
      </c>
      <c r="P275" s="2">
        <f t="shared" si="81"/>
        <v>89</v>
      </c>
      <c r="Q275" s="2">
        <f t="shared" si="82"/>
        <v>37</v>
      </c>
      <c r="R275" s="2">
        <f t="shared" si="83"/>
        <v>36</v>
      </c>
      <c r="S275" s="2">
        <f t="shared" si="84"/>
        <v>41</v>
      </c>
      <c r="T275" s="11">
        <v>78</v>
      </c>
      <c r="U275" s="11">
        <v>89</v>
      </c>
      <c r="V275" s="11">
        <v>137</v>
      </c>
      <c r="W275" s="18">
        <v>137</v>
      </c>
      <c r="X275" s="18">
        <v>175</v>
      </c>
      <c r="Y275" s="23">
        <v>185</v>
      </c>
      <c r="Z275" s="18">
        <v>193</v>
      </c>
      <c r="AA275" s="18">
        <v>39.743589743589745</v>
      </c>
      <c r="AB275" s="18">
        <v>35.955056179775283</v>
      </c>
      <c r="AC275" s="18">
        <v>31.386861313868614</v>
      </c>
      <c r="AD275" s="11">
        <v>35.036496350364963</v>
      </c>
      <c r="AE275" s="11">
        <v>78.857142857142861</v>
      </c>
      <c r="AF275" s="11">
        <v>80.540540540540533</v>
      </c>
      <c r="AG275" s="11">
        <v>78.756476683937819</v>
      </c>
      <c r="AH275" s="11">
        <f t="shared" si="85"/>
        <v>34.126137948002956</v>
      </c>
      <c r="AI275" s="26">
        <f t="shared" si="86"/>
        <v>79.384720027207081</v>
      </c>
      <c r="AJ275" s="2">
        <f t="shared" si="87"/>
        <v>41</v>
      </c>
      <c r="AK275" s="2">
        <f t="shared" si="88"/>
        <v>146.33333333333334</v>
      </c>
      <c r="AL275" s="2">
        <f t="shared" si="89"/>
        <v>80</v>
      </c>
      <c r="AM275" s="2">
        <f t="shared" si="90"/>
        <v>38</v>
      </c>
    </row>
    <row r="276" spans="1:39" x14ac:dyDescent="0.3">
      <c r="A276" s="1" t="s">
        <v>363</v>
      </c>
      <c r="B276" s="1" t="s">
        <v>394</v>
      </c>
      <c r="C276" s="1" t="s">
        <v>397</v>
      </c>
      <c r="D276" s="1" t="s">
        <v>397</v>
      </c>
      <c r="E276" s="2">
        <v>70703</v>
      </c>
      <c r="F276" s="18">
        <v>20</v>
      </c>
      <c r="G276" s="18">
        <v>26</v>
      </c>
      <c r="H276" s="18">
        <v>38</v>
      </c>
      <c r="I276" s="18">
        <v>41</v>
      </c>
      <c r="J276" s="18">
        <v>86</v>
      </c>
      <c r="K276" s="18">
        <v>87</v>
      </c>
      <c r="L276" s="11">
        <v>92</v>
      </c>
      <c r="M276" s="2">
        <f t="shared" si="78"/>
        <v>14</v>
      </c>
      <c r="N276" s="2">
        <f t="shared" si="79"/>
        <v>14</v>
      </c>
      <c r="O276" s="2">
        <f t="shared" si="80"/>
        <v>34</v>
      </c>
      <c r="P276" s="2">
        <f t="shared" si="81"/>
        <v>42</v>
      </c>
      <c r="Q276" s="2">
        <f t="shared" si="82"/>
        <v>33</v>
      </c>
      <c r="R276" s="2">
        <f t="shared" si="83"/>
        <v>37</v>
      </c>
      <c r="S276" s="2">
        <f t="shared" si="84"/>
        <v>38</v>
      </c>
      <c r="T276" s="11">
        <v>34</v>
      </c>
      <c r="U276" s="11">
        <v>40</v>
      </c>
      <c r="V276" s="11">
        <v>72</v>
      </c>
      <c r="W276" s="18">
        <v>83</v>
      </c>
      <c r="X276" s="18">
        <v>119</v>
      </c>
      <c r="Y276" s="23">
        <v>124</v>
      </c>
      <c r="Z276" s="18">
        <v>130</v>
      </c>
      <c r="AA276" s="18">
        <v>58.82352941176471</v>
      </c>
      <c r="AB276" s="18">
        <v>65</v>
      </c>
      <c r="AC276" s="18">
        <v>52.777777777777779</v>
      </c>
      <c r="AD276" s="11">
        <v>49.397590361445779</v>
      </c>
      <c r="AE276" s="11">
        <v>72.268907563025209</v>
      </c>
      <c r="AF276" s="11">
        <v>70.161290322580655</v>
      </c>
      <c r="AG276" s="11">
        <v>70.769230769230774</v>
      </c>
      <c r="AH276" s="11">
        <f t="shared" si="85"/>
        <v>55.725122713074519</v>
      </c>
      <c r="AI276" s="26">
        <f t="shared" si="86"/>
        <v>71.066476218278879</v>
      </c>
      <c r="AJ276" s="2">
        <f t="shared" si="87"/>
        <v>35</v>
      </c>
      <c r="AK276" s="2">
        <f t="shared" si="88"/>
        <v>88.333333333333329</v>
      </c>
      <c r="AL276" s="2">
        <f t="shared" si="89"/>
        <v>30</v>
      </c>
      <c r="AM276" s="2">
        <f t="shared" si="90"/>
        <v>36</v>
      </c>
    </row>
    <row r="277" spans="1:39" x14ac:dyDescent="0.3">
      <c r="A277" s="1" t="s">
        <v>363</v>
      </c>
      <c r="B277" s="1" t="s">
        <v>394</v>
      </c>
      <c r="C277" s="1" t="s">
        <v>398</v>
      </c>
      <c r="D277" s="1" t="s">
        <v>398</v>
      </c>
      <c r="E277" s="2">
        <v>70704</v>
      </c>
      <c r="F277" s="18">
        <v>8</v>
      </c>
      <c r="G277" s="18">
        <v>12</v>
      </c>
      <c r="H277" s="18">
        <v>15</v>
      </c>
      <c r="I277" s="18">
        <v>18</v>
      </c>
      <c r="J277" s="18">
        <v>26</v>
      </c>
      <c r="K277" s="18">
        <v>29</v>
      </c>
      <c r="L277" s="11">
        <v>29</v>
      </c>
      <c r="M277" s="2">
        <f t="shared" si="78"/>
        <v>16</v>
      </c>
      <c r="N277" s="2">
        <f t="shared" si="79"/>
        <v>15</v>
      </c>
      <c r="O277" s="2">
        <f t="shared" si="80"/>
        <v>25</v>
      </c>
      <c r="P277" s="2">
        <f t="shared" si="81"/>
        <v>24</v>
      </c>
      <c r="Q277" s="2">
        <f t="shared" si="82"/>
        <v>21</v>
      </c>
      <c r="R277" s="2">
        <f t="shared" si="83"/>
        <v>18</v>
      </c>
      <c r="S277" s="2">
        <f t="shared" si="84"/>
        <v>19</v>
      </c>
      <c r="T277" s="11">
        <v>24</v>
      </c>
      <c r="U277" s="11">
        <v>27</v>
      </c>
      <c r="V277" s="11">
        <v>40</v>
      </c>
      <c r="W277" s="18">
        <v>42</v>
      </c>
      <c r="X277" s="18">
        <v>47</v>
      </c>
      <c r="Y277" s="23">
        <v>47</v>
      </c>
      <c r="Z277" s="18">
        <v>48</v>
      </c>
      <c r="AA277" s="18">
        <v>33.333333333333329</v>
      </c>
      <c r="AB277" s="18">
        <v>44.444444444444443</v>
      </c>
      <c r="AC277" s="18">
        <v>37.5</v>
      </c>
      <c r="AD277" s="11">
        <v>42.857142857142854</v>
      </c>
      <c r="AE277" s="11">
        <v>55.319148936170215</v>
      </c>
      <c r="AF277" s="11">
        <v>61.702127659574465</v>
      </c>
      <c r="AG277" s="11">
        <v>60.416666666666664</v>
      </c>
      <c r="AH277" s="11">
        <f t="shared" si="85"/>
        <v>41.600529100529094</v>
      </c>
      <c r="AI277" s="26">
        <f t="shared" si="86"/>
        <v>59.145981087470453</v>
      </c>
      <c r="AJ277" s="2">
        <f t="shared" si="87"/>
        <v>15</v>
      </c>
      <c r="AK277" s="2">
        <f t="shared" si="88"/>
        <v>28</v>
      </c>
      <c r="AL277" s="2">
        <f t="shared" si="89"/>
        <v>21.333333333333332</v>
      </c>
      <c r="AM277" s="2">
        <f t="shared" si="90"/>
        <v>19.333333333333332</v>
      </c>
    </row>
    <row r="278" spans="1:39" x14ac:dyDescent="0.3">
      <c r="A278" s="1" t="s">
        <v>363</v>
      </c>
      <c r="B278" s="1" t="s">
        <v>394</v>
      </c>
      <c r="C278" s="1" t="s">
        <v>399</v>
      </c>
      <c r="D278" s="1" t="s">
        <v>399</v>
      </c>
      <c r="E278" s="2">
        <v>70705</v>
      </c>
      <c r="F278" s="18">
        <v>14</v>
      </c>
      <c r="G278" s="18">
        <v>20</v>
      </c>
      <c r="H278" s="18">
        <v>27</v>
      </c>
      <c r="I278" s="18">
        <v>28</v>
      </c>
      <c r="J278" s="18">
        <v>74</v>
      </c>
      <c r="K278" s="18">
        <v>79</v>
      </c>
      <c r="L278" s="11">
        <v>79</v>
      </c>
      <c r="M278" s="2">
        <f t="shared" si="78"/>
        <v>31</v>
      </c>
      <c r="N278" s="2">
        <f t="shared" si="79"/>
        <v>27</v>
      </c>
      <c r="O278" s="2">
        <f t="shared" si="80"/>
        <v>51</v>
      </c>
      <c r="P278" s="2">
        <f t="shared" si="81"/>
        <v>54</v>
      </c>
      <c r="Q278" s="2">
        <f t="shared" si="82"/>
        <v>29</v>
      </c>
      <c r="R278" s="2">
        <f t="shared" si="83"/>
        <v>28</v>
      </c>
      <c r="S278" s="2">
        <f t="shared" si="84"/>
        <v>29</v>
      </c>
      <c r="T278" s="11">
        <v>45</v>
      </c>
      <c r="U278" s="11">
        <v>47</v>
      </c>
      <c r="V278" s="11">
        <v>78</v>
      </c>
      <c r="W278" s="18">
        <v>82</v>
      </c>
      <c r="X278" s="18">
        <v>103</v>
      </c>
      <c r="Y278" s="23">
        <v>107</v>
      </c>
      <c r="Z278" s="18">
        <v>108</v>
      </c>
      <c r="AA278" s="18">
        <v>31.111111111111111</v>
      </c>
      <c r="AB278" s="18">
        <v>42.553191489361701</v>
      </c>
      <c r="AC278" s="18">
        <v>34.615384615384613</v>
      </c>
      <c r="AD278" s="11">
        <v>34.146341463414636</v>
      </c>
      <c r="AE278" s="11">
        <v>71.844660194174764</v>
      </c>
      <c r="AF278" s="11">
        <v>73.831775700934571</v>
      </c>
      <c r="AG278" s="11">
        <v>73.148148148148152</v>
      </c>
      <c r="AH278" s="11">
        <f t="shared" si="85"/>
        <v>37.104972522720317</v>
      </c>
      <c r="AI278" s="26">
        <f t="shared" si="86"/>
        <v>72.941528014419163</v>
      </c>
      <c r="AJ278" s="2">
        <f t="shared" si="87"/>
        <v>25</v>
      </c>
      <c r="AK278" s="2">
        <f t="shared" si="88"/>
        <v>77.333333333333329</v>
      </c>
      <c r="AL278" s="2">
        <f t="shared" si="89"/>
        <v>44</v>
      </c>
      <c r="AM278" s="2">
        <f t="shared" si="90"/>
        <v>28.666666666666668</v>
      </c>
    </row>
    <row r="279" spans="1:39" x14ac:dyDescent="0.3">
      <c r="A279" s="1" t="s">
        <v>363</v>
      </c>
      <c r="B279" s="1" t="s">
        <v>394</v>
      </c>
      <c r="C279" s="1" t="s">
        <v>400</v>
      </c>
      <c r="D279" s="1" t="s">
        <v>400</v>
      </c>
      <c r="E279" s="2">
        <v>70706</v>
      </c>
      <c r="F279" s="18">
        <v>90</v>
      </c>
      <c r="G279" s="18">
        <v>97</v>
      </c>
      <c r="H279" s="18">
        <v>103</v>
      </c>
      <c r="I279" s="18">
        <v>127</v>
      </c>
      <c r="J279" s="18">
        <v>164</v>
      </c>
      <c r="K279" s="18">
        <v>163</v>
      </c>
      <c r="L279" s="11">
        <v>163</v>
      </c>
      <c r="M279" s="2">
        <f t="shared" si="78"/>
        <v>58</v>
      </c>
      <c r="N279" s="2">
        <f t="shared" si="79"/>
        <v>53</v>
      </c>
      <c r="O279" s="2">
        <f t="shared" si="80"/>
        <v>87</v>
      </c>
      <c r="P279" s="2">
        <f t="shared" si="81"/>
        <v>96</v>
      </c>
      <c r="Q279" s="2">
        <f t="shared" si="82"/>
        <v>65</v>
      </c>
      <c r="R279" s="2">
        <f t="shared" si="83"/>
        <v>68</v>
      </c>
      <c r="S279" s="2">
        <f t="shared" si="84"/>
        <v>69</v>
      </c>
      <c r="T279" s="11">
        <v>148</v>
      </c>
      <c r="U279" s="11">
        <v>150</v>
      </c>
      <c r="V279" s="11">
        <v>190</v>
      </c>
      <c r="W279" s="18">
        <v>223</v>
      </c>
      <c r="X279" s="18">
        <v>229</v>
      </c>
      <c r="Y279" s="23">
        <v>231</v>
      </c>
      <c r="Z279" s="18">
        <v>232</v>
      </c>
      <c r="AA279" s="18">
        <v>60.810810810810814</v>
      </c>
      <c r="AB279" s="18">
        <v>64.666666666666657</v>
      </c>
      <c r="AC279" s="18">
        <v>54.210526315789473</v>
      </c>
      <c r="AD279" s="11">
        <v>56.950672645739907</v>
      </c>
      <c r="AE279" s="11">
        <v>71.615720524017462</v>
      </c>
      <c r="AF279" s="11">
        <v>70.562770562770567</v>
      </c>
      <c r="AG279" s="11">
        <v>70.258620689655174</v>
      </c>
      <c r="AH279" s="11">
        <f t="shared" si="85"/>
        <v>58.60928854273201</v>
      </c>
      <c r="AI279" s="26">
        <f t="shared" si="86"/>
        <v>70.81237059214773</v>
      </c>
      <c r="AJ279" s="2">
        <f t="shared" si="87"/>
        <v>109</v>
      </c>
      <c r="AK279" s="2">
        <f t="shared" si="88"/>
        <v>163.33333333333334</v>
      </c>
      <c r="AL279" s="2">
        <f t="shared" si="89"/>
        <v>78.666666666666671</v>
      </c>
      <c r="AM279" s="2">
        <f t="shared" si="90"/>
        <v>67.333333333333329</v>
      </c>
    </row>
    <row r="280" spans="1:39" x14ac:dyDescent="0.3">
      <c r="A280" s="1" t="s">
        <v>363</v>
      </c>
      <c r="B280" s="1" t="s">
        <v>394</v>
      </c>
      <c r="C280" s="1" t="s">
        <v>401</v>
      </c>
      <c r="D280" s="1" t="s">
        <v>401</v>
      </c>
      <c r="E280" s="2">
        <v>70707</v>
      </c>
      <c r="F280" s="18">
        <v>14</v>
      </c>
      <c r="G280" s="18">
        <v>14</v>
      </c>
      <c r="H280" s="18">
        <v>14</v>
      </c>
      <c r="I280" s="18">
        <v>13</v>
      </c>
      <c r="J280" s="18">
        <v>20</v>
      </c>
      <c r="K280" s="18">
        <v>19</v>
      </c>
      <c r="L280" s="11">
        <v>20</v>
      </c>
      <c r="M280" s="2">
        <f t="shared" si="78"/>
        <v>8</v>
      </c>
      <c r="N280" s="2">
        <f t="shared" si="79"/>
        <v>8</v>
      </c>
      <c r="O280" s="2">
        <f t="shared" si="80"/>
        <v>11</v>
      </c>
      <c r="P280" s="2">
        <f t="shared" si="81"/>
        <v>11</v>
      </c>
      <c r="Q280" s="2">
        <f t="shared" si="82"/>
        <v>5</v>
      </c>
      <c r="R280" s="2">
        <f t="shared" si="83"/>
        <v>5</v>
      </c>
      <c r="S280" s="2">
        <f t="shared" si="84"/>
        <v>6</v>
      </c>
      <c r="T280" s="11">
        <v>22</v>
      </c>
      <c r="U280" s="11">
        <v>22</v>
      </c>
      <c r="V280" s="11">
        <v>25</v>
      </c>
      <c r="W280" s="18">
        <v>24</v>
      </c>
      <c r="X280" s="18">
        <v>25</v>
      </c>
      <c r="Y280" s="23">
        <v>24</v>
      </c>
      <c r="Z280" s="18">
        <v>26</v>
      </c>
      <c r="AA280" s="18">
        <v>63.636363636363633</v>
      </c>
      <c r="AB280" s="18">
        <v>63.636363636363633</v>
      </c>
      <c r="AC280" s="18">
        <v>56.000000000000007</v>
      </c>
      <c r="AD280" s="11">
        <v>54.166666666666664</v>
      </c>
      <c r="AE280" s="11">
        <v>80</v>
      </c>
      <c r="AF280" s="11">
        <v>79.166666666666657</v>
      </c>
      <c r="AG280" s="11">
        <v>76.923076923076934</v>
      </c>
      <c r="AH280" s="11">
        <f t="shared" si="85"/>
        <v>57.93434343434344</v>
      </c>
      <c r="AI280" s="26">
        <f t="shared" si="86"/>
        <v>78.696581196581192</v>
      </c>
      <c r="AJ280" s="2">
        <f t="shared" si="87"/>
        <v>13.666666666666666</v>
      </c>
      <c r="AK280" s="2">
        <f t="shared" si="88"/>
        <v>19.666666666666668</v>
      </c>
      <c r="AL280" s="2">
        <f t="shared" si="89"/>
        <v>10</v>
      </c>
      <c r="AM280" s="2">
        <f t="shared" si="90"/>
        <v>5.333333333333333</v>
      </c>
    </row>
    <row r="281" spans="1:39" x14ac:dyDescent="0.3">
      <c r="A281" s="1" t="s">
        <v>363</v>
      </c>
      <c r="B281" s="1" t="s">
        <v>402</v>
      </c>
      <c r="C281" s="1" t="s">
        <v>402</v>
      </c>
      <c r="D281" s="1" t="s">
        <v>402</v>
      </c>
      <c r="E281" s="2">
        <v>70801</v>
      </c>
      <c r="F281" s="18">
        <v>47</v>
      </c>
      <c r="G281" s="18">
        <v>57</v>
      </c>
      <c r="H281" s="18">
        <v>66</v>
      </c>
      <c r="I281" s="18">
        <v>67</v>
      </c>
      <c r="J281" s="18">
        <v>102</v>
      </c>
      <c r="K281" s="18">
        <v>105</v>
      </c>
      <c r="L281" s="11">
        <v>107</v>
      </c>
      <c r="M281" s="2">
        <f t="shared" si="78"/>
        <v>27</v>
      </c>
      <c r="N281" s="2">
        <f t="shared" si="79"/>
        <v>22</v>
      </c>
      <c r="O281" s="2">
        <f t="shared" si="80"/>
        <v>57</v>
      </c>
      <c r="P281" s="2">
        <f t="shared" si="81"/>
        <v>46</v>
      </c>
      <c r="Q281" s="2">
        <f t="shared" si="82"/>
        <v>30</v>
      </c>
      <c r="R281" s="2">
        <f t="shared" si="83"/>
        <v>31</v>
      </c>
      <c r="S281" s="2">
        <f t="shared" si="84"/>
        <v>28</v>
      </c>
      <c r="T281" s="11">
        <v>74</v>
      </c>
      <c r="U281" s="11">
        <v>79</v>
      </c>
      <c r="V281" s="11">
        <v>123</v>
      </c>
      <c r="W281" s="18">
        <v>113</v>
      </c>
      <c r="X281" s="18">
        <v>132</v>
      </c>
      <c r="Y281" s="23">
        <v>136</v>
      </c>
      <c r="Z281" s="18">
        <v>135</v>
      </c>
      <c r="AA281" s="18">
        <v>63.513513513513509</v>
      </c>
      <c r="AB281" s="18">
        <v>72.151898734177209</v>
      </c>
      <c r="AC281" s="18">
        <v>53.658536585365859</v>
      </c>
      <c r="AD281" s="11">
        <v>59.292035398230091</v>
      </c>
      <c r="AE281" s="11">
        <v>77.272727272727266</v>
      </c>
      <c r="AF281" s="11">
        <v>77.205882352941174</v>
      </c>
      <c r="AG281" s="11">
        <v>79.259259259259267</v>
      </c>
      <c r="AH281" s="11">
        <f t="shared" si="85"/>
        <v>61.700823572591055</v>
      </c>
      <c r="AI281" s="26">
        <f t="shared" si="86"/>
        <v>77.912622961642569</v>
      </c>
      <c r="AJ281" s="2">
        <f t="shared" si="87"/>
        <v>63.333333333333336</v>
      </c>
      <c r="AK281" s="2">
        <f t="shared" si="88"/>
        <v>104.66666666666667</v>
      </c>
      <c r="AL281" s="2">
        <f t="shared" si="89"/>
        <v>41.666666666666664</v>
      </c>
      <c r="AM281" s="2">
        <f t="shared" si="90"/>
        <v>29.666666666666668</v>
      </c>
    </row>
    <row r="282" spans="1:39" x14ac:dyDescent="0.3">
      <c r="A282" s="1" t="s">
        <v>363</v>
      </c>
      <c r="B282" s="1" t="s">
        <v>402</v>
      </c>
      <c r="C282" s="1" t="s">
        <v>403</v>
      </c>
      <c r="D282" s="1" t="s">
        <v>403</v>
      </c>
      <c r="E282" s="2">
        <v>70802</v>
      </c>
      <c r="F282" s="18">
        <v>1</v>
      </c>
      <c r="G282" s="18">
        <v>2</v>
      </c>
      <c r="H282" s="18">
        <v>3</v>
      </c>
      <c r="I282" s="18">
        <v>4</v>
      </c>
      <c r="J282" s="18">
        <v>8</v>
      </c>
      <c r="K282" s="18">
        <v>7</v>
      </c>
      <c r="L282" s="11">
        <v>7</v>
      </c>
      <c r="M282" s="2">
        <f t="shared" si="78"/>
        <v>10</v>
      </c>
      <c r="N282" s="2">
        <f t="shared" si="79"/>
        <v>9</v>
      </c>
      <c r="O282" s="2">
        <f t="shared" si="80"/>
        <v>12</v>
      </c>
      <c r="P282" s="2">
        <f t="shared" si="81"/>
        <v>11</v>
      </c>
      <c r="Q282" s="2">
        <f t="shared" si="82"/>
        <v>7</v>
      </c>
      <c r="R282" s="2">
        <f t="shared" si="83"/>
        <v>6</v>
      </c>
      <c r="S282" s="2">
        <f t="shared" si="84"/>
        <v>6</v>
      </c>
      <c r="T282" s="11">
        <v>11</v>
      </c>
      <c r="U282" s="11">
        <v>11</v>
      </c>
      <c r="V282" s="11">
        <v>15</v>
      </c>
      <c r="W282" s="18">
        <v>15</v>
      </c>
      <c r="X282" s="18">
        <v>15</v>
      </c>
      <c r="Y282" s="23">
        <v>13</v>
      </c>
      <c r="Z282" s="18">
        <v>13</v>
      </c>
      <c r="AA282" s="18">
        <v>9.0909090909090917</v>
      </c>
      <c r="AB282" s="18">
        <v>18.181818181818183</v>
      </c>
      <c r="AC282" s="18">
        <v>20</v>
      </c>
      <c r="AD282" s="11">
        <v>26.666666666666668</v>
      </c>
      <c r="AE282" s="11">
        <v>53.333333333333336</v>
      </c>
      <c r="AF282" s="11">
        <v>53.846153846153847</v>
      </c>
      <c r="AG282" s="11">
        <v>53.846153846153847</v>
      </c>
      <c r="AH282" s="11">
        <f t="shared" si="85"/>
        <v>21.616161616161619</v>
      </c>
      <c r="AI282" s="26">
        <f t="shared" si="86"/>
        <v>53.675213675213676</v>
      </c>
      <c r="AJ282" s="2">
        <f t="shared" si="87"/>
        <v>3</v>
      </c>
      <c r="AK282" s="2">
        <f t="shared" si="88"/>
        <v>7.333333333333333</v>
      </c>
      <c r="AL282" s="2">
        <f t="shared" si="89"/>
        <v>10.666666666666666</v>
      </c>
      <c r="AM282" s="2">
        <f t="shared" si="90"/>
        <v>6.333333333333333</v>
      </c>
    </row>
    <row r="283" spans="1:39" x14ac:dyDescent="0.3">
      <c r="A283" s="1" t="s">
        <v>363</v>
      </c>
      <c r="B283" s="1" t="s">
        <v>402</v>
      </c>
      <c r="C283" s="1" t="s">
        <v>404</v>
      </c>
      <c r="D283" s="1" t="s">
        <v>405</v>
      </c>
      <c r="E283" s="2">
        <v>70803</v>
      </c>
      <c r="F283" s="18">
        <v>4</v>
      </c>
      <c r="G283" s="18">
        <v>6</v>
      </c>
      <c r="H283" s="18">
        <v>6</v>
      </c>
      <c r="I283" s="18">
        <v>11</v>
      </c>
      <c r="J283" s="18">
        <v>19</v>
      </c>
      <c r="K283" s="18">
        <v>21</v>
      </c>
      <c r="L283" s="11">
        <v>22</v>
      </c>
      <c r="M283" s="2">
        <f t="shared" si="78"/>
        <v>18</v>
      </c>
      <c r="N283" s="2">
        <f t="shared" si="79"/>
        <v>20</v>
      </c>
      <c r="O283" s="2">
        <f t="shared" si="80"/>
        <v>29</v>
      </c>
      <c r="P283" s="2">
        <f t="shared" si="81"/>
        <v>24</v>
      </c>
      <c r="Q283" s="2">
        <f t="shared" si="82"/>
        <v>13</v>
      </c>
      <c r="R283" s="2">
        <f t="shared" si="83"/>
        <v>12</v>
      </c>
      <c r="S283" s="2">
        <f t="shared" si="84"/>
        <v>11</v>
      </c>
      <c r="T283" s="11">
        <v>22</v>
      </c>
      <c r="U283" s="11">
        <v>26</v>
      </c>
      <c r="V283" s="11">
        <v>35</v>
      </c>
      <c r="W283" s="18">
        <v>35</v>
      </c>
      <c r="X283" s="18">
        <v>32</v>
      </c>
      <c r="Y283" s="23">
        <v>33</v>
      </c>
      <c r="Z283" s="18">
        <v>33</v>
      </c>
      <c r="AA283" s="18">
        <v>18.181818181818183</v>
      </c>
      <c r="AB283" s="18">
        <v>23.076923076923077</v>
      </c>
      <c r="AC283" s="18">
        <v>17.142857142857142</v>
      </c>
      <c r="AD283" s="11">
        <v>31.428571428571427</v>
      </c>
      <c r="AE283" s="11">
        <v>59.375</v>
      </c>
      <c r="AF283" s="11">
        <v>63.636363636363633</v>
      </c>
      <c r="AG283" s="11">
        <v>66.666666666666657</v>
      </c>
      <c r="AH283" s="11">
        <f t="shared" si="85"/>
        <v>23.882783882783883</v>
      </c>
      <c r="AI283" s="26">
        <f t="shared" si="86"/>
        <v>63.226010101010097</v>
      </c>
      <c r="AJ283" s="2">
        <f t="shared" si="87"/>
        <v>7.666666666666667</v>
      </c>
      <c r="AK283" s="2">
        <f t="shared" si="88"/>
        <v>20.666666666666668</v>
      </c>
      <c r="AL283" s="2">
        <f t="shared" si="89"/>
        <v>24.333333333333332</v>
      </c>
      <c r="AM283" s="2">
        <f t="shared" si="90"/>
        <v>12</v>
      </c>
    </row>
    <row r="284" spans="1:39" x14ac:dyDescent="0.3">
      <c r="A284" s="1" t="s">
        <v>363</v>
      </c>
      <c r="B284" s="1" t="s">
        <v>402</v>
      </c>
      <c r="C284" s="1" t="s">
        <v>406</v>
      </c>
      <c r="D284" s="1" t="s">
        <v>406</v>
      </c>
      <c r="E284" s="2">
        <v>70804</v>
      </c>
      <c r="F284" s="18">
        <v>3</v>
      </c>
      <c r="G284" s="18">
        <v>4</v>
      </c>
      <c r="H284" s="18">
        <v>4</v>
      </c>
      <c r="I284" s="18">
        <v>4</v>
      </c>
      <c r="J284" s="18">
        <v>8</v>
      </c>
      <c r="K284" s="18">
        <v>8</v>
      </c>
      <c r="L284" s="11">
        <v>8</v>
      </c>
      <c r="M284" s="2">
        <f t="shared" si="78"/>
        <v>6</v>
      </c>
      <c r="N284" s="2">
        <f t="shared" si="79"/>
        <v>5</v>
      </c>
      <c r="O284" s="2">
        <f t="shared" si="80"/>
        <v>5</v>
      </c>
      <c r="P284" s="2">
        <f t="shared" si="81"/>
        <v>5</v>
      </c>
      <c r="Q284" s="2">
        <f t="shared" si="82"/>
        <v>0</v>
      </c>
      <c r="R284" s="2">
        <f t="shared" si="83"/>
        <v>0</v>
      </c>
      <c r="S284" s="2">
        <f t="shared" si="84"/>
        <v>0</v>
      </c>
      <c r="T284" s="11">
        <v>9</v>
      </c>
      <c r="U284" s="11">
        <v>9</v>
      </c>
      <c r="V284" s="11">
        <v>9</v>
      </c>
      <c r="W284" s="18">
        <v>9</v>
      </c>
      <c r="X284" s="18">
        <v>8</v>
      </c>
      <c r="Y284" s="23">
        <v>8</v>
      </c>
      <c r="Z284" s="18">
        <v>8</v>
      </c>
      <c r="AA284" s="18">
        <v>33.333333333333329</v>
      </c>
      <c r="AB284" s="18">
        <v>44.444444444444443</v>
      </c>
      <c r="AC284" s="18">
        <v>44.444444444444443</v>
      </c>
      <c r="AD284" s="11">
        <v>44.444444444444443</v>
      </c>
      <c r="AE284" s="11">
        <v>100</v>
      </c>
      <c r="AF284" s="11">
        <v>100</v>
      </c>
      <c r="AG284" s="11">
        <v>100</v>
      </c>
      <c r="AH284" s="11">
        <f t="shared" si="85"/>
        <v>44.444444444444436</v>
      </c>
      <c r="AI284" s="26">
        <f t="shared" si="86"/>
        <v>100</v>
      </c>
      <c r="AJ284" s="2">
        <f t="shared" si="87"/>
        <v>4</v>
      </c>
      <c r="AK284" s="2">
        <f t="shared" si="88"/>
        <v>8</v>
      </c>
      <c r="AL284" s="2">
        <f t="shared" si="89"/>
        <v>5</v>
      </c>
      <c r="AM284" s="2">
        <f t="shared" si="90"/>
        <v>0</v>
      </c>
    </row>
    <row r="285" spans="1:39" x14ac:dyDescent="0.3">
      <c r="A285" s="1" t="s">
        <v>363</v>
      </c>
      <c r="B285" s="1" t="s">
        <v>402</v>
      </c>
      <c r="C285" s="1" t="s">
        <v>407</v>
      </c>
      <c r="D285" s="1" t="s">
        <v>407</v>
      </c>
      <c r="E285" s="2">
        <v>70805</v>
      </c>
      <c r="F285" s="18">
        <v>3</v>
      </c>
      <c r="G285" s="18">
        <v>2</v>
      </c>
      <c r="H285" s="18">
        <v>3</v>
      </c>
      <c r="I285" s="18">
        <v>3</v>
      </c>
      <c r="J285" s="18">
        <v>5</v>
      </c>
      <c r="K285" s="18">
        <v>5</v>
      </c>
      <c r="L285" s="11">
        <v>5</v>
      </c>
      <c r="M285" s="2">
        <f t="shared" si="78"/>
        <v>6</v>
      </c>
      <c r="N285" s="2">
        <f t="shared" si="79"/>
        <v>7</v>
      </c>
      <c r="O285" s="2">
        <f t="shared" si="80"/>
        <v>17</v>
      </c>
      <c r="P285" s="2">
        <f t="shared" si="81"/>
        <v>15</v>
      </c>
      <c r="Q285" s="2">
        <f t="shared" si="82"/>
        <v>9</v>
      </c>
      <c r="R285" s="2">
        <f t="shared" si="83"/>
        <v>7</v>
      </c>
      <c r="S285" s="2">
        <f t="shared" si="84"/>
        <v>7</v>
      </c>
      <c r="T285" s="11">
        <v>9</v>
      </c>
      <c r="U285" s="11">
        <v>9</v>
      </c>
      <c r="V285" s="11">
        <v>20</v>
      </c>
      <c r="W285" s="18">
        <v>18</v>
      </c>
      <c r="X285" s="18">
        <v>14</v>
      </c>
      <c r="Y285" s="23">
        <v>12</v>
      </c>
      <c r="Z285" s="18">
        <v>12</v>
      </c>
      <c r="AA285" s="18">
        <v>33.333333333333329</v>
      </c>
      <c r="AB285" s="18">
        <v>22.222222222222221</v>
      </c>
      <c r="AC285" s="18">
        <v>15</v>
      </c>
      <c r="AD285" s="11">
        <v>16.666666666666664</v>
      </c>
      <c r="AE285" s="11">
        <v>35.714285714285715</v>
      </c>
      <c r="AF285" s="11">
        <v>41.666666666666671</v>
      </c>
      <c r="AG285" s="11">
        <v>41.666666666666671</v>
      </c>
      <c r="AH285" s="11">
        <f t="shared" si="85"/>
        <v>17.962962962962962</v>
      </c>
      <c r="AI285" s="26">
        <f t="shared" si="86"/>
        <v>39.682539682539684</v>
      </c>
      <c r="AJ285" s="2">
        <f t="shared" si="87"/>
        <v>2.6666666666666665</v>
      </c>
      <c r="AK285" s="2">
        <f t="shared" si="88"/>
        <v>5</v>
      </c>
      <c r="AL285" s="2">
        <f t="shared" si="89"/>
        <v>13</v>
      </c>
      <c r="AM285" s="2">
        <f t="shared" si="90"/>
        <v>7.666666666666667</v>
      </c>
    </row>
    <row r="286" spans="1:39" x14ac:dyDescent="0.3">
      <c r="A286" s="1" t="s">
        <v>363</v>
      </c>
      <c r="B286" s="1" t="s">
        <v>408</v>
      </c>
      <c r="C286" s="1" t="s">
        <v>409</v>
      </c>
      <c r="D286" s="1" t="s">
        <v>409</v>
      </c>
      <c r="E286" s="2">
        <v>70901</v>
      </c>
      <c r="F286" s="18">
        <v>40</v>
      </c>
      <c r="G286" s="18">
        <v>44</v>
      </c>
      <c r="H286" s="18">
        <v>48</v>
      </c>
      <c r="I286" s="18">
        <v>51</v>
      </c>
      <c r="J286" s="18">
        <v>73</v>
      </c>
      <c r="K286" s="18">
        <v>73</v>
      </c>
      <c r="L286" s="11">
        <v>70</v>
      </c>
      <c r="M286" s="2">
        <f t="shared" si="78"/>
        <v>12</v>
      </c>
      <c r="N286" s="2">
        <f t="shared" si="79"/>
        <v>21</v>
      </c>
      <c r="O286" s="2">
        <f t="shared" si="80"/>
        <v>27</v>
      </c>
      <c r="P286" s="2">
        <f t="shared" si="81"/>
        <v>25</v>
      </c>
      <c r="Q286" s="2">
        <f t="shared" si="82"/>
        <v>14</v>
      </c>
      <c r="R286" s="2">
        <f t="shared" si="83"/>
        <v>14</v>
      </c>
      <c r="S286" s="2">
        <f t="shared" si="84"/>
        <v>19</v>
      </c>
      <c r="T286" s="11">
        <v>52</v>
      </c>
      <c r="U286" s="11">
        <v>65</v>
      </c>
      <c r="V286" s="11">
        <v>75</v>
      </c>
      <c r="W286" s="18">
        <v>76</v>
      </c>
      <c r="X286" s="18">
        <v>87</v>
      </c>
      <c r="Y286" s="23">
        <v>87</v>
      </c>
      <c r="Z286" s="18">
        <v>89</v>
      </c>
      <c r="AA286" s="18">
        <v>76.923076923076934</v>
      </c>
      <c r="AB286" s="18">
        <v>67.692307692307693</v>
      </c>
      <c r="AC286" s="18">
        <v>64</v>
      </c>
      <c r="AD286" s="11">
        <v>67.10526315789474</v>
      </c>
      <c r="AE286" s="11">
        <v>83.908045977011497</v>
      </c>
      <c r="AF286" s="11">
        <v>83.908045977011497</v>
      </c>
      <c r="AG286" s="11">
        <v>78.651685393258433</v>
      </c>
      <c r="AH286" s="11">
        <f t="shared" si="85"/>
        <v>66.265856950067473</v>
      </c>
      <c r="AI286" s="26">
        <f t="shared" si="86"/>
        <v>82.155925782427133</v>
      </c>
      <c r="AJ286" s="2">
        <f t="shared" si="87"/>
        <v>47.666666666666664</v>
      </c>
      <c r="AK286" s="2">
        <f t="shared" si="88"/>
        <v>72</v>
      </c>
      <c r="AL286" s="2">
        <f t="shared" si="89"/>
        <v>24.333333333333332</v>
      </c>
      <c r="AM286" s="2">
        <f t="shared" si="90"/>
        <v>15.666666666666666</v>
      </c>
    </row>
    <row r="287" spans="1:39" x14ac:dyDescent="0.3">
      <c r="A287" s="1" t="s">
        <v>363</v>
      </c>
      <c r="B287" s="1" t="s">
        <v>408</v>
      </c>
      <c r="C287" s="1" t="s">
        <v>410</v>
      </c>
      <c r="D287" s="1" t="s">
        <v>410</v>
      </c>
      <c r="E287" s="2">
        <v>70902</v>
      </c>
      <c r="F287" s="18">
        <v>17</v>
      </c>
      <c r="G287" s="18">
        <v>16</v>
      </c>
      <c r="H287" s="18">
        <v>28</v>
      </c>
      <c r="I287" s="18">
        <v>31</v>
      </c>
      <c r="J287" s="18">
        <v>56</v>
      </c>
      <c r="K287" s="18">
        <v>58</v>
      </c>
      <c r="L287" s="11">
        <v>58</v>
      </c>
      <c r="M287" s="2">
        <f t="shared" si="78"/>
        <v>4</v>
      </c>
      <c r="N287" s="2">
        <f t="shared" si="79"/>
        <v>5</v>
      </c>
      <c r="O287" s="2">
        <f t="shared" si="80"/>
        <v>15</v>
      </c>
      <c r="P287" s="2">
        <f t="shared" si="81"/>
        <v>15</v>
      </c>
      <c r="Q287" s="2">
        <f t="shared" si="82"/>
        <v>5</v>
      </c>
      <c r="R287" s="2">
        <f t="shared" si="83"/>
        <v>6</v>
      </c>
      <c r="S287" s="2">
        <f t="shared" si="84"/>
        <v>8</v>
      </c>
      <c r="T287" s="11">
        <v>21</v>
      </c>
      <c r="U287" s="11">
        <v>21</v>
      </c>
      <c r="V287" s="11">
        <v>43</v>
      </c>
      <c r="W287" s="18">
        <v>46</v>
      </c>
      <c r="X287" s="18">
        <v>61</v>
      </c>
      <c r="Y287" s="23">
        <v>64</v>
      </c>
      <c r="Z287" s="18">
        <v>66</v>
      </c>
      <c r="AA287" s="18">
        <v>80.952380952380949</v>
      </c>
      <c r="AB287" s="18">
        <v>76.19047619047619</v>
      </c>
      <c r="AC287" s="18">
        <v>65.116279069767444</v>
      </c>
      <c r="AD287" s="11">
        <v>67.391304347826093</v>
      </c>
      <c r="AE287" s="11">
        <v>91.803278688524586</v>
      </c>
      <c r="AF287" s="11">
        <v>90.625</v>
      </c>
      <c r="AG287" s="11">
        <v>87.878787878787875</v>
      </c>
      <c r="AH287" s="11">
        <f t="shared" si="85"/>
        <v>69.566019869356566</v>
      </c>
      <c r="AI287" s="26">
        <f t="shared" si="86"/>
        <v>90.102355522437492</v>
      </c>
      <c r="AJ287" s="2">
        <f t="shared" si="87"/>
        <v>25</v>
      </c>
      <c r="AK287" s="2">
        <f t="shared" si="88"/>
        <v>57.333333333333336</v>
      </c>
      <c r="AL287" s="2">
        <f t="shared" si="89"/>
        <v>11.666666666666666</v>
      </c>
      <c r="AM287" s="2">
        <f t="shared" si="90"/>
        <v>6.333333333333333</v>
      </c>
    </row>
    <row r="288" spans="1:39" x14ac:dyDescent="0.3">
      <c r="A288" s="1" t="s">
        <v>363</v>
      </c>
      <c r="B288" s="1" t="s">
        <v>408</v>
      </c>
      <c r="C288" s="1" t="s">
        <v>411</v>
      </c>
      <c r="D288" s="1" t="s">
        <v>411</v>
      </c>
      <c r="E288" s="2">
        <v>70903</v>
      </c>
      <c r="F288" s="18">
        <v>16</v>
      </c>
      <c r="G288" s="18">
        <v>23</v>
      </c>
      <c r="H288" s="18">
        <v>30</v>
      </c>
      <c r="I288" s="18">
        <v>40</v>
      </c>
      <c r="J288" s="18">
        <v>67</v>
      </c>
      <c r="K288" s="18">
        <v>63</v>
      </c>
      <c r="L288" s="11">
        <v>65</v>
      </c>
      <c r="M288" s="2">
        <f t="shared" si="78"/>
        <v>18</v>
      </c>
      <c r="N288" s="2">
        <f t="shared" si="79"/>
        <v>21</v>
      </c>
      <c r="O288" s="2">
        <f t="shared" si="80"/>
        <v>34</v>
      </c>
      <c r="P288" s="2">
        <f t="shared" si="81"/>
        <v>23</v>
      </c>
      <c r="Q288" s="2">
        <f t="shared" si="82"/>
        <v>3</v>
      </c>
      <c r="R288" s="2">
        <f t="shared" si="83"/>
        <v>6</v>
      </c>
      <c r="S288" s="2">
        <f t="shared" si="84"/>
        <v>7</v>
      </c>
      <c r="T288" s="11">
        <v>34</v>
      </c>
      <c r="U288" s="11">
        <v>44</v>
      </c>
      <c r="V288" s="11">
        <v>64</v>
      </c>
      <c r="W288" s="18">
        <v>63</v>
      </c>
      <c r="X288" s="18">
        <v>70</v>
      </c>
      <c r="Y288" s="23">
        <v>69</v>
      </c>
      <c r="Z288" s="18">
        <v>72</v>
      </c>
      <c r="AA288" s="18">
        <v>47.058823529411761</v>
      </c>
      <c r="AB288" s="18">
        <v>52.272727272727273</v>
      </c>
      <c r="AC288" s="18">
        <v>46.875</v>
      </c>
      <c r="AD288" s="11">
        <v>63.492063492063487</v>
      </c>
      <c r="AE288" s="11">
        <v>95.714285714285722</v>
      </c>
      <c r="AF288" s="11">
        <v>91.304347826086953</v>
      </c>
      <c r="AG288" s="11">
        <v>90.277777777777786</v>
      </c>
      <c r="AH288" s="11">
        <f t="shared" si="85"/>
        <v>54.213263588263594</v>
      </c>
      <c r="AI288" s="26">
        <f t="shared" si="86"/>
        <v>92.432137106050149</v>
      </c>
      <c r="AJ288" s="2">
        <f t="shared" si="87"/>
        <v>31</v>
      </c>
      <c r="AK288" s="2">
        <f t="shared" si="88"/>
        <v>65</v>
      </c>
      <c r="AL288" s="2">
        <f t="shared" si="89"/>
        <v>26</v>
      </c>
      <c r="AM288" s="2">
        <f t="shared" si="90"/>
        <v>5.333333333333333</v>
      </c>
    </row>
    <row r="289" spans="1:39" x14ac:dyDescent="0.3">
      <c r="A289" s="1" t="s">
        <v>363</v>
      </c>
      <c r="B289" s="1" t="s">
        <v>408</v>
      </c>
      <c r="C289" s="1" t="s">
        <v>412</v>
      </c>
      <c r="D289" s="1" t="s">
        <v>412</v>
      </c>
      <c r="E289" s="2">
        <v>70904</v>
      </c>
      <c r="F289" s="18">
        <v>3</v>
      </c>
      <c r="G289" s="18">
        <v>3</v>
      </c>
      <c r="H289" s="18">
        <v>4</v>
      </c>
      <c r="I289" s="18">
        <v>5</v>
      </c>
      <c r="J289" s="18">
        <v>8</v>
      </c>
      <c r="K289" s="18">
        <v>8</v>
      </c>
      <c r="L289" s="11">
        <v>8</v>
      </c>
      <c r="M289" s="2">
        <f t="shared" si="78"/>
        <v>3</v>
      </c>
      <c r="N289" s="2">
        <f t="shared" si="79"/>
        <v>3</v>
      </c>
      <c r="O289" s="2">
        <f t="shared" si="80"/>
        <v>5</v>
      </c>
      <c r="P289" s="2">
        <f t="shared" si="81"/>
        <v>3</v>
      </c>
      <c r="Q289" s="2">
        <f t="shared" si="82"/>
        <v>1</v>
      </c>
      <c r="R289" s="2">
        <f t="shared" si="83"/>
        <v>1</v>
      </c>
      <c r="S289" s="2">
        <f t="shared" si="84"/>
        <v>2</v>
      </c>
      <c r="T289" s="11">
        <v>6</v>
      </c>
      <c r="U289" s="11">
        <v>6</v>
      </c>
      <c r="V289" s="11">
        <v>9</v>
      </c>
      <c r="W289" s="18">
        <v>8</v>
      </c>
      <c r="X289" s="18">
        <v>9</v>
      </c>
      <c r="Y289" s="23">
        <v>9</v>
      </c>
      <c r="Z289" s="18">
        <v>10</v>
      </c>
      <c r="AA289" s="18">
        <v>50</v>
      </c>
      <c r="AB289" s="18">
        <v>50</v>
      </c>
      <c r="AC289" s="18">
        <v>44.444444444444443</v>
      </c>
      <c r="AD289" s="11">
        <v>62.5</v>
      </c>
      <c r="AE289" s="11">
        <v>88.888888888888886</v>
      </c>
      <c r="AF289" s="11">
        <v>88.888888888888886</v>
      </c>
      <c r="AG289" s="11">
        <v>80</v>
      </c>
      <c r="AH289" s="11">
        <f t="shared" si="85"/>
        <v>52.314814814814817</v>
      </c>
      <c r="AI289" s="26">
        <f t="shared" si="86"/>
        <v>85.925925925925924</v>
      </c>
      <c r="AJ289" s="2">
        <f t="shared" si="87"/>
        <v>4</v>
      </c>
      <c r="AK289" s="2">
        <f t="shared" si="88"/>
        <v>8</v>
      </c>
      <c r="AL289" s="2">
        <f t="shared" si="89"/>
        <v>3.6666666666666665</v>
      </c>
      <c r="AM289" s="2">
        <f t="shared" si="90"/>
        <v>1.3333333333333333</v>
      </c>
    </row>
    <row r="290" spans="1:39" x14ac:dyDescent="0.3">
      <c r="A290" s="1" t="s">
        <v>363</v>
      </c>
      <c r="B290" s="1" t="s">
        <v>413</v>
      </c>
      <c r="C290" s="1" t="s">
        <v>414</v>
      </c>
      <c r="D290" s="1" t="s">
        <v>414</v>
      </c>
      <c r="E290" s="2">
        <v>71001</v>
      </c>
      <c r="F290" s="18">
        <v>183</v>
      </c>
      <c r="G290" s="18">
        <v>204</v>
      </c>
      <c r="H290" s="18">
        <v>231</v>
      </c>
      <c r="I290" s="18">
        <v>263</v>
      </c>
      <c r="J290" s="18">
        <v>410</v>
      </c>
      <c r="K290" s="18">
        <v>417</v>
      </c>
      <c r="L290" s="11">
        <v>412</v>
      </c>
      <c r="M290" s="2">
        <f t="shared" si="78"/>
        <v>132</v>
      </c>
      <c r="N290" s="2">
        <f t="shared" si="79"/>
        <v>133</v>
      </c>
      <c r="O290" s="2">
        <f t="shared" si="80"/>
        <v>257</v>
      </c>
      <c r="P290" s="2">
        <f t="shared" si="81"/>
        <v>246</v>
      </c>
      <c r="Q290" s="2">
        <f t="shared" si="82"/>
        <v>187</v>
      </c>
      <c r="R290" s="2">
        <f t="shared" si="83"/>
        <v>192</v>
      </c>
      <c r="S290" s="2">
        <f t="shared" si="84"/>
        <v>193</v>
      </c>
      <c r="T290" s="11">
        <v>315</v>
      </c>
      <c r="U290" s="11">
        <v>337</v>
      </c>
      <c r="V290" s="11">
        <v>488</v>
      </c>
      <c r="W290" s="18">
        <v>509</v>
      </c>
      <c r="X290" s="18">
        <v>597</v>
      </c>
      <c r="Y290" s="23">
        <v>609</v>
      </c>
      <c r="Z290" s="18">
        <v>605</v>
      </c>
      <c r="AA290" s="18">
        <v>58.095238095238102</v>
      </c>
      <c r="AB290" s="18">
        <v>60.534124629080125</v>
      </c>
      <c r="AC290" s="18">
        <v>47.33606557377049</v>
      </c>
      <c r="AD290" s="11">
        <v>51.669941060903732</v>
      </c>
      <c r="AE290" s="11">
        <v>68.67671691792296</v>
      </c>
      <c r="AF290" s="11">
        <v>68.472906403940897</v>
      </c>
      <c r="AG290" s="11">
        <v>68.099173553719012</v>
      </c>
      <c r="AH290" s="11">
        <f t="shared" si="85"/>
        <v>53.18004375458478</v>
      </c>
      <c r="AI290" s="26">
        <f t="shared" si="86"/>
        <v>68.416265625194285</v>
      </c>
      <c r="AJ290" s="2">
        <f t="shared" si="87"/>
        <v>232.66666666666666</v>
      </c>
      <c r="AK290" s="2">
        <f t="shared" si="88"/>
        <v>413</v>
      </c>
      <c r="AL290" s="2">
        <f t="shared" si="89"/>
        <v>212</v>
      </c>
      <c r="AM290" s="2">
        <f t="shared" si="90"/>
        <v>190.66666666666666</v>
      </c>
    </row>
    <row r="291" spans="1:39" x14ac:dyDescent="0.3">
      <c r="A291" s="1" t="s">
        <v>363</v>
      </c>
      <c r="B291" s="1" t="s">
        <v>413</v>
      </c>
      <c r="C291" s="1" t="s">
        <v>415</v>
      </c>
      <c r="D291" s="1" t="s">
        <v>415</v>
      </c>
      <c r="E291" s="2">
        <v>71002</v>
      </c>
      <c r="F291" s="18">
        <v>18</v>
      </c>
      <c r="G291" s="18">
        <v>22</v>
      </c>
      <c r="H291" s="18">
        <v>25</v>
      </c>
      <c r="I291" s="18">
        <v>36</v>
      </c>
      <c r="J291" s="18">
        <v>75</v>
      </c>
      <c r="K291" s="18">
        <v>77</v>
      </c>
      <c r="L291" s="11">
        <v>75</v>
      </c>
      <c r="M291" s="2">
        <f t="shared" si="78"/>
        <v>32</v>
      </c>
      <c r="N291" s="2">
        <f t="shared" si="79"/>
        <v>35</v>
      </c>
      <c r="O291" s="2">
        <f t="shared" si="80"/>
        <v>69</v>
      </c>
      <c r="P291" s="2">
        <f t="shared" si="81"/>
        <v>66</v>
      </c>
      <c r="Q291" s="2">
        <f t="shared" si="82"/>
        <v>32</v>
      </c>
      <c r="R291" s="2">
        <f t="shared" si="83"/>
        <v>33</v>
      </c>
      <c r="S291" s="2">
        <f t="shared" si="84"/>
        <v>34</v>
      </c>
      <c r="T291" s="11">
        <v>50</v>
      </c>
      <c r="U291" s="11">
        <v>57</v>
      </c>
      <c r="V291" s="11">
        <v>94</v>
      </c>
      <c r="W291" s="18">
        <v>102</v>
      </c>
      <c r="X291" s="18">
        <v>107</v>
      </c>
      <c r="Y291" s="23">
        <v>110</v>
      </c>
      <c r="Z291" s="18">
        <v>109</v>
      </c>
      <c r="AA291" s="18">
        <v>36</v>
      </c>
      <c r="AB291" s="18">
        <v>38.596491228070171</v>
      </c>
      <c r="AC291" s="18">
        <v>26.595744680851062</v>
      </c>
      <c r="AD291" s="11">
        <v>35.294117647058826</v>
      </c>
      <c r="AE291" s="11">
        <v>70.09345794392523</v>
      </c>
      <c r="AF291" s="11">
        <v>70</v>
      </c>
      <c r="AG291" s="11">
        <v>68.807339449541288</v>
      </c>
      <c r="AH291" s="11">
        <f t="shared" si="85"/>
        <v>33.495451185326687</v>
      </c>
      <c r="AI291" s="26">
        <f t="shared" si="86"/>
        <v>69.633599131155506</v>
      </c>
      <c r="AJ291" s="2">
        <f t="shared" si="87"/>
        <v>27.666666666666668</v>
      </c>
      <c r="AK291" s="2">
        <f t="shared" si="88"/>
        <v>75.666666666666671</v>
      </c>
      <c r="AL291" s="2">
        <f t="shared" si="89"/>
        <v>56.666666666666664</v>
      </c>
      <c r="AM291" s="2">
        <f t="shared" si="90"/>
        <v>33</v>
      </c>
    </row>
    <row r="292" spans="1:39" x14ac:dyDescent="0.3">
      <c r="A292" s="1" t="s">
        <v>363</v>
      </c>
      <c r="B292" s="1" t="s">
        <v>413</v>
      </c>
      <c r="C292" s="1" t="s">
        <v>416</v>
      </c>
      <c r="D292" s="1" t="s">
        <v>416</v>
      </c>
      <c r="E292" s="2">
        <v>71003</v>
      </c>
      <c r="F292" s="18">
        <v>25</v>
      </c>
      <c r="G292" s="18">
        <v>32</v>
      </c>
      <c r="H292" s="18">
        <v>38</v>
      </c>
      <c r="I292" s="18">
        <v>44</v>
      </c>
      <c r="J292" s="18">
        <v>80</v>
      </c>
      <c r="K292" s="18">
        <v>86</v>
      </c>
      <c r="L292" s="11">
        <v>88</v>
      </c>
      <c r="M292" s="2">
        <f t="shared" si="78"/>
        <v>30</v>
      </c>
      <c r="N292" s="2">
        <f t="shared" si="79"/>
        <v>26</v>
      </c>
      <c r="O292" s="2">
        <f t="shared" si="80"/>
        <v>55</v>
      </c>
      <c r="P292" s="2">
        <f t="shared" si="81"/>
        <v>56</v>
      </c>
      <c r="Q292" s="2">
        <f t="shared" si="82"/>
        <v>48</v>
      </c>
      <c r="R292" s="2">
        <f t="shared" si="83"/>
        <v>45</v>
      </c>
      <c r="S292" s="2">
        <f t="shared" si="84"/>
        <v>40</v>
      </c>
      <c r="T292" s="11">
        <v>55</v>
      </c>
      <c r="U292" s="11">
        <v>58</v>
      </c>
      <c r="V292" s="11">
        <v>93</v>
      </c>
      <c r="W292" s="18">
        <v>100</v>
      </c>
      <c r="X292" s="18">
        <v>128</v>
      </c>
      <c r="Y292" s="23">
        <v>131</v>
      </c>
      <c r="Z292" s="18">
        <v>128</v>
      </c>
      <c r="AA292" s="18">
        <v>45.454545454545453</v>
      </c>
      <c r="AB292" s="18">
        <v>55.172413793103445</v>
      </c>
      <c r="AC292" s="18">
        <v>40.86021505376344</v>
      </c>
      <c r="AD292" s="11">
        <v>44</v>
      </c>
      <c r="AE292" s="11">
        <v>62.5</v>
      </c>
      <c r="AF292" s="11">
        <v>65.648854961832058</v>
      </c>
      <c r="AG292" s="11">
        <v>68.75</v>
      </c>
      <c r="AH292" s="11">
        <f t="shared" si="85"/>
        <v>46.677542948955626</v>
      </c>
      <c r="AI292" s="26">
        <f t="shared" si="86"/>
        <v>65.632951653944019</v>
      </c>
      <c r="AJ292" s="2">
        <f t="shared" si="87"/>
        <v>38</v>
      </c>
      <c r="AK292" s="2">
        <f t="shared" si="88"/>
        <v>84.666666666666671</v>
      </c>
      <c r="AL292" s="2">
        <f t="shared" si="89"/>
        <v>45.666666666666664</v>
      </c>
      <c r="AM292" s="2">
        <f t="shared" si="90"/>
        <v>44.333333333333336</v>
      </c>
    </row>
    <row r="293" spans="1:39" x14ac:dyDescent="0.3">
      <c r="A293" s="1" t="s">
        <v>363</v>
      </c>
      <c r="B293" s="1" t="s">
        <v>413</v>
      </c>
      <c r="C293" s="1" t="s">
        <v>417</v>
      </c>
      <c r="D293" s="1" t="s">
        <v>417</v>
      </c>
      <c r="E293" s="2">
        <v>71004</v>
      </c>
      <c r="F293" s="18">
        <v>22</v>
      </c>
      <c r="G293" s="18">
        <v>27</v>
      </c>
      <c r="H293" s="18">
        <v>29</v>
      </c>
      <c r="I293" s="18">
        <v>32</v>
      </c>
      <c r="J293" s="18">
        <v>42</v>
      </c>
      <c r="K293" s="18">
        <v>44</v>
      </c>
      <c r="L293" s="11">
        <v>44</v>
      </c>
      <c r="M293" s="2">
        <f t="shared" si="78"/>
        <v>19</v>
      </c>
      <c r="N293" s="2">
        <f t="shared" si="79"/>
        <v>21</v>
      </c>
      <c r="O293" s="2">
        <f t="shared" si="80"/>
        <v>35</v>
      </c>
      <c r="P293" s="2">
        <f t="shared" si="81"/>
        <v>34</v>
      </c>
      <c r="Q293" s="2">
        <f t="shared" si="82"/>
        <v>32</v>
      </c>
      <c r="R293" s="2">
        <f t="shared" si="83"/>
        <v>32</v>
      </c>
      <c r="S293" s="2">
        <f t="shared" si="84"/>
        <v>33</v>
      </c>
      <c r="T293" s="11">
        <v>41</v>
      </c>
      <c r="U293" s="11">
        <v>48</v>
      </c>
      <c r="V293" s="11">
        <v>64</v>
      </c>
      <c r="W293" s="18">
        <v>66</v>
      </c>
      <c r="X293" s="18">
        <v>74</v>
      </c>
      <c r="Y293" s="23">
        <v>76</v>
      </c>
      <c r="Z293" s="18">
        <v>77</v>
      </c>
      <c r="AA293" s="18">
        <v>53.658536585365859</v>
      </c>
      <c r="AB293" s="18">
        <v>56.25</v>
      </c>
      <c r="AC293" s="18">
        <v>45.3125</v>
      </c>
      <c r="AD293" s="11">
        <v>48.484848484848484</v>
      </c>
      <c r="AE293" s="11">
        <v>56.756756756756758</v>
      </c>
      <c r="AF293" s="11">
        <v>57.894736842105267</v>
      </c>
      <c r="AG293" s="11">
        <v>57.142857142857139</v>
      </c>
      <c r="AH293" s="11">
        <f t="shared" si="85"/>
        <v>50.015782828282831</v>
      </c>
      <c r="AI293" s="26">
        <f t="shared" si="86"/>
        <v>57.264783580573059</v>
      </c>
      <c r="AJ293" s="2">
        <f t="shared" si="87"/>
        <v>29.333333333333332</v>
      </c>
      <c r="AK293" s="2">
        <f t="shared" si="88"/>
        <v>43.333333333333336</v>
      </c>
      <c r="AL293" s="2">
        <f t="shared" si="89"/>
        <v>30</v>
      </c>
      <c r="AM293" s="2">
        <f t="shared" si="90"/>
        <v>32.333333333333336</v>
      </c>
    </row>
    <row r="294" spans="1:39" x14ac:dyDescent="0.3">
      <c r="A294" s="1" t="s">
        <v>363</v>
      </c>
      <c r="B294" s="1" t="s">
        <v>413</v>
      </c>
      <c r="C294" s="1" t="s">
        <v>304</v>
      </c>
      <c r="D294" s="1" t="s">
        <v>304</v>
      </c>
      <c r="E294" s="2">
        <v>71005</v>
      </c>
      <c r="F294" s="18">
        <v>26</v>
      </c>
      <c r="G294" s="18">
        <v>37</v>
      </c>
      <c r="H294" s="18">
        <v>44</v>
      </c>
      <c r="I294" s="18">
        <v>43</v>
      </c>
      <c r="J294" s="18">
        <v>75</v>
      </c>
      <c r="K294" s="18">
        <v>70</v>
      </c>
      <c r="L294" s="11">
        <v>73</v>
      </c>
      <c r="M294" s="2">
        <f t="shared" si="78"/>
        <v>39</v>
      </c>
      <c r="N294" s="2">
        <f t="shared" si="79"/>
        <v>29</v>
      </c>
      <c r="O294" s="2">
        <f t="shared" si="80"/>
        <v>46</v>
      </c>
      <c r="P294" s="2">
        <f t="shared" si="81"/>
        <v>50</v>
      </c>
      <c r="Q294" s="2">
        <f t="shared" si="82"/>
        <v>41</v>
      </c>
      <c r="R294" s="2">
        <f t="shared" si="83"/>
        <v>44</v>
      </c>
      <c r="S294" s="2">
        <f t="shared" si="84"/>
        <v>44</v>
      </c>
      <c r="T294" s="11">
        <v>65</v>
      </c>
      <c r="U294" s="11">
        <v>66</v>
      </c>
      <c r="V294" s="11">
        <v>90</v>
      </c>
      <c r="W294" s="18">
        <v>93</v>
      </c>
      <c r="X294" s="18">
        <v>116</v>
      </c>
      <c r="Y294" s="23">
        <v>114</v>
      </c>
      <c r="Z294" s="18">
        <v>117</v>
      </c>
      <c r="AA294" s="18">
        <v>40</v>
      </c>
      <c r="AB294" s="18">
        <v>56.060606060606055</v>
      </c>
      <c r="AC294" s="18">
        <v>48.888888888888886</v>
      </c>
      <c r="AD294" s="11">
        <v>46.236559139784944</v>
      </c>
      <c r="AE294" s="11">
        <v>64.65517241379311</v>
      </c>
      <c r="AF294" s="11">
        <v>61.403508771929829</v>
      </c>
      <c r="AG294" s="11">
        <v>62.393162393162392</v>
      </c>
      <c r="AH294" s="11">
        <f t="shared" si="85"/>
        <v>50.39535136309329</v>
      </c>
      <c r="AI294" s="26">
        <f t="shared" si="86"/>
        <v>62.817281192961779</v>
      </c>
      <c r="AJ294" s="2">
        <f t="shared" si="87"/>
        <v>41.333333333333336</v>
      </c>
      <c r="AK294" s="2">
        <f t="shared" si="88"/>
        <v>72.666666666666671</v>
      </c>
      <c r="AL294" s="2">
        <f t="shared" si="89"/>
        <v>41.666666666666664</v>
      </c>
      <c r="AM294" s="2">
        <f t="shared" si="90"/>
        <v>43</v>
      </c>
    </row>
    <row r="295" spans="1:39" x14ac:dyDescent="0.3">
      <c r="A295" s="1" t="s">
        <v>363</v>
      </c>
      <c r="B295" s="1" t="s">
        <v>418</v>
      </c>
      <c r="C295" s="1" t="s">
        <v>356</v>
      </c>
      <c r="D295" s="1" t="s">
        <v>356</v>
      </c>
      <c r="E295" s="2">
        <v>71101</v>
      </c>
      <c r="F295" s="18">
        <v>29</v>
      </c>
      <c r="G295" s="18">
        <v>32</v>
      </c>
      <c r="H295" s="18">
        <v>50</v>
      </c>
      <c r="I295" s="18">
        <v>55</v>
      </c>
      <c r="J295" s="18">
        <v>151</v>
      </c>
      <c r="K295" s="18">
        <v>148</v>
      </c>
      <c r="L295" s="11">
        <v>153</v>
      </c>
      <c r="M295" s="2">
        <f t="shared" si="78"/>
        <v>15</v>
      </c>
      <c r="N295" s="2">
        <f t="shared" si="79"/>
        <v>14</v>
      </c>
      <c r="O295" s="2">
        <f t="shared" si="80"/>
        <v>50</v>
      </c>
      <c r="P295" s="2">
        <f t="shared" si="81"/>
        <v>47</v>
      </c>
      <c r="Q295" s="2">
        <f t="shared" si="82"/>
        <v>28</v>
      </c>
      <c r="R295" s="2">
        <f t="shared" si="83"/>
        <v>36</v>
      </c>
      <c r="S295" s="2">
        <f t="shared" si="84"/>
        <v>39</v>
      </c>
      <c r="T295" s="11">
        <v>44</v>
      </c>
      <c r="U295" s="11">
        <v>46</v>
      </c>
      <c r="V295" s="11">
        <v>100</v>
      </c>
      <c r="W295" s="18">
        <v>102</v>
      </c>
      <c r="X295" s="18">
        <v>179</v>
      </c>
      <c r="Y295" s="23">
        <v>184</v>
      </c>
      <c r="Z295" s="18">
        <v>192</v>
      </c>
      <c r="AA295" s="18">
        <v>65.909090909090907</v>
      </c>
      <c r="AB295" s="18">
        <v>69.565217391304344</v>
      </c>
      <c r="AC295" s="18">
        <v>50</v>
      </c>
      <c r="AD295" s="11">
        <v>53.921568627450981</v>
      </c>
      <c r="AE295" s="11">
        <v>84.357541899441344</v>
      </c>
      <c r="AF295" s="11">
        <v>80.434782608695656</v>
      </c>
      <c r="AG295" s="11">
        <v>79.6875</v>
      </c>
      <c r="AH295" s="11">
        <f t="shared" si="85"/>
        <v>57.828928672918437</v>
      </c>
      <c r="AI295" s="26">
        <f t="shared" si="86"/>
        <v>81.493274836045671</v>
      </c>
      <c r="AJ295" s="2">
        <f t="shared" si="87"/>
        <v>45.666666666666664</v>
      </c>
      <c r="AK295" s="2">
        <f t="shared" si="88"/>
        <v>150.66666666666666</v>
      </c>
      <c r="AL295" s="2">
        <f t="shared" si="89"/>
        <v>37</v>
      </c>
      <c r="AM295" s="2">
        <f t="shared" si="90"/>
        <v>34.333333333333336</v>
      </c>
    </row>
    <row r="296" spans="1:39" x14ac:dyDescent="0.3">
      <c r="A296" s="1" t="s">
        <v>363</v>
      </c>
      <c r="B296" s="1" t="s">
        <v>418</v>
      </c>
      <c r="C296" s="1" t="s">
        <v>419</v>
      </c>
      <c r="D296" s="1" t="s">
        <v>419</v>
      </c>
      <c r="E296" s="2">
        <v>71102</v>
      </c>
      <c r="F296" s="18">
        <v>28</v>
      </c>
      <c r="G296" s="18">
        <v>45</v>
      </c>
      <c r="H296" s="18">
        <v>56</v>
      </c>
      <c r="I296" s="18">
        <v>63</v>
      </c>
      <c r="J296" s="18">
        <v>79</v>
      </c>
      <c r="K296" s="18">
        <v>79</v>
      </c>
      <c r="L296" s="11">
        <v>80</v>
      </c>
      <c r="M296" s="2">
        <f t="shared" si="78"/>
        <v>14</v>
      </c>
      <c r="N296" s="2">
        <f t="shared" si="79"/>
        <v>23</v>
      </c>
      <c r="O296" s="2">
        <f t="shared" si="80"/>
        <v>31</v>
      </c>
      <c r="P296" s="2">
        <f t="shared" si="81"/>
        <v>32</v>
      </c>
      <c r="Q296" s="2">
        <f t="shared" si="82"/>
        <v>18</v>
      </c>
      <c r="R296" s="2">
        <f t="shared" si="83"/>
        <v>20</v>
      </c>
      <c r="S296" s="2">
        <f t="shared" si="84"/>
        <v>20</v>
      </c>
      <c r="T296" s="11">
        <v>42</v>
      </c>
      <c r="U296" s="11">
        <v>68</v>
      </c>
      <c r="V296" s="11">
        <v>87</v>
      </c>
      <c r="W296" s="18">
        <v>95</v>
      </c>
      <c r="X296" s="18">
        <v>97</v>
      </c>
      <c r="Y296" s="23">
        <v>99</v>
      </c>
      <c r="Z296" s="18">
        <v>100</v>
      </c>
      <c r="AA296" s="18">
        <v>66.666666666666657</v>
      </c>
      <c r="AB296" s="18">
        <v>66.17647058823529</v>
      </c>
      <c r="AC296" s="18">
        <v>64.367816091954026</v>
      </c>
      <c r="AD296" s="11">
        <v>66.315789473684205</v>
      </c>
      <c r="AE296" s="11">
        <v>81.44329896907216</v>
      </c>
      <c r="AF296" s="11">
        <v>79.797979797979806</v>
      </c>
      <c r="AG296" s="11">
        <v>80</v>
      </c>
      <c r="AH296" s="11">
        <f t="shared" si="85"/>
        <v>65.620025384624512</v>
      </c>
      <c r="AI296" s="26">
        <f t="shared" si="86"/>
        <v>80.413759589017317</v>
      </c>
      <c r="AJ296" s="2">
        <f t="shared" si="87"/>
        <v>54.666666666666664</v>
      </c>
      <c r="AK296" s="2">
        <f t="shared" si="88"/>
        <v>79.333333333333329</v>
      </c>
      <c r="AL296" s="2">
        <f t="shared" si="89"/>
        <v>28.666666666666668</v>
      </c>
      <c r="AM296" s="2">
        <f t="shared" si="90"/>
        <v>19.333333333333332</v>
      </c>
    </row>
    <row r="297" spans="1:39" x14ac:dyDescent="0.3">
      <c r="A297" s="1" t="s">
        <v>363</v>
      </c>
      <c r="B297" s="1" t="s">
        <v>418</v>
      </c>
      <c r="C297" s="1" t="s">
        <v>420</v>
      </c>
      <c r="D297" s="1" t="s">
        <v>420</v>
      </c>
      <c r="E297" s="2">
        <v>71103</v>
      </c>
      <c r="F297" s="18">
        <v>18</v>
      </c>
      <c r="G297" s="18">
        <v>20</v>
      </c>
      <c r="H297" s="18">
        <v>25</v>
      </c>
      <c r="I297" s="18">
        <v>26</v>
      </c>
      <c r="J297" s="18">
        <v>38</v>
      </c>
      <c r="K297" s="18">
        <v>38</v>
      </c>
      <c r="L297" s="11">
        <v>39</v>
      </c>
      <c r="M297" s="2">
        <f t="shared" si="78"/>
        <v>3</v>
      </c>
      <c r="N297" s="2">
        <f t="shared" si="79"/>
        <v>6</v>
      </c>
      <c r="O297" s="2">
        <f t="shared" si="80"/>
        <v>15</v>
      </c>
      <c r="P297" s="2">
        <f t="shared" si="81"/>
        <v>15</v>
      </c>
      <c r="Q297" s="2">
        <f t="shared" si="82"/>
        <v>4</v>
      </c>
      <c r="R297" s="2">
        <f t="shared" si="83"/>
        <v>6</v>
      </c>
      <c r="S297" s="2">
        <f t="shared" si="84"/>
        <v>6</v>
      </c>
      <c r="T297" s="11">
        <v>21</v>
      </c>
      <c r="U297" s="11">
        <v>26</v>
      </c>
      <c r="V297" s="11">
        <v>40</v>
      </c>
      <c r="W297" s="18">
        <v>41</v>
      </c>
      <c r="X297" s="18">
        <v>42</v>
      </c>
      <c r="Y297" s="23">
        <v>44</v>
      </c>
      <c r="Z297" s="18">
        <v>45</v>
      </c>
      <c r="AA297" s="18">
        <v>85.714285714285708</v>
      </c>
      <c r="AB297" s="18">
        <v>76.923076923076934</v>
      </c>
      <c r="AC297" s="18">
        <v>62.5</v>
      </c>
      <c r="AD297" s="11">
        <v>63.414634146341463</v>
      </c>
      <c r="AE297" s="11">
        <v>90.476190476190482</v>
      </c>
      <c r="AF297" s="11">
        <v>86.36363636363636</v>
      </c>
      <c r="AG297" s="11">
        <v>86.666666666666671</v>
      </c>
      <c r="AH297" s="11">
        <f t="shared" si="85"/>
        <v>67.612570356472801</v>
      </c>
      <c r="AI297" s="26">
        <f t="shared" si="86"/>
        <v>87.835497835497847</v>
      </c>
      <c r="AJ297" s="2">
        <f t="shared" si="87"/>
        <v>23.666666666666668</v>
      </c>
      <c r="AK297" s="2">
        <f t="shared" si="88"/>
        <v>38.333333333333336</v>
      </c>
      <c r="AL297" s="2">
        <f t="shared" si="89"/>
        <v>12</v>
      </c>
      <c r="AM297" s="2">
        <f t="shared" si="90"/>
        <v>5.333333333333333</v>
      </c>
    </row>
    <row r="298" spans="1:39" x14ac:dyDescent="0.3">
      <c r="A298" s="1" t="s">
        <v>363</v>
      </c>
      <c r="B298" s="1" t="s">
        <v>418</v>
      </c>
      <c r="C298" s="1" t="s">
        <v>421</v>
      </c>
      <c r="D298" s="1" t="s">
        <v>421</v>
      </c>
      <c r="E298" s="2">
        <v>71104</v>
      </c>
      <c r="F298" s="18">
        <v>84</v>
      </c>
      <c r="G298" s="18">
        <v>117</v>
      </c>
      <c r="H298" s="18">
        <v>143</v>
      </c>
      <c r="I298" s="18">
        <v>178</v>
      </c>
      <c r="J298" s="18">
        <v>284</v>
      </c>
      <c r="K298" s="18">
        <v>290</v>
      </c>
      <c r="L298" s="11">
        <v>296</v>
      </c>
      <c r="M298" s="2">
        <f t="shared" si="78"/>
        <v>67</v>
      </c>
      <c r="N298" s="2">
        <f t="shared" si="79"/>
        <v>128</v>
      </c>
      <c r="O298" s="2">
        <f t="shared" si="80"/>
        <v>150</v>
      </c>
      <c r="P298" s="2">
        <f t="shared" si="81"/>
        <v>124</v>
      </c>
      <c r="Q298" s="2">
        <f t="shared" si="82"/>
        <v>87</v>
      </c>
      <c r="R298" s="2">
        <f t="shared" si="83"/>
        <v>86</v>
      </c>
      <c r="S298" s="2">
        <f t="shared" si="84"/>
        <v>91</v>
      </c>
      <c r="T298" s="11">
        <v>151</v>
      </c>
      <c r="U298" s="11">
        <v>245</v>
      </c>
      <c r="V298" s="11">
        <v>293</v>
      </c>
      <c r="W298" s="18">
        <v>302</v>
      </c>
      <c r="X298" s="18">
        <v>371</v>
      </c>
      <c r="Y298" s="23">
        <v>376</v>
      </c>
      <c r="Z298" s="18">
        <v>387</v>
      </c>
      <c r="AA298" s="18">
        <v>55.629139072847678</v>
      </c>
      <c r="AB298" s="18">
        <v>47.755102040816325</v>
      </c>
      <c r="AC298" s="18">
        <v>48.805460750853243</v>
      </c>
      <c r="AD298" s="11">
        <v>58.940397350993379</v>
      </c>
      <c r="AE298" s="11">
        <v>76.549865229110509</v>
      </c>
      <c r="AF298" s="11">
        <v>77.127659574468083</v>
      </c>
      <c r="AG298" s="11">
        <v>76.485788113695079</v>
      </c>
      <c r="AH298" s="11">
        <f t="shared" si="85"/>
        <v>51.833653380887654</v>
      </c>
      <c r="AI298" s="26">
        <f t="shared" si="86"/>
        <v>76.721104305757891</v>
      </c>
      <c r="AJ298" s="2">
        <f t="shared" si="87"/>
        <v>146</v>
      </c>
      <c r="AK298" s="2">
        <f t="shared" si="88"/>
        <v>290</v>
      </c>
      <c r="AL298" s="2">
        <f t="shared" si="89"/>
        <v>134</v>
      </c>
      <c r="AM298" s="2">
        <f t="shared" si="90"/>
        <v>88</v>
      </c>
    </row>
    <row r="299" spans="1:39" x14ac:dyDescent="0.3">
      <c r="A299" s="1" t="s">
        <v>363</v>
      </c>
      <c r="B299" s="1" t="s">
        <v>418</v>
      </c>
      <c r="C299" s="1" t="s">
        <v>422</v>
      </c>
      <c r="D299" s="1" t="s">
        <v>422</v>
      </c>
      <c r="E299" s="2">
        <v>71105</v>
      </c>
      <c r="F299" s="18">
        <v>7</v>
      </c>
      <c r="G299" s="18">
        <v>8</v>
      </c>
      <c r="H299" s="18">
        <v>9</v>
      </c>
      <c r="I299" s="18">
        <v>18</v>
      </c>
      <c r="J299" s="18">
        <v>42</v>
      </c>
      <c r="K299" s="18">
        <v>37</v>
      </c>
      <c r="L299" s="11">
        <v>37</v>
      </c>
      <c r="M299" s="2">
        <f t="shared" si="78"/>
        <v>18</v>
      </c>
      <c r="N299" s="2">
        <f t="shared" si="79"/>
        <v>18</v>
      </c>
      <c r="O299" s="2">
        <f t="shared" si="80"/>
        <v>35</v>
      </c>
      <c r="P299" s="2">
        <f t="shared" si="81"/>
        <v>26</v>
      </c>
      <c r="Q299" s="2">
        <f t="shared" si="82"/>
        <v>14</v>
      </c>
      <c r="R299" s="2">
        <f t="shared" si="83"/>
        <v>24</v>
      </c>
      <c r="S299" s="2">
        <f t="shared" si="84"/>
        <v>22</v>
      </c>
      <c r="T299" s="11">
        <v>25</v>
      </c>
      <c r="U299" s="11">
        <v>26</v>
      </c>
      <c r="V299" s="11">
        <v>44</v>
      </c>
      <c r="W299" s="18">
        <v>44</v>
      </c>
      <c r="X299" s="18">
        <v>56</v>
      </c>
      <c r="Y299" s="23">
        <v>61</v>
      </c>
      <c r="Z299" s="18">
        <v>59</v>
      </c>
      <c r="AA299" s="18">
        <v>28.000000000000004</v>
      </c>
      <c r="AB299" s="18">
        <v>30.76923076923077</v>
      </c>
      <c r="AC299" s="18">
        <v>20.454545454545457</v>
      </c>
      <c r="AD299" s="11">
        <v>40.909090909090914</v>
      </c>
      <c r="AE299" s="11">
        <v>75</v>
      </c>
      <c r="AF299" s="11">
        <v>60.655737704918032</v>
      </c>
      <c r="AG299" s="11">
        <v>62.711864406779661</v>
      </c>
      <c r="AH299" s="11">
        <f t="shared" si="85"/>
        <v>30.710955710955716</v>
      </c>
      <c r="AI299" s="26">
        <f t="shared" si="86"/>
        <v>66.122534037232569</v>
      </c>
      <c r="AJ299" s="2">
        <f t="shared" si="87"/>
        <v>11.666666666666666</v>
      </c>
      <c r="AK299" s="2">
        <f t="shared" si="88"/>
        <v>38.666666666666664</v>
      </c>
      <c r="AL299" s="2">
        <f t="shared" si="89"/>
        <v>26.333333333333332</v>
      </c>
      <c r="AM299" s="2">
        <f t="shared" si="90"/>
        <v>20</v>
      </c>
    </row>
    <row r="300" spans="1:39" x14ac:dyDescent="0.3">
      <c r="A300" s="1" t="s">
        <v>363</v>
      </c>
      <c r="B300" s="1" t="s">
        <v>418</v>
      </c>
      <c r="C300" s="1" t="s">
        <v>423</v>
      </c>
      <c r="D300" s="1" t="s">
        <v>423</v>
      </c>
      <c r="E300" s="2">
        <v>71106</v>
      </c>
      <c r="F300" s="18">
        <v>29</v>
      </c>
      <c r="G300" s="18">
        <v>47</v>
      </c>
      <c r="H300" s="18">
        <v>56</v>
      </c>
      <c r="I300" s="18">
        <v>61</v>
      </c>
      <c r="J300" s="18">
        <v>113</v>
      </c>
      <c r="K300" s="18">
        <v>113</v>
      </c>
      <c r="L300" s="11">
        <v>114</v>
      </c>
      <c r="M300" s="2">
        <f t="shared" si="78"/>
        <v>18</v>
      </c>
      <c r="N300" s="2">
        <f t="shared" si="79"/>
        <v>43</v>
      </c>
      <c r="O300" s="2">
        <f t="shared" si="80"/>
        <v>50</v>
      </c>
      <c r="P300" s="2">
        <f t="shared" si="81"/>
        <v>51</v>
      </c>
      <c r="Q300" s="2">
        <f t="shared" si="82"/>
        <v>39</v>
      </c>
      <c r="R300" s="2">
        <f t="shared" si="83"/>
        <v>48</v>
      </c>
      <c r="S300" s="2">
        <f t="shared" si="84"/>
        <v>56</v>
      </c>
      <c r="T300" s="11">
        <v>47</v>
      </c>
      <c r="U300" s="11">
        <v>90</v>
      </c>
      <c r="V300" s="11">
        <v>106</v>
      </c>
      <c r="W300" s="18">
        <v>112</v>
      </c>
      <c r="X300" s="18">
        <v>152</v>
      </c>
      <c r="Y300" s="23">
        <v>161</v>
      </c>
      <c r="Z300" s="18">
        <v>170</v>
      </c>
      <c r="AA300" s="18">
        <v>61.702127659574465</v>
      </c>
      <c r="AB300" s="18">
        <v>52.222222222222229</v>
      </c>
      <c r="AC300" s="18">
        <v>52.830188679245282</v>
      </c>
      <c r="AD300" s="11">
        <v>54.464285714285708</v>
      </c>
      <c r="AE300" s="11">
        <v>74.342105263157904</v>
      </c>
      <c r="AF300" s="11">
        <v>70.186335403726702</v>
      </c>
      <c r="AG300" s="11">
        <v>67.058823529411754</v>
      </c>
      <c r="AH300" s="11">
        <f t="shared" si="85"/>
        <v>53.172232205251078</v>
      </c>
      <c r="AI300" s="26">
        <f t="shared" si="86"/>
        <v>70.52908806543212</v>
      </c>
      <c r="AJ300" s="2">
        <f t="shared" si="87"/>
        <v>54.666666666666664</v>
      </c>
      <c r="AK300" s="2">
        <f t="shared" si="88"/>
        <v>113.33333333333333</v>
      </c>
      <c r="AL300" s="2">
        <f t="shared" si="89"/>
        <v>48</v>
      </c>
      <c r="AM300" s="2">
        <f t="shared" si="90"/>
        <v>47.666666666666664</v>
      </c>
    </row>
    <row r="301" spans="1:39" x14ac:dyDescent="0.3">
      <c r="A301" s="1" t="s">
        <v>363</v>
      </c>
      <c r="B301" s="1" t="s">
        <v>424</v>
      </c>
      <c r="C301" s="1" t="s">
        <v>425</v>
      </c>
      <c r="D301" s="1" t="s">
        <v>425</v>
      </c>
      <c r="E301" s="2">
        <v>71201</v>
      </c>
      <c r="F301" s="18">
        <v>22</v>
      </c>
      <c r="G301" s="18">
        <v>40</v>
      </c>
      <c r="H301" s="18">
        <v>48</v>
      </c>
      <c r="I301" s="18">
        <v>53</v>
      </c>
      <c r="J301" s="18">
        <v>126</v>
      </c>
      <c r="K301" s="18">
        <v>126</v>
      </c>
      <c r="L301" s="11">
        <v>123</v>
      </c>
      <c r="M301" s="2">
        <f t="shared" si="78"/>
        <v>24</v>
      </c>
      <c r="N301" s="2">
        <f t="shared" si="79"/>
        <v>28</v>
      </c>
      <c r="O301" s="2">
        <f t="shared" si="80"/>
        <v>39</v>
      </c>
      <c r="P301" s="2">
        <f t="shared" si="81"/>
        <v>39</v>
      </c>
      <c r="Q301" s="2">
        <f t="shared" si="82"/>
        <v>24</v>
      </c>
      <c r="R301" s="2">
        <f t="shared" si="83"/>
        <v>23</v>
      </c>
      <c r="S301" s="2">
        <f t="shared" si="84"/>
        <v>23</v>
      </c>
      <c r="T301" s="11">
        <v>46</v>
      </c>
      <c r="U301" s="11">
        <v>68</v>
      </c>
      <c r="V301" s="11">
        <v>87</v>
      </c>
      <c r="W301" s="18">
        <v>92</v>
      </c>
      <c r="X301" s="18">
        <v>150</v>
      </c>
      <c r="Y301" s="23">
        <v>149</v>
      </c>
      <c r="Z301" s="18">
        <v>146</v>
      </c>
      <c r="AA301" s="18">
        <v>47.826086956521742</v>
      </c>
      <c r="AB301" s="18">
        <v>58.82352941176471</v>
      </c>
      <c r="AC301" s="18">
        <v>55.172413793103445</v>
      </c>
      <c r="AD301" s="11">
        <v>57.608695652173914</v>
      </c>
      <c r="AE301" s="11">
        <v>84</v>
      </c>
      <c r="AF301" s="11">
        <v>84.56375838926175</v>
      </c>
      <c r="AG301" s="11">
        <v>84.246575342465761</v>
      </c>
      <c r="AH301" s="11">
        <f t="shared" si="85"/>
        <v>57.201546285680685</v>
      </c>
      <c r="AI301" s="26">
        <f t="shared" si="86"/>
        <v>84.27011124390917</v>
      </c>
      <c r="AJ301" s="2">
        <f t="shared" si="87"/>
        <v>47</v>
      </c>
      <c r="AK301" s="2">
        <f t="shared" si="88"/>
        <v>125</v>
      </c>
      <c r="AL301" s="2">
        <f t="shared" si="89"/>
        <v>35.333333333333336</v>
      </c>
      <c r="AM301" s="2">
        <f t="shared" si="90"/>
        <v>23.333333333333332</v>
      </c>
    </row>
    <row r="302" spans="1:39" x14ac:dyDescent="0.3">
      <c r="A302" s="1" t="s">
        <v>363</v>
      </c>
      <c r="B302" s="1" t="s">
        <v>426</v>
      </c>
      <c r="C302" s="1" t="s">
        <v>427</v>
      </c>
      <c r="D302" s="1" t="s">
        <v>427</v>
      </c>
      <c r="E302" s="2">
        <v>71301</v>
      </c>
      <c r="F302" s="18">
        <v>45</v>
      </c>
      <c r="G302" s="18">
        <v>45</v>
      </c>
      <c r="H302" s="18">
        <v>56</v>
      </c>
      <c r="I302" s="18">
        <v>64</v>
      </c>
      <c r="J302" s="18">
        <v>111</v>
      </c>
      <c r="K302" s="18">
        <v>112</v>
      </c>
      <c r="L302" s="11">
        <v>114</v>
      </c>
      <c r="M302" s="2">
        <f t="shared" si="78"/>
        <v>21</v>
      </c>
      <c r="N302" s="2">
        <f t="shared" si="79"/>
        <v>20</v>
      </c>
      <c r="O302" s="2">
        <f t="shared" si="80"/>
        <v>37</v>
      </c>
      <c r="P302" s="2">
        <f t="shared" si="81"/>
        <v>40</v>
      </c>
      <c r="Q302" s="2">
        <f t="shared" si="82"/>
        <v>33</v>
      </c>
      <c r="R302" s="2">
        <f t="shared" si="83"/>
        <v>35</v>
      </c>
      <c r="S302" s="2">
        <f t="shared" si="84"/>
        <v>35</v>
      </c>
      <c r="T302" s="11">
        <v>66</v>
      </c>
      <c r="U302" s="11">
        <v>65</v>
      </c>
      <c r="V302" s="11">
        <v>93</v>
      </c>
      <c r="W302" s="18">
        <v>104</v>
      </c>
      <c r="X302" s="18">
        <v>144</v>
      </c>
      <c r="Y302" s="23">
        <v>147</v>
      </c>
      <c r="Z302" s="18">
        <v>149</v>
      </c>
      <c r="AA302" s="18">
        <v>68.181818181818173</v>
      </c>
      <c r="AB302" s="18">
        <v>69.230769230769226</v>
      </c>
      <c r="AC302" s="18">
        <v>60.215053763440864</v>
      </c>
      <c r="AD302" s="11">
        <v>61.53846153846154</v>
      </c>
      <c r="AE302" s="11">
        <v>77.083333333333343</v>
      </c>
      <c r="AF302" s="11">
        <v>76.19047619047619</v>
      </c>
      <c r="AG302" s="11">
        <v>76.510067114093957</v>
      </c>
      <c r="AH302" s="11">
        <f t="shared" si="85"/>
        <v>63.661428177557212</v>
      </c>
      <c r="AI302" s="26">
        <f t="shared" si="86"/>
        <v>76.594625545967816</v>
      </c>
      <c r="AJ302" s="2">
        <f t="shared" si="87"/>
        <v>55</v>
      </c>
      <c r="AK302" s="2">
        <f t="shared" si="88"/>
        <v>112.33333333333333</v>
      </c>
      <c r="AL302" s="2">
        <f t="shared" si="89"/>
        <v>32.333333333333336</v>
      </c>
      <c r="AM302" s="2">
        <f t="shared" si="90"/>
        <v>34.333333333333336</v>
      </c>
    </row>
    <row r="303" spans="1:39" x14ac:dyDescent="0.3">
      <c r="A303" s="1" t="s">
        <v>363</v>
      </c>
      <c r="B303" s="1" t="s">
        <v>426</v>
      </c>
      <c r="C303" s="1" t="s">
        <v>428</v>
      </c>
      <c r="D303" s="1" t="s">
        <v>428</v>
      </c>
      <c r="E303" s="2">
        <v>71302</v>
      </c>
      <c r="F303" s="18">
        <v>11</v>
      </c>
      <c r="G303" s="18">
        <v>12</v>
      </c>
      <c r="H303" s="18">
        <v>14</v>
      </c>
      <c r="I303" s="18">
        <v>16</v>
      </c>
      <c r="J303" s="18">
        <v>36</v>
      </c>
      <c r="K303" s="18">
        <v>34</v>
      </c>
      <c r="L303" s="11">
        <v>36</v>
      </c>
      <c r="M303" s="2">
        <f t="shared" si="78"/>
        <v>9</v>
      </c>
      <c r="N303" s="2">
        <f t="shared" si="79"/>
        <v>8</v>
      </c>
      <c r="O303" s="2">
        <f t="shared" si="80"/>
        <v>10</v>
      </c>
      <c r="P303" s="2">
        <f t="shared" si="81"/>
        <v>11</v>
      </c>
      <c r="Q303" s="2">
        <f t="shared" si="82"/>
        <v>9</v>
      </c>
      <c r="R303" s="2">
        <f t="shared" si="83"/>
        <v>11</v>
      </c>
      <c r="S303" s="2">
        <f t="shared" si="84"/>
        <v>10</v>
      </c>
      <c r="T303" s="11">
        <v>20</v>
      </c>
      <c r="U303" s="11">
        <v>20</v>
      </c>
      <c r="V303" s="11">
        <v>24</v>
      </c>
      <c r="W303" s="18">
        <v>27</v>
      </c>
      <c r="X303" s="18">
        <v>45</v>
      </c>
      <c r="Y303" s="23">
        <v>45</v>
      </c>
      <c r="Z303" s="18">
        <v>46</v>
      </c>
      <c r="AA303" s="18">
        <v>55.000000000000007</v>
      </c>
      <c r="AB303" s="18">
        <v>60</v>
      </c>
      <c r="AC303" s="18">
        <v>58.333333333333336</v>
      </c>
      <c r="AD303" s="11">
        <v>59.259259259259252</v>
      </c>
      <c r="AE303" s="11">
        <v>80</v>
      </c>
      <c r="AF303" s="11">
        <v>75.555555555555557</v>
      </c>
      <c r="AG303" s="11">
        <v>78.260869565217391</v>
      </c>
      <c r="AH303" s="11">
        <f t="shared" si="85"/>
        <v>59.197530864197539</v>
      </c>
      <c r="AI303" s="26">
        <f t="shared" si="86"/>
        <v>77.938808373590973</v>
      </c>
      <c r="AJ303" s="2">
        <f t="shared" si="87"/>
        <v>14</v>
      </c>
      <c r="AK303" s="2">
        <f t="shared" si="88"/>
        <v>35.333333333333336</v>
      </c>
      <c r="AL303" s="2">
        <f t="shared" si="89"/>
        <v>9.6666666666666661</v>
      </c>
      <c r="AM303" s="2">
        <f t="shared" si="90"/>
        <v>10</v>
      </c>
    </row>
    <row r="304" spans="1:39" x14ac:dyDescent="0.3">
      <c r="A304" s="1" t="s">
        <v>363</v>
      </c>
      <c r="B304" s="1" t="s">
        <v>429</v>
      </c>
      <c r="C304" s="1" t="s">
        <v>430</v>
      </c>
      <c r="D304" s="1" t="s">
        <v>430</v>
      </c>
      <c r="E304" s="2">
        <v>71401</v>
      </c>
      <c r="F304" s="18">
        <v>21</v>
      </c>
      <c r="G304" s="18">
        <v>23</v>
      </c>
      <c r="H304" s="18">
        <v>30</v>
      </c>
      <c r="I304" s="18">
        <v>32</v>
      </c>
      <c r="J304" s="18">
        <v>62</v>
      </c>
      <c r="K304" s="18">
        <v>62</v>
      </c>
      <c r="L304" s="11">
        <v>60</v>
      </c>
      <c r="M304" s="2">
        <f t="shared" si="78"/>
        <v>31</v>
      </c>
      <c r="N304" s="2">
        <f t="shared" si="79"/>
        <v>29</v>
      </c>
      <c r="O304" s="2">
        <f t="shared" si="80"/>
        <v>50</v>
      </c>
      <c r="P304" s="2">
        <f t="shared" si="81"/>
        <v>51</v>
      </c>
      <c r="Q304" s="2">
        <f t="shared" si="82"/>
        <v>23</v>
      </c>
      <c r="R304" s="2">
        <f t="shared" si="83"/>
        <v>23</v>
      </c>
      <c r="S304" s="2">
        <f t="shared" si="84"/>
        <v>24</v>
      </c>
      <c r="T304" s="11">
        <v>52</v>
      </c>
      <c r="U304" s="11">
        <v>52</v>
      </c>
      <c r="V304" s="11">
        <v>80</v>
      </c>
      <c r="W304" s="18">
        <v>83</v>
      </c>
      <c r="X304" s="18">
        <v>85</v>
      </c>
      <c r="Y304" s="23">
        <v>85</v>
      </c>
      <c r="Z304" s="18">
        <v>84</v>
      </c>
      <c r="AA304" s="18">
        <v>40.384615384615387</v>
      </c>
      <c r="AB304" s="18">
        <v>44.230769230769226</v>
      </c>
      <c r="AC304" s="18">
        <v>37.5</v>
      </c>
      <c r="AD304" s="11">
        <v>38.554216867469883</v>
      </c>
      <c r="AE304" s="11">
        <v>72.941176470588232</v>
      </c>
      <c r="AF304" s="11">
        <v>72.941176470588232</v>
      </c>
      <c r="AG304" s="11">
        <v>71.428571428571431</v>
      </c>
      <c r="AH304" s="11">
        <f t="shared" si="85"/>
        <v>40.094995366079701</v>
      </c>
      <c r="AI304" s="26">
        <f t="shared" si="86"/>
        <v>72.436974789915965</v>
      </c>
      <c r="AJ304" s="2">
        <f t="shared" si="87"/>
        <v>28.333333333333332</v>
      </c>
      <c r="AK304" s="2">
        <f t="shared" si="88"/>
        <v>61.333333333333336</v>
      </c>
      <c r="AL304" s="2">
        <f t="shared" si="89"/>
        <v>43.333333333333336</v>
      </c>
      <c r="AM304" s="2">
        <f t="shared" si="90"/>
        <v>23.333333333333332</v>
      </c>
    </row>
    <row r="305" spans="1:39" x14ac:dyDescent="0.3">
      <c r="A305" s="1" t="s">
        <v>363</v>
      </c>
      <c r="B305" s="1" t="s">
        <v>429</v>
      </c>
      <c r="C305" s="1" t="s">
        <v>431</v>
      </c>
      <c r="D305" s="1" t="s">
        <v>431</v>
      </c>
      <c r="E305" s="2">
        <v>71402</v>
      </c>
      <c r="F305" s="18">
        <v>13</v>
      </c>
      <c r="G305" s="18">
        <v>20</v>
      </c>
      <c r="H305" s="18">
        <v>32</v>
      </c>
      <c r="I305" s="18">
        <v>45</v>
      </c>
      <c r="J305" s="18">
        <v>72</v>
      </c>
      <c r="K305" s="18">
        <v>75</v>
      </c>
      <c r="L305" s="11">
        <v>79</v>
      </c>
      <c r="M305" s="2">
        <f t="shared" si="78"/>
        <v>19</v>
      </c>
      <c r="N305" s="2">
        <f t="shared" si="79"/>
        <v>17</v>
      </c>
      <c r="O305" s="2">
        <f t="shared" si="80"/>
        <v>30</v>
      </c>
      <c r="P305" s="2">
        <f t="shared" si="81"/>
        <v>23</v>
      </c>
      <c r="Q305" s="2">
        <f t="shared" si="82"/>
        <v>19</v>
      </c>
      <c r="R305" s="2">
        <f t="shared" si="83"/>
        <v>19</v>
      </c>
      <c r="S305" s="2">
        <f t="shared" si="84"/>
        <v>18</v>
      </c>
      <c r="T305" s="11">
        <v>32</v>
      </c>
      <c r="U305" s="11">
        <v>37</v>
      </c>
      <c r="V305" s="11">
        <v>62</v>
      </c>
      <c r="W305" s="18">
        <v>68</v>
      </c>
      <c r="X305" s="18">
        <v>91</v>
      </c>
      <c r="Y305" s="23">
        <v>94</v>
      </c>
      <c r="Z305" s="18">
        <v>97</v>
      </c>
      <c r="AA305" s="18">
        <v>40.625</v>
      </c>
      <c r="AB305" s="18">
        <v>54.054054054054056</v>
      </c>
      <c r="AC305" s="18">
        <v>51.612903225806448</v>
      </c>
      <c r="AD305" s="11">
        <v>66.17647058823529</v>
      </c>
      <c r="AE305" s="11">
        <v>79.120879120879124</v>
      </c>
      <c r="AF305" s="11">
        <v>79.787234042553195</v>
      </c>
      <c r="AG305" s="11">
        <v>81.44329896907216</v>
      </c>
      <c r="AH305" s="11">
        <f t="shared" si="85"/>
        <v>57.281142622698589</v>
      </c>
      <c r="AI305" s="26">
        <f t="shared" si="86"/>
        <v>80.117137377501493</v>
      </c>
      <c r="AJ305" s="2">
        <f t="shared" si="87"/>
        <v>32.333333333333336</v>
      </c>
      <c r="AK305" s="2">
        <f t="shared" si="88"/>
        <v>75.333333333333329</v>
      </c>
      <c r="AL305" s="2">
        <f t="shared" si="89"/>
        <v>23.333333333333332</v>
      </c>
      <c r="AM305" s="2">
        <f t="shared" si="90"/>
        <v>18.666666666666668</v>
      </c>
    </row>
    <row r="306" spans="1:39" x14ac:dyDescent="0.3">
      <c r="A306" s="1" t="s">
        <v>363</v>
      </c>
      <c r="B306" s="1" t="s">
        <v>429</v>
      </c>
      <c r="C306" s="1" t="s">
        <v>432</v>
      </c>
      <c r="D306" s="1" t="s">
        <v>432</v>
      </c>
      <c r="E306" s="2">
        <v>71403</v>
      </c>
      <c r="F306" s="18">
        <v>6</v>
      </c>
      <c r="G306" s="18">
        <v>6</v>
      </c>
      <c r="H306" s="18">
        <v>9</v>
      </c>
      <c r="I306" s="18">
        <v>11</v>
      </c>
      <c r="J306" s="18">
        <v>39</v>
      </c>
      <c r="K306" s="18">
        <v>39</v>
      </c>
      <c r="L306" s="11">
        <v>36</v>
      </c>
      <c r="M306" s="2">
        <f t="shared" si="78"/>
        <v>7</v>
      </c>
      <c r="N306" s="2">
        <f t="shared" si="79"/>
        <v>7</v>
      </c>
      <c r="O306" s="2">
        <f t="shared" si="80"/>
        <v>17</v>
      </c>
      <c r="P306" s="2">
        <f t="shared" si="81"/>
        <v>15</v>
      </c>
      <c r="Q306" s="2">
        <f t="shared" si="82"/>
        <v>2</v>
      </c>
      <c r="R306" s="2">
        <f t="shared" si="83"/>
        <v>3</v>
      </c>
      <c r="S306" s="2">
        <f t="shared" si="84"/>
        <v>6</v>
      </c>
      <c r="T306" s="11">
        <v>13</v>
      </c>
      <c r="U306" s="11">
        <v>13</v>
      </c>
      <c r="V306" s="11">
        <v>26</v>
      </c>
      <c r="W306" s="18">
        <v>26</v>
      </c>
      <c r="X306" s="18">
        <v>41</v>
      </c>
      <c r="Y306" s="23">
        <v>42</v>
      </c>
      <c r="Z306" s="18">
        <v>42</v>
      </c>
      <c r="AA306" s="18">
        <v>46.153846153846153</v>
      </c>
      <c r="AB306" s="18">
        <v>46.153846153846153</v>
      </c>
      <c r="AC306" s="18">
        <v>34.615384615384613</v>
      </c>
      <c r="AD306" s="11">
        <v>42.307692307692307</v>
      </c>
      <c r="AE306" s="11">
        <v>95.121951219512198</v>
      </c>
      <c r="AF306" s="11">
        <v>92.857142857142861</v>
      </c>
      <c r="AG306" s="11">
        <v>85.714285714285708</v>
      </c>
      <c r="AH306" s="11">
        <f t="shared" si="85"/>
        <v>41.025641025641029</v>
      </c>
      <c r="AI306" s="26">
        <f t="shared" si="86"/>
        <v>91.231126596980246</v>
      </c>
      <c r="AJ306" s="2">
        <f t="shared" si="87"/>
        <v>8.6666666666666661</v>
      </c>
      <c r="AK306" s="2">
        <f t="shared" si="88"/>
        <v>38</v>
      </c>
      <c r="AL306" s="2">
        <f t="shared" si="89"/>
        <v>13</v>
      </c>
      <c r="AM306" s="2">
        <f t="shared" si="90"/>
        <v>3.6666666666666665</v>
      </c>
    </row>
    <row r="307" spans="1:39" x14ac:dyDescent="0.3">
      <c r="A307" s="1" t="s">
        <v>363</v>
      </c>
      <c r="B307" s="1" t="s">
        <v>433</v>
      </c>
      <c r="C307" s="1" t="s">
        <v>434</v>
      </c>
      <c r="D307" s="1" t="s">
        <v>434</v>
      </c>
      <c r="E307" s="2">
        <v>71501</v>
      </c>
      <c r="F307" s="18">
        <v>35</v>
      </c>
      <c r="G307" s="18">
        <v>45</v>
      </c>
      <c r="H307" s="18">
        <v>53</v>
      </c>
      <c r="I307" s="18">
        <v>55</v>
      </c>
      <c r="J307" s="18">
        <v>142</v>
      </c>
      <c r="K307" s="18">
        <v>145</v>
      </c>
      <c r="L307" s="11">
        <v>151</v>
      </c>
      <c r="M307" s="2">
        <f t="shared" si="78"/>
        <v>6</v>
      </c>
      <c r="N307" s="2">
        <f t="shared" si="79"/>
        <v>13</v>
      </c>
      <c r="O307" s="2">
        <f t="shared" si="80"/>
        <v>40</v>
      </c>
      <c r="P307" s="2">
        <f t="shared" si="81"/>
        <v>50</v>
      </c>
      <c r="Q307" s="2">
        <f t="shared" si="82"/>
        <v>36</v>
      </c>
      <c r="R307" s="2">
        <f t="shared" si="83"/>
        <v>39</v>
      </c>
      <c r="S307" s="2">
        <f t="shared" si="84"/>
        <v>36</v>
      </c>
      <c r="T307" s="11">
        <v>41</v>
      </c>
      <c r="U307" s="11">
        <v>58</v>
      </c>
      <c r="V307" s="11">
        <v>93</v>
      </c>
      <c r="W307" s="18">
        <v>105</v>
      </c>
      <c r="X307" s="18">
        <v>178</v>
      </c>
      <c r="Y307" s="23">
        <v>184</v>
      </c>
      <c r="Z307" s="18">
        <v>187</v>
      </c>
      <c r="AA307" s="18">
        <v>85.365853658536579</v>
      </c>
      <c r="AB307" s="18">
        <v>77.58620689655173</v>
      </c>
      <c r="AC307" s="18">
        <v>56.98924731182796</v>
      </c>
      <c r="AD307" s="11">
        <v>52.380952380952387</v>
      </c>
      <c r="AE307" s="11">
        <v>79.775280898876403</v>
      </c>
      <c r="AF307" s="11">
        <v>78.804347826086953</v>
      </c>
      <c r="AG307" s="11">
        <v>80.748663101604279</v>
      </c>
      <c r="AH307" s="11">
        <f t="shared" si="85"/>
        <v>62.318802196444018</v>
      </c>
      <c r="AI307" s="26">
        <f t="shared" si="86"/>
        <v>79.776097275522545</v>
      </c>
      <c r="AJ307" s="2">
        <f t="shared" si="87"/>
        <v>51</v>
      </c>
      <c r="AK307" s="2">
        <f t="shared" si="88"/>
        <v>146</v>
      </c>
      <c r="AL307" s="2">
        <f t="shared" si="89"/>
        <v>34.333333333333336</v>
      </c>
      <c r="AM307" s="2">
        <f t="shared" si="90"/>
        <v>37</v>
      </c>
    </row>
    <row r="308" spans="1:39" x14ac:dyDescent="0.3">
      <c r="A308" s="1" t="s">
        <v>363</v>
      </c>
      <c r="B308" s="1" t="s">
        <v>433</v>
      </c>
      <c r="C308" s="1" t="s">
        <v>435</v>
      </c>
      <c r="D308" s="1" t="s">
        <v>436</v>
      </c>
      <c r="E308" s="2">
        <v>71502</v>
      </c>
      <c r="F308" s="18">
        <v>13</v>
      </c>
      <c r="G308" s="18">
        <v>15</v>
      </c>
      <c r="H308" s="18">
        <v>15</v>
      </c>
      <c r="I308" s="18">
        <v>16</v>
      </c>
      <c r="J308" s="18">
        <v>29</v>
      </c>
      <c r="K308" s="18">
        <v>32</v>
      </c>
      <c r="L308" s="11">
        <v>38</v>
      </c>
      <c r="M308" s="2">
        <f t="shared" si="78"/>
        <v>7</v>
      </c>
      <c r="N308" s="2">
        <f t="shared" si="79"/>
        <v>8</v>
      </c>
      <c r="O308" s="2">
        <f t="shared" si="80"/>
        <v>11</v>
      </c>
      <c r="P308" s="2">
        <f t="shared" si="81"/>
        <v>10</v>
      </c>
      <c r="Q308" s="2">
        <f t="shared" si="82"/>
        <v>5</v>
      </c>
      <c r="R308" s="2">
        <f t="shared" si="83"/>
        <v>9</v>
      </c>
      <c r="S308" s="2">
        <f t="shared" si="84"/>
        <v>5</v>
      </c>
      <c r="T308" s="11">
        <v>20</v>
      </c>
      <c r="U308" s="11">
        <v>23</v>
      </c>
      <c r="V308" s="11">
        <v>26</v>
      </c>
      <c r="W308" s="18">
        <v>26</v>
      </c>
      <c r="X308" s="18">
        <v>34</v>
      </c>
      <c r="Y308" s="23">
        <v>41</v>
      </c>
      <c r="Z308" s="18">
        <v>43</v>
      </c>
      <c r="AA308" s="18">
        <v>65</v>
      </c>
      <c r="AB308" s="18">
        <v>65.217391304347828</v>
      </c>
      <c r="AC308" s="18">
        <v>57.692307692307686</v>
      </c>
      <c r="AD308" s="11">
        <v>61.53846153846154</v>
      </c>
      <c r="AE308" s="11">
        <v>85.294117647058826</v>
      </c>
      <c r="AF308" s="11">
        <v>78.048780487804876</v>
      </c>
      <c r="AG308" s="11">
        <v>88.372093023255815</v>
      </c>
      <c r="AH308" s="11">
        <f t="shared" si="85"/>
        <v>61.482720178372354</v>
      </c>
      <c r="AI308" s="26">
        <f t="shared" si="86"/>
        <v>83.904997052706506</v>
      </c>
      <c r="AJ308" s="2">
        <f t="shared" si="87"/>
        <v>15.333333333333334</v>
      </c>
      <c r="AK308" s="2">
        <f t="shared" si="88"/>
        <v>33</v>
      </c>
      <c r="AL308" s="2">
        <f t="shared" si="89"/>
        <v>9.6666666666666661</v>
      </c>
      <c r="AM308" s="2">
        <f t="shared" si="90"/>
        <v>6.333333333333333</v>
      </c>
    </row>
    <row r="309" spans="1:39" x14ac:dyDescent="0.3">
      <c r="A309" s="1" t="s">
        <v>363</v>
      </c>
      <c r="B309" s="1" t="s">
        <v>433</v>
      </c>
      <c r="C309" s="1" t="s">
        <v>361</v>
      </c>
      <c r="D309" s="1" t="s">
        <v>361</v>
      </c>
      <c r="E309" s="2">
        <v>71503</v>
      </c>
      <c r="F309" s="18">
        <v>20</v>
      </c>
      <c r="G309" s="18">
        <v>29</v>
      </c>
      <c r="H309" s="18">
        <v>35</v>
      </c>
      <c r="I309" s="18">
        <v>41</v>
      </c>
      <c r="J309" s="18">
        <v>66</v>
      </c>
      <c r="K309" s="18">
        <v>68</v>
      </c>
      <c r="L309" s="11">
        <v>72</v>
      </c>
      <c r="M309" s="2">
        <f t="shared" si="78"/>
        <v>9</v>
      </c>
      <c r="N309" s="2">
        <f t="shared" si="79"/>
        <v>12</v>
      </c>
      <c r="O309" s="2">
        <f t="shared" si="80"/>
        <v>25</v>
      </c>
      <c r="P309" s="2">
        <f t="shared" si="81"/>
        <v>19</v>
      </c>
      <c r="Q309" s="2">
        <f t="shared" si="82"/>
        <v>10</v>
      </c>
      <c r="R309" s="2">
        <f t="shared" si="83"/>
        <v>12</v>
      </c>
      <c r="S309" s="2">
        <f t="shared" si="84"/>
        <v>10</v>
      </c>
      <c r="T309" s="11">
        <v>29</v>
      </c>
      <c r="U309" s="11">
        <v>41</v>
      </c>
      <c r="V309" s="11">
        <v>60</v>
      </c>
      <c r="W309" s="18">
        <v>60</v>
      </c>
      <c r="X309" s="18">
        <v>76</v>
      </c>
      <c r="Y309" s="23">
        <v>80</v>
      </c>
      <c r="Z309" s="18">
        <v>82</v>
      </c>
      <c r="AA309" s="18">
        <v>68.965517241379317</v>
      </c>
      <c r="AB309" s="18">
        <v>70.731707317073173</v>
      </c>
      <c r="AC309" s="18">
        <v>58.333333333333336</v>
      </c>
      <c r="AD309" s="11">
        <v>68.333333333333329</v>
      </c>
      <c r="AE309" s="11">
        <v>86.842105263157904</v>
      </c>
      <c r="AF309" s="11">
        <v>85</v>
      </c>
      <c r="AG309" s="11">
        <v>87.804878048780495</v>
      </c>
      <c r="AH309" s="11">
        <f t="shared" si="85"/>
        <v>65.799457994579939</v>
      </c>
      <c r="AI309" s="26">
        <f t="shared" si="86"/>
        <v>86.5489944373128</v>
      </c>
      <c r="AJ309" s="2">
        <f t="shared" si="87"/>
        <v>35</v>
      </c>
      <c r="AK309" s="2">
        <f t="shared" si="88"/>
        <v>68.666666666666671</v>
      </c>
      <c r="AL309" s="2">
        <f t="shared" si="89"/>
        <v>18.666666666666668</v>
      </c>
      <c r="AM309" s="2">
        <f t="shared" si="90"/>
        <v>10.666666666666666</v>
      </c>
    </row>
    <row r="310" spans="1:39" x14ac:dyDescent="0.3">
      <c r="A310" s="1" t="s">
        <v>437</v>
      </c>
      <c r="B310" s="1" t="s">
        <v>168</v>
      </c>
      <c r="C310" s="1" t="s">
        <v>438</v>
      </c>
      <c r="D310" s="1" t="s">
        <v>438</v>
      </c>
      <c r="E310" s="2">
        <v>80101</v>
      </c>
      <c r="F310" s="18">
        <v>171</v>
      </c>
      <c r="G310" s="18">
        <v>184</v>
      </c>
      <c r="H310" s="18">
        <v>198</v>
      </c>
      <c r="I310" s="18">
        <v>210</v>
      </c>
      <c r="J310" s="18">
        <v>337</v>
      </c>
      <c r="K310" s="18">
        <v>342</v>
      </c>
      <c r="L310" s="11">
        <v>355</v>
      </c>
      <c r="M310" s="2">
        <f t="shared" si="78"/>
        <v>193</v>
      </c>
      <c r="N310" s="2">
        <f t="shared" si="79"/>
        <v>187</v>
      </c>
      <c r="O310" s="2">
        <f t="shared" si="80"/>
        <v>247</v>
      </c>
      <c r="P310" s="2">
        <f t="shared" si="81"/>
        <v>280</v>
      </c>
      <c r="Q310" s="2">
        <f t="shared" si="82"/>
        <v>246</v>
      </c>
      <c r="R310" s="2">
        <f t="shared" si="83"/>
        <v>254</v>
      </c>
      <c r="S310" s="2">
        <f t="shared" si="84"/>
        <v>255</v>
      </c>
      <c r="T310" s="11">
        <v>364</v>
      </c>
      <c r="U310" s="11">
        <v>371</v>
      </c>
      <c r="V310" s="11">
        <v>445</v>
      </c>
      <c r="W310" s="18">
        <v>490</v>
      </c>
      <c r="X310" s="18">
        <v>583</v>
      </c>
      <c r="Y310" s="23">
        <v>596</v>
      </c>
      <c r="Z310" s="18">
        <v>610</v>
      </c>
      <c r="AA310" s="18">
        <v>46.978021978021978</v>
      </c>
      <c r="AB310" s="18">
        <v>49.595687331536389</v>
      </c>
      <c r="AC310" s="18">
        <v>44.49438202247191</v>
      </c>
      <c r="AD310" s="11">
        <v>42.857142857142854</v>
      </c>
      <c r="AE310" s="11">
        <v>57.804459691252141</v>
      </c>
      <c r="AF310" s="11">
        <v>57.382550335570471</v>
      </c>
      <c r="AG310" s="11">
        <v>58.196721311475407</v>
      </c>
      <c r="AH310" s="11">
        <f t="shared" si="85"/>
        <v>45.649070737050387</v>
      </c>
      <c r="AI310" s="26">
        <f t="shared" si="86"/>
        <v>57.794577112766007</v>
      </c>
      <c r="AJ310" s="2">
        <f t="shared" si="87"/>
        <v>197.33333333333334</v>
      </c>
      <c r="AK310" s="2">
        <f t="shared" si="88"/>
        <v>344.66666666666669</v>
      </c>
      <c r="AL310" s="2">
        <f t="shared" si="89"/>
        <v>238</v>
      </c>
      <c r="AM310" s="2">
        <f t="shared" si="90"/>
        <v>251.66666666666666</v>
      </c>
    </row>
    <row r="311" spans="1:39" x14ac:dyDescent="0.3">
      <c r="A311" s="1" t="s">
        <v>437</v>
      </c>
      <c r="B311" s="1" t="s">
        <v>168</v>
      </c>
      <c r="C311" s="1" t="s">
        <v>419</v>
      </c>
      <c r="D311" s="1" t="s">
        <v>419</v>
      </c>
      <c r="E311" s="2">
        <v>80102</v>
      </c>
      <c r="F311" s="18">
        <v>3</v>
      </c>
      <c r="G311" s="18">
        <v>4</v>
      </c>
      <c r="H311" s="18">
        <v>3</v>
      </c>
      <c r="I311" s="18">
        <v>3</v>
      </c>
      <c r="J311" s="18">
        <v>17</v>
      </c>
      <c r="K311" s="18">
        <v>17</v>
      </c>
      <c r="L311" s="11">
        <v>23</v>
      </c>
      <c r="M311" s="2">
        <f t="shared" si="78"/>
        <v>9</v>
      </c>
      <c r="N311" s="2">
        <f t="shared" si="79"/>
        <v>8</v>
      </c>
      <c r="O311" s="2">
        <f t="shared" si="80"/>
        <v>9</v>
      </c>
      <c r="P311" s="2">
        <f t="shared" si="81"/>
        <v>9</v>
      </c>
      <c r="Q311" s="2">
        <f t="shared" si="82"/>
        <v>18</v>
      </c>
      <c r="R311" s="2">
        <f t="shared" si="83"/>
        <v>22</v>
      </c>
      <c r="S311" s="2">
        <f t="shared" si="84"/>
        <v>24</v>
      </c>
      <c r="T311" s="11">
        <v>12</v>
      </c>
      <c r="U311" s="11">
        <v>12</v>
      </c>
      <c r="V311" s="11">
        <v>12</v>
      </c>
      <c r="W311" s="18">
        <v>12</v>
      </c>
      <c r="X311" s="18">
        <v>35</v>
      </c>
      <c r="Y311" s="23">
        <v>39</v>
      </c>
      <c r="Z311" s="18">
        <v>47</v>
      </c>
      <c r="AA311" s="18">
        <v>25</v>
      </c>
      <c r="AB311" s="18">
        <v>33.333333333333329</v>
      </c>
      <c r="AC311" s="18">
        <v>25</v>
      </c>
      <c r="AD311" s="11">
        <v>25</v>
      </c>
      <c r="AE311" s="11">
        <v>48.571428571428569</v>
      </c>
      <c r="AF311" s="11">
        <v>43.589743589743591</v>
      </c>
      <c r="AG311" s="11">
        <v>48.936170212765958</v>
      </c>
      <c r="AH311" s="11">
        <f t="shared" si="85"/>
        <v>27.777777777777775</v>
      </c>
      <c r="AI311" s="26">
        <f t="shared" si="86"/>
        <v>47.032447457979373</v>
      </c>
      <c r="AJ311" s="2">
        <f t="shared" si="87"/>
        <v>3.3333333333333335</v>
      </c>
      <c r="AK311" s="2">
        <f t="shared" si="88"/>
        <v>19</v>
      </c>
      <c r="AL311" s="2">
        <f t="shared" si="89"/>
        <v>8.6666666666666661</v>
      </c>
      <c r="AM311" s="2">
        <f t="shared" si="90"/>
        <v>21.333333333333332</v>
      </c>
    </row>
    <row r="312" spans="1:39" x14ac:dyDescent="0.3">
      <c r="A312" s="1" t="s">
        <v>437</v>
      </c>
      <c r="B312" s="1" t="s">
        <v>439</v>
      </c>
      <c r="C312" s="1" t="s">
        <v>440</v>
      </c>
      <c r="D312" s="1" t="s">
        <v>440</v>
      </c>
      <c r="E312" s="2">
        <v>80201</v>
      </c>
      <c r="F312" s="18">
        <v>37</v>
      </c>
      <c r="G312" s="18">
        <v>50</v>
      </c>
      <c r="H312" s="18">
        <v>57</v>
      </c>
      <c r="I312" s="18">
        <v>55</v>
      </c>
      <c r="J312" s="18">
        <v>155</v>
      </c>
      <c r="K312" s="18">
        <v>178</v>
      </c>
      <c r="L312" s="11">
        <v>196</v>
      </c>
      <c r="M312" s="2">
        <f t="shared" si="78"/>
        <v>229</v>
      </c>
      <c r="N312" s="2">
        <f t="shared" si="79"/>
        <v>219</v>
      </c>
      <c r="O312" s="2">
        <f t="shared" si="80"/>
        <v>226</v>
      </c>
      <c r="P312" s="2">
        <f t="shared" si="81"/>
        <v>238</v>
      </c>
      <c r="Q312" s="2">
        <f t="shared" si="82"/>
        <v>232</v>
      </c>
      <c r="R312" s="2">
        <f t="shared" si="83"/>
        <v>240</v>
      </c>
      <c r="S312" s="2">
        <f t="shared" si="84"/>
        <v>241</v>
      </c>
      <c r="T312" s="11">
        <v>266</v>
      </c>
      <c r="U312" s="11">
        <v>269</v>
      </c>
      <c r="V312" s="11">
        <v>283</v>
      </c>
      <c r="W312" s="18">
        <v>293</v>
      </c>
      <c r="X312" s="18">
        <v>387</v>
      </c>
      <c r="Y312" s="23">
        <v>418</v>
      </c>
      <c r="Z312" s="18">
        <v>437</v>
      </c>
      <c r="AA312" s="18">
        <v>13.909774436090224</v>
      </c>
      <c r="AB312" s="18">
        <v>18.587360594795538</v>
      </c>
      <c r="AC312" s="18">
        <v>20.141342756183743</v>
      </c>
      <c r="AD312" s="11">
        <v>18.771331058020476</v>
      </c>
      <c r="AE312" s="11">
        <v>40.05167958656331</v>
      </c>
      <c r="AF312" s="11">
        <v>42.58373205741627</v>
      </c>
      <c r="AG312" s="11">
        <v>44.851258581235697</v>
      </c>
      <c r="AH312" s="11">
        <f t="shared" si="85"/>
        <v>19.16667813633325</v>
      </c>
      <c r="AI312" s="26">
        <f t="shared" si="86"/>
        <v>42.495556741738426</v>
      </c>
      <c r="AJ312" s="2">
        <f t="shared" si="87"/>
        <v>54</v>
      </c>
      <c r="AK312" s="2">
        <f t="shared" si="88"/>
        <v>176.33333333333334</v>
      </c>
      <c r="AL312" s="2">
        <f t="shared" si="89"/>
        <v>227.66666666666666</v>
      </c>
      <c r="AM312" s="2">
        <f t="shared" si="90"/>
        <v>237.66666666666666</v>
      </c>
    </row>
    <row r="313" spans="1:39" x14ac:dyDescent="0.3">
      <c r="A313" s="1" t="s">
        <v>437</v>
      </c>
      <c r="B313" s="1" t="s">
        <v>439</v>
      </c>
      <c r="C313" s="1" t="s">
        <v>441</v>
      </c>
      <c r="D313" s="1" t="s">
        <v>441</v>
      </c>
      <c r="E313" s="2">
        <v>80202</v>
      </c>
      <c r="F313" s="18">
        <v>45</v>
      </c>
      <c r="G313" s="18">
        <v>52</v>
      </c>
      <c r="H313" s="18">
        <v>60</v>
      </c>
      <c r="I313" s="18">
        <v>87</v>
      </c>
      <c r="J313" s="18">
        <v>282</v>
      </c>
      <c r="K313" s="18">
        <v>270</v>
      </c>
      <c r="L313" s="11">
        <v>278</v>
      </c>
      <c r="M313" s="2">
        <f t="shared" si="78"/>
        <v>154</v>
      </c>
      <c r="N313" s="2">
        <f t="shared" si="79"/>
        <v>142</v>
      </c>
      <c r="O313" s="2">
        <f t="shared" si="80"/>
        <v>146</v>
      </c>
      <c r="P313" s="2">
        <f t="shared" si="81"/>
        <v>150</v>
      </c>
      <c r="Q313" s="2">
        <f t="shared" si="82"/>
        <v>81</v>
      </c>
      <c r="R313" s="2">
        <f t="shared" si="83"/>
        <v>91</v>
      </c>
      <c r="S313" s="2">
        <f t="shared" si="84"/>
        <v>83</v>
      </c>
      <c r="T313" s="11">
        <v>199</v>
      </c>
      <c r="U313" s="11">
        <v>194</v>
      </c>
      <c r="V313" s="11">
        <v>206</v>
      </c>
      <c r="W313" s="18">
        <v>237</v>
      </c>
      <c r="X313" s="18">
        <v>363</v>
      </c>
      <c r="Y313" s="23">
        <v>361</v>
      </c>
      <c r="Z313" s="18">
        <v>361</v>
      </c>
      <c r="AA313" s="18">
        <v>22.613065326633166</v>
      </c>
      <c r="AB313" s="18">
        <v>26.804123711340207</v>
      </c>
      <c r="AC313" s="18">
        <v>29.126213592233007</v>
      </c>
      <c r="AD313" s="11">
        <v>36.708860759493675</v>
      </c>
      <c r="AE313" s="11">
        <v>77.685950413223139</v>
      </c>
      <c r="AF313" s="11">
        <v>74.79224376731301</v>
      </c>
      <c r="AG313" s="11">
        <v>77.00831024930747</v>
      </c>
      <c r="AH313" s="11">
        <f t="shared" si="85"/>
        <v>30.879732687688961</v>
      </c>
      <c r="AI313" s="26">
        <f t="shared" si="86"/>
        <v>76.495501476614535</v>
      </c>
      <c r="AJ313" s="2">
        <f t="shared" si="87"/>
        <v>66.333333333333329</v>
      </c>
      <c r="AK313" s="2">
        <f t="shared" si="88"/>
        <v>276.66666666666669</v>
      </c>
      <c r="AL313" s="2">
        <f t="shared" si="89"/>
        <v>146</v>
      </c>
      <c r="AM313" s="2">
        <f t="shared" si="90"/>
        <v>85</v>
      </c>
    </row>
    <row r="314" spans="1:39" x14ac:dyDescent="0.3">
      <c r="A314" s="1" t="s">
        <v>437</v>
      </c>
      <c r="B314" s="1" t="s">
        <v>442</v>
      </c>
      <c r="C314" s="1" t="s">
        <v>443</v>
      </c>
      <c r="D314" s="1" t="s">
        <v>443</v>
      </c>
      <c r="E314" s="2">
        <v>80301</v>
      </c>
      <c r="F314" s="18">
        <v>8</v>
      </c>
      <c r="G314" s="18">
        <v>7</v>
      </c>
      <c r="H314" s="18">
        <v>7</v>
      </c>
      <c r="I314" s="18">
        <v>9</v>
      </c>
      <c r="J314" s="18">
        <v>69</v>
      </c>
      <c r="K314" s="18">
        <v>70</v>
      </c>
      <c r="L314" s="11">
        <v>78</v>
      </c>
      <c r="M314" s="2">
        <f t="shared" si="78"/>
        <v>38</v>
      </c>
      <c r="N314" s="2">
        <f t="shared" si="79"/>
        <v>18</v>
      </c>
      <c r="O314" s="2">
        <f t="shared" si="80"/>
        <v>22</v>
      </c>
      <c r="P314" s="2">
        <f t="shared" si="81"/>
        <v>20</v>
      </c>
      <c r="Q314" s="2">
        <f t="shared" si="82"/>
        <v>15</v>
      </c>
      <c r="R314" s="2">
        <f t="shared" si="83"/>
        <v>15</v>
      </c>
      <c r="S314" s="2">
        <f t="shared" si="84"/>
        <v>11</v>
      </c>
      <c r="T314" s="11">
        <v>46</v>
      </c>
      <c r="U314" s="11">
        <v>25</v>
      </c>
      <c r="V314" s="11">
        <v>29</v>
      </c>
      <c r="W314" s="18">
        <v>29</v>
      </c>
      <c r="X314" s="18">
        <v>84</v>
      </c>
      <c r="Y314" s="23">
        <v>85</v>
      </c>
      <c r="Z314" s="18">
        <v>89</v>
      </c>
      <c r="AA314" s="18">
        <v>17.391304347826086</v>
      </c>
      <c r="AB314" s="18">
        <v>28.000000000000004</v>
      </c>
      <c r="AC314" s="18">
        <v>24.137931034482758</v>
      </c>
      <c r="AD314" s="11">
        <v>31.03448275862069</v>
      </c>
      <c r="AE314" s="11">
        <v>82.142857142857139</v>
      </c>
      <c r="AF314" s="11">
        <v>82.35294117647058</v>
      </c>
      <c r="AG314" s="11">
        <v>87.640449438202253</v>
      </c>
      <c r="AH314" s="11">
        <f t="shared" si="85"/>
        <v>27.724137931034488</v>
      </c>
      <c r="AI314" s="26">
        <f t="shared" si="86"/>
        <v>84.045415919176662</v>
      </c>
      <c r="AJ314" s="2">
        <f t="shared" si="87"/>
        <v>7.666666666666667</v>
      </c>
      <c r="AK314" s="2">
        <f t="shared" si="88"/>
        <v>72.333333333333329</v>
      </c>
      <c r="AL314" s="2">
        <f t="shared" si="89"/>
        <v>20</v>
      </c>
      <c r="AM314" s="2">
        <f t="shared" si="90"/>
        <v>13.666666666666666</v>
      </c>
    </row>
    <row r="315" spans="1:39" x14ac:dyDescent="0.3">
      <c r="A315" s="1" t="s">
        <v>437</v>
      </c>
      <c r="B315" s="1" t="s">
        <v>442</v>
      </c>
      <c r="C315" s="1" t="s">
        <v>444</v>
      </c>
      <c r="D315" s="1" t="s">
        <v>444</v>
      </c>
      <c r="E315" s="2">
        <v>80302</v>
      </c>
      <c r="F315" s="18">
        <v>27</v>
      </c>
      <c r="G315" s="18">
        <v>38</v>
      </c>
      <c r="H315" s="18">
        <v>65</v>
      </c>
      <c r="I315" s="18">
        <v>86</v>
      </c>
      <c r="J315" s="18">
        <v>183</v>
      </c>
      <c r="K315" s="18">
        <v>187</v>
      </c>
      <c r="L315" s="11">
        <v>200</v>
      </c>
      <c r="M315" s="2">
        <f t="shared" si="78"/>
        <v>74</v>
      </c>
      <c r="N315" s="2">
        <f t="shared" si="79"/>
        <v>65</v>
      </c>
      <c r="O315" s="2">
        <f t="shared" si="80"/>
        <v>101</v>
      </c>
      <c r="P315" s="2">
        <f t="shared" si="81"/>
        <v>90</v>
      </c>
      <c r="Q315" s="2">
        <f t="shared" si="82"/>
        <v>60</v>
      </c>
      <c r="R315" s="2">
        <f t="shared" si="83"/>
        <v>61</v>
      </c>
      <c r="S315" s="2">
        <f t="shared" si="84"/>
        <v>55</v>
      </c>
      <c r="T315" s="11">
        <v>101</v>
      </c>
      <c r="U315" s="11">
        <v>103</v>
      </c>
      <c r="V315" s="11">
        <v>166</v>
      </c>
      <c r="W315" s="18">
        <v>176</v>
      </c>
      <c r="X315" s="18">
        <v>243</v>
      </c>
      <c r="Y315" s="23">
        <v>248</v>
      </c>
      <c r="Z315" s="18">
        <v>255</v>
      </c>
      <c r="AA315" s="18">
        <v>26.732673267326735</v>
      </c>
      <c r="AB315" s="18">
        <v>36.893203883495147</v>
      </c>
      <c r="AC315" s="18">
        <v>39.156626506024097</v>
      </c>
      <c r="AD315" s="11">
        <v>48.863636363636367</v>
      </c>
      <c r="AE315" s="11">
        <v>75.308641975308646</v>
      </c>
      <c r="AF315" s="11">
        <v>75.403225806451616</v>
      </c>
      <c r="AG315" s="11">
        <v>78.431372549019613</v>
      </c>
      <c r="AH315" s="11">
        <f t="shared" si="85"/>
        <v>41.637822251051865</v>
      </c>
      <c r="AI315" s="26">
        <f t="shared" si="86"/>
        <v>76.381080110259958</v>
      </c>
      <c r="AJ315" s="2">
        <f t="shared" si="87"/>
        <v>63</v>
      </c>
      <c r="AK315" s="2">
        <f t="shared" si="88"/>
        <v>190</v>
      </c>
      <c r="AL315" s="2">
        <f t="shared" si="89"/>
        <v>85.333333333333329</v>
      </c>
      <c r="AM315" s="2">
        <f t="shared" si="90"/>
        <v>58.666666666666664</v>
      </c>
    </row>
    <row r="316" spans="1:39" x14ac:dyDescent="0.3">
      <c r="A316" s="1" t="s">
        <v>437</v>
      </c>
      <c r="B316" s="1" t="s">
        <v>442</v>
      </c>
      <c r="C316" s="1" t="s">
        <v>392</v>
      </c>
      <c r="D316" s="1" t="s">
        <v>392</v>
      </c>
      <c r="E316" s="2">
        <v>80303</v>
      </c>
      <c r="F316" s="18">
        <v>2</v>
      </c>
      <c r="G316" s="18">
        <v>6</v>
      </c>
      <c r="H316" s="18">
        <v>14</v>
      </c>
      <c r="I316" s="18">
        <v>16</v>
      </c>
      <c r="J316" s="18">
        <v>52</v>
      </c>
      <c r="K316" s="18">
        <v>53</v>
      </c>
      <c r="L316" s="11">
        <v>61</v>
      </c>
      <c r="M316" s="2">
        <f t="shared" si="78"/>
        <v>17</v>
      </c>
      <c r="N316" s="2">
        <f t="shared" si="79"/>
        <v>14</v>
      </c>
      <c r="O316" s="2">
        <f t="shared" si="80"/>
        <v>29</v>
      </c>
      <c r="P316" s="2">
        <f t="shared" si="81"/>
        <v>28</v>
      </c>
      <c r="Q316" s="2">
        <f t="shared" si="82"/>
        <v>10</v>
      </c>
      <c r="R316" s="2">
        <f t="shared" si="83"/>
        <v>16</v>
      </c>
      <c r="S316" s="2">
        <f t="shared" si="84"/>
        <v>9</v>
      </c>
      <c r="T316" s="11">
        <v>19</v>
      </c>
      <c r="U316" s="11">
        <v>20</v>
      </c>
      <c r="V316" s="11">
        <v>43</v>
      </c>
      <c r="W316" s="18">
        <v>44</v>
      </c>
      <c r="X316" s="18">
        <v>62</v>
      </c>
      <c r="Y316" s="23">
        <v>69</v>
      </c>
      <c r="Z316" s="18">
        <v>70</v>
      </c>
      <c r="AA316" s="18">
        <v>10.526315789473683</v>
      </c>
      <c r="AB316" s="18">
        <v>30</v>
      </c>
      <c r="AC316" s="18">
        <v>32.558139534883722</v>
      </c>
      <c r="AD316" s="11">
        <v>36.363636363636367</v>
      </c>
      <c r="AE316" s="11">
        <v>83.870967741935488</v>
      </c>
      <c r="AF316" s="11">
        <v>76.811594202898547</v>
      </c>
      <c r="AG316" s="11">
        <v>87.142857142857139</v>
      </c>
      <c r="AH316" s="11">
        <f t="shared" si="85"/>
        <v>32.973925299506696</v>
      </c>
      <c r="AI316" s="26">
        <f t="shared" si="86"/>
        <v>82.608473029230396</v>
      </c>
      <c r="AJ316" s="2">
        <f t="shared" si="87"/>
        <v>12</v>
      </c>
      <c r="AK316" s="2">
        <f t="shared" si="88"/>
        <v>55.333333333333336</v>
      </c>
      <c r="AL316" s="2">
        <f t="shared" si="89"/>
        <v>23.666666666666668</v>
      </c>
      <c r="AM316" s="2">
        <f t="shared" si="90"/>
        <v>11.666666666666666</v>
      </c>
    </row>
    <row r="317" spans="1:39" x14ac:dyDescent="0.3">
      <c r="A317" s="1" t="s">
        <v>437</v>
      </c>
      <c r="B317" s="1" t="s">
        <v>442</v>
      </c>
      <c r="C317" s="1" t="s">
        <v>445</v>
      </c>
      <c r="D317" s="1" t="s">
        <v>446</v>
      </c>
      <c r="E317" s="2">
        <v>80304</v>
      </c>
      <c r="F317" s="18">
        <v>15</v>
      </c>
      <c r="G317" s="18">
        <v>16</v>
      </c>
      <c r="H317" s="18">
        <v>20</v>
      </c>
      <c r="I317" s="18">
        <v>37</v>
      </c>
      <c r="J317" s="18">
        <v>95</v>
      </c>
      <c r="K317" s="18">
        <v>106</v>
      </c>
      <c r="L317" s="11">
        <v>108</v>
      </c>
      <c r="M317" s="2">
        <f t="shared" si="78"/>
        <v>41</v>
      </c>
      <c r="N317" s="2">
        <f t="shared" si="79"/>
        <v>42</v>
      </c>
      <c r="O317" s="2">
        <f t="shared" si="80"/>
        <v>70</v>
      </c>
      <c r="P317" s="2">
        <f t="shared" si="81"/>
        <v>53</v>
      </c>
      <c r="Q317" s="2">
        <f t="shared" si="82"/>
        <v>19</v>
      </c>
      <c r="R317" s="2">
        <f t="shared" si="83"/>
        <v>19</v>
      </c>
      <c r="S317" s="2">
        <f t="shared" si="84"/>
        <v>19</v>
      </c>
      <c r="T317" s="11">
        <v>56</v>
      </c>
      <c r="U317" s="11">
        <v>58</v>
      </c>
      <c r="V317" s="11">
        <v>90</v>
      </c>
      <c r="W317" s="18">
        <v>90</v>
      </c>
      <c r="X317" s="18">
        <v>114</v>
      </c>
      <c r="Y317" s="23">
        <v>125</v>
      </c>
      <c r="Z317" s="18">
        <v>127</v>
      </c>
      <c r="AA317" s="18">
        <v>26.785714285714285</v>
      </c>
      <c r="AB317" s="18">
        <v>27.586206896551722</v>
      </c>
      <c r="AC317" s="18">
        <v>22.222222222222221</v>
      </c>
      <c r="AD317" s="11">
        <v>41.111111111111107</v>
      </c>
      <c r="AE317" s="11">
        <v>83.333333333333343</v>
      </c>
      <c r="AF317" s="11">
        <v>84.8</v>
      </c>
      <c r="AG317" s="11">
        <v>85.039370078740163</v>
      </c>
      <c r="AH317" s="11">
        <f t="shared" si="85"/>
        <v>30.306513409961685</v>
      </c>
      <c r="AI317" s="26">
        <f t="shared" si="86"/>
        <v>84.390901137357829</v>
      </c>
      <c r="AJ317" s="2">
        <f t="shared" si="87"/>
        <v>24.333333333333332</v>
      </c>
      <c r="AK317" s="2">
        <f t="shared" si="88"/>
        <v>103</v>
      </c>
      <c r="AL317" s="2">
        <f t="shared" si="89"/>
        <v>55</v>
      </c>
      <c r="AM317" s="2">
        <f t="shared" si="90"/>
        <v>19</v>
      </c>
    </row>
    <row r="318" spans="1:39" x14ac:dyDescent="0.3">
      <c r="A318" s="1" t="s">
        <v>437</v>
      </c>
      <c r="B318" s="1" t="s">
        <v>447</v>
      </c>
      <c r="C318" s="1" t="s">
        <v>448</v>
      </c>
      <c r="D318" s="1" t="s">
        <v>449</v>
      </c>
      <c r="E318" s="2">
        <v>80401</v>
      </c>
      <c r="F318" s="18">
        <v>18</v>
      </c>
      <c r="G318" s="18">
        <v>34</v>
      </c>
      <c r="H318" s="18">
        <v>32</v>
      </c>
      <c r="I318" s="18">
        <v>31</v>
      </c>
      <c r="J318" s="18">
        <v>76</v>
      </c>
      <c r="K318" s="18">
        <v>81</v>
      </c>
      <c r="L318" s="11">
        <v>85</v>
      </c>
      <c r="M318" s="2">
        <f t="shared" si="78"/>
        <v>48</v>
      </c>
      <c r="N318" s="2">
        <f t="shared" si="79"/>
        <v>34</v>
      </c>
      <c r="O318" s="2">
        <f t="shared" si="80"/>
        <v>43</v>
      </c>
      <c r="P318" s="2">
        <f t="shared" si="81"/>
        <v>44</v>
      </c>
      <c r="Q318" s="2">
        <f t="shared" si="82"/>
        <v>22</v>
      </c>
      <c r="R318" s="2">
        <f t="shared" si="83"/>
        <v>21</v>
      </c>
      <c r="S318" s="2">
        <f t="shared" si="84"/>
        <v>19</v>
      </c>
      <c r="T318" s="11">
        <v>66</v>
      </c>
      <c r="U318" s="11">
        <v>68</v>
      </c>
      <c r="V318" s="11">
        <v>75</v>
      </c>
      <c r="W318" s="18">
        <v>75</v>
      </c>
      <c r="X318" s="18">
        <v>98</v>
      </c>
      <c r="Y318" s="23">
        <v>102</v>
      </c>
      <c r="Z318" s="18">
        <v>104</v>
      </c>
      <c r="AA318" s="18">
        <v>27.27272727272727</v>
      </c>
      <c r="AB318" s="18">
        <v>50</v>
      </c>
      <c r="AC318" s="18">
        <v>42.666666666666671</v>
      </c>
      <c r="AD318" s="11">
        <v>41.333333333333336</v>
      </c>
      <c r="AE318" s="11">
        <v>77.551020408163268</v>
      </c>
      <c r="AF318" s="11">
        <v>79.411764705882348</v>
      </c>
      <c r="AG318" s="11">
        <v>81.730769230769226</v>
      </c>
      <c r="AH318" s="11">
        <f t="shared" si="85"/>
        <v>44.666666666666664</v>
      </c>
      <c r="AI318" s="26">
        <f t="shared" si="86"/>
        <v>79.564518114938281</v>
      </c>
      <c r="AJ318" s="2">
        <f t="shared" si="87"/>
        <v>32.333333333333336</v>
      </c>
      <c r="AK318" s="2">
        <f t="shared" si="88"/>
        <v>80.666666666666671</v>
      </c>
      <c r="AL318" s="2">
        <f t="shared" si="89"/>
        <v>40.333333333333336</v>
      </c>
      <c r="AM318" s="2">
        <f t="shared" si="90"/>
        <v>20.666666666666668</v>
      </c>
    </row>
    <row r="319" spans="1:39" x14ac:dyDescent="0.3">
      <c r="A319" s="1" t="s">
        <v>437</v>
      </c>
      <c r="B319" s="1" t="s">
        <v>447</v>
      </c>
      <c r="C319" s="1" t="s">
        <v>450</v>
      </c>
      <c r="D319" s="1" t="s">
        <v>450</v>
      </c>
      <c r="E319" s="2">
        <v>80402</v>
      </c>
      <c r="F319" s="18">
        <v>3</v>
      </c>
      <c r="G319" s="18">
        <v>4</v>
      </c>
      <c r="H319" s="18">
        <v>4</v>
      </c>
      <c r="I319" s="18">
        <v>3</v>
      </c>
      <c r="J319" s="18">
        <v>22</v>
      </c>
      <c r="K319" s="18">
        <v>21</v>
      </c>
      <c r="L319" s="11">
        <v>25</v>
      </c>
      <c r="M319" s="2">
        <f t="shared" si="78"/>
        <v>30</v>
      </c>
      <c r="N319" s="2">
        <f t="shared" si="79"/>
        <v>7</v>
      </c>
      <c r="O319" s="2">
        <f t="shared" si="80"/>
        <v>20</v>
      </c>
      <c r="P319" s="2">
        <f t="shared" si="81"/>
        <v>21</v>
      </c>
      <c r="Q319" s="2">
        <f t="shared" si="82"/>
        <v>5</v>
      </c>
      <c r="R319" s="2">
        <f t="shared" si="83"/>
        <v>6</v>
      </c>
      <c r="S319" s="2">
        <f t="shared" si="84"/>
        <v>3</v>
      </c>
      <c r="T319" s="11">
        <v>33</v>
      </c>
      <c r="U319" s="11">
        <v>11</v>
      </c>
      <c r="V319" s="11">
        <v>24</v>
      </c>
      <c r="W319" s="18">
        <v>24</v>
      </c>
      <c r="X319" s="18">
        <v>27</v>
      </c>
      <c r="Y319" s="23">
        <v>27</v>
      </c>
      <c r="Z319" s="18">
        <v>28</v>
      </c>
      <c r="AA319" s="18">
        <v>9.0909090909090917</v>
      </c>
      <c r="AB319" s="18">
        <v>36.363636363636367</v>
      </c>
      <c r="AC319" s="18">
        <v>16.666666666666664</v>
      </c>
      <c r="AD319" s="11">
        <v>12.5</v>
      </c>
      <c r="AE319" s="11">
        <v>81.481481481481481</v>
      </c>
      <c r="AF319" s="11">
        <v>77.777777777777786</v>
      </c>
      <c r="AG319" s="11">
        <v>89.285714285714292</v>
      </c>
      <c r="AH319" s="11">
        <f t="shared" si="85"/>
        <v>21.843434343434343</v>
      </c>
      <c r="AI319" s="26">
        <f t="shared" si="86"/>
        <v>82.848324514991191</v>
      </c>
      <c r="AJ319" s="2">
        <f t="shared" si="87"/>
        <v>3.6666666666666665</v>
      </c>
      <c r="AK319" s="2">
        <f t="shared" si="88"/>
        <v>22.666666666666668</v>
      </c>
      <c r="AL319" s="2">
        <f t="shared" si="89"/>
        <v>16</v>
      </c>
      <c r="AM319" s="2">
        <f t="shared" si="90"/>
        <v>4.666666666666667</v>
      </c>
    </row>
    <row r="320" spans="1:39" x14ac:dyDescent="0.3">
      <c r="A320" s="1" t="s">
        <v>437</v>
      </c>
      <c r="B320" s="1" t="s">
        <v>451</v>
      </c>
      <c r="C320" s="1" t="s">
        <v>375</v>
      </c>
      <c r="D320" s="1" t="s">
        <v>375</v>
      </c>
      <c r="E320" s="2">
        <v>80501</v>
      </c>
      <c r="F320" s="18">
        <v>14</v>
      </c>
      <c r="G320" s="18">
        <v>33</v>
      </c>
      <c r="H320" s="18">
        <v>44</v>
      </c>
      <c r="I320" s="18">
        <v>46</v>
      </c>
      <c r="J320" s="18">
        <v>135</v>
      </c>
      <c r="K320" s="18">
        <v>144</v>
      </c>
      <c r="L320" s="11">
        <v>148</v>
      </c>
      <c r="M320" s="2">
        <f t="shared" si="78"/>
        <v>57</v>
      </c>
      <c r="N320" s="2">
        <f t="shared" si="79"/>
        <v>40</v>
      </c>
      <c r="O320" s="2">
        <f t="shared" si="80"/>
        <v>76</v>
      </c>
      <c r="P320" s="2">
        <f t="shared" si="81"/>
        <v>78</v>
      </c>
      <c r="Q320" s="2">
        <f t="shared" si="82"/>
        <v>30</v>
      </c>
      <c r="R320" s="2">
        <f t="shared" si="83"/>
        <v>35</v>
      </c>
      <c r="S320" s="2">
        <f t="shared" si="84"/>
        <v>37</v>
      </c>
      <c r="T320" s="11">
        <v>71</v>
      </c>
      <c r="U320" s="11">
        <v>73</v>
      </c>
      <c r="V320" s="11">
        <v>120</v>
      </c>
      <c r="W320" s="18">
        <v>124</v>
      </c>
      <c r="X320" s="18">
        <v>165</v>
      </c>
      <c r="Y320" s="23">
        <v>179</v>
      </c>
      <c r="Z320" s="18">
        <v>185</v>
      </c>
      <c r="AA320" s="18">
        <v>19.718309859154928</v>
      </c>
      <c r="AB320" s="18">
        <v>45.205479452054789</v>
      </c>
      <c r="AC320" s="18">
        <v>36.666666666666664</v>
      </c>
      <c r="AD320" s="11">
        <v>37.096774193548384</v>
      </c>
      <c r="AE320" s="11">
        <v>81.818181818181827</v>
      </c>
      <c r="AF320" s="11">
        <v>80.44692737430168</v>
      </c>
      <c r="AG320" s="11">
        <v>80</v>
      </c>
      <c r="AH320" s="11">
        <f t="shared" si="85"/>
        <v>39.656306770756608</v>
      </c>
      <c r="AI320" s="26">
        <f t="shared" si="86"/>
        <v>80.755036397494507</v>
      </c>
      <c r="AJ320" s="2">
        <f t="shared" si="87"/>
        <v>41</v>
      </c>
      <c r="AK320" s="2">
        <f t="shared" si="88"/>
        <v>142.33333333333334</v>
      </c>
      <c r="AL320" s="2">
        <f t="shared" si="89"/>
        <v>64.666666666666671</v>
      </c>
      <c r="AM320" s="2">
        <f t="shared" si="90"/>
        <v>34</v>
      </c>
    </row>
    <row r="321" spans="1:39" x14ac:dyDescent="0.3">
      <c r="A321" s="1" t="s">
        <v>437</v>
      </c>
      <c r="B321" s="1" t="s">
        <v>452</v>
      </c>
      <c r="C321" s="1" t="s">
        <v>453</v>
      </c>
      <c r="D321" s="1" t="s">
        <v>453</v>
      </c>
      <c r="E321" s="2">
        <v>80601</v>
      </c>
      <c r="F321" s="18">
        <v>0</v>
      </c>
      <c r="G321" s="18">
        <v>1</v>
      </c>
      <c r="H321" s="18">
        <v>2</v>
      </c>
      <c r="I321" s="18">
        <v>2</v>
      </c>
      <c r="J321" s="18">
        <v>23</v>
      </c>
      <c r="K321" s="18">
        <v>21</v>
      </c>
      <c r="L321" s="11">
        <v>19</v>
      </c>
      <c r="M321" s="2">
        <f t="shared" si="78"/>
        <v>6</v>
      </c>
      <c r="N321" s="2">
        <f t="shared" si="79"/>
        <v>6</v>
      </c>
      <c r="O321" s="2">
        <f t="shared" si="80"/>
        <v>21</v>
      </c>
      <c r="P321" s="2">
        <f t="shared" si="81"/>
        <v>20</v>
      </c>
      <c r="Q321" s="2">
        <f t="shared" si="82"/>
        <v>7</v>
      </c>
      <c r="R321" s="2">
        <f t="shared" si="83"/>
        <v>8</v>
      </c>
      <c r="S321" s="2">
        <f t="shared" si="84"/>
        <v>6</v>
      </c>
      <c r="T321" s="11">
        <v>6</v>
      </c>
      <c r="U321" s="11">
        <v>7</v>
      </c>
      <c r="V321" s="11">
        <v>23</v>
      </c>
      <c r="W321" s="18">
        <v>22</v>
      </c>
      <c r="X321" s="18">
        <v>30</v>
      </c>
      <c r="Y321" s="23">
        <v>29</v>
      </c>
      <c r="Z321" s="18">
        <v>25</v>
      </c>
      <c r="AA321" s="18">
        <v>0</v>
      </c>
      <c r="AB321" s="18">
        <v>14.285714285714285</v>
      </c>
      <c r="AC321" s="18">
        <v>8.695652173913043</v>
      </c>
      <c r="AD321" s="11">
        <v>9.0909090909090917</v>
      </c>
      <c r="AE321" s="11">
        <v>76.666666666666671</v>
      </c>
      <c r="AF321" s="11">
        <v>72.41379310344827</v>
      </c>
      <c r="AG321" s="11">
        <v>76</v>
      </c>
      <c r="AH321" s="11">
        <f t="shared" si="85"/>
        <v>10.690758516845472</v>
      </c>
      <c r="AI321" s="26">
        <f t="shared" si="86"/>
        <v>75.026819923371647</v>
      </c>
      <c r="AJ321" s="2">
        <f t="shared" si="87"/>
        <v>1.6666666666666667</v>
      </c>
      <c r="AK321" s="2">
        <f t="shared" si="88"/>
        <v>21</v>
      </c>
      <c r="AL321" s="2">
        <f t="shared" si="89"/>
        <v>15.666666666666666</v>
      </c>
      <c r="AM321" s="2">
        <f t="shared" si="90"/>
        <v>7</v>
      </c>
    </row>
    <row r="322" spans="1:39" x14ac:dyDescent="0.3">
      <c r="A322" s="1" t="s">
        <v>437</v>
      </c>
      <c r="B322" s="1" t="s">
        <v>452</v>
      </c>
      <c r="C322" s="1" t="s">
        <v>454</v>
      </c>
      <c r="D322" s="1" t="s">
        <v>454</v>
      </c>
      <c r="E322" s="2">
        <v>80602</v>
      </c>
      <c r="F322" s="18">
        <v>2</v>
      </c>
      <c r="G322" s="18">
        <v>9</v>
      </c>
      <c r="H322" s="18">
        <v>12</v>
      </c>
      <c r="I322" s="18">
        <v>14</v>
      </c>
      <c r="J322" s="18">
        <v>78</v>
      </c>
      <c r="K322" s="18">
        <v>87</v>
      </c>
      <c r="L322" s="11">
        <v>89</v>
      </c>
      <c r="M322" s="2">
        <f t="shared" si="78"/>
        <v>14</v>
      </c>
      <c r="N322" s="2">
        <f t="shared" si="79"/>
        <v>11</v>
      </c>
      <c r="O322" s="2">
        <f t="shared" si="80"/>
        <v>45</v>
      </c>
      <c r="P322" s="2">
        <f t="shared" si="81"/>
        <v>48</v>
      </c>
      <c r="Q322" s="2">
        <f t="shared" si="82"/>
        <v>47</v>
      </c>
      <c r="R322" s="2">
        <f t="shared" si="83"/>
        <v>51</v>
      </c>
      <c r="S322" s="2">
        <f t="shared" si="84"/>
        <v>55</v>
      </c>
      <c r="T322" s="11">
        <v>16</v>
      </c>
      <c r="U322" s="11">
        <v>20</v>
      </c>
      <c r="V322" s="11">
        <v>57</v>
      </c>
      <c r="W322" s="18">
        <v>62</v>
      </c>
      <c r="X322" s="18">
        <v>125</v>
      </c>
      <c r="Y322" s="23">
        <v>138</v>
      </c>
      <c r="Z322" s="18">
        <v>144</v>
      </c>
      <c r="AA322" s="18">
        <v>12.5</v>
      </c>
      <c r="AB322" s="18">
        <v>45</v>
      </c>
      <c r="AC322" s="18">
        <v>21.052631578947366</v>
      </c>
      <c r="AD322" s="11">
        <v>22.58064516129032</v>
      </c>
      <c r="AE322" s="11">
        <v>62.4</v>
      </c>
      <c r="AF322" s="11">
        <v>63.04347826086957</v>
      </c>
      <c r="AG322" s="11">
        <v>61.805555555555557</v>
      </c>
      <c r="AH322" s="11">
        <f t="shared" si="85"/>
        <v>29.544425580079231</v>
      </c>
      <c r="AI322" s="26">
        <f t="shared" si="86"/>
        <v>62.416344605475047</v>
      </c>
      <c r="AJ322" s="2">
        <f t="shared" si="87"/>
        <v>11.666666666666666</v>
      </c>
      <c r="AK322" s="2">
        <f t="shared" si="88"/>
        <v>84.666666666666671</v>
      </c>
      <c r="AL322" s="2">
        <f t="shared" si="89"/>
        <v>34.666666666666664</v>
      </c>
      <c r="AM322" s="2">
        <f t="shared" si="90"/>
        <v>51</v>
      </c>
    </row>
    <row r="323" spans="1:39" x14ac:dyDescent="0.3">
      <c r="A323" s="1" t="s">
        <v>437</v>
      </c>
      <c r="B323" s="1" t="s">
        <v>455</v>
      </c>
      <c r="C323" s="1" t="s">
        <v>456</v>
      </c>
      <c r="D323" s="1" t="s">
        <v>456</v>
      </c>
      <c r="E323" s="2">
        <v>80701</v>
      </c>
      <c r="F323" s="18">
        <v>3</v>
      </c>
      <c r="G323" s="18">
        <v>5</v>
      </c>
      <c r="H323" s="18">
        <v>7</v>
      </c>
      <c r="I323" s="18">
        <v>8</v>
      </c>
      <c r="J323" s="18">
        <v>23</v>
      </c>
      <c r="K323" s="18">
        <v>23</v>
      </c>
      <c r="L323" s="11">
        <v>24</v>
      </c>
      <c r="M323" s="2">
        <f t="shared" ref="M323:M344" si="91">IF(AND(ISBLANK(F323), NOT(ISBLANK(T323))), T323, IF(OR(ISBLANK(T323), ISBLANK(F323)), "", T323-F323))</f>
        <v>19</v>
      </c>
      <c r="N323" s="2">
        <f t="shared" ref="N323:N344" si="92">IF(AND(ISBLANK(G323), NOT(ISBLANK(U323))), U323, IF(OR(ISBLANK(U323), ISBLANK(G323)), "", U323-G323))</f>
        <v>16</v>
      </c>
      <c r="O323" s="2">
        <f t="shared" ref="O323:O344" si="93">IF(AND(ISBLANK(H323), NOT(ISBLANK(V323))), V323, IF(OR(ISBLANK(V323), ISBLANK(H323)), "", V323-H323))</f>
        <v>21</v>
      </c>
      <c r="P323" s="2">
        <f t="shared" ref="P323:P344" si="94">IF(AND(ISBLANK(I323), NOT(ISBLANK(W323))), W323, IF(OR(ISBLANK(W323), ISBLANK(I323)), "", W323-I323))</f>
        <v>19</v>
      </c>
      <c r="Q323" s="2">
        <f t="shared" ref="Q323:Q344" si="95">IF(AND(ISBLANK(J323), NOT(ISBLANK(X323))), X323, IF(OR(ISBLANK(X323), ISBLANK(J323)), "", X323-J323))</f>
        <v>11</v>
      </c>
      <c r="R323" s="2">
        <f t="shared" ref="R323:R344" si="96">IF(AND(ISBLANK(K323), NOT(ISBLANK(Y323))), Y323, IF(OR(ISBLANK(Y323), ISBLANK(K323)), "", Y323-K323))</f>
        <v>10</v>
      </c>
      <c r="S323" s="2">
        <f t="shared" ref="S323:S344" si="97">IF(AND(ISBLANK(L323), NOT(ISBLANK(Z323))), Z323, IF(OR(ISBLANK(Z323), ISBLANK(L323)), "", Z323-L323))</f>
        <v>9</v>
      </c>
      <c r="T323" s="11">
        <v>22</v>
      </c>
      <c r="U323" s="11">
        <v>21</v>
      </c>
      <c r="V323" s="11">
        <v>28</v>
      </c>
      <c r="W323" s="18">
        <v>27</v>
      </c>
      <c r="X323" s="18">
        <v>34</v>
      </c>
      <c r="Y323" s="23">
        <v>33</v>
      </c>
      <c r="Z323" s="18">
        <v>33</v>
      </c>
      <c r="AA323" s="18">
        <v>13.636363636363635</v>
      </c>
      <c r="AB323" s="18">
        <v>23.809523809523807</v>
      </c>
      <c r="AC323" s="18">
        <v>25</v>
      </c>
      <c r="AD323" s="11">
        <v>29.629629629629626</v>
      </c>
      <c r="AE323" s="11">
        <v>67.64705882352942</v>
      </c>
      <c r="AF323" s="11">
        <v>69.696969696969703</v>
      </c>
      <c r="AG323" s="11">
        <v>72.727272727272734</v>
      </c>
      <c r="AH323" s="11">
        <f t="shared" ref="AH323:AH344" si="98">AVERAGE(AB323:AD323)</f>
        <v>26.146384479717813</v>
      </c>
      <c r="AI323" s="26">
        <f t="shared" ref="AI323:AI344" si="99">AVERAGE(AE323:AG323)</f>
        <v>70.023767082590624</v>
      </c>
      <c r="AJ323" s="2">
        <f t="shared" ref="AJ323:AJ344" si="100">AVERAGE(G323:I323)</f>
        <v>6.666666666666667</v>
      </c>
      <c r="AK323" s="2">
        <f t="shared" ref="AK323:AK344" si="101">AVERAGE(J323:L323)</f>
        <v>23.333333333333332</v>
      </c>
      <c r="AL323" s="2">
        <f t="shared" ref="AL323:AL344" si="102">AVERAGE(N323:P323)</f>
        <v>18.666666666666668</v>
      </c>
      <c r="AM323" s="2">
        <f t="shared" ref="AM323:AM344" si="103">AVERAGE(Q323:S323)</f>
        <v>10</v>
      </c>
    </row>
    <row r="324" spans="1:39" x14ac:dyDescent="0.3">
      <c r="A324" s="1" t="s">
        <v>437</v>
      </c>
      <c r="B324" s="1" t="s">
        <v>455</v>
      </c>
      <c r="C324" s="1" t="s">
        <v>420</v>
      </c>
      <c r="D324" s="1" t="s">
        <v>420</v>
      </c>
      <c r="E324" s="2">
        <v>80702</v>
      </c>
      <c r="F324" s="18">
        <v>3</v>
      </c>
      <c r="G324" s="18">
        <v>4</v>
      </c>
      <c r="H324" s="18">
        <v>5</v>
      </c>
      <c r="I324" s="18">
        <v>8</v>
      </c>
      <c r="J324" s="18">
        <v>25</v>
      </c>
      <c r="K324" s="18">
        <v>24</v>
      </c>
      <c r="L324" s="11">
        <v>32</v>
      </c>
      <c r="M324" s="2">
        <f t="shared" si="91"/>
        <v>12</v>
      </c>
      <c r="N324" s="2">
        <f t="shared" si="92"/>
        <v>11</v>
      </c>
      <c r="O324" s="2">
        <f t="shared" si="93"/>
        <v>11</v>
      </c>
      <c r="P324" s="2">
        <f t="shared" si="94"/>
        <v>9</v>
      </c>
      <c r="Q324" s="2">
        <f t="shared" si="95"/>
        <v>3</v>
      </c>
      <c r="R324" s="2">
        <f t="shared" si="96"/>
        <v>4</v>
      </c>
      <c r="S324" s="2">
        <f t="shared" si="97"/>
        <v>5</v>
      </c>
      <c r="T324" s="11">
        <v>15</v>
      </c>
      <c r="U324" s="11">
        <v>15</v>
      </c>
      <c r="V324" s="11">
        <v>16</v>
      </c>
      <c r="W324" s="18">
        <v>17</v>
      </c>
      <c r="X324" s="18">
        <v>28</v>
      </c>
      <c r="Y324" s="23">
        <v>28</v>
      </c>
      <c r="Z324" s="18">
        <v>37</v>
      </c>
      <c r="AA324" s="18">
        <v>20</v>
      </c>
      <c r="AB324" s="18">
        <v>26.666666666666668</v>
      </c>
      <c r="AC324" s="18">
        <v>31.25</v>
      </c>
      <c r="AD324" s="11">
        <v>47.058823529411761</v>
      </c>
      <c r="AE324" s="11">
        <v>89.285714285714292</v>
      </c>
      <c r="AF324" s="11">
        <v>85.714285714285708</v>
      </c>
      <c r="AG324" s="11">
        <v>86.486486486486484</v>
      </c>
      <c r="AH324" s="11">
        <f t="shared" si="98"/>
        <v>34.991830065359473</v>
      </c>
      <c r="AI324" s="26">
        <f t="shared" si="99"/>
        <v>87.162162162162147</v>
      </c>
      <c r="AJ324" s="2">
        <f t="shared" si="100"/>
        <v>5.666666666666667</v>
      </c>
      <c r="AK324" s="2">
        <f t="shared" si="101"/>
        <v>27</v>
      </c>
      <c r="AL324" s="2">
        <f t="shared" si="102"/>
        <v>10.333333333333334</v>
      </c>
      <c r="AM324" s="2">
        <f t="shared" si="103"/>
        <v>4</v>
      </c>
    </row>
    <row r="325" spans="1:39" x14ac:dyDescent="0.3">
      <c r="A325" s="1" t="s">
        <v>437</v>
      </c>
      <c r="B325" s="1" t="s">
        <v>455</v>
      </c>
      <c r="C325" s="1" t="s">
        <v>457</v>
      </c>
      <c r="D325" s="1" t="s">
        <v>457</v>
      </c>
      <c r="E325" s="2">
        <v>80703</v>
      </c>
      <c r="F325" s="18">
        <v>0</v>
      </c>
      <c r="G325" s="18">
        <v>0</v>
      </c>
      <c r="H325" s="18">
        <v>0</v>
      </c>
      <c r="I325" s="18">
        <v>1</v>
      </c>
      <c r="J325" s="18">
        <v>2</v>
      </c>
      <c r="K325" s="18">
        <v>4</v>
      </c>
      <c r="L325" s="11">
        <v>5</v>
      </c>
      <c r="M325" s="2">
        <f t="shared" si="91"/>
        <v>3</v>
      </c>
      <c r="N325" s="2">
        <f t="shared" si="92"/>
        <v>4</v>
      </c>
      <c r="O325" s="2">
        <f t="shared" si="93"/>
        <v>4</v>
      </c>
      <c r="P325" s="2">
        <f t="shared" si="94"/>
        <v>2</v>
      </c>
      <c r="Q325" s="2">
        <f t="shared" si="95"/>
        <v>5</v>
      </c>
      <c r="R325" s="2">
        <f t="shared" si="96"/>
        <v>5</v>
      </c>
      <c r="S325" s="2">
        <f t="shared" si="97"/>
        <v>4</v>
      </c>
      <c r="T325" s="11">
        <v>3</v>
      </c>
      <c r="U325" s="11">
        <v>4</v>
      </c>
      <c r="V325" s="11">
        <v>4</v>
      </c>
      <c r="W325" s="18">
        <v>3</v>
      </c>
      <c r="X325" s="18">
        <v>7</v>
      </c>
      <c r="Y325" s="23">
        <v>9</v>
      </c>
      <c r="Z325" s="18">
        <v>9</v>
      </c>
      <c r="AA325" s="18">
        <v>0</v>
      </c>
      <c r="AB325" s="18">
        <v>0</v>
      </c>
      <c r="AC325" s="18">
        <v>0</v>
      </c>
      <c r="AD325" s="11">
        <v>33.333333333333329</v>
      </c>
      <c r="AE325" s="11">
        <v>28.571428571428569</v>
      </c>
      <c r="AF325" s="11">
        <v>44.444444444444443</v>
      </c>
      <c r="AG325" s="11">
        <v>55.555555555555557</v>
      </c>
      <c r="AH325" s="11">
        <f t="shared" si="98"/>
        <v>11.111111111111109</v>
      </c>
      <c r="AI325" s="26">
        <f t="shared" si="99"/>
        <v>42.857142857142854</v>
      </c>
      <c r="AJ325" s="2">
        <f t="shared" si="100"/>
        <v>0.33333333333333331</v>
      </c>
      <c r="AK325" s="2">
        <f t="shared" si="101"/>
        <v>3.6666666666666665</v>
      </c>
      <c r="AL325" s="2">
        <f t="shared" si="102"/>
        <v>3.3333333333333335</v>
      </c>
      <c r="AM325" s="2">
        <f t="shared" si="103"/>
        <v>4.666666666666667</v>
      </c>
    </row>
    <row r="326" spans="1:39" x14ac:dyDescent="0.3">
      <c r="A326" s="1" t="s">
        <v>437</v>
      </c>
      <c r="B326" s="1" t="s">
        <v>458</v>
      </c>
      <c r="C326" s="1" t="s">
        <v>459</v>
      </c>
      <c r="D326" s="1" t="s">
        <v>459</v>
      </c>
      <c r="E326" s="2">
        <v>80801</v>
      </c>
      <c r="F326" s="18">
        <v>5</v>
      </c>
      <c r="G326" s="18">
        <v>19</v>
      </c>
      <c r="H326" s="18">
        <v>23</v>
      </c>
      <c r="I326" s="18">
        <v>27</v>
      </c>
      <c r="J326" s="18">
        <v>80</v>
      </c>
      <c r="K326" s="18">
        <v>83</v>
      </c>
      <c r="L326" s="11">
        <v>89</v>
      </c>
      <c r="M326" s="2">
        <f t="shared" si="91"/>
        <v>57</v>
      </c>
      <c r="N326" s="2">
        <f t="shared" si="92"/>
        <v>45</v>
      </c>
      <c r="O326" s="2">
        <f t="shared" si="93"/>
        <v>53</v>
      </c>
      <c r="P326" s="2">
        <f t="shared" si="94"/>
        <v>50</v>
      </c>
      <c r="Q326" s="2">
        <f t="shared" si="95"/>
        <v>25</v>
      </c>
      <c r="R326" s="2">
        <f t="shared" si="96"/>
        <v>26</v>
      </c>
      <c r="S326" s="2">
        <f t="shared" si="97"/>
        <v>24</v>
      </c>
      <c r="T326" s="11">
        <v>62</v>
      </c>
      <c r="U326" s="11">
        <v>64</v>
      </c>
      <c r="V326" s="11">
        <v>76</v>
      </c>
      <c r="W326" s="18">
        <v>77</v>
      </c>
      <c r="X326" s="18">
        <v>105</v>
      </c>
      <c r="Y326" s="23">
        <v>109</v>
      </c>
      <c r="Z326" s="18">
        <v>113</v>
      </c>
      <c r="AA326" s="18">
        <v>8.064516129032258</v>
      </c>
      <c r="AB326" s="18">
        <v>29.6875</v>
      </c>
      <c r="AC326" s="18">
        <v>30.263157894736842</v>
      </c>
      <c r="AD326" s="11">
        <v>35.064935064935064</v>
      </c>
      <c r="AE326" s="11">
        <v>76.19047619047619</v>
      </c>
      <c r="AF326" s="11">
        <v>76.146788990825684</v>
      </c>
      <c r="AG326" s="11">
        <v>78.761061946902657</v>
      </c>
      <c r="AH326" s="11">
        <f t="shared" si="98"/>
        <v>31.671864319890634</v>
      </c>
      <c r="AI326" s="26">
        <f t="shared" si="99"/>
        <v>77.032775709401506</v>
      </c>
      <c r="AJ326" s="2">
        <f t="shared" si="100"/>
        <v>23</v>
      </c>
      <c r="AK326" s="2">
        <f t="shared" si="101"/>
        <v>84</v>
      </c>
      <c r="AL326" s="2">
        <f t="shared" si="102"/>
        <v>49.333333333333336</v>
      </c>
      <c r="AM326" s="2">
        <f t="shared" si="103"/>
        <v>25</v>
      </c>
    </row>
    <row r="327" spans="1:39" x14ac:dyDescent="0.3">
      <c r="A327" s="1" t="s">
        <v>437</v>
      </c>
      <c r="B327" s="1" t="s">
        <v>458</v>
      </c>
      <c r="C327" s="1" t="s">
        <v>460</v>
      </c>
      <c r="D327" s="1" t="s">
        <v>460</v>
      </c>
      <c r="E327" s="2">
        <v>80802</v>
      </c>
      <c r="F327" s="18">
        <v>4</v>
      </c>
      <c r="G327" s="18">
        <v>6</v>
      </c>
      <c r="H327" s="18">
        <v>7</v>
      </c>
      <c r="I327" s="18">
        <v>9</v>
      </c>
      <c r="J327" s="18">
        <v>44</v>
      </c>
      <c r="K327" s="18">
        <v>47</v>
      </c>
      <c r="L327" s="11">
        <v>49</v>
      </c>
      <c r="M327" s="2">
        <f t="shared" si="91"/>
        <v>17</v>
      </c>
      <c r="N327" s="2">
        <f t="shared" si="92"/>
        <v>14</v>
      </c>
      <c r="O327" s="2">
        <f t="shared" si="93"/>
        <v>21</v>
      </c>
      <c r="P327" s="2">
        <f t="shared" si="94"/>
        <v>19</v>
      </c>
      <c r="Q327" s="2">
        <f t="shared" si="95"/>
        <v>6</v>
      </c>
      <c r="R327" s="2">
        <f t="shared" si="96"/>
        <v>7</v>
      </c>
      <c r="S327" s="2">
        <f t="shared" si="97"/>
        <v>6</v>
      </c>
      <c r="T327" s="11">
        <v>21</v>
      </c>
      <c r="U327" s="11">
        <v>20</v>
      </c>
      <c r="V327" s="11">
        <v>28</v>
      </c>
      <c r="W327" s="18">
        <v>28</v>
      </c>
      <c r="X327" s="18">
        <v>50</v>
      </c>
      <c r="Y327" s="23">
        <v>54</v>
      </c>
      <c r="Z327" s="18">
        <v>55</v>
      </c>
      <c r="AA327" s="18">
        <v>19.047619047619047</v>
      </c>
      <c r="AB327" s="18">
        <v>30</v>
      </c>
      <c r="AC327" s="18">
        <v>25</v>
      </c>
      <c r="AD327" s="11">
        <v>32.142857142857146</v>
      </c>
      <c r="AE327" s="11">
        <v>88</v>
      </c>
      <c r="AF327" s="11">
        <v>87.037037037037038</v>
      </c>
      <c r="AG327" s="11">
        <v>89.090909090909093</v>
      </c>
      <c r="AH327" s="11">
        <f t="shared" si="98"/>
        <v>29.047619047619047</v>
      </c>
      <c r="AI327" s="26">
        <f t="shared" si="99"/>
        <v>88.042648709315372</v>
      </c>
      <c r="AJ327" s="2">
        <f t="shared" si="100"/>
        <v>7.333333333333333</v>
      </c>
      <c r="AK327" s="2">
        <f t="shared" si="101"/>
        <v>46.666666666666664</v>
      </c>
      <c r="AL327" s="2">
        <f t="shared" si="102"/>
        <v>18</v>
      </c>
      <c r="AM327" s="2">
        <f t="shared" si="103"/>
        <v>6.333333333333333</v>
      </c>
    </row>
    <row r="328" spans="1:39" x14ac:dyDescent="0.3">
      <c r="A328" s="1" t="s">
        <v>437</v>
      </c>
      <c r="B328" s="1" t="s">
        <v>458</v>
      </c>
      <c r="C328" s="1" t="s">
        <v>461</v>
      </c>
      <c r="D328" s="1" t="s">
        <v>461</v>
      </c>
      <c r="E328" s="2">
        <v>80803</v>
      </c>
      <c r="F328" s="18">
        <v>1</v>
      </c>
      <c r="G328" s="18">
        <v>3</v>
      </c>
      <c r="H328" s="18">
        <v>3</v>
      </c>
      <c r="I328" s="18">
        <v>6</v>
      </c>
      <c r="J328" s="18">
        <v>21</v>
      </c>
      <c r="K328" s="18">
        <v>21</v>
      </c>
      <c r="L328" s="11">
        <v>22</v>
      </c>
      <c r="M328" s="2">
        <f t="shared" si="91"/>
        <v>24</v>
      </c>
      <c r="N328" s="2">
        <f t="shared" si="92"/>
        <v>21</v>
      </c>
      <c r="O328" s="2">
        <f t="shared" si="93"/>
        <v>19</v>
      </c>
      <c r="P328" s="2">
        <f t="shared" si="94"/>
        <v>18</v>
      </c>
      <c r="Q328" s="2">
        <f t="shared" si="95"/>
        <v>2</v>
      </c>
      <c r="R328" s="2">
        <f t="shared" si="96"/>
        <v>3</v>
      </c>
      <c r="S328" s="2">
        <f t="shared" si="97"/>
        <v>1</v>
      </c>
      <c r="T328" s="11">
        <v>25</v>
      </c>
      <c r="U328" s="11">
        <v>24</v>
      </c>
      <c r="V328" s="11">
        <v>22</v>
      </c>
      <c r="W328" s="18">
        <v>24</v>
      </c>
      <c r="X328" s="18">
        <v>23</v>
      </c>
      <c r="Y328" s="23">
        <v>24</v>
      </c>
      <c r="Z328" s="18">
        <v>23</v>
      </c>
      <c r="AA328" s="18">
        <v>4</v>
      </c>
      <c r="AB328" s="18">
        <v>12.5</v>
      </c>
      <c r="AC328" s="18">
        <v>13.636363636363635</v>
      </c>
      <c r="AD328" s="11">
        <v>25</v>
      </c>
      <c r="AE328" s="11">
        <v>91.304347826086953</v>
      </c>
      <c r="AF328" s="11">
        <v>87.5</v>
      </c>
      <c r="AG328" s="11">
        <v>95.652173913043484</v>
      </c>
      <c r="AH328" s="11">
        <f t="shared" si="98"/>
        <v>17.045454545454543</v>
      </c>
      <c r="AI328" s="26">
        <f t="shared" si="99"/>
        <v>91.485507246376812</v>
      </c>
      <c r="AJ328" s="2">
        <f t="shared" si="100"/>
        <v>4</v>
      </c>
      <c r="AK328" s="2">
        <f t="shared" si="101"/>
        <v>21.333333333333332</v>
      </c>
      <c r="AL328" s="2">
        <f t="shared" si="102"/>
        <v>19.333333333333332</v>
      </c>
      <c r="AM328" s="2">
        <f t="shared" si="103"/>
        <v>2</v>
      </c>
    </row>
    <row r="329" spans="1:39" x14ac:dyDescent="0.3">
      <c r="A329" s="1" t="s">
        <v>437</v>
      </c>
      <c r="B329" s="1" t="s">
        <v>451</v>
      </c>
      <c r="C329" s="1" t="s">
        <v>462</v>
      </c>
      <c r="D329" s="1" t="s">
        <v>462</v>
      </c>
      <c r="E329" s="2">
        <v>80901</v>
      </c>
      <c r="F329" s="18">
        <v>16</v>
      </c>
      <c r="G329" s="18">
        <v>33.5</v>
      </c>
      <c r="H329" s="18">
        <v>38</v>
      </c>
      <c r="I329" s="18">
        <v>38.5</v>
      </c>
      <c r="J329" s="18">
        <v>105.5</v>
      </c>
      <c r="K329" s="18">
        <v>112.5</v>
      </c>
      <c r="L329" s="11">
        <v>116.5</v>
      </c>
      <c r="M329" s="2">
        <f t="shared" si="91"/>
        <v>52.5</v>
      </c>
      <c r="N329" s="2">
        <f t="shared" si="92"/>
        <v>37</v>
      </c>
      <c r="O329" s="2">
        <f t="shared" si="93"/>
        <v>59.5</v>
      </c>
      <c r="P329" s="2">
        <f t="shared" si="94"/>
        <v>61</v>
      </c>
      <c r="Q329" s="2">
        <f t="shared" si="95"/>
        <v>26</v>
      </c>
      <c r="R329" s="2">
        <f t="shared" si="96"/>
        <v>28</v>
      </c>
      <c r="S329" s="2">
        <f t="shared" si="97"/>
        <v>28</v>
      </c>
      <c r="T329" s="11">
        <v>68.5</v>
      </c>
      <c r="U329" s="11">
        <v>70.5</v>
      </c>
      <c r="V329" s="11">
        <v>97.5</v>
      </c>
      <c r="W329" s="18">
        <v>99.5</v>
      </c>
      <c r="X329" s="18">
        <v>131.5</v>
      </c>
      <c r="Y329" s="23">
        <v>140.5</v>
      </c>
      <c r="Z329" s="18">
        <v>144.5</v>
      </c>
      <c r="AA329" s="18">
        <f t="shared" ref="AA329:AG329" si="104">(F329/T329)*100</f>
        <v>23.357664233576642</v>
      </c>
      <c r="AB329" s="18">
        <f t="shared" si="104"/>
        <v>47.5177304964539</v>
      </c>
      <c r="AC329" s="18">
        <f t="shared" si="104"/>
        <v>38.974358974358978</v>
      </c>
      <c r="AD329" s="18">
        <f t="shared" si="104"/>
        <v>38.693467336683419</v>
      </c>
      <c r="AE329" s="18">
        <f t="shared" si="104"/>
        <v>80.228136882129277</v>
      </c>
      <c r="AF329" s="18">
        <f t="shared" si="104"/>
        <v>80.071174377224196</v>
      </c>
      <c r="AG329" s="18">
        <f t="shared" si="104"/>
        <v>80.622837370242223</v>
      </c>
      <c r="AH329" s="11">
        <f t="shared" si="98"/>
        <v>41.728518935832106</v>
      </c>
      <c r="AI329" s="26">
        <f t="shared" si="99"/>
        <v>80.307382876531904</v>
      </c>
      <c r="AJ329" s="2">
        <f t="shared" si="100"/>
        <v>36.666666666666664</v>
      </c>
      <c r="AK329" s="2">
        <f t="shared" si="101"/>
        <v>111.5</v>
      </c>
      <c r="AL329" s="2">
        <f t="shared" si="102"/>
        <v>52.5</v>
      </c>
      <c r="AM329" s="2">
        <f t="shared" si="103"/>
        <v>27.333333333333332</v>
      </c>
    </row>
    <row r="330" spans="1:39" x14ac:dyDescent="0.3">
      <c r="A330" s="1" t="s">
        <v>463</v>
      </c>
      <c r="B330" s="1" t="s">
        <v>464</v>
      </c>
      <c r="C330" s="1" t="s">
        <v>465</v>
      </c>
      <c r="D330" s="1" t="s">
        <v>465</v>
      </c>
      <c r="E330" s="2">
        <v>90101</v>
      </c>
      <c r="F330" s="18">
        <v>48</v>
      </c>
      <c r="G330" s="18">
        <v>62</v>
      </c>
      <c r="H330" s="18">
        <v>80</v>
      </c>
      <c r="I330" s="18">
        <v>97</v>
      </c>
      <c r="J330" s="18">
        <v>221</v>
      </c>
      <c r="K330" s="18">
        <v>232</v>
      </c>
      <c r="L330" s="11">
        <v>241</v>
      </c>
      <c r="M330" s="2">
        <f t="shared" si="91"/>
        <v>51</v>
      </c>
      <c r="N330" s="2">
        <f t="shared" si="92"/>
        <v>48</v>
      </c>
      <c r="O330" s="2">
        <f t="shared" si="93"/>
        <v>59</v>
      </c>
      <c r="P330" s="2">
        <f t="shared" si="94"/>
        <v>59</v>
      </c>
      <c r="Q330" s="2">
        <f t="shared" si="95"/>
        <v>71</v>
      </c>
      <c r="R330" s="2">
        <f t="shared" si="96"/>
        <v>69</v>
      </c>
      <c r="S330" s="2">
        <f t="shared" si="97"/>
        <v>69</v>
      </c>
      <c r="T330" s="11">
        <v>99</v>
      </c>
      <c r="U330" s="11">
        <v>110</v>
      </c>
      <c r="V330" s="11">
        <v>139</v>
      </c>
      <c r="W330" s="18">
        <v>156</v>
      </c>
      <c r="X330" s="18">
        <v>292</v>
      </c>
      <c r="Y330" s="23">
        <v>301</v>
      </c>
      <c r="Z330" s="18">
        <v>310</v>
      </c>
      <c r="AA330" s="18">
        <v>48.484848484848484</v>
      </c>
      <c r="AB330" s="18">
        <v>56.36363636363636</v>
      </c>
      <c r="AC330" s="18">
        <v>57.553956834532372</v>
      </c>
      <c r="AD330" s="11">
        <v>62.179487179487182</v>
      </c>
      <c r="AE330" s="11">
        <v>75.684931506849324</v>
      </c>
      <c r="AF330" s="11">
        <v>77.076411960132901</v>
      </c>
      <c r="AG330" s="11">
        <v>77.741935483870975</v>
      </c>
      <c r="AH330" s="11">
        <f t="shared" si="98"/>
        <v>58.699026792551969</v>
      </c>
      <c r="AI330" s="26">
        <f t="shared" si="99"/>
        <v>76.834426316951067</v>
      </c>
      <c r="AJ330" s="2">
        <f t="shared" si="100"/>
        <v>79.666666666666671</v>
      </c>
      <c r="AK330" s="2">
        <f t="shared" si="101"/>
        <v>231.33333333333334</v>
      </c>
      <c r="AL330" s="2">
        <f t="shared" si="102"/>
        <v>55.333333333333336</v>
      </c>
      <c r="AM330" s="2">
        <f t="shared" si="103"/>
        <v>69.666666666666671</v>
      </c>
    </row>
    <row r="331" spans="1:39" x14ac:dyDescent="0.3">
      <c r="A331" s="1" t="s">
        <v>463</v>
      </c>
      <c r="B331" s="1" t="s">
        <v>464</v>
      </c>
      <c r="C331" s="1" t="s">
        <v>466</v>
      </c>
      <c r="D331" s="1" t="s">
        <v>466</v>
      </c>
      <c r="E331" s="2">
        <v>90102</v>
      </c>
      <c r="F331" s="18">
        <v>8</v>
      </c>
      <c r="G331" s="18">
        <v>13</v>
      </c>
      <c r="H331" s="18">
        <v>24</v>
      </c>
      <c r="I331" s="18">
        <v>19</v>
      </c>
      <c r="J331" s="18">
        <v>24</v>
      </c>
      <c r="K331" s="18">
        <v>28</v>
      </c>
      <c r="L331" s="11">
        <v>32</v>
      </c>
      <c r="M331" s="2">
        <f t="shared" si="91"/>
        <v>8</v>
      </c>
      <c r="N331" s="2">
        <f t="shared" si="92"/>
        <v>3</v>
      </c>
      <c r="O331" s="2">
        <f t="shared" si="93"/>
        <v>6</v>
      </c>
      <c r="P331" s="2">
        <f t="shared" si="94"/>
        <v>4</v>
      </c>
      <c r="Q331" s="2">
        <f t="shared" si="95"/>
        <v>8</v>
      </c>
      <c r="R331" s="2">
        <f t="shared" si="96"/>
        <v>8</v>
      </c>
      <c r="S331" s="2">
        <f t="shared" si="97"/>
        <v>10</v>
      </c>
      <c r="T331" s="11">
        <v>16</v>
      </c>
      <c r="U331" s="11">
        <v>16</v>
      </c>
      <c r="V331" s="11">
        <v>30</v>
      </c>
      <c r="W331" s="18">
        <v>23</v>
      </c>
      <c r="X331" s="18">
        <v>32</v>
      </c>
      <c r="Y331" s="23">
        <v>36</v>
      </c>
      <c r="Z331" s="18">
        <v>42</v>
      </c>
      <c r="AA331" s="18">
        <v>50</v>
      </c>
      <c r="AB331" s="18">
        <v>81.25</v>
      </c>
      <c r="AC331" s="18">
        <v>80</v>
      </c>
      <c r="AD331" s="11">
        <v>82.608695652173907</v>
      </c>
      <c r="AE331" s="11">
        <v>75</v>
      </c>
      <c r="AF331" s="11">
        <v>77.777777777777786</v>
      </c>
      <c r="AG331" s="11">
        <v>76.19047619047619</v>
      </c>
      <c r="AH331" s="11">
        <f t="shared" si="98"/>
        <v>81.286231884057969</v>
      </c>
      <c r="AI331" s="26">
        <f t="shared" si="99"/>
        <v>76.32275132275133</v>
      </c>
      <c r="AJ331" s="2">
        <f t="shared" si="100"/>
        <v>18.666666666666668</v>
      </c>
      <c r="AK331" s="2">
        <f t="shared" si="101"/>
        <v>28</v>
      </c>
      <c r="AL331" s="2">
        <f t="shared" si="102"/>
        <v>4.333333333333333</v>
      </c>
      <c r="AM331" s="2">
        <f t="shared" si="103"/>
        <v>8.6666666666666661</v>
      </c>
    </row>
    <row r="332" spans="1:39" x14ac:dyDescent="0.3">
      <c r="A332" s="1" t="s">
        <v>463</v>
      </c>
      <c r="B332" s="1" t="s">
        <v>464</v>
      </c>
      <c r="C332" s="1" t="s">
        <v>467</v>
      </c>
      <c r="D332" s="1" t="s">
        <v>467</v>
      </c>
      <c r="E332" s="2">
        <v>90103</v>
      </c>
      <c r="F332" s="18">
        <v>2</v>
      </c>
      <c r="G332" s="18">
        <v>4</v>
      </c>
      <c r="H332" s="18">
        <v>5</v>
      </c>
      <c r="I332" s="18">
        <v>8</v>
      </c>
      <c r="J332" s="18">
        <v>26</v>
      </c>
      <c r="K332" s="18">
        <v>25</v>
      </c>
      <c r="L332" s="11">
        <v>28</v>
      </c>
      <c r="M332" s="2">
        <f t="shared" si="91"/>
        <v>6</v>
      </c>
      <c r="N332" s="2">
        <f t="shared" si="92"/>
        <v>4</v>
      </c>
      <c r="O332" s="2">
        <f t="shared" si="93"/>
        <v>5</v>
      </c>
      <c r="P332" s="2">
        <f t="shared" si="94"/>
        <v>4</v>
      </c>
      <c r="Q332" s="2">
        <f t="shared" si="95"/>
        <v>3</v>
      </c>
      <c r="R332" s="2">
        <f t="shared" si="96"/>
        <v>5</v>
      </c>
      <c r="S332" s="2">
        <f t="shared" si="97"/>
        <v>4</v>
      </c>
      <c r="T332" s="11">
        <v>8</v>
      </c>
      <c r="U332" s="11">
        <v>8</v>
      </c>
      <c r="V332" s="11">
        <v>10</v>
      </c>
      <c r="W332" s="18">
        <v>12</v>
      </c>
      <c r="X332" s="18">
        <v>29</v>
      </c>
      <c r="Y332" s="23">
        <v>30</v>
      </c>
      <c r="Z332" s="18">
        <v>32</v>
      </c>
      <c r="AA332" s="18">
        <v>25</v>
      </c>
      <c r="AB332" s="18">
        <v>50</v>
      </c>
      <c r="AC332" s="18">
        <v>50</v>
      </c>
      <c r="AD332" s="11">
        <v>66.666666666666657</v>
      </c>
      <c r="AE332" s="11">
        <v>89.65517241379311</v>
      </c>
      <c r="AF332" s="11">
        <v>83.333333333333343</v>
      </c>
      <c r="AG332" s="11">
        <v>87.5</v>
      </c>
      <c r="AH332" s="11">
        <f t="shared" si="98"/>
        <v>55.55555555555555</v>
      </c>
      <c r="AI332" s="26">
        <f t="shared" si="99"/>
        <v>86.829501915708818</v>
      </c>
      <c r="AJ332" s="2">
        <f t="shared" si="100"/>
        <v>5.666666666666667</v>
      </c>
      <c r="AK332" s="2">
        <f t="shared" si="101"/>
        <v>26.333333333333332</v>
      </c>
      <c r="AL332" s="2">
        <f t="shared" si="102"/>
        <v>4.333333333333333</v>
      </c>
      <c r="AM332" s="2">
        <f t="shared" si="103"/>
        <v>4</v>
      </c>
    </row>
    <row r="333" spans="1:39" x14ac:dyDescent="0.3">
      <c r="A333" s="1" t="s">
        <v>463</v>
      </c>
      <c r="B333" s="1" t="s">
        <v>464</v>
      </c>
      <c r="C333" s="1" t="s">
        <v>468</v>
      </c>
      <c r="D333" s="1" t="s">
        <v>468</v>
      </c>
      <c r="E333" s="2">
        <v>90104</v>
      </c>
      <c r="F333" s="18">
        <v>1</v>
      </c>
      <c r="G333" s="18">
        <v>2</v>
      </c>
      <c r="H333" s="18">
        <v>7</v>
      </c>
      <c r="I333" s="18">
        <v>10</v>
      </c>
      <c r="J333" s="18">
        <v>42</v>
      </c>
      <c r="K333" s="18">
        <v>46</v>
      </c>
      <c r="L333" s="11">
        <v>49</v>
      </c>
      <c r="M333" s="2">
        <f t="shared" si="91"/>
        <v>3</v>
      </c>
      <c r="N333" s="2">
        <f t="shared" si="92"/>
        <v>4</v>
      </c>
      <c r="O333" s="2">
        <f t="shared" si="93"/>
        <v>4</v>
      </c>
      <c r="P333" s="2">
        <f t="shared" si="94"/>
        <v>6</v>
      </c>
      <c r="Q333" s="2">
        <f t="shared" si="95"/>
        <v>11</v>
      </c>
      <c r="R333" s="2">
        <f t="shared" si="96"/>
        <v>9</v>
      </c>
      <c r="S333" s="2">
        <f t="shared" si="97"/>
        <v>5</v>
      </c>
      <c r="T333" s="11">
        <v>4</v>
      </c>
      <c r="U333" s="11">
        <v>6</v>
      </c>
      <c r="V333" s="11">
        <v>11</v>
      </c>
      <c r="W333" s="18">
        <v>16</v>
      </c>
      <c r="X333" s="18">
        <v>53</v>
      </c>
      <c r="Y333" s="23">
        <v>55</v>
      </c>
      <c r="Z333" s="18">
        <v>54</v>
      </c>
      <c r="AA333" s="18">
        <v>25</v>
      </c>
      <c r="AB333" s="18">
        <v>33.333333333333329</v>
      </c>
      <c r="AC333" s="18">
        <v>63.636363636363633</v>
      </c>
      <c r="AD333" s="11">
        <v>62.5</v>
      </c>
      <c r="AE333" s="11">
        <v>79.245283018867923</v>
      </c>
      <c r="AF333" s="11">
        <v>83.636363636363626</v>
      </c>
      <c r="AG333" s="11">
        <v>90.740740740740748</v>
      </c>
      <c r="AH333" s="11">
        <f t="shared" si="98"/>
        <v>53.156565656565654</v>
      </c>
      <c r="AI333" s="26">
        <f t="shared" si="99"/>
        <v>84.540795798657427</v>
      </c>
      <c r="AJ333" s="2">
        <f t="shared" si="100"/>
        <v>6.333333333333333</v>
      </c>
      <c r="AK333" s="2">
        <f t="shared" si="101"/>
        <v>45.666666666666664</v>
      </c>
      <c r="AL333" s="2">
        <f t="shared" si="102"/>
        <v>4.666666666666667</v>
      </c>
      <c r="AM333" s="2">
        <f t="shared" si="103"/>
        <v>8.3333333333333339</v>
      </c>
    </row>
    <row r="334" spans="1:39" x14ac:dyDescent="0.3">
      <c r="A334" s="1" t="s">
        <v>463</v>
      </c>
      <c r="B334" s="1" t="s">
        <v>469</v>
      </c>
      <c r="C334" s="1" t="s">
        <v>470</v>
      </c>
      <c r="D334" s="1" t="s">
        <v>470</v>
      </c>
      <c r="E334" s="2">
        <v>90201</v>
      </c>
      <c r="F334" s="18">
        <v>5</v>
      </c>
      <c r="G334" s="18">
        <v>5</v>
      </c>
      <c r="H334" s="18">
        <v>6</v>
      </c>
      <c r="I334" s="18">
        <v>6</v>
      </c>
      <c r="J334" s="18">
        <v>76</v>
      </c>
      <c r="K334" s="18">
        <v>77</v>
      </c>
      <c r="L334" s="11">
        <v>77</v>
      </c>
      <c r="M334" s="2">
        <f t="shared" si="91"/>
        <v>15</v>
      </c>
      <c r="N334" s="2">
        <f t="shared" si="92"/>
        <v>16</v>
      </c>
      <c r="O334" s="2">
        <f t="shared" si="93"/>
        <v>18</v>
      </c>
      <c r="P334" s="2">
        <f t="shared" si="94"/>
        <v>21</v>
      </c>
      <c r="Q334" s="2">
        <f t="shared" si="95"/>
        <v>13</v>
      </c>
      <c r="R334" s="2">
        <f t="shared" si="96"/>
        <v>12</v>
      </c>
      <c r="S334" s="2">
        <f t="shared" si="97"/>
        <v>13</v>
      </c>
      <c r="T334" s="11">
        <v>20</v>
      </c>
      <c r="U334" s="11">
        <v>21</v>
      </c>
      <c r="V334" s="11">
        <v>24</v>
      </c>
      <c r="W334" s="18">
        <v>27</v>
      </c>
      <c r="X334" s="18">
        <v>89</v>
      </c>
      <c r="Y334" s="23">
        <v>89</v>
      </c>
      <c r="Z334" s="18">
        <v>90</v>
      </c>
      <c r="AA334" s="18">
        <v>25</v>
      </c>
      <c r="AB334" s="18">
        <v>23.809523809523807</v>
      </c>
      <c r="AC334" s="18">
        <v>25</v>
      </c>
      <c r="AD334" s="11">
        <v>22.222222222222221</v>
      </c>
      <c r="AE334" s="11">
        <v>85.393258426966284</v>
      </c>
      <c r="AF334" s="11">
        <v>86.516853932584269</v>
      </c>
      <c r="AG334" s="11">
        <v>85.555555555555557</v>
      </c>
      <c r="AH334" s="11">
        <f t="shared" si="98"/>
        <v>23.677248677248674</v>
      </c>
      <c r="AI334" s="26">
        <f t="shared" si="99"/>
        <v>85.82188930503537</v>
      </c>
      <c r="AJ334" s="2">
        <f t="shared" si="100"/>
        <v>5.666666666666667</v>
      </c>
      <c r="AK334" s="2">
        <f t="shared" si="101"/>
        <v>76.666666666666671</v>
      </c>
      <c r="AL334" s="2">
        <f t="shared" si="102"/>
        <v>18.333333333333332</v>
      </c>
      <c r="AM334" s="2">
        <f t="shared" si="103"/>
        <v>12.666666666666666</v>
      </c>
    </row>
    <row r="335" spans="1:39" x14ac:dyDescent="0.3">
      <c r="A335" s="1" t="s">
        <v>463</v>
      </c>
      <c r="B335" s="1" t="s">
        <v>469</v>
      </c>
      <c r="C335" s="1" t="s">
        <v>304</v>
      </c>
      <c r="D335" s="1" t="s">
        <v>304</v>
      </c>
      <c r="E335" s="2">
        <v>90202</v>
      </c>
      <c r="F335" s="18">
        <v>0</v>
      </c>
      <c r="G335" s="18">
        <v>2</v>
      </c>
      <c r="H335" s="18">
        <v>2</v>
      </c>
      <c r="I335" s="18">
        <v>2</v>
      </c>
      <c r="J335" s="18">
        <v>12</v>
      </c>
      <c r="K335" s="18">
        <v>12</v>
      </c>
      <c r="L335" s="11">
        <v>12</v>
      </c>
      <c r="M335" s="2">
        <f t="shared" si="91"/>
        <v>1</v>
      </c>
      <c r="N335" s="2">
        <f t="shared" si="92"/>
        <v>1</v>
      </c>
      <c r="O335" s="2">
        <f t="shared" si="93"/>
        <v>1</v>
      </c>
      <c r="P335" s="2">
        <f t="shared" si="94"/>
        <v>1</v>
      </c>
      <c r="Q335" s="2">
        <f t="shared" si="95"/>
        <v>1</v>
      </c>
      <c r="R335" s="2">
        <f t="shared" si="96"/>
        <v>1</v>
      </c>
      <c r="S335" s="2">
        <f t="shared" si="97"/>
        <v>1</v>
      </c>
      <c r="T335" s="11">
        <v>1</v>
      </c>
      <c r="U335" s="11">
        <v>3</v>
      </c>
      <c r="V335" s="11">
        <v>3</v>
      </c>
      <c r="W335" s="18">
        <v>3</v>
      </c>
      <c r="X335" s="18">
        <v>13</v>
      </c>
      <c r="Y335" s="23">
        <v>13</v>
      </c>
      <c r="Z335" s="18">
        <v>13</v>
      </c>
      <c r="AA335" s="18">
        <v>0</v>
      </c>
      <c r="AB335" s="18">
        <v>66.666666666666657</v>
      </c>
      <c r="AC335" s="18">
        <v>66.666666666666657</v>
      </c>
      <c r="AD335" s="11">
        <v>66.666666666666657</v>
      </c>
      <c r="AE335" s="11">
        <v>92.307692307692307</v>
      </c>
      <c r="AF335" s="11">
        <v>92.307692307692307</v>
      </c>
      <c r="AG335" s="11">
        <v>92.307692307692307</v>
      </c>
      <c r="AH335" s="11">
        <f t="shared" si="98"/>
        <v>66.666666666666657</v>
      </c>
      <c r="AI335" s="26">
        <f t="shared" si="99"/>
        <v>92.307692307692307</v>
      </c>
      <c r="AJ335" s="2">
        <f t="shared" si="100"/>
        <v>2</v>
      </c>
      <c r="AK335" s="2">
        <f t="shared" si="101"/>
        <v>12</v>
      </c>
      <c r="AL335" s="2">
        <f t="shared" si="102"/>
        <v>1</v>
      </c>
      <c r="AM335" s="2">
        <f t="shared" si="103"/>
        <v>1</v>
      </c>
    </row>
    <row r="336" spans="1:39" x14ac:dyDescent="0.3">
      <c r="A336" s="1" t="s">
        <v>463</v>
      </c>
      <c r="B336" s="1" t="s">
        <v>469</v>
      </c>
      <c r="C336" s="1" t="s">
        <v>471</v>
      </c>
      <c r="D336" s="1" t="s">
        <v>471</v>
      </c>
      <c r="E336" s="2">
        <v>90203</v>
      </c>
      <c r="F336" s="18">
        <v>8</v>
      </c>
      <c r="G336" s="18">
        <v>11</v>
      </c>
      <c r="H336" s="18">
        <v>17</v>
      </c>
      <c r="I336" s="18">
        <v>23</v>
      </c>
      <c r="J336" s="18">
        <v>65</v>
      </c>
      <c r="K336" s="18">
        <v>65</v>
      </c>
      <c r="L336" s="11">
        <v>71</v>
      </c>
      <c r="M336" s="2">
        <f t="shared" si="91"/>
        <v>7</v>
      </c>
      <c r="N336" s="2">
        <f t="shared" si="92"/>
        <v>7</v>
      </c>
      <c r="O336" s="2">
        <f t="shared" si="93"/>
        <v>11</v>
      </c>
      <c r="P336" s="2">
        <f t="shared" si="94"/>
        <v>13</v>
      </c>
      <c r="Q336" s="2">
        <f t="shared" si="95"/>
        <v>15</v>
      </c>
      <c r="R336" s="2">
        <f t="shared" si="96"/>
        <v>16</v>
      </c>
      <c r="S336" s="2">
        <f t="shared" si="97"/>
        <v>15</v>
      </c>
      <c r="T336" s="11">
        <v>15</v>
      </c>
      <c r="U336" s="11">
        <v>18</v>
      </c>
      <c r="V336" s="11">
        <v>28</v>
      </c>
      <c r="W336" s="18">
        <v>36</v>
      </c>
      <c r="X336" s="18">
        <v>80</v>
      </c>
      <c r="Y336" s="23">
        <v>81</v>
      </c>
      <c r="Z336" s="18">
        <v>86</v>
      </c>
      <c r="AA336" s="18">
        <v>53.333333333333336</v>
      </c>
      <c r="AB336" s="18">
        <v>61.111111111111114</v>
      </c>
      <c r="AC336" s="18">
        <v>60.714285714285708</v>
      </c>
      <c r="AD336" s="11">
        <v>63.888888888888886</v>
      </c>
      <c r="AE336" s="11">
        <v>81.25</v>
      </c>
      <c r="AF336" s="11">
        <v>80.246913580246911</v>
      </c>
      <c r="AG336" s="11">
        <v>82.558139534883722</v>
      </c>
      <c r="AH336" s="11">
        <f t="shared" si="98"/>
        <v>61.904761904761905</v>
      </c>
      <c r="AI336" s="26">
        <f t="shared" si="99"/>
        <v>81.35168437171022</v>
      </c>
      <c r="AJ336" s="2">
        <f t="shared" si="100"/>
        <v>17</v>
      </c>
      <c r="AK336" s="2">
        <f t="shared" si="101"/>
        <v>67</v>
      </c>
      <c r="AL336" s="2">
        <f t="shared" si="102"/>
        <v>10.333333333333334</v>
      </c>
      <c r="AM336" s="2">
        <f t="shared" si="103"/>
        <v>15.333333333333334</v>
      </c>
    </row>
    <row r="337" spans="1:39" x14ac:dyDescent="0.3">
      <c r="A337" s="1" t="s">
        <v>463</v>
      </c>
      <c r="B337" s="1" t="s">
        <v>472</v>
      </c>
      <c r="C337" s="1" t="s">
        <v>473</v>
      </c>
      <c r="D337" s="1" t="s">
        <v>473</v>
      </c>
      <c r="E337" s="2">
        <v>90301</v>
      </c>
      <c r="F337" s="18">
        <v>1</v>
      </c>
      <c r="G337" s="18">
        <v>1</v>
      </c>
      <c r="H337" s="18">
        <v>4</v>
      </c>
      <c r="I337" s="18">
        <v>4</v>
      </c>
      <c r="J337" s="18">
        <v>40</v>
      </c>
      <c r="K337" s="18">
        <v>42</v>
      </c>
      <c r="L337" s="11">
        <v>47</v>
      </c>
      <c r="M337" s="2">
        <f t="shared" si="91"/>
        <v>39</v>
      </c>
      <c r="N337" s="2">
        <f t="shared" si="92"/>
        <v>38</v>
      </c>
      <c r="O337" s="2">
        <f t="shared" si="93"/>
        <v>46</v>
      </c>
      <c r="P337" s="2">
        <f t="shared" si="94"/>
        <v>51</v>
      </c>
      <c r="Q337" s="2">
        <f t="shared" si="95"/>
        <v>24</v>
      </c>
      <c r="R337" s="2">
        <f t="shared" si="96"/>
        <v>22</v>
      </c>
      <c r="S337" s="2">
        <f t="shared" si="97"/>
        <v>18</v>
      </c>
      <c r="T337" s="11">
        <v>40</v>
      </c>
      <c r="U337" s="11">
        <v>39</v>
      </c>
      <c r="V337" s="11">
        <v>50</v>
      </c>
      <c r="W337" s="18">
        <v>55</v>
      </c>
      <c r="X337" s="18">
        <v>64</v>
      </c>
      <c r="Y337" s="23">
        <v>64</v>
      </c>
      <c r="Z337" s="18">
        <v>65</v>
      </c>
      <c r="AA337" s="18">
        <v>2.5</v>
      </c>
      <c r="AB337" s="18">
        <v>2.5641025641025639</v>
      </c>
      <c r="AC337" s="18">
        <v>8</v>
      </c>
      <c r="AD337" s="11">
        <v>7.2727272727272725</v>
      </c>
      <c r="AE337" s="11">
        <v>62.5</v>
      </c>
      <c r="AF337" s="11">
        <v>65.625</v>
      </c>
      <c r="AG337" s="11">
        <v>72.307692307692307</v>
      </c>
      <c r="AH337" s="11">
        <f t="shared" si="98"/>
        <v>5.9456099456099452</v>
      </c>
      <c r="AI337" s="26">
        <f t="shared" si="99"/>
        <v>66.810897435897445</v>
      </c>
      <c r="AJ337" s="2">
        <f t="shared" si="100"/>
        <v>3</v>
      </c>
      <c r="AK337" s="2">
        <f t="shared" si="101"/>
        <v>43</v>
      </c>
      <c r="AL337" s="2">
        <f t="shared" si="102"/>
        <v>45</v>
      </c>
      <c r="AM337" s="2">
        <f t="shared" si="103"/>
        <v>21.333333333333332</v>
      </c>
    </row>
    <row r="338" spans="1:39" x14ac:dyDescent="0.3">
      <c r="A338" s="1" t="s">
        <v>463</v>
      </c>
      <c r="B338" s="1" t="s">
        <v>472</v>
      </c>
      <c r="C338" s="1" t="s">
        <v>359</v>
      </c>
      <c r="D338" s="1" t="s">
        <v>359</v>
      </c>
      <c r="E338" s="2">
        <v>90302</v>
      </c>
      <c r="F338" s="18">
        <v>5</v>
      </c>
      <c r="G338" s="18">
        <v>6</v>
      </c>
      <c r="H338" s="18">
        <v>4</v>
      </c>
      <c r="I338" s="18">
        <v>4</v>
      </c>
      <c r="J338" s="18">
        <v>49</v>
      </c>
      <c r="K338" s="18">
        <v>52</v>
      </c>
      <c r="L338" s="11">
        <v>51</v>
      </c>
      <c r="M338" s="2">
        <f t="shared" si="91"/>
        <v>8</v>
      </c>
      <c r="N338" s="2">
        <f t="shared" si="92"/>
        <v>10</v>
      </c>
      <c r="O338" s="2">
        <f t="shared" si="93"/>
        <v>18</v>
      </c>
      <c r="P338" s="2">
        <f t="shared" si="94"/>
        <v>21</v>
      </c>
      <c r="Q338" s="2">
        <f t="shared" si="95"/>
        <v>14</v>
      </c>
      <c r="R338" s="2">
        <f t="shared" si="96"/>
        <v>15</v>
      </c>
      <c r="S338" s="2">
        <f t="shared" si="97"/>
        <v>18</v>
      </c>
      <c r="T338" s="11">
        <v>13</v>
      </c>
      <c r="U338" s="11">
        <v>16</v>
      </c>
      <c r="V338" s="11">
        <v>22</v>
      </c>
      <c r="W338" s="18">
        <v>25</v>
      </c>
      <c r="X338" s="18">
        <v>63</v>
      </c>
      <c r="Y338" s="23">
        <v>67</v>
      </c>
      <c r="Z338" s="18">
        <v>69</v>
      </c>
      <c r="AA338" s="18">
        <v>38.461538461538467</v>
      </c>
      <c r="AB338" s="18">
        <v>37.5</v>
      </c>
      <c r="AC338" s="18">
        <v>18.181818181818183</v>
      </c>
      <c r="AD338" s="11">
        <v>16</v>
      </c>
      <c r="AE338" s="11">
        <v>77.777777777777786</v>
      </c>
      <c r="AF338" s="11">
        <v>77.611940298507463</v>
      </c>
      <c r="AG338" s="11">
        <v>73.91304347826086</v>
      </c>
      <c r="AH338" s="11">
        <f t="shared" si="98"/>
        <v>23.893939393939394</v>
      </c>
      <c r="AI338" s="26">
        <f t="shared" si="99"/>
        <v>76.434253851515379</v>
      </c>
      <c r="AJ338" s="2">
        <f t="shared" si="100"/>
        <v>4.666666666666667</v>
      </c>
      <c r="AK338" s="2">
        <f t="shared" si="101"/>
        <v>50.666666666666664</v>
      </c>
      <c r="AL338" s="2">
        <f t="shared" si="102"/>
        <v>16.333333333333332</v>
      </c>
      <c r="AM338" s="2">
        <f t="shared" si="103"/>
        <v>15.666666666666666</v>
      </c>
    </row>
    <row r="339" spans="1:39" x14ac:dyDescent="0.3">
      <c r="A339" s="1" t="s">
        <v>463</v>
      </c>
      <c r="B339" s="1" t="s">
        <v>472</v>
      </c>
      <c r="C339" s="1" t="s">
        <v>474</v>
      </c>
      <c r="D339" s="1" t="s">
        <v>474</v>
      </c>
      <c r="E339" s="2">
        <v>90303</v>
      </c>
      <c r="F339" s="18">
        <v>1</v>
      </c>
      <c r="G339" s="18">
        <v>1</v>
      </c>
      <c r="H339" s="18">
        <v>3</v>
      </c>
      <c r="I339" s="18">
        <v>5</v>
      </c>
      <c r="J339" s="18">
        <v>46</v>
      </c>
      <c r="K339" s="18">
        <v>58</v>
      </c>
      <c r="L339" s="11">
        <v>66</v>
      </c>
      <c r="M339" s="2">
        <f t="shared" si="91"/>
        <v>6</v>
      </c>
      <c r="N339" s="2">
        <f t="shared" si="92"/>
        <v>6</v>
      </c>
      <c r="O339" s="2">
        <f t="shared" si="93"/>
        <v>6</v>
      </c>
      <c r="P339" s="2">
        <f t="shared" si="94"/>
        <v>5</v>
      </c>
      <c r="Q339" s="2">
        <f t="shared" si="95"/>
        <v>4</v>
      </c>
      <c r="R339" s="2">
        <f t="shared" si="96"/>
        <v>3</v>
      </c>
      <c r="S339" s="2">
        <f t="shared" si="97"/>
        <v>5</v>
      </c>
      <c r="T339" s="11">
        <v>7</v>
      </c>
      <c r="U339" s="11">
        <v>7</v>
      </c>
      <c r="V339" s="11">
        <v>9</v>
      </c>
      <c r="W339" s="18">
        <v>10</v>
      </c>
      <c r="X339" s="18">
        <v>50</v>
      </c>
      <c r="Y339" s="23">
        <v>61</v>
      </c>
      <c r="Z339" s="18">
        <v>71</v>
      </c>
      <c r="AA339" s="18">
        <v>14.285714285714285</v>
      </c>
      <c r="AB339" s="18">
        <v>14.285714285714285</v>
      </c>
      <c r="AC339" s="18">
        <v>33.333333333333329</v>
      </c>
      <c r="AD339" s="11">
        <v>50</v>
      </c>
      <c r="AE339" s="11">
        <v>92</v>
      </c>
      <c r="AF339" s="11">
        <v>95.081967213114751</v>
      </c>
      <c r="AG339" s="11">
        <v>92.957746478873233</v>
      </c>
      <c r="AH339" s="11">
        <f t="shared" si="98"/>
        <v>32.539682539682538</v>
      </c>
      <c r="AI339" s="26">
        <f t="shared" si="99"/>
        <v>93.346571230662661</v>
      </c>
      <c r="AJ339" s="2">
        <f t="shared" si="100"/>
        <v>3</v>
      </c>
      <c r="AK339" s="2">
        <f t="shared" si="101"/>
        <v>56.666666666666664</v>
      </c>
      <c r="AL339" s="2">
        <f t="shared" si="102"/>
        <v>5.666666666666667</v>
      </c>
      <c r="AM339" s="2">
        <f t="shared" si="103"/>
        <v>4</v>
      </c>
    </row>
    <row r="340" spans="1:39" x14ac:dyDescent="0.3">
      <c r="A340" s="1" t="s">
        <v>463</v>
      </c>
      <c r="B340" s="1" t="s">
        <v>475</v>
      </c>
      <c r="C340" s="1" t="s">
        <v>392</v>
      </c>
      <c r="D340" s="1" t="s">
        <v>392</v>
      </c>
      <c r="E340" s="2">
        <v>90401</v>
      </c>
      <c r="F340" s="18">
        <v>0</v>
      </c>
      <c r="G340" s="18">
        <v>0</v>
      </c>
      <c r="H340" s="18">
        <v>5</v>
      </c>
      <c r="I340" s="18">
        <v>6</v>
      </c>
      <c r="J340" s="18">
        <v>28</v>
      </c>
      <c r="K340" s="18">
        <v>30</v>
      </c>
      <c r="L340" s="11">
        <v>31</v>
      </c>
      <c r="M340" s="2">
        <f t="shared" si="91"/>
        <v>3</v>
      </c>
      <c r="N340" s="2">
        <f t="shared" si="92"/>
        <v>3</v>
      </c>
      <c r="O340" s="2">
        <f t="shared" si="93"/>
        <v>4</v>
      </c>
      <c r="P340" s="2">
        <f t="shared" si="94"/>
        <v>8</v>
      </c>
      <c r="Q340" s="2">
        <f t="shared" si="95"/>
        <v>6</v>
      </c>
      <c r="R340" s="2">
        <f t="shared" si="96"/>
        <v>6</v>
      </c>
      <c r="S340" s="2">
        <f t="shared" si="97"/>
        <v>6</v>
      </c>
      <c r="T340" s="11">
        <v>3</v>
      </c>
      <c r="U340" s="11">
        <v>3</v>
      </c>
      <c r="V340" s="11">
        <v>9</v>
      </c>
      <c r="W340" s="18">
        <v>14</v>
      </c>
      <c r="X340" s="18">
        <v>34</v>
      </c>
      <c r="Y340" s="23">
        <v>36</v>
      </c>
      <c r="Z340" s="18">
        <v>37</v>
      </c>
      <c r="AA340" s="18">
        <v>0</v>
      </c>
      <c r="AB340" s="18">
        <v>0</v>
      </c>
      <c r="AC340" s="18">
        <v>55.555555555555557</v>
      </c>
      <c r="AD340" s="11">
        <v>42.857142857142854</v>
      </c>
      <c r="AE340" s="11">
        <v>82.35294117647058</v>
      </c>
      <c r="AF340" s="11">
        <v>83.333333333333343</v>
      </c>
      <c r="AG340" s="11">
        <v>83.78378378378379</v>
      </c>
      <c r="AH340" s="11">
        <f t="shared" si="98"/>
        <v>32.804232804232804</v>
      </c>
      <c r="AI340" s="26">
        <f t="shared" si="99"/>
        <v>83.156686097862575</v>
      </c>
      <c r="AJ340" s="2">
        <f t="shared" si="100"/>
        <v>3.6666666666666665</v>
      </c>
      <c r="AK340" s="2">
        <f t="shared" si="101"/>
        <v>29.666666666666668</v>
      </c>
      <c r="AL340" s="2">
        <f t="shared" si="102"/>
        <v>5</v>
      </c>
      <c r="AM340" s="2">
        <f t="shared" si="103"/>
        <v>6</v>
      </c>
    </row>
    <row r="341" spans="1:39" x14ac:dyDescent="0.3">
      <c r="A341" s="1" t="s">
        <v>463</v>
      </c>
      <c r="B341" s="1" t="s">
        <v>475</v>
      </c>
      <c r="C341" s="1" t="s">
        <v>98</v>
      </c>
      <c r="D341" s="1" t="s">
        <v>98</v>
      </c>
      <c r="E341" s="2">
        <v>90402</v>
      </c>
      <c r="F341" s="18">
        <v>1</v>
      </c>
      <c r="G341" s="18">
        <v>0</v>
      </c>
      <c r="H341" s="18">
        <v>1</v>
      </c>
      <c r="I341" s="18">
        <v>1</v>
      </c>
      <c r="J341" s="18">
        <v>14</v>
      </c>
      <c r="K341" s="18">
        <v>12</v>
      </c>
      <c r="L341" s="11">
        <v>14</v>
      </c>
      <c r="M341" s="2">
        <f t="shared" si="91"/>
        <v>0</v>
      </c>
      <c r="N341" s="2">
        <f t="shared" si="92"/>
        <v>0</v>
      </c>
      <c r="O341" s="2">
        <f t="shared" si="93"/>
        <v>3</v>
      </c>
      <c r="P341" s="2">
        <f t="shared" si="94"/>
        <v>4</v>
      </c>
      <c r="Q341" s="2">
        <f t="shared" si="95"/>
        <v>1</v>
      </c>
      <c r="R341" s="2">
        <f t="shared" si="96"/>
        <v>2</v>
      </c>
      <c r="S341" s="2">
        <f t="shared" si="97"/>
        <v>1</v>
      </c>
      <c r="T341" s="11">
        <v>1</v>
      </c>
      <c r="U341" s="11">
        <v>0</v>
      </c>
      <c r="V341" s="11">
        <v>4</v>
      </c>
      <c r="W341" s="18">
        <v>5</v>
      </c>
      <c r="X341" s="18">
        <v>15</v>
      </c>
      <c r="Y341" s="23">
        <v>14</v>
      </c>
      <c r="Z341" s="18">
        <v>15</v>
      </c>
      <c r="AA341" s="18">
        <v>100</v>
      </c>
      <c r="AB341" s="18"/>
      <c r="AC341" s="18">
        <v>25</v>
      </c>
      <c r="AD341" s="11">
        <v>20</v>
      </c>
      <c r="AE341" s="11">
        <v>93.333333333333329</v>
      </c>
      <c r="AF341" s="11">
        <v>85.714285714285708</v>
      </c>
      <c r="AG341" s="11">
        <v>93.333333333333329</v>
      </c>
      <c r="AH341" s="11">
        <f t="shared" si="98"/>
        <v>22.5</v>
      </c>
      <c r="AI341" s="26">
        <f t="shared" si="99"/>
        <v>90.793650793650784</v>
      </c>
      <c r="AJ341" s="2">
        <f t="shared" si="100"/>
        <v>0.66666666666666663</v>
      </c>
      <c r="AK341" s="2">
        <f t="shared" si="101"/>
        <v>13.333333333333334</v>
      </c>
      <c r="AL341" s="2">
        <f t="shared" si="102"/>
        <v>2.3333333333333335</v>
      </c>
      <c r="AM341" s="2">
        <f t="shared" si="103"/>
        <v>1.3333333333333333</v>
      </c>
    </row>
    <row r="342" spans="1:39" x14ac:dyDescent="0.3">
      <c r="A342" s="1" t="s">
        <v>463</v>
      </c>
      <c r="B342" s="1" t="s">
        <v>476</v>
      </c>
      <c r="C342" s="1" t="s">
        <v>477</v>
      </c>
      <c r="D342" s="1" t="s">
        <v>477</v>
      </c>
      <c r="E342" s="2">
        <v>90501</v>
      </c>
      <c r="F342" s="18">
        <v>0</v>
      </c>
      <c r="G342" s="18">
        <v>1</v>
      </c>
      <c r="H342" s="18">
        <v>1</v>
      </c>
      <c r="I342" s="18">
        <v>1</v>
      </c>
      <c r="J342" s="18">
        <v>37</v>
      </c>
      <c r="K342" s="18">
        <v>43</v>
      </c>
      <c r="L342" s="11">
        <v>43</v>
      </c>
      <c r="M342" s="2">
        <f t="shared" si="91"/>
        <v>4</v>
      </c>
      <c r="N342" s="2">
        <f t="shared" si="92"/>
        <v>4</v>
      </c>
      <c r="O342" s="2">
        <f t="shared" si="93"/>
        <v>5</v>
      </c>
      <c r="P342" s="2">
        <f t="shared" si="94"/>
        <v>5</v>
      </c>
      <c r="Q342" s="2">
        <f t="shared" si="95"/>
        <v>2</v>
      </c>
      <c r="R342" s="2">
        <f t="shared" si="96"/>
        <v>1</v>
      </c>
      <c r="S342" s="2">
        <f t="shared" si="97"/>
        <v>1</v>
      </c>
      <c r="T342" s="11">
        <v>4</v>
      </c>
      <c r="U342" s="11">
        <v>5</v>
      </c>
      <c r="V342" s="11">
        <v>6</v>
      </c>
      <c r="W342" s="18">
        <v>6</v>
      </c>
      <c r="X342" s="18">
        <v>39</v>
      </c>
      <c r="Y342" s="23">
        <v>44</v>
      </c>
      <c r="Z342" s="18">
        <v>44</v>
      </c>
      <c r="AA342" s="18">
        <v>0</v>
      </c>
      <c r="AB342" s="18">
        <v>20</v>
      </c>
      <c r="AC342" s="18">
        <v>16.666666666666664</v>
      </c>
      <c r="AD342" s="11">
        <v>16.666666666666664</v>
      </c>
      <c r="AE342" s="11">
        <v>94.871794871794862</v>
      </c>
      <c r="AF342" s="11">
        <v>97.727272727272734</v>
      </c>
      <c r="AG342" s="11">
        <v>97.727272727272734</v>
      </c>
      <c r="AH342" s="11">
        <f t="shared" si="98"/>
        <v>17.777777777777775</v>
      </c>
      <c r="AI342" s="26">
        <f t="shared" si="99"/>
        <v>96.775446775446781</v>
      </c>
      <c r="AJ342" s="2">
        <f t="shared" si="100"/>
        <v>1</v>
      </c>
      <c r="AK342" s="2">
        <f t="shared" si="101"/>
        <v>41</v>
      </c>
      <c r="AL342" s="2">
        <f t="shared" si="102"/>
        <v>4.666666666666667</v>
      </c>
      <c r="AM342" s="2">
        <f t="shared" si="103"/>
        <v>1.3333333333333333</v>
      </c>
    </row>
    <row r="343" spans="1:39" x14ac:dyDescent="0.3">
      <c r="A343" s="1" t="s">
        <v>463</v>
      </c>
      <c r="B343" s="1" t="s">
        <v>476</v>
      </c>
      <c r="C343" s="1" t="s">
        <v>478</v>
      </c>
      <c r="D343" s="1" t="s">
        <v>479</v>
      </c>
      <c r="E343" s="2">
        <v>90502</v>
      </c>
      <c r="F343" s="18">
        <v>1</v>
      </c>
      <c r="G343" s="18">
        <v>0</v>
      </c>
      <c r="H343" s="18">
        <v>2</v>
      </c>
      <c r="I343" s="18">
        <v>3</v>
      </c>
      <c r="J343" s="18">
        <v>13</v>
      </c>
      <c r="K343" s="18">
        <v>15</v>
      </c>
      <c r="L343" s="11">
        <v>16</v>
      </c>
      <c r="M343" s="2">
        <f t="shared" si="91"/>
        <v>6</v>
      </c>
      <c r="N343" s="2">
        <f t="shared" si="92"/>
        <v>8</v>
      </c>
      <c r="O343" s="2">
        <f t="shared" si="93"/>
        <v>9</v>
      </c>
      <c r="P343" s="2">
        <f t="shared" si="94"/>
        <v>8</v>
      </c>
      <c r="Q343" s="2">
        <f t="shared" si="95"/>
        <v>1</v>
      </c>
      <c r="R343" s="2">
        <f t="shared" si="96"/>
        <v>1</v>
      </c>
      <c r="S343" s="2">
        <f t="shared" si="97"/>
        <v>1</v>
      </c>
      <c r="T343" s="11">
        <v>7</v>
      </c>
      <c r="U343" s="11">
        <v>8</v>
      </c>
      <c r="V343" s="11">
        <v>11</v>
      </c>
      <c r="W343" s="18">
        <v>11</v>
      </c>
      <c r="X343" s="18">
        <v>14</v>
      </c>
      <c r="Y343" s="23">
        <v>16</v>
      </c>
      <c r="Z343" s="18">
        <v>17</v>
      </c>
      <c r="AA343" s="18">
        <v>14.285714285714285</v>
      </c>
      <c r="AB343" s="18">
        <v>0</v>
      </c>
      <c r="AC343" s="18">
        <v>18.181818181818183</v>
      </c>
      <c r="AD343" s="11">
        <v>27.27272727272727</v>
      </c>
      <c r="AE343" s="11">
        <v>92.857142857142861</v>
      </c>
      <c r="AF343" s="11">
        <v>93.75</v>
      </c>
      <c r="AG343" s="11">
        <v>94.117647058823522</v>
      </c>
      <c r="AH343" s="11">
        <f t="shared" si="98"/>
        <v>15.15151515151515</v>
      </c>
      <c r="AI343" s="26">
        <f t="shared" si="99"/>
        <v>93.574929971988794</v>
      </c>
      <c r="AJ343" s="2">
        <f t="shared" si="100"/>
        <v>1.6666666666666667</v>
      </c>
      <c r="AK343" s="2">
        <f t="shared" si="101"/>
        <v>14.666666666666666</v>
      </c>
      <c r="AL343" s="2">
        <f t="shared" si="102"/>
        <v>8.3333333333333339</v>
      </c>
      <c r="AM343" s="2">
        <f t="shared" si="103"/>
        <v>1</v>
      </c>
    </row>
    <row r="344" spans="1:39" x14ac:dyDescent="0.3">
      <c r="A344" s="1" t="s">
        <v>463</v>
      </c>
      <c r="B344" s="1" t="s">
        <v>476</v>
      </c>
      <c r="C344" s="1" t="s">
        <v>480</v>
      </c>
      <c r="D344" s="1" t="s">
        <v>480</v>
      </c>
      <c r="E344" s="2">
        <v>90503</v>
      </c>
      <c r="F344" s="18">
        <v>0</v>
      </c>
      <c r="G344" s="18">
        <v>0</v>
      </c>
      <c r="H344" s="18">
        <v>1</v>
      </c>
      <c r="I344" s="18">
        <v>1</v>
      </c>
      <c r="J344" s="18">
        <v>18</v>
      </c>
      <c r="K344" s="18">
        <v>16</v>
      </c>
      <c r="L344" s="11">
        <v>16</v>
      </c>
      <c r="M344" s="2">
        <f t="shared" si="91"/>
        <v>2</v>
      </c>
      <c r="N344" s="2">
        <f t="shared" si="92"/>
        <v>4</v>
      </c>
      <c r="O344" s="2">
        <f t="shared" si="93"/>
        <v>4</v>
      </c>
      <c r="P344" s="2">
        <f t="shared" si="94"/>
        <v>4</v>
      </c>
      <c r="Q344" s="2">
        <f t="shared" si="95"/>
        <v>2</v>
      </c>
      <c r="R344" s="2">
        <f t="shared" si="96"/>
        <v>3</v>
      </c>
      <c r="S344" s="2">
        <f t="shared" si="97"/>
        <v>2</v>
      </c>
      <c r="T344" s="11">
        <v>2</v>
      </c>
      <c r="U344" s="11">
        <v>4</v>
      </c>
      <c r="V344" s="11">
        <v>5</v>
      </c>
      <c r="W344" s="18">
        <v>5</v>
      </c>
      <c r="X344" s="18">
        <v>20</v>
      </c>
      <c r="Y344" s="23">
        <v>19</v>
      </c>
      <c r="Z344" s="18">
        <v>18</v>
      </c>
      <c r="AA344" s="18">
        <v>0</v>
      </c>
      <c r="AB344" s="18">
        <v>0</v>
      </c>
      <c r="AC344" s="18">
        <v>20</v>
      </c>
      <c r="AD344" s="11">
        <v>20</v>
      </c>
      <c r="AE344" s="11">
        <v>90</v>
      </c>
      <c r="AF344" s="11">
        <v>84.210526315789465</v>
      </c>
      <c r="AG344" s="11">
        <v>88.888888888888886</v>
      </c>
      <c r="AH344" s="11">
        <f t="shared" si="98"/>
        <v>13.333333333333334</v>
      </c>
      <c r="AI344" s="26">
        <f t="shared" si="99"/>
        <v>87.699805068226127</v>
      </c>
      <c r="AJ344" s="2">
        <f t="shared" si="100"/>
        <v>0.66666666666666663</v>
      </c>
      <c r="AK344" s="2">
        <f t="shared" si="101"/>
        <v>16.666666666666668</v>
      </c>
      <c r="AL344" s="2">
        <f t="shared" si="102"/>
        <v>4</v>
      </c>
      <c r="AM344" s="2">
        <f t="shared" si="103"/>
        <v>2.3333333333333335</v>
      </c>
    </row>
    <row r="347" spans="1:39" x14ac:dyDescent="0.3">
      <c r="V347" s="1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topLeftCell="A319" workbookViewId="0">
      <selection activeCell="H10" sqref="H10"/>
    </sheetView>
  </sheetViews>
  <sheetFormatPr baseColWidth="10" defaultRowHeight="14.4" x14ac:dyDescent="0.3"/>
  <sheetData>
    <row r="1" spans="1:4" x14ac:dyDescent="0.3">
      <c r="A1" s="1" t="s">
        <v>481</v>
      </c>
      <c r="B1" s="1" t="s">
        <v>2</v>
      </c>
      <c r="C1" s="3" t="s">
        <v>520</v>
      </c>
      <c r="D1" s="3" t="s">
        <v>521</v>
      </c>
    </row>
    <row r="2" spans="1:4" x14ac:dyDescent="0.3">
      <c r="A2" s="2">
        <v>10101</v>
      </c>
      <c r="B2" s="1" t="s">
        <v>6</v>
      </c>
      <c r="C2" s="4">
        <v>84.366281733221498</v>
      </c>
      <c r="D2" s="4">
        <v>81.891568963976013</v>
      </c>
    </row>
    <row r="3" spans="1:4" x14ac:dyDescent="0.3">
      <c r="A3" s="2">
        <v>10102</v>
      </c>
      <c r="B3" s="1" t="s">
        <v>7</v>
      </c>
      <c r="C3" s="4">
        <v>86.257470128437873</v>
      </c>
      <c r="D3" s="4">
        <v>80.920829085966702</v>
      </c>
    </row>
    <row r="4" spans="1:4" x14ac:dyDescent="0.3">
      <c r="A4" s="2">
        <v>10103</v>
      </c>
      <c r="B4" s="1" t="s">
        <v>8</v>
      </c>
      <c r="C4" s="4">
        <v>79.200875752599885</v>
      </c>
      <c r="D4" s="4">
        <v>78.839678839678854</v>
      </c>
    </row>
    <row r="5" spans="1:4" x14ac:dyDescent="0.3">
      <c r="A5" s="2">
        <v>10201</v>
      </c>
      <c r="B5" s="1" t="s">
        <v>10</v>
      </c>
      <c r="C5" s="4">
        <v>71.955182218074029</v>
      </c>
      <c r="D5" s="4">
        <v>89.6875</v>
      </c>
    </row>
    <row r="6" spans="1:4" x14ac:dyDescent="0.3">
      <c r="A6" s="2">
        <v>10202</v>
      </c>
      <c r="B6" s="1" t="s">
        <v>11</v>
      </c>
      <c r="C6" s="4">
        <v>74.267040149393083</v>
      </c>
      <c r="D6" s="4">
        <v>85.256410256410263</v>
      </c>
    </row>
    <row r="7" spans="1:4" x14ac:dyDescent="0.3">
      <c r="A7" s="2">
        <v>10301</v>
      </c>
      <c r="B7" s="1" t="s">
        <v>14</v>
      </c>
      <c r="C7" s="4">
        <v>77.192817817817811</v>
      </c>
      <c r="D7" s="4">
        <v>86.605026078710281</v>
      </c>
    </row>
    <row r="8" spans="1:4" x14ac:dyDescent="0.3">
      <c r="A8" s="2">
        <v>10302</v>
      </c>
      <c r="B8" s="1" t="s">
        <v>16</v>
      </c>
      <c r="C8" s="4">
        <v>87.515151515151516</v>
      </c>
      <c r="D8" s="4">
        <v>82.222222222222214</v>
      </c>
    </row>
    <row r="9" spans="1:4" x14ac:dyDescent="0.3">
      <c r="A9" s="2">
        <v>10303</v>
      </c>
      <c r="B9" s="1" t="s">
        <v>17</v>
      </c>
      <c r="C9" s="4">
        <v>83.471226328369184</v>
      </c>
      <c r="D9" s="4">
        <v>76.543209876543202</v>
      </c>
    </row>
    <row r="10" spans="1:4" x14ac:dyDescent="0.3">
      <c r="A10" s="2">
        <v>10304</v>
      </c>
      <c r="B10" s="1" t="s">
        <v>19</v>
      </c>
      <c r="C10" s="4">
        <v>78.944722543105286</v>
      </c>
      <c r="D10" s="4">
        <v>91.013731956885167</v>
      </c>
    </row>
    <row r="11" spans="1:4" x14ac:dyDescent="0.3">
      <c r="A11" s="2">
        <v>10401</v>
      </c>
      <c r="B11" s="1" t="s">
        <v>21</v>
      </c>
      <c r="C11" s="4">
        <v>72.058746393915555</v>
      </c>
      <c r="D11" s="4">
        <v>78.146735433948209</v>
      </c>
    </row>
    <row r="12" spans="1:4" x14ac:dyDescent="0.3">
      <c r="A12" s="2">
        <v>10402</v>
      </c>
      <c r="B12" s="1" t="s">
        <v>20</v>
      </c>
      <c r="C12" s="4">
        <v>79.232804232804241</v>
      </c>
      <c r="D12" s="4">
        <v>73.156462585034021</v>
      </c>
    </row>
    <row r="13" spans="1:4" x14ac:dyDescent="0.3">
      <c r="A13" s="2">
        <v>10403</v>
      </c>
      <c r="B13" s="1" t="s">
        <v>23</v>
      </c>
      <c r="C13" s="4">
        <v>79.146301726946888</v>
      </c>
      <c r="D13" s="4">
        <v>75.054466230936811</v>
      </c>
    </row>
    <row r="14" spans="1:4" x14ac:dyDescent="0.3">
      <c r="A14" s="2">
        <v>10404</v>
      </c>
      <c r="B14" s="1" t="s">
        <v>25</v>
      </c>
      <c r="C14" s="4">
        <v>63.845410628019323</v>
      </c>
      <c r="D14" s="4">
        <v>72.947454844006572</v>
      </c>
    </row>
    <row r="15" spans="1:4" x14ac:dyDescent="0.3">
      <c r="A15" s="2">
        <v>10405</v>
      </c>
      <c r="B15" s="1" t="s">
        <v>27</v>
      </c>
      <c r="C15" s="4">
        <v>72.599067599067595</v>
      </c>
      <c r="D15" s="4">
        <v>80.618686868686865</v>
      </c>
    </row>
    <row r="16" spans="1:4" x14ac:dyDescent="0.3">
      <c r="A16" s="2">
        <v>10501</v>
      </c>
      <c r="B16" s="1" t="s">
        <v>29</v>
      </c>
      <c r="C16" s="4">
        <v>73.136010175252508</v>
      </c>
      <c r="D16" s="4">
        <v>74.010469526200538</v>
      </c>
    </row>
    <row r="17" spans="1:4" x14ac:dyDescent="0.3">
      <c r="A17" s="2">
        <v>10502</v>
      </c>
      <c r="B17" s="1" t="s">
        <v>30</v>
      </c>
      <c r="C17" s="4">
        <v>71.036451471234088</v>
      </c>
      <c r="D17" s="4">
        <v>75.444104018047668</v>
      </c>
    </row>
    <row r="18" spans="1:4" x14ac:dyDescent="0.3">
      <c r="A18" s="2">
        <v>10601</v>
      </c>
      <c r="B18" s="1" t="s">
        <v>32</v>
      </c>
      <c r="C18" s="4">
        <v>78.525540896674912</v>
      </c>
      <c r="D18" s="4">
        <v>82.541663515114848</v>
      </c>
    </row>
    <row r="19" spans="1:4" x14ac:dyDescent="0.3">
      <c r="A19" s="2">
        <v>10602</v>
      </c>
      <c r="B19" s="1" t="s">
        <v>31</v>
      </c>
      <c r="C19" s="4">
        <v>89.421960153667484</v>
      </c>
      <c r="D19" s="4">
        <v>81.124497991967857</v>
      </c>
    </row>
    <row r="20" spans="1:4" x14ac:dyDescent="0.3">
      <c r="A20" s="2">
        <v>10701</v>
      </c>
      <c r="B20" s="1" t="s">
        <v>34</v>
      </c>
      <c r="C20" s="4">
        <v>75.441840376297307</v>
      </c>
      <c r="D20" s="4">
        <v>73.125410714544842</v>
      </c>
    </row>
    <row r="21" spans="1:4" x14ac:dyDescent="0.3">
      <c r="A21" s="2">
        <v>10702</v>
      </c>
      <c r="B21" s="1" t="s">
        <v>35</v>
      </c>
      <c r="C21" s="4">
        <v>58.869299401336015</v>
      </c>
      <c r="D21" s="4">
        <v>71.109261228939133</v>
      </c>
    </row>
    <row r="22" spans="1:4" x14ac:dyDescent="0.3">
      <c r="A22" s="2">
        <v>10703</v>
      </c>
      <c r="B22" s="1" t="s">
        <v>36</v>
      </c>
      <c r="C22" s="4">
        <v>72.666040100250626</v>
      </c>
      <c r="D22" s="4">
        <v>84.489821642402475</v>
      </c>
    </row>
    <row r="23" spans="1:4" x14ac:dyDescent="0.3">
      <c r="A23" s="2">
        <v>10704</v>
      </c>
      <c r="B23" s="1" t="s">
        <v>37</v>
      </c>
      <c r="C23" s="4">
        <v>60</v>
      </c>
      <c r="D23" s="4">
        <v>78.936373915148934</v>
      </c>
    </row>
    <row r="24" spans="1:4" x14ac:dyDescent="0.3">
      <c r="A24" s="2">
        <v>10801</v>
      </c>
      <c r="B24" s="1" t="s">
        <v>39</v>
      </c>
      <c r="C24" s="4">
        <v>67.532917532917537</v>
      </c>
      <c r="D24" s="4">
        <v>70.62844400859251</v>
      </c>
    </row>
    <row r="25" spans="1:4" x14ac:dyDescent="0.3">
      <c r="A25" s="2">
        <v>10901</v>
      </c>
      <c r="B25" s="1" t="s">
        <v>41</v>
      </c>
      <c r="C25" s="4">
        <v>61.673414304993251</v>
      </c>
      <c r="D25" s="4">
        <v>87.111569774108474</v>
      </c>
    </row>
    <row r="26" spans="1:4" x14ac:dyDescent="0.3">
      <c r="A26" s="2">
        <v>10902</v>
      </c>
      <c r="B26" s="1" t="s">
        <v>42</v>
      </c>
      <c r="C26" s="4">
        <v>67.862472272635614</v>
      </c>
      <c r="D26" s="4">
        <v>85.932601880877755</v>
      </c>
    </row>
    <row r="27" spans="1:4" x14ac:dyDescent="0.3">
      <c r="A27" s="2">
        <v>10903</v>
      </c>
      <c r="B27" s="1" t="s">
        <v>43</v>
      </c>
      <c r="C27" s="4">
        <v>75.185185185185176</v>
      </c>
      <c r="D27" s="4">
        <v>80</v>
      </c>
    </row>
    <row r="28" spans="1:4" x14ac:dyDescent="0.3">
      <c r="A28" s="2">
        <v>11001</v>
      </c>
      <c r="B28" s="1" t="s">
        <v>45</v>
      </c>
      <c r="C28" s="4">
        <v>71.349868717179291</v>
      </c>
      <c r="D28" s="4">
        <v>82.170657940403586</v>
      </c>
    </row>
    <row r="29" spans="1:4" x14ac:dyDescent="0.3">
      <c r="A29" s="2">
        <v>11002</v>
      </c>
      <c r="B29" s="1" t="s">
        <v>46</v>
      </c>
      <c r="C29" s="4">
        <v>80.586080586080584</v>
      </c>
      <c r="D29" s="4">
        <v>83.333333333333329</v>
      </c>
    </row>
    <row r="30" spans="1:4" x14ac:dyDescent="0.3">
      <c r="A30" s="2">
        <v>11003</v>
      </c>
      <c r="B30" s="1" t="s">
        <v>48</v>
      </c>
      <c r="C30" s="4">
        <v>66.390168970814116</v>
      </c>
      <c r="D30" s="4">
        <v>82.859709921704521</v>
      </c>
    </row>
    <row r="31" spans="1:4" x14ac:dyDescent="0.3">
      <c r="A31" s="2">
        <v>20101</v>
      </c>
      <c r="B31" s="1" t="s">
        <v>52</v>
      </c>
      <c r="C31" s="4">
        <v>90.338075873230665</v>
      </c>
      <c r="D31" s="4">
        <v>86.550801053731618</v>
      </c>
    </row>
    <row r="32" spans="1:4" x14ac:dyDescent="0.3">
      <c r="A32" s="2">
        <v>20102</v>
      </c>
      <c r="B32" s="1" t="s">
        <v>53</v>
      </c>
      <c r="C32" s="4">
        <v>61.527811917120921</v>
      </c>
      <c r="D32" s="4">
        <v>77.380759466320967</v>
      </c>
    </row>
    <row r="33" spans="1:4" x14ac:dyDescent="0.3">
      <c r="A33" s="2">
        <v>20103</v>
      </c>
      <c r="B33" s="1" t="s">
        <v>54</v>
      </c>
      <c r="C33" s="4">
        <v>69.272346838739892</v>
      </c>
      <c r="D33" s="4">
        <v>76.16238235707263</v>
      </c>
    </row>
    <row r="34" spans="1:4" x14ac:dyDescent="0.3">
      <c r="A34" s="2">
        <v>20104</v>
      </c>
      <c r="B34" s="1" t="s">
        <v>55</v>
      </c>
      <c r="C34" s="4">
        <v>70.452511174462401</v>
      </c>
      <c r="D34" s="4">
        <v>70.235130509199834</v>
      </c>
    </row>
    <row r="35" spans="1:4" x14ac:dyDescent="0.3">
      <c r="A35" s="2">
        <v>20105</v>
      </c>
      <c r="B35" s="1" t="s">
        <v>56</v>
      </c>
      <c r="C35" s="4">
        <v>78.563609713358531</v>
      </c>
      <c r="D35" s="4">
        <v>78.301495864840746</v>
      </c>
    </row>
    <row r="36" spans="1:4" x14ac:dyDescent="0.3">
      <c r="A36" s="2">
        <v>20201</v>
      </c>
      <c r="B36" s="1" t="s">
        <v>58</v>
      </c>
      <c r="C36" s="4">
        <v>74.834419127767248</v>
      </c>
      <c r="D36" s="4">
        <v>86.479014037954997</v>
      </c>
    </row>
    <row r="37" spans="1:4" x14ac:dyDescent="0.3">
      <c r="A37" s="2">
        <v>20202</v>
      </c>
      <c r="B37" s="1" t="s">
        <v>59</v>
      </c>
      <c r="C37" s="4">
        <v>64.208375041708379</v>
      </c>
      <c r="D37" s="4">
        <v>75.376171563341131</v>
      </c>
    </row>
    <row r="38" spans="1:4" x14ac:dyDescent="0.3">
      <c r="A38" s="2">
        <v>20203</v>
      </c>
      <c r="B38" s="1" t="s">
        <v>61</v>
      </c>
      <c r="C38" s="4">
        <v>73.529411764705884</v>
      </c>
      <c r="D38" s="4">
        <v>85.799035965888038</v>
      </c>
    </row>
    <row r="39" spans="1:4" x14ac:dyDescent="0.3">
      <c r="A39" s="2">
        <v>20204</v>
      </c>
      <c r="B39" s="1" t="s">
        <v>62</v>
      </c>
      <c r="C39" s="4">
        <v>76.363636363636374</v>
      </c>
      <c r="D39" s="4">
        <v>83.050847457627128</v>
      </c>
    </row>
    <row r="40" spans="1:4" x14ac:dyDescent="0.3">
      <c r="A40" s="2">
        <v>20205</v>
      </c>
      <c r="B40" s="1" t="s">
        <v>63</v>
      </c>
      <c r="C40" s="4">
        <v>81.216931216931215</v>
      </c>
      <c r="D40" s="4">
        <v>82.584170632822136</v>
      </c>
    </row>
    <row r="41" spans="1:4" x14ac:dyDescent="0.3">
      <c r="A41" s="2">
        <v>20206</v>
      </c>
      <c r="B41" s="1" t="s">
        <v>64</v>
      </c>
      <c r="C41" s="4">
        <v>94.117647058823522</v>
      </c>
      <c r="D41" s="4">
        <v>85.714285714285708</v>
      </c>
    </row>
    <row r="42" spans="1:4" x14ac:dyDescent="0.3">
      <c r="A42" s="2">
        <v>20301</v>
      </c>
      <c r="B42" s="1" t="s">
        <v>66</v>
      </c>
      <c r="C42" s="4">
        <v>64.305120167189145</v>
      </c>
      <c r="D42" s="4">
        <v>66.221727298147769</v>
      </c>
    </row>
    <row r="43" spans="1:4" x14ac:dyDescent="0.3">
      <c r="A43" s="2">
        <v>20302</v>
      </c>
      <c r="B43" s="1" t="s">
        <v>68</v>
      </c>
      <c r="C43" s="4">
        <v>63.921415560759819</v>
      </c>
      <c r="D43" s="4">
        <v>74.206349206349202</v>
      </c>
    </row>
    <row r="44" spans="1:4" x14ac:dyDescent="0.3">
      <c r="A44" s="2">
        <v>20303</v>
      </c>
      <c r="B44" s="1" t="s">
        <v>69</v>
      </c>
      <c r="C44" s="4">
        <v>46.479163769526728</v>
      </c>
      <c r="D44" s="4">
        <v>70.817964149356115</v>
      </c>
    </row>
    <row r="45" spans="1:4" x14ac:dyDescent="0.3">
      <c r="A45" s="2">
        <v>20304</v>
      </c>
      <c r="B45" s="1" t="s">
        <v>70</v>
      </c>
      <c r="C45" s="4">
        <v>62.258687258687253</v>
      </c>
      <c r="D45" s="4">
        <v>73.214245590383101</v>
      </c>
    </row>
    <row r="46" spans="1:4" x14ac:dyDescent="0.3">
      <c r="A46" s="2">
        <v>20305</v>
      </c>
      <c r="B46" s="1" t="s">
        <v>71</v>
      </c>
      <c r="C46" s="4">
        <v>80.490196078431367</v>
      </c>
      <c r="D46" s="4">
        <v>83.523266856600188</v>
      </c>
    </row>
    <row r="47" spans="1:4" x14ac:dyDescent="0.3">
      <c r="A47" s="2">
        <v>20306</v>
      </c>
      <c r="B47" s="1" t="s">
        <v>72</v>
      </c>
      <c r="C47" s="4">
        <v>76.388888888888886</v>
      </c>
      <c r="D47" s="4">
        <v>75.054466230936825</v>
      </c>
    </row>
    <row r="48" spans="1:4" x14ac:dyDescent="0.3">
      <c r="A48" s="2">
        <v>20307</v>
      </c>
      <c r="B48" s="1" t="s">
        <v>73</v>
      </c>
      <c r="C48" s="4">
        <v>66.666666666666671</v>
      </c>
      <c r="D48" s="4">
        <v>44.444444444444436</v>
      </c>
    </row>
    <row r="49" spans="1:4" x14ac:dyDescent="0.3">
      <c r="A49" s="2">
        <v>20308</v>
      </c>
      <c r="B49" s="1" t="s">
        <v>74</v>
      </c>
      <c r="C49" s="4">
        <v>51.042776878643139</v>
      </c>
      <c r="D49" s="4">
        <v>71.264367816091962</v>
      </c>
    </row>
    <row r="50" spans="1:4" x14ac:dyDescent="0.3">
      <c r="A50" s="2">
        <v>20401</v>
      </c>
      <c r="B50" s="1" t="s">
        <v>76</v>
      </c>
      <c r="C50" s="4">
        <v>63.845874640772358</v>
      </c>
      <c r="D50" s="4">
        <v>78.786377708978321</v>
      </c>
    </row>
    <row r="51" spans="1:4" x14ac:dyDescent="0.3">
      <c r="A51" s="2">
        <v>20402</v>
      </c>
      <c r="B51" s="1" t="s">
        <v>77</v>
      </c>
      <c r="C51" s="4">
        <v>55.85435341532903</v>
      </c>
      <c r="D51" s="4">
        <v>78.711212649076899</v>
      </c>
    </row>
    <row r="52" spans="1:4" x14ac:dyDescent="0.3">
      <c r="A52" s="2">
        <v>20403</v>
      </c>
      <c r="B52" s="1" t="s">
        <v>78</v>
      </c>
      <c r="C52" s="4">
        <v>49.982363315696652</v>
      </c>
      <c r="D52" s="4">
        <v>72.64692378328742</v>
      </c>
    </row>
    <row r="53" spans="1:4" x14ac:dyDescent="0.3">
      <c r="A53" s="2">
        <v>20404</v>
      </c>
      <c r="B53" s="1" t="s">
        <v>80</v>
      </c>
      <c r="C53" s="4">
        <v>60.606060606060609</v>
      </c>
      <c r="D53" s="4">
        <v>86.287683031869093</v>
      </c>
    </row>
    <row r="54" spans="1:4" x14ac:dyDescent="0.3">
      <c r="A54" s="2">
        <v>20405</v>
      </c>
      <c r="B54" s="1" t="s">
        <v>81</v>
      </c>
      <c r="C54" s="4">
        <v>68.518518518518519</v>
      </c>
      <c r="D54" s="4">
        <v>74.125584200211065</v>
      </c>
    </row>
    <row r="55" spans="1:4" x14ac:dyDescent="0.3">
      <c r="A55" s="2">
        <v>20501</v>
      </c>
      <c r="B55" s="1" t="s">
        <v>83</v>
      </c>
      <c r="C55" s="4">
        <v>69.060846560846571</v>
      </c>
      <c r="D55" s="4">
        <v>80.303030303030312</v>
      </c>
    </row>
    <row r="56" spans="1:4" x14ac:dyDescent="0.3">
      <c r="A56" s="2">
        <v>20502</v>
      </c>
      <c r="B56" s="1" t="s">
        <v>84</v>
      </c>
      <c r="C56" s="4">
        <v>73.166891587944221</v>
      </c>
      <c r="D56" s="4">
        <v>80.955886219044118</v>
      </c>
    </row>
    <row r="57" spans="1:4" x14ac:dyDescent="0.3">
      <c r="A57" s="2">
        <v>20503</v>
      </c>
      <c r="B57" s="1" t="s">
        <v>85</v>
      </c>
      <c r="C57" s="4">
        <v>35.115864527629235</v>
      </c>
      <c r="D57" s="4">
        <v>84.248956261534872</v>
      </c>
    </row>
    <row r="58" spans="1:4" x14ac:dyDescent="0.3">
      <c r="A58" s="2">
        <v>20601</v>
      </c>
      <c r="B58" s="1" t="s">
        <v>87</v>
      </c>
      <c r="C58" s="4">
        <v>57.965084654343322</v>
      </c>
      <c r="D58" s="4">
        <v>73.463911656829637</v>
      </c>
    </row>
    <row r="59" spans="1:4" x14ac:dyDescent="0.3">
      <c r="A59" s="2">
        <v>20602</v>
      </c>
      <c r="B59" s="1" t="s">
        <v>88</v>
      </c>
      <c r="C59" s="4">
        <v>61.327411327411319</v>
      </c>
      <c r="D59" s="4">
        <v>80.982647072312986</v>
      </c>
    </row>
    <row r="60" spans="1:4" x14ac:dyDescent="0.3">
      <c r="A60" s="2">
        <v>20603</v>
      </c>
      <c r="B60" s="1" t="s">
        <v>89</v>
      </c>
      <c r="C60" s="4">
        <v>52.68336314847943</v>
      </c>
      <c r="D60" s="4">
        <v>69.393939393939391</v>
      </c>
    </row>
    <row r="61" spans="1:4" x14ac:dyDescent="0.3">
      <c r="A61" s="2">
        <v>20604</v>
      </c>
      <c r="B61" s="1" t="s">
        <v>90</v>
      </c>
      <c r="C61" s="4">
        <v>63.888888888888886</v>
      </c>
      <c r="D61" s="4">
        <v>81.111111111111114</v>
      </c>
    </row>
    <row r="62" spans="1:4" x14ac:dyDescent="0.3">
      <c r="A62" s="2">
        <v>20605</v>
      </c>
      <c r="B62" s="1" t="s">
        <v>91</v>
      </c>
      <c r="C62" s="4">
        <v>59.854096520763186</v>
      </c>
      <c r="D62" s="4">
        <v>79.770114942528735</v>
      </c>
    </row>
    <row r="63" spans="1:4" x14ac:dyDescent="0.3">
      <c r="A63" s="2">
        <v>20606</v>
      </c>
      <c r="B63" s="1" t="s">
        <v>92</v>
      </c>
      <c r="C63" s="4">
        <v>83.299390667811721</v>
      </c>
      <c r="D63" s="4">
        <v>91.22040072859744</v>
      </c>
    </row>
    <row r="64" spans="1:4" x14ac:dyDescent="0.3">
      <c r="A64" s="2">
        <v>20607</v>
      </c>
      <c r="B64" s="1" t="s">
        <v>93</v>
      </c>
      <c r="C64" s="4">
        <v>72.33432085465482</v>
      </c>
      <c r="D64" s="4">
        <v>86.158039779535102</v>
      </c>
    </row>
    <row r="65" spans="1:4" x14ac:dyDescent="0.3">
      <c r="A65" s="2">
        <v>20608</v>
      </c>
      <c r="B65" s="1" t="s">
        <v>94</v>
      </c>
      <c r="C65" s="4">
        <v>49.389527458492978</v>
      </c>
      <c r="D65" s="4">
        <v>80.421810140120002</v>
      </c>
    </row>
    <row r="66" spans="1:4" x14ac:dyDescent="0.3">
      <c r="A66" s="2">
        <v>20701</v>
      </c>
      <c r="B66" s="1" t="s">
        <v>96</v>
      </c>
      <c r="C66" s="4">
        <v>50.520454504333344</v>
      </c>
      <c r="D66" s="4">
        <v>81.885369532428356</v>
      </c>
    </row>
    <row r="67" spans="1:4" x14ac:dyDescent="0.3">
      <c r="A67" s="2">
        <v>20702</v>
      </c>
      <c r="B67" s="1" t="s">
        <v>97</v>
      </c>
      <c r="C67" s="4">
        <v>52.746806039488966</v>
      </c>
      <c r="D67" s="4">
        <v>76.169188669188671</v>
      </c>
    </row>
    <row r="68" spans="1:4" x14ac:dyDescent="0.3">
      <c r="A68" s="2">
        <v>20801</v>
      </c>
      <c r="B68" s="1" t="s">
        <v>99</v>
      </c>
      <c r="C68" s="4">
        <v>73.146237596471281</v>
      </c>
      <c r="D68" s="4">
        <v>76.45262727033105</v>
      </c>
    </row>
    <row r="69" spans="1:4" x14ac:dyDescent="0.3">
      <c r="A69" s="2">
        <v>20802</v>
      </c>
      <c r="B69" s="1" t="s">
        <v>100</v>
      </c>
      <c r="C69" s="4">
        <v>78.002582213108539</v>
      </c>
      <c r="D69" s="4">
        <v>73.449131513647657</v>
      </c>
    </row>
    <row r="70" spans="1:4" x14ac:dyDescent="0.3">
      <c r="A70" s="2">
        <v>20803</v>
      </c>
      <c r="B70" s="1" t="s">
        <v>102</v>
      </c>
      <c r="C70" s="4">
        <v>66.877840149692602</v>
      </c>
      <c r="D70" s="4">
        <v>70.617319787131109</v>
      </c>
    </row>
    <row r="71" spans="1:4" x14ac:dyDescent="0.3">
      <c r="A71" s="2">
        <v>20804</v>
      </c>
      <c r="B71" s="1" t="s">
        <v>103</v>
      </c>
      <c r="C71" s="4">
        <v>66.148904006046862</v>
      </c>
      <c r="D71" s="4">
        <v>78.232618583495778</v>
      </c>
    </row>
    <row r="72" spans="1:4" x14ac:dyDescent="0.3">
      <c r="A72" s="2">
        <v>20805</v>
      </c>
      <c r="B72" s="1" t="s">
        <v>104</v>
      </c>
      <c r="C72" s="4">
        <v>44.45976002341235</v>
      </c>
      <c r="D72" s="4">
        <v>75.799086757990878</v>
      </c>
    </row>
    <row r="73" spans="1:4" x14ac:dyDescent="0.3">
      <c r="A73" s="2">
        <v>20806</v>
      </c>
      <c r="B73" s="1" t="s">
        <v>106</v>
      </c>
      <c r="C73" s="4">
        <v>70.100529100529101</v>
      </c>
      <c r="D73" s="4">
        <v>79.037605442895952</v>
      </c>
    </row>
    <row r="74" spans="1:4" x14ac:dyDescent="0.3">
      <c r="A74" s="2">
        <v>20807</v>
      </c>
      <c r="B74" s="1" t="s">
        <v>108</v>
      </c>
      <c r="C74" s="4">
        <v>62.667323193638985</v>
      </c>
      <c r="D74" s="4">
        <v>72.222222222222214</v>
      </c>
    </row>
    <row r="75" spans="1:4" x14ac:dyDescent="0.3">
      <c r="A75" s="2">
        <v>20901</v>
      </c>
      <c r="B75" s="1" t="s">
        <v>110</v>
      </c>
      <c r="C75" s="4">
        <v>77.5599128540305</v>
      </c>
      <c r="D75" s="4">
        <v>74.391466208476515</v>
      </c>
    </row>
    <row r="76" spans="1:4" x14ac:dyDescent="0.3">
      <c r="A76" s="2">
        <v>20902</v>
      </c>
      <c r="B76" s="1" t="s">
        <v>111</v>
      </c>
      <c r="C76" s="4">
        <v>60.825923867741039</v>
      </c>
      <c r="D76" s="4">
        <v>80.993069092484305</v>
      </c>
    </row>
    <row r="77" spans="1:4" x14ac:dyDescent="0.3">
      <c r="A77" s="2">
        <v>20903</v>
      </c>
      <c r="B77" s="1" t="s">
        <v>112</v>
      </c>
      <c r="C77" s="4">
        <v>47.032679738562088</v>
      </c>
      <c r="D77" s="4">
        <v>72.280980081085843</v>
      </c>
    </row>
    <row r="78" spans="1:4" x14ac:dyDescent="0.3">
      <c r="A78" s="2">
        <v>20904</v>
      </c>
      <c r="B78" s="1" t="s">
        <v>113</v>
      </c>
      <c r="C78" s="4">
        <v>64.444444444444443</v>
      </c>
      <c r="D78" s="4">
        <v>83.333333333333329</v>
      </c>
    </row>
    <row r="79" spans="1:4" x14ac:dyDescent="0.3">
      <c r="A79" s="2">
        <v>20905</v>
      </c>
      <c r="B79" s="1" t="s">
        <v>114</v>
      </c>
      <c r="C79" s="4">
        <v>54.204413472706158</v>
      </c>
      <c r="D79" s="4">
        <v>77.6753134957344</v>
      </c>
    </row>
    <row r="80" spans="1:4" x14ac:dyDescent="0.3">
      <c r="A80" s="2">
        <v>21001</v>
      </c>
      <c r="B80" s="1" t="s">
        <v>115</v>
      </c>
      <c r="C80" s="4">
        <v>58.46924439557754</v>
      </c>
      <c r="D80" s="4">
        <v>74.318330826487724</v>
      </c>
    </row>
    <row r="81" spans="1:4" x14ac:dyDescent="0.3">
      <c r="A81" s="2">
        <v>21002</v>
      </c>
      <c r="B81" s="1" t="s">
        <v>116</v>
      </c>
      <c r="C81" s="4">
        <v>55.973364669016838</v>
      </c>
      <c r="D81" s="4">
        <v>86.856024461066497</v>
      </c>
    </row>
    <row r="82" spans="1:4" x14ac:dyDescent="0.3">
      <c r="A82" s="2">
        <v>21003</v>
      </c>
      <c r="B82" s="1" t="s">
        <v>117</v>
      </c>
      <c r="C82" s="4">
        <v>62.586704936431715</v>
      </c>
      <c r="D82" s="4">
        <v>79.299256899592947</v>
      </c>
    </row>
    <row r="83" spans="1:4" x14ac:dyDescent="0.3">
      <c r="A83" s="2">
        <v>21004</v>
      </c>
      <c r="B83" s="1" t="s">
        <v>118</v>
      </c>
      <c r="C83" s="4">
        <v>44.976536463603871</v>
      </c>
      <c r="D83" s="4">
        <v>64.216422088470082</v>
      </c>
    </row>
    <row r="84" spans="1:4" x14ac:dyDescent="0.3">
      <c r="A84" s="2">
        <v>21005</v>
      </c>
      <c r="B84" s="1" t="s">
        <v>119</v>
      </c>
      <c r="C84" s="4">
        <v>66.865857217168454</v>
      </c>
      <c r="D84" s="4">
        <v>76.134813948957728</v>
      </c>
    </row>
    <row r="85" spans="1:4" x14ac:dyDescent="0.3">
      <c r="A85" s="2">
        <v>21006</v>
      </c>
      <c r="B85" s="1" t="s">
        <v>120</v>
      </c>
      <c r="C85" s="4">
        <v>77.056277056277054</v>
      </c>
      <c r="D85" s="4">
        <v>71.474358974358978</v>
      </c>
    </row>
    <row r="86" spans="1:4" x14ac:dyDescent="0.3">
      <c r="A86" s="2">
        <v>21101</v>
      </c>
      <c r="B86" s="1" t="s">
        <v>122</v>
      </c>
      <c r="C86" s="4">
        <v>76.7214158390629</v>
      </c>
      <c r="D86" s="4">
        <v>81.102755196995972</v>
      </c>
    </row>
    <row r="87" spans="1:4" x14ac:dyDescent="0.3">
      <c r="A87" s="2">
        <v>21102</v>
      </c>
      <c r="B87" s="1" t="s">
        <v>124</v>
      </c>
      <c r="C87" s="4">
        <v>55.033281115892713</v>
      </c>
      <c r="D87" s="4">
        <v>73.706866561788033</v>
      </c>
    </row>
    <row r="88" spans="1:4" x14ac:dyDescent="0.3">
      <c r="A88" s="2">
        <v>21103</v>
      </c>
      <c r="B88" s="1" t="s">
        <v>126</v>
      </c>
      <c r="C88" s="4">
        <v>71.19675456389453</v>
      </c>
      <c r="D88" s="4">
        <v>83.550730930670142</v>
      </c>
    </row>
    <row r="89" spans="1:4" x14ac:dyDescent="0.3">
      <c r="A89" s="2">
        <v>21104</v>
      </c>
      <c r="B89" s="1" t="s">
        <v>127</v>
      </c>
      <c r="C89" s="4">
        <v>51.131058265542158</v>
      </c>
      <c r="D89" s="4">
        <v>75.014867421782313</v>
      </c>
    </row>
    <row r="90" spans="1:4" x14ac:dyDescent="0.3">
      <c r="A90" s="2">
        <v>21105</v>
      </c>
      <c r="B90" s="1" t="s">
        <v>128</v>
      </c>
      <c r="C90" s="4">
        <v>59.333999333999337</v>
      </c>
      <c r="D90" s="4">
        <v>80.747753478178637</v>
      </c>
    </row>
    <row r="91" spans="1:4" x14ac:dyDescent="0.3">
      <c r="A91" s="2">
        <v>21201</v>
      </c>
      <c r="B91" s="1" t="s">
        <v>130</v>
      </c>
      <c r="C91" s="4">
        <v>70.768789417595897</v>
      </c>
      <c r="D91" s="4">
        <v>72.404387385303423</v>
      </c>
    </row>
    <row r="92" spans="1:4" x14ac:dyDescent="0.3">
      <c r="A92" s="2">
        <v>21202</v>
      </c>
      <c r="B92" s="1" t="s">
        <v>131</v>
      </c>
      <c r="C92" s="4">
        <v>72.260763752539148</v>
      </c>
      <c r="D92" s="4">
        <v>75.45244878578211</v>
      </c>
    </row>
    <row r="93" spans="1:4" x14ac:dyDescent="0.3">
      <c r="A93" s="2">
        <v>21203</v>
      </c>
      <c r="B93" s="1" t="s">
        <v>132</v>
      </c>
      <c r="C93" s="4">
        <v>79.376770975686966</v>
      </c>
      <c r="D93" s="4">
        <v>77.04757603131587</v>
      </c>
    </row>
    <row r="94" spans="1:4" x14ac:dyDescent="0.3">
      <c r="A94" s="2">
        <v>21204</v>
      </c>
      <c r="B94" s="1" t="s">
        <v>133</v>
      </c>
      <c r="C94" s="4">
        <v>62.645502645502638</v>
      </c>
      <c r="D94" s="4">
        <v>74.965198048220444</v>
      </c>
    </row>
    <row r="95" spans="1:4" x14ac:dyDescent="0.3">
      <c r="A95" s="2">
        <v>21301</v>
      </c>
      <c r="B95" s="1" t="s">
        <v>135</v>
      </c>
      <c r="C95" s="4">
        <v>58.640060656189689</v>
      </c>
      <c r="D95" s="4">
        <v>74.318260162778628</v>
      </c>
    </row>
    <row r="96" spans="1:4" x14ac:dyDescent="0.3">
      <c r="A96" s="2">
        <v>21302</v>
      </c>
      <c r="B96" s="1" t="s">
        <v>137</v>
      </c>
      <c r="C96" s="4">
        <v>57.116920842411048</v>
      </c>
      <c r="D96" s="4">
        <v>68.560370496004822</v>
      </c>
    </row>
    <row r="97" spans="1:4" x14ac:dyDescent="0.3">
      <c r="A97" s="2">
        <v>21303</v>
      </c>
      <c r="B97" s="1" t="s">
        <v>138</v>
      </c>
      <c r="C97" s="4">
        <v>69.828617437313085</v>
      </c>
      <c r="D97" s="4">
        <v>82.053877208500595</v>
      </c>
    </row>
    <row r="98" spans="1:4" x14ac:dyDescent="0.3">
      <c r="A98" s="2">
        <v>21304</v>
      </c>
      <c r="B98" s="1" t="s">
        <v>139</v>
      </c>
      <c r="C98" s="4">
        <v>66.851783693888947</v>
      </c>
      <c r="D98" s="4">
        <v>75.155056349746616</v>
      </c>
    </row>
    <row r="99" spans="1:4" x14ac:dyDescent="0.3">
      <c r="A99" s="2">
        <v>21305</v>
      </c>
      <c r="B99" s="1" t="s">
        <v>140</v>
      </c>
      <c r="C99" s="4">
        <v>75.006670478368576</v>
      </c>
      <c r="D99" s="4">
        <v>71.313495620628743</v>
      </c>
    </row>
    <row r="100" spans="1:4" x14ac:dyDescent="0.3">
      <c r="A100" s="2">
        <v>21306</v>
      </c>
      <c r="B100" s="1" t="s">
        <v>141</v>
      </c>
      <c r="C100" s="4">
        <v>80.668702529167646</v>
      </c>
      <c r="D100" s="4">
        <v>80.940426543751826</v>
      </c>
    </row>
    <row r="101" spans="1:4" x14ac:dyDescent="0.3">
      <c r="A101" s="2">
        <v>21307</v>
      </c>
      <c r="B101" s="1" t="s">
        <v>142</v>
      </c>
      <c r="C101" s="4">
        <v>81.144781144781163</v>
      </c>
      <c r="D101" s="4">
        <v>60.606060606060602</v>
      </c>
    </row>
    <row r="102" spans="1:4" x14ac:dyDescent="0.3">
      <c r="A102" s="2">
        <v>21401</v>
      </c>
      <c r="B102" s="1" t="s">
        <v>144</v>
      </c>
      <c r="C102" s="4">
        <v>55.080220931266261</v>
      </c>
      <c r="D102" s="4">
        <v>74.497833321362734</v>
      </c>
    </row>
    <row r="103" spans="1:4" x14ac:dyDescent="0.3">
      <c r="A103" s="2">
        <v>21402</v>
      </c>
      <c r="B103" s="1" t="s">
        <v>145</v>
      </c>
      <c r="C103" s="4">
        <v>71.01237658183841</v>
      </c>
      <c r="D103" s="4">
        <v>83.511301430044526</v>
      </c>
    </row>
    <row r="104" spans="1:4" x14ac:dyDescent="0.3">
      <c r="A104" s="2">
        <v>21501</v>
      </c>
      <c r="B104" s="1" t="s">
        <v>147</v>
      </c>
      <c r="C104" s="4">
        <v>65.047619047619051</v>
      </c>
      <c r="D104" s="4">
        <v>83.38720103425986</v>
      </c>
    </row>
    <row r="105" spans="1:4" x14ac:dyDescent="0.3">
      <c r="A105" s="2">
        <v>21502</v>
      </c>
      <c r="B105" s="1" t="s">
        <v>148</v>
      </c>
      <c r="C105" s="4">
        <v>43.673687423687426</v>
      </c>
      <c r="D105" s="4">
        <v>80.083632019115882</v>
      </c>
    </row>
    <row r="106" spans="1:4" x14ac:dyDescent="0.3">
      <c r="A106" s="2">
        <v>21601</v>
      </c>
      <c r="B106" s="1" t="s">
        <v>150</v>
      </c>
      <c r="C106" s="4">
        <v>44.243141707281048</v>
      </c>
      <c r="D106" s="4">
        <v>80.639070102928471</v>
      </c>
    </row>
    <row r="107" spans="1:4" x14ac:dyDescent="0.3">
      <c r="A107" s="2">
        <v>21602</v>
      </c>
      <c r="B107" s="1" t="s">
        <v>152</v>
      </c>
      <c r="C107" s="4">
        <v>37.407407407407412</v>
      </c>
      <c r="D107" s="4">
        <v>78.650793650793659</v>
      </c>
    </row>
    <row r="108" spans="1:4" x14ac:dyDescent="0.3">
      <c r="A108" s="2">
        <v>21701</v>
      </c>
      <c r="B108" s="1" t="s">
        <v>154</v>
      </c>
      <c r="C108" s="4">
        <v>64.965395462495721</v>
      </c>
      <c r="D108" s="4">
        <v>76.14310357184975</v>
      </c>
    </row>
    <row r="109" spans="1:4" x14ac:dyDescent="0.3">
      <c r="A109" s="2">
        <v>21702</v>
      </c>
      <c r="B109" s="1" t="s">
        <v>155</v>
      </c>
      <c r="C109" s="4">
        <v>81.851851851851848</v>
      </c>
      <c r="D109" s="4">
        <v>77.739211922976423</v>
      </c>
    </row>
    <row r="110" spans="1:4" x14ac:dyDescent="0.3">
      <c r="A110" s="2">
        <v>21703</v>
      </c>
      <c r="B110" s="1" t="s">
        <v>156</v>
      </c>
      <c r="C110" s="4">
        <v>68.434343434343432</v>
      </c>
      <c r="D110" s="4">
        <v>100</v>
      </c>
    </row>
    <row r="111" spans="1:4" x14ac:dyDescent="0.3">
      <c r="A111" s="2">
        <v>21801</v>
      </c>
      <c r="B111" s="1" t="s">
        <v>158</v>
      </c>
      <c r="C111" s="4">
        <v>61.913967258794848</v>
      </c>
      <c r="D111" s="4">
        <v>74.76555839727196</v>
      </c>
    </row>
    <row r="112" spans="1:4" x14ac:dyDescent="0.3">
      <c r="A112" s="2">
        <v>21802</v>
      </c>
      <c r="B112" s="1" t="s">
        <v>160</v>
      </c>
      <c r="C112" s="4">
        <v>46.245059288537554</v>
      </c>
      <c r="D112" s="4">
        <v>58.232323232323232</v>
      </c>
    </row>
    <row r="113" spans="1:4" x14ac:dyDescent="0.3">
      <c r="A113" s="2">
        <v>21803</v>
      </c>
      <c r="B113" s="1" t="s">
        <v>161</v>
      </c>
      <c r="C113" s="4">
        <v>75</v>
      </c>
      <c r="D113" s="4">
        <v>78.75</v>
      </c>
    </row>
    <row r="114" spans="1:4" x14ac:dyDescent="0.3">
      <c r="A114" s="2">
        <v>21901</v>
      </c>
      <c r="B114" s="1" t="s">
        <v>163</v>
      </c>
      <c r="C114" s="4">
        <v>43.777777777777779</v>
      </c>
      <c r="D114" s="4">
        <v>66.918312040263274</v>
      </c>
    </row>
    <row r="115" spans="1:4" x14ac:dyDescent="0.3">
      <c r="A115" s="2">
        <v>21902</v>
      </c>
      <c r="B115" s="1" t="s">
        <v>164</v>
      </c>
      <c r="C115" s="4">
        <v>68.888888888888872</v>
      </c>
      <c r="D115" s="4">
        <v>69.362745098039213</v>
      </c>
    </row>
    <row r="116" spans="1:4" x14ac:dyDescent="0.3">
      <c r="A116" s="2">
        <v>22001</v>
      </c>
      <c r="B116" s="1" t="s">
        <v>165</v>
      </c>
      <c r="C116" s="4">
        <v>60.763899466869766</v>
      </c>
      <c r="D116" s="4">
        <v>76.755596202421387</v>
      </c>
    </row>
    <row r="117" spans="1:4" x14ac:dyDescent="0.3">
      <c r="A117" s="2">
        <v>22002</v>
      </c>
      <c r="B117" s="1" t="s">
        <v>166</v>
      </c>
      <c r="C117" s="4">
        <v>54.166666666666664</v>
      </c>
      <c r="D117" s="4">
        <v>73.281596452328174</v>
      </c>
    </row>
    <row r="118" spans="1:4" x14ac:dyDescent="0.3">
      <c r="A118" s="2">
        <v>30101</v>
      </c>
      <c r="B118" s="1" t="s">
        <v>167</v>
      </c>
      <c r="C118" s="4">
        <v>79.612717351850463</v>
      </c>
      <c r="D118" s="4">
        <v>83.015241257734985</v>
      </c>
    </row>
    <row r="119" spans="1:4" x14ac:dyDescent="0.3">
      <c r="A119" s="2">
        <v>30201</v>
      </c>
      <c r="B119" s="1" t="s">
        <v>170</v>
      </c>
      <c r="C119" s="4">
        <v>70.724984608405435</v>
      </c>
      <c r="D119" s="4">
        <v>79.933652611770881</v>
      </c>
    </row>
    <row r="120" spans="1:4" x14ac:dyDescent="0.3">
      <c r="A120" s="2">
        <v>30202</v>
      </c>
      <c r="B120" s="1" t="s">
        <v>171</v>
      </c>
      <c r="C120" s="4">
        <v>48.717948717948723</v>
      </c>
      <c r="D120" s="4">
        <v>68.979200875752596</v>
      </c>
    </row>
    <row r="121" spans="1:4" x14ac:dyDescent="0.3">
      <c r="A121" s="2">
        <v>30203</v>
      </c>
      <c r="B121" s="1" t="s">
        <v>172</v>
      </c>
      <c r="C121" s="4">
        <v>70.370370370370367</v>
      </c>
      <c r="D121" s="4">
        <v>83.683446397368684</v>
      </c>
    </row>
    <row r="122" spans="1:4" x14ac:dyDescent="0.3">
      <c r="A122" s="2">
        <v>30301</v>
      </c>
      <c r="B122" s="1" t="s">
        <v>174</v>
      </c>
      <c r="C122" s="4">
        <v>68.102399909716397</v>
      </c>
      <c r="D122" s="4">
        <v>82.111013728465807</v>
      </c>
    </row>
    <row r="123" spans="1:4" x14ac:dyDescent="0.3">
      <c r="A123" s="2">
        <v>30302</v>
      </c>
      <c r="B123" s="1" t="s">
        <v>176</v>
      </c>
      <c r="C123" s="4">
        <v>60.036950299245376</v>
      </c>
      <c r="D123" s="4">
        <v>79.071664848662209</v>
      </c>
    </row>
    <row r="124" spans="1:4" x14ac:dyDescent="0.3">
      <c r="A124" s="2">
        <v>30303</v>
      </c>
      <c r="B124" s="1" t="s">
        <v>177</v>
      </c>
      <c r="C124" s="4">
        <v>49.090909090909093</v>
      </c>
      <c r="D124" s="4">
        <v>79.33224183224182</v>
      </c>
    </row>
    <row r="125" spans="1:4" x14ac:dyDescent="0.3">
      <c r="A125" s="2">
        <v>30401</v>
      </c>
      <c r="B125" s="1" t="s">
        <v>179</v>
      </c>
      <c r="C125" s="4">
        <v>72.130482715174423</v>
      </c>
      <c r="D125" s="4">
        <v>78.301762220301541</v>
      </c>
    </row>
    <row r="126" spans="1:4" x14ac:dyDescent="0.3">
      <c r="A126" s="2">
        <v>30402</v>
      </c>
      <c r="B126" s="1" t="s">
        <v>180</v>
      </c>
      <c r="C126" s="4">
        <v>58.280723905723903</v>
      </c>
      <c r="D126" s="4">
        <v>78.540138224348752</v>
      </c>
    </row>
    <row r="127" spans="1:4" x14ac:dyDescent="0.3">
      <c r="A127" s="2">
        <v>30403</v>
      </c>
      <c r="B127" s="1" t="s">
        <v>182</v>
      </c>
      <c r="C127" s="4">
        <v>71.563599798893918</v>
      </c>
      <c r="D127" s="4">
        <v>75.348924068196951</v>
      </c>
    </row>
    <row r="128" spans="1:4" x14ac:dyDescent="0.3">
      <c r="A128" s="2">
        <v>30404</v>
      </c>
      <c r="B128" s="1" t="s">
        <v>183</v>
      </c>
      <c r="C128" s="4">
        <v>48.29059829059829</v>
      </c>
      <c r="D128" s="4">
        <v>75.2002002002002</v>
      </c>
    </row>
    <row r="129" spans="1:4" x14ac:dyDescent="0.3">
      <c r="A129" s="2">
        <v>30501</v>
      </c>
      <c r="B129" s="1" t="s">
        <v>184</v>
      </c>
      <c r="C129" s="4">
        <v>80.512820512820511</v>
      </c>
      <c r="D129" s="4">
        <v>83.210008211660565</v>
      </c>
    </row>
    <row r="130" spans="1:4" x14ac:dyDescent="0.3">
      <c r="A130" s="2">
        <v>30502</v>
      </c>
      <c r="B130" s="1" t="s">
        <v>185</v>
      </c>
      <c r="C130" s="4">
        <v>71.730650302078871</v>
      </c>
      <c r="D130" s="4">
        <v>73.566748566748572</v>
      </c>
    </row>
    <row r="131" spans="1:4" x14ac:dyDescent="0.3">
      <c r="A131" s="2">
        <v>30601</v>
      </c>
      <c r="B131" s="1" t="s">
        <v>186</v>
      </c>
      <c r="C131" s="4">
        <v>47.058823529411768</v>
      </c>
      <c r="D131" s="4">
        <v>70.404040404040401</v>
      </c>
    </row>
    <row r="132" spans="1:4" x14ac:dyDescent="0.3">
      <c r="A132" s="2">
        <v>30602</v>
      </c>
      <c r="B132" s="1" t="s">
        <v>188</v>
      </c>
      <c r="C132" s="4">
        <v>65.17030772844727</v>
      </c>
      <c r="D132" s="4">
        <v>71.834130781499198</v>
      </c>
    </row>
    <row r="133" spans="1:4" x14ac:dyDescent="0.3">
      <c r="A133" s="2">
        <v>30701</v>
      </c>
      <c r="B133" s="1" t="s">
        <v>189</v>
      </c>
      <c r="C133" s="4">
        <v>67.767522937070808</v>
      </c>
      <c r="D133" s="4">
        <v>78.26921155423571</v>
      </c>
    </row>
    <row r="134" spans="1:4" x14ac:dyDescent="0.3">
      <c r="A134" s="2">
        <v>30702</v>
      </c>
      <c r="B134" s="1" t="s">
        <v>190</v>
      </c>
      <c r="C134" s="4">
        <v>68.71612466124661</v>
      </c>
      <c r="D134" s="4">
        <v>76.762337785355683</v>
      </c>
    </row>
    <row r="135" spans="1:4" x14ac:dyDescent="0.3">
      <c r="A135" s="2">
        <v>30703</v>
      </c>
      <c r="B135" s="1" t="s">
        <v>192</v>
      </c>
      <c r="C135" s="4">
        <v>68.9245395127748</v>
      </c>
      <c r="D135" s="4">
        <v>78.623188405797109</v>
      </c>
    </row>
    <row r="136" spans="1:4" x14ac:dyDescent="0.3">
      <c r="A136" s="2">
        <v>30801</v>
      </c>
      <c r="B136" s="1" t="s">
        <v>194</v>
      </c>
      <c r="C136" s="4">
        <v>80.444341413124803</v>
      </c>
      <c r="D136" s="4">
        <v>84.244470415097609</v>
      </c>
    </row>
    <row r="137" spans="1:4" x14ac:dyDescent="0.3">
      <c r="A137" s="2">
        <v>30802</v>
      </c>
      <c r="B137" s="1" t="s">
        <v>195</v>
      </c>
      <c r="C137" s="4">
        <v>75.356125356125361</v>
      </c>
      <c r="D137" s="4">
        <v>84.946236559139791</v>
      </c>
    </row>
    <row r="138" spans="1:4" x14ac:dyDescent="0.3">
      <c r="A138" s="2">
        <v>30803</v>
      </c>
      <c r="B138" s="1" t="s">
        <v>196</v>
      </c>
      <c r="C138" s="4">
        <v>85.868488809665266</v>
      </c>
      <c r="D138" s="4">
        <v>86.236236236236252</v>
      </c>
    </row>
    <row r="139" spans="1:4" x14ac:dyDescent="0.3">
      <c r="A139" s="2">
        <v>30901</v>
      </c>
      <c r="B139" s="1" t="s">
        <v>197</v>
      </c>
      <c r="C139" s="4">
        <v>76.606303692599425</v>
      </c>
      <c r="D139" s="4">
        <v>80.065267372095931</v>
      </c>
    </row>
    <row r="140" spans="1:4" x14ac:dyDescent="0.3">
      <c r="A140" s="2">
        <v>30902</v>
      </c>
      <c r="B140" s="1" t="s">
        <v>198</v>
      </c>
      <c r="C140" s="4">
        <v>69.786981336865438</v>
      </c>
      <c r="D140" s="4">
        <v>76.519404019404021</v>
      </c>
    </row>
    <row r="141" spans="1:4" x14ac:dyDescent="0.3">
      <c r="A141" s="2">
        <v>30903</v>
      </c>
      <c r="B141" s="1" t="s">
        <v>199</v>
      </c>
      <c r="C141" s="4">
        <v>81.458302419743006</v>
      </c>
      <c r="D141" s="4">
        <v>81.174916032302562</v>
      </c>
    </row>
    <row r="142" spans="1:4" x14ac:dyDescent="0.3">
      <c r="A142" s="2">
        <v>30904</v>
      </c>
      <c r="B142" s="1" t="s">
        <v>200</v>
      </c>
      <c r="C142" s="4">
        <v>64.860647594695706</v>
      </c>
      <c r="D142" s="4">
        <v>70.438788264875214</v>
      </c>
    </row>
    <row r="143" spans="1:4" x14ac:dyDescent="0.3">
      <c r="A143" s="2">
        <v>30905</v>
      </c>
      <c r="B143" s="1" t="s">
        <v>201</v>
      </c>
      <c r="C143" s="4">
        <v>76.913234054907619</v>
      </c>
      <c r="D143" s="4">
        <v>82.219573736141498</v>
      </c>
    </row>
    <row r="144" spans="1:4" x14ac:dyDescent="0.3">
      <c r="A144" s="2">
        <v>31001</v>
      </c>
      <c r="B144" s="1" t="s">
        <v>203</v>
      </c>
      <c r="C144" s="4">
        <v>79.645981863864179</v>
      </c>
      <c r="D144" s="4">
        <v>81.867706839329131</v>
      </c>
    </row>
    <row r="145" spans="1:4" x14ac:dyDescent="0.3">
      <c r="A145" s="2">
        <v>31002</v>
      </c>
      <c r="B145" s="1" t="s">
        <v>204</v>
      </c>
      <c r="C145" s="4">
        <v>73.469341393070195</v>
      </c>
      <c r="D145" s="4">
        <v>80.272720687656957</v>
      </c>
    </row>
    <row r="146" spans="1:4" x14ac:dyDescent="0.3">
      <c r="A146" s="2">
        <v>31003</v>
      </c>
      <c r="B146" s="1" t="s">
        <v>205</v>
      </c>
      <c r="C146" s="4">
        <v>70.906618650774689</v>
      </c>
      <c r="D146" s="4">
        <v>79.509055796858135</v>
      </c>
    </row>
    <row r="147" spans="1:4" x14ac:dyDescent="0.3">
      <c r="A147" s="2">
        <v>31101</v>
      </c>
      <c r="B147" s="1" t="s">
        <v>206</v>
      </c>
      <c r="C147" s="4">
        <v>56.353135313531347</v>
      </c>
      <c r="D147" s="4">
        <v>73.210845398333177</v>
      </c>
    </row>
    <row r="148" spans="1:4" x14ac:dyDescent="0.3">
      <c r="A148" s="2">
        <v>31201</v>
      </c>
      <c r="B148" s="1" t="s">
        <v>208</v>
      </c>
      <c r="C148" s="4">
        <v>60.208235935795535</v>
      </c>
      <c r="D148" s="4">
        <v>78.268084455026539</v>
      </c>
    </row>
    <row r="149" spans="1:4" x14ac:dyDescent="0.3">
      <c r="A149" s="2">
        <v>31202</v>
      </c>
      <c r="B149" s="1" t="s">
        <v>209</v>
      </c>
      <c r="C149" s="4">
        <v>58.80077369439072</v>
      </c>
      <c r="D149" s="4">
        <v>74.447286160841145</v>
      </c>
    </row>
    <row r="150" spans="1:4" x14ac:dyDescent="0.3">
      <c r="A150" s="2">
        <v>31203</v>
      </c>
      <c r="B150" s="1" t="s">
        <v>210</v>
      </c>
      <c r="C150" s="4">
        <v>64.86402486402487</v>
      </c>
      <c r="D150" s="4">
        <v>78.403292181069958</v>
      </c>
    </row>
    <row r="151" spans="1:4" x14ac:dyDescent="0.3">
      <c r="A151" s="2">
        <v>31204</v>
      </c>
      <c r="B151" s="1" t="s">
        <v>211</v>
      </c>
      <c r="C151" s="4">
        <v>76.811518543267638</v>
      </c>
      <c r="D151" s="4">
        <v>76.35575531718996</v>
      </c>
    </row>
    <row r="152" spans="1:4" x14ac:dyDescent="0.3">
      <c r="A152" s="2">
        <v>31205</v>
      </c>
      <c r="B152" s="1" t="s">
        <v>212</v>
      </c>
      <c r="C152" s="4">
        <v>69.132396403194363</v>
      </c>
      <c r="D152" s="4">
        <v>80.062759973056586</v>
      </c>
    </row>
    <row r="153" spans="1:4" x14ac:dyDescent="0.3">
      <c r="A153" s="2">
        <v>31206</v>
      </c>
      <c r="B153" s="1" t="s">
        <v>213</v>
      </c>
      <c r="C153" s="4">
        <v>71.574133504492934</v>
      </c>
      <c r="D153" s="4">
        <v>76.305764717112496</v>
      </c>
    </row>
    <row r="154" spans="1:4" x14ac:dyDescent="0.3">
      <c r="A154" s="2">
        <v>31301</v>
      </c>
      <c r="B154" s="1" t="s">
        <v>214</v>
      </c>
      <c r="C154" s="4">
        <v>73.34233280088894</v>
      </c>
      <c r="D154" s="4">
        <v>79.193354660496198</v>
      </c>
    </row>
    <row r="155" spans="1:4" x14ac:dyDescent="0.3">
      <c r="A155" s="2">
        <v>31302</v>
      </c>
      <c r="B155" s="1" t="s">
        <v>215</v>
      </c>
      <c r="C155" s="4">
        <v>76.666666666666671</v>
      </c>
      <c r="D155" s="4">
        <v>78.306878306878318</v>
      </c>
    </row>
    <row r="156" spans="1:4" x14ac:dyDescent="0.3">
      <c r="A156" s="2">
        <v>31303</v>
      </c>
      <c r="B156" s="1" t="s">
        <v>216</v>
      </c>
      <c r="C156" s="4">
        <v>63.703703703703695</v>
      </c>
      <c r="D156" s="4">
        <v>68.350168350168346</v>
      </c>
    </row>
    <row r="157" spans="1:4" x14ac:dyDescent="0.3">
      <c r="A157" s="2">
        <v>31304</v>
      </c>
      <c r="B157" s="1" t="s">
        <v>217</v>
      </c>
      <c r="C157" s="4">
        <v>71.574133504492934</v>
      </c>
      <c r="D157" s="4">
        <v>76.305764717112496</v>
      </c>
    </row>
    <row r="158" spans="1:4" x14ac:dyDescent="0.3">
      <c r="A158" s="2">
        <v>31401</v>
      </c>
      <c r="B158" s="1" t="s">
        <v>219</v>
      </c>
      <c r="C158" s="4">
        <v>80.341303887458778</v>
      </c>
      <c r="D158" s="4">
        <v>82.396858733063951</v>
      </c>
    </row>
    <row r="159" spans="1:4" x14ac:dyDescent="0.3">
      <c r="A159" s="2">
        <v>31402</v>
      </c>
      <c r="B159" s="1" t="s">
        <v>221</v>
      </c>
      <c r="C159" s="4">
        <v>69.752003315833107</v>
      </c>
      <c r="D159" s="4">
        <v>72.025771231279705</v>
      </c>
    </row>
    <row r="160" spans="1:4" x14ac:dyDescent="0.3">
      <c r="A160" s="2">
        <v>31403</v>
      </c>
      <c r="B160" s="1" t="s">
        <v>222</v>
      </c>
      <c r="C160" s="4">
        <v>78.412177805216857</v>
      </c>
      <c r="D160" s="4">
        <v>73.499516356659214</v>
      </c>
    </row>
    <row r="161" spans="1:4" x14ac:dyDescent="0.3">
      <c r="A161" s="2">
        <v>31404</v>
      </c>
      <c r="B161" s="1" t="s">
        <v>224</v>
      </c>
      <c r="C161" s="4"/>
      <c r="D161" s="4"/>
    </row>
    <row r="162" spans="1:4" x14ac:dyDescent="0.3">
      <c r="A162" s="2">
        <v>31405</v>
      </c>
      <c r="B162" s="1" t="s">
        <v>225</v>
      </c>
      <c r="C162" s="4"/>
      <c r="D162" s="4"/>
    </row>
    <row r="163" spans="1:4" x14ac:dyDescent="0.3">
      <c r="A163" s="2">
        <v>31501</v>
      </c>
      <c r="B163" s="1" t="s">
        <v>227</v>
      </c>
      <c r="C163" s="4">
        <v>54.938271604938272</v>
      </c>
      <c r="D163" s="4">
        <v>68.983957219251337</v>
      </c>
    </row>
    <row r="164" spans="1:4" x14ac:dyDescent="0.3">
      <c r="A164" s="2">
        <v>31601</v>
      </c>
      <c r="B164" s="1" t="s">
        <v>228</v>
      </c>
      <c r="C164" s="4">
        <v>70.190633389678837</v>
      </c>
      <c r="D164" s="4">
        <v>81.426035049223458</v>
      </c>
    </row>
    <row r="165" spans="1:4" x14ac:dyDescent="0.3">
      <c r="A165" s="2">
        <v>31602</v>
      </c>
      <c r="B165" s="1" t="s">
        <v>229</v>
      </c>
      <c r="C165" s="4">
        <v>65.137614678899084</v>
      </c>
      <c r="D165" s="4">
        <v>73.611225980757027</v>
      </c>
    </row>
    <row r="166" spans="1:4" x14ac:dyDescent="0.3">
      <c r="A166" s="2">
        <v>40101</v>
      </c>
      <c r="B166" s="1" t="s">
        <v>230</v>
      </c>
      <c r="C166" s="4">
        <v>86.937672803987539</v>
      </c>
      <c r="D166" s="4">
        <v>82.847829727522196</v>
      </c>
    </row>
    <row r="167" spans="1:4" x14ac:dyDescent="0.3">
      <c r="A167" s="2">
        <v>40102</v>
      </c>
      <c r="B167" s="1" t="s">
        <v>231</v>
      </c>
      <c r="C167" s="4">
        <v>60.150664770884781</v>
      </c>
      <c r="D167" s="4">
        <v>63.897020714560377</v>
      </c>
    </row>
    <row r="168" spans="1:4" x14ac:dyDescent="0.3">
      <c r="A168" s="2">
        <v>40103</v>
      </c>
      <c r="B168" s="1" t="s">
        <v>232</v>
      </c>
      <c r="C168" s="4">
        <v>49.554367201426025</v>
      </c>
      <c r="D168" s="4">
        <v>58.777315640060728</v>
      </c>
    </row>
    <row r="169" spans="1:4" x14ac:dyDescent="0.3">
      <c r="A169" s="2">
        <v>40104</v>
      </c>
      <c r="B169" s="1" t="s">
        <v>233</v>
      </c>
      <c r="C169" s="4">
        <v>63.525290498974705</v>
      </c>
      <c r="D169" s="4">
        <v>69.982563732563733</v>
      </c>
    </row>
    <row r="170" spans="1:4" x14ac:dyDescent="0.3">
      <c r="A170" s="2">
        <v>40201</v>
      </c>
      <c r="B170" s="1" t="s">
        <v>236</v>
      </c>
      <c r="C170" s="4">
        <v>55.552638850511187</v>
      </c>
      <c r="D170" s="4">
        <v>73.663217656204822</v>
      </c>
    </row>
    <row r="171" spans="1:4" x14ac:dyDescent="0.3">
      <c r="A171" s="2">
        <v>40202</v>
      </c>
      <c r="B171" s="1" t="s">
        <v>237</v>
      </c>
      <c r="C171" s="4">
        <v>49.210526315789473</v>
      </c>
      <c r="D171" s="4">
        <v>59.743589743589745</v>
      </c>
    </row>
    <row r="172" spans="1:4" x14ac:dyDescent="0.3">
      <c r="A172" s="2">
        <v>40301</v>
      </c>
      <c r="B172" s="1" t="s">
        <v>239</v>
      </c>
      <c r="C172" s="4">
        <v>46.885604816639301</v>
      </c>
      <c r="D172" s="4">
        <v>65.633477633477625</v>
      </c>
    </row>
    <row r="173" spans="1:4" x14ac:dyDescent="0.3">
      <c r="A173" s="2">
        <v>40302</v>
      </c>
      <c r="B173" s="1" t="s">
        <v>240</v>
      </c>
      <c r="C173" s="4">
        <v>36.944444444444443</v>
      </c>
      <c r="D173" s="4">
        <v>75.151515151515156</v>
      </c>
    </row>
    <row r="174" spans="1:4" x14ac:dyDescent="0.3">
      <c r="A174" s="2">
        <v>40401</v>
      </c>
      <c r="B174" s="1" t="s">
        <v>242</v>
      </c>
      <c r="C174" s="4">
        <v>38.451825951825953</v>
      </c>
      <c r="D174" s="4">
        <v>73.141025641025649</v>
      </c>
    </row>
    <row r="175" spans="1:4" x14ac:dyDescent="0.3">
      <c r="A175" s="2">
        <v>40402</v>
      </c>
      <c r="B175" s="1" t="s">
        <v>243</v>
      </c>
      <c r="C175" s="4">
        <v>35.930735930735928</v>
      </c>
      <c r="D175" s="4">
        <v>63.063063063063062</v>
      </c>
    </row>
    <row r="176" spans="1:4" x14ac:dyDescent="0.3">
      <c r="A176" s="2">
        <v>40501</v>
      </c>
      <c r="B176" s="1" t="s">
        <v>245</v>
      </c>
      <c r="C176" s="4">
        <v>73.80952380952381</v>
      </c>
      <c r="D176" s="4">
        <v>89.743589743589737</v>
      </c>
    </row>
    <row r="177" spans="1:4" x14ac:dyDescent="0.3">
      <c r="A177" s="2">
        <v>40502</v>
      </c>
      <c r="B177" s="1" t="s">
        <v>246</v>
      </c>
      <c r="C177" s="4">
        <v>22.222222222222218</v>
      </c>
      <c r="D177" s="4">
        <v>58.928571428571423</v>
      </c>
    </row>
    <row r="178" spans="1:4" x14ac:dyDescent="0.3">
      <c r="A178" s="2">
        <v>40503</v>
      </c>
      <c r="B178" s="1" t="s">
        <v>247</v>
      </c>
      <c r="C178" s="4"/>
      <c r="D178" s="4"/>
    </row>
    <row r="179" spans="1:4" x14ac:dyDescent="0.3">
      <c r="A179" s="2">
        <v>40504</v>
      </c>
      <c r="B179" s="1" t="s">
        <v>248</v>
      </c>
      <c r="C179" s="4"/>
      <c r="D179" s="4"/>
    </row>
    <row r="180" spans="1:4" x14ac:dyDescent="0.3">
      <c r="A180" s="2">
        <v>40505</v>
      </c>
      <c r="B180" s="1" t="s">
        <v>249</v>
      </c>
      <c r="C180" s="4"/>
      <c r="D180" s="4"/>
    </row>
    <row r="181" spans="1:4" x14ac:dyDescent="0.3">
      <c r="A181" s="2">
        <v>40601</v>
      </c>
      <c r="B181" s="1" t="s">
        <v>250</v>
      </c>
      <c r="C181" s="4">
        <v>60.254515599343186</v>
      </c>
      <c r="D181" s="4">
        <v>75.350538508433246</v>
      </c>
    </row>
    <row r="182" spans="1:4" x14ac:dyDescent="0.3">
      <c r="A182" s="2">
        <v>40602</v>
      </c>
      <c r="B182" s="1" t="s">
        <v>252</v>
      </c>
      <c r="C182" s="4">
        <v>55.653435357882984</v>
      </c>
      <c r="D182" s="4">
        <v>78.812993321190049</v>
      </c>
    </row>
    <row r="183" spans="1:4" x14ac:dyDescent="0.3">
      <c r="A183" s="2">
        <v>40603</v>
      </c>
      <c r="B183" s="1" t="s">
        <v>253</v>
      </c>
      <c r="C183" s="4"/>
      <c r="D183" s="4">
        <v>46.969696969696969</v>
      </c>
    </row>
    <row r="184" spans="1:4" x14ac:dyDescent="0.3">
      <c r="A184" s="2">
        <v>40701</v>
      </c>
      <c r="B184" s="1" t="s">
        <v>255</v>
      </c>
      <c r="C184" s="4">
        <v>62.905545855159232</v>
      </c>
      <c r="D184" s="4">
        <v>79.55097763305919</v>
      </c>
    </row>
    <row r="185" spans="1:4" x14ac:dyDescent="0.3">
      <c r="A185" s="2">
        <v>40702</v>
      </c>
      <c r="B185" s="1" t="s">
        <v>257</v>
      </c>
      <c r="C185" s="4">
        <v>65.596405228758172</v>
      </c>
      <c r="D185" s="4">
        <v>70.056497175141246</v>
      </c>
    </row>
    <row r="186" spans="1:4" x14ac:dyDescent="0.3">
      <c r="A186" s="2">
        <v>40801</v>
      </c>
      <c r="B186" s="1" t="s">
        <v>259</v>
      </c>
      <c r="C186" s="4">
        <v>30</v>
      </c>
      <c r="D186" s="4">
        <v>60.32439934079278</v>
      </c>
    </row>
    <row r="187" spans="1:4" x14ac:dyDescent="0.3">
      <c r="A187" s="2">
        <v>40802</v>
      </c>
      <c r="B187" s="1" t="s">
        <v>260</v>
      </c>
      <c r="C187" s="4">
        <v>38.961038961038959</v>
      </c>
      <c r="D187" s="4">
        <v>69.646464646464651</v>
      </c>
    </row>
    <row r="188" spans="1:4" x14ac:dyDescent="0.3">
      <c r="A188" s="2">
        <v>40901</v>
      </c>
      <c r="B188" s="1" t="s">
        <v>261</v>
      </c>
      <c r="C188" s="4">
        <v>46.349206349206348</v>
      </c>
      <c r="D188" s="4">
        <v>80.846774193548384</v>
      </c>
    </row>
    <row r="189" spans="1:4" x14ac:dyDescent="0.3">
      <c r="A189" s="2">
        <v>40902</v>
      </c>
      <c r="B189" s="1" t="s">
        <v>262</v>
      </c>
      <c r="C189" s="4">
        <v>44.444444444444436</v>
      </c>
      <c r="D189" s="4">
        <v>66.666666666666671</v>
      </c>
    </row>
    <row r="190" spans="1:4" x14ac:dyDescent="0.3">
      <c r="A190" s="2">
        <v>40903</v>
      </c>
      <c r="B190" s="1" t="s">
        <v>263</v>
      </c>
      <c r="C190" s="4">
        <v>34.798534798534796</v>
      </c>
      <c r="D190" s="4">
        <v>88.157894736842096</v>
      </c>
    </row>
    <row r="191" spans="1:4" x14ac:dyDescent="0.3">
      <c r="A191" s="2">
        <v>41001</v>
      </c>
      <c r="B191" s="1" t="s">
        <v>265</v>
      </c>
      <c r="C191" s="4">
        <v>48.301059554256483</v>
      </c>
      <c r="D191" s="4">
        <v>65.45311268715524</v>
      </c>
    </row>
    <row r="192" spans="1:4" x14ac:dyDescent="0.3">
      <c r="A192" s="2">
        <v>41101</v>
      </c>
      <c r="B192" s="1" t="s">
        <v>267</v>
      </c>
      <c r="C192" s="4">
        <v>56.363636363636353</v>
      </c>
      <c r="D192" s="4">
        <v>65.76628352490421</v>
      </c>
    </row>
    <row r="193" spans="1:4" x14ac:dyDescent="0.3">
      <c r="A193" s="2">
        <v>41201</v>
      </c>
      <c r="B193" s="1" t="s">
        <v>269</v>
      </c>
      <c r="C193" s="4">
        <v>42.845117845117841</v>
      </c>
      <c r="D193" s="4">
        <v>53.153153153153148</v>
      </c>
    </row>
    <row r="194" spans="1:4" x14ac:dyDescent="0.3">
      <c r="A194" s="2">
        <v>41202</v>
      </c>
      <c r="B194" s="1" t="s">
        <v>271</v>
      </c>
      <c r="C194" s="4">
        <v>35.694444444444443</v>
      </c>
      <c r="D194" s="4">
        <v>59.25925925925926</v>
      </c>
    </row>
    <row r="195" spans="1:4" x14ac:dyDescent="0.3">
      <c r="A195" s="2">
        <v>41301</v>
      </c>
      <c r="B195" s="1" t="s">
        <v>208</v>
      </c>
      <c r="C195" s="4">
        <v>37.194163860830528</v>
      </c>
      <c r="D195" s="4">
        <v>66.666666666666671</v>
      </c>
    </row>
    <row r="196" spans="1:4" x14ac:dyDescent="0.3">
      <c r="A196" s="2">
        <v>41401</v>
      </c>
      <c r="B196" s="1" t="s">
        <v>274</v>
      </c>
      <c r="C196" s="4">
        <v>59.785238959467627</v>
      </c>
      <c r="D196" s="4">
        <v>71.81429681429681</v>
      </c>
    </row>
    <row r="197" spans="1:4" x14ac:dyDescent="0.3">
      <c r="A197" s="2">
        <v>41501</v>
      </c>
      <c r="B197" s="1" t="s">
        <v>276</v>
      </c>
      <c r="C197" s="4">
        <v>22.61904761904762</v>
      </c>
      <c r="D197" s="4">
        <v>89.629629629629633</v>
      </c>
    </row>
    <row r="198" spans="1:4" x14ac:dyDescent="0.3">
      <c r="A198" s="2">
        <v>41502</v>
      </c>
      <c r="B198" s="1" t="s">
        <v>277</v>
      </c>
      <c r="C198" s="4">
        <v>27.777777777777775</v>
      </c>
      <c r="D198" s="4">
        <v>70</v>
      </c>
    </row>
    <row r="199" spans="1:4" x14ac:dyDescent="0.3">
      <c r="A199" s="2">
        <v>41503</v>
      </c>
      <c r="B199" s="1" t="s">
        <v>238</v>
      </c>
      <c r="C199" s="4"/>
      <c r="D199" s="4">
        <v>100</v>
      </c>
    </row>
    <row r="200" spans="1:4" x14ac:dyDescent="0.3">
      <c r="A200" s="2">
        <v>41601</v>
      </c>
      <c r="B200" s="1" t="s">
        <v>279</v>
      </c>
      <c r="C200" s="4">
        <v>31.818181818181817</v>
      </c>
      <c r="D200" s="4">
        <v>63.704146730462526</v>
      </c>
    </row>
    <row r="201" spans="1:4" x14ac:dyDescent="0.3">
      <c r="A201" s="2">
        <v>50101</v>
      </c>
      <c r="B201" s="1" t="s">
        <v>281</v>
      </c>
      <c r="C201" s="4">
        <v>80.218507541364247</v>
      </c>
      <c r="D201" s="4">
        <v>76.705072878324287</v>
      </c>
    </row>
    <row r="202" spans="1:4" x14ac:dyDescent="0.3">
      <c r="A202" s="2">
        <v>50102</v>
      </c>
      <c r="B202" s="1" t="s">
        <v>283</v>
      </c>
      <c r="C202" s="4">
        <v>51.854431831212018</v>
      </c>
      <c r="D202" s="4">
        <v>56.53783977652818</v>
      </c>
    </row>
    <row r="203" spans="1:4" x14ac:dyDescent="0.3">
      <c r="A203" s="2">
        <v>50103</v>
      </c>
      <c r="B203" s="1" t="s">
        <v>284</v>
      </c>
      <c r="C203" s="4">
        <v>64.550932124832627</v>
      </c>
      <c r="D203" s="4">
        <v>71.367521367521363</v>
      </c>
    </row>
    <row r="204" spans="1:4" x14ac:dyDescent="0.3">
      <c r="A204" s="2">
        <v>50104</v>
      </c>
      <c r="B204" s="1" t="s">
        <v>286</v>
      </c>
      <c r="C204" s="4">
        <v>59.516026469010193</v>
      </c>
      <c r="D204" s="4">
        <v>61.073381073381078</v>
      </c>
    </row>
    <row r="205" spans="1:4" x14ac:dyDescent="0.3">
      <c r="A205" s="2">
        <v>50201</v>
      </c>
      <c r="B205" s="1" t="s">
        <v>289</v>
      </c>
      <c r="C205" s="4">
        <v>56.27252956773021</v>
      </c>
      <c r="D205" s="4">
        <v>79.420620261364874</v>
      </c>
    </row>
    <row r="206" spans="1:4" x14ac:dyDescent="0.3">
      <c r="A206" s="2">
        <v>50202</v>
      </c>
      <c r="B206" s="1" t="s">
        <v>290</v>
      </c>
      <c r="C206" s="4">
        <v>44.334975369458128</v>
      </c>
      <c r="D206" s="4">
        <v>73.891855694571589</v>
      </c>
    </row>
    <row r="207" spans="1:4" x14ac:dyDescent="0.3">
      <c r="A207" s="2">
        <v>50203</v>
      </c>
      <c r="B207" s="1" t="s">
        <v>291</v>
      </c>
      <c r="C207" s="4">
        <v>79.657179305906766</v>
      </c>
      <c r="D207" s="4">
        <v>82.903570467735122</v>
      </c>
    </row>
    <row r="208" spans="1:4" x14ac:dyDescent="0.3">
      <c r="A208" s="2">
        <v>50204</v>
      </c>
      <c r="B208" s="1" t="s">
        <v>292</v>
      </c>
      <c r="C208" s="4">
        <v>10.606060606060606</v>
      </c>
      <c r="D208" s="4">
        <v>65.990181992337156</v>
      </c>
    </row>
    <row r="209" spans="1:4" x14ac:dyDescent="0.3">
      <c r="A209" s="2">
        <v>50301</v>
      </c>
      <c r="B209" s="1" t="s">
        <v>294</v>
      </c>
      <c r="C209" s="4">
        <v>54.739973476014086</v>
      </c>
      <c r="D209" s="4">
        <v>69.326287011979943</v>
      </c>
    </row>
    <row r="210" spans="1:4" x14ac:dyDescent="0.3">
      <c r="A210" s="2">
        <v>50302</v>
      </c>
      <c r="B210" s="1" t="s">
        <v>296</v>
      </c>
      <c r="C210" s="4">
        <v>65.177031640446287</v>
      </c>
      <c r="D210" s="4">
        <v>68.013838013838011</v>
      </c>
    </row>
    <row r="211" spans="1:4" x14ac:dyDescent="0.3">
      <c r="A211" s="2">
        <v>50303</v>
      </c>
      <c r="B211" s="1" t="s">
        <v>297</v>
      </c>
      <c r="C211" s="4">
        <v>57.711598746081506</v>
      </c>
      <c r="D211" s="4">
        <v>65.588533739218676</v>
      </c>
    </row>
    <row r="212" spans="1:4" x14ac:dyDescent="0.3">
      <c r="A212" s="2">
        <v>50401</v>
      </c>
      <c r="B212" s="1" t="s">
        <v>298</v>
      </c>
      <c r="C212" s="4">
        <v>62.915434238963655</v>
      </c>
      <c r="D212" s="4">
        <v>77.609427609427598</v>
      </c>
    </row>
    <row r="213" spans="1:4" x14ac:dyDescent="0.3">
      <c r="A213" s="2">
        <v>50402</v>
      </c>
      <c r="B213" s="1" t="s">
        <v>299</v>
      </c>
      <c r="C213" s="4">
        <v>59.173297966401414</v>
      </c>
      <c r="D213" s="4">
        <v>68.671291723659621</v>
      </c>
    </row>
    <row r="214" spans="1:4" x14ac:dyDescent="0.3">
      <c r="A214" s="2">
        <v>50403</v>
      </c>
      <c r="B214" s="1" t="s">
        <v>300</v>
      </c>
      <c r="C214" s="4">
        <v>57.788980857689957</v>
      </c>
      <c r="D214" s="4">
        <v>80.589995694982576</v>
      </c>
    </row>
    <row r="215" spans="1:4" x14ac:dyDescent="0.3">
      <c r="A215" s="2">
        <v>50404</v>
      </c>
      <c r="B215" s="1" t="s">
        <v>301</v>
      </c>
      <c r="C215" s="4">
        <v>53.792569659442727</v>
      </c>
      <c r="D215" s="4">
        <v>68.705384559043083</v>
      </c>
    </row>
    <row r="216" spans="1:4" x14ac:dyDescent="0.3">
      <c r="A216" s="2">
        <v>50405</v>
      </c>
      <c r="B216" s="1" t="s">
        <v>302</v>
      </c>
      <c r="C216" s="4">
        <v>62.915434238963655</v>
      </c>
      <c r="D216" s="4">
        <v>77.609427609427598</v>
      </c>
    </row>
    <row r="217" spans="1:4" x14ac:dyDescent="0.3">
      <c r="A217" s="2">
        <v>50501</v>
      </c>
      <c r="B217" s="1" t="s">
        <v>304</v>
      </c>
      <c r="C217" s="4">
        <v>60.968442335621603</v>
      </c>
      <c r="D217" s="4">
        <v>88.348556877984095</v>
      </c>
    </row>
    <row r="218" spans="1:4" x14ac:dyDescent="0.3">
      <c r="A218" s="2">
        <v>50502</v>
      </c>
      <c r="B218" s="1" t="s">
        <v>305</v>
      </c>
      <c r="C218" s="4">
        <v>66.6851368970013</v>
      </c>
      <c r="D218" s="4">
        <v>80.066268471331767</v>
      </c>
    </row>
    <row r="219" spans="1:4" x14ac:dyDescent="0.3">
      <c r="A219" s="2">
        <v>50601</v>
      </c>
      <c r="B219" s="1" t="s">
        <v>307</v>
      </c>
      <c r="C219" s="4">
        <v>33.310212729892363</v>
      </c>
      <c r="D219" s="4">
        <v>53.745393531385751</v>
      </c>
    </row>
    <row r="220" spans="1:4" x14ac:dyDescent="0.3">
      <c r="A220" s="2">
        <v>50602</v>
      </c>
      <c r="B220" s="1" t="s">
        <v>308</v>
      </c>
      <c r="C220" s="4">
        <v>52.637258901928782</v>
      </c>
      <c r="D220" s="4">
        <v>59.11360799001249</v>
      </c>
    </row>
    <row r="221" spans="1:4" x14ac:dyDescent="0.3">
      <c r="A221" s="2">
        <v>50701</v>
      </c>
      <c r="B221" s="1" t="s">
        <v>310</v>
      </c>
      <c r="C221" s="4">
        <v>52.219227313566932</v>
      </c>
      <c r="D221" s="4">
        <v>84.117910496551261</v>
      </c>
    </row>
    <row r="222" spans="1:4" x14ac:dyDescent="0.3">
      <c r="A222" s="2">
        <v>50702</v>
      </c>
      <c r="B222" s="1" t="s">
        <v>312</v>
      </c>
      <c r="C222" s="4">
        <v>62.829566854990581</v>
      </c>
      <c r="D222" s="4">
        <v>80.894538606403032</v>
      </c>
    </row>
    <row r="223" spans="1:4" x14ac:dyDescent="0.3">
      <c r="A223" s="2">
        <v>50801</v>
      </c>
      <c r="B223" s="1" t="s">
        <v>314</v>
      </c>
      <c r="C223" s="4">
        <v>64.389406527562144</v>
      </c>
      <c r="D223" s="4">
        <v>70.487803055835499</v>
      </c>
    </row>
    <row r="224" spans="1:4" x14ac:dyDescent="0.3">
      <c r="A224" s="2">
        <v>50802</v>
      </c>
      <c r="B224" s="1" t="s">
        <v>315</v>
      </c>
      <c r="C224" s="4">
        <v>67.04005988110147</v>
      </c>
      <c r="D224" s="4">
        <v>77.300511957360257</v>
      </c>
    </row>
    <row r="225" spans="1:4" x14ac:dyDescent="0.3">
      <c r="A225" s="2">
        <v>50901</v>
      </c>
      <c r="B225" s="1" t="s">
        <v>317</v>
      </c>
      <c r="C225" s="4">
        <v>42.6225244517344</v>
      </c>
      <c r="D225" s="4">
        <v>58.922161519499866</v>
      </c>
    </row>
    <row r="226" spans="1:4" x14ac:dyDescent="0.3">
      <c r="A226" s="2">
        <v>50902</v>
      </c>
      <c r="B226" s="1" t="s">
        <v>319</v>
      </c>
      <c r="C226" s="4">
        <v>71.30952380952381</v>
      </c>
      <c r="D226" s="4">
        <v>66.666666666666657</v>
      </c>
    </row>
    <row r="227" spans="1:4" x14ac:dyDescent="0.3">
      <c r="A227" s="2">
        <v>51001</v>
      </c>
      <c r="B227" s="1" t="s">
        <v>322</v>
      </c>
      <c r="C227" s="4">
        <v>33.738095238095241</v>
      </c>
      <c r="D227" s="4">
        <v>62.878787878787875</v>
      </c>
    </row>
    <row r="228" spans="1:4" x14ac:dyDescent="0.3">
      <c r="A228" s="2">
        <v>51002</v>
      </c>
      <c r="B228" s="1" t="s">
        <v>324</v>
      </c>
      <c r="C228" s="4">
        <v>37.142857142857139</v>
      </c>
      <c r="D228" s="4">
        <v>55.55555555555555</v>
      </c>
    </row>
    <row r="229" spans="1:4" x14ac:dyDescent="0.3">
      <c r="A229" s="2">
        <v>51003</v>
      </c>
      <c r="B229" s="1" t="s">
        <v>325</v>
      </c>
      <c r="C229" s="4">
        <v>35.555555555555557</v>
      </c>
      <c r="D229" s="4">
        <v>69.032057267351391</v>
      </c>
    </row>
    <row r="230" spans="1:4" x14ac:dyDescent="0.3">
      <c r="A230" s="2">
        <v>51101</v>
      </c>
      <c r="B230" s="1" t="s">
        <v>327</v>
      </c>
      <c r="C230" s="4">
        <v>48.657687405862596</v>
      </c>
      <c r="D230" s="4">
        <v>66.535105454578684</v>
      </c>
    </row>
    <row r="231" spans="1:4" x14ac:dyDescent="0.3">
      <c r="A231" s="2">
        <v>51102</v>
      </c>
      <c r="B231" s="1" t="s">
        <v>329</v>
      </c>
      <c r="C231" s="4">
        <v>55.907830907830906</v>
      </c>
      <c r="D231" s="4">
        <v>59.370440590158303</v>
      </c>
    </row>
    <row r="232" spans="1:4" x14ac:dyDescent="0.3">
      <c r="A232" s="2">
        <v>51103</v>
      </c>
      <c r="B232" s="1" t="s">
        <v>330</v>
      </c>
      <c r="C232" s="4">
        <v>46.428571428571431</v>
      </c>
      <c r="D232" s="4">
        <v>67.767203852922094</v>
      </c>
    </row>
    <row r="233" spans="1:4" x14ac:dyDescent="0.3">
      <c r="A233" s="2">
        <v>51201</v>
      </c>
      <c r="B233" s="1" t="s">
        <v>332</v>
      </c>
      <c r="C233" s="4">
        <v>68.787941691167489</v>
      </c>
      <c r="D233" s="4">
        <v>73.203081855868859</v>
      </c>
    </row>
    <row r="234" spans="1:4" x14ac:dyDescent="0.3">
      <c r="A234" s="2">
        <v>51202</v>
      </c>
      <c r="B234" s="1" t="s">
        <v>333</v>
      </c>
      <c r="C234" s="4">
        <v>42.268253445707472</v>
      </c>
      <c r="D234" s="4">
        <v>60.16339869281046</v>
      </c>
    </row>
    <row r="235" spans="1:4" x14ac:dyDescent="0.3">
      <c r="A235" s="2">
        <v>51203</v>
      </c>
      <c r="B235" s="1" t="s">
        <v>334</v>
      </c>
      <c r="C235" s="4">
        <v>59.664209664209665</v>
      </c>
      <c r="D235" s="4">
        <v>58.073593073593067</v>
      </c>
    </row>
    <row r="236" spans="1:4" x14ac:dyDescent="0.3">
      <c r="A236" s="2">
        <v>51204</v>
      </c>
      <c r="B236" s="1" t="s">
        <v>335</v>
      </c>
      <c r="C236" s="4">
        <v>42.268253445707472</v>
      </c>
      <c r="D236" s="4">
        <v>60.16339869281046</v>
      </c>
    </row>
    <row r="237" spans="1:4" x14ac:dyDescent="0.3">
      <c r="A237" s="2">
        <v>51301</v>
      </c>
      <c r="B237" s="1" t="s">
        <v>337</v>
      </c>
      <c r="C237" s="4">
        <v>47.16450216450216</v>
      </c>
      <c r="D237" s="4">
        <v>81.081081081081081</v>
      </c>
    </row>
    <row r="238" spans="1:4" x14ac:dyDescent="0.3">
      <c r="A238" s="2">
        <v>51302</v>
      </c>
      <c r="B238" s="1" t="s">
        <v>338</v>
      </c>
      <c r="C238" s="4">
        <v>55.243521910188576</v>
      </c>
      <c r="D238" s="4">
        <v>83.075684380032214</v>
      </c>
    </row>
    <row r="239" spans="1:4" x14ac:dyDescent="0.3">
      <c r="A239" s="2">
        <v>51401</v>
      </c>
      <c r="B239" s="1" t="s">
        <v>340</v>
      </c>
      <c r="C239" s="4">
        <v>34.865196078431374</v>
      </c>
      <c r="D239" s="4">
        <v>47.295265190002034</v>
      </c>
    </row>
    <row r="240" spans="1:4" x14ac:dyDescent="0.3">
      <c r="A240" s="2">
        <v>51402</v>
      </c>
      <c r="B240" s="1" t="s">
        <v>341</v>
      </c>
      <c r="C240" s="4">
        <v>47.121212121212125</v>
      </c>
      <c r="D240" s="4">
        <v>44.44444444444445</v>
      </c>
    </row>
    <row r="241" spans="1:4" x14ac:dyDescent="0.3">
      <c r="A241" s="2">
        <v>51501</v>
      </c>
      <c r="B241" s="1" t="s">
        <v>343</v>
      </c>
      <c r="C241" s="4">
        <v>63.217354058039056</v>
      </c>
      <c r="D241" s="4">
        <v>76.122085456510717</v>
      </c>
    </row>
    <row r="242" spans="1:4" x14ac:dyDescent="0.3">
      <c r="A242" s="2">
        <v>51601</v>
      </c>
      <c r="B242" s="1" t="s">
        <v>345</v>
      </c>
      <c r="C242" s="4">
        <v>6.193588546529722</v>
      </c>
      <c r="D242" s="4">
        <v>48.484848484848477</v>
      </c>
    </row>
    <row r="243" spans="1:4" x14ac:dyDescent="0.3">
      <c r="A243" s="2">
        <v>60101</v>
      </c>
      <c r="B243" s="1" t="s">
        <v>346</v>
      </c>
      <c r="C243" s="4">
        <v>73.861755102760938</v>
      </c>
      <c r="D243" s="4">
        <v>76.975711835571431</v>
      </c>
    </row>
    <row r="244" spans="1:4" x14ac:dyDescent="0.3">
      <c r="A244" s="2">
        <v>60201</v>
      </c>
      <c r="B244" s="1" t="s">
        <v>348</v>
      </c>
      <c r="C244" s="4">
        <v>42.822576042915024</v>
      </c>
      <c r="D244" s="4">
        <v>67.827956989247312</v>
      </c>
    </row>
    <row r="245" spans="1:4" x14ac:dyDescent="0.3">
      <c r="A245" s="2">
        <v>60202</v>
      </c>
      <c r="B245" s="1" t="s">
        <v>349</v>
      </c>
      <c r="C245" s="4">
        <v>65.94093368470044</v>
      </c>
      <c r="D245" s="4">
        <v>74.795013795857116</v>
      </c>
    </row>
    <row r="246" spans="1:4" x14ac:dyDescent="0.3">
      <c r="A246" s="2">
        <v>60301</v>
      </c>
      <c r="B246" s="1" t="s">
        <v>351</v>
      </c>
      <c r="C246" s="4">
        <v>73.167467080387695</v>
      </c>
      <c r="D246" s="4">
        <v>81.635361413357089</v>
      </c>
    </row>
    <row r="247" spans="1:4" x14ac:dyDescent="0.3">
      <c r="A247" s="2">
        <v>60302</v>
      </c>
      <c r="B247" s="1" t="s">
        <v>352</v>
      </c>
      <c r="C247" s="4">
        <v>35.005472170106316</v>
      </c>
      <c r="D247" s="4">
        <v>71.525731276862061</v>
      </c>
    </row>
    <row r="248" spans="1:4" x14ac:dyDescent="0.3">
      <c r="A248" s="2">
        <v>60303</v>
      </c>
      <c r="B248" s="1" t="s">
        <v>353</v>
      </c>
      <c r="C248" s="4">
        <v>64.939331190319152</v>
      </c>
      <c r="D248" s="4">
        <v>77.9079003657166</v>
      </c>
    </row>
    <row r="249" spans="1:4" x14ac:dyDescent="0.3">
      <c r="A249" s="2">
        <v>60401</v>
      </c>
      <c r="B249" s="1" t="s">
        <v>355</v>
      </c>
      <c r="C249" s="4">
        <v>48.147576412472993</v>
      </c>
      <c r="D249" s="4">
        <v>69.747578738656301</v>
      </c>
    </row>
    <row r="250" spans="1:4" x14ac:dyDescent="0.3">
      <c r="A250" s="2">
        <v>60402</v>
      </c>
      <c r="B250" s="1" t="s">
        <v>357</v>
      </c>
      <c r="C250" s="4">
        <v>41.049382716049386</v>
      </c>
      <c r="D250" s="4">
        <v>68.847838437150656</v>
      </c>
    </row>
    <row r="251" spans="1:4" x14ac:dyDescent="0.3">
      <c r="A251" s="2">
        <v>60501</v>
      </c>
      <c r="B251" s="1" t="s">
        <v>359</v>
      </c>
      <c r="C251" s="4">
        <v>48.443112534266</v>
      </c>
      <c r="D251" s="4">
        <v>69.364578351991653</v>
      </c>
    </row>
    <row r="252" spans="1:4" x14ac:dyDescent="0.3">
      <c r="A252" s="2">
        <v>60502</v>
      </c>
      <c r="B252" s="1" t="s">
        <v>361</v>
      </c>
      <c r="C252" s="4">
        <v>28.45719095719096</v>
      </c>
      <c r="D252" s="4">
        <v>65.955145719489977</v>
      </c>
    </row>
    <row r="253" spans="1:4" x14ac:dyDescent="0.3">
      <c r="A253" s="2">
        <v>60601</v>
      </c>
      <c r="B253" s="1" t="s">
        <v>213</v>
      </c>
      <c r="C253" s="4">
        <v>49.742571616186488</v>
      </c>
      <c r="D253" s="4">
        <v>76.631070041345552</v>
      </c>
    </row>
    <row r="254" spans="1:4" x14ac:dyDescent="0.3">
      <c r="A254" s="2">
        <v>70101</v>
      </c>
      <c r="B254" s="1" t="s">
        <v>365</v>
      </c>
      <c r="C254" s="4">
        <v>75.265559365598151</v>
      </c>
      <c r="D254" s="4">
        <v>79.553430533833009</v>
      </c>
    </row>
    <row r="255" spans="1:4" x14ac:dyDescent="0.3">
      <c r="A255" s="2">
        <v>70102</v>
      </c>
      <c r="B255" s="1" t="s">
        <v>366</v>
      </c>
      <c r="C255" s="4">
        <v>81.470459164818919</v>
      </c>
      <c r="D255" s="4">
        <v>89.075580574911214</v>
      </c>
    </row>
    <row r="256" spans="1:4" x14ac:dyDescent="0.3">
      <c r="A256" s="2">
        <v>70103</v>
      </c>
      <c r="B256" s="1" t="s">
        <v>367</v>
      </c>
      <c r="C256" s="4">
        <v>63.524011299435024</v>
      </c>
      <c r="D256" s="4">
        <v>71.263151602104259</v>
      </c>
    </row>
    <row r="257" spans="1:4" x14ac:dyDescent="0.3">
      <c r="A257" s="2">
        <v>70104</v>
      </c>
      <c r="B257" s="1" t="s">
        <v>369</v>
      </c>
      <c r="C257" s="4">
        <v>74.457697713231639</v>
      </c>
      <c r="D257" s="4">
        <v>77.810179419718878</v>
      </c>
    </row>
    <row r="258" spans="1:4" x14ac:dyDescent="0.3">
      <c r="A258" s="2">
        <v>70105</v>
      </c>
      <c r="B258" s="1" t="s">
        <v>370</v>
      </c>
      <c r="C258" s="4">
        <v>57.805410426100075</v>
      </c>
      <c r="D258" s="4">
        <v>63.074033398101996</v>
      </c>
    </row>
    <row r="259" spans="1:4" x14ac:dyDescent="0.3">
      <c r="A259" s="2">
        <v>70201</v>
      </c>
      <c r="B259" s="1" t="s">
        <v>371</v>
      </c>
      <c r="C259" s="4">
        <v>65.599992490656376</v>
      </c>
      <c r="D259" s="4">
        <v>73.927942947743659</v>
      </c>
    </row>
    <row r="260" spans="1:4" x14ac:dyDescent="0.3">
      <c r="A260" s="2">
        <v>70202</v>
      </c>
      <c r="B260" s="1" t="s">
        <v>372</v>
      </c>
      <c r="C260" s="4">
        <v>56.676510682276792</v>
      </c>
      <c r="D260" s="4">
        <v>61.987832484436893</v>
      </c>
    </row>
    <row r="261" spans="1:4" x14ac:dyDescent="0.3">
      <c r="A261" s="2">
        <v>70301</v>
      </c>
      <c r="B261" s="1" t="s">
        <v>374</v>
      </c>
      <c r="C261" s="4">
        <v>53.930284980369578</v>
      </c>
      <c r="D261" s="4">
        <v>82.222246381538426</v>
      </c>
    </row>
    <row r="262" spans="1:4" x14ac:dyDescent="0.3">
      <c r="A262" s="2">
        <v>70302</v>
      </c>
      <c r="B262" s="1" t="s">
        <v>376</v>
      </c>
      <c r="C262" s="4">
        <v>39.268737798149566</v>
      </c>
      <c r="D262" s="4">
        <v>72.735597735597722</v>
      </c>
    </row>
    <row r="263" spans="1:4" x14ac:dyDescent="0.3">
      <c r="A263" s="2">
        <v>70303</v>
      </c>
      <c r="B263" s="1" t="s">
        <v>378</v>
      </c>
      <c r="C263" s="4">
        <v>31.815114709851553</v>
      </c>
      <c r="D263" s="4">
        <v>78.516260162601625</v>
      </c>
    </row>
    <row r="264" spans="1:4" x14ac:dyDescent="0.3">
      <c r="A264" s="2">
        <v>70401</v>
      </c>
      <c r="B264" s="1" t="s">
        <v>380</v>
      </c>
      <c r="C264" s="4">
        <v>24.124914207275225</v>
      </c>
      <c r="D264" s="4">
        <v>53.139235492176674</v>
      </c>
    </row>
    <row r="265" spans="1:4" x14ac:dyDescent="0.3">
      <c r="A265" s="2">
        <v>70402</v>
      </c>
      <c r="B265" s="1" t="s">
        <v>381</v>
      </c>
      <c r="C265" s="4">
        <v>44.142765066065095</v>
      </c>
      <c r="D265" s="4">
        <v>67.00378705515692</v>
      </c>
    </row>
    <row r="266" spans="1:4" x14ac:dyDescent="0.3">
      <c r="A266" s="2">
        <v>70403</v>
      </c>
      <c r="B266" s="1" t="s">
        <v>382</v>
      </c>
      <c r="C266" s="4">
        <v>57.656851596513292</v>
      </c>
      <c r="D266" s="4">
        <v>72.692183915556356</v>
      </c>
    </row>
    <row r="267" spans="1:4" x14ac:dyDescent="0.3">
      <c r="A267" s="2">
        <v>70404</v>
      </c>
      <c r="B267" s="1" t="s">
        <v>383</v>
      </c>
      <c r="C267" s="4">
        <v>55.670995670995673</v>
      </c>
      <c r="D267" s="4">
        <v>71.063980346604708</v>
      </c>
    </row>
    <row r="268" spans="1:4" x14ac:dyDescent="0.3">
      <c r="A268" s="2">
        <v>70501</v>
      </c>
      <c r="B268" s="1" t="s">
        <v>385</v>
      </c>
      <c r="C268" s="4">
        <v>46.827368138843546</v>
      </c>
      <c r="D268" s="4">
        <v>77.63864042933811</v>
      </c>
    </row>
    <row r="269" spans="1:4" x14ac:dyDescent="0.3">
      <c r="A269" s="2">
        <v>70502</v>
      </c>
      <c r="B269" s="1" t="s">
        <v>387</v>
      </c>
      <c r="C269" s="4">
        <v>61.040485312899108</v>
      </c>
      <c r="D269" s="4">
        <v>72.981740481740488</v>
      </c>
    </row>
    <row r="270" spans="1:4" x14ac:dyDescent="0.3">
      <c r="A270" s="2">
        <v>70503</v>
      </c>
      <c r="B270" s="1" t="s">
        <v>388</v>
      </c>
      <c r="C270" s="4">
        <v>47.487878787878792</v>
      </c>
      <c r="D270" s="4">
        <v>85.026133211251178</v>
      </c>
    </row>
    <row r="271" spans="1:4" x14ac:dyDescent="0.3">
      <c r="A271" s="2">
        <v>70601</v>
      </c>
      <c r="B271" s="1" t="s">
        <v>390</v>
      </c>
      <c r="C271" s="4">
        <v>40.502719884163177</v>
      </c>
      <c r="D271" s="4">
        <v>55.376446053730369</v>
      </c>
    </row>
    <row r="272" spans="1:4" x14ac:dyDescent="0.3">
      <c r="A272" s="2">
        <v>70602</v>
      </c>
      <c r="B272" s="1" t="s">
        <v>391</v>
      </c>
      <c r="C272" s="4">
        <v>43.504529978648513</v>
      </c>
      <c r="D272" s="4">
        <v>64.379558129558134</v>
      </c>
    </row>
    <row r="273" spans="1:4" x14ac:dyDescent="0.3">
      <c r="A273" s="2">
        <v>70603</v>
      </c>
      <c r="B273" s="1" t="s">
        <v>393</v>
      </c>
      <c r="C273" s="4">
        <v>57.777777777777771</v>
      </c>
      <c r="D273" s="4">
        <v>59.434737156511346</v>
      </c>
    </row>
    <row r="274" spans="1:4" x14ac:dyDescent="0.3">
      <c r="A274" s="2">
        <v>70701</v>
      </c>
      <c r="B274" s="1" t="s">
        <v>395</v>
      </c>
      <c r="C274" s="4">
        <v>50.1990346817933</v>
      </c>
      <c r="D274" s="4">
        <v>75.113292716453387</v>
      </c>
    </row>
    <row r="275" spans="1:4" x14ac:dyDescent="0.3">
      <c r="A275" s="2">
        <v>70702</v>
      </c>
      <c r="B275" s="1" t="s">
        <v>396</v>
      </c>
      <c r="C275" s="4">
        <v>34.126137948002956</v>
      </c>
      <c r="D275" s="4">
        <v>79.384720027207081</v>
      </c>
    </row>
    <row r="276" spans="1:4" x14ac:dyDescent="0.3">
      <c r="A276" s="2">
        <v>70703</v>
      </c>
      <c r="B276" s="1" t="s">
        <v>397</v>
      </c>
      <c r="C276" s="4">
        <v>55.725122713074519</v>
      </c>
      <c r="D276" s="4">
        <v>71.066476218278879</v>
      </c>
    </row>
    <row r="277" spans="1:4" x14ac:dyDescent="0.3">
      <c r="A277" s="2">
        <v>70704</v>
      </c>
      <c r="B277" s="1" t="s">
        <v>398</v>
      </c>
      <c r="C277" s="4">
        <v>41.600529100529094</v>
      </c>
      <c r="D277" s="4">
        <v>59.145981087470453</v>
      </c>
    </row>
    <row r="278" spans="1:4" x14ac:dyDescent="0.3">
      <c r="A278" s="2">
        <v>70705</v>
      </c>
      <c r="B278" s="1" t="s">
        <v>399</v>
      </c>
      <c r="C278" s="4">
        <v>37.104972522720317</v>
      </c>
      <c r="D278" s="4">
        <v>72.941528014419163</v>
      </c>
    </row>
    <row r="279" spans="1:4" x14ac:dyDescent="0.3">
      <c r="A279" s="2">
        <v>70706</v>
      </c>
      <c r="B279" s="1" t="s">
        <v>400</v>
      </c>
      <c r="C279" s="4">
        <v>58.60928854273201</v>
      </c>
      <c r="D279" s="4">
        <v>70.81237059214773</v>
      </c>
    </row>
    <row r="280" spans="1:4" x14ac:dyDescent="0.3">
      <c r="A280" s="2">
        <v>70707</v>
      </c>
      <c r="B280" s="1" t="s">
        <v>401</v>
      </c>
      <c r="C280" s="4">
        <v>57.93434343434344</v>
      </c>
      <c r="D280" s="4">
        <v>78.696581196581192</v>
      </c>
    </row>
    <row r="281" spans="1:4" x14ac:dyDescent="0.3">
      <c r="A281" s="2">
        <v>70801</v>
      </c>
      <c r="B281" s="1" t="s">
        <v>402</v>
      </c>
      <c r="C281" s="4">
        <v>61.700823572591055</v>
      </c>
      <c r="D281" s="4">
        <v>77.912622961642569</v>
      </c>
    </row>
    <row r="282" spans="1:4" x14ac:dyDescent="0.3">
      <c r="A282" s="2">
        <v>70802</v>
      </c>
      <c r="B282" s="1" t="s">
        <v>403</v>
      </c>
      <c r="C282" s="4">
        <v>21.616161616161619</v>
      </c>
      <c r="D282" s="4">
        <v>53.675213675213676</v>
      </c>
    </row>
    <row r="283" spans="1:4" x14ac:dyDescent="0.3">
      <c r="A283" s="2">
        <v>70803</v>
      </c>
      <c r="B283" s="1" t="s">
        <v>404</v>
      </c>
      <c r="C283" s="4">
        <v>23.882783882783883</v>
      </c>
      <c r="D283" s="4">
        <v>63.226010101010097</v>
      </c>
    </row>
    <row r="284" spans="1:4" x14ac:dyDescent="0.3">
      <c r="A284" s="2">
        <v>70804</v>
      </c>
      <c r="B284" s="1" t="s">
        <v>406</v>
      </c>
      <c r="C284" s="4">
        <v>44.444444444444436</v>
      </c>
      <c r="D284" s="4">
        <v>100</v>
      </c>
    </row>
    <row r="285" spans="1:4" x14ac:dyDescent="0.3">
      <c r="A285" s="2">
        <v>70805</v>
      </c>
      <c r="B285" s="1" t="s">
        <v>407</v>
      </c>
      <c r="C285" s="4">
        <v>17.962962962962962</v>
      </c>
      <c r="D285" s="4">
        <v>39.682539682539684</v>
      </c>
    </row>
    <row r="286" spans="1:4" x14ac:dyDescent="0.3">
      <c r="A286" s="2">
        <v>70901</v>
      </c>
      <c r="B286" s="1" t="s">
        <v>409</v>
      </c>
      <c r="C286" s="4">
        <v>66.265856950067473</v>
      </c>
      <c r="D286" s="4">
        <v>82.155925782427133</v>
      </c>
    </row>
    <row r="287" spans="1:4" x14ac:dyDescent="0.3">
      <c r="A287" s="2">
        <v>70902</v>
      </c>
      <c r="B287" s="1" t="s">
        <v>410</v>
      </c>
      <c r="C287" s="4">
        <v>69.566019869356566</v>
      </c>
      <c r="D287" s="4">
        <v>90.102355522437492</v>
      </c>
    </row>
    <row r="288" spans="1:4" x14ac:dyDescent="0.3">
      <c r="A288" s="2">
        <v>70903</v>
      </c>
      <c r="B288" s="1" t="s">
        <v>411</v>
      </c>
      <c r="C288" s="4">
        <v>54.213263588263594</v>
      </c>
      <c r="D288" s="4">
        <v>92.432137106050149</v>
      </c>
    </row>
    <row r="289" spans="1:4" x14ac:dyDescent="0.3">
      <c r="A289" s="2">
        <v>70904</v>
      </c>
      <c r="B289" s="1" t="s">
        <v>412</v>
      </c>
      <c r="C289" s="4">
        <v>52.314814814814817</v>
      </c>
      <c r="D289" s="4">
        <v>85.925925925925924</v>
      </c>
    </row>
    <row r="290" spans="1:4" x14ac:dyDescent="0.3">
      <c r="A290" s="2">
        <v>71001</v>
      </c>
      <c r="B290" s="1" t="s">
        <v>414</v>
      </c>
      <c r="C290" s="4">
        <v>53.18004375458478</v>
      </c>
      <c r="D290" s="4">
        <v>68.416265625194285</v>
      </c>
    </row>
    <row r="291" spans="1:4" x14ac:dyDescent="0.3">
      <c r="A291" s="2">
        <v>71002</v>
      </c>
      <c r="B291" s="1" t="s">
        <v>415</v>
      </c>
      <c r="C291" s="4">
        <v>33.495451185326687</v>
      </c>
      <c r="D291" s="4">
        <v>69.633599131155506</v>
      </c>
    </row>
    <row r="292" spans="1:4" x14ac:dyDescent="0.3">
      <c r="A292" s="2">
        <v>71003</v>
      </c>
      <c r="B292" s="1" t="s">
        <v>416</v>
      </c>
      <c r="C292" s="4">
        <v>46.677542948955626</v>
      </c>
      <c r="D292" s="4">
        <v>65.632951653944019</v>
      </c>
    </row>
    <row r="293" spans="1:4" x14ac:dyDescent="0.3">
      <c r="A293" s="2">
        <v>71004</v>
      </c>
      <c r="B293" s="1" t="s">
        <v>417</v>
      </c>
      <c r="C293" s="4">
        <v>50.015782828282831</v>
      </c>
      <c r="D293" s="4">
        <v>57.264783580573059</v>
      </c>
    </row>
    <row r="294" spans="1:4" x14ac:dyDescent="0.3">
      <c r="A294" s="2">
        <v>71005</v>
      </c>
      <c r="B294" s="1" t="s">
        <v>304</v>
      </c>
      <c r="C294" s="4">
        <v>50.39535136309329</v>
      </c>
      <c r="D294" s="4">
        <v>62.817281192961779</v>
      </c>
    </row>
    <row r="295" spans="1:4" x14ac:dyDescent="0.3">
      <c r="A295" s="2">
        <v>71101</v>
      </c>
      <c r="B295" s="1" t="s">
        <v>356</v>
      </c>
      <c r="C295" s="4">
        <v>57.828928672918437</v>
      </c>
      <c r="D295" s="4">
        <v>81.493274836045671</v>
      </c>
    </row>
    <row r="296" spans="1:4" x14ac:dyDescent="0.3">
      <c r="A296" s="2">
        <v>71102</v>
      </c>
      <c r="B296" s="1" t="s">
        <v>419</v>
      </c>
      <c r="C296" s="4">
        <v>65.620025384624512</v>
      </c>
      <c r="D296" s="4">
        <v>80.413759589017317</v>
      </c>
    </row>
    <row r="297" spans="1:4" x14ac:dyDescent="0.3">
      <c r="A297" s="2">
        <v>71103</v>
      </c>
      <c r="B297" s="1" t="s">
        <v>420</v>
      </c>
      <c r="C297" s="4">
        <v>67.612570356472801</v>
      </c>
      <c r="D297" s="4">
        <v>87.835497835497847</v>
      </c>
    </row>
    <row r="298" spans="1:4" x14ac:dyDescent="0.3">
      <c r="A298" s="2">
        <v>71104</v>
      </c>
      <c r="B298" s="1" t="s">
        <v>421</v>
      </c>
      <c r="C298" s="4">
        <v>51.833653380887654</v>
      </c>
      <c r="D298" s="4">
        <v>76.721104305757891</v>
      </c>
    </row>
    <row r="299" spans="1:4" x14ac:dyDescent="0.3">
      <c r="A299" s="2">
        <v>71105</v>
      </c>
      <c r="B299" s="1" t="s">
        <v>422</v>
      </c>
      <c r="C299" s="4">
        <v>30.710955710955716</v>
      </c>
      <c r="D299" s="4">
        <v>66.122534037232569</v>
      </c>
    </row>
    <row r="300" spans="1:4" x14ac:dyDescent="0.3">
      <c r="A300" s="2">
        <v>71106</v>
      </c>
      <c r="B300" s="1" t="s">
        <v>423</v>
      </c>
      <c r="C300" s="4">
        <v>53.172232205251078</v>
      </c>
      <c r="D300" s="4">
        <v>70.52908806543212</v>
      </c>
    </row>
    <row r="301" spans="1:4" x14ac:dyDescent="0.3">
      <c r="A301" s="2">
        <v>71201</v>
      </c>
      <c r="B301" s="1" t="s">
        <v>425</v>
      </c>
      <c r="C301" s="4">
        <v>57.201546285680685</v>
      </c>
      <c r="D301" s="4">
        <v>84.27011124390917</v>
      </c>
    </row>
    <row r="302" spans="1:4" x14ac:dyDescent="0.3">
      <c r="A302" s="2">
        <v>71301</v>
      </c>
      <c r="B302" s="1" t="s">
        <v>427</v>
      </c>
      <c r="C302" s="4">
        <v>63.661428177557212</v>
      </c>
      <c r="D302" s="4">
        <v>76.594625545967816</v>
      </c>
    </row>
    <row r="303" spans="1:4" x14ac:dyDescent="0.3">
      <c r="A303" s="2">
        <v>71302</v>
      </c>
      <c r="B303" s="1" t="s">
        <v>428</v>
      </c>
      <c r="C303" s="4">
        <v>59.197530864197539</v>
      </c>
      <c r="D303" s="4">
        <v>77.938808373590973</v>
      </c>
    </row>
    <row r="304" spans="1:4" x14ac:dyDescent="0.3">
      <c r="A304" s="2">
        <v>71401</v>
      </c>
      <c r="B304" s="1" t="s">
        <v>430</v>
      </c>
      <c r="C304" s="4">
        <v>40.094995366079701</v>
      </c>
      <c r="D304" s="4">
        <v>72.436974789915965</v>
      </c>
    </row>
    <row r="305" spans="1:4" x14ac:dyDescent="0.3">
      <c r="A305" s="2">
        <v>71402</v>
      </c>
      <c r="B305" s="1" t="s">
        <v>431</v>
      </c>
      <c r="C305" s="4">
        <v>57.281142622698589</v>
      </c>
      <c r="D305" s="4">
        <v>80.117137377501493</v>
      </c>
    </row>
    <row r="306" spans="1:4" x14ac:dyDescent="0.3">
      <c r="A306" s="2">
        <v>71403</v>
      </c>
      <c r="B306" s="1" t="s">
        <v>432</v>
      </c>
      <c r="C306" s="4">
        <v>41.025641025641029</v>
      </c>
      <c r="D306" s="4">
        <v>91.231126596980246</v>
      </c>
    </row>
    <row r="307" spans="1:4" x14ac:dyDescent="0.3">
      <c r="A307" s="2">
        <v>71501</v>
      </c>
      <c r="B307" s="1" t="s">
        <v>434</v>
      </c>
      <c r="C307" s="4">
        <v>62.318802196444018</v>
      </c>
      <c r="D307" s="4">
        <v>79.776097275522545</v>
      </c>
    </row>
    <row r="308" spans="1:4" x14ac:dyDescent="0.3">
      <c r="A308" s="2">
        <v>71502</v>
      </c>
      <c r="B308" s="1" t="s">
        <v>435</v>
      </c>
      <c r="C308" s="4">
        <v>61.482720178372354</v>
      </c>
      <c r="D308" s="4">
        <v>83.904997052706506</v>
      </c>
    </row>
    <row r="309" spans="1:4" x14ac:dyDescent="0.3">
      <c r="A309" s="2">
        <v>71503</v>
      </c>
      <c r="B309" s="1" t="s">
        <v>361</v>
      </c>
      <c r="C309" s="4">
        <v>65.799457994579939</v>
      </c>
      <c r="D309" s="4">
        <v>86.5489944373128</v>
      </c>
    </row>
    <row r="310" spans="1:4" x14ac:dyDescent="0.3">
      <c r="A310" s="2">
        <v>80101</v>
      </c>
      <c r="B310" s="1" t="s">
        <v>438</v>
      </c>
      <c r="C310" s="4">
        <v>45.649070737050387</v>
      </c>
      <c r="D310" s="4">
        <v>57.794577112766007</v>
      </c>
    </row>
    <row r="311" spans="1:4" x14ac:dyDescent="0.3">
      <c r="A311" s="2">
        <v>80102</v>
      </c>
      <c r="B311" s="1" t="s">
        <v>419</v>
      </c>
      <c r="C311" s="4">
        <v>27.777777777777775</v>
      </c>
      <c r="D311" s="4">
        <v>47.032447457979373</v>
      </c>
    </row>
    <row r="312" spans="1:4" x14ac:dyDescent="0.3">
      <c r="A312" s="2">
        <v>80201</v>
      </c>
      <c r="B312" s="1" t="s">
        <v>440</v>
      </c>
      <c r="C312" s="4">
        <v>19.16667813633325</v>
      </c>
      <c r="D312" s="4">
        <v>42.495556741738426</v>
      </c>
    </row>
    <row r="313" spans="1:4" x14ac:dyDescent="0.3">
      <c r="A313" s="2">
        <v>80202</v>
      </c>
      <c r="B313" s="1" t="s">
        <v>441</v>
      </c>
      <c r="C313" s="4">
        <v>30.879732687688961</v>
      </c>
      <c r="D313" s="4">
        <v>76.495501476614535</v>
      </c>
    </row>
    <row r="314" spans="1:4" x14ac:dyDescent="0.3">
      <c r="A314" s="2">
        <v>80301</v>
      </c>
      <c r="B314" s="1" t="s">
        <v>443</v>
      </c>
      <c r="C314" s="4">
        <v>27.724137931034488</v>
      </c>
      <c r="D314" s="4">
        <v>84.045415919176662</v>
      </c>
    </row>
    <row r="315" spans="1:4" x14ac:dyDescent="0.3">
      <c r="A315" s="2">
        <v>80302</v>
      </c>
      <c r="B315" s="1" t="s">
        <v>444</v>
      </c>
      <c r="C315" s="4">
        <v>41.637822251051865</v>
      </c>
      <c r="D315" s="4">
        <v>76.381080110259958</v>
      </c>
    </row>
    <row r="316" spans="1:4" x14ac:dyDescent="0.3">
      <c r="A316" s="2">
        <v>80303</v>
      </c>
      <c r="B316" s="1" t="s">
        <v>392</v>
      </c>
      <c r="C316" s="4">
        <v>32.973925299506696</v>
      </c>
      <c r="D316" s="4">
        <v>82.608473029230396</v>
      </c>
    </row>
    <row r="317" spans="1:4" x14ac:dyDescent="0.3">
      <c r="A317" s="2">
        <v>80304</v>
      </c>
      <c r="B317" s="1" t="s">
        <v>445</v>
      </c>
      <c r="C317" s="4">
        <v>30.306513409961685</v>
      </c>
      <c r="D317" s="4">
        <v>84.390901137357829</v>
      </c>
    </row>
    <row r="318" spans="1:4" x14ac:dyDescent="0.3">
      <c r="A318" s="2">
        <v>80401</v>
      </c>
      <c r="B318" s="1" t="s">
        <v>448</v>
      </c>
      <c r="C318" s="4">
        <v>44.666666666666664</v>
      </c>
      <c r="D318" s="4">
        <v>79.564518114938281</v>
      </c>
    </row>
    <row r="319" spans="1:4" x14ac:dyDescent="0.3">
      <c r="A319" s="2">
        <v>80402</v>
      </c>
      <c r="B319" s="1" t="s">
        <v>450</v>
      </c>
      <c r="C319" s="4">
        <v>21.843434343434343</v>
      </c>
      <c r="D319" s="4">
        <v>82.848324514991191</v>
      </c>
    </row>
    <row r="320" spans="1:4" x14ac:dyDescent="0.3">
      <c r="A320" s="2">
        <v>80501</v>
      </c>
      <c r="B320" s="1" t="s">
        <v>375</v>
      </c>
      <c r="C320" s="4">
        <v>39.656306770756608</v>
      </c>
      <c r="D320" s="4">
        <v>80.755036397494507</v>
      </c>
    </row>
    <row r="321" spans="1:4" x14ac:dyDescent="0.3">
      <c r="A321" s="2">
        <v>80601</v>
      </c>
      <c r="B321" s="1" t="s">
        <v>453</v>
      </c>
      <c r="C321" s="4">
        <v>10.690758516845472</v>
      </c>
      <c r="D321" s="4">
        <v>75.026819923371647</v>
      </c>
    </row>
    <row r="322" spans="1:4" x14ac:dyDescent="0.3">
      <c r="A322" s="2">
        <v>80602</v>
      </c>
      <c r="B322" s="1" t="s">
        <v>454</v>
      </c>
      <c r="C322" s="4">
        <v>29.544425580079231</v>
      </c>
      <c r="D322" s="4">
        <v>62.416344605475047</v>
      </c>
    </row>
    <row r="323" spans="1:4" x14ac:dyDescent="0.3">
      <c r="A323" s="2">
        <v>80701</v>
      </c>
      <c r="B323" s="1" t="s">
        <v>456</v>
      </c>
      <c r="C323" s="4">
        <v>26.146384479717813</v>
      </c>
      <c r="D323" s="4">
        <v>70.023767082590624</v>
      </c>
    </row>
    <row r="324" spans="1:4" x14ac:dyDescent="0.3">
      <c r="A324" s="2">
        <v>80702</v>
      </c>
      <c r="B324" s="1" t="s">
        <v>420</v>
      </c>
      <c r="C324" s="4">
        <v>34.991830065359473</v>
      </c>
      <c r="D324" s="4">
        <v>87.162162162162147</v>
      </c>
    </row>
    <row r="325" spans="1:4" x14ac:dyDescent="0.3">
      <c r="A325" s="2">
        <v>80703</v>
      </c>
      <c r="B325" s="1" t="s">
        <v>457</v>
      </c>
      <c r="C325" s="4">
        <v>11.111111111111109</v>
      </c>
      <c r="D325" s="4">
        <v>42.857142857142854</v>
      </c>
    </row>
    <row r="326" spans="1:4" x14ac:dyDescent="0.3">
      <c r="A326" s="2">
        <v>80801</v>
      </c>
      <c r="B326" s="1" t="s">
        <v>459</v>
      </c>
      <c r="C326" s="4">
        <v>31.671864319890634</v>
      </c>
      <c r="D326" s="4">
        <v>77.032775709401506</v>
      </c>
    </row>
    <row r="327" spans="1:4" x14ac:dyDescent="0.3">
      <c r="A327" s="2">
        <v>80802</v>
      </c>
      <c r="B327" s="1" t="s">
        <v>460</v>
      </c>
      <c r="C327" s="4">
        <v>29.047619047619047</v>
      </c>
      <c r="D327" s="4">
        <v>88.042648709315372</v>
      </c>
    </row>
    <row r="328" spans="1:4" x14ac:dyDescent="0.3">
      <c r="A328" s="2">
        <v>80803</v>
      </c>
      <c r="B328" s="1" t="s">
        <v>461</v>
      </c>
      <c r="C328" s="4">
        <v>17.045454545454543</v>
      </c>
      <c r="D328" s="4">
        <v>91.485507246376812</v>
      </c>
    </row>
    <row r="329" spans="1:4" x14ac:dyDescent="0.3">
      <c r="A329" s="2">
        <v>80901</v>
      </c>
      <c r="B329" s="1" t="s">
        <v>462</v>
      </c>
      <c r="C329" s="4">
        <v>41.728518935832106</v>
      </c>
      <c r="D329" s="4">
        <v>80.307382876531904</v>
      </c>
    </row>
    <row r="330" spans="1:4" x14ac:dyDescent="0.3">
      <c r="A330" s="2">
        <v>90101</v>
      </c>
      <c r="B330" s="1" t="s">
        <v>465</v>
      </c>
      <c r="C330" s="4">
        <v>58.699026792551969</v>
      </c>
      <c r="D330" s="4">
        <v>76.834426316951067</v>
      </c>
    </row>
    <row r="331" spans="1:4" x14ac:dyDescent="0.3">
      <c r="A331" s="2">
        <v>90102</v>
      </c>
      <c r="B331" s="1" t="s">
        <v>466</v>
      </c>
      <c r="C331" s="4">
        <v>81.286231884057969</v>
      </c>
      <c r="D331" s="4">
        <v>76.32275132275133</v>
      </c>
    </row>
    <row r="332" spans="1:4" x14ac:dyDescent="0.3">
      <c r="A332" s="2">
        <v>90103</v>
      </c>
      <c r="B332" s="1" t="s">
        <v>467</v>
      </c>
      <c r="C332" s="4">
        <v>55.55555555555555</v>
      </c>
      <c r="D332" s="4">
        <v>86.829501915708818</v>
      </c>
    </row>
    <row r="333" spans="1:4" x14ac:dyDescent="0.3">
      <c r="A333" s="2">
        <v>90104</v>
      </c>
      <c r="B333" s="1" t="s">
        <v>468</v>
      </c>
      <c r="C333" s="4">
        <v>53.156565656565654</v>
      </c>
      <c r="D333" s="4">
        <v>84.540795798657427</v>
      </c>
    </row>
    <row r="334" spans="1:4" x14ac:dyDescent="0.3">
      <c r="A334" s="2">
        <v>90201</v>
      </c>
      <c r="B334" s="1" t="s">
        <v>470</v>
      </c>
      <c r="C334" s="4">
        <v>23.677248677248674</v>
      </c>
      <c r="D334" s="4">
        <v>85.82188930503537</v>
      </c>
    </row>
    <row r="335" spans="1:4" x14ac:dyDescent="0.3">
      <c r="A335" s="2">
        <v>90202</v>
      </c>
      <c r="B335" s="1" t="s">
        <v>304</v>
      </c>
      <c r="C335" s="4">
        <v>66.666666666666657</v>
      </c>
      <c r="D335" s="4">
        <v>92.307692307692307</v>
      </c>
    </row>
    <row r="336" spans="1:4" x14ac:dyDescent="0.3">
      <c r="A336" s="2">
        <v>90203</v>
      </c>
      <c r="B336" s="1" t="s">
        <v>471</v>
      </c>
      <c r="C336" s="4">
        <v>61.904761904761905</v>
      </c>
      <c r="D336" s="4">
        <v>81.35168437171022</v>
      </c>
    </row>
    <row r="337" spans="1:4" x14ac:dyDescent="0.3">
      <c r="A337" s="2">
        <v>90301</v>
      </c>
      <c r="B337" s="1" t="s">
        <v>473</v>
      </c>
      <c r="C337" s="4">
        <v>5.9456099456099452</v>
      </c>
      <c r="D337" s="4">
        <v>66.810897435897445</v>
      </c>
    </row>
    <row r="338" spans="1:4" x14ac:dyDescent="0.3">
      <c r="A338" s="2">
        <v>90302</v>
      </c>
      <c r="B338" s="1" t="s">
        <v>359</v>
      </c>
      <c r="C338" s="4">
        <v>23.893939393939394</v>
      </c>
      <c r="D338" s="4">
        <v>76.434253851515379</v>
      </c>
    </row>
    <row r="339" spans="1:4" x14ac:dyDescent="0.3">
      <c r="A339" s="2">
        <v>90303</v>
      </c>
      <c r="B339" s="1" t="s">
        <v>474</v>
      </c>
      <c r="C339" s="4">
        <v>32.539682539682538</v>
      </c>
      <c r="D339" s="4">
        <v>93.346571230662661</v>
      </c>
    </row>
    <row r="340" spans="1:4" x14ac:dyDescent="0.3">
      <c r="A340" s="2">
        <v>90401</v>
      </c>
      <c r="B340" s="1" t="s">
        <v>392</v>
      </c>
      <c r="C340" s="4">
        <v>32.804232804232804</v>
      </c>
      <c r="D340" s="4">
        <v>83.156686097862575</v>
      </c>
    </row>
    <row r="341" spans="1:4" x14ac:dyDescent="0.3">
      <c r="A341" s="2">
        <v>90402</v>
      </c>
      <c r="B341" s="1" t="s">
        <v>98</v>
      </c>
      <c r="C341" s="4">
        <v>22.5</v>
      </c>
      <c r="D341" s="4">
        <v>90.793650793650784</v>
      </c>
    </row>
    <row r="342" spans="1:4" x14ac:dyDescent="0.3">
      <c r="A342" s="2">
        <v>90501</v>
      </c>
      <c r="B342" s="1" t="s">
        <v>477</v>
      </c>
      <c r="C342" s="4">
        <v>17.777777777777775</v>
      </c>
      <c r="D342" s="4">
        <v>96.775446775446781</v>
      </c>
    </row>
    <row r="343" spans="1:4" x14ac:dyDescent="0.3">
      <c r="A343" s="2">
        <v>90502</v>
      </c>
      <c r="B343" s="1" t="s">
        <v>478</v>
      </c>
      <c r="C343" s="4">
        <v>15.15151515151515</v>
      </c>
      <c r="D343" s="4">
        <v>93.574929971988794</v>
      </c>
    </row>
    <row r="344" spans="1:4" x14ac:dyDescent="0.3">
      <c r="A344" s="2">
        <v>90503</v>
      </c>
      <c r="B344" s="1" t="s">
        <v>480</v>
      </c>
      <c r="C344" s="4">
        <v>13.333333333333334</v>
      </c>
      <c r="D344" s="4">
        <v>87.699805068226127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C2" sqref="C2:D344"/>
    </sheetView>
  </sheetViews>
  <sheetFormatPr baseColWidth="10" defaultRowHeight="14.4" x14ac:dyDescent="0.3"/>
  <sheetData>
    <row r="1" spans="1:4" x14ac:dyDescent="0.3">
      <c r="A1" s="1" t="s">
        <v>481</v>
      </c>
      <c r="B1" s="1" t="s">
        <v>2</v>
      </c>
      <c r="C1" s="1" t="s">
        <v>535</v>
      </c>
      <c r="D1" s="1" t="s">
        <v>536</v>
      </c>
    </row>
    <row r="2" spans="1:4" x14ac:dyDescent="0.3">
      <c r="A2" s="2">
        <v>10101</v>
      </c>
      <c r="B2" s="1" t="s">
        <v>6</v>
      </c>
      <c r="C2" s="2">
        <v>208.33333333333334</v>
      </c>
      <c r="D2" s="2">
        <v>328</v>
      </c>
    </row>
    <row r="3" spans="1:4" x14ac:dyDescent="0.3">
      <c r="A3" s="2">
        <v>10102</v>
      </c>
      <c r="B3" s="1" t="s">
        <v>7</v>
      </c>
      <c r="C3" s="2">
        <v>12</v>
      </c>
      <c r="D3" s="2">
        <v>20.666666666666668</v>
      </c>
    </row>
    <row r="4" spans="1:4" x14ac:dyDescent="0.3">
      <c r="A4" s="2">
        <v>10103</v>
      </c>
      <c r="B4" s="1" t="s">
        <v>8</v>
      </c>
      <c r="C4" s="2">
        <v>21.666666666666668</v>
      </c>
      <c r="D4" s="2">
        <v>20.333333333333332</v>
      </c>
    </row>
    <row r="5" spans="1:4" x14ac:dyDescent="0.3">
      <c r="A5" s="2">
        <v>10201</v>
      </c>
      <c r="B5" s="1" t="s">
        <v>10</v>
      </c>
      <c r="C5" s="2">
        <v>12</v>
      </c>
      <c r="D5" s="2">
        <v>6.666666666666667</v>
      </c>
    </row>
    <row r="6" spans="1:4" x14ac:dyDescent="0.3">
      <c r="A6" s="2">
        <v>10202</v>
      </c>
      <c r="B6" s="1" t="s">
        <v>11</v>
      </c>
      <c r="C6" s="2">
        <v>16.666666666666668</v>
      </c>
      <c r="D6" s="2">
        <v>15.333333333333334</v>
      </c>
    </row>
    <row r="7" spans="1:4" x14ac:dyDescent="0.3">
      <c r="A7" s="2">
        <v>10301</v>
      </c>
      <c r="B7" s="1" t="s">
        <v>14</v>
      </c>
      <c r="C7" s="2">
        <v>8</v>
      </c>
      <c r="D7" s="2">
        <v>5</v>
      </c>
    </row>
    <row r="8" spans="1:4" x14ac:dyDescent="0.3">
      <c r="A8" s="2">
        <v>10302</v>
      </c>
      <c r="B8" s="1" t="s">
        <v>16</v>
      </c>
      <c r="C8" s="2">
        <v>3.6666666666666665</v>
      </c>
      <c r="D8" s="2">
        <v>8</v>
      </c>
    </row>
    <row r="9" spans="1:4" x14ac:dyDescent="0.3">
      <c r="A9" s="2">
        <v>10303</v>
      </c>
      <c r="B9" s="1" t="s">
        <v>17</v>
      </c>
      <c r="C9" s="2">
        <v>7.666666666666667</v>
      </c>
      <c r="D9" s="2">
        <v>12.666666666666666</v>
      </c>
    </row>
    <row r="10" spans="1:4" x14ac:dyDescent="0.3">
      <c r="A10" s="2">
        <v>10304</v>
      </c>
      <c r="B10" s="1" t="s">
        <v>19</v>
      </c>
      <c r="C10" s="2">
        <v>10.333333333333334</v>
      </c>
      <c r="D10" s="2">
        <v>5.333333333333333</v>
      </c>
    </row>
    <row r="11" spans="1:4" x14ac:dyDescent="0.3">
      <c r="A11" s="2">
        <v>10401</v>
      </c>
      <c r="B11" s="1" t="s">
        <v>21</v>
      </c>
      <c r="C11" s="2">
        <v>11.666666666666666</v>
      </c>
      <c r="D11" s="2">
        <v>12.666666666666666</v>
      </c>
    </row>
    <row r="12" spans="1:4" x14ac:dyDescent="0.3">
      <c r="A12" s="2">
        <v>10402</v>
      </c>
      <c r="B12" s="1" t="s">
        <v>20</v>
      </c>
      <c r="C12" s="2">
        <v>6.666666666666667</v>
      </c>
      <c r="D12" s="2">
        <v>13.333333333333334</v>
      </c>
    </row>
    <row r="13" spans="1:4" x14ac:dyDescent="0.3">
      <c r="A13" s="2">
        <v>10403</v>
      </c>
      <c r="B13" s="1" t="s">
        <v>23</v>
      </c>
      <c r="C13" s="2">
        <v>6.666666666666667</v>
      </c>
      <c r="D13" s="2">
        <v>8.6666666666666661</v>
      </c>
    </row>
    <row r="14" spans="1:4" x14ac:dyDescent="0.3">
      <c r="A14" s="2">
        <v>10404</v>
      </c>
      <c r="B14" s="1" t="s">
        <v>25</v>
      </c>
      <c r="C14" s="2">
        <v>7.666666666666667</v>
      </c>
      <c r="D14" s="2">
        <v>7.666666666666667</v>
      </c>
    </row>
    <row r="15" spans="1:4" x14ac:dyDescent="0.3">
      <c r="A15" s="2">
        <v>10405</v>
      </c>
      <c r="B15" s="1" t="s">
        <v>27</v>
      </c>
      <c r="C15" s="2">
        <v>5.333333333333333</v>
      </c>
      <c r="D15" s="2">
        <v>6.333333333333333</v>
      </c>
    </row>
    <row r="16" spans="1:4" x14ac:dyDescent="0.3">
      <c r="A16" s="2">
        <v>10501</v>
      </c>
      <c r="B16" s="1" t="s">
        <v>29</v>
      </c>
      <c r="C16" s="2">
        <v>42.333333333333336</v>
      </c>
      <c r="D16" s="2">
        <v>50.333333333333336</v>
      </c>
    </row>
    <row r="17" spans="1:4" x14ac:dyDescent="0.3">
      <c r="A17" s="2">
        <v>10502</v>
      </c>
      <c r="B17" s="1" t="s">
        <v>30</v>
      </c>
      <c r="C17" s="2">
        <v>11</v>
      </c>
      <c r="D17" s="2">
        <v>18.666666666666668</v>
      </c>
    </row>
    <row r="18" spans="1:4" x14ac:dyDescent="0.3">
      <c r="A18" s="2">
        <v>10601</v>
      </c>
      <c r="B18" s="1" t="s">
        <v>32</v>
      </c>
      <c r="C18" s="2">
        <v>18.333333333333332</v>
      </c>
      <c r="D18" s="2">
        <v>20</v>
      </c>
    </row>
    <row r="19" spans="1:4" x14ac:dyDescent="0.3">
      <c r="A19" s="2">
        <v>10602</v>
      </c>
      <c r="B19" s="1" t="s">
        <v>31</v>
      </c>
      <c r="C19" s="2">
        <v>4.666666666666667</v>
      </c>
      <c r="D19" s="2">
        <v>15.666666666666666</v>
      </c>
    </row>
    <row r="20" spans="1:4" x14ac:dyDescent="0.3">
      <c r="A20" s="2">
        <v>10701</v>
      </c>
      <c r="B20" s="1" t="s">
        <v>34</v>
      </c>
      <c r="C20" s="2">
        <v>20.666666666666668</v>
      </c>
      <c r="D20" s="2">
        <v>25</v>
      </c>
    </row>
    <row r="21" spans="1:4" x14ac:dyDescent="0.3">
      <c r="A21" s="2">
        <v>10702</v>
      </c>
      <c r="B21" s="1" t="s">
        <v>35</v>
      </c>
      <c r="C21" s="2">
        <v>53.333333333333336</v>
      </c>
      <c r="D21" s="2">
        <v>73</v>
      </c>
    </row>
    <row r="22" spans="1:4" x14ac:dyDescent="0.3">
      <c r="A22" s="2">
        <v>10703</v>
      </c>
      <c r="B22" s="1" t="s">
        <v>36</v>
      </c>
      <c r="C22" s="2">
        <v>15.666666666666666</v>
      </c>
      <c r="D22" s="2">
        <v>13</v>
      </c>
    </row>
    <row r="23" spans="1:4" x14ac:dyDescent="0.3">
      <c r="A23" s="2">
        <v>10704</v>
      </c>
      <c r="B23" s="1" t="s">
        <v>37</v>
      </c>
      <c r="C23" s="2">
        <v>5.333333333333333</v>
      </c>
      <c r="D23" s="2">
        <v>19.333333333333332</v>
      </c>
    </row>
    <row r="24" spans="1:4" x14ac:dyDescent="0.3">
      <c r="A24" s="2">
        <v>10801</v>
      </c>
      <c r="B24" s="1" t="s">
        <v>39</v>
      </c>
      <c r="C24" s="2">
        <v>22.333333333333332</v>
      </c>
      <c r="D24" s="2">
        <v>24.333333333333332</v>
      </c>
    </row>
    <row r="25" spans="1:4" x14ac:dyDescent="0.3">
      <c r="A25" s="2">
        <v>10901</v>
      </c>
      <c r="B25" s="1" t="s">
        <v>41</v>
      </c>
      <c r="C25" s="2">
        <v>6.666666666666667</v>
      </c>
      <c r="D25" s="2">
        <v>2.3333333333333335</v>
      </c>
    </row>
    <row r="26" spans="1:4" x14ac:dyDescent="0.3">
      <c r="A26" s="2">
        <v>10902</v>
      </c>
      <c r="B26" s="1" t="s">
        <v>42</v>
      </c>
      <c r="C26" s="2">
        <v>16.333333333333332</v>
      </c>
      <c r="D26" s="2">
        <v>12.333333333333334</v>
      </c>
    </row>
    <row r="27" spans="1:4" x14ac:dyDescent="0.3">
      <c r="A27" s="2">
        <v>10903</v>
      </c>
      <c r="B27" s="1" t="s">
        <v>43</v>
      </c>
      <c r="C27" s="2">
        <v>2.3333333333333335</v>
      </c>
      <c r="D27" s="2">
        <v>3</v>
      </c>
    </row>
    <row r="28" spans="1:4" x14ac:dyDescent="0.3">
      <c r="A28" s="2">
        <v>11001</v>
      </c>
      <c r="B28" s="1" t="s">
        <v>45</v>
      </c>
      <c r="C28" s="2">
        <v>16.666666666666668</v>
      </c>
      <c r="D28" s="2">
        <v>14.666666666666666</v>
      </c>
    </row>
    <row r="29" spans="1:4" x14ac:dyDescent="0.3">
      <c r="A29" s="2">
        <v>11002</v>
      </c>
      <c r="B29" s="1" t="s">
        <v>46</v>
      </c>
      <c r="C29" s="2">
        <v>2.6666666666666665</v>
      </c>
      <c r="D29" s="2">
        <v>3</v>
      </c>
    </row>
    <row r="30" spans="1:4" x14ac:dyDescent="0.3">
      <c r="A30" s="2">
        <v>11003</v>
      </c>
      <c r="B30" s="1" t="s">
        <v>48</v>
      </c>
      <c r="C30" s="2">
        <v>11.333333333333334</v>
      </c>
      <c r="D30" s="2">
        <v>9.3333333333333339</v>
      </c>
    </row>
    <row r="31" spans="1:4" x14ac:dyDescent="0.3">
      <c r="A31" s="2">
        <v>20101</v>
      </c>
      <c r="B31" s="1" t="s">
        <v>52</v>
      </c>
      <c r="C31" s="2">
        <v>273.66666666666669</v>
      </c>
      <c r="D31" s="2">
        <v>444.33333333333331</v>
      </c>
    </row>
    <row r="32" spans="1:4" x14ac:dyDescent="0.3">
      <c r="A32" s="2">
        <v>20102</v>
      </c>
      <c r="B32" s="1" t="s">
        <v>53</v>
      </c>
      <c r="C32" s="2">
        <v>33</v>
      </c>
      <c r="D32" s="2">
        <v>29.333333333333332</v>
      </c>
    </row>
    <row r="33" spans="1:4" x14ac:dyDescent="0.3">
      <c r="A33" s="2">
        <v>20103</v>
      </c>
      <c r="B33" s="1" t="s">
        <v>54</v>
      </c>
      <c r="C33" s="2">
        <v>31</v>
      </c>
      <c r="D33" s="2">
        <v>28.333333333333332</v>
      </c>
    </row>
    <row r="34" spans="1:4" x14ac:dyDescent="0.3">
      <c r="A34" s="2">
        <v>20104</v>
      </c>
      <c r="B34" s="1" t="s">
        <v>55</v>
      </c>
      <c r="C34" s="2">
        <v>34</v>
      </c>
      <c r="D34" s="2">
        <v>59</v>
      </c>
    </row>
    <row r="35" spans="1:4" x14ac:dyDescent="0.3">
      <c r="A35" s="2">
        <v>20105</v>
      </c>
      <c r="B35" s="1" t="s">
        <v>56</v>
      </c>
      <c r="C35" s="2">
        <v>998.33333333333337</v>
      </c>
      <c r="D35" s="2">
        <v>1367.6666666666667</v>
      </c>
    </row>
    <row r="36" spans="1:4" x14ac:dyDescent="0.3">
      <c r="A36" s="2">
        <v>20201</v>
      </c>
      <c r="B36" s="1" t="s">
        <v>58</v>
      </c>
      <c r="C36" s="2">
        <v>108.66666666666667</v>
      </c>
      <c r="D36" s="2">
        <v>57</v>
      </c>
    </row>
    <row r="37" spans="1:4" x14ac:dyDescent="0.3">
      <c r="A37" s="2">
        <v>20202</v>
      </c>
      <c r="B37" s="1" t="s">
        <v>59</v>
      </c>
      <c r="C37" s="2">
        <v>36</v>
      </c>
      <c r="D37" s="2">
        <v>28.333333333333332</v>
      </c>
    </row>
    <row r="38" spans="1:4" x14ac:dyDescent="0.3">
      <c r="A38" s="2">
        <v>20203</v>
      </c>
      <c r="B38" s="1" t="s">
        <v>61</v>
      </c>
      <c r="C38" s="2">
        <v>3</v>
      </c>
      <c r="D38" s="2">
        <v>4.333333333333333</v>
      </c>
    </row>
    <row r="39" spans="1:4" x14ac:dyDescent="0.3">
      <c r="A39" s="2">
        <v>20204</v>
      </c>
      <c r="B39" s="1" t="s">
        <v>62</v>
      </c>
      <c r="C39" s="2">
        <v>4.333333333333333</v>
      </c>
      <c r="D39" s="2">
        <v>10</v>
      </c>
    </row>
    <row r="40" spans="1:4" x14ac:dyDescent="0.3">
      <c r="A40" s="2">
        <v>20205</v>
      </c>
      <c r="B40" s="1" t="s">
        <v>63</v>
      </c>
      <c r="C40" s="2">
        <v>6</v>
      </c>
      <c r="D40" s="2">
        <v>10.666666666666666</v>
      </c>
    </row>
    <row r="41" spans="1:4" x14ac:dyDescent="0.3">
      <c r="A41" s="2">
        <v>20206</v>
      </c>
      <c r="B41" s="1" t="s">
        <v>64</v>
      </c>
      <c r="C41" s="2">
        <v>0.33333333333333331</v>
      </c>
      <c r="D41" s="2">
        <v>2</v>
      </c>
    </row>
    <row r="42" spans="1:4" x14ac:dyDescent="0.3">
      <c r="A42" s="2">
        <v>20301</v>
      </c>
      <c r="B42" s="1" t="s">
        <v>66</v>
      </c>
      <c r="C42" s="2">
        <v>30</v>
      </c>
      <c r="D42" s="2">
        <v>37.333333333333336</v>
      </c>
    </row>
    <row r="43" spans="1:4" x14ac:dyDescent="0.3">
      <c r="A43" s="2">
        <v>20302</v>
      </c>
      <c r="B43" s="1" t="s">
        <v>68</v>
      </c>
      <c r="C43" s="2">
        <v>27.666666666666668</v>
      </c>
      <c r="D43" s="2">
        <v>21.666666666666668</v>
      </c>
    </row>
    <row r="44" spans="1:4" x14ac:dyDescent="0.3">
      <c r="A44" s="2">
        <v>20303</v>
      </c>
      <c r="B44" s="1" t="s">
        <v>69</v>
      </c>
      <c r="C44" s="2">
        <v>45.333333333333336</v>
      </c>
      <c r="D44" s="2">
        <v>29.666666666666668</v>
      </c>
    </row>
    <row r="45" spans="1:4" x14ac:dyDescent="0.3">
      <c r="A45" s="2">
        <v>20304</v>
      </c>
      <c r="B45" s="1" t="s">
        <v>70</v>
      </c>
      <c r="C45" s="2">
        <v>13</v>
      </c>
      <c r="D45" s="2">
        <v>12</v>
      </c>
    </row>
    <row r="46" spans="1:4" x14ac:dyDescent="0.3">
      <c r="A46" s="2">
        <v>20305</v>
      </c>
      <c r="B46" s="1" t="s">
        <v>71</v>
      </c>
      <c r="C46" s="2">
        <v>3</v>
      </c>
      <c r="D46" s="2">
        <v>4.333333333333333</v>
      </c>
    </row>
    <row r="47" spans="1:4" x14ac:dyDescent="0.3">
      <c r="A47" s="2">
        <v>20306</v>
      </c>
      <c r="B47" s="1" t="s">
        <v>72</v>
      </c>
      <c r="C47" s="2">
        <v>3.6666666666666665</v>
      </c>
      <c r="D47" s="2">
        <v>4.333333333333333</v>
      </c>
    </row>
    <row r="48" spans="1:4" x14ac:dyDescent="0.3">
      <c r="A48" s="2">
        <v>20307</v>
      </c>
      <c r="B48" s="1" t="s">
        <v>73</v>
      </c>
      <c r="C48" s="2">
        <v>1.6666666666666667</v>
      </c>
      <c r="D48" s="2">
        <v>5</v>
      </c>
    </row>
    <row r="49" spans="1:4" x14ac:dyDescent="0.3">
      <c r="A49" s="2">
        <v>20308</v>
      </c>
      <c r="B49" s="1" t="s">
        <v>74</v>
      </c>
      <c r="C49" s="2">
        <v>21.666666666666668</v>
      </c>
      <c r="D49" s="2">
        <v>16.666666666666668</v>
      </c>
    </row>
    <row r="50" spans="1:4" x14ac:dyDescent="0.3">
      <c r="A50" s="2">
        <v>20401</v>
      </c>
      <c r="B50" s="1" t="s">
        <v>76</v>
      </c>
      <c r="C50" s="2">
        <v>45.666666666666664</v>
      </c>
      <c r="D50" s="2">
        <v>21</v>
      </c>
    </row>
    <row r="51" spans="1:4" x14ac:dyDescent="0.3">
      <c r="A51" s="2">
        <v>20402</v>
      </c>
      <c r="B51" s="1" t="s">
        <v>77</v>
      </c>
      <c r="C51" s="2">
        <v>47.666666666666664</v>
      </c>
      <c r="D51" s="2">
        <v>27.666666666666668</v>
      </c>
    </row>
    <row r="52" spans="1:4" x14ac:dyDescent="0.3">
      <c r="A52" s="2">
        <v>20403</v>
      </c>
      <c r="B52" s="1" t="s">
        <v>78</v>
      </c>
      <c r="C52" s="2">
        <v>48.666666666666664</v>
      </c>
      <c r="D52" s="2">
        <v>33</v>
      </c>
    </row>
    <row r="53" spans="1:4" x14ac:dyDescent="0.3">
      <c r="A53" s="2">
        <v>20404</v>
      </c>
      <c r="B53" s="1" t="s">
        <v>80</v>
      </c>
      <c r="C53" s="2">
        <v>4.333333333333333</v>
      </c>
      <c r="D53" s="2">
        <v>6</v>
      </c>
    </row>
    <row r="54" spans="1:4" x14ac:dyDescent="0.3">
      <c r="A54" s="2">
        <v>20405</v>
      </c>
      <c r="B54" s="1" t="s">
        <v>81</v>
      </c>
      <c r="C54" s="2">
        <v>5.666666666666667</v>
      </c>
      <c r="D54" s="2">
        <v>17.333333333333332</v>
      </c>
    </row>
    <row r="55" spans="1:4" x14ac:dyDescent="0.3">
      <c r="A55" s="2">
        <v>20501</v>
      </c>
      <c r="B55" s="1" t="s">
        <v>83</v>
      </c>
      <c r="C55" s="2">
        <v>20.333333333333332</v>
      </c>
      <c r="D55" s="2">
        <v>17.333333333333332</v>
      </c>
    </row>
    <row r="56" spans="1:4" x14ac:dyDescent="0.3">
      <c r="A56" s="2">
        <v>20502</v>
      </c>
      <c r="B56" s="1" t="s">
        <v>84</v>
      </c>
      <c r="C56" s="2">
        <v>12.666666666666666</v>
      </c>
      <c r="D56" s="2">
        <v>14.666666666666666</v>
      </c>
    </row>
    <row r="57" spans="1:4" x14ac:dyDescent="0.3">
      <c r="A57" s="2">
        <v>20503</v>
      </c>
      <c r="B57" s="1" t="s">
        <v>85</v>
      </c>
      <c r="C57" s="2">
        <v>19.333333333333332</v>
      </c>
      <c r="D57" s="2">
        <v>8.3333333333333339</v>
      </c>
    </row>
    <row r="58" spans="1:4" x14ac:dyDescent="0.3">
      <c r="A58" s="2">
        <v>20601</v>
      </c>
      <c r="B58" s="1" t="s">
        <v>87</v>
      </c>
      <c r="C58" s="2">
        <v>36.333333333333336</v>
      </c>
      <c r="D58" s="2">
        <v>36</v>
      </c>
    </row>
    <row r="59" spans="1:4" x14ac:dyDescent="0.3">
      <c r="A59" s="2">
        <v>20602</v>
      </c>
      <c r="B59" s="1" t="s">
        <v>88</v>
      </c>
      <c r="C59" s="2">
        <v>26</v>
      </c>
      <c r="D59" s="2">
        <v>21</v>
      </c>
    </row>
    <row r="60" spans="1:4" x14ac:dyDescent="0.3">
      <c r="A60" s="2">
        <v>20603</v>
      </c>
      <c r="B60" s="1" t="s">
        <v>89</v>
      </c>
      <c r="C60" s="2">
        <v>17.666666666666668</v>
      </c>
      <c r="D60" s="2">
        <v>16.333333333333332</v>
      </c>
    </row>
    <row r="61" spans="1:4" x14ac:dyDescent="0.3">
      <c r="A61" s="2">
        <v>20604</v>
      </c>
      <c r="B61" s="1" t="s">
        <v>90</v>
      </c>
      <c r="C61" s="2">
        <v>6</v>
      </c>
      <c r="D61" s="2">
        <v>4.666666666666667</v>
      </c>
    </row>
    <row r="62" spans="1:4" x14ac:dyDescent="0.3">
      <c r="A62" s="2">
        <v>20605</v>
      </c>
      <c r="B62" s="1" t="s">
        <v>91</v>
      </c>
      <c r="C62" s="2">
        <v>10.666666666666666</v>
      </c>
      <c r="D62" s="2">
        <v>6</v>
      </c>
    </row>
    <row r="63" spans="1:4" x14ac:dyDescent="0.3">
      <c r="A63" s="2">
        <v>20606</v>
      </c>
      <c r="B63" s="1" t="s">
        <v>92</v>
      </c>
      <c r="C63" s="2">
        <v>8.3333333333333339</v>
      </c>
      <c r="D63" s="2">
        <v>5.333333333333333</v>
      </c>
    </row>
    <row r="64" spans="1:4" x14ac:dyDescent="0.3">
      <c r="A64" s="2">
        <v>20607</v>
      </c>
      <c r="B64" s="1" t="s">
        <v>93</v>
      </c>
      <c r="C64" s="2">
        <v>19.333333333333332</v>
      </c>
      <c r="D64" s="2">
        <v>14.666666666666666</v>
      </c>
    </row>
    <row r="65" spans="1:4" x14ac:dyDescent="0.3">
      <c r="A65" s="2">
        <v>20608</v>
      </c>
      <c r="B65" s="1" t="s">
        <v>94</v>
      </c>
      <c r="C65" s="2">
        <v>21</v>
      </c>
      <c r="D65" s="2">
        <v>14</v>
      </c>
    </row>
    <row r="66" spans="1:4" x14ac:dyDescent="0.3">
      <c r="A66" s="2">
        <v>20701</v>
      </c>
      <c r="B66" s="1" t="s">
        <v>96</v>
      </c>
      <c r="C66" s="2">
        <v>38.333333333333336</v>
      </c>
      <c r="D66" s="2">
        <v>28</v>
      </c>
    </row>
    <row r="67" spans="1:4" x14ac:dyDescent="0.3">
      <c r="A67" s="2">
        <v>20702</v>
      </c>
      <c r="B67" s="1" t="s">
        <v>97</v>
      </c>
      <c r="C67" s="2">
        <v>16.333333333333332</v>
      </c>
      <c r="D67" s="2">
        <v>17.666666666666668</v>
      </c>
    </row>
    <row r="68" spans="1:4" x14ac:dyDescent="0.3">
      <c r="A68" s="2">
        <v>20801</v>
      </c>
      <c r="B68" s="1" t="s">
        <v>99</v>
      </c>
      <c r="C68" s="2">
        <v>88</v>
      </c>
      <c r="D68" s="2">
        <v>126</v>
      </c>
    </row>
    <row r="69" spans="1:4" x14ac:dyDescent="0.3">
      <c r="A69" s="2">
        <v>20802</v>
      </c>
      <c r="B69" s="1" t="s">
        <v>100</v>
      </c>
      <c r="C69" s="2">
        <v>11.666666666666666</v>
      </c>
      <c r="D69" s="2">
        <v>17</v>
      </c>
    </row>
    <row r="70" spans="1:4" x14ac:dyDescent="0.3">
      <c r="A70" s="2">
        <v>20803</v>
      </c>
      <c r="B70" s="1" t="s">
        <v>102</v>
      </c>
      <c r="C70" s="2">
        <v>26</v>
      </c>
      <c r="D70" s="2">
        <v>30.333333333333332</v>
      </c>
    </row>
    <row r="71" spans="1:4" x14ac:dyDescent="0.3">
      <c r="A71" s="2">
        <v>20804</v>
      </c>
      <c r="B71" s="1" t="s">
        <v>103</v>
      </c>
      <c r="C71" s="2">
        <v>14.333333333333334</v>
      </c>
      <c r="D71" s="2">
        <v>12</v>
      </c>
    </row>
    <row r="72" spans="1:4" x14ac:dyDescent="0.3">
      <c r="A72" s="2">
        <v>20805</v>
      </c>
      <c r="B72" s="1" t="s">
        <v>104</v>
      </c>
      <c r="C72" s="2">
        <v>34.333333333333336</v>
      </c>
      <c r="D72" s="2">
        <v>17.666666666666668</v>
      </c>
    </row>
    <row r="73" spans="1:4" x14ac:dyDescent="0.3">
      <c r="A73" s="2">
        <v>20806</v>
      </c>
      <c r="B73" s="1" t="s">
        <v>106</v>
      </c>
      <c r="C73" s="2">
        <v>35.333333333333336</v>
      </c>
      <c r="D73" s="2">
        <v>30.333333333333332</v>
      </c>
    </row>
    <row r="74" spans="1:4" x14ac:dyDescent="0.3">
      <c r="A74" s="2">
        <v>20807</v>
      </c>
      <c r="B74" s="1" t="s">
        <v>108</v>
      </c>
      <c r="C74" s="2">
        <v>12.666666666666666</v>
      </c>
      <c r="D74" s="2">
        <v>13.333333333333334</v>
      </c>
    </row>
    <row r="75" spans="1:4" x14ac:dyDescent="0.3">
      <c r="A75" s="2">
        <v>20901</v>
      </c>
      <c r="B75" s="1" t="s">
        <v>110</v>
      </c>
      <c r="C75" s="2">
        <v>15.333333333333334</v>
      </c>
      <c r="D75" s="2">
        <v>24.666666666666668</v>
      </c>
    </row>
    <row r="76" spans="1:4" x14ac:dyDescent="0.3">
      <c r="A76" s="2">
        <v>20902</v>
      </c>
      <c r="B76" s="1" t="s">
        <v>111</v>
      </c>
      <c r="C76" s="2">
        <v>21</v>
      </c>
      <c r="D76" s="2">
        <v>14.666666666666666</v>
      </c>
    </row>
    <row r="77" spans="1:4" x14ac:dyDescent="0.3">
      <c r="A77" s="2">
        <v>20903</v>
      </c>
      <c r="B77" s="1" t="s">
        <v>112</v>
      </c>
      <c r="C77" s="2">
        <v>24</v>
      </c>
      <c r="D77" s="2">
        <v>17</v>
      </c>
    </row>
    <row r="78" spans="1:4" x14ac:dyDescent="0.3">
      <c r="A78" s="2">
        <v>20904</v>
      </c>
      <c r="B78" s="1" t="s">
        <v>113</v>
      </c>
      <c r="C78" s="2">
        <v>5</v>
      </c>
      <c r="D78" s="2">
        <v>2.6666666666666665</v>
      </c>
    </row>
    <row r="79" spans="1:4" x14ac:dyDescent="0.3">
      <c r="A79" s="2">
        <v>20905</v>
      </c>
      <c r="B79" s="1" t="s">
        <v>114</v>
      </c>
      <c r="C79" s="2">
        <v>33.333333333333336</v>
      </c>
      <c r="D79" s="2">
        <v>21</v>
      </c>
    </row>
    <row r="80" spans="1:4" x14ac:dyDescent="0.3">
      <c r="A80" s="2">
        <v>21001</v>
      </c>
      <c r="B80" s="1" t="s">
        <v>115</v>
      </c>
      <c r="C80" s="2">
        <v>38</v>
      </c>
      <c r="D80" s="2">
        <v>34</v>
      </c>
    </row>
    <row r="81" spans="1:4" x14ac:dyDescent="0.3">
      <c r="A81" s="2">
        <v>21002</v>
      </c>
      <c r="B81" s="1" t="s">
        <v>116</v>
      </c>
      <c r="C81" s="2">
        <v>14.666666666666666</v>
      </c>
      <c r="D81" s="2">
        <v>6.666666666666667</v>
      </c>
    </row>
    <row r="82" spans="1:4" x14ac:dyDescent="0.3">
      <c r="A82" s="2">
        <v>21003</v>
      </c>
      <c r="B82" s="1" t="s">
        <v>117</v>
      </c>
      <c r="C82" s="2">
        <v>19</v>
      </c>
      <c r="D82" s="2">
        <v>19.666666666666668</v>
      </c>
    </row>
    <row r="83" spans="1:4" x14ac:dyDescent="0.3">
      <c r="A83" s="2">
        <v>21004</v>
      </c>
      <c r="B83" s="1" t="s">
        <v>118</v>
      </c>
      <c r="C83" s="2">
        <v>62</v>
      </c>
      <c r="D83" s="2">
        <v>55.333333333333336</v>
      </c>
    </row>
    <row r="84" spans="1:4" x14ac:dyDescent="0.3">
      <c r="A84" s="2">
        <v>21005</v>
      </c>
      <c r="B84" s="1" t="s">
        <v>119</v>
      </c>
      <c r="C84" s="2">
        <v>14</v>
      </c>
      <c r="D84" s="2">
        <v>14</v>
      </c>
    </row>
    <row r="85" spans="1:4" x14ac:dyDescent="0.3">
      <c r="A85" s="2">
        <v>21006</v>
      </c>
      <c r="B85" s="1" t="s">
        <v>120</v>
      </c>
      <c r="C85" s="2">
        <v>2.3333333333333335</v>
      </c>
      <c r="D85" s="2">
        <v>4.333333333333333</v>
      </c>
    </row>
    <row r="86" spans="1:4" x14ac:dyDescent="0.3">
      <c r="A86" s="2">
        <v>21101</v>
      </c>
      <c r="B86" s="1" t="s">
        <v>122</v>
      </c>
      <c r="C86" s="2">
        <v>18.333333333333332</v>
      </c>
      <c r="D86" s="2">
        <v>23.666666666666668</v>
      </c>
    </row>
    <row r="87" spans="1:4" x14ac:dyDescent="0.3">
      <c r="A87" s="2">
        <v>21102</v>
      </c>
      <c r="B87" s="1" t="s">
        <v>124</v>
      </c>
      <c r="C87" s="2">
        <v>30.666666666666668</v>
      </c>
      <c r="D87" s="2">
        <v>29.666666666666668</v>
      </c>
    </row>
    <row r="88" spans="1:4" x14ac:dyDescent="0.3">
      <c r="A88" s="2">
        <v>21103</v>
      </c>
      <c r="B88" s="1" t="s">
        <v>126</v>
      </c>
      <c r="C88" s="2">
        <v>9.3333333333333339</v>
      </c>
      <c r="D88" s="2">
        <v>8</v>
      </c>
    </row>
    <row r="89" spans="1:4" x14ac:dyDescent="0.3">
      <c r="A89" s="2">
        <v>21104</v>
      </c>
      <c r="B89" s="1" t="s">
        <v>127</v>
      </c>
      <c r="C89" s="2">
        <v>61.666666666666664</v>
      </c>
      <c r="D89" s="2">
        <v>57.666666666666664</v>
      </c>
    </row>
    <row r="90" spans="1:4" x14ac:dyDescent="0.3">
      <c r="A90" s="2">
        <v>21105</v>
      </c>
      <c r="B90" s="1" t="s">
        <v>128</v>
      </c>
      <c r="C90" s="2">
        <v>61.333333333333336</v>
      </c>
      <c r="D90" s="2">
        <v>59.666666666666664</v>
      </c>
    </row>
    <row r="91" spans="1:4" x14ac:dyDescent="0.3">
      <c r="A91" s="2">
        <v>21201</v>
      </c>
      <c r="B91" s="1" t="s">
        <v>130</v>
      </c>
      <c r="C91" s="2">
        <v>61.666666666666664</v>
      </c>
      <c r="D91" s="2">
        <v>72.666666666666671</v>
      </c>
    </row>
    <row r="92" spans="1:4" x14ac:dyDescent="0.3">
      <c r="A92" s="2">
        <v>21202</v>
      </c>
      <c r="B92" s="1" t="s">
        <v>131</v>
      </c>
      <c r="C92" s="2">
        <v>32.666666666666664</v>
      </c>
      <c r="D92" s="2">
        <v>46.333333333333336</v>
      </c>
    </row>
    <row r="93" spans="1:4" x14ac:dyDescent="0.3">
      <c r="A93" s="2">
        <v>21203</v>
      </c>
      <c r="B93" s="1" t="s">
        <v>132</v>
      </c>
      <c r="C93" s="2">
        <v>31</v>
      </c>
      <c r="D93" s="2">
        <v>37.333333333333336</v>
      </c>
    </row>
    <row r="94" spans="1:4" x14ac:dyDescent="0.3">
      <c r="A94" s="2">
        <v>21204</v>
      </c>
      <c r="B94" s="1" t="s">
        <v>133</v>
      </c>
      <c r="C94" s="2">
        <v>18.333333333333332</v>
      </c>
      <c r="D94" s="2">
        <v>16.333333333333332</v>
      </c>
    </row>
    <row r="95" spans="1:4" x14ac:dyDescent="0.3">
      <c r="A95" s="2">
        <v>21301</v>
      </c>
      <c r="B95" s="1" t="s">
        <v>135</v>
      </c>
      <c r="C95" s="2">
        <v>59.666666666666664</v>
      </c>
      <c r="D95" s="2">
        <v>45.333333333333336</v>
      </c>
    </row>
    <row r="96" spans="1:4" x14ac:dyDescent="0.3">
      <c r="A96" s="2">
        <v>21302</v>
      </c>
      <c r="B96" s="1" t="s">
        <v>137</v>
      </c>
      <c r="C96" s="2">
        <v>20.666666666666668</v>
      </c>
      <c r="D96" s="2">
        <v>20.666666666666668</v>
      </c>
    </row>
    <row r="97" spans="1:4" x14ac:dyDescent="0.3">
      <c r="A97" s="2">
        <v>21303</v>
      </c>
      <c r="B97" s="1" t="s">
        <v>138</v>
      </c>
      <c r="C97" s="2">
        <v>17</v>
      </c>
      <c r="D97" s="2">
        <v>12.666666666666666</v>
      </c>
    </row>
    <row r="98" spans="1:4" x14ac:dyDescent="0.3">
      <c r="A98" s="2">
        <v>21304</v>
      </c>
      <c r="B98" s="1" t="s">
        <v>139</v>
      </c>
      <c r="C98" s="2">
        <v>29.333333333333332</v>
      </c>
      <c r="D98" s="2">
        <v>28.333333333333332</v>
      </c>
    </row>
    <row r="99" spans="1:4" x14ac:dyDescent="0.3">
      <c r="A99" s="2">
        <v>21305</v>
      </c>
      <c r="B99" s="1" t="s">
        <v>140</v>
      </c>
      <c r="C99" s="2">
        <v>37.666666666666664</v>
      </c>
      <c r="D99" s="2">
        <v>62.333333333333336</v>
      </c>
    </row>
    <row r="100" spans="1:4" x14ac:dyDescent="0.3">
      <c r="A100" s="2">
        <v>21306</v>
      </c>
      <c r="B100" s="1" t="s">
        <v>141</v>
      </c>
      <c r="C100" s="2">
        <v>10</v>
      </c>
      <c r="D100" s="2">
        <v>12.666666666666666</v>
      </c>
    </row>
    <row r="101" spans="1:4" x14ac:dyDescent="0.3">
      <c r="A101" s="2">
        <v>21307</v>
      </c>
      <c r="B101" s="1" t="s">
        <v>142</v>
      </c>
      <c r="C101" s="2">
        <v>2</v>
      </c>
      <c r="D101" s="2">
        <v>4.333333333333333</v>
      </c>
    </row>
    <row r="102" spans="1:4" x14ac:dyDescent="0.3">
      <c r="A102" s="2">
        <v>21401</v>
      </c>
      <c r="B102" s="1" t="s">
        <v>144</v>
      </c>
      <c r="C102" s="2">
        <v>35</v>
      </c>
      <c r="D102" s="2">
        <v>30</v>
      </c>
    </row>
    <row r="103" spans="1:4" x14ac:dyDescent="0.3">
      <c r="A103" s="2">
        <v>21402</v>
      </c>
      <c r="B103" s="1" t="s">
        <v>145</v>
      </c>
      <c r="C103" s="2">
        <v>18.333333333333332</v>
      </c>
      <c r="D103" s="2">
        <v>15.333333333333334</v>
      </c>
    </row>
    <row r="104" spans="1:4" x14ac:dyDescent="0.3">
      <c r="A104" s="2">
        <v>21501</v>
      </c>
      <c r="B104" s="1" t="s">
        <v>147</v>
      </c>
      <c r="C104" s="2">
        <v>14.333333333333334</v>
      </c>
      <c r="D104" s="2">
        <v>19.666666666666668</v>
      </c>
    </row>
    <row r="105" spans="1:4" x14ac:dyDescent="0.3">
      <c r="A105" s="2">
        <v>21502</v>
      </c>
      <c r="B105" s="1" t="s">
        <v>148</v>
      </c>
      <c r="C105" s="2">
        <v>25</v>
      </c>
      <c r="D105" s="2">
        <v>18.333333333333332</v>
      </c>
    </row>
    <row r="106" spans="1:4" x14ac:dyDescent="0.3">
      <c r="A106" s="2">
        <v>21601</v>
      </c>
      <c r="B106" s="1" t="s">
        <v>150</v>
      </c>
      <c r="C106" s="2">
        <v>30.666666666666668</v>
      </c>
      <c r="D106" s="2">
        <v>18</v>
      </c>
    </row>
    <row r="107" spans="1:4" x14ac:dyDescent="0.3">
      <c r="A107" s="2">
        <v>21602</v>
      </c>
      <c r="B107" s="1" t="s">
        <v>152</v>
      </c>
      <c r="C107" s="2">
        <v>5</v>
      </c>
      <c r="D107" s="2">
        <v>4.333333333333333</v>
      </c>
    </row>
    <row r="108" spans="1:4" x14ac:dyDescent="0.3">
      <c r="A108" s="2">
        <v>21701</v>
      </c>
      <c r="B108" s="1" t="s">
        <v>154</v>
      </c>
      <c r="C108" s="2">
        <v>33.333333333333336</v>
      </c>
      <c r="D108" s="2">
        <v>31.666666666666668</v>
      </c>
    </row>
    <row r="109" spans="1:4" x14ac:dyDescent="0.3">
      <c r="A109" s="2">
        <v>21702</v>
      </c>
      <c r="B109" s="1" t="s">
        <v>155</v>
      </c>
      <c r="C109" s="2">
        <v>7.666666666666667</v>
      </c>
      <c r="D109" s="2">
        <v>12.666666666666666</v>
      </c>
    </row>
    <row r="110" spans="1:4" x14ac:dyDescent="0.3">
      <c r="A110" s="2">
        <v>21703</v>
      </c>
      <c r="B110" s="1" t="s">
        <v>156</v>
      </c>
      <c r="C110" s="2">
        <v>3.3333333333333335</v>
      </c>
      <c r="D110" s="2">
        <v>0</v>
      </c>
    </row>
    <row r="111" spans="1:4" x14ac:dyDescent="0.3">
      <c r="A111" s="2">
        <v>21801</v>
      </c>
      <c r="B111" s="1" t="s">
        <v>158</v>
      </c>
      <c r="C111" s="2">
        <v>21</v>
      </c>
      <c r="D111" s="2">
        <v>17.333333333333332</v>
      </c>
    </row>
    <row r="112" spans="1:4" x14ac:dyDescent="0.3">
      <c r="A112" s="2">
        <v>21802</v>
      </c>
      <c r="B112" s="1" t="s">
        <v>160</v>
      </c>
      <c r="C112" s="2">
        <v>21.666666666666668</v>
      </c>
      <c r="D112" s="2">
        <v>18.666666666666668</v>
      </c>
    </row>
    <row r="113" spans="1:4" x14ac:dyDescent="0.3">
      <c r="A113" s="2">
        <v>21803</v>
      </c>
      <c r="B113" s="1" t="s">
        <v>161</v>
      </c>
      <c r="C113" s="2">
        <v>2</v>
      </c>
      <c r="D113" s="2">
        <v>3.3333333333333335</v>
      </c>
    </row>
    <row r="114" spans="1:4" x14ac:dyDescent="0.3">
      <c r="A114" s="2">
        <v>21901</v>
      </c>
      <c r="B114" s="1" t="s">
        <v>163</v>
      </c>
      <c r="C114" s="2">
        <v>18.333333333333332</v>
      </c>
      <c r="D114" s="2">
        <v>13.666666666666666</v>
      </c>
    </row>
    <row r="115" spans="1:4" x14ac:dyDescent="0.3">
      <c r="A115" s="2">
        <v>21902</v>
      </c>
      <c r="B115" s="1" t="s">
        <v>164</v>
      </c>
      <c r="C115" s="2">
        <v>4</v>
      </c>
      <c r="D115" s="2">
        <v>5</v>
      </c>
    </row>
    <row r="116" spans="1:4" x14ac:dyDescent="0.3">
      <c r="A116" s="2">
        <v>22001</v>
      </c>
      <c r="B116" s="1" t="s">
        <v>165</v>
      </c>
      <c r="C116" s="2">
        <v>103</v>
      </c>
      <c r="D116" s="2">
        <v>81.333333333333329</v>
      </c>
    </row>
    <row r="117" spans="1:4" x14ac:dyDescent="0.3">
      <c r="A117" s="2">
        <v>22002</v>
      </c>
      <c r="B117" s="1" t="s">
        <v>166</v>
      </c>
      <c r="C117" s="2">
        <v>7.666666666666667</v>
      </c>
      <c r="D117" s="2">
        <v>23</v>
      </c>
    </row>
    <row r="118" spans="1:4" x14ac:dyDescent="0.3">
      <c r="A118" s="2">
        <v>30101</v>
      </c>
      <c r="B118" s="1" t="s">
        <v>167</v>
      </c>
      <c r="C118" s="2">
        <v>543.33333333333337</v>
      </c>
      <c r="D118" s="2">
        <v>562.33333333333337</v>
      </c>
    </row>
    <row r="119" spans="1:4" x14ac:dyDescent="0.3">
      <c r="A119" s="2">
        <v>30201</v>
      </c>
      <c r="B119" s="1" t="s">
        <v>170</v>
      </c>
      <c r="C119" s="2">
        <v>36</v>
      </c>
      <c r="D119" s="2">
        <v>42.333333333333336</v>
      </c>
    </row>
    <row r="120" spans="1:4" x14ac:dyDescent="0.3">
      <c r="A120" s="2">
        <v>30202</v>
      </c>
      <c r="B120" s="1" t="s">
        <v>171</v>
      </c>
      <c r="C120" s="2">
        <v>11.333333333333334</v>
      </c>
      <c r="D120" s="2">
        <v>8.6666666666666661</v>
      </c>
    </row>
    <row r="121" spans="1:4" x14ac:dyDescent="0.3">
      <c r="A121" s="2">
        <v>30203</v>
      </c>
      <c r="B121" s="1" t="s">
        <v>172</v>
      </c>
      <c r="C121" s="2">
        <v>4.666666666666667</v>
      </c>
      <c r="D121" s="2">
        <v>7.666666666666667</v>
      </c>
    </row>
    <row r="122" spans="1:4" x14ac:dyDescent="0.3">
      <c r="A122" s="2">
        <v>30301</v>
      </c>
      <c r="B122" s="1" t="s">
        <v>174</v>
      </c>
      <c r="C122" s="2">
        <v>37.333333333333336</v>
      </c>
      <c r="D122" s="2">
        <v>34.333333333333336</v>
      </c>
    </row>
    <row r="123" spans="1:4" x14ac:dyDescent="0.3">
      <c r="A123" s="2">
        <v>30302</v>
      </c>
      <c r="B123" s="1" t="s">
        <v>176</v>
      </c>
      <c r="C123" s="2">
        <v>30.666666666666668</v>
      </c>
      <c r="D123" s="2">
        <v>14</v>
      </c>
    </row>
    <row r="124" spans="1:4" x14ac:dyDescent="0.3">
      <c r="A124" s="2">
        <v>30303</v>
      </c>
      <c r="B124" s="1" t="s">
        <v>177</v>
      </c>
      <c r="C124" s="2">
        <v>9.3333333333333339</v>
      </c>
      <c r="D124" s="2">
        <v>19.666666666666668</v>
      </c>
    </row>
    <row r="125" spans="1:4" x14ac:dyDescent="0.3">
      <c r="A125" s="2">
        <v>30401</v>
      </c>
      <c r="B125" s="1" t="s">
        <v>179</v>
      </c>
      <c r="C125" s="2">
        <v>21.666666666666668</v>
      </c>
      <c r="D125" s="2">
        <v>20</v>
      </c>
    </row>
    <row r="126" spans="1:4" x14ac:dyDescent="0.3">
      <c r="A126" s="2">
        <v>30402</v>
      </c>
      <c r="B126" s="1" t="s">
        <v>180</v>
      </c>
      <c r="C126" s="2">
        <v>11.666666666666666</v>
      </c>
      <c r="D126" s="2">
        <v>11.666666666666666</v>
      </c>
    </row>
    <row r="127" spans="1:4" x14ac:dyDescent="0.3">
      <c r="A127" s="2">
        <v>30403</v>
      </c>
      <c r="B127" s="1" t="s">
        <v>182</v>
      </c>
      <c r="C127" s="2">
        <v>14</v>
      </c>
      <c r="D127" s="2">
        <v>24.333333333333332</v>
      </c>
    </row>
    <row r="128" spans="1:4" x14ac:dyDescent="0.3">
      <c r="A128" s="2">
        <v>30404</v>
      </c>
      <c r="B128" s="1" t="s">
        <v>183</v>
      </c>
      <c r="C128" s="2">
        <v>20</v>
      </c>
      <c r="D128" s="2">
        <v>9</v>
      </c>
    </row>
    <row r="129" spans="1:4" x14ac:dyDescent="0.3">
      <c r="A129" s="2">
        <v>30501</v>
      </c>
      <c r="B129" s="1" t="s">
        <v>184</v>
      </c>
      <c r="C129" s="2">
        <v>13.333333333333334</v>
      </c>
      <c r="D129" s="2">
        <v>14.666666666666666</v>
      </c>
    </row>
    <row r="130" spans="1:4" x14ac:dyDescent="0.3">
      <c r="A130" s="2">
        <v>30502</v>
      </c>
      <c r="B130" s="1" t="s">
        <v>185</v>
      </c>
      <c r="C130" s="2">
        <v>13.666666666666666</v>
      </c>
      <c r="D130" s="2">
        <v>20</v>
      </c>
    </row>
    <row r="131" spans="1:4" x14ac:dyDescent="0.3">
      <c r="A131" s="2">
        <v>30601</v>
      </c>
      <c r="B131" s="1" t="s">
        <v>186</v>
      </c>
      <c r="C131" s="2">
        <v>23.666666666666668</v>
      </c>
      <c r="D131" s="2">
        <v>19.333333333333332</v>
      </c>
    </row>
    <row r="132" spans="1:4" x14ac:dyDescent="0.3">
      <c r="A132" s="2">
        <v>30602</v>
      </c>
      <c r="B132" s="1" t="s">
        <v>188</v>
      </c>
      <c r="C132" s="2">
        <v>14.333333333333334</v>
      </c>
      <c r="D132" s="2">
        <v>15.666666666666666</v>
      </c>
    </row>
    <row r="133" spans="1:4" x14ac:dyDescent="0.3">
      <c r="A133" s="2">
        <v>30701</v>
      </c>
      <c r="B133" s="1" t="s">
        <v>189</v>
      </c>
      <c r="C133" s="2">
        <v>38</v>
      </c>
      <c r="D133" s="2">
        <v>35.333333333333336</v>
      </c>
    </row>
    <row r="134" spans="1:4" x14ac:dyDescent="0.3">
      <c r="A134" s="2">
        <v>30702</v>
      </c>
      <c r="B134" s="1" t="s">
        <v>190</v>
      </c>
      <c r="C134" s="2">
        <v>12</v>
      </c>
      <c r="D134" s="2">
        <v>11</v>
      </c>
    </row>
    <row r="135" spans="1:4" x14ac:dyDescent="0.3">
      <c r="A135" s="2">
        <v>30703</v>
      </c>
      <c r="B135" s="1" t="s">
        <v>192</v>
      </c>
      <c r="C135" s="2">
        <v>4.333333333333333</v>
      </c>
      <c r="D135" s="2">
        <v>5</v>
      </c>
    </row>
    <row r="136" spans="1:4" x14ac:dyDescent="0.3">
      <c r="A136" s="2">
        <v>30801</v>
      </c>
      <c r="B136" s="1" t="s">
        <v>194</v>
      </c>
      <c r="C136" s="2">
        <v>26</v>
      </c>
      <c r="D136" s="2">
        <v>24</v>
      </c>
    </row>
    <row r="137" spans="1:4" x14ac:dyDescent="0.3">
      <c r="A137" s="2">
        <v>30802</v>
      </c>
      <c r="B137" s="1" t="s">
        <v>195</v>
      </c>
      <c r="C137" s="2">
        <v>5.666666666666667</v>
      </c>
      <c r="D137" s="2">
        <v>4.666666666666667</v>
      </c>
    </row>
    <row r="138" spans="1:4" x14ac:dyDescent="0.3">
      <c r="A138" s="2">
        <v>30803</v>
      </c>
      <c r="B138" s="1" t="s">
        <v>196</v>
      </c>
      <c r="C138" s="2">
        <v>3</v>
      </c>
      <c r="D138" s="2">
        <v>5</v>
      </c>
    </row>
    <row r="139" spans="1:4" x14ac:dyDescent="0.3">
      <c r="A139" s="2">
        <v>30901</v>
      </c>
      <c r="B139" s="1" t="s">
        <v>197</v>
      </c>
      <c r="C139" s="2">
        <v>153</v>
      </c>
      <c r="D139" s="2">
        <v>167.33333333333334</v>
      </c>
    </row>
    <row r="140" spans="1:4" x14ac:dyDescent="0.3">
      <c r="A140" s="2">
        <v>30902</v>
      </c>
      <c r="B140" s="1" t="s">
        <v>198</v>
      </c>
      <c r="C140" s="2">
        <v>63.666666666666664</v>
      </c>
      <c r="D140" s="2">
        <v>84.666666666666671</v>
      </c>
    </row>
    <row r="141" spans="1:4" x14ac:dyDescent="0.3">
      <c r="A141" s="2">
        <v>30903</v>
      </c>
      <c r="B141" s="1" t="s">
        <v>199</v>
      </c>
      <c r="C141" s="2">
        <v>40.333333333333336</v>
      </c>
      <c r="D141" s="2">
        <v>67.666666666666671</v>
      </c>
    </row>
    <row r="142" spans="1:4" x14ac:dyDescent="0.3">
      <c r="A142" s="2">
        <v>30904</v>
      </c>
      <c r="B142" s="1" t="s">
        <v>200</v>
      </c>
      <c r="C142" s="2">
        <v>81</v>
      </c>
      <c r="D142" s="2">
        <v>93</v>
      </c>
    </row>
    <row r="143" spans="1:4" x14ac:dyDescent="0.3">
      <c r="A143" s="2">
        <v>30905</v>
      </c>
      <c r="B143" s="1" t="s">
        <v>201</v>
      </c>
      <c r="C143" s="2">
        <v>45.333333333333336</v>
      </c>
      <c r="D143" s="2">
        <v>49.666666666666664</v>
      </c>
    </row>
    <row r="144" spans="1:4" x14ac:dyDescent="0.3">
      <c r="A144" s="2">
        <v>31001</v>
      </c>
      <c r="B144" s="1" t="s">
        <v>203</v>
      </c>
      <c r="C144" s="2">
        <v>97.666666666666671</v>
      </c>
      <c r="D144" s="2">
        <v>156</v>
      </c>
    </row>
    <row r="145" spans="1:4" x14ac:dyDescent="0.3">
      <c r="A145" s="2">
        <v>31002</v>
      </c>
      <c r="B145" s="1" t="s">
        <v>204</v>
      </c>
      <c r="C145" s="2">
        <v>30.666666666666668</v>
      </c>
      <c r="D145" s="2">
        <v>31.666666666666668</v>
      </c>
    </row>
    <row r="146" spans="1:4" x14ac:dyDescent="0.3">
      <c r="A146" s="2">
        <v>31003</v>
      </c>
      <c r="B146" s="1" t="s">
        <v>205</v>
      </c>
      <c r="C146" s="2">
        <v>93.666666666666671</v>
      </c>
      <c r="D146" s="2">
        <v>134.66666666666666</v>
      </c>
    </row>
    <row r="147" spans="1:4" x14ac:dyDescent="0.3">
      <c r="A147" s="2">
        <v>31101</v>
      </c>
      <c r="B147" s="1" t="s">
        <v>206</v>
      </c>
      <c r="C147" s="2">
        <v>40.333333333333336</v>
      </c>
      <c r="D147" s="2">
        <v>42.333333333333336</v>
      </c>
    </row>
    <row r="148" spans="1:4" x14ac:dyDescent="0.3">
      <c r="A148" s="2">
        <v>31201</v>
      </c>
      <c r="B148" s="1" t="s">
        <v>208</v>
      </c>
      <c r="C148" s="2">
        <v>17.333333333333332</v>
      </c>
      <c r="D148" s="2">
        <v>19.666666666666668</v>
      </c>
    </row>
    <row r="149" spans="1:4" x14ac:dyDescent="0.3">
      <c r="A149" s="2">
        <v>31202</v>
      </c>
      <c r="B149" s="1" t="s">
        <v>209</v>
      </c>
      <c r="C149" s="2">
        <v>17.666666666666668</v>
      </c>
      <c r="D149" s="2">
        <v>23.666666666666668</v>
      </c>
    </row>
    <row r="150" spans="1:4" x14ac:dyDescent="0.3">
      <c r="A150" s="2">
        <v>31203</v>
      </c>
      <c r="B150" s="1" t="s">
        <v>210</v>
      </c>
      <c r="C150" s="2">
        <v>17.333333333333332</v>
      </c>
      <c r="D150" s="2">
        <v>17</v>
      </c>
    </row>
    <row r="151" spans="1:4" x14ac:dyDescent="0.3">
      <c r="A151" s="2">
        <v>31204</v>
      </c>
      <c r="B151" s="1" t="s">
        <v>211</v>
      </c>
      <c r="C151" s="2">
        <v>23.666666666666668</v>
      </c>
      <c r="D151" s="2">
        <v>51.333333333333336</v>
      </c>
    </row>
    <row r="152" spans="1:4" x14ac:dyDescent="0.3">
      <c r="A152" s="2">
        <v>31205</v>
      </c>
      <c r="B152" s="1" t="s">
        <v>212</v>
      </c>
      <c r="C152" s="2">
        <v>82.666666666666671</v>
      </c>
      <c r="D152" s="2">
        <v>91.333333333333329</v>
      </c>
    </row>
    <row r="153" spans="1:4" x14ac:dyDescent="0.3">
      <c r="A153" s="2">
        <v>31206</v>
      </c>
      <c r="B153" s="1" t="s">
        <v>213</v>
      </c>
      <c r="C153" s="2">
        <v>41</v>
      </c>
      <c r="D153" s="2">
        <v>72.666666666666671</v>
      </c>
    </row>
    <row r="154" spans="1:4" x14ac:dyDescent="0.3">
      <c r="A154" s="2">
        <v>31301</v>
      </c>
      <c r="B154" s="1" t="s">
        <v>214</v>
      </c>
      <c r="C154" s="2">
        <v>28.666666666666668</v>
      </c>
      <c r="D154" s="2">
        <v>41.666666666666664</v>
      </c>
    </row>
    <row r="155" spans="1:4" x14ac:dyDescent="0.3">
      <c r="A155" s="2">
        <v>31302</v>
      </c>
      <c r="B155" s="1" t="s">
        <v>215</v>
      </c>
      <c r="C155" s="2">
        <v>3</v>
      </c>
      <c r="D155" s="2">
        <v>6</v>
      </c>
    </row>
    <row r="156" spans="1:4" x14ac:dyDescent="0.3">
      <c r="A156" s="2">
        <v>31303</v>
      </c>
      <c r="B156" s="1" t="s">
        <v>216</v>
      </c>
      <c r="C156" s="2">
        <v>3</v>
      </c>
      <c r="D156" s="2">
        <v>3.3333333333333335</v>
      </c>
    </row>
    <row r="157" spans="1:4" x14ac:dyDescent="0.3">
      <c r="A157" s="2">
        <v>31304</v>
      </c>
      <c r="B157" s="1" t="s">
        <v>217</v>
      </c>
      <c r="C157" s="2">
        <v>41</v>
      </c>
      <c r="D157" s="2">
        <v>72.666666666666671</v>
      </c>
    </row>
    <row r="158" spans="1:4" x14ac:dyDescent="0.3">
      <c r="A158" s="2">
        <v>31401</v>
      </c>
      <c r="B158" s="1" t="s">
        <v>219</v>
      </c>
      <c r="C158" s="2">
        <v>35.666666666666664</v>
      </c>
      <c r="D158" s="2">
        <v>40.333333333333336</v>
      </c>
    </row>
    <row r="159" spans="1:4" x14ac:dyDescent="0.3">
      <c r="A159" s="2">
        <v>31402</v>
      </c>
      <c r="B159" s="1" t="s">
        <v>221</v>
      </c>
      <c r="C159" s="2">
        <v>16</v>
      </c>
      <c r="D159" s="2">
        <v>17.333333333333332</v>
      </c>
    </row>
    <row r="160" spans="1:4" x14ac:dyDescent="0.3">
      <c r="A160" s="2">
        <v>31403</v>
      </c>
      <c r="B160" s="1" t="s">
        <v>222</v>
      </c>
      <c r="C160" s="2">
        <v>18</v>
      </c>
      <c r="D160" s="2">
        <v>26.666666666666668</v>
      </c>
    </row>
    <row r="161" spans="1:4" x14ac:dyDescent="0.3">
      <c r="A161" s="2">
        <v>31404</v>
      </c>
      <c r="B161" s="1" t="s">
        <v>224</v>
      </c>
      <c r="C161" s="2"/>
      <c r="D161" s="2"/>
    </row>
    <row r="162" spans="1:4" x14ac:dyDescent="0.3">
      <c r="A162" s="2">
        <v>31405</v>
      </c>
      <c r="B162" s="1" t="s">
        <v>225</v>
      </c>
      <c r="C162" s="2">
        <v>1.3333333333333333</v>
      </c>
      <c r="D162" s="2">
        <v>0.33333333333333331</v>
      </c>
    </row>
    <row r="163" spans="1:4" x14ac:dyDescent="0.3">
      <c r="A163" s="2">
        <v>31501</v>
      </c>
      <c r="B163" s="1" t="s">
        <v>227</v>
      </c>
      <c r="C163" s="2">
        <v>10.666666666666666</v>
      </c>
      <c r="D163" s="2">
        <v>10.333333333333334</v>
      </c>
    </row>
    <row r="164" spans="1:4" x14ac:dyDescent="0.3">
      <c r="A164" s="2">
        <v>31601</v>
      </c>
      <c r="B164" s="1" t="s">
        <v>228</v>
      </c>
      <c r="C164" s="2">
        <v>53</v>
      </c>
      <c r="D164" s="2">
        <v>29.666666666666668</v>
      </c>
    </row>
    <row r="165" spans="1:4" x14ac:dyDescent="0.3">
      <c r="A165" s="2">
        <v>31602</v>
      </c>
      <c r="B165" s="1" t="s">
        <v>229</v>
      </c>
      <c r="C165" s="2">
        <v>12.666666666666666</v>
      </c>
      <c r="D165" s="2">
        <v>58.666666666666664</v>
      </c>
    </row>
    <row r="166" spans="1:4" x14ac:dyDescent="0.3">
      <c r="A166" s="2">
        <v>40101</v>
      </c>
      <c r="B166" s="1" t="s">
        <v>230</v>
      </c>
      <c r="C166" s="2">
        <v>191</v>
      </c>
      <c r="D166" s="2">
        <v>347.33333333333331</v>
      </c>
    </row>
    <row r="167" spans="1:4" x14ac:dyDescent="0.3">
      <c r="A167" s="2">
        <v>40102</v>
      </c>
      <c r="B167" s="1" t="s">
        <v>231</v>
      </c>
      <c r="C167" s="2">
        <v>58</v>
      </c>
      <c r="D167" s="2">
        <v>76.666666666666671</v>
      </c>
    </row>
    <row r="168" spans="1:4" x14ac:dyDescent="0.3">
      <c r="A168" s="2">
        <v>40103</v>
      </c>
      <c r="B168" s="1" t="s">
        <v>232</v>
      </c>
      <c r="C168" s="2">
        <v>7.666666666666667</v>
      </c>
      <c r="D168" s="2">
        <v>13</v>
      </c>
    </row>
    <row r="169" spans="1:4" x14ac:dyDescent="0.3">
      <c r="A169" s="2">
        <v>40104</v>
      </c>
      <c r="B169" s="1" t="s">
        <v>233</v>
      </c>
      <c r="C169" s="2">
        <v>24.333333333333332</v>
      </c>
      <c r="D169" s="2">
        <v>33</v>
      </c>
    </row>
    <row r="170" spans="1:4" x14ac:dyDescent="0.3">
      <c r="A170" s="2">
        <v>40201</v>
      </c>
      <c r="B170" s="1" t="s">
        <v>236</v>
      </c>
      <c r="C170" s="2">
        <v>75</v>
      </c>
      <c r="D170" s="2">
        <v>68.666666666666671</v>
      </c>
    </row>
    <row r="171" spans="1:4" x14ac:dyDescent="0.3">
      <c r="A171" s="2">
        <v>40202</v>
      </c>
      <c r="B171" s="1" t="s">
        <v>237</v>
      </c>
      <c r="C171" s="2">
        <v>9</v>
      </c>
      <c r="D171" s="2">
        <v>10.333333333333334</v>
      </c>
    </row>
    <row r="172" spans="1:4" x14ac:dyDescent="0.3">
      <c r="A172" s="2">
        <v>40301</v>
      </c>
      <c r="B172" s="1" t="s">
        <v>239</v>
      </c>
      <c r="C172" s="2">
        <v>27</v>
      </c>
      <c r="D172" s="2">
        <v>26.333333333333332</v>
      </c>
    </row>
    <row r="173" spans="1:4" x14ac:dyDescent="0.3">
      <c r="A173" s="2">
        <v>40302</v>
      </c>
      <c r="B173" s="1" t="s">
        <v>240</v>
      </c>
      <c r="C173" s="2">
        <v>5.666666666666667</v>
      </c>
      <c r="D173" s="2">
        <v>2.6666666666666665</v>
      </c>
    </row>
    <row r="174" spans="1:4" x14ac:dyDescent="0.3">
      <c r="A174" s="2">
        <v>40401</v>
      </c>
      <c r="B174" s="1" t="s">
        <v>242</v>
      </c>
      <c r="C174" s="2">
        <v>18.666666666666668</v>
      </c>
      <c r="D174" s="2">
        <v>10.666666666666666</v>
      </c>
    </row>
    <row r="175" spans="1:4" x14ac:dyDescent="0.3">
      <c r="A175" s="2">
        <v>40402</v>
      </c>
      <c r="B175" s="1" t="s">
        <v>243</v>
      </c>
      <c r="C175" s="2">
        <v>18.666666666666668</v>
      </c>
      <c r="D175" s="2">
        <v>13.666666666666666</v>
      </c>
    </row>
    <row r="176" spans="1:4" x14ac:dyDescent="0.3">
      <c r="A176" s="2">
        <v>40501</v>
      </c>
      <c r="B176" s="1" t="s">
        <v>245</v>
      </c>
      <c r="C176" s="2">
        <v>4</v>
      </c>
      <c r="D176" s="2">
        <v>1.3333333333333333</v>
      </c>
    </row>
    <row r="177" spans="1:4" x14ac:dyDescent="0.3">
      <c r="A177" s="2">
        <v>40502</v>
      </c>
      <c r="B177" s="1" t="s">
        <v>246</v>
      </c>
      <c r="C177" s="2">
        <v>3.6666666666666665</v>
      </c>
      <c r="D177" s="2">
        <v>3</v>
      </c>
    </row>
    <row r="178" spans="1:4" x14ac:dyDescent="0.3">
      <c r="A178" s="2">
        <v>40503</v>
      </c>
      <c r="B178" s="1" t="s">
        <v>247</v>
      </c>
      <c r="C178" s="2"/>
      <c r="D178" s="2"/>
    </row>
    <row r="179" spans="1:4" x14ac:dyDescent="0.3">
      <c r="A179" s="2">
        <v>40504</v>
      </c>
      <c r="B179" s="1" t="s">
        <v>248</v>
      </c>
      <c r="C179" s="2"/>
      <c r="D179" s="2"/>
    </row>
    <row r="180" spans="1:4" x14ac:dyDescent="0.3">
      <c r="A180" s="2">
        <v>40505</v>
      </c>
      <c r="B180" s="1" t="s">
        <v>249</v>
      </c>
      <c r="C180" s="2"/>
      <c r="D180" s="2"/>
    </row>
    <row r="181" spans="1:4" x14ac:dyDescent="0.3">
      <c r="A181" s="2">
        <v>40601</v>
      </c>
      <c r="B181" s="1" t="s">
        <v>250</v>
      </c>
      <c r="C181" s="2">
        <v>10.333333333333334</v>
      </c>
      <c r="D181" s="2">
        <v>9</v>
      </c>
    </row>
    <row r="182" spans="1:4" x14ac:dyDescent="0.3">
      <c r="A182" s="2">
        <v>40602</v>
      </c>
      <c r="B182" s="1" t="s">
        <v>252</v>
      </c>
      <c r="C182" s="2">
        <v>21</v>
      </c>
      <c r="D182" s="2">
        <v>13</v>
      </c>
    </row>
    <row r="183" spans="1:4" x14ac:dyDescent="0.3">
      <c r="A183" s="2">
        <v>40603</v>
      </c>
      <c r="B183" s="1" t="s">
        <v>253</v>
      </c>
      <c r="C183" s="2">
        <v>8</v>
      </c>
      <c r="D183" s="2">
        <v>6</v>
      </c>
    </row>
    <row r="184" spans="1:4" x14ac:dyDescent="0.3">
      <c r="A184" s="2">
        <v>40701</v>
      </c>
      <c r="B184" s="1" t="s">
        <v>255</v>
      </c>
      <c r="C184" s="2">
        <v>71.666666666666671</v>
      </c>
      <c r="D184" s="2">
        <v>46.333333333333336</v>
      </c>
    </row>
    <row r="185" spans="1:4" x14ac:dyDescent="0.3">
      <c r="A185" s="2">
        <v>40702</v>
      </c>
      <c r="B185" s="1" t="s">
        <v>257</v>
      </c>
      <c r="C185" s="2">
        <v>16</v>
      </c>
      <c r="D185" s="2">
        <v>17.666666666666668</v>
      </c>
    </row>
    <row r="186" spans="1:4" x14ac:dyDescent="0.3">
      <c r="A186" s="2">
        <v>40801</v>
      </c>
      <c r="B186" s="1" t="s">
        <v>259</v>
      </c>
      <c r="C186" s="2">
        <v>30</v>
      </c>
      <c r="D186" s="2">
        <v>24.333333333333332</v>
      </c>
    </row>
    <row r="187" spans="1:4" x14ac:dyDescent="0.3">
      <c r="A187" s="2">
        <v>40802</v>
      </c>
      <c r="B187" s="1" t="s">
        <v>260</v>
      </c>
      <c r="C187" s="2">
        <v>8</v>
      </c>
      <c r="D187" s="2">
        <v>6</v>
      </c>
    </row>
    <row r="188" spans="1:4" x14ac:dyDescent="0.3">
      <c r="A188" s="2">
        <v>40901</v>
      </c>
      <c r="B188" s="1" t="s">
        <v>261</v>
      </c>
      <c r="C188" s="2">
        <v>10</v>
      </c>
      <c r="D188" s="2">
        <v>6</v>
      </c>
    </row>
    <row r="189" spans="1:4" x14ac:dyDescent="0.3">
      <c r="A189" s="2">
        <v>40902</v>
      </c>
      <c r="B189" s="1" t="s">
        <v>262</v>
      </c>
      <c r="C189" s="2">
        <v>3</v>
      </c>
      <c r="D189" s="2">
        <v>2.3333333333333335</v>
      </c>
    </row>
    <row r="190" spans="1:4" x14ac:dyDescent="0.3">
      <c r="A190" s="2">
        <v>40903</v>
      </c>
      <c r="B190" s="1" t="s">
        <v>263</v>
      </c>
      <c r="C190" s="2">
        <v>7.333333333333333</v>
      </c>
      <c r="D190" s="2">
        <v>2.3333333333333335</v>
      </c>
    </row>
    <row r="191" spans="1:4" x14ac:dyDescent="0.3">
      <c r="A191" s="2">
        <v>41001</v>
      </c>
      <c r="B191" s="1" t="s">
        <v>265</v>
      </c>
      <c r="C191" s="2">
        <v>16.333333333333332</v>
      </c>
      <c r="D191" s="2">
        <v>16</v>
      </c>
    </row>
    <row r="192" spans="1:4" x14ac:dyDescent="0.3">
      <c r="A192" s="2">
        <v>41101</v>
      </c>
      <c r="B192" s="1" t="s">
        <v>267</v>
      </c>
      <c r="C192" s="2">
        <v>23.333333333333332</v>
      </c>
      <c r="D192" s="2">
        <v>20.333333333333332</v>
      </c>
    </row>
    <row r="193" spans="1:4" x14ac:dyDescent="0.3">
      <c r="A193" s="2">
        <v>41201</v>
      </c>
      <c r="B193" s="1" t="s">
        <v>269</v>
      </c>
      <c r="C193" s="2">
        <v>18.333333333333332</v>
      </c>
      <c r="D193" s="2">
        <v>17.333333333333332</v>
      </c>
    </row>
    <row r="194" spans="1:4" x14ac:dyDescent="0.3">
      <c r="A194" s="2">
        <v>41202</v>
      </c>
      <c r="B194" s="1" t="s">
        <v>271</v>
      </c>
      <c r="C194" s="2">
        <v>8.6666666666666661</v>
      </c>
      <c r="D194" s="2">
        <v>7.333333333333333</v>
      </c>
    </row>
    <row r="195" spans="1:4" x14ac:dyDescent="0.3">
      <c r="A195" s="2">
        <v>41301</v>
      </c>
      <c r="B195" s="1" t="s">
        <v>208</v>
      </c>
      <c r="C195" s="2">
        <v>31.333333333333332</v>
      </c>
      <c r="D195" s="2">
        <v>21.666666666666668</v>
      </c>
    </row>
    <row r="196" spans="1:4" x14ac:dyDescent="0.3">
      <c r="A196" s="2">
        <v>41401</v>
      </c>
      <c r="B196" s="1" t="s">
        <v>274</v>
      </c>
      <c r="C196" s="2">
        <v>21.333333333333332</v>
      </c>
      <c r="D196" s="2">
        <v>18.666666666666668</v>
      </c>
    </row>
    <row r="197" spans="1:4" x14ac:dyDescent="0.3">
      <c r="A197" s="2">
        <v>41501</v>
      </c>
      <c r="B197" s="1" t="s">
        <v>276</v>
      </c>
      <c r="C197" s="2">
        <v>5.666666666666667</v>
      </c>
      <c r="D197" s="2">
        <v>1</v>
      </c>
    </row>
    <row r="198" spans="1:4" x14ac:dyDescent="0.3">
      <c r="A198" s="2">
        <v>41502</v>
      </c>
      <c r="B198" s="1" t="s">
        <v>277</v>
      </c>
      <c r="C198" s="2">
        <v>5.333333333333333</v>
      </c>
      <c r="D198" s="2">
        <v>3</v>
      </c>
    </row>
    <row r="199" spans="1:4" x14ac:dyDescent="0.3">
      <c r="A199" s="2">
        <v>41503</v>
      </c>
      <c r="B199" s="1" t="s">
        <v>238</v>
      </c>
      <c r="C199" s="2">
        <v>0</v>
      </c>
      <c r="D199" s="2">
        <v>0</v>
      </c>
    </row>
    <row r="200" spans="1:4" x14ac:dyDescent="0.3">
      <c r="A200" s="2">
        <v>41601</v>
      </c>
      <c r="B200" s="1" t="s">
        <v>279</v>
      </c>
      <c r="C200" s="2">
        <v>27</v>
      </c>
      <c r="D200" s="2">
        <v>20.333333333333332</v>
      </c>
    </row>
    <row r="201" spans="1:4" x14ac:dyDescent="0.3">
      <c r="A201" s="2">
        <v>50101</v>
      </c>
      <c r="B201" s="1" t="s">
        <v>281</v>
      </c>
      <c r="C201" s="2">
        <v>211.66666666666666</v>
      </c>
      <c r="D201" s="2">
        <v>317</v>
      </c>
    </row>
    <row r="202" spans="1:4" x14ac:dyDescent="0.3">
      <c r="A202" s="2">
        <v>50102</v>
      </c>
      <c r="B202" s="1" t="s">
        <v>283</v>
      </c>
      <c r="C202" s="2">
        <v>34.333333333333336</v>
      </c>
      <c r="D202" s="2">
        <v>44.666666666666664</v>
      </c>
    </row>
    <row r="203" spans="1:4" x14ac:dyDescent="0.3">
      <c r="A203" s="2">
        <v>50103</v>
      </c>
      <c r="B203" s="1" t="s">
        <v>284</v>
      </c>
      <c r="C203" s="2">
        <v>24</v>
      </c>
      <c r="D203" s="2">
        <v>22.333333333333332</v>
      </c>
    </row>
    <row r="204" spans="1:4" x14ac:dyDescent="0.3">
      <c r="A204" s="2">
        <v>50104</v>
      </c>
      <c r="B204" s="1" t="s">
        <v>286</v>
      </c>
      <c r="C204" s="2">
        <v>24</v>
      </c>
      <c r="D204" s="2">
        <v>15.666666666666666</v>
      </c>
    </row>
    <row r="205" spans="1:4" x14ac:dyDescent="0.3">
      <c r="A205" s="2">
        <v>50201</v>
      </c>
      <c r="B205" s="1" t="s">
        <v>289</v>
      </c>
      <c r="C205" s="2">
        <v>63.666666666666664</v>
      </c>
      <c r="D205" s="2">
        <v>31.666666666666668</v>
      </c>
    </row>
    <row r="206" spans="1:4" x14ac:dyDescent="0.3">
      <c r="A206" s="2">
        <v>50202</v>
      </c>
      <c r="B206" s="1" t="s">
        <v>290</v>
      </c>
      <c r="C206" s="2">
        <v>42.666666666666664</v>
      </c>
      <c r="D206" s="2">
        <v>30.333333333333332</v>
      </c>
    </row>
    <row r="207" spans="1:4" x14ac:dyDescent="0.3">
      <c r="A207" s="2">
        <v>50203</v>
      </c>
      <c r="B207" s="1" t="s">
        <v>291</v>
      </c>
      <c r="C207" s="2">
        <v>45.333333333333336</v>
      </c>
      <c r="D207" s="2">
        <v>50.666666666666664</v>
      </c>
    </row>
    <row r="208" spans="1:4" x14ac:dyDescent="0.3">
      <c r="A208" s="2">
        <v>50204</v>
      </c>
      <c r="B208" s="1" t="s">
        <v>292</v>
      </c>
      <c r="C208" s="2">
        <v>15.333333333333334</v>
      </c>
      <c r="D208" s="2">
        <v>20</v>
      </c>
    </row>
    <row r="209" spans="1:4" x14ac:dyDescent="0.3">
      <c r="A209" s="2">
        <v>50301</v>
      </c>
      <c r="B209" s="1" t="s">
        <v>294</v>
      </c>
      <c r="C209" s="2">
        <v>77.666666666666671</v>
      </c>
      <c r="D209" s="2">
        <v>73</v>
      </c>
    </row>
    <row r="210" spans="1:4" x14ac:dyDescent="0.3">
      <c r="A210" s="2">
        <v>50302</v>
      </c>
      <c r="B210" s="1" t="s">
        <v>296</v>
      </c>
      <c r="C210" s="2">
        <v>24</v>
      </c>
      <c r="D210" s="2">
        <v>29</v>
      </c>
    </row>
    <row r="211" spans="1:4" x14ac:dyDescent="0.3">
      <c r="A211" s="2">
        <v>50303</v>
      </c>
      <c r="B211" s="1" t="s">
        <v>297</v>
      </c>
      <c r="C211" s="2">
        <v>22</v>
      </c>
      <c r="D211" s="2">
        <v>25</v>
      </c>
    </row>
    <row r="212" spans="1:4" x14ac:dyDescent="0.3">
      <c r="A212" s="2">
        <v>50401</v>
      </c>
      <c r="B212" s="1" t="s">
        <v>298</v>
      </c>
      <c r="C212" s="2">
        <v>30.666666666666668</v>
      </c>
      <c r="D212" s="2">
        <v>29.666666666666668</v>
      </c>
    </row>
    <row r="213" spans="1:4" x14ac:dyDescent="0.3">
      <c r="A213" s="2">
        <v>50402</v>
      </c>
      <c r="B213" s="1" t="s">
        <v>299</v>
      </c>
      <c r="C213" s="2">
        <v>21.333333333333332</v>
      </c>
      <c r="D213" s="2">
        <v>33</v>
      </c>
    </row>
    <row r="214" spans="1:4" x14ac:dyDescent="0.3">
      <c r="A214" s="2">
        <v>50403</v>
      </c>
      <c r="B214" s="1" t="s">
        <v>300</v>
      </c>
      <c r="C214" s="2">
        <v>34</v>
      </c>
      <c r="D214" s="2">
        <v>26</v>
      </c>
    </row>
    <row r="215" spans="1:4" x14ac:dyDescent="0.3">
      <c r="A215" s="2">
        <v>50404</v>
      </c>
      <c r="B215" s="1" t="s">
        <v>301</v>
      </c>
      <c r="C215" s="2">
        <v>26</v>
      </c>
      <c r="D215" s="2">
        <v>24.333333333333332</v>
      </c>
    </row>
    <row r="216" spans="1:4" x14ac:dyDescent="0.3">
      <c r="A216" s="2">
        <v>50405</v>
      </c>
      <c r="B216" s="1" t="s">
        <v>302</v>
      </c>
      <c r="C216" s="2">
        <v>30.666666666666668</v>
      </c>
      <c r="D216" s="2">
        <v>29.666666666666668</v>
      </c>
    </row>
    <row r="217" spans="1:4" x14ac:dyDescent="0.3">
      <c r="A217" s="2">
        <v>50501</v>
      </c>
      <c r="B217" s="1" t="s">
        <v>304</v>
      </c>
      <c r="C217" s="2">
        <v>34.333333333333336</v>
      </c>
      <c r="D217" s="2">
        <v>16</v>
      </c>
    </row>
    <row r="218" spans="1:4" x14ac:dyDescent="0.3">
      <c r="A218" s="2">
        <v>50502</v>
      </c>
      <c r="B218" s="1" t="s">
        <v>305</v>
      </c>
      <c r="C218" s="2">
        <v>17.333333333333332</v>
      </c>
      <c r="D218" s="2">
        <v>15.333333333333334</v>
      </c>
    </row>
    <row r="219" spans="1:4" x14ac:dyDescent="0.3">
      <c r="A219" s="2">
        <v>50601</v>
      </c>
      <c r="B219" s="1" t="s">
        <v>307</v>
      </c>
      <c r="C219" s="2">
        <v>121.66666666666667</v>
      </c>
      <c r="D219" s="2">
        <v>117.33333333333333</v>
      </c>
    </row>
    <row r="220" spans="1:4" x14ac:dyDescent="0.3">
      <c r="A220" s="2">
        <v>50602</v>
      </c>
      <c r="B220" s="1" t="s">
        <v>308</v>
      </c>
      <c r="C220" s="2">
        <v>36.666666666666664</v>
      </c>
      <c r="D220" s="2">
        <v>36.666666666666664</v>
      </c>
    </row>
    <row r="221" spans="1:4" x14ac:dyDescent="0.3">
      <c r="A221" s="2">
        <v>50701</v>
      </c>
      <c r="B221" s="1" t="s">
        <v>310</v>
      </c>
      <c r="C221" s="2">
        <v>31.666666666666668</v>
      </c>
      <c r="D221" s="2">
        <v>16</v>
      </c>
    </row>
    <row r="222" spans="1:4" x14ac:dyDescent="0.3">
      <c r="A222" s="2">
        <v>50702</v>
      </c>
      <c r="B222" s="1" t="s">
        <v>312</v>
      </c>
      <c r="C222" s="2">
        <v>20.333333333333332</v>
      </c>
      <c r="D222" s="2">
        <v>11.333333333333334</v>
      </c>
    </row>
    <row r="223" spans="1:4" x14ac:dyDescent="0.3">
      <c r="A223" s="2">
        <v>50801</v>
      </c>
      <c r="B223" s="1" t="s">
        <v>314</v>
      </c>
      <c r="C223" s="2">
        <v>110.66666666666667</v>
      </c>
      <c r="D223" s="2">
        <v>130.66666666666666</v>
      </c>
    </row>
    <row r="224" spans="1:4" x14ac:dyDescent="0.3">
      <c r="A224" s="2">
        <v>50802</v>
      </c>
      <c r="B224" s="1" t="s">
        <v>315</v>
      </c>
      <c r="C224" s="2">
        <v>29.333333333333332</v>
      </c>
      <c r="D224" s="2">
        <v>22.333333333333332</v>
      </c>
    </row>
    <row r="225" spans="1:4" x14ac:dyDescent="0.3">
      <c r="A225" s="2">
        <v>50901</v>
      </c>
      <c r="B225" s="1" t="s">
        <v>317</v>
      </c>
      <c r="C225" s="2">
        <v>48</v>
      </c>
      <c r="D225" s="2">
        <v>49</v>
      </c>
    </row>
    <row r="226" spans="1:4" x14ac:dyDescent="0.3">
      <c r="A226" s="2">
        <v>50902</v>
      </c>
      <c r="B226" s="1" t="s">
        <v>319</v>
      </c>
      <c r="C226" s="2">
        <v>2</v>
      </c>
      <c r="D226" s="2">
        <v>3</v>
      </c>
    </row>
    <row r="227" spans="1:4" x14ac:dyDescent="0.3">
      <c r="A227" s="2">
        <v>51001</v>
      </c>
      <c r="B227" s="1" t="s">
        <v>322</v>
      </c>
      <c r="C227" s="2">
        <v>14</v>
      </c>
      <c r="D227" s="2">
        <v>12</v>
      </c>
    </row>
    <row r="228" spans="1:4" x14ac:dyDescent="0.3">
      <c r="A228" s="2">
        <v>51002</v>
      </c>
      <c r="B228" s="1" t="s">
        <v>324</v>
      </c>
      <c r="C228" s="2">
        <v>4</v>
      </c>
      <c r="D228" s="2">
        <v>4</v>
      </c>
    </row>
    <row r="229" spans="1:4" x14ac:dyDescent="0.3">
      <c r="A229" s="2">
        <v>51003</v>
      </c>
      <c r="B229" s="1" t="s">
        <v>325</v>
      </c>
      <c r="C229" s="2">
        <v>6.333333333333333</v>
      </c>
      <c r="D229" s="2">
        <v>5</v>
      </c>
    </row>
    <row r="230" spans="1:4" x14ac:dyDescent="0.3">
      <c r="A230" s="2">
        <v>51101</v>
      </c>
      <c r="B230" s="1" t="s">
        <v>327</v>
      </c>
      <c r="C230" s="2">
        <v>93</v>
      </c>
      <c r="D230" s="2">
        <v>64</v>
      </c>
    </row>
    <row r="231" spans="1:4" x14ac:dyDescent="0.3">
      <c r="A231" s="2">
        <v>51102</v>
      </c>
      <c r="B231" s="1" t="s">
        <v>329</v>
      </c>
      <c r="C231" s="2">
        <v>29.666666666666668</v>
      </c>
      <c r="D231" s="2">
        <v>38.666666666666664</v>
      </c>
    </row>
    <row r="232" spans="1:4" x14ac:dyDescent="0.3">
      <c r="A232" s="2">
        <v>51103</v>
      </c>
      <c r="B232" s="1" t="s">
        <v>330</v>
      </c>
      <c r="C232" s="2">
        <v>15</v>
      </c>
      <c r="D232" s="2">
        <v>38.666666666666664</v>
      </c>
    </row>
    <row r="233" spans="1:4" x14ac:dyDescent="0.3">
      <c r="A233" s="2">
        <v>51201</v>
      </c>
      <c r="B233" s="1" t="s">
        <v>332</v>
      </c>
      <c r="C233" s="2">
        <v>63.333333333333336</v>
      </c>
      <c r="D233" s="2">
        <v>77</v>
      </c>
    </row>
    <row r="234" spans="1:4" x14ac:dyDescent="0.3">
      <c r="A234" s="2">
        <v>51202</v>
      </c>
      <c r="B234" s="1" t="s">
        <v>333</v>
      </c>
      <c r="C234" s="2">
        <v>57</v>
      </c>
      <c r="D234" s="2">
        <v>47.666666666666664</v>
      </c>
    </row>
    <row r="235" spans="1:4" x14ac:dyDescent="0.3">
      <c r="A235" s="2">
        <v>51203</v>
      </c>
      <c r="B235" s="1" t="s">
        <v>334</v>
      </c>
      <c r="C235" s="2">
        <v>13.333333333333334</v>
      </c>
      <c r="D235" s="2">
        <v>23.333333333333332</v>
      </c>
    </row>
    <row r="236" spans="1:4" x14ac:dyDescent="0.3">
      <c r="A236" s="2">
        <v>51204</v>
      </c>
      <c r="B236" s="1" t="s">
        <v>335</v>
      </c>
      <c r="C236" s="2">
        <v>57</v>
      </c>
      <c r="D236" s="2">
        <v>47.666666666666664</v>
      </c>
    </row>
    <row r="237" spans="1:4" x14ac:dyDescent="0.3">
      <c r="A237" s="2">
        <v>51301</v>
      </c>
      <c r="B237" s="1" t="s">
        <v>337</v>
      </c>
      <c r="C237" s="2">
        <v>9.6666666666666661</v>
      </c>
      <c r="D237" s="2">
        <v>7</v>
      </c>
    </row>
    <row r="238" spans="1:4" x14ac:dyDescent="0.3">
      <c r="A238" s="2">
        <v>51302</v>
      </c>
      <c r="B238" s="1" t="s">
        <v>338</v>
      </c>
      <c r="C238" s="2">
        <v>10.666666666666666</v>
      </c>
      <c r="D238" s="2">
        <v>7.666666666666667</v>
      </c>
    </row>
    <row r="239" spans="1:4" x14ac:dyDescent="0.3">
      <c r="A239" s="2">
        <v>51401</v>
      </c>
      <c r="B239" s="1" t="s">
        <v>340</v>
      </c>
      <c r="C239" s="2">
        <v>18.666666666666668</v>
      </c>
      <c r="D239" s="2">
        <v>19.333333333333332</v>
      </c>
    </row>
    <row r="240" spans="1:4" x14ac:dyDescent="0.3">
      <c r="A240" s="2">
        <v>51402</v>
      </c>
      <c r="B240" s="1" t="s">
        <v>341</v>
      </c>
      <c r="C240" s="2">
        <v>5.666666666666667</v>
      </c>
      <c r="D240" s="2">
        <v>6.666666666666667</v>
      </c>
    </row>
    <row r="241" spans="1:4" x14ac:dyDescent="0.3">
      <c r="A241" s="2">
        <v>51501</v>
      </c>
      <c r="B241" s="1" t="s">
        <v>343</v>
      </c>
      <c r="C241" s="2">
        <v>112</v>
      </c>
      <c r="D241" s="2">
        <v>87</v>
      </c>
    </row>
    <row r="242" spans="1:4" x14ac:dyDescent="0.3">
      <c r="A242" s="2">
        <v>51601</v>
      </c>
      <c r="B242" s="1" t="s">
        <v>345</v>
      </c>
      <c r="C242" s="2">
        <v>15.333333333333334</v>
      </c>
      <c r="D242" s="2">
        <v>11.333333333333334</v>
      </c>
    </row>
    <row r="243" spans="1:4" x14ac:dyDescent="0.3">
      <c r="A243" s="2">
        <v>60101</v>
      </c>
      <c r="B243" s="1" t="s">
        <v>346</v>
      </c>
      <c r="C243" s="2">
        <v>247.66666666666666</v>
      </c>
      <c r="D243" s="2">
        <v>259.33333333333331</v>
      </c>
    </row>
    <row r="244" spans="1:4" x14ac:dyDescent="0.3">
      <c r="A244" s="2">
        <v>60201</v>
      </c>
      <c r="B244" s="1" t="s">
        <v>348</v>
      </c>
      <c r="C244" s="2">
        <v>47.666666666666664</v>
      </c>
      <c r="D244" s="2">
        <v>40</v>
      </c>
    </row>
    <row r="245" spans="1:4" x14ac:dyDescent="0.3">
      <c r="A245" s="2">
        <v>60202</v>
      </c>
      <c r="B245" s="1" t="s">
        <v>349</v>
      </c>
      <c r="C245" s="2">
        <v>67.333333333333329</v>
      </c>
      <c r="D245" s="2">
        <v>59.333333333333336</v>
      </c>
    </row>
    <row r="246" spans="1:4" x14ac:dyDescent="0.3">
      <c r="A246" s="2">
        <v>60301</v>
      </c>
      <c r="B246" s="1" t="s">
        <v>351</v>
      </c>
      <c r="C246" s="2">
        <v>116.33333333333333</v>
      </c>
      <c r="D246" s="2">
        <v>104</v>
      </c>
    </row>
    <row r="247" spans="1:4" x14ac:dyDescent="0.3">
      <c r="A247" s="2">
        <v>60302</v>
      </c>
      <c r="B247" s="1" t="s">
        <v>352</v>
      </c>
      <c r="C247" s="2">
        <v>46.666666666666664</v>
      </c>
      <c r="D247" s="2">
        <v>34.666666666666664</v>
      </c>
    </row>
    <row r="248" spans="1:4" x14ac:dyDescent="0.3">
      <c r="A248" s="2">
        <v>60303</v>
      </c>
      <c r="B248" s="1" t="s">
        <v>353</v>
      </c>
      <c r="C248" s="2">
        <v>75.333333333333329</v>
      </c>
      <c r="D248" s="2">
        <v>66</v>
      </c>
    </row>
    <row r="249" spans="1:4" x14ac:dyDescent="0.3">
      <c r="A249" s="2">
        <v>60401</v>
      </c>
      <c r="B249" s="1" t="s">
        <v>355</v>
      </c>
      <c r="C249" s="2">
        <v>38</v>
      </c>
      <c r="D249" s="2">
        <v>28.333333333333332</v>
      </c>
    </row>
    <row r="250" spans="1:4" x14ac:dyDescent="0.3">
      <c r="A250" s="2">
        <v>60402</v>
      </c>
      <c r="B250" s="1" t="s">
        <v>357</v>
      </c>
      <c r="C250" s="2">
        <v>13</v>
      </c>
      <c r="D250" s="2">
        <v>14</v>
      </c>
    </row>
    <row r="251" spans="1:4" x14ac:dyDescent="0.3">
      <c r="A251" s="2">
        <v>60501</v>
      </c>
      <c r="B251" s="1" t="s">
        <v>359</v>
      </c>
      <c r="C251" s="2">
        <v>72.333333333333329</v>
      </c>
      <c r="D251" s="2">
        <v>48.333333333333336</v>
      </c>
    </row>
    <row r="252" spans="1:4" x14ac:dyDescent="0.3">
      <c r="A252" s="2">
        <v>60502</v>
      </c>
      <c r="B252" s="1" t="s">
        <v>361</v>
      </c>
      <c r="C252" s="2">
        <v>32.333333333333336</v>
      </c>
      <c r="D252" s="2">
        <v>21.666666666666668</v>
      </c>
    </row>
    <row r="253" spans="1:4" x14ac:dyDescent="0.3">
      <c r="A253" s="2">
        <v>60601</v>
      </c>
      <c r="B253" s="1" t="s">
        <v>213</v>
      </c>
      <c r="C253" s="2">
        <v>75.333333333333329</v>
      </c>
      <c r="D253" s="2">
        <v>36.333333333333336</v>
      </c>
    </row>
    <row r="254" spans="1:4" x14ac:dyDescent="0.3">
      <c r="A254" s="2">
        <v>70101</v>
      </c>
      <c r="B254" s="1" t="s">
        <v>365</v>
      </c>
      <c r="C254" s="2">
        <v>1040</v>
      </c>
      <c r="D254" s="2">
        <v>1101.6666666666667</v>
      </c>
    </row>
    <row r="255" spans="1:4" x14ac:dyDescent="0.3">
      <c r="A255" s="2">
        <v>70102</v>
      </c>
      <c r="B255" s="1" t="s">
        <v>366</v>
      </c>
      <c r="C255" s="2">
        <v>36.333333333333336</v>
      </c>
      <c r="D255" s="2">
        <v>36.666666666666664</v>
      </c>
    </row>
    <row r="256" spans="1:4" x14ac:dyDescent="0.3">
      <c r="A256" s="2">
        <v>70103</v>
      </c>
      <c r="B256" s="1" t="s">
        <v>367</v>
      </c>
      <c r="C256" s="2">
        <v>20</v>
      </c>
      <c r="D256" s="2">
        <v>23.666666666666668</v>
      </c>
    </row>
    <row r="257" spans="1:4" x14ac:dyDescent="0.3">
      <c r="A257" s="2">
        <v>70104</v>
      </c>
      <c r="B257" s="1" t="s">
        <v>369</v>
      </c>
      <c r="C257" s="2">
        <v>62</v>
      </c>
      <c r="D257" s="2">
        <v>108.33333333333333</v>
      </c>
    </row>
    <row r="258" spans="1:4" x14ac:dyDescent="0.3">
      <c r="A258" s="2">
        <v>70105</v>
      </c>
      <c r="B258" s="1" t="s">
        <v>370</v>
      </c>
      <c r="C258" s="2">
        <v>115</v>
      </c>
      <c r="D258" s="2">
        <v>131.33333333333334</v>
      </c>
    </row>
    <row r="259" spans="1:4" x14ac:dyDescent="0.3">
      <c r="A259" s="2">
        <v>70201</v>
      </c>
      <c r="B259" s="1" t="s">
        <v>371</v>
      </c>
      <c r="C259" s="2">
        <v>112.33333333333333</v>
      </c>
      <c r="D259" s="2">
        <v>173.66666666666666</v>
      </c>
    </row>
    <row r="260" spans="1:4" x14ac:dyDescent="0.3">
      <c r="A260" s="2">
        <v>70202</v>
      </c>
      <c r="B260" s="1" t="s">
        <v>372</v>
      </c>
      <c r="C260" s="2">
        <v>23.333333333333332</v>
      </c>
      <c r="D260" s="2">
        <v>36</v>
      </c>
    </row>
    <row r="261" spans="1:4" x14ac:dyDescent="0.3">
      <c r="A261" s="2">
        <v>70301</v>
      </c>
      <c r="B261" s="1" t="s">
        <v>374</v>
      </c>
      <c r="C261" s="2">
        <v>84.333333333333329</v>
      </c>
      <c r="D261" s="2">
        <v>59.333333333333336</v>
      </c>
    </row>
    <row r="262" spans="1:4" x14ac:dyDescent="0.3">
      <c r="A262" s="2">
        <v>70302</v>
      </c>
      <c r="B262" s="1" t="s">
        <v>376</v>
      </c>
      <c r="C262" s="2">
        <v>36.333333333333336</v>
      </c>
      <c r="D262" s="2">
        <v>21.333333333333332</v>
      </c>
    </row>
    <row r="263" spans="1:4" x14ac:dyDescent="0.3">
      <c r="A263" s="2">
        <v>70303</v>
      </c>
      <c r="B263" s="1" t="s">
        <v>378</v>
      </c>
      <c r="C263" s="2">
        <v>8.6666666666666661</v>
      </c>
      <c r="D263" s="2">
        <v>8.6666666666666661</v>
      </c>
    </row>
    <row r="264" spans="1:4" x14ac:dyDescent="0.3">
      <c r="A264" s="2">
        <v>70401</v>
      </c>
      <c r="B264" s="1" t="s">
        <v>380</v>
      </c>
      <c r="C264" s="2">
        <v>63</v>
      </c>
      <c r="D264" s="2">
        <v>47.333333333333336</v>
      </c>
    </row>
    <row r="265" spans="1:4" x14ac:dyDescent="0.3">
      <c r="A265" s="2">
        <v>70402</v>
      </c>
      <c r="B265" s="1" t="s">
        <v>381</v>
      </c>
      <c r="C265" s="2">
        <v>54.666666666666664</v>
      </c>
      <c r="D265" s="2">
        <v>47.333333333333336</v>
      </c>
    </row>
    <row r="266" spans="1:4" x14ac:dyDescent="0.3">
      <c r="A266" s="2">
        <v>70403</v>
      </c>
      <c r="B266" s="1" t="s">
        <v>382</v>
      </c>
      <c r="C266" s="2">
        <v>89.666666666666671</v>
      </c>
      <c r="D266" s="2">
        <v>95.333333333333329</v>
      </c>
    </row>
    <row r="267" spans="1:4" x14ac:dyDescent="0.3">
      <c r="A267" s="2">
        <v>70404</v>
      </c>
      <c r="B267" s="1" t="s">
        <v>383</v>
      </c>
      <c r="C267" s="2">
        <v>19.666666666666668</v>
      </c>
      <c r="D267" s="2">
        <v>21.333333333333332</v>
      </c>
    </row>
    <row r="268" spans="1:4" x14ac:dyDescent="0.3">
      <c r="A268" s="2">
        <v>70501</v>
      </c>
      <c r="B268" s="1" t="s">
        <v>385</v>
      </c>
      <c r="C268" s="2">
        <v>47.666666666666664</v>
      </c>
      <c r="D268" s="2">
        <v>29</v>
      </c>
    </row>
    <row r="269" spans="1:4" x14ac:dyDescent="0.3">
      <c r="A269" s="2">
        <v>70502</v>
      </c>
      <c r="B269" s="1" t="s">
        <v>387</v>
      </c>
      <c r="C269" s="2">
        <v>42.666666666666664</v>
      </c>
      <c r="D269" s="2">
        <v>42.333333333333336</v>
      </c>
    </row>
    <row r="270" spans="1:4" x14ac:dyDescent="0.3">
      <c r="A270" s="2">
        <v>70503</v>
      </c>
      <c r="B270" s="1" t="s">
        <v>388</v>
      </c>
      <c r="C270" s="2">
        <v>59.333333333333336</v>
      </c>
      <c r="D270" s="2">
        <v>17</v>
      </c>
    </row>
    <row r="271" spans="1:4" x14ac:dyDescent="0.3">
      <c r="A271" s="2">
        <v>70601</v>
      </c>
      <c r="B271" s="1" t="s">
        <v>390</v>
      </c>
      <c r="C271" s="2">
        <v>52</v>
      </c>
      <c r="D271" s="2">
        <v>52.333333333333336</v>
      </c>
    </row>
    <row r="272" spans="1:4" x14ac:dyDescent="0.3">
      <c r="A272" s="2">
        <v>70602</v>
      </c>
      <c r="B272" s="1" t="s">
        <v>391</v>
      </c>
      <c r="C272" s="2">
        <v>32</v>
      </c>
      <c r="D272" s="2">
        <v>39.333333333333336</v>
      </c>
    </row>
    <row r="273" spans="1:4" x14ac:dyDescent="0.3">
      <c r="A273" s="2">
        <v>70603</v>
      </c>
      <c r="B273" s="1" t="s">
        <v>393</v>
      </c>
      <c r="C273" s="2">
        <v>9</v>
      </c>
      <c r="D273" s="2">
        <v>13.333333333333334</v>
      </c>
    </row>
    <row r="274" spans="1:4" x14ac:dyDescent="0.3">
      <c r="A274" s="2">
        <v>70701</v>
      </c>
      <c r="B274" s="1" t="s">
        <v>395</v>
      </c>
      <c r="C274" s="2">
        <v>19.666666666666668</v>
      </c>
      <c r="D274" s="2">
        <v>16.666666666666668</v>
      </c>
    </row>
    <row r="275" spans="1:4" x14ac:dyDescent="0.3">
      <c r="A275" s="2">
        <v>70702</v>
      </c>
      <c r="B275" s="1" t="s">
        <v>396</v>
      </c>
      <c r="C275" s="2">
        <v>80</v>
      </c>
      <c r="D275" s="2">
        <v>38</v>
      </c>
    </row>
    <row r="276" spans="1:4" x14ac:dyDescent="0.3">
      <c r="A276" s="2">
        <v>70703</v>
      </c>
      <c r="B276" s="1" t="s">
        <v>397</v>
      </c>
      <c r="C276" s="2">
        <v>30</v>
      </c>
      <c r="D276" s="2">
        <v>36</v>
      </c>
    </row>
    <row r="277" spans="1:4" x14ac:dyDescent="0.3">
      <c r="A277" s="2">
        <v>70704</v>
      </c>
      <c r="B277" s="1" t="s">
        <v>398</v>
      </c>
      <c r="C277" s="2">
        <v>21.333333333333332</v>
      </c>
      <c r="D277" s="2">
        <v>19.333333333333332</v>
      </c>
    </row>
    <row r="278" spans="1:4" x14ac:dyDescent="0.3">
      <c r="A278" s="2">
        <v>70705</v>
      </c>
      <c r="B278" s="1" t="s">
        <v>399</v>
      </c>
      <c r="C278" s="2">
        <v>44</v>
      </c>
      <c r="D278" s="2">
        <v>28.666666666666668</v>
      </c>
    </row>
    <row r="279" spans="1:4" x14ac:dyDescent="0.3">
      <c r="A279" s="2">
        <v>70706</v>
      </c>
      <c r="B279" s="1" t="s">
        <v>400</v>
      </c>
      <c r="C279" s="2">
        <v>78.666666666666671</v>
      </c>
      <c r="D279" s="2">
        <v>67.333333333333329</v>
      </c>
    </row>
    <row r="280" spans="1:4" x14ac:dyDescent="0.3">
      <c r="A280" s="2">
        <v>70707</v>
      </c>
      <c r="B280" s="1" t="s">
        <v>401</v>
      </c>
      <c r="C280" s="2">
        <v>10</v>
      </c>
      <c r="D280" s="2">
        <v>5.333333333333333</v>
      </c>
    </row>
    <row r="281" spans="1:4" x14ac:dyDescent="0.3">
      <c r="A281" s="2">
        <v>70801</v>
      </c>
      <c r="B281" s="1" t="s">
        <v>402</v>
      </c>
      <c r="C281" s="2">
        <v>41.666666666666664</v>
      </c>
      <c r="D281" s="2">
        <v>29.666666666666668</v>
      </c>
    </row>
    <row r="282" spans="1:4" x14ac:dyDescent="0.3">
      <c r="A282" s="2">
        <v>70802</v>
      </c>
      <c r="B282" s="1" t="s">
        <v>403</v>
      </c>
      <c r="C282" s="2">
        <v>10.666666666666666</v>
      </c>
      <c r="D282" s="2">
        <v>6.333333333333333</v>
      </c>
    </row>
    <row r="283" spans="1:4" x14ac:dyDescent="0.3">
      <c r="A283" s="2">
        <v>70803</v>
      </c>
      <c r="B283" s="1" t="s">
        <v>404</v>
      </c>
      <c r="C283" s="2">
        <v>24.333333333333332</v>
      </c>
      <c r="D283" s="2">
        <v>12</v>
      </c>
    </row>
    <row r="284" spans="1:4" x14ac:dyDescent="0.3">
      <c r="A284" s="2">
        <v>70804</v>
      </c>
      <c r="B284" s="1" t="s">
        <v>406</v>
      </c>
      <c r="C284" s="2">
        <v>5</v>
      </c>
      <c r="D284" s="2">
        <v>0</v>
      </c>
    </row>
    <row r="285" spans="1:4" x14ac:dyDescent="0.3">
      <c r="A285" s="2">
        <v>70805</v>
      </c>
      <c r="B285" s="1" t="s">
        <v>407</v>
      </c>
      <c r="C285" s="2">
        <v>13</v>
      </c>
      <c r="D285" s="2">
        <v>7.666666666666667</v>
      </c>
    </row>
    <row r="286" spans="1:4" x14ac:dyDescent="0.3">
      <c r="A286" s="2">
        <v>70901</v>
      </c>
      <c r="B286" s="1" t="s">
        <v>409</v>
      </c>
      <c r="C286" s="2">
        <v>24.333333333333332</v>
      </c>
      <c r="D286" s="2">
        <v>15.666666666666666</v>
      </c>
    </row>
    <row r="287" spans="1:4" x14ac:dyDescent="0.3">
      <c r="A287" s="2">
        <v>70902</v>
      </c>
      <c r="B287" s="1" t="s">
        <v>410</v>
      </c>
      <c r="C287" s="2">
        <v>11.666666666666666</v>
      </c>
      <c r="D287" s="2">
        <v>6.333333333333333</v>
      </c>
    </row>
    <row r="288" spans="1:4" x14ac:dyDescent="0.3">
      <c r="A288" s="2">
        <v>70903</v>
      </c>
      <c r="B288" s="1" t="s">
        <v>411</v>
      </c>
      <c r="C288" s="2">
        <v>26</v>
      </c>
      <c r="D288" s="2">
        <v>5.333333333333333</v>
      </c>
    </row>
    <row r="289" spans="1:4" x14ac:dyDescent="0.3">
      <c r="A289" s="2">
        <v>70904</v>
      </c>
      <c r="B289" s="1" t="s">
        <v>412</v>
      </c>
      <c r="C289" s="2">
        <v>3.6666666666666665</v>
      </c>
      <c r="D289" s="2">
        <v>1.3333333333333333</v>
      </c>
    </row>
    <row r="290" spans="1:4" x14ac:dyDescent="0.3">
      <c r="A290" s="2">
        <v>71001</v>
      </c>
      <c r="B290" s="1" t="s">
        <v>414</v>
      </c>
      <c r="C290" s="2">
        <v>212</v>
      </c>
      <c r="D290" s="2">
        <v>190.66666666666666</v>
      </c>
    </row>
    <row r="291" spans="1:4" x14ac:dyDescent="0.3">
      <c r="A291" s="2">
        <v>71002</v>
      </c>
      <c r="B291" s="1" t="s">
        <v>415</v>
      </c>
      <c r="C291" s="2">
        <v>56.666666666666664</v>
      </c>
      <c r="D291" s="2">
        <v>33</v>
      </c>
    </row>
    <row r="292" spans="1:4" x14ac:dyDescent="0.3">
      <c r="A292" s="2">
        <v>71003</v>
      </c>
      <c r="B292" s="1" t="s">
        <v>416</v>
      </c>
      <c r="C292" s="2">
        <v>45.666666666666664</v>
      </c>
      <c r="D292" s="2">
        <v>44.333333333333336</v>
      </c>
    </row>
    <row r="293" spans="1:4" x14ac:dyDescent="0.3">
      <c r="A293" s="2">
        <v>71004</v>
      </c>
      <c r="B293" s="1" t="s">
        <v>417</v>
      </c>
      <c r="C293" s="2">
        <v>30</v>
      </c>
      <c r="D293" s="2">
        <v>32.333333333333336</v>
      </c>
    </row>
    <row r="294" spans="1:4" x14ac:dyDescent="0.3">
      <c r="A294" s="2">
        <v>71005</v>
      </c>
      <c r="B294" s="1" t="s">
        <v>304</v>
      </c>
      <c r="C294" s="2">
        <v>41.666666666666664</v>
      </c>
      <c r="D294" s="2">
        <v>43</v>
      </c>
    </row>
    <row r="295" spans="1:4" x14ac:dyDescent="0.3">
      <c r="A295" s="2">
        <v>71101</v>
      </c>
      <c r="B295" s="1" t="s">
        <v>356</v>
      </c>
      <c r="C295" s="2">
        <v>37</v>
      </c>
      <c r="D295" s="2">
        <v>34.333333333333336</v>
      </c>
    </row>
    <row r="296" spans="1:4" x14ac:dyDescent="0.3">
      <c r="A296" s="2">
        <v>71102</v>
      </c>
      <c r="B296" s="1" t="s">
        <v>419</v>
      </c>
      <c r="C296" s="2">
        <v>28.666666666666668</v>
      </c>
      <c r="D296" s="2">
        <v>19.333333333333332</v>
      </c>
    </row>
    <row r="297" spans="1:4" x14ac:dyDescent="0.3">
      <c r="A297" s="2">
        <v>71103</v>
      </c>
      <c r="B297" s="1" t="s">
        <v>420</v>
      </c>
      <c r="C297" s="2">
        <v>12</v>
      </c>
      <c r="D297" s="2">
        <v>5.333333333333333</v>
      </c>
    </row>
    <row r="298" spans="1:4" x14ac:dyDescent="0.3">
      <c r="A298" s="2">
        <v>71104</v>
      </c>
      <c r="B298" s="1" t="s">
        <v>421</v>
      </c>
      <c r="C298" s="2">
        <v>134</v>
      </c>
      <c r="D298" s="2">
        <v>88</v>
      </c>
    </row>
    <row r="299" spans="1:4" x14ac:dyDescent="0.3">
      <c r="A299" s="2">
        <v>71105</v>
      </c>
      <c r="B299" s="1" t="s">
        <v>422</v>
      </c>
      <c r="C299" s="2">
        <v>26.333333333333332</v>
      </c>
      <c r="D299" s="2">
        <v>20</v>
      </c>
    </row>
    <row r="300" spans="1:4" x14ac:dyDescent="0.3">
      <c r="A300" s="2">
        <v>71106</v>
      </c>
      <c r="B300" s="1" t="s">
        <v>423</v>
      </c>
      <c r="C300" s="2">
        <v>48</v>
      </c>
      <c r="D300" s="2">
        <v>47.666666666666664</v>
      </c>
    </row>
    <row r="301" spans="1:4" x14ac:dyDescent="0.3">
      <c r="A301" s="2">
        <v>71201</v>
      </c>
      <c r="B301" s="1" t="s">
        <v>425</v>
      </c>
      <c r="C301" s="2">
        <v>35.333333333333336</v>
      </c>
      <c r="D301" s="2">
        <v>23.333333333333332</v>
      </c>
    </row>
    <row r="302" spans="1:4" x14ac:dyDescent="0.3">
      <c r="A302" s="2">
        <v>71301</v>
      </c>
      <c r="B302" s="1" t="s">
        <v>427</v>
      </c>
      <c r="C302" s="2">
        <v>32.333333333333336</v>
      </c>
      <c r="D302" s="2">
        <v>34.333333333333336</v>
      </c>
    </row>
    <row r="303" spans="1:4" x14ac:dyDescent="0.3">
      <c r="A303" s="2">
        <v>71302</v>
      </c>
      <c r="B303" s="1" t="s">
        <v>428</v>
      </c>
      <c r="C303" s="2">
        <v>9.6666666666666661</v>
      </c>
      <c r="D303" s="2">
        <v>10</v>
      </c>
    </row>
    <row r="304" spans="1:4" x14ac:dyDescent="0.3">
      <c r="A304" s="2">
        <v>71401</v>
      </c>
      <c r="B304" s="1" t="s">
        <v>430</v>
      </c>
      <c r="C304" s="2">
        <v>43.333333333333336</v>
      </c>
      <c r="D304" s="2">
        <v>23.333333333333332</v>
      </c>
    </row>
    <row r="305" spans="1:4" x14ac:dyDescent="0.3">
      <c r="A305" s="2">
        <v>71402</v>
      </c>
      <c r="B305" s="1" t="s">
        <v>431</v>
      </c>
      <c r="C305" s="2">
        <v>23.333333333333332</v>
      </c>
      <c r="D305" s="2">
        <v>18.666666666666668</v>
      </c>
    </row>
    <row r="306" spans="1:4" x14ac:dyDescent="0.3">
      <c r="A306" s="2">
        <v>71403</v>
      </c>
      <c r="B306" s="1" t="s">
        <v>432</v>
      </c>
      <c r="C306" s="2">
        <v>13</v>
      </c>
      <c r="D306" s="2">
        <v>3.6666666666666665</v>
      </c>
    </row>
    <row r="307" spans="1:4" x14ac:dyDescent="0.3">
      <c r="A307" s="2">
        <v>71501</v>
      </c>
      <c r="B307" s="1" t="s">
        <v>434</v>
      </c>
      <c r="C307" s="2">
        <v>34.333333333333336</v>
      </c>
      <c r="D307" s="2">
        <v>37</v>
      </c>
    </row>
    <row r="308" spans="1:4" x14ac:dyDescent="0.3">
      <c r="A308" s="2">
        <v>71502</v>
      </c>
      <c r="B308" s="1" t="s">
        <v>435</v>
      </c>
      <c r="C308" s="2">
        <v>9.6666666666666661</v>
      </c>
      <c r="D308" s="2">
        <v>6.333333333333333</v>
      </c>
    </row>
    <row r="309" spans="1:4" x14ac:dyDescent="0.3">
      <c r="A309" s="2">
        <v>71503</v>
      </c>
      <c r="B309" s="1" t="s">
        <v>361</v>
      </c>
      <c r="C309" s="2">
        <v>18.666666666666668</v>
      </c>
      <c r="D309" s="2">
        <v>10.666666666666666</v>
      </c>
    </row>
    <row r="310" spans="1:4" x14ac:dyDescent="0.3">
      <c r="A310" s="2">
        <v>80101</v>
      </c>
      <c r="B310" s="1" t="s">
        <v>438</v>
      </c>
      <c r="C310" s="2">
        <v>238</v>
      </c>
      <c r="D310" s="2">
        <v>251.66666666666666</v>
      </c>
    </row>
    <row r="311" spans="1:4" x14ac:dyDescent="0.3">
      <c r="A311" s="2">
        <v>80102</v>
      </c>
      <c r="B311" s="1" t="s">
        <v>419</v>
      </c>
      <c r="C311" s="2">
        <v>8.6666666666666661</v>
      </c>
      <c r="D311" s="2">
        <v>21.333333333333332</v>
      </c>
    </row>
    <row r="312" spans="1:4" x14ac:dyDescent="0.3">
      <c r="A312" s="2">
        <v>80201</v>
      </c>
      <c r="B312" s="1" t="s">
        <v>440</v>
      </c>
      <c r="C312" s="2">
        <v>227.66666666666666</v>
      </c>
      <c r="D312" s="2">
        <v>237.66666666666666</v>
      </c>
    </row>
    <row r="313" spans="1:4" x14ac:dyDescent="0.3">
      <c r="A313" s="2">
        <v>80202</v>
      </c>
      <c r="B313" s="1" t="s">
        <v>441</v>
      </c>
      <c r="C313" s="2">
        <v>146</v>
      </c>
      <c r="D313" s="2">
        <v>85</v>
      </c>
    </row>
    <row r="314" spans="1:4" x14ac:dyDescent="0.3">
      <c r="A314" s="2">
        <v>80301</v>
      </c>
      <c r="B314" s="1" t="s">
        <v>443</v>
      </c>
      <c r="C314" s="2">
        <v>20</v>
      </c>
      <c r="D314" s="2">
        <v>13.666666666666666</v>
      </c>
    </row>
    <row r="315" spans="1:4" x14ac:dyDescent="0.3">
      <c r="A315" s="2">
        <v>80302</v>
      </c>
      <c r="B315" s="1" t="s">
        <v>444</v>
      </c>
      <c r="C315" s="2">
        <v>85.333333333333329</v>
      </c>
      <c r="D315" s="2">
        <v>58.666666666666664</v>
      </c>
    </row>
    <row r="316" spans="1:4" x14ac:dyDescent="0.3">
      <c r="A316" s="2">
        <v>80303</v>
      </c>
      <c r="B316" s="1" t="s">
        <v>392</v>
      </c>
      <c r="C316" s="2">
        <v>23.666666666666668</v>
      </c>
      <c r="D316" s="2">
        <v>11.666666666666666</v>
      </c>
    </row>
    <row r="317" spans="1:4" x14ac:dyDescent="0.3">
      <c r="A317" s="2">
        <v>80304</v>
      </c>
      <c r="B317" s="1" t="s">
        <v>445</v>
      </c>
      <c r="C317" s="2">
        <v>55</v>
      </c>
      <c r="D317" s="2">
        <v>19</v>
      </c>
    </row>
    <row r="318" spans="1:4" x14ac:dyDescent="0.3">
      <c r="A318" s="2">
        <v>80401</v>
      </c>
      <c r="B318" s="1" t="s">
        <v>448</v>
      </c>
      <c r="C318" s="2">
        <v>40.333333333333336</v>
      </c>
      <c r="D318" s="2">
        <v>20.666666666666668</v>
      </c>
    </row>
    <row r="319" spans="1:4" x14ac:dyDescent="0.3">
      <c r="A319" s="2">
        <v>80402</v>
      </c>
      <c r="B319" s="1" t="s">
        <v>450</v>
      </c>
      <c r="C319" s="2">
        <v>16</v>
      </c>
      <c r="D319" s="2">
        <v>4.666666666666667</v>
      </c>
    </row>
    <row r="320" spans="1:4" x14ac:dyDescent="0.3">
      <c r="A320" s="2">
        <v>80501</v>
      </c>
      <c r="B320" s="1" t="s">
        <v>375</v>
      </c>
      <c r="C320" s="2">
        <v>64.666666666666671</v>
      </c>
      <c r="D320" s="2">
        <v>34</v>
      </c>
    </row>
    <row r="321" spans="1:4" x14ac:dyDescent="0.3">
      <c r="A321" s="2">
        <v>80601</v>
      </c>
      <c r="B321" s="1" t="s">
        <v>453</v>
      </c>
      <c r="C321" s="2">
        <v>15.666666666666666</v>
      </c>
      <c r="D321" s="2">
        <v>7</v>
      </c>
    </row>
    <row r="322" spans="1:4" x14ac:dyDescent="0.3">
      <c r="A322" s="2">
        <v>80602</v>
      </c>
      <c r="B322" s="1" t="s">
        <v>454</v>
      </c>
      <c r="C322" s="2">
        <v>34.666666666666664</v>
      </c>
      <c r="D322" s="2">
        <v>51</v>
      </c>
    </row>
    <row r="323" spans="1:4" x14ac:dyDescent="0.3">
      <c r="A323" s="2">
        <v>80701</v>
      </c>
      <c r="B323" s="1" t="s">
        <v>456</v>
      </c>
      <c r="C323" s="2">
        <v>18.666666666666668</v>
      </c>
      <c r="D323" s="2">
        <v>10</v>
      </c>
    </row>
    <row r="324" spans="1:4" x14ac:dyDescent="0.3">
      <c r="A324" s="2">
        <v>80702</v>
      </c>
      <c r="B324" s="1" t="s">
        <v>420</v>
      </c>
      <c r="C324" s="2">
        <v>10.333333333333334</v>
      </c>
      <c r="D324" s="2">
        <v>4</v>
      </c>
    </row>
    <row r="325" spans="1:4" x14ac:dyDescent="0.3">
      <c r="A325" s="2">
        <v>80703</v>
      </c>
      <c r="B325" s="1" t="s">
        <v>457</v>
      </c>
      <c r="C325" s="2">
        <v>3.3333333333333335</v>
      </c>
      <c r="D325" s="2">
        <v>4.666666666666667</v>
      </c>
    </row>
    <row r="326" spans="1:4" x14ac:dyDescent="0.3">
      <c r="A326" s="2">
        <v>80801</v>
      </c>
      <c r="B326" s="1" t="s">
        <v>459</v>
      </c>
      <c r="C326" s="2">
        <v>49.333333333333336</v>
      </c>
      <c r="D326" s="2">
        <v>25</v>
      </c>
    </row>
    <row r="327" spans="1:4" x14ac:dyDescent="0.3">
      <c r="A327" s="2">
        <v>80802</v>
      </c>
      <c r="B327" s="1" t="s">
        <v>460</v>
      </c>
      <c r="C327" s="2">
        <v>18</v>
      </c>
      <c r="D327" s="2">
        <v>6.333333333333333</v>
      </c>
    </row>
    <row r="328" spans="1:4" x14ac:dyDescent="0.3">
      <c r="A328" s="2">
        <v>80803</v>
      </c>
      <c r="B328" s="1" t="s">
        <v>461</v>
      </c>
      <c r="C328" s="2">
        <v>19.333333333333332</v>
      </c>
      <c r="D328" s="2">
        <v>2</v>
      </c>
    </row>
    <row r="329" spans="1:4" x14ac:dyDescent="0.3">
      <c r="A329" s="2">
        <v>80901</v>
      </c>
      <c r="B329" s="1" t="s">
        <v>462</v>
      </c>
      <c r="C329" s="2">
        <v>52.5</v>
      </c>
      <c r="D329" s="2">
        <v>27.333333333333332</v>
      </c>
    </row>
    <row r="330" spans="1:4" x14ac:dyDescent="0.3">
      <c r="A330" s="2">
        <v>90101</v>
      </c>
      <c r="B330" s="1" t="s">
        <v>465</v>
      </c>
      <c r="C330" s="2">
        <v>55.333333333333336</v>
      </c>
      <c r="D330" s="2">
        <v>69.666666666666671</v>
      </c>
    </row>
    <row r="331" spans="1:4" x14ac:dyDescent="0.3">
      <c r="A331" s="2">
        <v>90102</v>
      </c>
      <c r="B331" s="1" t="s">
        <v>466</v>
      </c>
      <c r="C331" s="2">
        <v>4.333333333333333</v>
      </c>
      <c r="D331" s="2">
        <v>8.6666666666666661</v>
      </c>
    </row>
    <row r="332" spans="1:4" x14ac:dyDescent="0.3">
      <c r="A332" s="2">
        <v>90103</v>
      </c>
      <c r="B332" s="1" t="s">
        <v>467</v>
      </c>
      <c r="C332" s="2">
        <v>4.333333333333333</v>
      </c>
      <c r="D332" s="2">
        <v>4</v>
      </c>
    </row>
    <row r="333" spans="1:4" x14ac:dyDescent="0.3">
      <c r="A333" s="2">
        <v>90104</v>
      </c>
      <c r="B333" s="1" t="s">
        <v>468</v>
      </c>
      <c r="C333" s="2">
        <v>4.666666666666667</v>
      </c>
      <c r="D333" s="2">
        <v>8.3333333333333339</v>
      </c>
    </row>
    <row r="334" spans="1:4" x14ac:dyDescent="0.3">
      <c r="A334" s="2">
        <v>90201</v>
      </c>
      <c r="B334" s="1" t="s">
        <v>470</v>
      </c>
      <c r="C334" s="2">
        <v>18.333333333333332</v>
      </c>
      <c r="D334" s="2">
        <v>12.666666666666666</v>
      </c>
    </row>
    <row r="335" spans="1:4" x14ac:dyDescent="0.3">
      <c r="A335" s="2">
        <v>90202</v>
      </c>
      <c r="B335" s="1" t="s">
        <v>304</v>
      </c>
      <c r="C335" s="2">
        <v>1</v>
      </c>
      <c r="D335" s="2">
        <v>1</v>
      </c>
    </row>
    <row r="336" spans="1:4" x14ac:dyDescent="0.3">
      <c r="A336" s="2">
        <v>90203</v>
      </c>
      <c r="B336" s="1" t="s">
        <v>471</v>
      </c>
      <c r="C336" s="2">
        <v>10.333333333333334</v>
      </c>
      <c r="D336" s="2">
        <v>15.333333333333334</v>
      </c>
    </row>
    <row r="337" spans="1:4" x14ac:dyDescent="0.3">
      <c r="A337" s="2">
        <v>90301</v>
      </c>
      <c r="B337" s="1" t="s">
        <v>473</v>
      </c>
      <c r="C337" s="2">
        <v>45</v>
      </c>
      <c r="D337" s="2">
        <v>21.333333333333332</v>
      </c>
    </row>
    <row r="338" spans="1:4" x14ac:dyDescent="0.3">
      <c r="A338" s="2">
        <v>90302</v>
      </c>
      <c r="B338" s="1" t="s">
        <v>359</v>
      </c>
      <c r="C338" s="2">
        <v>16.333333333333332</v>
      </c>
      <c r="D338" s="2">
        <v>15.666666666666666</v>
      </c>
    </row>
    <row r="339" spans="1:4" x14ac:dyDescent="0.3">
      <c r="A339" s="2">
        <v>90303</v>
      </c>
      <c r="B339" s="1" t="s">
        <v>474</v>
      </c>
      <c r="C339" s="2">
        <v>5.666666666666667</v>
      </c>
      <c r="D339" s="2">
        <v>4</v>
      </c>
    </row>
    <row r="340" spans="1:4" x14ac:dyDescent="0.3">
      <c r="A340" s="2">
        <v>90401</v>
      </c>
      <c r="B340" s="1" t="s">
        <v>392</v>
      </c>
      <c r="C340" s="2">
        <v>5</v>
      </c>
      <c r="D340" s="2">
        <v>6</v>
      </c>
    </row>
    <row r="341" spans="1:4" x14ac:dyDescent="0.3">
      <c r="A341" s="2">
        <v>90402</v>
      </c>
      <c r="B341" s="1" t="s">
        <v>98</v>
      </c>
      <c r="C341" s="2">
        <v>2.3333333333333335</v>
      </c>
      <c r="D341" s="2">
        <v>1.3333333333333333</v>
      </c>
    </row>
    <row r="342" spans="1:4" x14ac:dyDescent="0.3">
      <c r="A342" s="2">
        <v>90501</v>
      </c>
      <c r="B342" s="1" t="s">
        <v>477</v>
      </c>
      <c r="C342" s="2">
        <v>4.666666666666667</v>
      </c>
      <c r="D342" s="2">
        <v>1.3333333333333333</v>
      </c>
    </row>
    <row r="343" spans="1:4" x14ac:dyDescent="0.3">
      <c r="A343" s="2">
        <v>90502</v>
      </c>
      <c r="B343" s="1" t="s">
        <v>478</v>
      </c>
      <c r="C343" s="2">
        <v>8.3333333333333339</v>
      </c>
      <c r="D343" s="2">
        <v>1</v>
      </c>
    </row>
    <row r="344" spans="1:4" x14ac:dyDescent="0.3">
      <c r="A344" s="2">
        <v>90503</v>
      </c>
      <c r="B344" s="1" t="s">
        <v>480</v>
      </c>
      <c r="C344" s="2">
        <v>4</v>
      </c>
      <c r="D344" s="2">
        <v>2.3333333333333335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H10" sqref="H10"/>
    </sheetView>
  </sheetViews>
  <sheetFormatPr baseColWidth="10" defaultRowHeight="14.4" x14ac:dyDescent="0.3"/>
  <sheetData>
    <row r="1" spans="1:4" x14ac:dyDescent="0.3">
      <c r="A1" s="10" t="s">
        <v>482</v>
      </c>
      <c r="B1" s="10" t="s">
        <v>483</v>
      </c>
      <c r="C1" s="3" t="s">
        <v>520</v>
      </c>
      <c r="D1" s="3" t="s">
        <v>521</v>
      </c>
    </row>
    <row r="2" spans="1:4" x14ac:dyDescent="0.3">
      <c r="A2" s="1">
        <v>1</v>
      </c>
      <c r="B2" s="10" t="s">
        <v>4</v>
      </c>
      <c r="C2" s="11">
        <v>78.982646400440515</v>
      </c>
      <c r="D2" s="20">
        <v>80.284816203487424</v>
      </c>
    </row>
    <row r="3" spans="1:4" x14ac:dyDescent="0.3">
      <c r="A3" s="1">
        <v>2</v>
      </c>
      <c r="B3" s="10" t="s">
        <v>50</v>
      </c>
      <c r="C3" s="11">
        <v>74.760286741205917</v>
      </c>
      <c r="D3" s="20">
        <v>79.089063943611876</v>
      </c>
    </row>
    <row r="4" spans="1:4" x14ac:dyDescent="0.3">
      <c r="A4" s="1">
        <v>3</v>
      </c>
      <c r="B4" s="10" t="s">
        <v>167</v>
      </c>
      <c r="C4" s="11">
        <v>74.740943326033786</v>
      </c>
      <c r="D4" s="20">
        <v>80.030732497276304</v>
      </c>
    </row>
    <row r="5" spans="1:4" x14ac:dyDescent="0.3">
      <c r="A5" s="1">
        <v>4</v>
      </c>
      <c r="B5" s="10" t="s">
        <v>230</v>
      </c>
      <c r="C5" s="11">
        <v>70.925394228835231</v>
      </c>
      <c r="D5" s="20">
        <v>76.822573650290963</v>
      </c>
    </row>
    <row r="6" spans="1:4" x14ac:dyDescent="0.3">
      <c r="A6" s="1">
        <v>5</v>
      </c>
      <c r="B6" s="10" t="s">
        <v>281</v>
      </c>
      <c r="C6" s="11">
        <v>62.351014966883156</v>
      </c>
      <c r="D6" s="20">
        <v>71.869326874818086</v>
      </c>
    </row>
    <row r="7" spans="1:4" x14ac:dyDescent="0.3">
      <c r="A7" s="1">
        <v>6</v>
      </c>
      <c r="B7" s="10" t="s">
        <v>346</v>
      </c>
      <c r="C7" s="11">
        <v>64.941730052912149</v>
      </c>
      <c r="D7" s="20">
        <v>76.067316891286936</v>
      </c>
    </row>
    <row r="8" spans="1:4" x14ac:dyDescent="0.3">
      <c r="A8" s="1">
        <v>7</v>
      </c>
      <c r="B8" s="10" t="s">
        <v>363</v>
      </c>
      <c r="C8" s="11">
        <v>64.033855951251539</v>
      </c>
      <c r="D8" s="20">
        <v>76.39505623734351</v>
      </c>
    </row>
    <row r="9" spans="1:4" x14ac:dyDescent="0.3">
      <c r="A9" s="1">
        <v>8</v>
      </c>
      <c r="B9" s="10" t="s">
        <v>437</v>
      </c>
      <c r="C9" s="11">
        <v>34.439457599694755</v>
      </c>
      <c r="D9" s="20">
        <v>67.470717737093409</v>
      </c>
    </row>
    <row r="10" spans="1:4" x14ac:dyDescent="0.3">
      <c r="A10" s="1">
        <v>9</v>
      </c>
      <c r="B10" s="10" t="s">
        <v>463</v>
      </c>
      <c r="C10" s="11">
        <v>44.271380046591922</v>
      </c>
      <c r="D10" s="20">
        <v>80.737665000328718</v>
      </c>
    </row>
    <row r="11" spans="1:4" x14ac:dyDescent="0.3">
      <c r="A11" s="1">
        <v>10</v>
      </c>
      <c r="B11" s="10" t="s">
        <v>350</v>
      </c>
      <c r="C11" s="11">
        <v>66.722544089812871</v>
      </c>
      <c r="D11" s="11">
        <v>79.32326359570942</v>
      </c>
    </row>
    <row r="12" spans="1:4" x14ac:dyDescent="0.3">
      <c r="A12" s="1">
        <v>11</v>
      </c>
      <c r="B12" s="10" t="s">
        <v>495</v>
      </c>
      <c r="C12" s="11">
        <v>68.976233897287656</v>
      </c>
      <c r="D12" s="11">
        <v>77.311830437264774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H10" sqref="H10"/>
    </sheetView>
  </sheetViews>
  <sheetFormatPr baseColWidth="10" defaultRowHeight="14.4" x14ac:dyDescent="0.3"/>
  <sheetData>
    <row r="1" spans="1:4" x14ac:dyDescent="0.3">
      <c r="A1" s="10" t="s">
        <v>482</v>
      </c>
      <c r="B1" s="10" t="s">
        <v>483</v>
      </c>
      <c r="C1" s="3" t="s">
        <v>535</v>
      </c>
      <c r="D1" s="3" t="s">
        <v>536</v>
      </c>
    </row>
    <row r="2" spans="1:4" x14ac:dyDescent="0.3">
      <c r="A2" s="1">
        <v>1</v>
      </c>
      <c r="B2" s="10" t="s">
        <v>4</v>
      </c>
      <c r="C2" s="2">
        <v>588</v>
      </c>
      <c r="D2" s="2">
        <v>774.66666666666663</v>
      </c>
    </row>
    <row r="3" spans="1:4" x14ac:dyDescent="0.3">
      <c r="A3" s="1">
        <v>2</v>
      </c>
      <c r="B3" s="10" t="s">
        <v>50</v>
      </c>
      <c r="C3" s="2">
        <v>3401.3333333333335</v>
      </c>
      <c r="D3" s="2">
        <v>3791.6666666666665</v>
      </c>
    </row>
    <row r="4" spans="1:4" x14ac:dyDescent="0.3">
      <c r="A4" s="1">
        <v>3</v>
      </c>
      <c r="B4" s="10" t="s">
        <v>167</v>
      </c>
      <c r="C4" s="2">
        <v>1962.3333333333333</v>
      </c>
      <c r="D4" s="2">
        <v>2318.3333333333335</v>
      </c>
    </row>
    <row r="5" spans="1:4" x14ac:dyDescent="0.3">
      <c r="A5" s="1">
        <v>4</v>
      </c>
      <c r="B5" s="10" t="s">
        <v>230</v>
      </c>
      <c r="C5" s="2">
        <v>785.33333333333337</v>
      </c>
      <c r="D5" s="2">
        <v>865.33333333333337</v>
      </c>
    </row>
    <row r="6" spans="1:4" x14ac:dyDescent="0.3">
      <c r="A6" s="1">
        <v>5</v>
      </c>
      <c r="B6" s="10" t="s">
        <v>281</v>
      </c>
      <c r="C6" s="2">
        <v>1704</v>
      </c>
      <c r="D6" s="2">
        <v>1716.6666666666667</v>
      </c>
    </row>
    <row r="7" spans="1:4" x14ac:dyDescent="0.3">
      <c r="A7" s="1">
        <v>6</v>
      </c>
      <c r="B7" s="10" t="s">
        <v>346</v>
      </c>
      <c r="C7" s="2">
        <v>832</v>
      </c>
      <c r="D7" s="2">
        <v>712</v>
      </c>
    </row>
    <row r="8" spans="1:4" x14ac:dyDescent="0.3">
      <c r="A8" s="1">
        <v>7</v>
      </c>
      <c r="B8" s="10" t="s">
        <v>363</v>
      </c>
      <c r="C8" s="2">
        <v>3343.6666666666665</v>
      </c>
      <c r="D8" s="2">
        <v>3126.3333333333335</v>
      </c>
    </row>
    <row r="9" spans="1:4" x14ac:dyDescent="0.3">
      <c r="A9" s="1">
        <v>8</v>
      </c>
      <c r="B9" s="10" t="s">
        <v>437</v>
      </c>
      <c r="C9" s="2">
        <v>1147.1666666666667</v>
      </c>
      <c r="D9" s="2">
        <v>895.33333333333337</v>
      </c>
    </row>
    <row r="10" spans="1:4" x14ac:dyDescent="0.3">
      <c r="A10" s="1">
        <v>9</v>
      </c>
      <c r="B10" s="10" t="s">
        <v>463</v>
      </c>
      <c r="C10" s="2">
        <v>189.66666666666666</v>
      </c>
      <c r="D10" s="2">
        <v>172.66666666666666</v>
      </c>
    </row>
    <row r="11" spans="1:4" x14ac:dyDescent="0.3">
      <c r="A11" s="1">
        <v>10</v>
      </c>
      <c r="B11" s="10" t="s">
        <v>350</v>
      </c>
      <c r="C11" s="2">
        <v>238.33333333333334</v>
      </c>
      <c r="D11" s="2">
        <v>204.66666666666666</v>
      </c>
    </row>
    <row r="12" spans="1:4" x14ac:dyDescent="0.3">
      <c r="A12" s="1">
        <v>11</v>
      </c>
      <c r="B12" s="10" t="s">
        <v>495</v>
      </c>
      <c r="C12" s="2">
        <v>13953.5</v>
      </c>
      <c r="D12" s="2">
        <v>14373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E9" sqref="E9"/>
    </sheetView>
  </sheetViews>
  <sheetFormatPr baseColWidth="10" defaultRowHeight="14.4" x14ac:dyDescent="0.3"/>
  <sheetData>
    <row r="1" spans="1:10" ht="36" x14ac:dyDescent="0.3">
      <c r="A1" s="5" t="s">
        <v>484</v>
      </c>
      <c r="B1" s="5" t="s">
        <v>485</v>
      </c>
      <c r="C1" s="6" t="s">
        <v>486</v>
      </c>
      <c r="D1" s="6" t="s">
        <v>487</v>
      </c>
      <c r="E1" s="7" t="s">
        <v>488</v>
      </c>
      <c r="F1" s="7" t="s">
        <v>489</v>
      </c>
      <c r="G1" s="8" t="s">
        <v>490</v>
      </c>
      <c r="H1" s="8" t="s">
        <v>491</v>
      </c>
      <c r="I1" s="9" t="s">
        <v>492</v>
      </c>
      <c r="J1" s="9" t="s">
        <v>493</v>
      </c>
    </row>
    <row r="2" spans="1:10" x14ac:dyDescent="0.3">
      <c r="A2" s="1">
        <v>4</v>
      </c>
      <c r="B2" s="1" t="s">
        <v>522</v>
      </c>
      <c r="C2" s="1">
        <v>100</v>
      </c>
      <c r="D2" s="1">
        <v>96.9</v>
      </c>
      <c r="E2" s="1">
        <v>96.9</v>
      </c>
      <c r="F2" s="1">
        <v>69.599999999999994</v>
      </c>
      <c r="G2" s="1">
        <v>69.599999999999994</v>
      </c>
      <c r="H2" s="1">
        <v>42.3</v>
      </c>
      <c r="I2" s="1">
        <v>42.3</v>
      </c>
      <c r="J2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7A4CA-812F-48DF-8DE5-730CAB8C9C93}">
  <dimension ref="A1"/>
  <sheetViews>
    <sheetView tabSelected="1" workbookViewId="0">
      <selection activeCell="K11" sqref="K11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2026-05-24T16:06:29Z</dcterms:modified>
</cp:coreProperties>
</file>