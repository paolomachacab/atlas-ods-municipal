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/>
  <calcPr/>
  <extLst>
    <ext uri="GoogleSheetsCustomDataVersion2">
      <go:sheetsCustomData xmlns:go="http://customooxmlschemas.google.com/" r:id="rId11" roundtripDataChecksum="9jmK6MSE8ygEzXYEkxHIQYF6EA7AoAHwyCCqdMdwgBQ="/>
    </ext>
  </extLst>
</workbook>
</file>

<file path=xl/sharedStrings.xml><?xml version="1.0" encoding="utf-8"?>
<sst xmlns="http://schemas.openxmlformats.org/spreadsheetml/2006/main" count="2190" uniqueCount="539">
  <si>
    <t>Depart</t>
  </si>
  <si>
    <t>Provincia</t>
  </si>
  <si>
    <t>Municipio</t>
  </si>
  <si>
    <t>Capital</t>
  </si>
  <si>
    <t>Codigo_MUN</t>
  </si>
  <si>
    <t>2011 (NÚMERO DE DOCENTES PERTINENTES DEL NIVEL SECUNDARIO)</t>
  </si>
  <si>
    <t>2012 (NÚMERO DE DOCENTES PERTINENTES DEL NIVEL SECUNDARIO)</t>
  </si>
  <si>
    <t>2013 (NÚMERO DE DOCENTES PERTINENTES DEL NIVEL SECUNDARIO)</t>
  </si>
  <si>
    <t>2014 (NÚMERO DE DOCENTES PERTINENTES DEL NIVEL SECUNDARIO)</t>
  </si>
  <si>
    <t>2022 (NÚMERO DE DOCENTES PERTINENTES DEL NIVEL SECUNDARIO)</t>
  </si>
  <si>
    <t>2023 (NÚMERO DE DOCENTES PERTINENTES DEL NIVEL SECUNDARIO)</t>
  </si>
  <si>
    <t>2024 (NÚMERO DE DOCENTES PERTINENTES DEL NIVEL SECUNDARIO)</t>
  </si>
  <si>
    <t>2011 (NÚMERO DE DOCENTES SIN PERTINENCIA DEL NIVEL SECUNDARIO)</t>
  </si>
  <si>
    <t>2012 (NÚMERO DE DOCENTES SIN PERTINENCIA DEL NIVEL SECUNDARIO)</t>
  </si>
  <si>
    <t>2013 (NÚMERO DE DOCENTES SIN PERTINENCIA DEL NIVEL SECUNDARIO)</t>
  </si>
  <si>
    <t>2014 (NÚMERO DE DOCENTES SIN PERTINENCIA DEL NIVEL SECUNDARIO)</t>
  </si>
  <si>
    <t>2022 (NÚMERO DE DOCENTES SIN PERTINENCIA DEL NIVEL SECUNDARIO)</t>
  </si>
  <si>
    <t>2023 (NÚMERO DE DOCENTES SIN PERTINENCIA DEL NIVEL SECUNDARIO)</t>
  </si>
  <si>
    <t>2024 (NÚMERO DE DOCENTES SIN PERTINENCIA DEL NIVEL SECUNDARIO)</t>
  </si>
  <si>
    <t>2011 (NÚMERO DE DOCENTES DEL NIVEL SECUNDARIO)</t>
  </si>
  <si>
    <t>2012 (NÚMERO DE DOCENTES DEL NIVEL SECUNDARIO)</t>
  </si>
  <si>
    <t>2013 (NÚMERO DE DOCENTES DEL NIVEL SECUNDARIO)</t>
  </si>
  <si>
    <t>2014 (NÚMERO DE DOCENTES DEL NIVEL SECUNDARIO)</t>
  </si>
  <si>
    <t>2022 (NÚMERO DE DOCENTES DEL NIVEL SECUNDARIO)</t>
  </si>
  <si>
    <t>2023 (NÚMERO DE DOCENTES DEL NIVEL SECUNDARIO)</t>
  </si>
  <si>
    <t>2024 (NÚMERO DE DOCENTES DEL NIVEL SECUNDARIO)</t>
  </si>
  <si>
    <t>(PORCENTAJE DE DOCENTES PERTINENTES DEL NIVEL SECUNDARIO) 2011</t>
  </si>
  <si>
    <t>(PORCENTAJE DE DOCENTES PERTINENTES DEL NIVEL SECUNDARIO) 2012</t>
  </si>
  <si>
    <t>(PORCENTAJE DE DOCENTES PERTINENTES DEL NIVEL SECUNDARIO) 2013</t>
  </si>
  <si>
    <t>(PORCENTAJE DE DOCENTES PERTINENTES DEL NIVEL SECUNDARIO) 2014</t>
  </si>
  <si>
    <t>(PORCENTAJE DE DOCENTES PERTINENTES DEL NIVEL SECUNDARIO) 2022</t>
  </si>
  <si>
    <t>(PORCENTAJE DE DOCENTES PERTINENTES DEL NIVEL SECUNDARIO) 2023</t>
  </si>
  <si>
    <t>(PORCENTAJE DE DOCENTES PERTINENTES DEL NIVEL SECUNDARIO) 2024</t>
  </si>
  <si>
    <t>Profesores calificados (pertinencia) secundaria (Promedio 2012 - 2014)</t>
  </si>
  <si>
    <t>Profesores calificados (pertinencia) secundaria (Promedio 2022 - 2024)</t>
  </si>
  <si>
    <t>(Número promedio de profesores con pertinencia del Nivel Secundario) 2012 - 2014</t>
  </si>
  <si>
    <t>(Número promedio de profesores con pertinencia del Nivel Secundario) 2022 - 2024</t>
  </si>
  <si>
    <t>(Número promedio de profesores SIN pertinencia del Nivel Secundario) 2012 - 2014</t>
  </si>
  <si>
    <t>(Número promedio de profesores SIN pertinencia del Nivel Secundario) 2022 - 2024</t>
  </si>
  <si>
    <t>Departamento</t>
  </si>
  <si>
    <t>Profesores calificados (pertinencia) Secundaria (Promedio 2022 - 2024)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</si>
  <si>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</si>
  <si>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</si>
  <si>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</si>
  <si>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</si>
  <si>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</si>
  <si>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</si>
  <si>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</si>
  <si>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</si>
  <si>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</si>
  <si>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</si>
  <si>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</si>
  <si>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Villa Orías</t>
  </si>
  <si>
    <t>Potosi</t>
  </si>
  <si>
    <t>Zudáñez</t>
  </si>
  <si>
    <t>Zudañez</t>
  </si>
  <si>
    <t>Villa Zudáñez</t>
  </si>
  <si>
    <t>Tarija</t>
  </si>
  <si>
    <t>Presto</t>
  </si>
  <si>
    <t>Santa Cruz</t>
  </si>
  <si>
    <t>Villa Mojocoya</t>
  </si>
  <si>
    <t>Villa de Mojocoya</t>
  </si>
  <si>
    <t>Beni</t>
  </si>
  <si>
    <t>Icla</t>
  </si>
  <si>
    <t>Pando</t>
  </si>
  <si>
    <t>Tomina</t>
  </si>
  <si>
    <t>Padilla</t>
  </si>
  <si>
    <t>Bolivia</t>
  </si>
  <si>
    <t>Villa de Tomina</t>
  </si>
  <si>
    <t>Gran Chaco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</si>
  <si>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</si>
  <si>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</si>
  <si>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</si>
  <si>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</si>
  <si>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</si>
  <si>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</si>
  <si>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</si>
  <si>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</si>
  <si>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</si>
  <si>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</si>
  <si>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</si>
  <si>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</si>
  <si>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</si>
  <si>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</si>
  <si>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</si>
  <si>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</si>
  <si>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</si>
  <si>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</si>
  <si>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</si>
  <si>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</si>
  <si>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</si>
  <si>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</si>
  <si>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</si>
  <si>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</si>
  <si>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</si>
  <si>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</si>
  <si>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</si>
  <si>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</si>
  <si>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</si>
  <si>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</si>
  <si>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</si>
  <si>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</si>
  <si>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</si>
  <si>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</si>
  <si>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</si>
  <si>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</si>
  <si>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</si>
  <si>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</si>
  <si>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</si>
  <si>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</si>
  <si>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</si>
  <si>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</si>
  <si>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</si>
  <si>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</si>
  <si>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</si>
  <si>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</si>
  <si>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</si>
  <si>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</si>
  <si>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</si>
  <si>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</si>
  <si>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</si>
  <si>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</si>
  <si>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</si>
  <si>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</si>
  <si>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</si>
  <si>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</si>
  <si>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</si>
  <si>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</si>
  <si>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</si>
  <si>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</si>
  <si>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</si>
  <si>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</si>
  <si>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</si>
  <si>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</si>
  <si>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</si>
  <si>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</si>
  <si>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</si>
  <si>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</si>
  <si>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</si>
  <si>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</si>
  <si>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</si>
  <si>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</si>
  <si>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</si>
  <si>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</si>
  <si>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</si>
  <si>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</si>
  <si>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</si>
  <si>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</si>
  <si>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</si>
  <si>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</si>
  <si>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</si>
  <si>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</si>
  <si>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</si>
  <si>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</si>
  <si>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</si>
  <si>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</si>
  <si>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</si>
  <si>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</si>
  <si>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</si>
  <si>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</si>
  <si>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</si>
  <si>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</si>
  <si>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</si>
  <si>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</si>
  <si>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</si>
  <si>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</si>
  <si>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</si>
  <si>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</si>
  <si>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</si>
  <si>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</si>
  <si>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</si>
  <si>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</si>
  <si>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</si>
  <si>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</si>
  <si>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</si>
  <si>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</si>
  <si>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</si>
  <si>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</si>
  <si>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</si>
  <si>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</si>
  <si>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</si>
  <si>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</si>
  <si>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</si>
  <si>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</si>
  <si>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</si>
  <si>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</si>
  <si>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</si>
  <si>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</si>
  <si>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</si>
  <si>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</si>
  <si>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</si>
  <si>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</si>
  <si>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</si>
  <si>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</si>
  <si>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</si>
  <si>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</si>
  <si>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</si>
  <si>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</si>
  <si>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</si>
  <si>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</si>
  <si>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</si>
  <si>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</si>
  <si>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</si>
  <si>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</si>
  <si>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</si>
  <si>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</si>
  <si>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</si>
  <si>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</si>
  <si>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</si>
  <si>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</si>
  <si>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</si>
  <si>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</si>
  <si>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</si>
  <si>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</si>
  <si>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</si>
  <si>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</si>
  <si>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</si>
  <si>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</si>
  <si>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</si>
  <si>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</si>
  <si>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</si>
  <si>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</si>
  <si>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</si>
  <si>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</si>
  <si>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</si>
  <si>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</si>
  <si>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</si>
  <si>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</si>
  <si>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</si>
  <si>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</si>
  <si>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</si>
  <si>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</si>
  <si>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</si>
  <si>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</si>
  <si>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</si>
  <si>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</si>
  <si>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</si>
  <si>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</si>
  <si>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</si>
  <si>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</si>
  <si>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</si>
  <si>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</si>
  <si>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</si>
  <si>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</si>
  <si>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</si>
  <si>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</si>
  <si>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</si>
  <si>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</si>
  <si>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</si>
  <si>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</si>
  <si>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</si>
  <si>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</si>
  <si>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</si>
  <si>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</si>
  <si>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</si>
  <si>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</si>
  <si>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</si>
  <si>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</si>
  <si>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</si>
  <si>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</si>
  <si>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</si>
  <si>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</si>
  <si>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</si>
  <si>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</si>
  <si>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</si>
  <si>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</si>
  <si>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</si>
  <si>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</si>
  <si>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</si>
  <si>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</si>
  <si>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</si>
  <si>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</si>
  <si>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</si>
  <si>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</si>
  <si>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</si>
  <si>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</si>
  <si>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</si>
  <si>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</si>
  <si>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</si>
  <si>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</si>
  <si>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</si>
  <si>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</si>
  <si>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</si>
  <si>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</si>
  <si>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</si>
  <si>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</si>
  <si>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</si>
  <si>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</si>
  <si>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</si>
  <si>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</si>
  <si>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</si>
  <si>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</si>
  <si>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</si>
  <si>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</si>
  <si>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</si>
  <si>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</si>
  <si>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</si>
  <si>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</si>
  <si>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</si>
  <si>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</si>
  <si>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</si>
  <si>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</si>
  <si>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</si>
  <si>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</si>
  <si>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</si>
  <si>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</si>
  <si>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</si>
  <si>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</si>
  <si>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</si>
  <si>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</si>
  <si>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</si>
  <si>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</si>
  <si>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</si>
  <si>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</si>
  <si>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</si>
  <si>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</si>
  <si>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</si>
  <si>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</si>
  <si>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</si>
  <si>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</si>
  <si>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</si>
  <si>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</si>
  <si>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</si>
  <si>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</si>
  <si>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</si>
  <si>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</si>
  <si>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</si>
  <si>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</si>
  <si>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</si>
  <si>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</si>
  <si>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</si>
  <si>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</si>
  <si>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</si>
  <si>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</si>
  <si>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</si>
  <si>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</si>
  <si>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</si>
  <si>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</si>
  <si>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</si>
  <si>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</si>
  <si>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</si>
  <si>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</si>
  <si>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</si>
  <si>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</si>
  <si>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</si>
  <si>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</si>
  <si>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</si>
  <si>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</si>
  <si>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</si>
  <si>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</si>
  <si>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</si>
  <si>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</si>
  <si>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</si>
  <si>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</si>
  <si>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</si>
  <si>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</si>
  <si>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</si>
  <si>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</si>
  <si>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</si>
  <si>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</si>
  <si>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</si>
  <si>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</si>
  <si>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</si>
  <si>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</si>
  <si>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</si>
  <si>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</si>
  <si>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</si>
  <si>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</si>
  <si>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</si>
  <si>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</si>
  <si>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</si>
  <si>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</si>
  <si>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</si>
  <si>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</si>
  <si>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</si>
  <si>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</si>
  <si>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</si>
  <si>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</si>
  <si>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</si>
  <si>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</si>
  <si>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</si>
  <si>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</si>
  <si>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</si>
  <si>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</si>
  <si>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</si>
  <si>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</si>
  <si>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</si>
  <si>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</si>
  <si>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</si>
  <si>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</si>
  <si>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</si>
  <si>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</si>
  <si>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</si>
  <si>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</si>
  <si>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</si>
  <si>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</si>
  <si>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</si>
  <si>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</si>
  <si>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</si>
  <si>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</si>
  <si>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</si>
  <si>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</si>
  <si>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</si>
  <si>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</si>
  <si>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</si>
  <si>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</si>
  <si>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</si>
  <si>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</si>
  <si>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</si>
  <si>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</si>
  <si>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</si>
  <si>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</si>
  <si>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</si>
  <si>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</si>
  <si>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</si>
  <si>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</si>
  <si>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</si>
  <si>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</si>
  <si>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</si>
  <si>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</si>
  <si>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</si>
  <si>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</si>
  <si>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</si>
  <si>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</si>
  <si>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</si>
  <si>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</si>
  <si>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</si>
  <si>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</si>
  <si>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</si>
  <si>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</si>
  <si>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</si>
  <si>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</si>
  <si>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</si>
  <si>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</si>
  <si>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</si>
  <si>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</si>
  <si>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</si>
  <si>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</si>
  <si>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</si>
  <si>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</si>
  <si>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</si>
  <si>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</si>
  <si>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</si>
  <si>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</si>
  <si>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</si>
  <si>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</si>
  <si>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</si>
  <si>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</si>
  <si>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</si>
  <si>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</si>
  <si>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</si>
  <si>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</si>
  <si>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</si>
  <si>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</si>
  <si>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</si>
  <si>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</si>
  <si>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</si>
  <si>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</si>
  <si>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</si>
  <si>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</si>
  <si>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</si>
  <si>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</si>
  <si>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</si>
  <si>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</si>
  <si>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</si>
  <si>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</si>
  <si>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</si>
  <si>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</si>
  <si>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</si>
  <si>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</si>
  <si>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</si>
  <si>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</si>
  <si>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</si>
  <si>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</si>
  <si>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</si>
  <si>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</si>
  <si>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</si>
  <si>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</si>
  <si>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</si>
  <si>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</si>
  <si>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</si>
  <si>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</si>
  <si>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</si>
  <si>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</si>
  <si>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</si>
  <si>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</si>
  <si>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</si>
  <si>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</si>
  <si>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</si>
  <si>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</si>
  <si>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</si>
  <si>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</si>
  <si>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</si>
  <si>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</si>
  <si>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</si>
  <si>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</si>
  <si>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</si>
  <si>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</si>
  <si>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</si>
  <si>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</si>
  <si>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</si>
  <si>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</si>
  <si>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</si>
  <si>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</si>
  <si>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</si>
  <si>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</si>
  <si>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</si>
  <si>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</si>
  <si>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</si>
  <si>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</si>
  <si>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</si>
  <si>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</si>
  <si>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</si>
  <si>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</si>
  <si>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</si>
  <si>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</si>
  <si>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</si>
  <si>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</si>
  <si>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</si>
  <si>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</si>
  <si>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</si>
  <si>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Profesores_calificados_secundaria_prom_2012_2014</t>
  </si>
  <si>
    <t>Profesores_calificados_secundaria_prom_2022_2024</t>
  </si>
  <si>
    <t>Número_promedio_de_profesores_NO_calificados_secundaria_2012_2014</t>
  </si>
  <si>
    <t>Número_promedio_de_profesores_NO_calificados_secundaria_2022_2024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</si>
  <si>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</si>
  <si>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</si>
  <si>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</si>
  <si>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</si>
  <si>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</si>
  <si>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</si>
  <si>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</si>
  <si>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</si>
  <si>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</si>
  <si>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</si>
  <si>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</si>
  <si>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</si>
  <si>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Profesores calificados en nivel secundario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</si>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</sst>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0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sz val="9.0"/>
      <color theme="1"/>
      <name val="Play"/>
    </font>
  </fonts>
  <fills count="1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3" fillId="4" fontId="3" numFmtId="0" xfId="0" applyAlignment="1" applyBorder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5" fillId="0" fontId="2" numFmtId="0" xfId="0" applyAlignment="1" applyBorder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1" fillId="0" fontId="1" numFmtId="1" xfId="0" applyBorder="1" applyFont="1" applyNumberFormat="1"/>
    <xf borderId="1" fillId="0" fontId="1" numFmtId="3" xfId="0" applyBorder="1" applyFont="1" applyNumberFormat="1"/>
    <xf borderId="1" fillId="0" fontId="1" numFmtId="164" xfId="0" applyBorder="1" applyFont="1" applyNumberFormat="1"/>
    <xf borderId="6" fillId="0" fontId="1" numFmtId="3" xfId="0" applyBorder="1" applyFont="1" applyNumberFormat="1"/>
    <xf borderId="4" fillId="0" fontId="1" numFmtId="164" xfId="0" applyBorder="1" applyFont="1" applyNumberFormat="1"/>
    <xf borderId="1" fillId="0" fontId="2" numFmtId="0" xfId="0" applyBorder="1" applyFont="1"/>
    <xf borderId="1" fillId="0" fontId="1" numFmtId="165" xfId="0" applyBorder="1" applyFont="1" applyNumberFormat="1"/>
    <xf borderId="1" fillId="0" fontId="5" numFmtId="0" xfId="0" applyBorder="1" applyFont="1"/>
    <xf borderId="6" fillId="0" fontId="1" numFmtId="0" xfId="0" applyBorder="1" applyFont="1"/>
    <xf borderId="0" fillId="0" fontId="1" numFmtId="164" xfId="0" applyFont="1" applyNumberFormat="1"/>
    <xf borderId="1" fillId="5" fontId="1" numFmtId="0" xfId="0" applyBorder="1" applyFill="1" applyFont="1"/>
    <xf borderId="1" fillId="5" fontId="1" numFmtId="164" xfId="0" applyBorder="1" applyFont="1" applyNumberFormat="1"/>
    <xf borderId="1" fillId="6" fontId="4" numFmtId="0" xfId="0" applyBorder="1" applyFill="1" applyFont="1"/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readingOrder="0" vertical="bottom"/>
    </xf>
    <xf borderId="7" fillId="0" fontId="1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142875</xdr:rowOff>
    </xdr:from>
    <xdr:ext cx="5867400" cy="434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2.0"/>
    <col customWidth="1" min="10" max="41" width="10.71"/>
    <col customWidth="1" min="42" max="42" width="13.57"/>
    <col customWidth="1" min="43" max="72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10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1"/>
      <c r="AO1" s="11"/>
      <c r="AP1" s="7" t="s">
        <v>39</v>
      </c>
      <c r="AQ1" s="2" t="s">
        <v>6</v>
      </c>
      <c r="AR1" s="2" t="s">
        <v>7</v>
      </c>
      <c r="AS1" s="2" t="s">
        <v>8</v>
      </c>
      <c r="AT1" s="3" t="s">
        <v>13</v>
      </c>
      <c r="AU1" s="3" t="s">
        <v>14</v>
      </c>
      <c r="AV1" s="3" t="s">
        <v>15</v>
      </c>
      <c r="AW1" s="4" t="s">
        <v>20</v>
      </c>
      <c r="AX1" s="4" t="s">
        <v>21</v>
      </c>
      <c r="AY1" s="4" t="s">
        <v>22</v>
      </c>
      <c r="AZ1" s="12" t="s">
        <v>27</v>
      </c>
      <c r="BA1" s="12" t="s">
        <v>28</v>
      </c>
      <c r="BB1" s="12" t="s">
        <v>29</v>
      </c>
      <c r="BC1" s="10" t="s">
        <v>33</v>
      </c>
      <c r="BD1" s="2" t="s">
        <v>9</v>
      </c>
      <c r="BE1" s="2" t="s">
        <v>10</v>
      </c>
      <c r="BF1" s="2" t="s">
        <v>11</v>
      </c>
      <c r="BG1" s="3" t="s">
        <v>16</v>
      </c>
      <c r="BH1" s="3" t="s">
        <v>17</v>
      </c>
      <c r="BI1" s="3" t="s">
        <v>18</v>
      </c>
      <c r="BJ1" s="4" t="s">
        <v>23</v>
      </c>
      <c r="BK1" s="4" t="s">
        <v>24</v>
      </c>
      <c r="BL1" s="5" t="s">
        <v>25</v>
      </c>
      <c r="BM1" s="12" t="s">
        <v>30</v>
      </c>
      <c r="BN1" s="12" t="s">
        <v>31</v>
      </c>
      <c r="BO1" s="13" t="s">
        <v>32</v>
      </c>
      <c r="BP1" s="9" t="s">
        <v>40</v>
      </c>
      <c r="BQ1" s="9" t="s">
        <v>35</v>
      </c>
      <c r="BR1" s="9" t="s">
        <v>36</v>
      </c>
      <c r="BS1" s="9" t="s">
        <v>37</v>
      </c>
      <c r="BT1" s="9" t="s">
        <v>38</v>
      </c>
    </row>
    <row r="2" ht="14.25" customHeight="1">
      <c r="A2" s="1" t="s">
        <v>41</v>
      </c>
      <c r="B2" s="1" t="s">
        <v>42</v>
      </c>
      <c r="C2" s="1" t="s">
        <v>43</v>
      </c>
      <c r="D2" s="1" t="s">
        <v>43</v>
      </c>
      <c r="E2" s="14">
        <v>10101.0</v>
      </c>
      <c r="F2" s="15">
        <v>960.0</v>
      </c>
      <c r="G2" s="15">
        <v>952.0</v>
      </c>
      <c r="H2" s="15">
        <v>1127.0</v>
      </c>
      <c r="I2" s="15">
        <v>1220.0</v>
      </c>
      <c r="J2" s="15">
        <v>1470.0</v>
      </c>
      <c r="K2" s="15">
        <v>1480.0</v>
      </c>
      <c r="L2" s="16">
        <v>1500.0</v>
      </c>
      <c r="M2" s="14">
        <f t="shared" ref="M2:S2" si="1">IF(AND(ISBLANK(F2), NOT(ISBLANK(T2))), T2, IF(OR(ISBLANK(T2), ISBLANK(F2)), "", T2-F2))</f>
        <v>139</v>
      </c>
      <c r="N2" s="14">
        <f t="shared" si="1"/>
        <v>132</v>
      </c>
      <c r="O2" s="14">
        <f t="shared" si="1"/>
        <v>238</v>
      </c>
      <c r="P2" s="14">
        <f t="shared" si="1"/>
        <v>255</v>
      </c>
      <c r="Q2" s="14">
        <f t="shared" si="1"/>
        <v>326</v>
      </c>
      <c r="R2" s="14">
        <f t="shared" si="1"/>
        <v>327</v>
      </c>
      <c r="S2" s="14">
        <f t="shared" si="1"/>
        <v>331</v>
      </c>
      <c r="T2" s="16">
        <v>1099.0</v>
      </c>
      <c r="U2" s="16">
        <v>1084.0</v>
      </c>
      <c r="V2" s="16">
        <v>1365.0</v>
      </c>
      <c r="W2" s="15">
        <v>1475.0</v>
      </c>
      <c r="X2" s="15">
        <v>1796.0</v>
      </c>
      <c r="Y2" s="17">
        <v>1807.0</v>
      </c>
      <c r="Z2" s="15">
        <v>1831.0</v>
      </c>
      <c r="AA2" s="15">
        <v>87.35213830755232</v>
      </c>
      <c r="AB2" s="15">
        <v>87.82287822878229</v>
      </c>
      <c r="AC2" s="15">
        <v>82.56410256410255</v>
      </c>
      <c r="AD2" s="16">
        <v>82.71186440677965</v>
      </c>
      <c r="AE2" s="16">
        <v>81.84855233853007</v>
      </c>
      <c r="AF2" s="16">
        <v>81.90370780298838</v>
      </c>
      <c r="AG2" s="16">
        <v>81.92244675040962</v>
      </c>
      <c r="AH2" s="16">
        <f t="shared" ref="AH2:AH160" si="11">AVERAGE(AB2:AD2)</f>
        <v>84.36628173</v>
      </c>
      <c r="AI2" s="18">
        <f t="shared" ref="AI2:AI160" si="12">AVERAGE(AE2:AG2)</f>
        <v>81.89156896</v>
      </c>
      <c r="AJ2" s="14">
        <f t="shared" ref="AJ2:AJ160" si="13">AVERAGE(G2:I2)</f>
        <v>1099.666667</v>
      </c>
      <c r="AK2" s="14">
        <f t="shared" ref="AK2:AK160" si="14">AVERAGE(J2:L2)</f>
        <v>1483.333333</v>
      </c>
      <c r="AL2" s="14">
        <f t="shared" ref="AL2:AL160" si="15">AVERAGE(N2:P2)</f>
        <v>208.3333333</v>
      </c>
      <c r="AM2" s="14">
        <f t="shared" ref="AM2:AM160" si="16">AVERAGE(Q2:S2)</f>
        <v>328</v>
      </c>
      <c r="AP2" s="19" t="s">
        <v>41</v>
      </c>
      <c r="AQ2" s="15">
        <f t="shared" ref="AQ2:AS2" si="2">+SUM(G2:G30)</f>
        <v>1843</v>
      </c>
      <c r="AR2" s="15">
        <f t="shared" si="2"/>
        <v>2199</v>
      </c>
      <c r="AS2" s="15">
        <f t="shared" si="2"/>
        <v>2368</v>
      </c>
      <c r="AT2" s="15">
        <f t="shared" ref="AT2:AV2" si="3">AW2-AQ2</f>
        <v>334</v>
      </c>
      <c r="AU2" s="15">
        <f t="shared" si="3"/>
        <v>700</v>
      </c>
      <c r="AV2" s="15">
        <f t="shared" si="3"/>
        <v>730</v>
      </c>
      <c r="AW2" s="15">
        <f t="shared" ref="AW2:AY2" si="4">+SUM(U2:U30)</f>
        <v>2177</v>
      </c>
      <c r="AX2" s="15">
        <f t="shared" si="4"/>
        <v>2899</v>
      </c>
      <c r="AY2" s="15">
        <f t="shared" si="4"/>
        <v>3098</v>
      </c>
      <c r="AZ2" s="16">
        <f t="shared" ref="AZ2:BB2" si="5">+(AQ2/AW2)*100</f>
        <v>84.65778594</v>
      </c>
      <c r="BA2" s="16">
        <f t="shared" si="5"/>
        <v>75.85374267</v>
      </c>
      <c r="BB2" s="16">
        <f t="shared" si="5"/>
        <v>76.43641059</v>
      </c>
      <c r="BC2" s="16">
        <f t="shared" ref="BC2:BC12" si="21">AVERAGE(AZ2:BB2)</f>
        <v>78.9826464</v>
      </c>
      <c r="BD2" s="15">
        <f t="shared" ref="BD2:BF2" si="6">+SUM(J2:J30)</f>
        <v>3115</v>
      </c>
      <c r="BE2" s="15">
        <f t="shared" si="6"/>
        <v>3151</v>
      </c>
      <c r="BF2" s="15">
        <f t="shared" si="6"/>
        <v>3198</v>
      </c>
      <c r="BG2" s="15">
        <f t="shared" ref="BG2:BI2" si="7">BJ2-BD2</f>
        <v>765</v>
      </c>
      <c r="BH2" s="15">
        <f t="shared" si="7"/>
        <v>776</v>
      </c>
      <c r="BI2" s="15">
        <f t="shared" si="7"/>
        <v>783</v>
      </c>
      <c r="BJ2" s="15">
        <f t="shared" ref="BJ2:BL2" si="8">+SUM(X2:X30)</f>
        <v>3880</v>
      </c>
      <c r="BK2" s="15">
        <f t="shared" si="8"/>
        <v>3927</v>
      </c>
      <c r="BL2" s="15">
        <f t="shared" si="8"/>
        <v>3981</v>
      </c>
      <c r="BM2" s="20">
        <f t="shared" ref="BM2:BO2" si="9">(BD2/BJ2)*100</f>
        <v>80.28350515</v>
      </c>
      <c r="BN2" s="20">
        <f t="shared" si="9"/>
        <v>80.23936847</v>
      </c>
      <c r="BO2" s="20">
        <f t="shared" si="9"/>
        <v>80.33157498</v>
      </c>
      <c r="BP2" s="20">
        <f>AVERAGE(BM2:BO2)</f>
        <v>80.2848162</v>
      </c>
      <c r="BQ2" s="15">
        <f t="shared" ref="BQ2:BQ12" si="26">AVERAGE(AQ2:AS2)</f>
        <v>2136.666667</v>
      </c>
      <c r="BR2" s="15">
        <f t="shared" ref="BR2:BR12" si="27">AVERAGE(BD2:BF2)</f>
        <v>3154.666667</v>
      </c>
      <c r="BS2" s="15">
        <f t="shared" ref="BS2:BS12" si="28">AVERAGE(AT2:AV2)</f>
        <v>588</v>
      </c>
      <c r="BT2" s="15">
        <f t="shared" ref="BT2:BT12" si="29">AVERAGE(BG2:BI2)</f>
        <v>774.6666667</v>
      </c>
    </row>
    <row r="3" ht="14.25" customHeight="1">
      <c r="A3" s="1" t="s">
        <v>41</v>
      </c>
      <c r="B3" s="1" t="s">
        <v>42</v>
      </c>
      <c r="C3" s="1" t="s">
        <v>44</v>
      </c>
      <c r="D3" s="1" t="s">
        <v>44</v>
      </c>
      <c r="E3" s="14">
        <v>10102.0</v>
      </c>
      <c r="F3" s="15">
        <v>63.0</v>
      </c>
      <c r="G3" s="15">
        <v>67.0</v>
      </c>
      <c r="H3" s="15">
        <v>79.0</v>
      </c>
      <c r="I3" s="15">
        <v>79.0</v>
      </c>
      <c r="J3" s="15">
        <v>89.0</v>
      </c>
      <c r="K3" s="15">
        <v>87.0</v>
      </c>
      <c r="L3" s="16">
        <v>87.0</v>
      </c>
      <c r="M3" s="14">
        <f t="shared" ref="M3:S3" si="10">IF(AND(ISBLANK(F3), NOT(ISBLANK(T3))), T3, IF(OR(ISBLANK(T3), ISBLANK(F3)), "", T3-F3))</f>
        <v>10</v>
      </c>
      <c r="N3" s="14">
        <f t="shared" si="10"/>
        <v>10</v>
      </c>
      <c r="O3" s="14">
        <f t="shared" si="10"/>
        <v>12</v>
      </c>
      <c r="P3" s="14">
        <f t="shared" si="10"/>
        <v>14</v>
      </c>
      <c r="Q3" s="14">
        <f t="shared" si="10"/>
        <v>20</v>
      </c>
      <c r="R3" s="14">
        <f t="shared" si="10"/>
        <v>21</v>
      </c>
      <c r="S3" s="14">
        <f t="shared" si="10"/>
        <v>21</v>
      </c>
      <c r="T3" s="16">
        <v>73.0</v>
      </c>
      <c r="U3" s="16">
        <v>77.0</v>
      </c>
      <c r="V3" s="16">
        <v>91.0</v>
      </c>
      <c r="W3" s="15">
        <v>93.0</v>
      </c>
      <c r="X3" s="15">
        <v>109.0</v>
      </c>
      <c r="Y3" s="17">
        <v>108.0</v>
      </c>
      <c r="Z3" s="15">
        <v>108.0</v>
      </c>
      <c r="AA3" s="15">
        <v>86.3013698630137</v>
      </c>
      <c r="AB3" s="15">
        <v>87.01298701298701</v>
      </c>
      <c r="AC3" s="15">
        <v>86.81318681318682</v>
      </c>
      <c r="AD3" s="16">
        <v>84.94623655913979</v>
      </c>
      <c r="AE3" s="16">
        <v>81.65137614678899</v>
      </c>
      <c r="AF3" s="16">
        <v>80.55555555555556</v>
      </c>
      <c r="AG3" s="16">
        <v>80.55555555555556</v>
      </c>
      <c r="AH3" s="16">
        <f t="shared" si="11"/>
        <v>86.25747013</v>
      </c>
      <c r="AI3" s="18">
        <f t="shared" si="12"/>
        <v>80.92082909</v>
      </c>
      <c r="AJ3" s="14">
        <f t="shared" si="13"/>
        <v>75</v>
      </c>
      <c r="AK3" s="14">
        <f t="shared" si="14"/>
        <v>87.66666667</v>
      </c>
      <c r="AL3" s="14">
        <f t="shared" si="15"/>
        <v>12</v>
      </c>
      <c r="AM3" s="14">
        <f t="shared" si="16"/>
        <v>20.66666667</v>
      </c>
      <c r="AP3" s="19" t="s">
        <v>45</v>
      </c>
      <c r="AQ3" s="15">
        <f t="shared" ref="AQ3:AS3" si="17">+SUM(G31:G117)</f>
        <v>8484</v>
      </c>
      <c r="AR3" s="15">
        <f t="shared" si="17"/>
        <v>10135</v>
      </c>
      <c r="AS3" s="15">
        <f t="shared" si="17"/>
        <v>10816</v>
      </c>
      <c r="AT3" s="15">
        <f t="shared" ref="AT3:AV3" si="18">AW3-AQ3</f>
        <v>2124</v>
      </c>
      <c r="AU3" s="15">
        <f t="shared" si="18"/>
        <v>4049</v>
      </c>
      <c r="AV3" s="15">
        <f t="shared" si="18"/>
        <v>4031</v>
      </c>
      <c r="AW3" s="15">
        <f t="shared" ref="AW3:AY3" si="19">+SUM(U31:U117)</f>
        <v>10608</v>
      </c>
      <c r="AX3" s="15">
        <f t="shared" si="19"/>
        <v>14184</v>
      </c>
      <c r="AY3" s="15">
        <f t="shared" si="19"/>
        <v>14847</v>
      </c>
      <c r="AZ3" s="16">
        <f t="shared" ref="AZ3:BB3" si="20">+(AQ3/AW3)*100</f>
        <v>79.97737557</v>
      </c>
      <c r="BA3" s="16">
        <f t="shared" si="20"/>
        <v>71.45375071</v>
      </c>
      <c r="BB3" s="16">
        <f t="shared" si="20"/>
        <v>72.84973395</v>
      </c>
      <c r="BC3" s="16">
        <f t="shared" si="21"/>
        <v>74.76028674</v>
      </c>
      <c r="BD3" s="15">
        <f t="shared" ref="BD3:BF3" si="22">+SUM(J31:J117)</f>
        <v>14108</v>
      </c>
      <c r="BE3" s="15">
        <f t="shared" si="22"/>
        <v>14415</v>
      </c>
      <c r="BF3" s="15">
        <f t="shared" si="22"/>
        <v>14606</v>
      </c>
      <c r="BG3" s="15">
        <f t="shared" ref="BG3:BI3" si="23">BJ3-BD3</f>
        <v>3751</v>
      </c>
      <c r="BH3" s="15">
        <f t="shared" si="23"/>
        <v>3790</v>
      </c>
      <c r="BI3" s="15">
        <f t="shared" si="23"/>
        <v>3834</v>
      </c>
      <c r="BJ3" s="15">
        <f t="shared" ref="BJ3:BL3" si="24">+SUM(X31:X117)</f>
        <v>17859</v>
      </c>
      <c r="BK3" s="15">
        <f t="shared" si="24"/>
        <v>18205</v>
      </c>
      <c r="BL3" s="15">
        <f t="shared" si="24"/>
        <v>18440</v>
      </c>
      <c r="BM3" s="20">
        <f t="shared" ref="BM3:BO3" si="25">(BD3/BJ3)*100</f>
        <v>78.99658436</v>
      </c>
      <c r="BN3" s="20">
        <f t="shared" si="25"/>
        <v>79.18154353</v>
      </c>
      <c r="BO3" s="20">
        <f t="shared" si="25"/>
        <v>79.20824295</v>
      </c>
      <c r="BP3" s="20">
        <f t="shared" ref="BP3:BP12" si="39">AVERAGE(BM3:BN3)</f>
        <v>79.08906394</v>
      </c>
      <c r="BQ3" s="15">
        <f t="shared" si="26"/>
        <v>9811.666667</v>
      </c>
      <c r="BR3" s="15">
        <f t="shared" si="27"/>
        <v>14376.33333</v>
      </c>
      <c r="BS3" s="15">
        <f t="shared" si="28"/>
        <v>3401.333333</v>
      </c>
      <c r="BT3" s="15">
        <f t="shared" si="29"/>
        <v>3791.666667</v>
      </c>
    </row>
    <row r="4" ht="14.25" customHeight="1">
      <c r="A4" s="1" t="s">
        <v>41</v>
      </c>
      <c r="B4" s="1" t="s">
        <v>42</v>
      </c>
      <c r="C4" s="1" t="s">
        <v>46</v>
      </c>
      <c r="D4" s="1" t="s">
        <v>46</v>
      </c>
      <c r="E4" s="14">
        <v>10103.0</v>
      </c>
      <c r="F4" s="15">
        <v>30.0</v>
      </c>
      <c r="G4" s="15">
        <v>70.0</v>
      </c>
      <c r="H4" s="15">
        <v>81.0</v>
      </c>
      <c r="I4" s="15">
        <v>96.0</v>
      </c>
      <c r="J4" s="15">
        <v>70.0</v>
      </c>
      <c r="K4" s="15">
        <v>79.0</v>
      </c>
      <c r="L4" s="16">
        <v>79.0</v>
      </c>
      <c r="M4" s="14">
        <f t="shared" ref="M4:S4" si="30">IF(AND(ISBLANK(F4), NOT(ISBLANK(T4))), T4, IF(OR(ISBLANK(T4), ISBLANK(F4)), "", T4-F4))</f>
        <v>2</v>
      </c>
      <c r="N4" s="14">
        <f t="shared" si="30"/>
        <v>17</v>
      </c>
      <c r="O4" s="14">
        <f t="shared" si="30"/>
        <v>24</v>
      </c>
      <c r="P4" s="14">
        <f t="shared" si="30"/>
        <v>24</v>
      </c>
      <c r="Q4" s="14">
        <f t="shared" si="30"/>
        <v>21</v>
      </c>
      <c r="R4" s="14">
        <f t="shared" si="30"/>
        <v>20</v>
      </c>
      <c r="S4" s="14">
        <f t="shared" si="30"/>
        <v>20</v>
      </c>
      <c r="T4" s="16">
        <v>32.0</v>
      </c>
      <c r="U4" s="16">
        <v>87.0</v>
      </c>
      <c r="V4" s="16">
        <v>105.0</v>
      </c>
      <c r="W4" s="15">
        <v>120.0</v>
      </c>
      <c r="X4" s="15">
        <v>91.0</v>
      </c>
      <c r="Y4" s="17">
        <v>99.0</v>
      </c>
      <c r="Z4" s="15">
        <v>99.0</v>
      </c>
      <c r="AA4" s="15">
        <v>93.75</v>
      </c>
      <c r="AB4" s="15">
        <v>80.45977011494253</v>
      </c>
      <c r="AC4" s="15">
        <v>77.14285714285715</v>
      </c>
      <c r="AD4" s="16">
        <v>80.0</v>
      </c>
      <c r="AE4" s="16">
        <v>76.92307692307693</v>
      </c>
      <c r="AF4" s="16">
        <v>79.7979797979798</v>
      </c>
      <c r="AG4" s="16">
        <v>79.7979797979798</v>
      </c>
      <c r="AH4" s="16">
        <f t="shared" si="11"/>
        <v>79.20087575</v>
      </c>
      <c r="AI4" s="18">
        <f t="shared" si="12"/>
        <v>78.83967884</v>
      </c>
      <c r="AJ4" s="14">
        <f t="shared" si="13"/>
        <v>82.33333333</v>
      </c>
      <c r="AK4" s="14">
        <f t="shared" si="14"/>
        <v>76</v>
      </c>
      <c r="AL4" s="14">
        <f t="shared" si="15"/>
        <v>21.66666667</v>
      </c>
      <c r="AM4" s="14">
        <f t="shared" si="16"/>
        <v>20.33333333</v>
      </c>
      <c r="AP4" s="19" t="s">
        <v>47</v>
      </c>
      <c r="AQ4" s="15">
        <f t="shared" ref="AQ4:AS4" si="31">+SUM(G118:G165)</f>
        <v>4803</v>
      </c>
      <c r="AR4" s="15">
        <f t="shared" si="31"/>
        <v>5900</v>
      </c>
      <c r="AS4" s="15">
        <f t="shared" si="31"/>
        <v>6366</v>
      </c>
      <c r="AT4" s="15">
        <f t="shared" ref="AT4:AV4" si="32">AW4-AQ4</f>
        <v>1304</v>
      </c>
      <c r="AU4" s="15">
        <f t="shared" si="32"/>
        <v>2246</v>
      </c>
      <c r="AV4" s="15">
        <f t="shared" si="32"/>
        <v>2337</v>
      </c>
      <c r="AW4" s="15">
        <f t="shared" ref="AW4:AY4" si="33">+SUM(U118:U165)</f>
        <v>6107</v>
      </c>
      <c r="AX4" s="15">
        <f t="shared" si="33"/>
        <v>8146</v>
      </c>
      <c r="AY4" s="15">
        <f t="shared" si="33"/>
        <v>8703</v>
      </c>
      <c r="AZ4" s="16">
        <f t="shared" ref="AZ4:BB4" si="34">+(AQ4/AW4)*100</f>
        <v>78.64745374</v>
      </c>
      <c r="BA4" s="16">
        <f t="shared" si="34"/>
        <v>72.42818561</v>
      </c>
      <c r="BB4" s="16">
        <f t="shared" si="34"/>
        <v>73.14719062</v>
      </c>
      <c r="BC4" s="16">
        <f t="shared" si="21"/>
        <v>74.74094333</v>
      </c>
      <c r="BD4" s="15">
        <f t="shared" ref="BD4:BF4" si="35">+SUM(J118:J165)</f>
        <v>9008</v>
      </c>
      <c r="BE4" s="15">
        <f t="shared" si="35"/>
        <v>9261</v>
      </c>
      <c r="BF4" s="15">
        <f t="shared" si="35"/>
        <v>9434</v>
      </c>
      <c r="BG4" s="15">
        <f t="shared" ref="BG4:BI4" si="36">BJ4-BD4</f>
        <v>2231</v>
      </c>
      <c r="BH4" s="15">
        <f t="shared" si="36"/>
        <v>2328</v>
      </c>
      <c r="BI4" s="15">
        <f t="shared" si="36"/>
        <v>2396</v>
      </c>
      <c r="BJ4" s="15">
        <f t="shared" ref="BJ4:BL4" si="37">+SUM(X118:X165)</f>
        <v>11239</v>
      </c>
      <c r="BK4" s="15">
        <f t="shared" si="37"/>
        <v>11589</v>
      </c>
      <c r="BL4" s="15">
        <f t="shared" si="37"/>
        <v>11830</v>
      </c>
      <c r="BM4" s="20">
        <f t="shared" ref="BM4:BO4" si="38">(BD4/BJ4)*100</f>
        <v>80.14947949</v>
      </c>
      <c r="BN4" s="20">
        <f t="shared" si="38"/>
        <v>79.9119855</v>
      </c>
      <c r="BO4" s="20">
        <f t="shared" si="38"/>
        <v>79.74640744</v>
      </c>
      <c r="BP4" s="20">
        <f t="shared" si="39"/>
        <v>80.0307325</v>
      </c>
      <c r="BQ4" s="15">
        <f t="shared" si="26"/>
        <v>5689.666667</v>
      </c>
      <c r="BR4" s="15">
        <f t="shared" si="27"/>
        <v>9234.333333</v>
      </c>
      <c r="BS4" s="15">
        <f t="shared" si="28"/>
        <v>1962.333333</v>
      </c>
      <c r="BT4" s="15">
        <f t="shared" si="29"/>
        <v>2318.333333</v>
      </c>
    </row>
    <row r="5" ht="14.25" customHeight="1">
      <c r="A5" s="1" t="s">
        <v>41</v>
      </c>
      <c r="B5" s="1" t="s">
        <v>48</v>
      </c>
      <c r="C5" s="1" t="s">
        <v>49</v>
      </c>
      <c r="D5" s="1" t="s">
        <v>49</v>
      </c>
      <c r="E5" s="14">
        <v>10201.0</v>
      </c>
      <c r="F5" s="15">
        <v>16.0</v>
      </c>
      <c r="G5" s="15">
        <v>29.0</v>
      </c>
      <c r="H5" s="15">
        <v>30.0</v>
      </c>
      <c r="I5" s="15">
        <v>33.0</v>
      </c>
      <c r="J5" s="15">
        <v>57.0</v>
      </c>
      <c r="K5" s="15">
        <v>59.0</v>
      </c>
      <c r="L5" s="16">
        <v>58.0</v>
      </c>
      <c r="M5" s="14">
        <f t="shared" ref="M5:S5" si="40">IF(AND(ISBLANK(F5), NOT(ISBLANK(T5))), T5, IF(OR(ISBLANK(T5), ISBLANK(F5)), "", T5-F5))</f>
        <v>2</v>
      </c>
      <c r="N5" s="14">
        <f t="shared" si="40"/>
        <v>10</v>
      </c>
      <c r="O5" s="14">
        <f t="shared" si="40"/>
        <v>13</v>
      </c>
      <c r="P5" s="14">
        <f t="shared" si="40"/>
        <v>13</v>
      </c>
      <c r="Q5" s="14">
        <f t="shared" si="40"/>
        <v>7</v>
      </c>
      <c r="R5" s="14">
        <f t="shared" si="40"/>
        <v>6</v>
      </c>
      <c r="S5" s="14">
        <f t="shared" si="40"/>
        <v>7</v>
      </c>
      <c r="T5" s="16">
        <v>18.0</v>
      </c>
      <c r="U5" s="16">
        <v>39.0</v>
      </c>
      <c r="V5" s="16">
        <v>43.0</v>
      </c>
      <c r="W5" s="15">
        <v>46.0</v>
      </c>
      <c r="X5" s="15">
        <v>64.0</v>
      </c>
      <c r="Y5" s="17">
        <v>65.0</v>
      </c>
      <c r="Z5" s="15">
        <v>65.0</v>
      </c>
      <c r="AA5" s="15">
        <v>88.88888888888889</v>
      </c>
      <c r="AB5" s="15">
        <v>74.35897435897436</v>
      </c>
      <c r="AC5" s="15">
        <v>69.76744186046511</v>
      </c>
      <c r="AD5" s="16">
        <v>71.73913043478261</v>
      </c>
      <c r="AE5" s="16">
        <v>89.0625</v>
      </c>
      <c r="AF5" s="16">
        <v>90.76923076923077</v>
      </c>
      <c r="AG5" s="16">
        <v>89.23076923076924</v>
      </c>
      <c r="AH5" s="16">
        <f t="shared" si="11"/>
        <v>71.95518222</v>
      </c>
      <c r="AI5" s="18">
        <f t="shared" si="12"/>
        <v>89.6875</v>
      </c>
      <c r="AJ5" s="14">
        <f t="shared" si="13"/>
        <v>30.66666667</v>
      </c>
      <c r="AK5" s="14">
        <f t="shared" si="14"/>
        <v>58</v>
      </c>
      <c r="AL5" s="14">
        <f t="shared" si="15"/>
        <v>12</v>
      </c>
      <c r="AM5" s="14">
        <f t="shared" si="16"/>
        <v>6.666666667</v>
      </c>
      <c r="AP5" s="19" t="s">
        <v>50</v>
      </c>
      <c r="AQ5" s="15">
        <f t="shared" ref="AQ5:AS5" si="41">+SUM(G166:G200)</f>
        <v>1562</v>
      </c>
      <c r="AR5" s="15">
        <f t="shared" si="41"/>
        <v>2026</v>
      </c>
      <c r="AS5" s="15">
        <f t="shared" si="41"/>
        <v>2084</v>
      </c>
      <c r="AT5" s="15">
        <f t="shared" ref="AT5:AV5" si="42">AW5-AQ5</f>
        <v>561</v>
      </c>
      <c r="AU5" s="15">
        <f t="shared" si="42"/>
        <v>890</v>
      </c>
      <c r="AV5" s="15">
        <f t="shared" si="42"/>
        <v>905</v>
      </c>
      <c r="AW5" s="15">
        <f t="shared" ref="AW5:AY5" si="43">+SUM(U166:U200)</f>
        <v>2123</v>
      </c>
      <c r="AX5" s="15">
        <f t="shared" si="43"/>
        <v>2916</v>
      </c>
      <c r="AY5" s="15">
        <f t="shared" si="43"/>
        <v>2989</v>
      </c>
      <c r="AZ5" s="16">
        <f t="shared" ref="AZ5:BB5" si="44">+(AQ5/AW5)*100</f>
        <v>73.57512953</v>
      </c>
      <c r="BA5" s="16">
        <f t="shared" si="44"/>
        <v>69.478738</v>
      </c>
      <c r="BB5" s="16">
        <f t="shared" si="44"/>
        <v>69.72231516</v>
      </c>
      <c r="BC5" s="16">
        <f t="shared" si="21"/>
        <v>70.92539423</v>
      </c>
      <c r="BD5" s="15">
        <f t="shared" ref="BD5:BF5" si="45">+SUM(J166:J200)</f>
        <v>2821</v>
      </c>
      <c r="BE5" s="15">
        <f t="shared" si="45"/>
        <v>2904</v>
      </c>
      <c r="BF5" s="15">
        <f t="shared" si="45"/>
        <v>2941</v>
      </c>
      <c r="BG5" s="15">
        <f t="shared" ref="BG5:BI5" si="46">BJ5-BD5</f>
        <v>861</v>
      </c>
      <c r="BH5" s="15">
        <f t="shared" si="46"/>
        <v>866</v>
      </c>
      <c r="BI5" s="15">
        <f t="shared" si="46"/>
        <v>869</v>
      </c>
      <c r="BJ5" s="15">
        <f t="shared" ref="BJ5:BL5" si="47">+SUM(X166:X200)</f>
        <v>3682</v>
      </c>
      <c r="BK5" s="15">
        <f t="shared" si="47"/>
        <v>3770</v>
      </c>
      <c r="BL5" s="15">
        <f t="shared" si="47"/>
        <v>3810</v>
      </c>
      <c r="BM5" s="20">
        <f t="shared" ref="BM5:BO5" si="48">(BD5/BJ5)*100</f>
        <v>76.61596958</v>
      </c>
      <c r="BN5" s="20">
        <f t="shared" si="48"/>
        <v>77.02917772</v>
      </c>
      <c r="BO5" s="20">
        <f t="shared" si="48"/>
        <v>77.19160105</v>
      </c>
      <c r="BP5" s="20">
        <f t="shared" si="39"/>
        <v>76.82257365</v>
      </c>
      <c r="BQ5" s="15">
        <f t="shared" si="26"/>
        <v>1890.666667</v>
      </c>
      <c r="BR5" s="15">
        <f t="shared" si="27"/>
        <v>2888.666667</v>
      </c>
      <c r="BS5" s="15">
        <f t="shared" si="28"/>
        <v>785.3333333</v>
      </c>
      <c r="BT5" s="15">
        <f t="shared" si="29"/>
        <v>865.3333333</v>
      </c>
    </row>
    <row r="6" ht="14.25" customHeight="1">
      <c r="A6" s="1" t="s">
        <v>41</v>
      </c>
      <c r="B6" s="1" t="s">
        <v>48</v>
      </c>
      <c r="C6" s="1" t="s">
        <v>51</v>
      </c>
      <c r="D6" s="1" t="s">
        <v>52</v>
      </c>
      <c r="E6" s="14">
        <v>10202.0</v>
      </c>
      <c r="F6" s="15">
        <v>28.0</v>
      </c>
      <c r="G6" s="15">
        <v>37.0</v>
      </c>
      <c r="H6" s="15">
        <v>44.0</v>
      </c>
      <c r="I6" s="15">
        <v>49.0</v>
      </c>
      <c r="J6" s="15">
        <v>90.0</v>
      </c>
      <c r="K6" s="15">
        <v>88.0</v>
      </c>
      <c r="L6" s="16">
        <v>88.0</v>
      </c>
      <c r="M6" s="14">
        <f t="shared" ref="M6:S6" si="49">IF(AND(ISBLANK(F6), NOT(ISBLANK(T6))), T6, IF(OR(ISBLANK(T6), ISBLANK(F6)), "", T6-F6))</f>
        <v>2</v>
      </c>
      <c r="N6" s="14">
        <f t="shared" si="49"/>
        <v>5</v>
      </c>
      <c r="O6" s="14">
        <f t="shared" si="49"/>
        <v>24</v>
      </c>
      <c r="P6" s="14">
        <f t="shared" si="49"/>
        <v>21</v>
      </c>
      <c r="Q6" s="14">
        <f t="shared" si="49"/>
        <v>14</v>
      </c>
      <c r="R6" s="14">
        <f t="shared" si="49"/>
        <v>16</v>
      </c>
      <c r="S6" s="14">
        <f t="shared" si="49"/>
        <v>16</v>
      </c>
      <c r="T6" s="16">
        <v>30.0</v>
      </c>
      <c r="U6" s="16">
        <v>42.0</v>
      </c>
      <c r="V6" s="16">
        <v>68.0</v>
      </c>
      <c r="W6" s="15">
        <v>70.0</v>
      </c>
      <c r="X6" s="15">
        <v>104.0</v>
      </c>
      <c r="Y6" s="17">
        <v>104.0</v>
      </c>
      <c r="Z6" s="15">
        <v>104.0</v>
      </c>
      <c r="AA6" s="15">
        <v>93.33333333333333</v>
      </c>
      <c r="AB6" s="15">
        <v>88.09523809523809</v>
      </c>
      <c r="AC6" s="15">
        <v>64.70588235294117</v>
      </c>
      <c r="AD6" s="16">
        <v>70.0</v>
      </c>
      <c r="AE6" s="16">
        <v>86.53846153846155</v>
      </c>
      <c r="AF6" s="16">
        <v>84.61538461538461</v>
      </c>
      <c r="AG6" s="16">
        <v>84.61538461538461</v>
      </c>
      <c r="AH6" s="16">
        <f t="shared" si="11"/>
        <v>74.26704015</v>
      </c>
      <c r="AI6" s="18">
        <f t="shared" si="12"/>
        <v>85.25641026</v>
      </c>
      <c r="AJ6" s="14">
        <f t="shared" si="13"/>
        <v>43.33333333</v>
      </c>
      <c r="AK6" s="14">
        <f t="shared" si="14"/>
        <v>88.66666667</v>
      </c>
      <c r="AL6" s="14">
        <f t="shared" si="15"/>
        <v>16.66666667</v>
      </c>
      <c r="AM6" s="14">
        <f t="shared" si="16"/>
        <v>15.33333333</v>
      </c>
      <c r="AP6" s="19" t="s">
        <v>53</v>
      </c>
      <c r="AQ6" s="15">
        <f t="shared" ref="AQ6:AS6" si="50">+SUM(G201:G242)</f>
        <v>2321</v>
      </c>
      <c r="AR6" s="15">
        <f t="shared" si="50"/>
        <v>2816</v>
      </c>
      <c r="AS6" s="15">
        <f t="shared" si="50"/>
        <v>3052</v>
      </c>
      <c r="AT6" s="15">
        <f t="shared" ref="AT6:AV6" si="51">AW6-AQ6</f>
        <v>1045</v>
      </c>
      <c r="AU6" s="15">
        <f t="shared" si="51"/>
        <v>1989</v>
      </c>
      <c r="AV6" s="15">
        <f t="shared" si="51"/>
        <v>2078</v>
      </c>
      <c r="AW6" s="15">
        <f t="shared" ref="AW6:AY6" si="52">+SUM(U201:U242)</f>
        <v>3366</v>
      </c>
      <c r="AX6" s="15">
        <f t="shared" si="52"/>
        <v>4805</v>
      </c>
      <c r="AY6" s="15">
        <f t="shared" si="52"/>
        <v>5130</v>
      </c>
      <c r="AZ6" s="16">
        <f t="shared" ref="AZ6:BB6" si="53">+(AQ6/AW6)*100</f>
        <v>68.95424837</v>
      </c>
      <c r="BA6" s="16">
        <f t="shared" si="53"/>
        <v>58.60561915</v>
      </c>
      <c r="BB6" s="16">
        <f t="shared" si="53"/>
        <v>59.49317739</v>
      </c>
      <c r="BC6" s="16">
        <f t="shared" si="21"/>
        <v>62.35101497</v>
      </c>
      <c r="BD6" s="15">
        <f t="shared" ref="BD6:BF6" si="54">+SUM(J201:J242)</f>
        <v>4324</v>
      </c>
      <c r="BE6" s="15">
        <f t="shared" si="54"/>
        <v>4406</v>
      </c>
      <c r="BF6" s="15">
        <f t="shared" si="54"/>
        <v>4547</v>
      </c>
      <c r="BG6" s="15">
        <f t="shared" ref="BG6:BI6" si="55">BJ6-BD6</f>
        <v>1695</v>
      </c>
      <c r="BH6" s="15">
        <f t="shared" si="55"/>
        <v>1722</v>
      </c>
      <c r="BI6" s="15">
        <f t="shared" si="55"/>
        <v>1733</v>
      </c>
      <c r="BJ6" s="15">
        <f t="shared" ref="BJ6:BL6" si="56">+SUM(X201:X242)</f>
        <v>6019</v>
      </c>
      <c r="BK6" s="15">
        <f t="shared" si="56"/>
        <v>6128</v>
      </c>
      <c r="BL6" s="15">
        <f t="shared" si="56"/>
        <v>6280</v>
      </c>
      <c r="BM6" s="20">
        <f t="shared" ref="BM6:BO6" si="57">(BD6/BJ6)*100</f>
        <v>71.83917594</v>
      </c>
      <c r="BN6" s="20">
        <f t="shared" si="57"/>
        <v>71.89947781</v>
      </c>
      <c r="BO6" s="20">
        <f t="shared" si="57"/>
        <v>72.4044586</v>
      </c>
      <c r="BP6" s="20">
        <f t="shared" si="39"/>
        <v>71.86932687</v>
      </c>
      <c r="BQ6" s="15">
        <f t="shared" si="26"/>
        <v>2729.666667</v>
      </c>
      <c r="BR6" s="15">
        <f t="shared" si="27"/>
        <v>4425.666667</v>
      </c>
      <c r="BS6" s="15">
        <f t="shared" si="28"/>
        <v>1704</v>
      </c>
      <c r="BT6" s="15">
        <f t="shared" si="29"/>
        <v>1716.666667</v>
      </c>
    </row>
    <row r="7" ht="14.25" customHeight="1">
      <c r="A7" s="1" t="s">
        <v>41</v>
      </c>
      <c r="B7" s="1" t="s">
        <v>54</v>
      </c>
      <c r="C7" s="1" t="s">
        <v>55</v>
      </c>
      <c r="D7" s="1" t="s">
        <v>56</v>
      </c>
      <c r="E7" s="14">
        <v>10301.0</v>
      </c>
      <c r="F7" s="15">
        <v>20.0</v>
      </c>
      <c r="G7" s="15">
        <v>25.0</v>
      </c>
      <c r="H7" s="15">
        <v>28.0</v>
      </c>
      <c r="I7" s="15">
        <v>28.0</v>
      </c>
      <c r="J7" s="15">
        <v>33.0</v>
      </c>
      <c r="K7" s="15">
        <v>32.0</v>
      </c>
      <c r="L7" s="16">
        <v>32.0</v>
      </c>
      <c r="M7" s="14">
        <f t="shared" ref="M7:S7" si="58">IF(AND(ISBLANK(F7), NOT(ISBLANK(T7))), T7, IF(OR(ISBLANK(T7), ISBLANK(F7)), "", T7-F7))</f>
        <v>4</v>
      </c>
      <c r="N7" s="14">
        <f t="shared" si="58"/>
        <v>7</v>
      </c>
      <c r="O7" s="14">
        <f t="shared" si="58"/>
        <v>8</v>
      </c>
      <c r="P7" s="14">
        <f t="shared" si="58"/>
        <v>9</v>
      </c>
      <c r="Q7" s="14">
        <f t="shared" si="58"/>
        <v>5</v>
      </c>
      <c r="R7" s="14">
        <f t="shared" si="58"/>
        <v>5</v>
      </c>
      <c r="S7" s="14">
        <f t="shared" si="58"/>
        <v>5</v>
      </c>
      <c r="T7" s="16">
        <v>24.0</v>
      </c>
      <c r="U7" s="16">
        <v>32.0</v>
      </c>
      <c r="V7" s="16">
        <v>36.0</v>
      </c>
      <c r="W7" s="15">
        <v>37.0</v>
      </c>
      <c r="X7" s="15">
        <v>38.0</v>
      </c>
      <c r="Y7" s="17">
        <v>37.0</v>
      </c>
      <c r="Z7" s="15">
        <v>37.0</v>
      </c>
      <c r="AA7" s="15">
        <v>83.33333333333334</v>
      </c>
      <c r="AB7" s="15">
        <v>78.125</v>
      </c>
      <c r="AC7" s="15">
        <v>77.77777777777779</v>
      </c>
      <c r="AD7" s="16">
        <v>75.67567567567568</v>
      </c>
      <c r="AE7" s="16">
        <v>86.8421052631579</v>
      </c>
      <c r="AF7" s="16">
        <v>86.48648648648648</v>
      </c>
      <c r="AG7" s="16">
        <v>86.48648648648648</v>
      </c>
      <c r="AH7" s="16">
        <f t="shared" si="11"/>
        <v>77.19281782</v>
      </c>
      <c r="AI7" s="18">
        <f t="shared" si="12"/>
        <v>86.60502608</v>
      </c>
      <c r="AJ7" s="14">
        <f t="shared" si="13"/>
        <v>27</v>
      </c>
      <c r="AK7" s="14">
        <f t="shared" si="14"/>
        <v>32.33333333</v>
      </c>
      <c r="AL7" s="14">
        <f t="shared" si="15"/>
        <v>8</v>
      </c>
      <c r="AM7" s="14">
        <f t="shared" si="16"/>
        <v>5</v>
      </c>
      <c r="AP7" s="19" t="s">
        <v>57</v>
      </c>
      <c r="AQ7" s="15">
        <f t="shared" ref="AQ7:AS7" si="59">+SUM(G243:G253)</f>
        <v>1335</v>
      </c>
      <c r="AR7" s="15">
        <f t="shared" si="59"/>
        <v>1526</v>
      </c>
      <c r="AS7" s="15">
        <f t="shared" si="59"/>
        <v>1627</v>
      </c>
      <c r="AT7" s="15">
        <f t="shared" ref="AT7:AV7" si="60">AW7-AQ7</f>
        <v>525</v>
      </c>
      <c r="AU7" s="15">
        <f t="shared" si="60"/>
        <v>967</v>
      </c>
      <c r="AV7" s="15">
        <f t="shared" si="60"/>
        <v>1004</v>
      </c>
      <c r="AW7" s="15">
        <f t="shared" ref="AW7:AY7" si="61">+SUM(U243:U253)</f>
        <v>1860</v>
      </c>
      <c r="AX7" s="15">
        <f t="shared" si="61"/>
        <v>2493</v>
      </c>
      <c r="AY7" s="15">
        <f t="shared" si="61"/>
        <v>2631</v>
      </c>
      <c r="AZ7" s="16">
        <f t="shared" ref="AZ7:BB7" si="62">+(AQ7/AW7)*100</f>
        <v>71.77419355</v>
      </c>
      <c r="BA7" s="16">
        <f t="shared" si="62"/>
        <v>61.2113919</v>
      </c>
      <c r="BB7" s="16">
        <f t="shared" si="62"/>
        <v>61.83960471</v>
      </c>
      <c r="BC7" s="16">
        <f t="shared" si="21"/>
        <v>64.94173005</v>
      </c>
      <c r="BD7" s="15">
        <f t="shared" ref="BD7:BF7" si="63">+SUM(J243:J253)</f>
        <v>2226</v>
      </c>
      <c r="BE7" s="15">
        <f t="shared" si="63"/>
        <v>2288</v>
      </c>
      <c r="BF7" s="15">
        <f t="shared" si="63"/>
        <v>2316</v>
      </c>
      <c r="BG7" s="15">
        <f t="shared" ref="BG7:BI7" si="64">BJ7-BD7</f>
        <v>711</v>
      </c>
      <c r="BH7" s="15">
        <f t="shared" si="64"/>
        <v>709</v>
      </c>
      <c r="BI7" s="15">
        <f t="shared" si="64"/>
        <v>716</v>
      </c>
      <c r="BJ7" s="15">
        <f t="shared" ref="BJ7:BL7" si="65">+SUM(X243:X253)</f>
        <v>2937</v>
      </c>
      <c r="BK7" s="15">
        <f t="shared" si="65"/>
        <v>2997</v>
      </c>
      <c r="BL7" s="15">
        <f t="shared" si="65"/>
        <v>3032</v>
      </c>
      <c r="BM7" s="20">
        <f t="shared" ref="BM7:BO7" si="66">(BD7/BJ7)*100</f>
        <v>75.79162411</v>
      </c>
      <c r="BN7" s="20">
        <f t="shared" si="66"/>
        <v>76.34300968</v>
      </c>
      <c r="BO7" s="20">
        <f t="shared" si="66"/>
        <v>76.38522427</v>
      </c>
      <c r="BP7" s="20">
        <f t="shared" si="39"/>
        <v>76.06731689</v>
      </c>
      <c r="BQ7" s="15">
        <f t="shared" si="26"/>
        <v>1496</v>
      </c>
      <c r="BR7" s="15">
        <f t="shared" si="27"/>
        <v>2276.666667</v>
      </c>
      <c r="BS7" s="15">
        <f t="shared" si="28"/>
        <v>832</v>
      </c>
      <c r="BT7" s="15">
        <f t="shared" si="29"/>
        <v>712</v>
      </c>
    </row>
    <row r="8" ht="14.25" customHeight="1">
      <c r="A8" s="1" t="s">
        <v>41</v>
      </c>
      <c r="B8" s="1" t="s">
        <v>54</v>
      </c>
      <c r="C8" s="1" t="s">
        <v>58</v>
      </c>
      <c r="D8" s="1" t="s">
        <v>58</v>
      </c>
      <c r="E8" s="14">
        <v>10302.0</v>
      </c>
      <c r="F8" s="15">
        <v>19.0</v>
      </c>
      <c r="G8" s="15">
        <v>22.0</v>
      </c>
      <c r="H8" s="15">
        <v>26.0</v>
      </c>
      <c r="I8" s="15">
        <v>29.0</v>
      </c>
      <c r="J8" s="15">
        <v>37.0</v>
      </c>
      <c r="K8" s="15">
        <v>37.0</v>
      </c>
      <c r="L8" s="16">
        <v>37.0</v>
      </c>
      <c r="M8" s="14">
        <f t="shared" ref="M8:S8" si="67">IF(AND(ISBLANK(F8), NOT(ISBLANK(T8))), T8, IF(OR(ISBLANK(T8), ISBLANK(F8)), "", T8-F8))</f>
        <v>1</v>
      </c>
      <c r="N8" s="14">
        <f t="shared" si="67"/>
        <v>3</v>
      </c>
      <c r="O8" s="14">
        <f t="shared" si="67"/>
        <v>4</v>
      </c>
      <c r="P8" s="14">
        <f t="shared" si="67"/>
        <v>4</v>
      </c>
      <c r="Q8" s="14">
        <f t="shared" si="67"/>
        <v>8</v>
      </c>
      <c r="R8" s="14">
        <f t="shared" si="67"/>
        <v>8</v>
      </c>
      <c r="S8" s="14">
        <f t="shared" si="67"/>
        <v>8</v>
      </c>
      <c r="T8" s="16">
        <v>20.0</v>
      </c>
      <c r="U8" s="16">
        <v>25.0</v>
      </c>
      <c r="V8" s="16">
        <v>30.0</v>
      </c>
      <c r="W8" s="15">
        <v>33.0</v>
      </c>
      <c r="X8" s="15">
        <v>45.0</v>
      </c>
      <c r="Y8" s="17">
        <v>45.0</v>
      </c>
      <c r="Z8" s="15">
        <v>45.0</v>
      </c>
      <c r="AA8" s="15">
        <v>95.0</v>
      </c>
      <c r="AB8" s="15">
        <v>88.0</v>
      </c>
      <c r="AC8" s="15">
        <v>86.66666666666667</v>
      </c>
      <c r="AD8" s="16">
        <v>87.87878787878788</v>
      </c>
      <c r="AE8" s="16">
        <v>82.22222222222221</v>
      </c>
      <c r="AF8" s="16">
        <v>82.22222222222221</v>
      </c>
      <c r="AG8" s="16">
        <v>82.22222222222221</v>
      </c>
      <c r="AH8" s="16">
        <f t="shared" si="11"/>
        <v>87.51515152</v>
      </c>
      <c r="AI8" s="18">
        <f t="shared" si="12"/>
        <v>82.22222222</v>
      </c>
      <c r="AJ8" s="14">
        <f t="shared" si="13"/>
        <v>25.66666667</v>
      </c>
      <c r="AK8" s="14">
        <f t="shared" si="14"/>
        <v>37</v>
      </c>
      <c r="AL8" s="14">
        <f t="shared" si="15"/>
        <v>3.666666667</v>
      </c>
      <c r="AM8" s="14">
        <f t="shared" si="16"/>
        <v>8</v>
      </c>
      <c r="AP8" s="19" t="s">
        <v>59</v>
      </c>
      <c r="AQ8" s="15">
        <f t="shared" ref="AQ8:AS8" si="68">+SUM(G254:G309)</f>
        <v>4894</v>
      </c>
      <c r="AR8" s="15">
        <f t="shared" si="68"/>
        <v>5964</v>
      </c>
      <c r="AS8" s="15">
        <f t="shared" si="68"/>
        <v>6530</v>
      </c>
      <c r="AT8" s="15">
        <f t="shared" ref="AT8:AV8" si="69">AW8-AQ8</f>
        <v>2138</v>
      </c>
      <c r="AU8" s="15">
        <f t="shared" si="69"/>
        <v>4005</v>
      </c>
      <c r="AV8" s="15">
        <f t="shared" si="69"/>
        <v>3888</v>
      </c>
      <c r="AW8" s="15">
        <f t="shared" ref="AW8:AY8" si="70">+SUM(U254:U309)</f>
        <v>7032</v>
      </c>
      <c r="AX8" s="15">
        <f t="shared" si="70"/>
        <v>9969</v>
      </c>
      <c r="AY8" s="15">
        <f t="shared" si="70"/>
        <v>10418</v>
      </c>
      <c r="AZ8" s="16">
        <f t="shared" ref="AZ8:BB8" si="71">+(AQ8/AW8)*100</f>
        <v>69.59613197</v>
      </c>
      <c r="BA8" s="16">
        <f t="shared" si="71"/>
        <v>59.82545892</v>
      </c>
      <c r="BB8" s="16">
        <f t="shared" si="71"/>
        <v>62.67997696</v>
      </c>
      <c r="BC8" s="16">
        <f t="shared" si="21"/>
        <v>64.03385595</v>
      </c>
      <c r="BD8" s="15">
        <f t="shared" ref="BD8:BF8" si="72">+SUM(J254:J309)</f>
        <v>9928</v>
      </c>
      <c r="BE8" s="15">
        <f t="shared" si="72"/>
        <v>10104</v>
      </c>
      <c r="BF8" s="15">
        <f t="shared" si="72"/>
        <v>10275</v>
      </c>
      <c r="BG8" s="15">
        <f t="shared" ref="BG8:BI8" si="73">BJ8-BD8</f>
        <v>3048</v>
      </c>
      <c r="BH8" s="15">
        <f t="shared" si="73"/>
        <v>3142</v>
      </c>
      <c r="BI8" s="15">
        <f t="shared" si="73"/>
        <v>3189</v>
      </c>
      <c r="BJ8" s="15">
        <f t="shared" ref="BJ8:BL8" si="74">+SUM(X254:X309)</f>
        <v>12976</v>
      </c>
      <c r="BK8" s="15">
        <f t="shared" si="74"/>
        <v>13246</v>
      </c>
      <c r="BL8" s="15">
        <f t="shared" si="74"/>
        <v>13464</v>
      </c>
      <c r="BM8" s="20">
        <f t="shared" ref="BM8:BO8" si="75">(BD8/BJ8)*100</f>
        <v>76.51048089</v>
      </c>
      <c r="BN8" s="20">
        <f t="shared" si="75"/>
        <v>76.27963159</v>
      </c>
      <c r="BO8" s="20">
        <f t="shared" si="75"/>
        <v>76.31461676</v>
      </c>
      <c r="BP8" s="20">
        <f t="shared" si="39"/>
        <v>76.39505624</v>
      </c>
      <c r="BQ8" s="15">
        <f t="shared" si="26"/>
        <v>5796</v>
      </c>
      <c r="BR8" s="15">
        <f t="shared" si="27"/>
        <v>10102.33333</v>
      </c>
      <c r="BS8" s="15">
        <f t="shared" si="28"/>
        <v>3343.666667</v>
      </c>
      <c r="BT8" s="15">
        <f t="shared" si="29"/>
        <v>3126.333333</v>
      </c>
    </row>
    <row r="9" ht="14.25" customHeight="1">
      <c r="A9" s="1" t="s">
        <v>41</v>
      </c>
      <c r="B9" s="1" t="s">
        <v>54</v>
      </c>
      <c r="C9" s="1" t="s">
        <v>60</v>
      </c>
      <c r="D9" s="1" t="s">
        <v>61</v>
      </c>
      <c r="E9" s="14">
        <v>10303.0</v>
      </c>
      <c r="F9" s="15">
        <v>31.0</v>
      </c>
      <c r="G9" s="15">
        <v>33.0</v>
      </c>
      <c r="H9" s="15">
        <v>40.0</v>
      </c>
      <c r="I9" s="15">
        <v>39.0</v>
      </c>
      <c r="J9" s="15">
        <v>42.0</v>
      </c>
      <c r="K9" s="15">
        <v>41.0</v>
      </c>
      <c r="L9" s="16">
        <v>41.0</v>
      </c>
      <c r="M9" s="14">
        <f t="shared" ref="M9:S9" si="76">IF(AND(ISBLANK(F9), NOT(ISBLANK(T9))), T9, IF(OR(ISBLANK(T9), ISBLANK(F9)), "", T9-F9))</f>
        <v>2</v>
      </c>
      <c r="N9" s="14">
        <f t="shared" si="76"/>
        <v>4</v>
      </c>
      <c r="O9" s="14">
        <f t="shared" si="76"/>
        <v>9</v>
      </c>
      <c r="P9" s="14">
        <f t="shared" si="76"/>
        <v>10</v>
      </c>
      <c r="Q9" s="14">
        <f t="shared" si="76"/>
        <v>12</v>
      </c>
      <c r="R9" s="14">
        <f t="shared" si="76"/>
        <v>13</v>
      </c>
      <c r="S9" s="14">
        <f t="shared" si="76"/>
        <v>13</v>
      </c>
      <c r="T9" s="16">
        <v>33.0</v>
      </c>
      <c r="U9" s="16">
        <v>37.0</v>
      </c>
      <c r="V9" s="16">
        <v>49.0</v>
      </c>
      <c r="W9" s="15">
        <v>49.0</v>
      </c>
      <c r="X9" s="15">
        <v>54.0</v>
      </c>
      <c r="Y9" s="17">
        <v>54.0</v>
      </c>
      <c r="Z9" s="15">
        <v>54.0</v>
      </c>
      <c r="AA9" s="15">
        <v>93.93939393939394</v>
      </c>
      <c r="AB9" s="15">
        <v>89.1891891891892</v>
      </c>
      <c r="AC9" s="15">
        <v>81.63265306122449</v>
      </c>
      <c r="AD9" s="16">
        <v>79.59183673469387</v>
      </c>
      <c r="AE9" s="16">
        <v>77.77777777777779</v>
      </c>
      <c r="AF9" s="16">
        <v>75.92592592592592</v>
      </c>
      <c r="AG9" s="16">
        <v>75.92592592592592</v>
      </c>
      <c r="AH9" s="16">
        <f t="shared" si="11"/>
        <v>83.47122633</v>
      </c>
      <c r="AI9" s="18">
        <f t="shared" si="12"/>
        <v>76.54320988</v>
      </c>
      <c r="AJ9" s="14">
        <f t="shared" si="13"/>
        <v>37.33333333</v>
      </c>
      <c r="AK9" s="14">
        <f t="shared" si="14"/>
        <v>41.33333333</v>
      </c>
      <c r="AL9" s="14">
        <f t="shared" si="15"/>
        <v>7.666666667</v>
      </c>
      <c r="AM9" s="14">
        <f t="shared" si="16"/>
        <v>12.66666667</v>
      </c>
      <c r="AP9" s="19" t="s">
        <v>62</v>
      </c>
      <c r="AQ9" s="15">
        <f t="shared" ref="AQ9:AS9" si="77">+SUM(G310:G329)</f>
        <v>508.5</v>
      </c>
      <c r="AR9" s="15">
        <f t="shared" si="77"/>
        <v>601</v>
      </c>
      <c r="AS9" s="15">
        <f t="shared" si="77"/>
        <v>696.5</v>
      </c>
      <c r="AT9" s="15">
        <f t="shared" ref="AT9:AV9" si="78">AW9-AQ9</f>
        <v>941</v>
      </c>
      <c r="AU9" s="15">
        <f t="shared" si="78"/>
        <v>1243.5</v>
      </c>
      <c r="AV9" s="15">
        <f t="shared" si="78"/>
        <v>1257</v>
      </c>
      <c r="AW9" s="15">
        <f t="shared" ref="AW9:AY9" si="79">+SUM(U310:U329)</f>
        <v>1449.5</v>
      </c>
      <c r="AX9" s="15">
        <f t="shared" si="79"/>
        <v>1844.5</v>
      </c>
      <c r="AY9" s="15">
        <f t="shared" si="79"/>
        <v>1953.5</v>
      </c>
      <c r="AZ9" s="16">
        <f t="shared" ref="AZ9:BB9" si="80">+(AQ9/AW9)*100</f>
        <v>35.08106244</v>
      </c>
      <c r="BA9" s="16">
        <f t="shared" si="80"/>
        <v>32.58335592</v>
      </c>
      <c r="BB9" s="16">
        <f t="shared" si="80"/>
        <v>35.65395444</v>
      </c>
      <c r="BC9" s="16">
        <f t="shared" si="21"/>
        <v>34.4394576</v>
      </c>
      <c r="BD9" s="15">
        <f t="shared" ref="BD9:BF9" si="81">+SUM(J310:J329)</f>
        <v>1824.5</v>
      </c>
      <c r="BE9" s="15">
        <f t="shared" si="81"/>
        <v>1891.5</v>
      </c>
      <c r="BF9" s="15">
        <f t="shared" si="81"/>
        <v>2002.5</v>
      </c>
      <c r="BG9" s="15">
        <f t="shared" ref="BG9:BI9" si="82">BJ9-BD9</f>
        <v>870</v>
      </c>
      <c r="BH9" s="15">
        <f t="shared" si="82"/>
        <v>922</v>
      </c>
      <c r="BI9" s="15">
        <f t="shared" si="82"/>
        <v>894</v>
      </c>
      <c r="BJ9" s="15">
        <f t="shared" ref="BJ9:BL9" si="83">+SUM(X310:X329)</f>
        <v>2694.5</v>
      </c>
      <c r="BK9" s="15">
        <f t="shared" si="83"/>
        <v>2813.5</v>
      </c>
      <c r="BL9" s="15">
        <f t="shared" si="83"/>
        <v>2896.5</v>
      </c>
      <c r="BM9" s="20">
        <f t="shared" ref="BM9:BO9" si="84">(BD9/BJ9)*100</f>
        <v>67.71200594</v>
      </c>
      <c r="BN9" s="20">
        <f t="shared" si="84"/>
        <v>67.22942954</v>
      </c>
      <c r="BO9" s="20">
        <f t="shared" si="84"/>
        <v>69.13516313</v>
      </c>
      <c r="BP9" s="20">
        <f t="shared" si="39"/>
        <v>67.47071774</v>
      </c>
      <c r="BQ9" s="15">
        <f t="shared" si="26"/>
        <v>602</v>
      </c>
      <c r="BR9" s="15">
        <f t="shared" si="27"/>
        <v>1906.166667</v>
      </c>
      <c r="BS9" s="15">
        <f t="shared" si="28"/>
        <v>1147.166667</v>
      </c>
      <c r="BT9" s="15">
        <f t="shared" si="29"/>
        <v>895.3333333</v>
      </c>
    </row>
    <row r="10" ht="14.25" customHeight="1">
      <c r="A10" s="1" t="s">
        <v>41</v>
      </c>
      <c r="B10" s="1" t="s">
        <v>54</v>
      </c>
      <c r="C10" s="1" t="s">
        <v>63</v>
      </c>
      <c r="D10" s="1" t="s">
        <v>63</v>
      </c>
      <c r="E10" s="14">
        <v>10304.0</v>
      </c>
      <c r="F10" s="15">
        <v>26.0</v>
      </c>
      <c r="G10" s="15">
        <v>33.0</v>
      </c>
      <c r="H10" s="15">
        <v>36.0</v>
      </c>
      <c r="I10" s="15">
        <v>38.0</v>
      </c>
      <c r="J10" s="15">
        <v>55.0</v>
      </c>
      <c r="K10" s="15">
        <v>52.0</v>
      </c>
      <c r="L10" s="16">
        <v>54.0</v>
      </c>
      <c r="M10" s="14">
        <f t="shared" ref="M10:S10" si="85">IF(AND(ISBLANK(F10), NOT(ISBLANK(T10))), T10, IF(OR(ISBLANK(T10), ISBLANK(F10)), "", T10-F10))</f>
        <v>4</v>
      </c>
      <c r="N10" s="14">
        <f t="shared" si="85"/>
        <v>3</v>
      </c>
      <c r="O10" s="14">
        <f t="shared" si="85"/>
        <v>13</v>
      </c>
      <c r="P10" s="14">
        <f t="shared" si="85"/>
        <v>15</v>
      </c>
      <c r="Q10" s="14">
        <f t="shared" si="85"/>
        <v>7</v>
      </c>
      <c r="R10" s="14">
        <f t="shared" si="85"/>
        <v>5</v>
      </c>
      <c r="S10" s="14">
        <f t="shared" si="85"/>
        <v>4</v>
      </c>
      <c r="T10" s="16">
        <v>30.0</v>
      </c>
      <c r="U10" s="16">
        <v>36.0</v>
      </c>
      <c r="V10" s="16">
        <v>49.0</v>
      </c>
      <c r="W10" s="15">
        <v>53.0</v>
      </c>
      <c r="X10" s="15">
        <v>62.0</v>
      </c>
      <c r="Y10" s="17">
        <v>57.0</v>
      </c>
      <c r="Z10" s="15">
        <v>58.0</v>
      </c>
      <c r="AA10" s="15">
        <v>86.66666666666667</v>
      </c>
      <c r="AB10" s="15">
        <v>91.66666666666666</v>
      </c>
      <c r="AC10" s="15">
        <v>73.46938775510205</v>
      </c>
      <c r="AD10" s="16">
        <v>71.69811320754717</v>
      </c>
      <c r="AE10" s="16">
        <v>88.70967741935483</v>
      </c>
      <c r="AF10" s="16">
        <v>91.22807017543859</v>
      </c>
      <c r="AG10" s="16">
        <v>93.10344827586206</v>
      </c>
      <c r="AH10" s="16">
        <f t="shared" si="11"/>
        <v>78.94472254</v>
      </c>
      <c r="AI10" s="18">
        <f t="shared" si="12"/>
        <v>91.01373196</v>
      </c>
      <c r="AJ10" s="14">
        <f t="shared" si="13"/>
        <v>35.66666667</v>
      </c>
      <c r="AK10" s="14">
        <f t="shared" si="14"/>
        <v>53.66666667</v>
      </c>
      <c r="AL10" s="14">
        <f t="shared" si="15"/>
        <v>10.33333333</v>
      </c>
      <c r="AM10" s="14">
        <f t="shared" si="16"/>
        <v>5.333333333</v>
      </c>
      <c r="AP10" s="19" t="s">
        <v>64</v>
      </c>
      <c r="AQ10" s="15">
        <f t="shared" ref="AQ10:AS10" si="86">+SUM(G330:G344)</f>
        <v>108</v>
      </c>
      <c r="AR10" s="15">
        <f t="shared" si="86"/>
        <v>162</v>
      </c>
      <c r="AS10" s="15">
        <f t="shared" si="86"/>
        <v>190</v>
      </c>
      <c r="AT10" s="15">
        <f t="shared" ref="AT10:AV10" si="87">AW10-AQ10</f>
        <v>156</v>
      </c>
      <c r="AU10" s="15">
        <f t="shared" si="87"/>
        <v>199</v>
      </c>
      <c r="AV10" s="15">
        <f t="shared" si="87"/>
        <v>214</v>
      </c>
      <c r="AW10" s="15">
        <f t="shared" ref="AW10:AY10" si="88">+SUM(U330:U344)</f>
        <v>264</v>
      </c>
      <c r="AX10" s="15">
        <f t="shared" si="88"/>
        <v>361</v>
      </c>
      <c r="AY10" s="15">
        <f t="shared" si="88"/>
        <v>404</v>
      </c>
      <c r="AZ10" s="16">
        <f t="shared" ref="AZ10:BB10" si="89">+(AQ10/AW10)*100</f>
        <v>40.90909091</v>
      </c>
      <c r="BA10" s="16">
        <f t="shared" si="89"/>
        <v>44.87534626</v>
      </c>
      <c r="BB10" s="16">
        <f t="shared" si="89"/>
        <v>47.02970297</v>
      </c>
      <c r="BC10" s="16">
        <f t="shared" si="21"/>
        <v>44.27138005</v>
      </c>
      <c r="BD10" s="15">
        <f t="shared" ref="BD10:BF10" si="90">+SUM(J330:J344)</f>
        <v>711</v>
      </c>
      <c r="BE10" s="15">
        <f t="shared" si="90"/>
        <v>753</v>
      </c>
      <c r="BF10" s="15">
        <f t="shared" si="90"/>
        <v>794</v>
      </c>
      <c r="BG10" s="15">
        <f t="shared" ref="BG10:BI10" si="91">BJ10-BD10</f>
        <v>176</v>
      </c>
      <c r="BH10" s="15">
        <f t="shared" si="91"/>
        <v>173</v>
      </c>
      <c r="BI10" s="15">
        <f t="shared" si="91"/>
        <v>169</v>
      </c>
      <c r="BJ10" s="15">
        <f t="shared" ref="BJ10:BL10" si="92">+SUM(X330:X344)</f>
        <v>887</v>
      </c>
      <c r="BK10" s="15">
        <f t="shared" si="92"/>
        <v>926</v>
      </c>
      <c r="BL10" s="15">
        <f t="shared" si="92"/>
        <v>963</v>
      </c>
      <c r="BM10" s="20">
        <f t="shared" ref="BM10:BO10" si="93">(BD10/BJ10)*100</f>
        <v>80.1578354</v>
      </c>
      <c r="BN10" s="20">
        <f t="shared" si="93"/>
        <v>81.3174946</v>
      </c>
      <c r="BO10" s="20">
        <f t="shared" si="93"/>
        <v>82.45067497</v>
      </c>
      <c r="BP10" s="20">
        <f t="shared" si="39"/>
        <v>80.737665</v>
      </c>
      <c r="BQ10" s="15">
        <f t="shared" si="26"/>
        <v>153.3333333</v>
      </c>
      <c r="BR10" s="15">
        <f t="shared" si="27"/>
        <v>752.6666667</v>
      </c>
      <c r="BS10" s="15">
        <f t="shared" si="28"/>
        <v>189.6666667</v>
      </c>
      <c r="BT10" s="15">
        <f t="shared" si="29"/>
        <v>172.6666667</v>
      </c>
    </row>
    <row r="11" ht="14.25" customHeight="1">
      <c r="A11" s="1" t="s">
        <v>41</v>
      </c>
      <c r="B11" s="1" t="s">
        <v>65</v>
      </c>
      <c r="C11" s="1" t="s">
        <v>66</v>
      </c>
      <c r="D11" s="1" t="s">
        <v>66</v>
      </c>
      <c r="E11" s="14">
        <v>10401.0</v>
      </c>
      <c r="F11" s="15">
        <v>27.0</v>
      </c>
      <c r="G11" s="15">
        <v>28.0</v>
      </c>
      <c r="H11" s="15">
        <v>27.0</v>
      </c>
      <c r="I11" s="15">
        <v>27.0</v>
      </c>
      <c r="J11" s="15">
        <v>45.0</v>
      </c>
      <c r="K11" s="15">
        <v>47.0</v>
      </c>
      <c r="L11" s="16">
        <v>44.0</v>
      </c>
      <c r="M11" s="14">
        <f t="shared" ref="M11:S11" si="94">IF(AND(ISBLANK(F11), NOT(ISBLANK(T11))), T11, IF(OR(ISBLANK(T11), ISBLANK(F11)), "", T11-F11))</f>
        <v>4</v>
      </c>
      <c r="N11" s="14">
        <f t="shared" si="94"/>
        <v>3</v>
      </c>
      <c r="O11" s="14">
        <f t="shared" si="94"/>
        <v>14</v>
      </c>
      <c r="P11" s="14">
        <f t="shared" si="94"/>
        <v>18</v>
      </c>
      <c r="Q11" s="14">
        <f t="shared" si="94"/>
        <v>13</v>
      </c>
      <c r="R11" s="14">
        <f t="shared" si="94"/>
        <v>12</v>
      </c>
      <c r="S11" s="14">
        <f t="shared" si="94"/>
        <v>13</v>
      </c>
      <c r="T11" s="16">
        <v>31.0</v>
      </c>
      <c r="U11" s="16">
        <v>31.0</v>
      </c>
      <c r="V11" s="16">
        <v>41.0</v>
      </c>
      <c r="W11" s="15">
        <v>45.0</v>
      </c>
      <c r="X11" s="15">
        <v>58.0</v>
      </c>
      <c r="Y11" s="17">
        <v>59.0</v>
      </c>
      <c r="Z11" s="15">
        <v>57.0</v>
      </c>
      <c r="AA11" s="15">
        <v>87.09677419354838</v>
      </c>
      <c r="AB11" s="15">
        <v>90.32258064516128</v>
      </c>
      <c r="AC11" s="15">
        <v>65.85365853658537</v>
      </c>
      <c r="AD11" s="16">
        <v>60.0</v>
      </c>
      <c r="AE11" s="16">
        <v>77.58620689655173</v>
      </c>
      <c r="AF11" s="16">
        <v>79.66101694915254</v>
      </c>
      <c r="AG11" s="16">
        <v>77.19298245614034</v>
      </c>
      <c r="AH11" s="16">
        <f t="shared" si="11"/>
        <v>72.05874639</v>
      </c>
      <c r="AI11" s="18">
        <f t="shared" si="12"/>
        <v>78.14673543</v>
      </c>
      <c r="AJ11" s="14">
        <f t="shared" si="13"/>
        <v>27.33333333</v>
      </c>
      <c r="AK11" s="14">
        <f t="shared" si="14"/>
        <v>45.33333333</v>
      </c>
      <c r="AL11" s="14">
        <f t="shared" si="15"/>
        <v>11.66666667</v>
      </c>
      <c r="AM11" s="14">
        <f t="shared" si="16"/>
        <v>12.66666667</v>
      </c>
      <c r="AP11" s="19" t="s">
        <v>67</v>
      </c>
      <c r="AQ11" s="15">
        <f t="shared" ref="AQ11:AS11" si="95">SUM(AQ2:AQ10)</f>
        <v>25858.5</v>
      </c>
      <c r="AR11" s="15">
        <f t="shared" si="95"/>
        <v>31329</v>
      </c>
      <c r="AS11" s="15">
        <f t="shared" si="95"/>
        <v>33729.5</v>
      </c>
      <c r="AT11" s="15">
        <f t="shared" ref="AT11:AV11" si="96">AW11-AQ11</f>
        <v>9128</v>
      </c>
      <c r="AU11" s="15">
        <f t="shared" si="96"/>
        <v>16288.5</v>
      </c>
      <c r="AV11" s="15">
        <f t="shared" si="96"/>
        <v>16444</v>
      </c>
      <c r="AW11" s="15">
        <f t="shared" ref="AW11:AY11" si="97">SUM(AW2:AW10)</f>
        <v>34986.5</v>
      </c>
      <c r="AX11" s="15">
        <f t="shared" si="97"/>
        <v>47617.5</v>
      </c>
      <c r="AY11" s="15">
        <f t="shared" si="97"/>
        <v>50173.5</v>
      </c>
      <c r="AZ11" s="16">
        <f t="shared" ref="AZ11:BB11" si="98">+(AQ11/AW11)*100</f>
        <v>73.90993669</v>
      </c>
      <c r="BA11" s="16">
        <f t="shared" si="98"/>
        <v>65.79303827</v>
      </c>
      <c r="BB11" s="16">
        <f t="shared" si="98"/>
        <v>67.22572673</v>
      </c>
      <c r="BC11" s="16">
        <f t="shared" si="21"/>
        <v>68.9762339</v>
      </c>
      <c r="BD11" s="15">
        <f t="shared" ref="BD11:BF11" si="99">SUM(BD2:BD10)</f>
        <v>48065.5</v>
      </c>
      <c r="BE11" s="15">
        <f t="shared" si="99"/>
        <v>49173.5</v>
      </c>
      <c r="BF11" s="15">
        <f t="shared" si="99"/>
        <v>50113.5</v>
      </c>
      <c r="BG11" s="15">
        <f t="shared" ref="BG11:BI11" si="100">BJ11-BD11</f>
        <v>14108</v>
      </c>
      <c r="BH11" s="15">
        <f t="shared" si="100"/>
        <v>14428</v>
      </c>
      <c r="BI11" s="15">
        <f t="shared" si="100"/>
        <v>14583</v>
      </c>
      <c r="BJ11" s="15">
        <f t="shared" ref="BJ11:BL11" si="101">SUM(BJ2:BJ10)</f>
        <v>62173.5</v>
      </c>
      <c r="BK11" s="15">
        <f t="shared" si="101"/>
        <v>63601.5</v>
      </c>
      <c r="BL11" s="15">
        <f t="shared" si="101"/>
        <v>64696.5</v>
      </c>
      <c r="BM11" s="20">
        <f t="shared" ref="BM11:BO11" si="102">(BD11/BJ11)*100</f>
        <v>77.30866044</v>
      </c>
      <c r="BN11" s="20">
        <f t="shared" si="102"/>
        <v>77.31500043</v>
      </c>
      <c r="BO11" s="20">
        <f t="shared" si="102"/>
        <v>77.45936797</v>
      </c>
      <c r="BP11" s="20">
        <f t="shared" si="39"/>
        <v>77.31183044</v>
      </c>
      <c r="BQ11" s="15">
        <f t="shared" si="26"/>
        <v>30305.66667</v>
      </c>
      <c r="BR11" s="15">
        <f t="shared" si="27"/>
        <v>49117.5</v>
      </c>
      <c r="BS11" s="15">
        <f t="shared" si="28"/>
        <v>13953.5</v>
      </c>
      <c r="BT11" s="15">
        <f t="shared" si="29"/>
        <v>14373</v>
      </c>
    </row>
    <row r="12" ht="14.25" customHeight="1">
      <c r="A12" s="1" t="s">
        <v>41</v>
      </c>
      <c r="B12" s="1" t="s">
        <v>65</v>
      </c>
      <c r="C12" s="1" t="s">
        <v>65</v>
      </c>
      <c r="D12" s="1" t="s">
        <v>68</v>
      </c>
      <c r="E12" s="14">
        <v>10402.0</v>
      </c>
      <c r="F12" s="15">
        <v>20.0</v>
      </c>
      <c r="G12" s="15">
        <v>20.0</v>
      </c>
      <c r="H12" s="15">
        <v>27.0</v>
      </c>
      <c r="I12" s="15">
        <v>29.0</v>
      </c>
      <c r="J12" s="15">
        <v>36.0</v>
      </c>
      <c r="K12" s="15">
        <v>36.0</v>
      </c>
      <c r="L12" s="16">
        <v>37.0</v>
      </c>
      <c r="M12" s="14">
        <f t="shared" ref="M12:S12" si="103">IF(AND(ISBLANK(F12), NOT(ISBLANK(T12))), T12, IF(OR(ISBLANK(T12), ISBLANK(F12)), "", T12-F12))</f>
        <v>4</v>
      </c>
      <c r="N12" s="14">
        <f t="shared" si="103"/>
        <v>5</v>
      </c>
      <c r="O12" s="14">
        <f t="shared" si="103"/>
        <v>8</v>
      </c>
      <c r="P12" s="14">
        <f t="shared" si="103"/>
        <v>7</v>
      </c>
      <c r="Q12" s="14">
        <f t="shared" si="103"/>
        <v>13</v>
      </c>
      <c r="R12" s="14">
        <f t="shared" si="103"/>
        <v>14</v>
      </c>
      <c r="S12" s="14">
        <f t="shared" si="103"/>
        <v>13</v>
      </c>
      <c r="T12" s="16">
        <v>24.0</v>
      </c>
      <c r="U12" s="16">
        <v>25.0</v>
      </c>
      <c r="V12" s="16">
        <v>35.0</v>
      </c>
      <c r="W12" s="15">
        <v>36.0</v>
      </c>
      <c r="X12" s="15">
        <v>49.0</v>
      </c>
      <c r="Y12" s="17">
        <v>50.0</v>
      </c>
      <c r="Z12" s="15">
        <v>50.0</v>
      </c>
      <c r="AA12" s="15">
        <v>83.33333333333334</v>
      </c>
      <c r="AB12" s="15">
        <v>80.0</v>
      </c>
      <c r="AC12" s="15">
        <v>77.14285714285715</v>
      </c>
      <c r="AD12" s="16">
        <v>80.55555555555556</v>
      </c>
      <c r="AE12" s="16">
        <v>73.46938775510205</v>
      </c>
      <c r="AF12" s="16">
        <v>72.0</v>
      </c>
      <c r="AG12" s="16">
        <v>74.0</v>
      </c>
      <c r="AH12" s="16">
        <f t="shared" si="11"/>
        <v>79.23280423</v>
      </c>
      <c r="AI12" s="18">
        <f t="shared" si="12"/>
        <v>73.15646259</v>
      </c>
      <c r="AJ12" s="14">
        <f t="shared" si="13"/>
        <v>25.33333333</v>
      </c>
      <c r="AK12" s="14">
        <f t="shared" si="14"/>
        <v>36.33333333</v>
      </c>
      <c r="AL12" s="14">
        <f t="shared" si="15"/>
        <v>6.666666667</v>
      </c>
      <c r="AM12" s="14">
        <f t="shared" si="16"/>
        <v>13.33333333</v>
      </c>
      <c r="AP12" s="19" t="s">
        <v>69</v>
      </c>
      <c r="AQ12" s="15">
        <f t="shared" ref="AQ12:AS12" si="104">+SUM(G246:G248)</f>
        <v>399</v>
      </c>
      <c r="AR12" s="15">
        <f t="shared" si="104"/>
        <v>473</v>
      </c>
      <c r="AS12" s="15">
        <f t="shared" si="104"/>
        <v>511</v>
      </c>
      <c r="AT12" s="15">
        <f t="shared" ref="AT12:AV12" si="105">AW12-AQ12</f>
        <v>141</v>
      </c>
      <c r="AU12" s="15">
        <f t="shared" si="105"/>
        <v>284</v>
      </c>
      <c r="AV12" s="15">
        <f t="shared" si="105"/>
        <v>290</v>
      </c>
      <c r="AW12" s="15">
        <f t="shared" ref="AW12:AY12" si="106">+SUM(U246:U248)</f>
        <v>540</v>
      </c>
      <c r="AX12" s="15">
        <f t="shared" si="106"/>
        <v>757</v>
      </c>
      <c r="AY12" s="15">
        <f t="shared" si="106"/>
        <v>801</v>
      </c>
      <c r="AZ12" s="16">
        <f t="shared" ref="AZ12:BB12" si="107">+(AQ12/AW12)*100</f>
        <v>73.88888889</v>
      </c>
      <c r="BA12" s="16">
        <f t="shared" si="107"/>
        <v>62.48348745</v>
      </c>
      <c r="BB12" s="16">
        <f t="shared" si="107"/>
        <v>63.79525593</v>
      </c>
      <c r="BC12" s="16">
        <f t="shared" si="21"/>
        <v>66.72254409</v>
      </c>
      <c r="BD12" s="15">
        <f t="shared" ref="BD12:BF12" si="108">+SUM(J246:J248)</f>
        <v>766</v>
      </c>
      <c r="BE12" s="15">
        <f t="shared" si="108"/>
        <v>788</v>
      </c>
      <c r="BF12" s="15">
        <f t="shared" si="108"/>
        <v>793</v>
      </c>
      <c r="BG12" s="15">
        <f t="shared" ref="BG12:BI12" si="109">BJ12-BD12</f>
        <v>203</v>
      </c>
      <c r="BH12" s="15">
        <f t="shared" si="109"/>
        <v>202</v>
      </c>
      <c r="BI12" s="15">
        <f t="shared" si="109"/>
        <v>209</v>
      </c>
      <c r="BJ12" s="15">
        <f t="shared" ref="BJ12:BL12" si="110">+SUM(X246:X248)</f>
        <v>969</v>
      </c>
      <c r="BK12" s="15">
        <f t="shared" si="110"/>
        <v>990</v>
      </c>
      <c r="BL12" s="15">
        <f t="shared" si="110"/>
        <v>1002</v>
      </c>
      <c r="BM12" s="20">
        <f t="shared" ref="BM12:BO12" si="111">(BD12/BJ12)*100</f>
        <v>79.0505676</v>
      </c>
      <c r="BN12" s="20">
        <f t="shared" si="111"/>
        <v>79.5959596</v>
      </c>
      <c r="BO12" s="20">
        <f t="shared" si="111"/>
        <v>79.14171657</v>
      </c>
      <c r="BP12" s="20">
        <f t="shared" si="39"/>
        <v>79.3232636</v>
      </c>
      <c r="BQ12" s="15">
        <f t="shared" si="26"/>
        <v>461</v>
      </c>
      <c r="BR12" s="15">
        <f t="shared" si="27"/>
        <v>782.3333333</v>
      </c>
      <c r="BS12" s="15">
        <f t="shared" si="28"/>
        <v>238.3333333</v>
      </c>
      <c r="BT12" s="15">
        <f t="shared" si="29"/>
        <v>204.6666667</v>
      </c>
    </row>
    <row r="13" ht="14.25" customHeight="1">
      <c r="A13" s="1" t="s">
        <v>41</v>
      </c>
      <c r="B13" s="1" t="s">
        <v>65</v>
      </c>
      <c r="C13" s="1" t="s">
        <v>70</v>
      </c>
      <c r="D13" s="1" t="s">
        <v>71</v>
      </c>
      <c r="E13" s="14">
        <v>10403.0</v>
      </c>
      <c r="F13" s="15">
        <v>16.0</v>
      </c>
      <c r="G13" s="15">
        <v>18.0</v>
      </c>
      <c r="H13" s="15">
        <v>21.0</v>
      </c>
      <c r="I13" s="15">
        <v>23.0</v>
      </c>
      <c r="J13" s="15">
        <v>26.0</v>
      </c>
      <c r="K13" s="15">
        <v>26.0</v>
      </c>
      <c r="L13" s="16">
        <v>26.0</v>
      </c>
      <c r="M13" s="14">
        <f t="shared" ref="M13:S13" si="112">IF(AND(ISBLANK(F13), NOT(ISBLANK(T13))), T13, IF(OR(ISBLANK(T13), ISBLANK(F13)), "", T13-F13))</f>
        <v>1</v>
      </c>
      <c r="N13" s="14">
        <f t="shared" si="112"/>
        <v>0</v>
      </c>
      <c r="O13" s="14">
        <f t="shared" si="112"/>
        <v>10</v>
      </c>
      <c r="P13" s="14">
        <f t="shared" si="112"/>
        <v>10</v>
      </c>
      <c r="Q13" s="14">
        <f t="shared" si="112"/>
        <v>10</v>
      </c>
      <c r="R13" s="14">
        <f t="shared" si="112"/>
        <v>8</v>
      </c>
      <c r="S13" s="14">
        <f t="shared" si="112"/>
        <v>8</v>
      </c>
      <c r="T13" s="16">
        <v>17.0</v>
      </c>
      <c r="U13" s="16">
        <v>18.0</v>
      </c>
      <c r="V13" s="16">
        <v>31.0</v>
      </c>
      <c r="W13" s="15">
        <v>33.0</v>
      </c>
      <c r="X13" s="15">
        <v>36.0</v>
      </c>
      <c r="Y13" s="17">
        <v>34.0</v>
      </c>
      <c r="Z13" s="15">
        <v>34.0</v>
      </c>
      <c r="AA13" s="15">
        <v>94.11764705882352</v>
      </c>
      <c r="AB13" s="15">
        <v>100.0</v>
      </c>
      <c r="AC13" s="15">
        <v>67.74193548387096</v>
      </c>
      <c r="AD13" s="16">
        <v>69.6969696969697</v>
      </c>
      <c r="AE13" s="16">
        <v>72.22222222222221</v>
      </c>
      <c r="AF13" s="16">
        <v>76.47058823529412</v>
      </c>
      <c r="AG13" s="16">
        <v>76.47058823529412</v>
      </c>
      <c r="AH13" s="16">
        <f t="shared" si="11"/>
        <v>79.14630173</v>
      </c>
      <c r="AI13" s="18">
        <f t="shared" si="12"/>
        <v>75.05446623</v>
      </c>
      <c r="AJ13" s="14">
        <f t="shared" si="13"/>
        <v>20.66666667</v>
      </c>
      <c r="AK13" s="14">
        <f t="shared" si="14"/>
        <v>26</v>
      </c>
      <c r="AL13" s="14">
        <f t="shared" si="15"/>
        <v>6.666666667</v>
      </c>
      <c r="AM13" s="14">
        <f t="shared" si="16"/>
        <v>8.666666667</v>
      </c>
    </row>
    <row r="14" ht="14.25" customHeight="1">
      <c r="A14" s="1" t="s">
        <v>41</v>
      </c>
      <c r="B14" s="1" t="s">
        <v>65</v>
      </c>
      <c r="C14" s="1" t="s">
        <v>72</v>
      </c>
      <c r="D14" s="1" t="s">
        <v>73</v>
      </c>
      <c r="E14" s="14">
        <v>10404.0</v>
      </c>
      <c r="F14" s="15">
        <v>10.0</v>
      </c>
      <c r="G14" s="15">
        <v>10.0</v>
      </c>
      <c r="H14" s="15">
        <v>14.0</v>
      </c>
      <c r="I14" s="15">
        <v>16.0</v>
      </c>
      <c r="J14" s="15">
        <v>20.0</v>
      </c>
      <c r="K14" s="15">
        <v>21.0</v>
      </c>
      <c r="L14" s="16">
        <v>21.0</v>
      </c>
      <c r="M14" s="14">
        <f t="shared" ref="M14:S14" si="113">IF(AND(ISBLANK(F14), NOT(ISBLANK(T14))), T14, IF(OR(ISBLANK(T14), ISBLANK(F14)), "", T14-F14))</f>
        <v>5</v>
      </c>
      <c r="N14" s="14">
        <f t="shared" si="113"/>
        <v>5</v>
      </c>
      <c r="O14" s="14">
        <f t="shared" si="113"/>
        <v>9</v>
      </c>
      <c r="P14" s="14">
        <f t="shared" si="113"/>
        <v>9</v>
      </c>
      <c r="Q14" s="14">
        <f t="shared" si="113"/>
        <v>8</v>
      </c>
      <c r="R14" s="14">
        <f t="shared" si="113"/>
        <v>7</v>
      </c>
      <c r="S14" s="14">
        <f t="shared" si="113"/>
        <v>8</v>
      </c>
      <c r="T14" s="16">
        <v>15.0</v>
      </c>
      <c r="U14" s="16">
        <v>15.0</v>
      </c>
      <c r="V14" s="16">
        <v>23.0</v>
      </c>
      <c r="W14" s="15">
        <v>25.0</v>
      </c>
      <c r="X14" s="15">
        <v>28.0</v>
      </c>
      <c r="Y14" s="17">
        <v>28.0</v>
      </c>
      <c r="Z14" s="15">
        <v>29.0</v>
      </c>
      <c r="AA14" s="15">
        <v>66.66666666666666</v>
      </c>
      <c r="AB14" s="15">
        <v>66.66666666666666</v>
      </c>
      <c r="AC14" s="15">
        <v>60.86956521739131</v>
      </c>
      <c r="AD14" s="16">
        <v>64.0</v>
      </c>
      <c r="AE14" s="16">
        <v>71.42857142857143</v>
      </c>
      <c r="AF14" s="16">
        <v>75.0</v>
      </c>
      <c r="AG14" s="16">
        <v>72.41379310344827</v>
      </c>
      <c r="AH14" s="16">
        <f t="shared" si="11"/>
        <v>63.84541063</v>
      </c>
      <c r="AI14" s="18">
        <f t="shared" si="12"/>
        <v>72.94745484</v>
      </c>
      <c r="AJ14" s="14">
        <f t="shared" si="13"/>
        <v>13.33333333</v>
      </c>
      <c r="AK14" s="14">
        <f t="shared" si="14"/>
        <v>20.66666667</v>
      </c>
      <c r="AL14" s="14">
        <f t="shared" si="15"/>
        <v>7.666666667</v>
      </c>
      <c r="AM14" s="14">
        <f t="shared" si="16"/>
        <v>7.666666667</v>
      </c>
    </row>
    <row r="15" ht="14.25" customHeight="1">
      <c r="A15" s="1" t="s">
        <v>41</v>
      </c>
      <c r="B15" s="1" t="s">
        <v>65</v>
      </c>
      <c r="C15" s="1" t="s">
        <v>74</v>
      </c>
      <c r="D15" s="1" t="s">
        <v>74</v>
      </c>
      <c r="E15" s="14">
        <v>10405.0</v>
      </c>
      <c r="F15" s="15">
        <v>9.0</v>
      </c>
      <c r="G15" s="15">
        <v>11.0</v>
      </c>
      <c r="H15" s="15">
        <v>13.0</v>
      </c>
      <c r="I15" s="15">
        <v>15.0</v>
      </c>
      <c r="J15" s="15">
        <v>26.0</v>
      </c>
      <c r="K15" s="15">
        <v>27.0</v>
      </c>
      <c r="L15" s="16">
        <v>26.0</v>
      </c>
      <c r="M15" s="14">
        <f t="shared" ref="M15:S15" si="114">IF(AND(ISBLANK(F15), NOT(ISBLANK(T15))), T15, IF(OR(ISBLANK(T15), ISBLANK(F15)), "", T15-F15))</f>
        <v>1</v>
      </c>
      <c r="N15" s="14">
        <f t="shared" si="114"/>
        <v>2</v>
      </c>
      <c r="O15" s="14">
        <f t="shared" si="114"/>
        <v>7</v>
      </c>
      <c r="P15" s="14">
        <f t="shared" si="114"/>
        <v>7</v>
      </c>
      <c r="Q15" s="14">
        <f t="shared" si="114"/>
        <v>6</v>
      </c>
      <c r="R15" s="14">
        <f t="shared" si="114"/>
        <v>6</v>
      </c>
      <c r="S15" s="14">
        <f t="shared" si="114"/>
        <v>7</v>
      </c>
      <c r="T15" s="16">
        <v>10.0</v>
      </c>
      <c r="U15" s="16">
        <v>13.0</v>
      </c>
      <c r="V15" s="16">
        <v>20.0</v>
      </c>
      <c r="W15" s="15">
        <v>22.0</v>
      </c>
      <c r="X15" s="15">
        <v>32.0</v>
      </c>
      <c r="Y15" s="17">
        <v>33.0</v>
      </c>
      <c r="Z15" s="15">
        <v>33.0</v>
      </c>
      <c r="AA15" s="15">
        <v>90.0</v>
      </c>
      <c r="AB15" s="15">
        <v>84.61538461538461</v>
      </c>
      <c r="AC15" s="15">
        <v>65.0</v>
      </c>
      <c r="AD15" s="16">
        <v>68.18181818181817</v>
      </c>
      <c r="AE15" s="16">
        <v>81.25</v>
      </c>
      <c r="AF15" s="16">
        <v>81.81818181818183</v>
      </c>
      <c r="AG15" s="16">
        <v>78.78787878787878</v>
      </c>
      <c r="AH15" s="16">
        <f t="shared" si="11"/>
        <v>72.5990676</v>
      </c>
      <c r="AI15" s="18">
        <f t="shared" si="12"/>
        <v>80.61868687</v>
      </c>
      <c r="AJ15" s="14">
        <f t="shared" si="13"/>
        <v>13</v>
      </c>
      <c r="AK15" s="14">
        <f t="shared" si="14"/>
        <v>26.33333333</v>
      </c>
      <c r="AL15" s="14">
        <f t="shared" si="15"/>
        <v>5.333333333</v>
      </c>
      <c r="AM15" s="14">
        <f t="shared" si="16"/>
        <v>6.333333333</v>
      </c>
    </row>
    <row r="16" ht="14.25" customHeight="1">
      <c r="A16" s="1" t="s">
        <v>41</v>
      </c>
      <c r="B16" s="1" t="s">
        <v>75</v>
      </c>
      <c r="C16" s="1" t="s">
        <v>76</v>
      </c>
      <c r="D16" s="1" t="s">
        <v>76</v>
      </c>
      <c r="E16" s="14">
        <v>10501.0</v>
      </c>
      <c r="F16" s="15">
        <v>98.0</v>
      </c>
      <c r="G16" s="15">
        <v>100.0</v>
      </c>
      <c r="H16" s="15">
        <v>117.0</v>
      </c>
      <c r="I16" s="15">
        <v>115.0</v>
      </c>
      <c r="J16" s="15">
        <v>143.0</v>
      </c>
      <c r="K16" s="15">
        <v>143.0</v>
      </c>
      <c r="L16" s="16">
        <v>144.0</v>
      </c>
      <c r="M16" s="14">
        <f t="shared" ref="M16:S16" si="115">IF(AND(ISBLANK(F16), NOT(ISBLANK(T16))), T16, IF(OR(ISBLANK(T16), ISBLANK(F16)), "", T16-F16))</f>
        <v>20</v>
      </c>
      <c r="N16" s="14">
        <f t="shared" si="115"/>
        <v>23</v>
      </c>
      <c r="O16" s="14">
        <f t="shared" si="115"/>
        <v>50</v>
      </c>
      <c r="P16" s="14">
        <f t="shared" si="115"/>
        <v>54</v>
      </c>
      <c r="Q16" s="14">
        <f t="shared" si="115"/>
        <v>50</v>
      </c>
      <c r="R16" s="14">
        <f t="shared" si="115"/>
        <v>51</v>
      </c>
      <c r="S16" s="14">
        <f t="shared" si="115"/>
        <v>50</v>
      </c>
      <c r="T16" s="16">
        <v>118.0</v>
      </c>
      <c r="U16" s="16">
        <v>123.0</v>
      </c>
      <c r="V16" s="16">
        <v>167.0</v>
      </c>
      <c r="W16" s="15">
        <v>169.0</v>
      </c>
      <c r="X16" s="15">
        <v>193.0</v>
      </c>
      <c r="Y16" s="17">
        <v>194.0</v>
      </c>
      <c r="Z16" s="15">
        <v>194.0</v>
      </c>
      <c r="AA16" s="15">
        <v>83.05084745762711</v>
      </c>
      <c r="AB16" s="15">
        <v>81.30081300813008</v>
      </c>
      <c r="AC16" s="15">
        <v>70.05988023952095</v>
      </c>
      <c r="AD16" s="16">
        <v>68.04733727810651</v>
      </c>
      <c r="AE16" s="16">
        <v>74.09326424870466</v>
      </c>
      <c r="AF16" s="16">
        <v>73.71134020618557</v>
      </c>
      <c r="AG16" s="16">
        <v>74.22680412371135</v>
      </c>
      <c r="AH16" s="16">
        <f t="shared" si="11"/>
        <v>73.13601018</v>
      </c>
      <c r="AI16" s="18">
        <f t="shared" si="12"/>
        <v>74.01046953</v>
      </c>
      <c r="AJ16" s="14">
        <f t="shared" si="13"/>
        <v>110.6666667</v>
      </c>
      <c r="AK16" s="14">
        <f t="shared" si="14"/>
        <v>143.3333333</v>
      </c>
      <c r="AL16" s="14">
        <f t="shared" si="15"/>
        <v>42.33333333</v>
      </c>
      <c r="AM16" s="14">
        <f t="shared" si="16"/>
        <v>50.33333333</v>
      </c>
    </row>
    <row r="17" ht="14.25" customHeight="1">
      <c r="A17" s="1" t="s">
        <v>41</v>
      </c>
      <c r="B17" s="1" t="s">
        <v>75</v>
      </c>
      <c r="C17" s="1" t="s">
        <v>77</v>
      </c>
      <c r="D17" s="1" t="s">
        <v>77</v>
      </c>
      <c r="E17" s="14">
        <v>10502.0</v>
      </c>
      <c r="F17" s="15">
        <v>15.0</v>
      </c>
      <c r="G17" s="15">
        <v>18.0</v>
      </c>
      <c r="H17" s="15">
        <v>28.0</v>
      </c>
      <c r="I17" s="15">
        <v>30.0</v>
      </c>
      <c r="J17" s="15">
        <v>54.0</v>
      </c>
      <c r="K17" s="15">
        <v>57.0</v>
      </c>
      <c r="L17" s="16">
        <v>61.0</v>
      </c>
      <c r="M17" s="14">
        <f t="shared" ref="M17:S17" si="116">IF(AND(ISBLANK(F17), NOT(ISBLANK(T17))), T17, IF(OR(ISBLANK(T17), ISBLANK(F17)), "", T17-F17))</f>
        <v>3</v>
      </c>
      <c r="N17" s="14">
        <f t="shared" si="116"/>
        <v>5</v>
      </c>
      <c r="O17" s="14">
        <f t="shared" si="116"/>
        <v>14</v>
      </c>
      <c r="P17" s="14">
        <f t="shared" si="116"/>
        <v>14</v>
      </c>
      <c r="Q17" s="14">
        <f t="shared" si="116"/>
        <v>17</v>
      </c>
      <c r="R17" s="14">
        <f t="shared" si="116"/>
        <v>20</v>
      </c>
      <c r="S17" s="14">
        <f t="shared" si="116"/>
        <v>19</v>
      </c>
      <c r="T17" s="16">
        <v>18.0</v>
      </c>
      <c r="U17" s="16">
        <v>23.0</v>
      </c>
      <c r="V17" s="16">
        <v>42.0</v>
      </c>
      <c r="W17" s="15">
        <v>44.0</v>
      </c>
      <c r="X17" s="15">
        <v>71.0</v>
      </c>
      <c r="Y17" s="17">
        <v>77.0</v>
      </c>
      <c r="Z17" s="15">
        <v>80.0</v>
      </c>
      <c r="AA17" s="15">
        <v>83.33333333333334</v>
      </c>
      <c r="AB17" s="15">
        <v>78.26086956521739</v>
      </c>
      <c r="AC17" s="15">
        <v>66.66666666666666</v>
      </c>
      <c r="AD17" s="16">
        <v>68.18181818181817</v>
      </c>
      <c r="AE17" s="16">
        <v>76.05633802816901</v>
      </c>
      <c r="AF17" s="16">
        <v>74.02597402597402</v>
      </c>
      <c r="AG17" s="16">
        <v>76.25</v>
      </c>
      <c r="AH17" s="16">
        <f t="shared" si="11"/>
        <v>71.03645147</v>
      </c>
      <c r="AI17" s="18">
        <f t="shared" si="12"/>
        <v>75.44410402</v>
      </c>
      <c r="AJ17" s="14">
        <f t="shared" si="13"/>
        <v>25.33333333</v>
      </c>
      <c r="AK17" s="14">
        <f t="shared" si="14"/>
        <v>57.33333333</v>
      </c>
      <c r="AL17" s="14">
        <f t="shared" si="15"/>
        <v>11</v>
      </c>
      <c r="AM17" s="14">
        <f t="shared" si="16"/>
        <v>18.66666667</v>
      </c>
    </row>
    <row r="18" ht="14.25" customHeight="1">
      <c r="A18" s="1" t="s">
        <v>41</v>
      </c>
      <c r="B18" s="1" t="s">
        <v>78</v>
      </c>
      <c r="C18" s="1" t="s">
        <v>79</v>
      </c>
      <c r="D18" s="1" t="s">
        <v>79</v>
      </c>
      <c r="E18" s="14">
        <v>10601.0</v>
      </c>
      <c r="F18" s="15">
        <v>46.0</v>
      </c>
      <c r="G18" s="15">
        <v>53.0</v>
      </c>
      <c r="H18" s="15">
        <v>70.0</v>
      </c>
      <c r="I18" s="15">
        <v>76.0</v>
      </c>
      <c r="J18" s="15">
        <v>91.0</v>
      </c>
      <c r="K18" s="15">
        <v>95.0</v>
      </c>
      <c r="L18" s="16">
        <v>98.0</v>
      </c>
      <c r="M18" s="14">
        <f t="shared" ref="M18:S18" si="117">IF(AND(ISBLANK(F18), NOT(ISBLANK(T18))), T18, IF(OR(ISBLANK(T18), ISBLANK(F18)), "", T18-F18))</f>
        <v>12</v>
      </c>
      <c r="N18" s="14">
        <f t="shared" si="117"/>
        <v>13</v>
      </c>
      <c r="O18" s="14">
        <f t="shared" si="117"/>
        <v>21</v>
      </c>
      <c r="P18" s="14">
        <f t="shared" si="117"/>
        <v>21</v>
      </c>
      <c r="Q18" s="14">
        <f t="shared" si="117"/>
        <v>22</v>
      </c>
      <c r="R18" s="14">
        <f t="shared" si="117"/>
        <v>19</v>
      </c>
      <c r="S18" s="14">
        <f t="shared" si="117"/>
        <v>19</v>
      </c>
      <c r="T18" s="16">
        <v>58.0</v>
      </c>
      <c r="U18" s="16">
        <v>66.0</v>
      </c>
      <c r="V18" s="16">
        <v>91.0</v>
      </c>
      <c r="W18" s="15">
        <v>97.0</v>
      </c>
      <c r="X18" s="15">
        <v>113.0</v>
      </c>
      <c r="Y18" s="17">
        <v>114.0</v>
      </c>
      <c r="Z18" s="15">
        <v>117.0</v>
      </c>
      <c r="AA18" s="15">
        <v>79.3103448275862</v>
      </c>
      <c r="AB18" s="15">
        <v>80.3030303030303</v>
      </c>
      <c r="AC18" s="15">
        <v>76.92307692307693</v>
      </c>
      <c r="AD18" s="16">
        <v>78.35051546391753</v>
      </c>
      <c r="AE18" s="16">
        <v>80.53097345132744</v>
      </c>
      <c r="AF18" s="16">
        <v>83.33333333333334</v>
      </c>
      <c r="AG18" s="16">
        <v>83.76068376068376</v>
      </c>
      <c r="AH18" s="16">
        <f t="shared" si="11"/>
        <v>78.5255409</v>
      </c>
      <c r="AI18" s="18">
        <f t="shared" si="12"/>
        <v>82.54166352</v>
      </c>
      <c r="AJ18" s="14">
        <f t="shared" si="13"/>
        <v>66.33333333</v>
      </c>
      <c r="AK18" s="14">
        <f t="shared" si="14"/>
        <v>94.66666667</v>
      </c>
      <c r="AL18" s="14">
        <f t="shared" si="15"/>
        <v>18.33333333</v>
      </c>
      <c r="AM18" s="14">
        <f t="shared" si="16"/>
        <v>20</v>
      </c>
    </row>
    <row r="19" ht="14.25" customHeight="1">
      <c r="A19" s="1" t="s">
        <v>41</v>
      </c>
      <c r="B19" s="1" t="s">
        <v>78</v>
      </c>
      <c r="C19" s="1" t="s">
        <v>78</v>
      </c>
      <c r="D19" s="1" t="s">
        <v>78</v>
      </c>
      <c r="E19" s="14">
        <v>10602.0</v>
      </c>
      <c r="F19" s="15">
        <v>33.0</v>
      </c>
      <c r="G19" s="15">
        <v>36.0</v>
      </c>
      <c r="H19" s="15">
        <v>37.0</v>
      </c>
      <c r="I19" s="15">
        <v>42.0</v>
      </c>
      <c r="J19" s="15">
        <v>68.0</v>
      </c>
      <c r="K19" s="15">
        <v>66.0</v>
      </c>
      <c r="L19" s="16">
        <v>68.0</v>
      </c>
      <c r="M19" s="14">
        <f t="shared" ref="M19:S19" si="118">IF(AND(ISBLANK(F19), NOT(ISBLANK(T19))), T19, IF(OR(ISBLANK(T19), ISBLANK(F19)), "", T19-F19))</f>
        <v>6</v>
      </c>
      <c r="N19" s="14">
        <f t="shared" si="118"/>
        <v>3</v>
      </c>
      <c r="O19" s="14">
        <f t="shared" si="118"/>
        <v>4</v>
      </c>
      <c r="P19" s="14">
        <f t="shared" si="118"/>
        <v>7</v>
      </c>
      <c r="Q19" s="14">
        <f t="shared" si="118"/>
        <v>15</v>
      </c>
      <c r="R19" s="14">
        <f t="shared" si="118"/>
        <v>17</v>
      </c>
      <c r="S19" s="14">
        <f t="shared" si="118"/>
        <v>15</v>
      </c>
      <c r="T19" s="16">
        <v>39.0</v>
      </c>
      <c r="U19" s="16">
        <v>39.0</v>
      </c>
      <c r="V19" s="16">
        <v>41.0</v>
      </c>
      <c r="W19" s="15">
        <v>49.0</v>
      </c>
      <c r="X19" s="15">
        <v>83.0</v>
      </c>
      <c r="Y19" s="17">
        <v>83.0</v>
      </c>
      <c r="Z19" s="15">
        <v>83.0</v>
      </c>
      <c r="AA19" s="15">
        <v>84.61538461538461</v>
      </c>
      <c r="AB19" s="15">
        <v>92.3076923076923</v>
      </c>
      <c r="AC19" s="15">
        <v>90.2439024390244</v>
      </c>
      <c r="AD19" s="16">
        <v>85.71428571428571</v>
      </c>
      <c r="AE19" s="16">
        <v>81.92771084337349</v>
      </c>
      <c r="AF19" s="16">
        <v>79.51807228915662</v>
      </c>
      <c r="AG19" s="16">
        <v>81.92771084337349</v>
      </c>
      <c r="AH19" s="16">
        <f t="shared" si="11"/>
        <v>89.42196015</v>
      </c>
      <c r="AI19" s="18">
        <f t="shared" si="12"/>
        <v>81.12449799</v>
      </c>
      <c r="AJ19" s="14">
        <f t="shared" si="13"/>
        <v>38.33333333</v>
      </c>
      <c r="AK19" s="14">
        <f t="shared" si="14"/>
        <v>67.33333333</v>
      </c>
      <c r="AL19" s="14">
        <f t="shared" si="15"/>
        <v>4.666666667</v>
      </c>
      <c r="AM19" s="14">
        <f t="shared" si="16"/>
        <v>15.66666667</v>
      </c>
    </row>
    <row r="20" ht="14.25" customHeight="1">
      <c r="A20" s="1" t="s">
        <v>41</v>
      </c>
      <c r="B20" s="1" t="s">
        <v>80</v>
      </c>
      <c r="C20" s="1" t="s">
        <v>81</v>
      </c>
      <c r="D20" s="1" t="s">
        <v>81</v>
      </c>
      <c r="E20" s="14">
        <v>10701.0</v>
      </c>
      <c r="F20" s="15">
        <v>50.0</v>
      </c>
      <c r="G20" s="15">
        <v>49.0</v>
      </c>
      <c r="H20" s="15">
        <v>59.0</v>
      </c>
      <c r="I20" s="15">
        <v>61.0</v>
      </c>
      <c r="J20" s="15">
        <v>67.0</v>
      </c>
      <c r="K20" s="15">
        <v>68.0</v>
      </c>
      <c r="L20" s="16">
        <v>69.0</v>
      </c>
      <c r="M20" s="14">
        <f t="shared" ref="M20:S20" si="119">IF(AND(ISBLANK(F20), NOT(ISBLANK(T20))), T20, IF(OR(ISBLANK(T20), ISBLANK(F20)), "", T20-F20))</f>
        <v>5</v>
      </c>
      <c r="N20" s="14">
        <f t="shared" si="119"/>
        <v>5</v>
      </c>
      <c r="O20" s="14">
        <f t="shared" si="119"/>
        <v>29</v>
      </c>
      <c r="P20" s="14">
        <f t="shared" si="119"/>
        <v>28</v>
      </c>
      <c r="Q20" s="14">
        <f t="shared" si="119"/>
        <v>24</v>
      </c>
      <c r="R20" s="14">
        <f t="shared" si="119"/>
        <v>25</v>
      </c>
      <c r="S20" s="14">
        <f t="shared" si="119"/>
        <v>26</v>
      </c>
      <c r="T20" s="16">
        <v>55.0</v>
      </c>
      <c r="U20" s="16">
        <v>54.0</v>
      </c>
      <c r="V20" s="16">
        <v>88.0</v>
      </c>
      <c r="W20" s="15">
        <v>89.0</v>
      </c>
      <c r="X20" s="15">
        <v>91.0</v>
      </c>
      <c r="Y20" s="17">
        <v>93.0</v>
      </c>
      <c r="Z20" s="15">
        <v>95.0</v>
      </c>
      <c r="AA20" s="15">
        <v>90.9090909090909</v>
      </c>
      <c r="AB20" s="15">
        <v>90.74074074074075</v>
      </c>
      <c r="AC20" s="15">
        <v>67.04545454545455</v>
      </c>
      <c r="AD20" s="16">
        <v>68.53932584269663</v>
      </c>
      <c r="AE20" s="16">
        <v>73.62637362637363</v>
      </c>
      <c r="AF20" s="16">
        <v>73.11827956989248</v>
      </c>
      <c r="AG20" s="16">
        <v>72.63157894736842</v>
      </c>
      <c r="AH20" s="16">
        <f t="shared" si="11"/>
        <v>75.44184038</v>
      </c>
      <c r="AI20" s="18">
        <f t="shared" si="12"/>
        <v>73.12541071</v>
      </c>
      <c r="AJ20" s="14">
        <f t="shared" si="13"/>
        <v>56.33333333</v>
      </c>
      <c r="AK20" s="14">
        <f t="shared" si="14"/>
        <v>68</v>
      </c>
      <c r="AL20" s="14">
        <f t="shared" si="15"/>
        <v>20.66666667</v>
      </c>
      <c r="AM20" s="14">
        <f t="shared" si="16"/>
        <v>25</v>
      </c>
    </row>
    <row r="21" ht="14.25" customHeight="1">
      <c r="A21" s="1" t="s">
        <v>41</v>
      </c>
      <c r="B21" s="1" t="s">
        <v>80</v>
      </c>
      <c r="C21" s="1" t="s">
        <v>82</v>
      </c>
      <c r="D21" s="1" t="s">
        <v>82</v>
      </c>
      <c r="E21" s="14">
        <v>10702.0</v>
      </c>
      <c r="F21" s="15">
        <v>48.0</v>
      </c>
      <c r="G21" s="15">
        <v>56.0</v>
      </c>
      <c r="H21" s="15">
        <v>68.0</v>
      </c>
      <c r="I21" s="15">
        <v>83.0</v>
      </c>
      <c r="J21" s="15">
        <v>177.0</v>
      </c>
      <c r="K21" s="15">
        <v>179.0</v>
      </c>
      <c r="L21" s="16">
        <v>183.0</v>
      </c>
      <c r="M21" s="14">
        <f t="shared" ref="M21:S21" si="120">IF(AND(ISBLANK(F21), NOT(ISBLANK(T21))), T21, IF(OR(ISBLANK(T21), ISBLANK(F21)), "", T21-F21))</f>
        <v>22</v>
      </c>
      <c r="N21" s="14">
        <f t="shared" si="120"/>
        <v>21</v>
      </c>
      <c r="O21" s="14">
        <f t="shared" si="120"/>
        <v>70</v>
      </c>
      <c r="P21" s="14">
        <f t="shared" si="120"/>
        <v>69</v>
      </c>
      <c r="Q21" s="14">
        <f t="shared" si="120"/>
        <v>71</v>
      </c>
      <c r="R21" s="14">
        <f t="shared" si="120"/>
        <v>75</v>
      </c>
      <c r="S21" s="14">
        <f t="shared" si="120"/>
        <v>73</v>
      </c>
      <c r="T21" s="16">
        <v>70.0</v>
      </c>
      <c r="U21" s="16">
        <v>77.0</v>
      </c>
      <c r="V21" s="16">
        <v>138.0</v>
      </c>
      <c r="W21" s="15">
        <v>152.0</v>
      </c>
      <c r="X21" s="15">
        <v>248.0</v>
      </c>
      <c r="Y21" s="17">
        <v>254.0</v>
      </c>
      <c r="Z21" s="15">
        <v>256.0</v>
      </c>
      <c r="AA21" s="15">
        <v>68.57142857142857</v>
      </c>
      <c r="AB21" s="15">
        <v>72.72727272727273</v>
      </c>
      <c r="AC21" s="15">
        <v>49.275362318840585</v>
      </c>
      <c r="AD21" s="16">
        <v>54.60526315789473</v>
      </c>
      <c r="AE21" s="16">
        <v>71.37096774193549</v>
      </c>
      <c r="AF21" s="16">
        <v>70.47244094488188</v>
      </c>
      <c r="AG21" s="16">
        <v>71.484375</v>
      </c>
      <c r="AH21" s="16">
        <f t="shared" si="11"/>
        <v>58.8692994</v>
      </c>
      <c r="AI21" s="18">
        <f t="shared" si="12"/>
        <v>71.10926123</v>
      </c>
      <c r="AJ21" s="14">
        <f t="shared" si="13"/>
        <v>69</v>
      </c>
      <c r="AK21" s="14">
        <f t="shared" si="14"/>
        <v>179.6666667</v>
      </c>
      <c r="AL21" s="14">
        <f t="shared" si="15"/>
        <v>53.33333333</v>
      </c>
      <c r="AM21" s="14">
        <f t="shared" si="16"/>
        <v>73</v>
      </c>
    </row>
    <row r="22" ht="14.25" customHeight="1">
      <c r="A22" s="1" t="s">
        <v>41</v>
      </c>
      <c r="B22" s="1" t="s">
        <v>80</v>
      </c>
      <c r="C22" s="1" t="s">
        <v>83</v>
      </c>
      <c r="D22" s="1" t="s">
        <v>83</v>
      </c>
      <c r="E22" s="14">
        <v>10703.0</v>
      </c>
      <c r="F22" s="15">
        <v>28.0</v>
      </c>
      <c r="G22" s="15">
        <v>31.0</v>
      </c>
      <c r="H22" s="15">
        <v>51.0</v>
      </c>
      <c r="I22" s="15">
        <v>37.0</v>
      </c>
      <c r="J22" s="15">
        <v>68.0</v>
      </c>
      <c r="K22" s="15">
        <v>70.0</v>
      </c>
      <c r="L22" s="16">
        <v>75.0</v>
      </c>
      <c r="M22" s="14">
        <f t="shared" ref="M22:S22" si="121">IF(AND(ISBLANK(F22), NOT(ISBLANK(T22))), T22, IF(OR(ISBLANK(T22), ISBLANK(F22)), "", T22-F22))</f>
        <v>8</v>
      </c>
      <c r="N22" s="14">
        <f t="shared" si="121"/>
        <v>11</v>
      </c>
      <c r="O22" s="14">
        <f t="shared" si="121"/>
        <v>25</v>
      </c>
      <c r="P22" s="14">
        <f t="shared" si="121"/>
        <v>11</v>
      </c>
      <c r="Q22" s="14">
        <f t="shared" si="121"/>
        <v>14</v>
      </c>
      <c r="R22" s="14">
        <f t="shared" si="121"/>
        <v>14</v>
      </c>
      <c r="S22" s="14">
        <f t="shared" si="121"/>
        <v>11</v>
      </c>
      <c r="T22" s="16">
        <v>36.0</v>
      </c>
      <c r="U22" s="16">
        <v>42.0</v>
      </c>
      <c r="V22" s="16">
        <v>76.0</v>
      </c>
      <c r="W22" s="15">
        <v>48.0</v>
      </c>
      <c r="X22" s="15">
        <v>82.0</v>
      </c>
      <c r="Y22" s="17">
        <v>84.0</v>
      </c>
      <c r="Z22" s="15">
        <v>86.0</v>
      </c>
      <c r="AA22" s="15">
        <v>77.77777777777779</v>
      </c>
      <c r="AB22" s="15">
        <v>73.80952380952381</v>
      </c>
      <c r="AC22" s="15">
        <v>67.10526315789474</v>
      </c>
      <c r="AD22" s="16">
        <v>77.08333333333334</v>
      </c>
      <c r="AE22" s="16">
        <v>82.92682926829268</v>
      </c>
      <c r="AF22" s="16">
        <v>83.33333333333334</v>
      </c>
      <c r="AG22" s="16">
        <v>87.20930232558139</v>
      </c>
      <c r="AH22" s="16">
        <f t="shared" si="11"/>
        <v>72.6660401</v>
      </c>
      <c r="AI22" s="18">
        <f t="shared" si="12"/>
        <v>84.48982164</v>
      </c>
      <c r="AJ22" s="14">
        <f t="shared" si="13"/>
        <v>39.66666667</v>
      </c>
      <c r="AK22" s="14">
        <f t="shared" si="14"/>
        <v>71</v>
      </c>
      <c r="AL22" s="14">
        <f t="shared" si="15"/>
        <v>15.66666667</v>
      </c>
      <c r="AM22" s="14">
        <f t="shared" si="16"/>
        <v>13</v>
      </c>
    </row>
    <row r="23" ht="14.25" customHeight="1">
      <c r="A23" s="1" t="s">
        <v>41</v>
      </c>
      <c r="B23" s="1" t="s">
        <v>80</v>
      </c>
      <c r="C23" s="1" t="s">
        <v>84</v>
      </c>
      <c r="D23" s="1" t="s">
        <v>84</v>
      </c>
      <c r="E23" s="14">
        <v>10704.0</v>
      </c>
      <c r="F23" s="15">
        <v>0.0</v>
      </c>
      <c r="G23" s="15">
        <v>0.0</v>
      </c>
      <c r="H23" s="15">
        <v>0.0</v>
      </c>
      <c r="I23" s="15">
        <v>24.0</v>
      </c>
      <c r="J23" s="15">
        <v>71.0</v>
      </c>
      <c r="K23" s="15">
        <v>71.0</v>
      </c>
      <c r="L23" s="16">
        <v>73.0</v>
      </c>
      <c r="M23" s="14">
        <f t="shared" ref="M23:S23" si="122">IF(AND(ISBLANK(F23), NOT(ISBLANK(T23))), T23, IF(OR(ISBLANK(T23), ISBLANK(F23)), "", T23-F23))</f>
        <v>0</v>
      </c>
      <c r="N23" s="14">
        <f t="shared" si="122"/>
        <v>0</v>
      </c>
      <c r="O23" s="14">
        <f t="shared" si="122"/>
        <v>0</v>
      </c>
      <c r="P23" s="14">
        <f t="shared" si="122"/>
        <v>16</v>
      </c>
      <c r="Q23" s="14">
        <f t="shared" si="122"/>
        <v>14</v>
      </c>
      <c r="R23" s="14">
        <f t="shared" si="122"/>
        <v>20</v>
      </c>
      <c r="S23" s="14">
        <f t="shared" si="122"/>
        <v>24</v>
      </c>
      <c r="T23" s="16">
        <v>0.0</v>
      </c>
      <c r="U23" s="16">
        <v>0.0</v>
      </c>
      <c r="V23" s="16">
        <v>0.0</v>
      </c>
      <c r="W23" s="15">
        <v>40.0</v>
      </c>
      <c r="X23" s="15">
        <v>85.0</v>
      </c>
      <c r="Y23" s="17">
        <v>91.0</v>
      </c>
      <c r="Z23" s="15">
        <v>97.0</v>
      </c>
      <c r="AA23" s="15"/>
      <c r="AB23" s="15"/>
      <c r="AC23" s="15"/>
      <c r="AD23" s="16">
        <v>60.0</v>
      </c>
      <c r="AE23" s="16">
        <v>83.52941176470588</v>
      </c>
      <c r="AF23" s="16">
        <v>78.02197802197803</v>
      </c>
      <c r="AG23" s="16">
        <v>75.25773195876289</v>
      </c>
      <c r="AH23" s="16">
        <f t="shared" si="11"/>
        <v>60</v>
      </c>
      <c r="AI23" s="18">
        <f t="shared" si="12"/>
        <v>78.93637392</v>
      </c>
      <c r="AJ23" s="14">
        <f t="shared" si="13"/>
        <v>8</v>
      </c>
      <c r="AK23" s="14">
        <f t="shared" si="14"/>
        <v>71.66666667</v>
      </c>
      <c r="AL23" s="14">
        <f t="shared" si="15"/>
        <v>5.333333333</v>
      </c>
      <c r="AM23" s="14">
        <f t="shared" si="16"/>
        <v>19.33333333</v>
      </c>
    </row>
    <row r="24" ht="14.25" customHeight="1">
      <c r="A24" s="1" t="s">
        <v>41</v>
      </c>
      <c r="B24" s="1" t="s">
        <v>85</v>
      </c>
      <c r="C24" s="1" t="s">
        <v>86</v>
      </c>
      <c r="D24" s="1" t="s">
        <v>86</v>
      </c>
      <c r="E24" s="14">
        <v>10801.0</v>
      </c>
      <c r="F24" s="15">
        <v>30.0</v>
      </c>
      <c r="G24" s="15">
        <v>40.0</v>
      </c>
      <c r="H24" s="15">
        <v>46.0</v>
      </c>
      <c r="I24" s="15">
        <v>47.0</v>
      </c>
      <c r="J24" s="15">
        <v>55.0</v>
      </c>
      <c r="K24" s="15">
        <v>58.0</v>
      </c>
      <c r="L24" s="16">
        <v>63.0</v>
      </c>
      <c r="M24" s="14">
        <f t="shared" ref="M24:S24" si="123">IF(AND(ISBLANK(F24), NOT(ISBLANK(T24))), T24, IF(OR(ISBLANK(T24), ISBLANK(F24)), "", T24-F24))</f>
        <v>9</v>
      </c>
      <c r="N24" s="14">
        <f t="shared" si="123"/>
        <v>12</v>
      </c>
      <c r="O24" s="14">
        <f t="shared" si="123"/>
        <v>28</v>
      </c>
      <c r="P24" s="14">
        <f t="shared" si="123"/>
        <v>27</v>
      </c>
      <c r="Q24" s="14">
        <f t="shared" si="123"/>
        <v>25</v>
      </c>
      <c r="R24" s="14">
        <f t="shared" si="123"/>
        <v>25</v>
      </c>
      <c r="S24" s="14">
        <f t="shared" si="123"/>
        <v>23</v>
      </c>
      <c r="T24" s="16">
        <v>39.0</v>
      </c>
      <c r="U24" s="16">
        <v>52.0</v>
      </c>
      <c r="V24" s="16">
        <v>74.0</v>
      </c>
      <c r="W24" s="15">
        <v>74.0</v>
      </c>
      <c r="X24" s="15">
        <v>80.0</v>
      </c>
      <c r="Y24" s="17">
        <v>83.0</v>
      </c>
      <c r="Z24" s="15">
        <v>86.0</v>
      </c>
      <c r="AA24" s="15">
        <v>76.92307692307693</v>
      </c>
      <c r="AB24" s="15">
        <v>76.92307692307693</v>
      </c>
      <c r="AC24" s="15">
        <v>62.16216216216216</v>
      </c>
      <c r="AD24" s="16">
        <v>63.51351351351351</v>
      </c>
      <c r="AE24" s="16">
        <v>68.75</v>
      </c>
      <c r="AF24" s="16">
        <v>69.87951807228916</v>
      </c>
      <c r="AG24" s="16">
        <v>73.25581395348837</v>
      </c>
      <c r="AH24" s="16">
        <f t="shared" si="11"/>
        <v>67.53291753</v>
      </c>
      <c r="AI24" s="18">
        <f t="shared" si="12"/>
        <v>70.62844401</v>
      </c>
      <c r="AJ24" s="14">
        <f t="shared" si="13"/>
        <v>44.33333333</v>
      </c>
      <c r="AK24" s="14">
        <f t="shared" si="14"/>
        <v>58.66666667</v>
      </c>
      <c r="AL24" s="14">
        <f t="shared" si="15"/>
        <v>22.33333333</v>
      </c>
      <c r="AM24" s="14">
        <f t="shared" si="16"/>
        <v>24.33333333</v>
      </c>
    </row>
    <row r="25" ht="14.25" customHeight="1">
      <c r="A25" s="1" t="s">
        <v>41</v>
      </c>
      <c r="B25" s="1" t="s">
        <v>87</v>
      </c>
      <c r="C25" s="1" t="s">
        <v>88</v>
      </c>
      <c r="D25" s="1" t="s">
        <v>88</v>
      </c>
      <c r="E25" s="14">
        <v>10901.0</v>
      </c>
      <c r="F25" s="15">
        <v>9.0</v>
      </c>
      <c r="G25" s="15">
        <v>9.0</v>
      </c>
      <c r="H25" s="15">
        <v>11.0</v>
      </c>
      <c r="I25" s="15">
        <v>11.0</v>
      </c>
      <c r="J25" s="15">
        <v>16.0</v>
      </c>
      <c r="K25" s="15">
        <v>15.0</v>
      </c>
      <c r="L25" s="16">
        <v>16.0</v>
      </c>
      <c r="M25" s="14">
        <f t="shared" ref="M25:S25" si="124">IF(AND(ISBLANK(F25), NOT(ISBLANK(T25))), T25, IF(OR(ISBLANK(T25), ISBLANK(F25)), "", T25-F25))</f>
        <v>4</v>
      </c>
      <c r="N25" s="14">
        <f t="shared" si="124"/>
        <v>4</v>
      </c>
      <c r="O25" s="14">
        <f t="shared" si="124"/>
        <v>8</v>
      </c>
      <c r="P25" s="14">
        <f t="shared" si="124"/>
        <v>8</v>
      </c>
      <c r="Q25" s="14">
        <f t="shared" si="124"/>
        <v>2</v>
      </c>
      <c r="R25" s="14">
        <f t="shared" si="124"/>
        <v>2</v>
      </c>
      <c r="S25" s="14">
        <f t="shared" si="124"/>
        <v>3</v>
      </c>
      <c r="T25" s="16">
        <v>13.0</v>
      </c>
      <c r="U25" s="16">
        <v>13.0</v>
      </c>
      <c r="V25" s="16">
        <v>19.0</v>
      </c>
      <c r="W25" s="15">
        <v>19.0</v>
      </c>
      <c r="X25" s="15">
        <v>18.0</v>
      </c>
      <c r="Y25" s="17">
        <v>17.0</v>
      </c>
      <c r="Z25" s="15">
        <v>19.0</v>
      </c>
      <c r="AA25" s="15">
        <v>69.23076923076923</v>
      </c>
      <c r="AB25" s="15">
        <v>69.23076923076923</v>
      </c>
      <c r="AC25" s="15">
        <v>57.89473684210527</v>
      </c>
      <c r="AD25" s="16">
        <v>57.89473684210527</v>
      </c>
      <c r="AE25" s="16">
        <v>88.88888888888889</v>
      </c>
      <c r="AF25" s="16">
        <v>88.23529411764706</v>
      </c>
      <c r="AG25" s="16">
        <v>84.21052631578947</v>
      </c>
      <c r="AH25" s="16">
        <f t="shared" si="11"/>
        <v>61.6734143</v>
      </c>
      <c r="AI25" s="18">
        <f t="shared" si="12"/>
        <v>87.11156977</v>
      </c>
      <c r="AJ25" s="14">
        <f t="shared" si="13"/>
        <v>10.33333333</v>
      </c>
      <c r="AK25" s="14">
        <f t="shared" si="14"/>
        <v>15.66666667</v>
      </c>
      <c r="AL25" s="14">
        <f t="shared" si="15"/>
        <v>6.666666667</v>
      </c>
      <c r="AM25" s="14">
        <f t="shared" si="16"/>
        <v>2.333333333</v>
      </c>
    </row>
    <row r="26" ht="14.25" customHeight="1">
      <c r="A26" s="1" t="s">
        <v>41</v>
      </c>
      <c r="B26" s="1" t="s">
        <v>87</v>
      </c>
      <c r="C26" s="1" t="s">
        <v>89</v>
      </c>
      <c r="D26" s="1" t="s">
        <v>89</v>
      </c>
      <c r="E26" s="14">
        <v>10902.0</v>
      </c>
      <c r="F26" s="15">
        <v>23.0</v>
      </c>
      <c r="G26" s="15">
        <v>23.0</v>
      </c>
      <c r="H26" s="15">
        <v>35.0</v>
      </c>
      <c r="I26" s="15">
        <v>38.0</v>
      </c>
      <c r="J26" s="15">
        <v>75.0</v>
      </c>
      <c r="K26" s="15">
        <v>76.0</v>
      </c>
      <c r="L26" s="16">
        <v>75.0</v>
      </c>
      <c r="M26" s="14">
        <f t="shared" ref="M26:S26" si="125">IF(AND(ISBLANK(F26), NOT(ISBLANK(T26))), T26, IF(OR(ISBLANK(T26), ISBLANK(F26)), "", T26-F26))</f>
        <v>6</v>
      </c>
      <c r="N26" s="14">
        <f t="shared" si="125"/>
        <v>7</v>
      </c>
      <c r="O26" s="14">
        <f t="shared" si="125"/>
        <v>22</v>
      </c>
      <c r="P26" s="14">
        <f t="shared" si="125"/>
        <v>20</v>
      </c>
      <c r="Q26" s="14">
        <f t="shared" si="125"/>
        <v>12</v>
      </c>
      <c r="R26" s="14">
        <f t="shared" si="125"/>
        <v>12</v>
      </c>
      <c r="S26" s="14">
        <f t="shared" si="125"/>
        <v>13</v>
      </c>
      <c r="T26" s="16">
        <v>29.0</v>
      </c>
      <c r="U26" s="16">
        <v>30.0</v>
      </c>
      <c r="V26" s="16">
        <v>57.0</v>
      </c>
      <c r="W26" s="15">
        <v>58.0</v>
      </c>
      <c r="X26" s="15">
        <v>87.0</v>
      </c>
      <c r="Y26" s="17">
        <v>88.0</v>
      </c>
      <c r="Z26" s="15">
        <v>88.0</v>
      </c>
      <c r="AA26" s="15">
        <v>79.3103448275862</v>
      </c>
      <c r="AB26" s="15">
        <v>76.66666666666667</v>
      </c>
      <c r="AC26" s="15">
        <v>61.40350877192983</v>
      </c>
      <c r="AD26" s="16">
        <v>65.51724137931035</v>
      </c>
      <c r="AE26" s="16">
        <v>86.20689655172413</v>
      </c>
      <c r="AF26" s="16">
        <v>86.36363636363636</v>
      </c>
      <c r="AG26" s="16">
        <v>85.22727272727273</v>
      </c>
      <c r="AH26" s="16">
        <f t="shared" si="11"/>
        <v>67.86247227</v>
      </c>
      <c r="AI26" s="18">
        <f t="shared" si="12"/>
        <v>85.93260188</v>
      </c>
      <c r="AJ26" s="14">
        <f t="shared" si="13"/>
        <v>32</v>
      </c>
      <c r="AK26" s="14">
        <f t="shared" si="14"/>
        <v>75.33333333</v>
      </c>
      <c r="AL26" s="14">
        <f t="shared" si="15"/>
        <v>16.33333333</v>
      </c>
      <c r="AM26" s="14">
        <f t="shared" si="16"/>
        <v>12.33333333</v>
      </c>
    </row>
    <row r="27" ht="14.25" customHeight="1">
      <c r="A27" s="1" t="s">
        <v>41</v>
      </c>
      <c r="B27" s="1" t="s">
        <v>87</v>
      </c>
      <c r="C27" s="1" t="s">
        <v>90</v>
      </c>
      <c r="D27" s="1" t="s">
        <v>90</v>
      </c>
      <c r="E27" s="14">
        <v>10903.0</v>
      </c>
      <c r="F27" s="15">
        <v>7.0</v>
      </c>
      <c r="G27" s="15">
        <v>7.0</v>
      </c>
      <c r="H27" s="15">
        <v>7.0</v>
      </c>
      <c r="I27" s="15">
        <v>7.0</v>
      </c>
      <c r="J27" s="15">
        <v>12.0</v>
      </c>
      <c r="K27" s="15">
        <v>12.0</v>
      </c>
      <c r="L27" s="16">
        <v>12.0</v>
      </c>
      <c r="M27" s="14">
        <f t="shared" ref="M27:S27" si="126">IF(AND(ISBLANK(F27), NOT(ISBLANK(T27))), T27, IF(OR(ISBLANK(T27), ISBLANK(F27)), "", T27-F27))</f>
        <v>3</v>
      </c>
      <c r="N27" s="14">
        <f t="shared" si="126"/>
        <v>3</v>
      </c>
      <c r="O27" s="14">
        <f t="shared" si="126"/>
        <v>2</v>
      </c>
      <c r="P27" s="14">
        <f t="shared" si="126"/>
        <v>2</v>
      </c>
      <c r="Q27" s="14">
        <f t="shared" si="126"/>
        <v>3</v>
      </c>
      <c r="R27" s="14">
        <f t="shared" si="126"/>
        <v>3</v>
      </c>
      <c r="S27" s="14">
        <f t="shared" si="126"/>
        <v>3</v>
      </c>
      <c r="T27" s="16">
        <v>10.0</v>
      </c>
      <c r="U27" s="16">
        <v>10.0</v>
      </c>
      <c r="V27" s="16">
        <v>9.0</v>
      </c>
      <c r="W27" s="15">
        <v>9.0</v>
      </c>
      <c r="X27" s="15">
        <v>15.0</v>
      </c>
      <c r="Y27" s="17">
        <v>15.0</v>
      </c>
      <c r="Z27" s="15">
        <v>15.0</v>
      </c>
      <c r="AA27" s="15">
        <v>70.0</v>
      </c>
      <c r="AB27" s="15">
        <v>70.0</v>
      </c>
      <c r="AC27" s="15">
        <v>77.77777777777779</v>
      </c>
      <c r="AD27" s="16">
        <v>77.77777777777779</v>
      </c>
      <c r="AE27" s="16">
        <v>80.0</v>
      </c>
      <c r="AF27" s="16">
        <v>80.0</v>
      </c>
      <c r="AG27" s="16">
        <v>80.0</v>
      </c>
      <c r="AH27" s="16">
        <f t="shared" si="11"/>
        <v>75.18518519</v>
      </c>
      <c r="AI27" s="18">
        <f t="shared" si="12"/>
        <v>80</v>
      </c>
      <c r="AJ27" s="14">
        <f t="shared" si="13"/>
        <v>7</v>
      </c>
      <c r="AK27" s="14">
        <f t="shared" si="14"/>
        <v>12</v>
      </c>
      <c r="AL27" s="14">
        <f t="shared" si="15"/>
        <v>2.333333333</v>
      </c>
      <c r="AM27" s="14">
        <f t="shared" si="16"/>
        <v>3</v>
      </c>
    </row>
    <row r="28" ht="14.25" customHeight="1">
      <c r="A28" s="1" t="s">
        <v>41</v>
      </c>
      <c r="B28" s="1" t="s">
        <v>91</v>
      </c>
      <c r="C28" s="1" t="s">
        <v>92</v>
      </c>
      <c r="D28" s="1" t="s">
        <v>92</v>
      </c>
      <c r="E28" s="14">
        <v>11001.0</v>
      </c>
      <c r="F28" s="15">
        <v>28.0</v>
      </c>
      <c r="G28" s="15">
        <v>34.0</v>
      </c>
      <c r="H28" s="15">
        <v>43.0</v>
      </c>
      <c r="I28" s="15">
        <v>42.0</v>
      </c>
      <c r="J28" s="15">
        <v>65.0</v>
      </c>
      <c r="K28" s="15">
        <v>69.0</v>
      </c>
      <c r="L28" s="16">
        <v>69.0</v>
      </c>
      <c r="M28" s="14">
        <f t="shared" ref="M28:S28" si="127">IF(AND(ISBLANK(F28), NOT(ISBLANK(T28))), T28, IF(OR(ISBLANK(T28), ISBLANK(F28)), "", T28-F28))</f>
        <v>2</v>
      </c>
      <c r="N28" s="14">
        <f t="shared" si="127"/>
        <v>9</v>
      </c>
      <c r="O28" s="14">
        <f t="shared" si="127"/>
        <v>19</v>
      </c>
      <c r="P28" s="14">
        <f t="shared" si="127"/>
        <v>22</v>
      </c>
      <c r="Q28" s="14">
        <f t="shared" si="127"/>
        <v>16</v>
      </c>
      <c r="R28" s="14">
        <f t="shared" si="127"/>
        <v>14</v>
      </c>
      <c r="S28" s="14">
        <f t="shared" si="127"/>
        <v>14</v>
      </c>
      <c r="T28" s="16">
        <v>30.0</v>
      </c>
      <c r="U28" s="16">
        <v>43.0</v>
      </c>
      <c r="V28" s="16">
        <v>62.0</v>
      </c>
      <c r="W28" s="15">
        <v>64.0</v>
      </c>
      <c r="X28" s="15">
        <v>81.0</v>
      </c>
      <c r="Y28" s="17">
        <v>83.0</v>
      </c>
      <c r="Z28" s="15">
        <v>83.0</v>
      </c>
      <c r="AA28" s="15">
        <v>93.33333333333333</v>
      </c>
      <c r="AB28" s="15">
        <v>79.06976744186046</v>
      </c>
      <c r="AC28" s="15">
        <v>69.35483870967742</v>
      </c>
      <c r="AD28" s="16">
        <v>65.625</v>
      </c>
      <c r="AE28" s="16">
        <v>80.24691358024691</v>
      </c>
      <c r="AF28" s="16">
        <v>83.13253012048193</v>
      </c>
      <c r="AG28" s="16">
        <v>83.13253012048193</v>
      </c>
      <c r="AH28" s="16">
        <f t="shared" si="11"/>
        <v>71.34986872</v>
      </c>
      <c r="AI28" s="18">
        <f t="shared" si="12"/>
        <v>82.17065794</v>
      </c>
      <c r="AJ28" s="14">
        <f t="shared" si="13"/>
        <v>39.66666667</v>
      </c>
      <c r="AK28" s="14">
        <f t="shared" si="14"/>
        <v>67.66666667</v>
      </c>
      <c r="AL28" s="14">
        <f t="shared" si="15"/>
        <v>16.66666667</v>
      </c>
      <c r="AM28" s="14">
        <f t="shared" si="16"/>
        <v>14.66666667</v>
      </c>
    </row>
    <row r="29" ht="14.25" customHeight="1">
      <c r="A29" s="1" t="s">
        <v>41</v>
      </c>
      <c r="B29" s="1" t="s">
        <v>91</v>
      </c>
      <c r="C29" s="1" t="s">
        <v>93</v>
      </c>
      <c r="D29" s="1" t="s">
        <v>94</v>
      </c>
      <c r="E29" s="14">
        <v>11002.0</v>
      </c>
      <c r="F29" s="15">
        <v>8.0</v>
      </c>
      <c r="G29" s="15">
        <v>11.0</v>
      </c>
      <c r="H29" s="15">
        <v>11.0</v>
      </c>
      <c r="I29" s="15">
        <v>11.0</v>
      </c>
      <c r="J29" s="15">
        <v>16.0</v>
      </c>
      <c r="K29" s="15">
        <v>15.0</v>
      </c>
      <c r="L29" s="16">
        <v>14.0</v>
      </c>
      <c r="M29" s="14">
        <f t="shared" ref="M29:S29" si="128">IF(AND(ISBLANK(F29), NOT(ISBLANK(T29))), T29, IF(OR(ISBLANK(T29), ISBLANK(F29)), "", T29-F29))</f>
        <v>1</v>
      </c>
      <c r="N29" s="14">
        <f t="shared" si="128"/>
        <v>2</v>
      </c>
      <c r="O29" s="14">
        <f t="shared" si="128"/>
        <v>3</v>
      </c>
      <c r="P29" s="14">
        <f t="shared" si="128"/>
        <v>3</v>
      </c>
      <c r="Q29" s="14">
        <f t="shared" si="128"/>
        <v>2</v>
      </c>
      <c r="R29" s="14">
        <f t="shared" si="128"/>
        <v>3</v>
      </c>
      <c r="S29" s="14">
        <f t="shared" si="128"/>
        <v>4</v>
      </c>
      <c r="T29" s="16">
        <v>9.0</v>
      </c>
      <c r="U29" s="16">
        <v>13.0</v>
      </c>
      <c r="V29" s="16">
        <v>14.0</v>
      </c>
      <c r="W29" s="15">
        <v>14.0</v>
      </c>
      <c r="X29" s="15">
        <v>18.0</v>
      </c>
      <c r="Y29" s="17">
        <v>18.0</v>
      </c>
      <c r="Z29" s="15">
        <v>18.0</v>
      </c>
      <c r="AA29" s="15">
        <v>88.88888888888889</v>
      </c>
      <c r="AB29" s="15">
        <v>84.61538461538461</v>
      </c>
      <c r="AC29" s="15">
        <v>78.57142857142857</v>
      </c>
      <c r="AD29" s="16">
        <v>78.57142857142857</v>
      </c>
      <c r="AE29" s="16">
        <v>88.88888888888889</v>
      </c>
      <c r="AF29" s="16">
        <v>83.33333333333334</v>
      </c>
      <c r="AG29" s="16">
        <v>77.77777777777779</v>
      </c>
      <c r="AH29" s="16">
        <f t="shared" si="11"/>
        <v>80.58608059</v>
      </c>
      <c r="AI29" s="18">
        <f t="shared" si="12"/>
        <v>83.33333333</v>
      </c>
      <c r="AJ29" s="14">
        <f t="shared" si="13"/>
        <v>11</v>
      </c>
      <c r="AK29" s="14">
        <f t="shared" si="14"/>
        <v>15</v>
      </c>
      <c r="AL29" s="14">
        <f t="shared" si="15"/>
        <v>2.666666667</v>
      </c>
      <c r="AM29" s="14">
        <f t="shared" si="16"/>
        <v>3</v>
      </c>
    </row>
    <row r="30" ht="14.25" customHeight="1">
      <c r="A30" s="1" t="s">
        <v>41</v>
      </c>
      <c r="B30" s="1" t="s">
        <v>91</v>
      </c>
      <c r="C30" s="1" t="s">
        <v>95</v>
      </c>
      <c r="D30" s="1" t="s">
        <v>96</v>
      </c>
      <c r="E30" s="14">
        <v>11003.0</v>
      </c>
      <c r="F30" s="15">
        <v>19.0</v>
      </c>
      <c r="G30" s="15">
        <v>21.0</v>
      </c>
      <c r="H30" s="15">
        <v>23.0</v>
      </c>
      <c r="I30" s="15">
        <v>23.0</v>
      </c>
      <c r="J30" s="15">
        <v>41.0</v>
      </c>
      <c r="K30" s="15">
        <v>45.0</v>
      </c>
      <c r="L30" s="16">
        <v>48.0</v>
      </c>
      <c r="M30" s="14">
        <f t="shared" ref="M30:S30" si="129">IF(AND(ISBLANK(F30), NOT(ISBLANK(T30))), T30, IF(OR(ISBLANK(T30), ISBLANK(F30)), "", T30-F30))</f>
        <v>8</v>
      </c>
      <c r="N30" s="14">
        <f t="shared" si="129"/>
        <v>10</v>
      </c>
      <c r="O30" s="14">
        <f t="shared" si="129"/>
        <v>12</v>
      </c>
      <c r="P30" s="14">
        <f t="shared" si="129"/>
        <v>12</v>
      </c>
      <c r="Q30" s="14">
        <f t="shared" si="129"/>
        <v>8</v>
      </c>
      <c r="R30" s="14">
        <f t="shared" si="129"/>
        <v>8</v>
      </c>
      <c r="S30" s="14">
        <f t="shared" si="129"/>
        <v>12</v>
      </c>
      <c r="T30" s="16">
        <v>27.0</v>
      </c>
      <c r="U30" s="16">
        <v>31.0</v>
      </c>
      <c r="V30" s="16">
        <v>35.0</v>
      </c>
      <c r="W30" s="15">
        <v>35.0</v>
      </c>
      <c r="X30" s="15">
        <v>49.0</v>
      </c>
      <c r="Y30" s="17">
        <v>53.0</v>
      </c>
      <c r="Z30" s="15">
        <v>60.0</v>
      </c>
      <c r="AA30" s="15">
        <v>70.37037037037037</v>
      </c>
      <c r="AB30" s="15">
        <v>67.74193548387096</v>
      </c>
      <c r="AC30" s="15">
        <v>65.71428571428571</v>
      </c>
      <c r="AD30" s="16">
        <v>65.71428571428571</v>
      </c>
      <c r="AE30" s="16">
        <v>83.6734693877551</v>
      </c>
      <c r="AF30" s="16">
        <v>84.90566037735849</v>
      </c>
      <c r="AG30" s="16">
        <v>80.0</v>
      </c>
      <c r="AH30" s="16">
        <f t="shared" si="11"/>
        <v>66.39016897</v>
      </c>
      <c r="AI30" s="18">
        <f t="shared" si="12"/>
        <v>82.85970992</v>
      </c>
      <c r="AJ30" s="14">
        <f t="shared" si="13"/>
        <v>22.33333333</v>
      </c>
      <c r="AK30" s="14">
        <f t="shared" si="14"/>
        <v>44.66666667</v>
      </c>
      <c r="AL30" s="14">
        <f t="shared" si="15"/>
        <v>11.33333333</v>
      </c>
      <c r="AM30" s="14">
        <f t="shared" si="16"/>
        <v>9.333333333</v>
      </c>
    </row>
    <row r="31" ht="14.25" customHeight="1">
      <c r="A31" s="1" t="s">
        <v>45</v>
      </c>
      <c r="B31" s="1" t="s">
        <v>97</v>
      </c>
      <c r="C31" s="1" t="s">
        <v>98</v>
      </c>
      <c r="D31" s="1" t="s">
        <v>98</v>
      </c>
      <c r="E31" s="14">
        <v>20101.0</v>
      </c>
      <c r="F31" s="15">
        <v>2212.0</v>
      </c>
      <c r="G31" s="15">
        <v>2271.0</v>
      </c>
      <c r="H31" s="15">
        <v>2624.0</v>
      </c>
      <c r="I31" s="15">
        <v>2688.0</v>
      </c>
      <c r="J31" s="15">
        <v>2856.0</v>
      </c>
      <c r="K31" s="15">
        <v>2860.0</v>
      </c>
      <c r="L31" s="16">
        <v>2862.0</v>
      </c>
      <c r="M31" s="14">
        <f t="shared" ref="M31:S31" si="130">IF(AND(ISBLANK(F31), NOT(ISBLANK(T31))), T31, IF(OR(ISBLANK(T31), ISBLANK(F31)), "", T31-F31))</f>
        <v>215</v>
      </c>
      <c r="N31" s="14">
        <f t="shared" si="130"/>
        <v>195</v>
      </c>
      <c r="O31" s="14">
        <f t="shared" si="130"/>
        <v>302</v>
      </c>
      <c r="P31" s="14">
        <f t="shared" si="130"/>
        <v>324</v>
      </c>
      <c r="Q31" s="14">
        <f t="shared" si="130"/>
        <v>435</v>
      </c>
      <c r="R31" s="14">
        <f t="shared" si="130"/>
        <v>446</v>
      </c>
      <c r="S31" s="14">
        <f t="shared" si="130"/>
        <v>452</v>
      </c>
      <c r="T31" s="16">
        <v>2427.0</v>
      </c>
      <c r="U31" s="16">
        <v>2466.0</v>
      </c>
      <c r="V31" s="16">
        <v>2926.0</v>
      </c>
      <c r="W31" s="15">
        <v>3012.0</v>
      </c>
      <c r="X31" s="15">
        <v>3291.0</v>
      </c>
      <c r="Y31" s="17">
        <v>3306.0</v>
      </c>
      <c r="Z31" s="15">
        <v>3314.0</v>
      </c>
      <c r="AA31" s="15">
        <v>91.14132674083231</v>
      </c>
      <c r="AB31" s="15">
        <v>92.09245742092457</v>
      </c>
      <c r="AC31" s="15">
        <v>89.67874231032125</v>
      </c>
      <c r="AD31" s="16">
        <v>89.2430278884462</v>
      </c>
      <c r="AE31" s="16">
        <v>86.78213309024613</v>
      </c>
      <c r="AF31" s="16">
        <v>86.50937689050212</v>
      </c>
      <c r="AG31" s="16">
        <v>86.36089318044658</v>
      </c>
      <c r="AH31" s="16">
        <f t="shared" si="11"/>
        <v>90.33807587</v>
      </c>
      <c r="AI31" s="18">
        <f t="shared" si="12"/>
        <v>86.55080105</v>
      </c>
      <c r="AJ31" s="14">
        <f t="shared" si="13"/>
        <v>2527.666667</v>
      </c>
      <c r="AK31" s="14">
        <f t="shared" si="14"/>
        <v>2859.333333</v>
      </c>
      <c r="AL31" s="14">
        <f t="shared" si="15"/>
        <v>273.6666667</v>
      </c>
      <c r="AM31" s="14">
        <f t="shared" si="16"/>
        <v>444.3333333</v>
      </c>
    </row>
    <row r="32" ht="14.25" customHeight="1">
      <c r="A32" s="1" t="s">
        <v>45</v>
      </c>
      <c r="B32" s="1" t="s">
        <v>97</v>
      </c>
      <c r="C32" s="1" t="s">
        <v>99</v>
      </c>
      <c r="D32" s="1" t="s">
        <v>99</v>
      </c>
      <c r="E32" s="14">
        <v>20102.0</v>
      </c>
      <c r="F32" s="15">
        <v>34.0</v>
      </c>
      <c r="G32" s="15">
        <v>43.0</v>
      </c>
      <c r="H32" s="15">
        <v>51.0</v>
      </c>
      <c r="I32" s="15">
        <v>58.0</v>
      </c>
      <c r="J32" s="15">
        <v>94.0</v>
      </c>
      <c r="K32" s="15">
        <v>101.0</v>
      </c>
      <c r="L32" s="16">
        <v>106.0</v>
      </c>
      <c r="M32" s="14">
        <f t="shared" ref="M32:S32" si="131">IF(AND(ISBLANK(F32), NOT(ISBLANK(T32))), T32, IF(OR(ISBLANK(T32), ISBLANK(F32)), "", T32-F32))</f>
        <v>19</v>
      </c>
      <c r="N32" s="14">
        <f t="shared" si="131"/>
        <v>19</v>
      </c>
      <c r="O32" s="14">
        <f t="shared" si="131"/>
        <v>41</v>
      </c>
      <c r="P32" s="14">
        <f t="shared" si="131"/>
        <v>39</v>
      </c>
      <c r="Q32" s="14">
        <f t="shared" si="131"/>
        <v>27</v>
      </c>
      <c r="R32" s="14">
        <f t="shared" si="131"/>
        <v>31</v>
      </c>
      <c r="S32" s="14">
        <f t="shared" si="131"/>
        <v>30</v>
      </c>
      <c r="T32" s="16">
        <v>53.0</v>
      </c>
      <c r="U32" s="16">
        <v>62.0</v>
      </c>
      <c r="V32" s="16">
        <v>92.0</v>
      </c>
      <c r="W32" s="15">
        <v>97.0</v>
      </c>
      <c r="X32" s="15">
        <v>121.0</v>
      </c>
      <c r="Y32" s="17">
        <v>132.0</v>
      </c>
      <c r="Z32" s="15">
        <v>136.0</v>
      </c>
      <c r="AA32" s="15">
        <v>64.15094339622641</v>
      </c>
      <c r="AB32" s="15">
        <v>69.35483870967742</v>
      </c>
      <c r="AC32" s="15">
        <v>55.434782608695656</v>
      </c>
      <c r="AD32" s="16">
        <v>59.79381443298969</v>
      </c>
      <c r="AE32" s="16">
        <v>77.68595041322314</v>
      </c>
      <c r="AF32" s="16">
        <v>76.51515151515152</v>
      </c>
      <c r="AG32" s="16">
        <v>77.94117647058823</v>
      </c>
      <c r="AH32" s="16">
        <f t="shared" si="11"/>
        <v>61.52781192</v>
      </c>
      <c r="AI32" s="18">
        <f t="shared" si="12"/>
        <v>77.38075947</v>
      </c>
      <c r="AJ32" s="14">
        <f t="shared" si="13"/>
        <v>50.66666667</v>
      </c>
      <c r="AK32" s="14">
        <f t="shared" si="14"/>
        <v>100.3333333</v>
      </c>
      <c r="AL32" s="14">
        <f t="shared" si="15"/>
        <v>33</v>
      </c>
      <c r="AM32" s="14">
        <f t="shared" si="16"/>
        <v>29.33333333</v>
      </c>
    </row>
    <row r="33" ht="14.25" customHeight="1">
      <c r="A33" s="1" t="s">
        <v>45</v>
      </c>
      <c r="B33" s="1" t="s">
        <v>97</v>
      </c>
      <c r="C33" s="1" t="s">
        <v>100</v>
      </c>
      <c r="D33" s="1" t="s">
        <v>100</v>
      </c>
      <c r="E33" s="14">
        <v>20103.0</v>
      </c>
      <c r="F33" s="15">
        <v>56.0</v>
      </c>
      <c r="G33" s="15">
        <v>58.0</v>
      </c>
      <c r="H33" s="15">
        <v>71.0</v>
      </c>
      <c r="I33" s="15">
        <v>73.0</v>
      </c>
      <c r="J33" s="15">
        <v>86.0</v>
      </c>
      <c r="K33" s="15">
        <v>91.0</v>
      </c>
      <c r="L33" s="16">
        <v>94.0</v>
      </c>
      <c r="M33" s="14">
        <f t="shared" ref="M33:S33" si="132">IF(AND(ISBLANK(F33), NOT(ISBLANK(T33))), T33, IF(OR(ISBLANK(T33), ISBLANK(F33)), "", T33-F33))</f>
        <v>18</v>
      </c>
      <c r="N33" s="14">
        <f t="shared" si="132"/>
        <v>18</v>
      </c>
      <c r="O33" s="14">
        <f t="shared" si="132"/>
        <v>38</v>
      </c>
      <c r="P33" s="14">
        <f t="shared" si="132"/>
        <v>37</v>
      </c>
      <c r="Q33" s="14">
        <f t="shared" si="132"/>
        <v>27</v>
      </c>
      <c r="R33" s="14">
        <f t="shared" si="132"/>
        <v>26</v>
      </c>
      <c r="S33" s="14">
        <f t="shared" si="132"/>
        <v>32</v>
      </c>
      <c r="T33" s="16">
        <v>74.0</v>
      </c>
      <c r="U33" s="16">
        <v>76.0</v>
      </c>
      <c r="V33" s="16">
        <v>109.0</v>
      </c>
      <c r="W33" s="15">
        <v>110.0</v>
      </c>
      <c r="X33" s="15">
        <v>113.0</v>
      </c>
      <c r="Y33" s="17">
        <v>117.0</v>
      </c>
      <c r="Z33" s="15">
        <v>126.0</v>
      </c>
      <c r="AA33" s="15">
        <v>75.67567567567568</v>
      </c>
      <c r="AB33" s="15">
        <v>76.31578947368422</v>
      </c>
      <c r="AC33" s="15">
        <v>65.13761467889908</v>
      </c>
      <c r="AD33" s="16">
        <v>66.36363636363637</v>
      </c>
      <c r="AE33" s="16">
        <v>76.10619469026548</v>
      </c>
      <c r="AF33" s="16">
        <v>77.77777777777779</v>
      </c>
      <c r="AG33" s="16">
        <v>74.60317460317461</v>
      </c>
      <c r="AH33" s="16">
        <f t="shared" si="11"/>
        <v>69.27234684</v>
      </c>
      <c r="AI33" s="18">
        <f t="shared" si="12"/>
        <v>76.16238236</v>
      </c>
      <c r="AJ33" s="14">
        <f t="shared" si="13"/>
        <v>67.33333333</v>
      </c>
      <c r="AK33" s="14">
        <f t="shared" si="14"/>
        <v>90.33333333</v>
      </c>
      <c r="AL33" s="14">
        <f t="shared" si="15"/>
        <v>31</v>
      </c>
      <c r="AM33" s="14">
        <f t="shared" si="16"/>
        <v>28.33333333</v>
      </c>
    </row>
    <row r="34" ht="14.25" customHeight="1">
      <c r="A34" s="1" t="s">
        <v>45</v>
      </c>
      <c r="B34" s="1" t="s">
        <v>97</v>
      </c>
      <c r="C34" s="1" t="s">
        <v>101</v>
      </c>
      <c r="D34" s="1" t="s">
        <v>101</v>
      </c>
      <c r="E34" s="14">
        <v>20104.0</v>
      </c>
      <c r="F34" s="15">
        <v>57.0</v>
      </c>
      <c r="G34" s="15">
        <v>64.0</v>
      </c>
      <c r="H34" s="15">
        <v>80.0</v>
      </c>
      <c r="I34" s="15">
        <v>79.0</v>
      </c>
      <c r="J34" s="15">
        <v>132.0</v>
      </c>
      <c r="K34" s="15">
        <v>141.0</v>
      </c>
      <c r="L34" s="16">
        <v>145.0</v>
      </c>
      <c r="M34" s="14">
        <f t="shared" ref="M34:S34" si="133">IF(AND(ISBLANK(F34), NOT(ISBLANK(T34))), T34, IF(OR(ISBLANK(T34), ISBLANK(F34)), "", T34-F34))</f>
        <v>12</v>
      </c>
      <c r="N34" s="14">
        <f t="shared" si="133"/>
        <v>13</v>
      </c>
      <c r="O34" s="14">
        <f t="shared" si="133"/>
        <v>43</v>
      </c>
      <c r="P34" s="14">
        <f t="shared" si="133"/>
        <v>46</v>
      </c>
      <c r="Q34" s="14">
        <f t="shared" si="133"/>
        <v>58</v>
      </c>
      <c r="R34" s="14">
        <f t="shared" si="133"/>
        <v>59</v>
      </c>
      <c r="S34" s="14">
        <f t="shared" si="133"/>
        <v>60</v>
      </c>
      <c r="T34" s="16">
        <v>69.0</v>
      </c>
      <c r="U34" s="16">
        <v>77.0</v>
      </c>
      <c r="V34" s="16">
        <v>123.0</v>
      </c>
      <c r="W34" s="15">
        <v>125.0</v>
      </c>
      <c r="X34" s="15">
        <v>190.0</v>
      </c>
      <c r="Y34" s="17">
        <v>200.0</v>
      </c>
      <c r="Z34" s="15">
        <v>205.0</v>
      </c>
      <c r="AA34" s="15">
        <v>82.6086956521739</v>
      </c>
      <c r="AB34" s="15">
        <v>83.11688311688312</v>
      </c>
      <c r="AC34" s="15">
        <v>65.04065040650406</v>
      </c>
      <c r="AD34" s="16">
        <v>63.2</v>
      </c>
      <c r="AE34" s="16">
        <v>69.47368421052632</v>
      </c>
      <c r="AF34" s="16">
        <v>70.5</v>
      </c>
      <c r="AG34" s="16">
        <v>70.73170731707317</v>
      </c>
      <c r="AH34" s="16">
        <f t="shared" si="11"/>
        <v>70.45251117</v>
      </c>
      <c r="AI34" s="18">
        <f t="shared" si="12"/>
        <v>70.23513051</v>
      </c>
      <c r="AJ34" s="14">
        <f t="shared" si="13"/>
        <v>74.33333333</v>
      </c>
      <c r="AK34" s="14">
        <f t="shared" si="14"/>
        <v>139.3333333</v>
      </c>
      <c r="AL34" s="14">
        <f t="shared" si="15"/>
        <v>34</v>
      </c>
      <c r="AM34" s="14">
        <f t="shared" si="16"/>
        <v>59</v>
      </c>
    </row>
    <row r="35" ht="14.25" customHeight="1">
      <c r="A35" s="1" t="s">
        <v>45</v>
      </c>
      <c r="B35" s="1" t="s">
        <v>97</v>
      </c>
      <c r="C35" s="1" t="s">
        <v>102</v>
      </c>
      <c r="D35" s="1" t="s">
        <v>102</v>
      </c>
      <c r="E35" s="14">
        <v>20105.0</v>
      </c>
      <c r="F35" s="15">
        <v>2797.0</v>
      </c>
      <c r="G35" s="15">
        <v>3114.0</v>
      </c>
      <c r="H35" s="15">
        <v>3658.0</v>
      </c>
      <c r="I35" s="15">
        <v>3914.0</v>
      </c>
      <c r="J35" s="15">
        <v>4857.0</v>
      </c>
      <c r="K35" s="15">
        <v>4953.0</v>
      </c>
      <c r="L35" s="16">
        <v>4997.0</v>
      </c>
      <c r="M35" s="14">
        <f t="shared" ref="M35:S35" si="134">IF(AND(ISBLANK(F35), NOT(ISBLANK(T35))), T35, IF(OR(ISBLANK(T35), ISBLANK(F35)), "", T35-F35))</f>
        <v>587</v>
      </c>
      <c r="N35" s="14">
        <f t="shared" si="134"/>
        <v>612</v>
      </c>
      <c r="O35" s="14">
        <f t="shared" si="134"/>
        <v>1160</v>
      </c>
      <c r="P35" s="14">
        <f t="shared" si="134"/>
        <v>1223</v>
      </c>
      <c r="Q35" s="14">
        <f t="shared" si="134"/>
        <v>1357</v>
      </c>
      <c r="R35" s="14">
        <f t="shared" si="134"/>
        <v>1367</v>
      </c>
      <c r="S35" s="14">
        <f t="shared" si="134"/>
        <v>1379</v>
      </c>
      <c r="T35" s="16">
        <v>3384.0</v>
      </c>
      <c r="U35" s="16">
        <v>3726.0</v>
      </c>
      <c r="V35" s="16">
        <v>4818.0</v>
      </c>
      <c r="W35" s="15">
        <v>5137.0</v>
      </c>
      <c r="X35" s="15">
        <v>6214.0</v>
      </c>
      <c r="Y35" s="17">
        <v>6320.0</v>
      </c>
      <c r="Z35" s="15">
        <v>6376.0</v>
      </c>
      <c r="AA35" s="15">
        <v>82.65366430260048</v>
      </c>
      <c r="AB35" s="15">
        <v>83.57487922705315</v>
      </c>
      <c r="AC35" s="15">
        <v>75.92361975923619</v>
      </c>
      <c r="AD35" s="16">
        <v>76.19233015378626</v>
      </c>
      <c r="AE35" s="16">
        <v>78.16221435468297</v>
      </c>
      <c r="AF35" s="16">
        <v>78.37025316455696</v>
      </c>
      <c r="AG35" s="16">
        <v>78.37202007528231</v>
      </c>
      <c r="AH35" s="16">
        <f t="shared" si="11"/>
        <v>78.56360971</v>
      </c>
      <c r="AI35" s="18">
        <f t="shared" si="12"/>
        <v>78.30149586</v>
      </c>
      <c r="AJ35" s="14">
        <f t="shared" si="13"/>
        <v>3562</v>
      </c>
      <c r="AK35" s="14">
        <f t="shared" si="14"/>
        <v>4935.666667</v>
      </c>
      <c r="AL35" s="14">
        <f t="shared" si="15"/>
        <v>998.3333333</v>
      </c>
      <c r="AM35" s="14">
        <f t="shared" si="16"/>
        <v>1367.666667</v>
      </c>
    </row>
    <row r="36" ht="14.25" customHeight="1">
      <c r="A36" s="1" t="s">
        <v>45</v>
      </c>
      <c r="B36" s="1" t="s">
        <v>103</v>
      </c>
      <c r="C36" s="1" t="s">
        <v>104</v>
      </c>
      <c r="D36" s="1" t="s">
        <v>104</v>
      </c>
      <c r="E36" s="14">
        <v>20201.0</v>
      </c>
      <c r="F36" s="15">
        <v>290.0</v>
      </c>
      <c r="G36" s="15">
        <v>298.0</v>
      </c>
      <c r="H36" s="15">
        <v>361.0</v>
      </c>
      <c r="I36" s="15">
        <v>289.0</v>
      </c>
      <c r="J36" s="15">
        <v>361.0</v>
      </c>
      <c r="K36" s="15">
        <v>361.0</v>
      </c>
      <c r="L36" s="16">
        <v>372.0</v>
      </c>
      <c r="M36" s="14">
        <f t="shared" ref="M36:S36" si="135">IF(AND(ISBLANK(F36), NOT(ISBLANK(T36))), T36, IF(OR(ISBLANK(T36), ISBLANK(F36)), "", T36-F36))</f>
        <v>87</v>
      </c>
      <c r="N36" s="14">
        <f t="shared" si="135"/>
        <v>86</v>
      </c>
      <c r="O36" s="14">
        <f t="shared" si="135"/>
        <v>150</v>
      </c>
      <c r="P36" s="14">
        <f t="shared" si="135"/>
        <v>90</v>
      </c>
      <c r="Q36" s="14">
        <f t="shared" si="135"/>
        <v>57</v>
      </c>
      <c r="R36" s="14">
        <f t="shared" si="135"/>
        <v>58</v>
      </c>
      <c r="S36" s="14">
        <f t="shared" si="135"/>
        <v>56</v>
      </c>
      <c r="T36" s="16">
        <v>377.0</v>
      </c>
      <c r="U36" s="16">
        <v>384.0</v>
      </c>
      <c r="V36" s="16">
        <v>511.0</v>
      </c>
      <c r="W36" s="15">
        <v>379.0</v>
      </c>
      <c r="X36" s="15">
        <v>418.0</v>
      </c>
      <c r="Y36" s="17">
        <v>419.0</v>
      </c>
      <c r="Z36" s="15">
        <v>428.0</v>
      </c>
      <c r="AA36" s="15">
        <v>76.92307692307693</v>
      </c>
      <c r="AB36" s="15">
        <v>77.60416666666666</v>
      </c>
      <c r="AC36" s="15">
        <v>70.64579256360078</v>
      </c>
      <c r="AD36" s="16">
        <v>76.2532981530343</v>
      </c>
      <c r="AE36" s="16">
        <v>86.36363636363636</v>
      </c>
      <c r="AF36" s="16">
        <v>86.15751789976133</v>
      </c>
      <c r="AG36" s="16">
        <v>86.91588785046729</v>
      </c>
      <c r="AH36" s="16">
        <f t="shared" si="11"/>
        <v>74.83441913</v>
      </c>
      <c r="AI36" s="18">
        <f t="shared" si="12"/>
        <v>86.47901404</v>
      </c>
      <c r="AJ36" s="14">
        <f t="shared" si="13"/>
        <v>316</v>
      </c>
      <c r="AK36" s="14">
        <f t="shared" si="14"/>
        <v>364.6666667</v>
      </c>
      <c r="AL36" s="14">
        <f t="shared" si="15"/>
        <v>108.6666667</v>
      </c>
      <c r="AM36" s="14">
        <f t="shared" si="16"/>
        <v>57</v>
      </c>
    </row>
    <row r="37" ht="14.25" customHeight="1">
      <c r="A37" s="1" t="s">
        <v>45</v>
      </c>
      <c r="B37" s="1" t="s">
        <v>103</v>
      </c>
      <c r="C37" s="1" t="s">
        <v>105</v>
      </c>
      <c r="D37" s="1" t="s">
        <v>106</v>
      </c>
      <c r="E37" s="14">
        <v>20202.0</v>
      </c>
      <c r="F37" s="15">
        <v>52.0</v>
      </c>
      <c r="G37" s="15">
        <v>54.0</v>
      </c>
      <c r="H37" s="15">
        <v>69.0</v>
      </c>
      <c r="I37" s="15">
        <v>68.0</v>
      </c>
      <c r="J37" s="15">
        <v>88.0</v>
      </c>
      <c r="K37" s="15">
        <v>88.0</v>
      </c>
      <c r="L37" s="16">
        <v>84.0</v>
      </c>
      <c r="M37" s="14">
        <f t="shared" ref="M37:S37" si="136">IF(AND(ISBLANK(F37), NOT(ISBLANK(T37))), T37, IF(OR(ISBLANK(T37), ISBLANK(F37)), "", T37-F37))</f>
        <v>28</v>
      </c>
      <c r="N37" s="14">
        <f t="shared" si="136"/>
        <v>26</v>
      </c>
      <c r="O37" s="14">
        <f t="shared" si="136"/>
        <v>42</v>
      </c>
      <c r="P37" s="14">
        <f t="shared" si="136"/>
        <v>40</v>
      </c>
      <c r="Q37" s="14">
        <f t="shared" si="136"/>
        <v>26</v>
      </c>
      <c r="R37" s="14">
        <f t="shared" si="136"/>
        <v>27</v>
      </c>
      <c r="S37" s="14">
        <f t="shared" si="136"/>
        <v>32</v>
      </c>
      <c r="T37" s="16">
        <v>80.0</v>
      </c>
      <c r="U37" s="16">
        <v>80.0</v>
      </c>
      <c r="V37" s="16">
        <v>111.0</v>
      </c>
      <c r="W37" s="15">
        <v>108.0</v>
      </c>
      <c r="X37" s="15">
        <v>114.0</v>
      </c>
      <c r="Y37" s="17">
        <v>115.0</v>
      </c>
      <c r="Z37" s="15">
        <v>116.0</v>
      </c>
      <c r="AA37" s="15">
        <v>65.0</v>
      </c>
      <c r="AB37" s="15">
        <v>67.5</v>
      </c>
      <c r="AC37" s="15">
        <v>62.16216216216216</v>
      </c>
      <c r="AD37" s="16">
        <v>62.96296296296296</v>
      </c>
      <c r="AE37" s="16">
        <v>77.19298245614034</v>
      </c>
      <c r="AF37" s="16">
        <v>76.52173913043478</v>
      </c>
      <c r="AG37" s="16">
        <v>72.41379310344827</v>
      </c>
      <c r="AH37" s="16">
        <f t="shared" si="11"/>
        <v>64.20837504</v>
      </c>
      <c r="AI37" s="18">
        <f t="shared" si="12"/>
        <v>75.37617156</v>
      </c>
      <c r="AJ37" s="14">
        <f t="shared" si="13"/>
        <v>63.66666667</v>
      </c>
      <c r="AK37" s="14">
        <f t="shared" si="14"/>
        <v>86.66666667</v>
      </c>
      <c r="AL37" s="14">
        <f t="shared" si="15"/>
        <v>36</v>
      </c>
      <c r="AM37" s="14">
        <f t="shared" si="16"/>
        <v>28.33333333</v>
      </c>
    </row>
    <row r="38" ht="14.25" customHeight="1">
      <c r="A38" s="1" t="s">
        <v>45</v>
      </c>
      <c r="B38" s="1" t="s">
        <v>103</v>
      </c>
      <c r="C38" s="1" t="s">
        <v>107</v>
      </c>
      <c r="D38" s="1" t="s">
        <v>107</v>
      </c>
      <c r="E38" s="14">
        <v>20203.0</v>
      </c>
      <c r="F38" s="15">
        <v>0.0</v>
      </c>
      <c r="G38" s="15">
        <v>0.0</v>
      </c>
      <c r="H38" s="15">
        <v>0.0</v>
      </c>
      <c r="I38" s="15">
        <v>25.0</v>
      </c>
      <c r="J38" s="15">
        <v>26.0</v>
      </c>
      <c r="K38" s="15">
        <v>26.0</v>
      </c>
      <c r="L38" s="16">
        <v>26.0</v>
      </c>
      <c r="M38" s="14">
        <f t="shared" ref="M38:S38" si="137">IF(AND(ISBLANK(F38), NOT(ISBLANK(T38))), T38, IF(OR(ISBLANK(T38), ISBLANK(F38)), "", T38-F38))</f>
        <v>0</v>
      </c>
      <c r="N38" s="14">
        <f t="shared" si="137"/>
        <v>0</v>
      </c>
      <c r="O38" s="14">
        <f t="shared" si="137"/>
        <v>0</v>
      </c>
      <c r="P38" s="14">
        <f t="shared" si="137"/>
        <v>9</v>
      </c>
      <c r="Q38" s="14">
        <f t="shared" si="137"/>
        <v>3</v>
      </c>
      <c r="R38" s="14">
        <f t="shared" si="137"/>
        <v>5</v>
      </c>
      <c r="S38" s="14">
        <f t="shared" si="137"/>
        <v>5</v>
      </c>
      <c r="T38" s="16">
        <v>0.0</v>
      </c>
      <c r="U38" s="16">
        <v>0.0</v>
      </c>
      <c r="V38" s="16">
        <v>0.0</v>
      </c>
      <c r="W38" s="15">
        <v>34.0</v>
      </c>
      <c r="X38" s="15">
        <v>29.0</v>
      </c>
      <c r="Y38" s="17">
        <v>31.0</v>
      </c>
      <c r="Z38" s="15">
        <v>31.0</v>
      </c>
      <c r="AA38" s="15"/>
      <c r="AB38" s="15"/>
      <c r="AC38" s="15"/>
      <c r="AD38" s="16">
        <v>73.52941176470588</v>
      </c>
      <c r="AE38" s="16">
        <v>89.65517241379311</v>
      </c>
      <c r="AF38" s="16">
        <v>83.87096774193549</v>
      </c>
      <c r="AG38" s="16">
        <v>83.87096774193549</v>
      </c>
      <c r="AH38" s="16">
        <f t="shared" si="11"/>
        <v>73.52941176</v>
      </c>
      <c r="AI38" s="18">
        <f t="shared" si="12"/>
        <v>85.79903597</v>
      </c>
      <c r="AJ38" s="14">
        <f t="shared" si="13"/>
        <v>8.333333333</v>
      </c>
      <c r="AK38" s="14">
        <f t="shared" si="14"/>
        <v>26</v>
      </c>
      <c r="AL38" s="14">
        <f t="shared" si="15"/>
        <v>3</v>
      </c>
      <c r="AM38" s="14">
        <f t="shared" si="16"/>
        <v>4.333333333</v>
      </c>
    </row>
    <row r="39" ht="14.25" customHeight="1">
      <c r="A39" s="1" t="s">
        <v>45</v>
      </c>
      <c r="B39" s="1" t="s">
        <v>103</v>
      </c>
      <c r="C39" s="1" t="s">
        <v>108</v>
      </c>
      <c r="D39" s="1" t="s">
        <v>108</v>
      </c>
      <c r="E39" s="14">
        <v>20204.0</v>
      </c>
      <c r="F39" s="15">
        <v>0.0</v>
      </c>
      <c r="G39" s="15">
        <v>0.0</v>
      </c>
      <c r="H39" s="15">
        <v>0.0</v>
      </c>
      <c r="I39" s="15">
        <v>42.0</v>
      </c>
      <c r="J39" s="15">
        <v>51.0</v>
      </c>
      <c r="K39" s="15">
        <v>48.0</v>
      </c>
      <c r="L39" s="16">
        <v>48.0</v>
      </c>
      <c r="M39" s="14">
        <f t="shared" ref="M39:S39" si="138">IF(AND(ISBLANK(F39), NOT(ISBLANK(T39))), T39, IF(OR(ISBLANK(T39), ISBLANK(F39)), "", T39-F39))</f>
        <v>0</v>
      </c>
      <c r="N39" s="14">
        <f t="shared" si="138"/>
        <v>0</v>
      </c>
      <c r="O39" s="14">
        <f t="shared" si="138"/>
        <v>0</v>
      </c>
      <c r="P39" s="14">
        <f t="shared" si="138"/>
        <v>13</v>
      </c>
      <c r="Q39" s="14">
        <f t="shared" si="138"/>
        <v>8</v>
      </c>
      <c r="R39" s="14">
        <f t="shared" si="138"/>
        <v>11</v>
      </c>
      <c r="S39" s="14">
        <f t="shared" si="138"/>
        <v>11</v>
      </c>
      <c r="T39" s="16">
        <v>0.0</v>
      </c>
      <c r="U39" s="16">
        <v>0.0</v>
      </c>
      <c r="V39" s="16">
        <v>0.0</v>
      </c>
      <c r="W39" s="15">
        <v>55.0</v>
      </c>
      <c r="X39" s="15">
        <v>59.0</v>
      </c>
      <c r="Y39" s="17">
        <v>59.0</v>
      </c>
      <c r="Z39" s="15">
        <v>59.0</v>
      </c>
      <c r="AA39" s="15"/>
      <c r="AB39" s="15"/>
      <c r="AC39" s="15"/>
      <c r="AD39" s="16">
        <v>76.36363636363637</v>
      </c>
      <c r="AE39" s="16">
        <v>86.4406779661017</v>
      </c>
      <c r="AF39" s="16">
        <v>81.35593220338984</v>
      </c>
      <c r="AG39" s="16">
        <v>81.35593220338984</v>
      </c>
      <c r="AH39" s="16">
        <f t="shared" si="11"/>
        <v>76.36363636</v>
      </c>
      <c r="AI39" s="18">
        <f t="shared" si="12"/>
        <v>83.05084746</v>
      </c>
      <c r="AJ39" s="14">
        <f t="shared" si="13"/>
        <v>14</v>
      </c>
      <c r="AK39" s="14">
        <f t="shared" si="14"/>
        <v>49</v>
      </c>
      <c r="AL39" s="14">
        <f t="shared" si="15"/>
        <v>4.333333333</v>
      </c>
      <c r="AM39" s="14">
        <f t="shared" si="16"/>
        <v>10</v>
      </c>
    </row>
    <row r="40" ht="14.25" customHeight="1">
      <c r="A40" s="1" t="s">
        <v>45</v>
      </c>
      <c r="B40" s="1" t="s">
        <v>103</v>
      </c>
      <c r="C40" s="1" t="s">
        <v>109</v>
      </c>
      <c r="D40" s="1" t="s">
        <v>109</v>
      </c>
      <c r="E40" s="14">
        <v>20205.0</v>
      </c>
      <c r="F40" s="15">
        <v>0.0</v>
      </c>
      <c r="G40" s="15">
        <v>5.0</v>
      </c>
      <c r="H40" s="15">
        <v>6.0</v>
      </c>
      <c r="I40" s="15">
        <v>47.0</v>
      </c>
      <c r="J40" s="15">
        <v>48.0</v>
      </c>
      <c r="K40" s="15">
        <v>50.0</v>
      </c>
      <c r="L40" s="16">
        <v>54.0</v>
      </c>
      <c r="M40" s="14">
        <f t="shared" ref="M40:S40" si="139">IF(AND(ISBLANK(F40), NOT(ISBLANK(T40))), T40, IF(OR(ISBLANK(T40), ISBLANK(F40)), "", T40-F40))</f>
        <v>0</v>
      </c>
      <c r="N40" s="14">
        <f t="shared" si="139"/>
        <v>1</v>
      </c>
      <c r="O40" s="14">
        <f t="shared" si="139"/>
        <v>1</v>
      </c>
      <c r="P40" s="14">
        <f t="shared" si="139"/>
        <v>16</v>
      </c>
      <c r="Q40" s="14">
        <f t="shared" si="139"/>
        <v>13</v>
      </c>
      <c r="R40" s="14">
        <f t="shared" si="139"/>
        <v>11</v>
      </c>
      <c r="S40" s="14">
        <f t="shared" si="139"/>
        <v>8</v>
      </c>
      <c r="T40" s="16">
        <v>0.0</v>
      </c>
      <c r="U40" s="16">
        <v>6.0</v>
      </c>
      <c r="V40" s="16">
        <v>7.0</v>
      </c>
      <c r="W40" s="15">
        <v>63.0</v>
      </c>
      <c r="X40" s="15">
        <v>61.0</v>
      </c>
      <c r="Y40" s="17">
        <v>61.0</v>
      </c>
      <c r="Z40" s="15">
        <v>62.0</v>
      </c>
      <c r="AA40" s="15"/>
      <c r="AB40" s="15">
        <v>83.33333333333334</v>
      </c>
      <c r="AC40" s="15">
        <v>85.71428571428571</v>
      </c>
      <c r="AD40" s="16">
        <v>74.60317460317461</v>
      </c>
      <c r="AE40" s="16">
        <v>78.68852459016394</v>
      </c>
      <c r="AF40" s="16">
        <v>81.9672131147541</v>
      </c>
      <c r="AG40" s="16">
        <v>87.09677419354838</v>
      </c>
      <c r="AH40" s="16">
        <f t="shared" si="11"/>
        <v>81.21693122</v>
      </c>
      <c r="AI40" s="18">
        <f t="shared" si="12"/>
        <v>82.58417063</v>
      </c>
      <c r="AJ40" s="14">
        <f t="shared" si="13"/>
        <v>19.33333333</v>
      </c>
      <c r="AK40" s="14">
        <f t="shared" si="14"/>
        <v>50.66666667</v>
      </c>
      <c r="AL40" s="14">
        <f t="shared" si="15"/>
        <v>6</v>
      </c>
      <c r="AM40" s="14">
        <f t="shared" si="16"/>
        <v>10.66666667</v>
      </c>
    </row>
    <row r="41" ht="14.25" customHeight="1">
      <c r="A41" s="1" t="s">
        <v>45</v>
      </c>
      <c r="B41" s="1" t="s">
        <v>103</v>
      </c>
      <c r="C41" s="1" t="s">
        <v>110</v>
      </c>
      <c r="D41" s="1" t="s">
        <v>110</v>
      </c>
      <c r="E41" s="14">
        <v>20206.0</v>
      </c>
      <c r="F41" s="15">
        <v>0.0</v>
      </c>
      <c r="G41" s="15">
        <v>0.0</v>
      </c>
      <c r="H41" s="15">
        <v>0.0</v>
      </c>
      <c r="I41" s="15">
        <v>16.0</v>
      </c>
      <c r="J41" s="15">
        <v>12.0</v>
      </c>
      <c r="K41" s="15">
        <v>12.0</v>
      </c>
      <c r="L41" s="16">
        <v>12.0</v>
      </c>
      <c r="M41" s="14">
        <f t="shared" ref="M41:S41" si="140">IF(AND(ISBLANK(F41), NOT(ISBLANK(T41))), T41, IF(OR(ISBLANK(T41), ISBLANK(F41)), "", T41-F41))</f>
        <v>0</v>
      </c>
      <c r="N41" s="14">
        <f t="shared" si="140"/>
        <v>0</v>
      </c>
      <c r="O41" s="14">
        <f t="shared" si="140"/>
        <v>0</v>
      </c>
      <c r="P41" s="14">
        <f t="shared" si="140"/>
        <v>1</v>
      </c>
      <c r="Q41" s="14">
        <f t="shared" si="140"/>
        <v>2</v>
      </c>
      <c r="R41" s="14">
        <f t="shared" si="140"/>
        <v>2</v>
      </c>
      <c r="S41" s="14">
        <f t="shared" si="140"/>
        <v>2</v>
      </c>
      <c r="T41" s="16">
        <v>0.0</v>
      </c>
      <c r="U41" s="16">
        <v>0.0</v>
      </c>
      <c r="V41" s="16">
        <v>0.0</v>
      </c>
      <c r="W41" s="15">
        <v>17.0</v>
      </c>
      <c r="X41" s="15">
        <v>14.0</v>
      </c>
      <c r="Y41" s="17">
        <v>14.0</v>
      </c>
      <c r="Z41" s="15">
        <v>14.0</v>
      </c>
      <c r="AA41" s="15"/>
      <c r="AB41" s="15"/>
      <c r="AC41" s="15"/>
      <c r="AD41" s="16">
        <v>94.11764705882352</v>
      </c>
      <c r="AE41" s="16">
        <v>85.71428571428571</v>
      </c>
      <c r="AF41" s="16">
        <v>85.71428571428571</v>
      </c>
      <c r="AG41" s="16">
        <v>85.71428571428571</v>
      </c>
      <c r="AH41" s="16">
        <f t="shared" si="11"/>
        <v>94.11764706</v>
      </c>
      <c r="AI41" s="18">
        <f t="shared" si="12"/>
        <v>85.71428571</v>
      </c>
      <c r="AJ41" s="14">
        <f t="shared" si="13"/>
        <v>5.333333333</v>
      </c>
      <c r="AK41" s="14">
        <f t="shared" si="14"/>
        <v>12</v>
      </c>
      <c r="AL41" s="14">
        <f t="shared" si="15"/>
        <v>0.3333333333</v>
      </c>
      <c r="AM41" s="14">
        <f t="shared" si="16"/>
        <v>2</v>
      </c>
    </row>
    <row r="42" ht="14.25" customHeight="1">
      <c r="A42" s="1" t="s">
        <v>45</v>
      </c>
      <c r="B42" s="1" t="s">
        <v>111</v>
      </c>
      <c r="C42" s="1" t="s">
        <v>112</v>
      </c>
      <c r="D42" s="1" t="s">
        <v>113</v>
      </c>
      <c r="E42" s="14">
        <v>20301.0</v>
      </c>
      <c r="F42" s="15">
        <v>47.0</v>
      </c>
      <c r="G42" s="15">
        <v>46.0</v>
      </c>
      <c r="H42" s="15">
        <v>55.0</v>
      </c>
      <c r="I42" s="15">
        <v>57.0</v>
      </c>
      <c r="J42" s="15">
        <v>68.0</v>
      </c>
      <c r="K42" s="15">
        <v>76.0</v>
      </c>
      <c r="L42" s="16">
        <v>76.0</v>
      </c>
      <c r="M42" s="14">
        <f t="shared" ref="M42:S42" si="141">IF(AND(ISBLANK(F42), NOT(ISBLANK(T42))), T42, IF(OR(ISBLANK(T42), ISBLANK(F42)), "", T42-F42))</f>
        <v>20</v>
      </c>
      <c r="N42" s="14">
        <f t="shared" si="141"/>
        <v>20</v>
      </c>
      <c r="O42" s="14">
        <f t="shared" si="141"/>
        <v>32</v>
      </c>
      <c r="P42" s="14">
        <f t="shared" si="141"/>
        <v>38</v>
      </c>
      <c r="Q42" s="14">
        <f t="shared" si="141"/>
        <v>39</v>
      </c>
      <c r="R42" s="14">
        <f t="shared" si="141"/>
        <v>37</v>
      </c>
      <c r="S42" s="14">
        <f t="shared" si="141"/>
        <v>36</v>
      </c>
      <c r="T42" s="16">
        <v>67.0</v>
      </c>
      <c r="U42" s="16">
        <v>66.0</v>
      </c>
      <c r="V42" s="16">
        <v>87.0</v>
      </c>
      <c r="W42" s="15">
        <v>95.0</v>
      </c>
      <c r="X42" s="15">
        <v>107.0</v>
      </c>
      <c r="Y42" s="17">
        <v>113.0</v>
      </c>
      <c r="Z42" s="15">
        <v>112.0</v>
      </c>
      <c r="AA42" s="15">
        <v>70.1492537313433</v>
      </c>
      <c r="AB42" s="15">
        <v>69.6969696969697</v>
      </c>
      <c r="AC42" s="15">
        <v>63.2183908045977</v>
      </c>
      <c r="AD42" s="16">
        <v>60.0</v>
      </c>
      <c r="AE42" s="16">
        <v>63.55140186915887</v>
      </c>
      <c r="AF42" s="16">
        <v>67.2566371681416</v>
      </c>
      <c r="AG42" s="16">
        <v>67.85714285714286</v>
      </c>
      <c r="AH42" s="16">
        <f t="shared" si="11"/>
        <v>64.30512017</v>
      </c>
      <c r="AI42" s="18">
        <f t="shared" si="12"/>
        <v>66.2217273</v>
      </c>
      <c r="AJ42" s="14">
        <f t="shared" si="13"/>
        <v>52.66666667</v>
      </c>
      <c r="AK42" s="14">
        <f t="shared" si="14"/>
        <v>73.33333333</v>
      </c>
      <c r="AL42" s="14">
        <f t="shared" si="15"/>
        <v>30</v>
      </c>
      <c r="AM42" s="14">
        <f t="shared" si="16"/>
        <v>37.33333333</v>
      </c>
    </row>
    <row r="43" ht="14.25" customHeight="1">
      <c r="A43" s="1" t="s">
        <v>45</v>
      </c>
      <c r="B43" s="1" t="s">
        <v>111</v>
      </c>
      <c r="C43" s="1" t="s">
        <v>114</v>
      </c>
      <c r="D43" s="1" t="s">
        <v>114</v>
      </c>
      <c r="E43" s="14">
        <v>20302.0</v>
      </c>
      <c r="F43" s="15">
        <v>40.0</v>
      </c>
      <c r="G43" s="15">
        <v>40.0</v>
      </c>
      <c r="H43" s="15">
        <v>52.0</v>
      </c>
      <c r="I43" s="15">
        <v>54.0</v>
      </c>
      <c r="J43" s="15">
        <v>61.0</v>
      </c>
      <c r="K43" s="15">
        <v>63.0</v>
      </c>
      <c r="L43" s="16">
        <v>63.0</v>
      </c>
      <c r="M43" s="14">
        <f t="shared" ref="M43:S43" si="142">IF(AND(ISBLANK(F43), NOT(ISBLANK(T43))), T43, IF(OR(ISBLANK(T43), ISBLANK(F43)), "", T43-F43))</f>
        <v>20</v>
      </c>
      <c r="N43" s="14">
        <f t="shared" si="142"/>
        <v>21</v>
      </c>
      <c r="O43" s="14">
        <f t="shared" si="142"/>
        <v>32</v>
      </c>
      <c r="P43" s="14">
        <f t="shared" si="142"/>
        <v>30</v>
      </c>
      <c r="Q43" s="14">
        <f t="shared" si="142"/>
        <v>23</v>
      </c>
      <c r="R43" s="14">
        <f t="shared" si="142"/>
        <v>21</v>
      </c>
      <c r="S43" s="14">
        <f t="shared" si="142"/>
        <v>21</v>
      </c>
      <c r="T43" s="16">
        <v>60.0</v>
      </c>
      <c r="U43" s="16">
        <v>61.0</v>
      </c>
      <c r="V43" s="16">
        <v>84.0</v>
      </c>
      <c r="W43" s="15">
        <v>84.0</v>
      </c>
      <c r="X43" s="15">
        <v>84.0</v>
      </c>
      <c r="Y43" s="17">
        <v>84.0</v>
      </c>
      <c r="Z43" s="15">
        <v>84.0</v>
      </c>
      <c r="AA43" s="15">
        <v>66.66666666666666</v>
      </c>
      <c r="AB43" s="15">
        <v>65.57377049180327</v>
      </c>
      <c r="AC43" s="15">
        <v>61.904761904761905</v>
      </c>
      <c r="AD43" s="16">
        <v>64.28571428571429</v>
      </c>
      <c r="AE43" s="16">
        <v>72.61904761904762</v>
      </c>
      <c r="AF43" s="16">
        <v>75.0</v>
      </c>
      <c r="AG43" s="16">
        <v>75.0</v>
      </c>
      <c r="AH43" s="16">
        <f t="shared" si="11"/>
        <v>63.92141556</v>
      </c>
      <c r="AI43" s="18">
        <f t="shared" si="12"/>
        <v>74.20634921</v>
      </c>
      <c r="AJ43" s="14">
        <f t="shared" si="13"/>
        <v>48.66666667</v>
      </c>
      <c r="AK43" s="14">
        <f t="shared" si="14"/>
        <v>62.33333333</v>
      </c>
      <c r="AL43" s="14">
        <f t="shared" si="15"/>
        <v>27.66666667</v>
      </c>
      <c r="AM43" s="14">
        <f t="shared" si="16"/>
        <v>21.66666667</v>
      </c>
    </row>
    <row r="44" ht="14.25" customHeight="1">
      <c r="A44" s="1" t="s">
        <v>45</v>
      </c>
      <c r="B44" s="1" t="s">
        <v>111</v>
      </c>
      <c r="C44" s="1" t="s">
        <v>115</v>
      </c>
      <c r="D44" s="1" t="s">
        <v>115</v>
      </c>
      <c r="E44" s="14">
        <v>20303.0</v>
      </c>
      <c r="F44" s="15">
        <v>34.0</v>
      </c>
      <c r="G44" s="15">
        <v>35.0</v>
      </c>
      <c r="H44" s="15">
        <v>38.0</v>
      </c>
      <c r="I44" s="15">
        <v>43.0</v>
      </c>
      <c r="J44" s="15">
        <v>71.0</v>
      </c>
      <c r="K44" s="15">
        <v>71.0</v>
      </c>
      <c r="L44" s="16">
        <v>74.0</v>
      </c>
      <c r="M44" s="14">
        <f t="shared" ref="M44:S44" si="143">IF(AND(ISBLANK(F44), NOT(ISBLANK(T44))), T44, IF(OR(ISBLANK(T44), ISBLANK(F44)), "", T44-F44))</f>
        <v>34</v>
      </c>
      <c r="N44" s="14">
        <f t="shared" si="143"/>
        <v>33</v>
      </c>
      <c r="O44" s="14">
        <f t="shared" si="143"/>
        <v>52</v>
      </c>
      <c r="P44" s="14">
        <f t="shared" si="143"/>
        <v>51</v>
      </c>
      <c r="Q44" s="14">
        <f t="shared" si="143"/>
        <v>30</v>
      </c>
      <c r="R44" s="14">
        <f t="shared" si="143"/>
        <v>31</v>
      </c>
      <c r="S44" s="14">
        <f t="shared" si="143"/>
        <v>28</v>
      </c>
      <c r="T44" s="16">
        <v>68.0</v>
      </c>
      <c r="U44" s="16">
        <v>68.0</v>
      </c>
      <c r="V44" s="16">
        <v>90.0</v>
      </c>
      <c r="W44" s="15">
        <v>94.0</v>
      </c>
      <c r="X44" s="15">
        <v>101.0</v>
      </c>
      <c r="Y44" s="17">
        <v>102.0</v>
      </c>
      <c r="Z44" s="15">
        <v>102.0</v>
      </c>
      <c r="AA44" s="15">
        <v>50.0</v>
      </c>
      <c r="AB44" s="15">
        <v>51.470588235294116</v>
      </c>
      <c r="AC44" s="15">
        <v>42.22222222222222</v>
      </c>
      <c r="AD44" s="16">
        <v>45.744680851063826</v>
      </c>
      <c r="AE44" s="16">
        <v>70.29702970297029</v>
      </c>
      <c r="AF44" s="16">
        <v>69.6078431372549</v>
      </c>
      <c r="AG44" s="16">
        <v>72.54901960784314</v>
      </c>
      <c r="AH44" s="16">
        <f t="shared" si="11"/>
        <v>46.47916377</v>
      </c>
      <c r="AI44" s="18">
        <f t="shared" si="12"/>
        <v>70.81796415</v>
      </c>
      <c r="AJ44" s="14">
        <f t="shared" si="13"/>
        <v>38.66666667</v>
      </c>
      <c r="AK44" s="14">
        <f t="shared" si="14"/>
        <v>72</v>
      </c>
      <c r="AL44" s="14">
        <f t="shared" si="15"/>
        <v>45.33333333</v>
      </c>
      <c r="AM44" s="14">
        <f t="shared" si="16"/>
        <v>29.66666667</v>
      </c>
    </row>
    <row r="45" ht="14.25" customHeight="1">
      <c r="A45" s="1" t="s">
        <v>45</v>
      </c>
      <c r="B45" s="1" t="s">
        <v>111</v>
      </c>
      <c r="C45" s="1" t="s">
        <v>116</v>
      </c>
      <c r="D45" s="1" t="s">
        <v>116</v>
      </c>
      <c r="E45" s="14">
        <v>20304.0</v>
      </c>
      <c r="F45" s="15">
        <v>18.0</v>
      </c>
      <c r="G45" s="15">
        <v>19.0</v>
      </c>
      <c r="H45" s="15">
        <v>22.0</v>
      </c>
      <c r="I45" s="15">
        <v>22.0</v>
      </c>
      <c r="J45" s="15">
        <v>33.0</v>
      </c>
      <c r="K45" s="15">
        <v>33.0</v>
      </c>
      <c r="L45" s="16">
        <v>32.0</v>
      </c>
      <c r="M45" s="14">
        <f t="shared" ref="M45:S45" si="144">IF(AND(ISBLANK(F45), NOT(ISBLANK(T45))), T45, IF(OR(ISBLANK(T45), ISBLANK(F45)), "", T45-F45))</f>
        <v>9</v>
      </c>
      <c r="N45" s="14">
        <f t="shared" si="144"/>
        <v>9</v>
      </c>
      <c r="O45" s="14">
        <f t="shared" si="144"/>
        <v>15</v>
      </c>
      <c r="P45" s="14">
        <f t="shared" si="144"/>
        <v>15</v>
      </c>
      <c r="Q45" s="14">
        <f t="shared" si="144"/>
        <v>10</v>
      </c>
      <c r="R45" s="14">
        <f t="shared" si="144"/>
        <v>12</v>
      </c>
      <c r="S45" s="14">
        <f t="shared" si="144"/>
        <v>14</v>
      </c>
      <c r="T45" s="16">
        <v>27.0</v>
      </c>
      <c r="U45" s="16">
        <v>28.0</v>
      </c>
      <c r="V45" s="16">
        <v>37.0</v>
      </c>
      <c r="W45" s="15">
        <v>37.0</v>
      </c>
      <c r="X45" s="15">
        <v>43.0</v>
      </c>
      <c r="Y45" s="17">
        <v>45.0</v>
      </c>
      <c r="Z45" s="15">
        <v>46.0</v>
      </c>
      <c r="AA45" s="15">
        <v>66.66666666666666</v>
      </c>
      <c r="AB45" s="15">
        <v>67.85714285714286</v>
      </c>
      <c r="AC45" s="15">
        <v>59.45945945945946</v>
      </c>
      <c r="AD45" s="16">
        <v>59.45945945945946</v>
      </c>
      <c r="AE45" s="16">
        <v>76.74418604651163</v>
      </c>
      <c r="AF45" s="16">
        <v>73.33333333333333</v>
      </c>
      <c r="AG45" s="16">
        <v>69.56521739130434</v>
      </c>
      <c r="AH45" s="16">
        <f t="shared" si="11"/>
        <v>62.25868726</v>
      </c>
      <c r="AI45" s="18">
        <f t="shared" si="12"/>
        <v>73.21424559</v>
      </c>
      <c r="AJ45" s="14">
        <f t="shared" si="13"/>
        <v>21</v>
      </c>
      <c r="AK45" s="14">
        <f t="shared" si="14"/>
        <v>32.66666667</v>
      </c>
      <c r="AL45" s="14">
        <f t="shared" si="15"/>
        <v>13</v>
      </c>
      <c r="AM45" s="14">
        <f t="shared" si="16"/>
        <v>12</v>
      </c>
    </row>
    <row r="46" ht="14.25" customHeight="1">
      <c r="A46" s="1" t="s">
        <v>45</v>
      </c>
      <c r="B46" s="1" t="s">
        <v>111</v>
      </c>
      <c r="C46" s="1" t="s">
        <v>117</v>
      </c>
      <c r="D46" s="1" t="s">
        <v>117</v>
      </c>
      <c r="E46" s="14">
        <v>20305.0</v>
      </c>
      <c r="F46" s="15">
        <v>9.0</v>
      </c>
      <c r="G46" s="15">
        <v>9.0</v>
      </c>
      <c r="H46" s="15">
        <v>12.0</v>
      </c>
      <c r="I46" s="15">
        <v>13.0</v>
      </c>
      <c r="J46" s="15">
        <v>21.0</v>
      </c>
      <c r="K46" s="15">
        <v>22.0</v>
      </c>
      <c r="L46" s="16">
        <v>23.0</v>
      </c>
      <c r="M46" s="14">
        <f t="shared" ref="M46:S46" si="145">IF(AND(ISBLANK(F46), NOT(ISBLANK(T46))), T46, IF(OR(ISBLANK(T46), ISBLANK(F46)), "", T46-F46))</f>
        <v>1</v>
      </c>
      <c r="N46" s="14">
        <f t="shared" si="145"/>
        <v>1</v>
      </c>
      <c r="O46" s="14">
        <f t="shared" si="145"/>
        <v>4</v>
      </c>
      <c r="P46" s="14">
        <f t="shared" si="145"/>
        <v>4</v>
      </c>
      <c r="Q46" s="14">
        <f t="shared" si="145"/>
        <v>5</v>
      </c>
      <c r="R46" s="14">
        <f t="shared" si="145"/>
        <v>4</v>
      </c>
      <c r="S46" s="14">
        <f t="shared" si="145"/>
        <v>4</v>
      </c>
      <c r="T46" s="16">
        <v>10.0</v>
      </c>
      <c r="U46" s="16">
        <v>10.0</v>
      </c>
      <c r="V46" s="16">
        <v>16.0</v>
      </c>
      <c r="W46" s="15">
        <v>17.0</v>
      </c>
      <c r="X46" s="15">
        <v>26.0</v>
      </c>
      <c r="Y46" s="17">
        <v>26.0</v>
      </c>
      <c r="Z46" s="15">
        <v>27.0</v>
      </c>
      <c r="AA46" s="15">
        <v>90.0</v>
      </c>
      <c r="AB46" s="15">
        <v>90.0</v>
      </c>
      <c r="AC46" s="15">
        <v>75.0</v>
      </c>
      <c r="AD46" s="16">
        <v>76.47058823529412</v>
      </c>
      <c r="AE46" s="16">
        <v>80.76923076923077</v>
      </c>
      <c r="AF46" s="16">
        <v>84.61538461538461</v>
      </c>
      <c r="AG46" s="16">
        <v>85.18518518518519</v>
      </c>
      <c r="AH46" s="16">
        <f t="shared" si="11"/>
        <v>80.49019608</v>
      </c>
      <c r="AI46" s="18">
        <f t="shared" si="12"/>
        <v>83.52326686</v>
      </c>
      <c r="AJ46" s="14">
        <f t="shared" si="13"/>
        <v>11.33333333</v>
      </c>
      <c r="AK46" s="14">
        <f t="shared" si="14"/>
        <v>22</v>
      </c>
      <c r="AL46" s="14">
        <f t="shared" si="15"/>
        <v>3</v>
      </c>
      <c r="AM46" s="14">
        <f t="shared" si="16"/>
        <v>4.333333333</v>
      </c>
    </row>
    <row r="47" ht="14.25" customHeight="1">
      <c r="A47" s="1" t="s">
        <v>45</v>
      </c>
      <c r="B47" s="1" t="s">
        <v>111</v>
      </c>
      <c r="C47" s="1" t="s">
        <v>118</v>
      </c>
      <c r="D47" s="1" t="s">
        <v>118</v>
      </c>
      <c r="E47" s="14">
        <v>20306.0</v>
      </c>
      <c r="F47" s="15">
        <v>10.0</v>
      </c>
      <c r="G47" s="15">
        <v>11.0</v>
      </c>
      <c r="H47" s="15">
        <v>11.0</v>
      </c>
      <c r="I47" s="15">
        <v>11.0</v>
      </c>
      <c r="J47" s="15">
        <v>13.0</v>
      </c>
      <c r="K47" s="15">
        <v>13.0</v>
      </c>
      <c r="L47" s="16">
        <v>13.0</v>
      </c>
      <c r="M47" s="14">
        <f t="shared" ref="M47:S47" si="146">IF(AND(ISBLANK(F47), NOT(ISBLANK(T47))), T47, IF(OR(ISBLANK(T47), ISBLANK(F47)), "", T47-F47))</f>
        <v>2</v>
      </c>
      <c r="N47" s="14">
        <f t="shared" si="146"/>
        <v>1</v>
      </c>
      <c r="O47" s="14">
        <f t="shared" si="146"/>
        <v>5</v>
      </c>
      <c r="P47" s="14">
        <f t="shared" si="146"/>
        <v>5</v>
      </c>
      <c r="Q47" s="14">
        <f t="shared" si="146"/>
        <v>4</v>
      </c>
      <c r="R47" s="14">
        <f t="shared" si="146"/>
        <v>4</v>
      </c>
      <c r="S47" s="14">
        <f t="shared" si="146"/>
        <v>5</v>
      </c>
      <c r="T47" s="16">
        <v>12.0</v>
      </c>
      <c r="U47" s="16">
        <v>12.0</v>
      </c>
      <c r="V47" s="16">
        <v>16.0</v>
      </c>
      <c r="W47" s="15">
        <v>16.0</v>
      </c>
      <c r="X47" s="15">
        <v>17.0</v>
      </c>
      <c r="Y47" s="17">
        <v>17.0</v>
      </c>
      <c r="Z47" s="15">
        <v>18.0</v>
      </c>
      <c r="AA47" s="15">
        <v>83.33333333333334</v>
      </c>
      <c r="AB47" s="15">
        <v>91.66666666666666</v>
      </c>
      <c r="AC47" s="15">
        <v>68.75</v>
      </c>
      <c r="AD47" s="16">
        <v>68.75</v>
      </c>
      <c r="AE47" s="16">
        <v>76.47058823529412</v>
      </c>
      <c r="AF47" s="16">
        <v>76.47058823529412</v>
      </c>
      <c r="AG47" s="16">
        <v>72.22222222222221</v>
      </c>
      <c r="AH47" s="16">
        <f t="shared" si="11"/>
        <v>76.38888889</v>
      </c>
      <c r="AI47" s="18">
        <f t="shared" si="12"/>
        <v>75.05446623</v>
      </c>
      <c r="AJ47" s="14">
        <f t="shared" si="13"/>
        <v>11</v>
      </c>
      <c r="AK47" s="14">
        <f t="shared" si="14"/>
        <v>13</v>
      </c>
      <c r="AL47" s="14">
        <f t="shared" si="15"/>
        <v>3.666666667</v>
      </c>
      <c r="AM47" s="14">
        <f t="shared" si="16"/>
        <v>4.333333333</v>
      </c>
    </row>
    <row r="48" ht="14.25" customHeight="1">
      <c r="A48" s="1" t="s">
        <v>45</v>
      </c>
      <c r="B48" s="1" t="s">
        <v>111</v>
      </c>
      <c r="C48" s="1" t="s">
        <v>119</v>
      </c>
      <c r="D48" s="1" t="s">
        <v>119</v>
      </c>
      <c r="E48" s="14">
        <v>20307.0</v>
      </c>
      <c r="F48" s="15">
        <v>3.0</v>
      </c>
      <c r="G48" s="15">
        <v>3.0</v>
      </c>
      <c r="H48" s="15">
        <v>3.0</v>
      </c>
      <c r="I48" s="15">
        <v>4.0</v>
      </c>
      <c r="J48" s="15">
        <v>4.0</v>
      </c>
      <c r="K48" s="15">
        <v>4.0</v>
      </c>
      <c r="L48" s="16">
        <v>4.0</v>
      </c>
      <c r="M48" s="14">
        <f t="shared" ref="M48:S48" si="147">IF(AND(ISBLANK(F48), NOT(ISBLANK(T48))), T48, IF(OR(ISBLANK(T48), ISBLANK(F48)), "", T48-F48))</f>
        <v>2</v>
      </c>
      <c r="N48" s="14">
        <f t="shared" si="147"/>
        <v>2</v>
      </c>
      <c r="O48" s="14">
        <f t="shared" si="147"/>
        <v>2</v>
      </c>
      <c r="P48" s="14">
        <f t="shared" si="147"/>
        <v>1</v>
      </c>
      <c r="Q48" s="14">
        <f t="shared" si="147"/>
        <v>5</v>
      </c>
      <c r="R48" s="14">
        <f t="shared" si="147"/>
        <v>5</v>
      </c>
      <c r="S48" s="14">
        <f t="shared" si="147"/>
        <v>5</v>
      </c>
      <c r="T48" s="16">
        <v>5.0</v>
      </c>
      <c r="U48" s="16">
        <v>5.0</v>
      </c>
      <c r="V48" s="16">
        <v>5.0</v>
      </c>
      <c r="W48" s="15">
        <v>5.0</v>
      </c>
      <c r="X48" s="15">
        <v>9.0</v>
      </c>
      <c r="Y48" s="17">
        <v>9.0</v>
      </c>
      <c r="Z48" s="15">
        <v>9.0</v>
      </c>
      <c r="AA48" s="15">
        <v>60.0</v>
      </c>
      <c r="AB48" s="15">
        <v>60.0</v>
      </c>
      <c r="AC48" s="15">
        <v>60.0</v>
      </c>
      <c r="AD48" s="16">
        <v>80.0</v>
      </c>
      <c r="AE48" s="16">
        <v>44.44444444444444</v>
      </c>
      <c r="AF48" s="16">
        <v>44.44444444444444</v>
      </c>
      <c r="AG48" s="16">
        <v>44.44444444444444</v>
      </c>
      <c r="AH48" s="16">
        <f t="shared" si="11"/>
        <v>66.66666667</v>
      </c>
      <c r="AI48" s="18">
        <f t="shared" si="12"/>
        <v>44.44444444</v>
      </c>
      <c r="AJ48" s="14">
        <f t="shared" si="13"/>
        <v>3.333333333</v>
      </c>
      <c r="AK48" s="14">
        <f t="shared" si="14"/>
        <v>4</v>
      </c>
      <c r="AL48" s="14">
        <f t="shared" si="15"/>
        <v>1.666666667</v>
      </c>
      <c r="AM48" s="14">
        <f t="shared" si="16"/>
        <v>5</v>
      </c>
    </row>
    <row r="49" ht="14.25" customHeight="1">
      <c r="A49" s="1" t="s">
        <v>45</v>
      </c>
      <c r="B49" s="1" t="s">
        <v>111</v>
      </c>
      <c r="C49" s="1" t="s">
        <v>120</v>
      </c>
      <c r="D49" s="1" t="s">
        <v>120</v>
      </c>
      <c r="E49" s="14">
        <v>20308.0</v>
      </c>
      <c r="F49" s="15">
        <v>20.0</v>
      </c>
      <c r="G49" s="15">
        <v>21.0</v>
      </c>
      <c r="H49" s="15">
        <v>20.0</v>
      </c>
      <c r="I49" s="15">
        <v>23.0</v>
      </c>
      <c r="J49" s="15">
        <v>42.0</v>
      </c>
      <c r="K49" s="15">
        <v>40.0</v>
      </c>
      <c r="L49" s="16">
        <v>42.0</v>
      </c>
      <c r="M49" s="14">
        <f t="shared" ref="M49:S49" si="148">IF(AND(ISBLANK(F49), NOT(ISBLANK(T49))), T49, IF(OR(ISBLANK(T49), ISBLANK(F49)), "", T49-F49))</f>
        <v>13</v>
      </c>
      <c r="N49" s="14">
        <f t="shared" si="148"/>
        <v>12</v>
      </c>
      <c r="O49" s="14">
        <f t="shared" si="148"/>
        <v>27</v>
      </c>
      <c r="P49" s="14">
        <f t="shared" si="148"/>
        <v>26</v>
      </c>
      <c r="Q49" s="14">
        <f t="shared" si="148"/>
        <v>16</v>
      </c>
      <c r="R49" s="14">
        <f t="shared" si="148"/>
        <v>18</v>
      </c>
      <c r="S49" s="14">
        <f t="shared" si="148"/>
        <v>16</v>
      </c>
      <c r="T49" s="16">
        <v>33.0</v>
      </c>
      <c r="U49" s="16">
        <v>33.0</v>
      </c>
      <c r="V49" s="16">
        <v>47.0</v>
      </c>
      <c r="W49" s="15">
        <v>49.0</v>
      </c>
      <c r="X49" s="15">
        <v>58.0</v>
      </c>
      <c r="Y49" s="17">
        <v>58.0</v>
      </c>
      <c r="Z49" s="15">
        <v>58.0</v>
      </c>
      <c r="AA49" s="15">
        <v>60.60606060606061</v>
      </c>
      <c r="AB49" s="15">
        <v>63.63636363636363</v>
      </c>
      <c r="AC49" s="15">
        <v>42.5531914893617</v>
      </c>
      <c r="AD49" s="16">
        <v>46.93877551020408</v>
      </c>
      <c r="AE49" s="16">
        <v>72.41379310344827</v>
      </c>
      <c r="AF49" s="16">
        <v>68.96551724137932</v>
      </c>
      <c r="AG49" s="16">
        <v>72.41379310344827</v>
      </c>
      <c r="AH49" s="16">
        <f t="shared" si="11"/>
        <v>51.04277688</v>
      </c>
      <c r="AI49" s="18">
        <f t="shared" si="12"/>
        <v>71.26436782</v>
      </c>
      <c r="AJ49" s="14">
        <f t="shared" si="13"/>
        <v>21.33333333</v>
      </c>
      <c r="AK49" s="14">
        <f t="shared" si="14"/>
        <v>41.33333333</v>
      </c>
      <c r="AL49" s="14">
        <f t="shared" si="15"/>
        <v>21.66666667</v>
      </c>
      <c r="AM49" s="14">
        <f t="shared" si="16"/>
        <v>16.66666667</v>
      </c>
    </row>
    <row r="50" ht="14.25" customHeight="1">
      <c r="A50" s="1" t="s">
        <v>45</v>
      </c>
      <c r="B50" s="1" t="s">
        <v>121</v>
      </c>
      <c r="C50" s="1" t="s">
        <v>122</v>
      </c>
      <c r="D50" s="1" t="s">
        <v>122</v>
      </c>
      <c r="E50" s="14">
        <v>20401.0</v>
      </c>
      <c r="F50" s="15">
        <v>74.0</v>
      </c>
      <c r="G50" s="15">
        <v>76.0</v>
      </c>
      <c r="H50" s="15">
        <v>100.0</v>
      </c>
      <c r="I50" s="15">
        <v>57.0</v>
      </c>
      <c r="J50" s="15">
        <v>75.0</v>
      </c>
      <c r="K50" s="15">
        <v>78.0</v>
      </c>
      <c r="L50" s="16">
        <v>81.0</v>
      </c>
      <c r="M50" s="14">
        <f t="shared" ref="M50:S50" si="149">IF(AND(ISBLANK(F50), NOT(ISBLANK(T50))), T50, IF(OR(ISBLANK(T50), ISBLANK(F50)), "", T50-F50))</f>
        <v>41</v>
      </c>
      <c r="N50" s="14">
        <f t="shared" si="149"/>
        <v>39</v>
      </c>
      <c r="O50" s="14">
        <f t="shared" si="149"/>
        <v>69</v>
      </c>
      <c r="P50" s="14">
        <f t="shared" si="149"/>
        <v>29</v>
      </c>
      <c r="Q50" s="14">
        <f t="shared" si="149"/>
        <v>20</v>
      </c>
      <c r="R50" s="14">
        <f t="shared" si="149"/>
        <v>22</v>
      </c>
      <c r="S50" s="14">
        <f t="shared" si="149"/>
        <v>21</v>
      </c>
      <c r="T50" s="16">
        <v>115.0</v>
      </c>
      <c r="U50" s="16">
        <v>115.0</v>
      </c>
      <c r="V50" s="16">
        <v>169.0</v>
      </c>
      <c r="W50" s="15">
        <v>86.0</v>
      </c>
      <c r="X50" s="15">
        <v>95.0</v>
      </c>
      <c r="Y50" s="17">
        <v>100.0</v>
      </c>
      <c r="Z50" s="15">
        <v>102.0</v>
      </c>
      <c r="AA50" s="15">
        <v>64.34782608695652</v>
      </c>
      <c r="AB50" s="15">
        <v>66.08695652173913</v>
      </c>
      <c r="AC50" s="15">
        <v>59.171597633136095</v>
      </c>
      <c r="AD50" s="16">
        <v>66.27906976744185</v>
      </c>
      <c r="AE50" s="16">
        <v>78.94736842105263</v>
      </c>
      <c r="AF50" s="16">
        <v>78.0</v>
      </c>
      <c r="AG50" s="16">
        <v>79.41176470588235</v>
      </c>
      <c r="AH50" s="16">
        <f t="shared" si="11"/>
        <v>63.84587464</v>
      </c>
      <c r="AI50" s="18">
        <f t="shared" si="12"/>
        <v>78.78637771</v>
      </c>
      <c r="AJ50" s="14">
        <f t="shared" si="13"/>
        <v>77.66666667</v>
      </c>
      <c r="AK50" s="14">
        <f t="shared" si="14"/>
        <v>78</v>
      </c>
      <c r="AL50" s="14">
        <f t="shared" si="15"/>
        <v>45.66666667</v>
      </c>
      <c r="AM50" s="14">
        <f t="shared" si="16"/>
        <v>21</v>
      </c>
    </row>
    <row r="51" ht="14.25" customHeight="1">
      <c r="A51" s="1" t="s">
        <v>45</v>
      </c>
      <c r="B51" s="1" t="s">
        <v>121</v>
      </c>
      <c r="C51" s="1" t="s">
        <v>123</v>
      </c>
      <c r="D51" s="1" t="s">
        <v>123</v>
      </c>
      <c r="E51" s="14">
        <v>20402.0</v>
      </c>
      <c r="F51" s="15">
        <v>49.0</v>
      </c>
      <c r="G51" s="15">
        <v>54.0</v>
      </c>
      <c r="H51" s="15">
        <v>55.0</v>
      </c>
      <c r="I51" s="15">
        <v>64.0</v>
      </c>
      <c r="J51" s="15">
        <v>97.0</v>
      </c>
      <c r="K51" s="15">
        <v>104.0</v>
      </c>
      <c r="L51" s="16">
        <v>106.0</v>
      </c>
      <c r="M51" s="14">
        <f t="shared" ref="M51:S51" si="150">IF(AND(ISBLANK(F51), NOT(ISBLANK(T51))), T51, IF(OR(ISBLANK(T51), ISBLANK(F51)), "", T51-F51))</f>
        <v>27</v>
      </c>
      <c r="N51" s="14">
        <f t="shared" si="150"/>
        <v>28</v>
      </c>
      <c r="O51" s="14">
        <f t="shared" si="150"/>
        <v>62</v>
      </c>
      <c r="P51" s="14">
        <f t="shared" si="150"/>
        <v>53</v>
      </c>
      <c r="Q51" s="14">
        <f t="shared" si="150"/>
        <v>27</v>
      </c>
      <c r="R51" s="14">
        <f t="shared" si="150"/>
        <v>27</v>
      </c>
      <c r="S51" s="14">
        <f t="shared" si="150"/>
        <v>29</v>
      </c>
      <c r="T51" s="16">
        <v>76.0</v>
      </c>
      <c r="U51" s="16">
        <v>82.0</v>
      </c>
      <c r="V51" s="16">
        <v>117.0</v>
      </c>
      <c r="W51" s="15">
        <v>117.0</v>
      </c>
      <c r="X51" s="15">
        <v>124.0</v>
      </c>
      <c r="Y51" s="17">
        <v>131.0</v>
      </c>
      <c r="Z51" s="15">
        <v>135.0</v>
      </c>
      <c r="AA51" s="15">
        <v>64.47368421052632</v>
      </c>
      <c r="AB51" s="15">
        <v>65.85365853658537</v>
      </c>
      <c r="AC51" s="15">
        <v>47.008547008547005</v>
      </c>
      <c r="AD51" s="16">
        <v>54.700854700854705</v>
      </c>
      <c r="AE51" s="16">
        <v>78.2258064516129</v>
      </c>
      <c r="AF51" s="16">
        <v>79.38931297709924</v>
      </c>
      <c r="AG51" s="16">
        <v>78.51851851851852</v>
      </c>
      <c r="AH51" s="16">
        <f t="shared" si="11"/>
        <v>55.85435342</v>
      </c>
      <c r="AI51" s="18">
        <f t="shared" si="12"/>
        <v>78.71121265</v>
      </c>
      <c r="AJ51" s="14">
        <f t="shared" si="13"/>
        <v>57.66666667</v>
      </c>
      <c r="AK51" s="14">
        <f t="shared" si="14"/>
        <v>102.3333333</v>
      </c>
      <c r="AL51" s="14">
        <f t="shared" si="15"/>
        <v>47.66666667</v>
      </c>
      <c r="AM51" s="14">
        <f t="shared" si="16"/>
        <v>27.66666667</v>
      </c>
    </row>
    <row r="52" ht="14.25" customHeight="1">
      <c r="A52" s="1" t="s">
        <v>45</v>
      </c>
      <c r="B52" s="1" t="s">
        <v>121</v>
      </c>
      <c r="C52" s="1" t="s">
        <v>124</v>
      </c>
      <c r="D52" s="1" t="s">
        <v>125</v>
      </c>
      <c r="E52" s="14">
        <v>20403.0</v>
      </c>
      <c r="F52" s="15">
        <v>38.0</v>
      </c>
      <c r="G52" s="15">
        <v>42.0</v>
      </c>
      <c r="H52" s="15">
        <v>51.0</v>
      </c>
      <c r="I52" s="15">
        <v>52.0</v>
      </c>
      <c r="J52" s="15">
        <v>85.0</v>
      </c>
      <c r="K52" s="15">
        <v>88.0</v>
      </c>
      <c r="L52" s="16">
        <v>90.0</v>
      </c>
      <c r="M52" s="14">
        <f t="shared" ref="M52:S52" si="151">IF(AND(ISBLANK(F52), NOT(ISBLANK(T52))), T52, IF(OR(ISBLANK(T52), ISBLANK(F52)), "", T52-F52))</f>
        <v>35</v>
      </c>
      <c r="N52" s="14">
        <f t="shared" si="151"/>
        <v>39</v>
      </c>
      <c r="O52" s="14">
        <f t="shared" si="151"/>
        <v>54</v>
      </c>
      <c r="P52" s="14">
        <f t="shared" si="151"/>
        <v>53</v>
      </c>
      <c r="Q52" s="14">
        <f t="shared" si="151"/>
        <v>35</v>
      </c>
      <c r="R52" s="14">
        <f t="shared" si="151"/>
        <v>33</v>
      </c>
      <c r="S52" s="14">
        <f t="shared" si="151"/>
        <v>31</v>
      </c>
      <c r="T52" s="16">
        <v>73.0</v>
      </c>
      <c r="U52" s="16">
        <v>81.0</v>
      </c>
      <c r="V52" s="16">
        <v>105.0</v>
      </c>
      <c r="W52" s="15">
        <v>105.0</v>
      </c>
      <c r="X52" s="15">
        <v>120.0</v>
      </c>
      <c r="Y52" s="17">
        <v>121.0</v>
      </c>
      <c r="Z52" s="15">
        <v>121.0</v>
      </c>
      <c r="AA52" s="15">
        <v>52.054794520547944</v>
      </c>
      <c r="AB52" s="15">
        <v>51.85185185185185</v>
      </c>
      <c r="AC52" s="15">
        <v>48.57142857142857</v>
      </c>
      <c r="AD52" s="16">
        <v>49.523809523809526</v>
      </c>
      <c r="AE52" s="16">
        <v>70.83333333333334</v>
      </c>
      <c r="AF52" s="16">
        <v>72.72727272727273</v>
      </c>
      <c r="AG52" s="16">
        <v>74.3801652892562</v>
      </c>
      <c r="AH52" s="16">
        <f t="shared" si="11"/>
        <v>49.98236332</v>
      </c>
      <c r="AI52" s="18">
        <f t="shared" si="12"/>
        <v>72.64692378</v>
      </c>
      <c r="AJ52" s="14">
        <f t="shared" si="13"/>
        <v>48.33333333</v>
      </c>
      <c r="AK52" s="14">
        <f t="shared" si="14"/>
        <v>87.66666667</v>
      </c>
      <c r="AL52" s="14">
        <f t="shared" si="15"/>
        <v>48.66666667</v>
      </c>
      <c r="AM52" s="14">
        <f t="shared" si="16"/>
        <v>33</v>
      </c>
    </row>
    <row r="53" ht="14.25" customHeight="1">
      <c r="A53" s="1" t="s">
        <v>45</v>
      </c>
      <c r="B53" s="1" t="s">
        <v>121</v>
      </c>
      <c r="C53" s="1" t="s">
        <v>126</v>
      </c>
      <c r="D53" s="1" t="s">
        <v>126</v>
      </c>
      <c r="E53" s="14">
        <v>20404.0</v>
      </c>
      <c r="F53" s="15">
        <v>0.0</v>
      </c>
      <c r="G53" s="15">
        <v>0.0</v>
      </c>
      <c r="H53" s="15">
        <v>0.0</v>
      </c>
      <c r="I53" s="15">
        <v>20.0</v>
      </c>
      <c r="J53" s="15">
        <v>37.0</v>
      </c>
      <c r="K53" s="15">
        <v>38.0</v>
      </c>
      <c r="L53" s="16">
        <v>38.0</v>
      </c>
      <c r="M53" s="14">
        <f t="shared" ref="M53:S53" si="152">IF(AND(ISBLANK(F53), NOT(ISBLANK(T53))), T53, IF(OR(ISBLANK(T53), ISBLANK(F53)), "", T53-F53))</f>
        <v>0</v>
      </c>
      <c r="N53" s="14">
        <f t="shared" si="152"/>
        <v>0</v>
      </c>
      <c r="O53" s="14">
        <f t="shared" si="152"/>
        <v>0</v>
      </c>
      <c r="P53" s="14">
        <f t="shared" si="152"/>
        <v>13</v>
      </c>
      <c r="Q53" s="14">
        <f t="shared" si="152"/>
        <v>6</v>
      </c>
      <c r="R53" s="14">
        <f t="shared" si="152"/>
        <v>5</v>
      </c>
      <c r="S53" s="14">
        <f t="shared" si="152"/>
        <v>7</v>
      </c>
      <c r="T53" s="16">
        <v>0.0</v>
      </c>
      <c r="U53" s="16">
        <v>0.0</v>
      </c>
      <c r="V53" s="16">
        <v>0.0</v>
      </c>
      <c r="W53" s="15">
        <v>33.0</v>
      </c>
      <c r="X53" s="15">
        <v>43.0</v>
      </c>
      <c r="Y53" s="17">
        <v>43.0</v>
      </c>
      <c r="Z53" s="15">
        <v>45.0</v>
      </c>
      <c r="AA53" s="15"/>
      <c r="AB53" s="15"/>
      <c r="AC53" s="15"/>
      <c r="AD53" s="16">
        <v>60.60606060606061</v>
      </c>
      <c r="AE53" s="16">
        <v>86.04651162790698</v>
      </c>
      <c r="AF53" s="16">
        <v>88.37209302325581</v>
      </c>
      <c r="AG53" s="16">
        <v>84.44444444444444</v>
      </c>
      <c r="AH53" s="16">
        <f t="shared" si="11"/>
        <v>60.60606061</v>
      </c>
      <c r="AI53" s="18">
        <f t="shared" si="12"/>
        <v>86.28768303</v>
      </c>
      <c r="AJ53" s="14">
        <f t="shared" si="13"/>
        <v>6.666666667</v>
      </c>
      <c r="AK53" s="14">
        <f t="shared" si="14"/>
        <v>37.66666667</v>
      </c>
      <c r="AL53" s="14">
        <f t="shared" si="15"/>
        <v>4.333333333</v>
      </c>
      <c r="AM53" s="14">
        <f t="shared" si="16"/>
        <v>6</v>
      </c>
    </row>
    <row r="54" ht="14.25" customHeight="1">
      <c r="A54" s="1" t="s">
        <v>45</v>
      </c>
      <c r="B54" s="1" t="s">
        <v>121</v>
      </c>
      <c r="C54" s="1" t="s">
        <v>127</v>
      </c>
      <c r="D54" s="1" t="s">
        <v>127</v>
      </c>
      <c r="E54" s="14">
        <v>20405.0</v>
      </c>
      <c r="F54" s="15">
        <v>0.0</v>
      </c>
      <c r="G54" s="15">
        <v>0.0</v>
      </c>
      <c r="H54" s="15">
        <v>0.0</v>
      </c>
      <c r="I54" s="15">
        <v>37.0</v>
      </c>
      <c r="J54" s="15">
        <v>49.0</v>
      </c>
      <c r="K54" s="15">
        <v>49.0</v>
      </c>
      <c r="L54" s="16">
        <v>51.0</v>
      </c>
      <c r="M54" s="14">
        <f t="shared" ref="M54:S54" si="153">IF(AND(ISBLANK(F54), NOT(ISBLANK(T54))), T54, IF(OR(ISBLANK(T54), ISBLANK(F54)), "", T54-F54))</f>
        <v>0</v>
      </c>
      <c r="N54" s="14">
        <f t="shared" si="153"/>
        <v>0</v>
      </c>
      <c r="O54" s="14">
        <f t="shared" si="153"/>
        <v>0</v>
      </c>
      <c r="P54" s="14">
        <f t="shared" si="153"/>
        <v>17</v>
      </c>
      <c r="Q54" s="14">
        <f t="shared" si="153"/>
        <v>17</v>
      </c>
      <c r="R54" s="14">
        <f t="shared" si="153"/>
        <v>18</v>
      </c>
      <c r="S54" s="14">
        <f t="shared" si="153"/>
        <v>17</v>
      </c>
      <c r="T54" s="16">
        <v>0.0</v>
      </c>
      <c r="U54" s="16">
        <v>0.0</v>
      </c>
      <c r="V54" s="16">
        <v>0.0</v>
      </c>
      <c r="W54" s="15">
        <v>54.0</v>
      </c>
      <c r="X54" s="15">
        <v>66.0</v>
      </c>
      <c r="Y54" s="17">
        <v>67.0</v>
      </c>
      <c r="Z54" s="15">
        <v>68.0</v>
      </c>
      <c r="AA54" s="15"/>
      <c r="AB54" s="15"/>
      <c r="AC54" s="15"/>
      <c r="AD54" s="16">
        <v>68.51851851851852</v>
      </c>
      <c r="AE54" s="16">
        <v>74.24242424242425</v>
      </c>
      <c r="AF54" s="16">
        <v>73.13432835820896</v>
      </c>
      <c r="AG54" s="16">
        <v>75.0</v>
      </c>
      <c r="AH54" s="16">
        <f t="shared" si="11"/>
        <v>68.51851852</v>
      </c>
      <c r="AI54" s="18">
        <f t="shared" si="12"/>
        <v>74.1255842</v>
      </c>
      <c r="AJ54" s="14">
        <f t="shared" si="13"/>
        <v>12.33333333</v>
      </c>
      <c r="AK54" s="14">
        <f t="shared" si="14"/>
        <v>49.66666667</v>
      </c>
      <c r="AL54" s="14">
        <f t="shared" si="15"/>
        <v>5.666666667</v>
      </c>
      <c r="AM54" s="14">
        <f t="shared" si="16"/>
        <v>17.33333333</v>
      </c>
    </row>
    <row r="55" ht="14.25" customHeight="1">
      <c r="A55" s="1" t="s">
        <v>45</v>
      </c>
      <c r="B55" s="1" t="s">
        <v>128</v>
      </c>
      <c r="C55" s="1" t="s">
        <v>129</v>
      </c>
      <c r="D55" s="1" t="s">
        <v>129</v>
      </c>
      <c r="E55" s="14">
        <v>20501.0</v>
      </c>
      <c r="F55" s="15">
        <v>32.0</v>
      </c>
      <c r="G55" s="15">
        <v>35.0</v>
      </c>
      <c r="H55" s="15">
        <v>41.0</v>
      </c>
      <c r="I55" s="15">
        <v>47.0</v>
      </c>
      <c r="J55" s="15">
        <v>69.0</v>
      </c>
      <c r="K55" s="15">
        <v>73.0</v>
      </c>
      <c r="L55" s="16">
        <v>70.0</v>
      </c>
      <c r="M55" s="14">
        <f t="shared" ref="M55:S55" si="154">IF(AND(ISBLANK(F55), NOT(ISBLANK(T55))), T55, IF(OR(ISBLANK(T55), ISBLANK(F55)), "", T55-F55))</f>
        <v>7</v>
      </c>
      <c r="N55" s="14">
        <f t="shared" si="154"/>
        <v>7</v>
      </c>
      <c r="O55" s="14">
        <f t="shared" si="154"/>
        <v>29</v>
      </c>
      <c r="P55" s="14">
        <f t="shared" si="154"/>
        <v>25</v>
      </c>
      <c r="Q55" s="14">
        <f t="shared" si="154"/>
        <v>19</v>
      </c>
      <c r="R55" s="14">
        <f t="shared" si="154"/>
        <v>15</v>
      </c>
      <c r="S55" s="14">
        <f t="shared" si="154"/>
        <v>18</v>
      </c>
      <c r="T55" s="16">
        <v>39.0</v>
      </c>
      <c r="U55" s="16">
        <v>42.0</v>
      </c>
      <c r="V55" s="16">
        <v>70.0</v>
      </c>
      <c r="W55" s="15">
        <v>72.0</v>
      </c>
      <c r="X55" s="15">
        <v>88.0</v>
      </c>
      <c r="Y55" s="17">
        <v>88.0</v>
      </c>
      <c r="Z55" s="15">
        <v>88.0</v>
      </c>
      <c r="AA55" s="15">
        <v>82.05128205128204</v>
      </c>
      <c r="AB55" s="15">
        <v>83.33333333333334</v>
      </c>
      <c r="AC55" s="15">
        <v>58.57142857142858</v>
      </c>
      <c r="AD55" s="16">
        <v>65.27777777777779</v>
      </c>
      <c r="AE55" s="16">
        <v>78.4090909090909</v>
      </c>
      <c r="AF55" s="16">
        <v>82.95454545454545</v>
      </c>
      <c r="AG55" s="16">
        <v>79.54545454545455</v>
      </c>
      <c r="AH55" s="16">
        <f t="shared" si="11"/>
        <v>69.06084656</v>
      </c>
      <c r="AI55" s="18">
        <f t="shared" si="12"/>
        <v>80.3030303</v>
      </c>
      <c r="AJ55" s="14">
        <f t="shared" si="13"/>
        <v>41</v>
      </c>
      <c r="AK55" s="14">
        <f t="shared" si="14"/>
        <v>70.66666667</v>
      </c>
      <c r="AL55" s="14">
        <f t="shared" si="15"/>
        <v>20.33333333</v>
      </c>
      <c r="AM55" s="14">
        <f t="shared" si="16"/>
        <v>17.33333333</v>
      </c>
    </row>
    <row r="56" ht="14.25" customHeight="1">
      <c r="A56" s="1" t="s">
        <v>45</v>
      </c>
      <c r="B56" s="1" t="s">
        <v>128</v>
      </c>
      <c r="C56" s="1" t="s">
        <v>130</v>
      </c>
      <c r="D56" s="1" t="s">
        <v>130</v>
      </c>
      <c r="E56" s="14">
        <v>20502.0</v>
      </c>
      <c r="F56" s="15">
        <v>16.0</v>
      </c>
      <c r="G56" s="15">
        <v>24.0</v>
      </c>
      <c r="H56" s="15">
        <v>35.0</v>
      </c>
      <c r="I56" s="15">
        <v>44.0</v>
      </c>
      <c r="J56" s="15">
        <v>62.0</v>
      </c>
      <c r="K56" s="15">
        <v>62.0</v>
      </c>
      <c r="L56" s="16">
        <v>63.0</v>
      </c>
      <c r="M56" s="14">
        <f t="shared" ref="M56:S56" si="155">IF(AND(ISBLANK(F56), NOT(ISBLANK(T56))), T56, IF(OR(ISBLANK(T56), ISBLANK(F56)), "", T56-F56))</f>
        <v>15</v>
      </c>
      <c r="N56" s="14">
        <f t="shared" si="155"/>
        <v>8</v>
      </c>
      <c r="O56" s="14">
        <f t="shared" si="155"/>
        <v>17</v>
      </c>
      <c r="P56" s="14">
        <f t="shared" si="155"/>
        <v>13</v>
      </c>
      <c r="Q56" s="14">
        <f t="shared" si="155"/>
        <v>14</v>
      </c>
      <c r="R56" s="14">
        <f t="shared" si="155"/>
        <v>15</v>
      </c>
      <c r="S56" s="14">
        <f t="shared" si="155"/>
        <v>15</v>
      </c>
      <c r="T56" s="16">
        <v>31.0</v>
      </c>
      <c r="U56" s="16">
        <v>32.0</v>
      </c>
      <c r="V56" s="16">
        <v>52.0</v>
      </c>
      <c r="W56" s="15">
        <v>57.0</v>
      </c>
      <c r="X56" s="15">
        <v>76.0</v>
      </c>
      <c r="Y56" s="17">
        <v>77.0</v>
      </c>
      <c r="Z56" s="15">
        <v>78.0</v>
      </c>
      <c r="AA56" s="15">
        <v>51.61290322580645</v>
      </c>
      <c r="AB56" s="15">
        <v>75.0</v>
      </c>
      <c r="AC56" s="15">
        <v>67.3076923076923</v>
      </c>
      <c r="AD56" s="16">
        <v>77.19298245614034</v>
      </c>
      <c r="AE56" s="16">
        <v>81.57894736842105</v>
      </c>
      <c r="AF56" s="16">
        <v>80.51948051948052</v>
      </c>
      <c r="AG56" s="16">
        <v>80.76923076923077</v>
      </c>
      <c r="AH56" s="16">
        <f t="shared" si="11"/>
        <v>73.16689159</v>
      </c>
      <c r="AI56" s="18">
        <f t="shared" si="12"/>
        <v>80.95588622</v>
      </c>
      <c r="AJ56" s="14">
        <f t="shared" si="13"/>
        <v>34.33333333</v>
      </c>
      <c r="AK56" s="14">
        <f t="shared" si="14"/>
        <v>62.33333333</v>
      </c>
      <c r="AL56" s="14">
        <f t="shared" si="15"/>
        <v>12.66666667</v>
      </c>
      <c r="AM56" s="14">
        <f t="shared" si="16"/>
        <v>14.66666667</v>
      </c>
    </row>
    <row r="57" ht="14.25" customHeight="1">
      <c r="A57" s="1" t="s">
        <v>45</v>
      </c>
      <c r="B57" s="1" t="s">
        <v>128</v>
      </c>
      <c r="C57" s="1" t="s">
        <v>131</v>
      </c>
      <c r="D57" s="1" t="s">
        <v>131</v>
      </c>
      <c r="E57" s="14">
        <v>20503.0</v>
      </c>
      <c r="F57" s="15">
        <v>8.0</v>
      </c>
      <c r="G57" s="15">
        <v>7.0</v>
      </c>
      <c r="H57" s="15">
        <v>12.0</v>
      </c>
      <c r="I57" s="15">
        <v>13.0</v>
      </c>
      <c r="J57" s="15">
        <v>42.0</v>
      </c>
      <c r="K57" s="15">
        <v>46.0</v>
      </c>
      <c r="L57" s="16">
        <v>46.0</v>
      </c>
      <c r="M57" s="14">
        <f t="shared" ref="M57:S57" si="156">IF(AND(ISBLANK(F57), NOT(ISBLANK(T57))), T57, IF(OR(ISBLANK(T57), ISBLANK(F57)), "", T57-F57))</f>
        <v>13</v>
      </c>
      <c r="N57" s="14">
        <f t="shared" si="156"/>
        <v>15</v>
      </c>
      <c r="O57" s="14">
        <f t="shared" si="156"/>
        <v>22</v>
      </c>
      <c r="P57" s="14">
        <f t="shared" si="156"/>
        <v>21</v>
      </c>
      <c r="Q57" s="14">
        <f t="shared" si="156"/>
        <v>10</v>
      </c>
      <c r="R57" s="14">
        <f t="shared" si="156"/>
        <v>7</v>
      </c>
      <c r="S57" s="14">
        <f t="shared" si="156"/>
        <v>8</v>
      </c>
      <c r="T57" s="16">
        <v>21.0</v>
      </c>
      <c r="U57" s="16">
        <v>22.0</v>
      </c>
      <c r="V57" s="16">
        <v>34.0</v>
      </c>
      <c r="W57" s="15">
        <v>34.0</v>
      </c>
      <c r="X57" s="15">
        <v>52.0</v>
      </c>
      <c r="Y57" s="17">
        <v>53.0</v>
      </c>
      <c r="Z57" s="15">
        <v>54.0</v>
      </c>
      <c r="AA57" s="15">
        <v>38.095238095238095</v>
      </c>
      <c r="AB57" s="15">
        <v>31.818181818181817</v>
      </c>
      <c r="AC57" s="15">
        <v>35.294117647058826</v>
      </c>
      <c r="AD57" s="16">
        <v>38.23529411764706</v>
      </c>
      <c r="AE57" s="16">
        <v>80.76923076923077</v>
      </c>
      <c r="AF57" s="16">
        <v>86.79245283018868</v>
      </c>
      <c r="AG57" s="16">
        <v>85.18518518518519</v>
      </c>
      <c r="AH57" s="16">
        <f t="shared" si="11"/>
        <v>35.11586453</v>
      </c>
      <c r="AI57" s="18">
        <f t="shared" si="12"/>
        <v>84.24895626</v>
      </c>
      <c r="AJ57" s="14">
        <f t="shared" si="13"/>
        <v>10.66666667</v>
      </c>
      <c r="AK57" s="14">
        <f t="shared" si="14"/>
        <v>44.66666667</v>
      </c>
      <c r="AL57" s="14">
        <f t="shared" si="15"/>
        <v>19.33333333</v>
      </c>
      <c r="AM57" s="14">
        <f t="shared" si="16"/>
        <v>8.333333333</v>
      </c>
    </row>
    <row r="58" ht="14.25" customHeight="1">
      <c r="A58" s="1" t="s">
        <v>45</v>
      </c>
      <c r="B58" s="1" t="s">
        <v>132</v>
      </c>
      <c r="C58" s="1" t="s">
        <v>133</v>
      </c>
      <c r="D58" s="1" t="s">
        <v>133</v>
      </c>
      <c r="E58" s="14">
        <v>20601.0</v>
      </c>
      <c r="F58" s="15">
        <v>30.0</v>
      </c>
      <c r="G58" s="15">
        <v>35.0</v>
      </c>
      <c r="H58" s="15">
        <v>55.0</v>
      </c>
      <c r="I58" s="15">
        <v>59.0</v>
      </c>
      <c r="J58" s="15">
        <v>101.0</v>
      </c>
      <c r="K58" s="15">
        <v>98.0</v>
      </c>
      <c r="L58" s="16">
        <v>100.0</v>
      </c>
      <c r="M58" s="14">
        <f t="shared" ref="M58:S58" si="157">IF(AND(ISBLANK(F58), NOT(ISBLANK(T58))), T58, IF(OR(ISBLANK(T58), ISBLANK(F58)), "", T58-F58))</f>
        <v>28</v>
      </c>
      <c r="N58" s="14">
        <f t="shared" si="157"/>
        <v>24</v>
      </c>
      <c r="O58" s="14">
        <f t="shared" si="157"/>
        <v>41</v>
      </c>
      <c r="P58" s="14">
        <f t="shared" si="157"/>
        <v>44</v>
      </c>
      <c r="Q58" s="14">
        <f t="shared" si="157"/>
        <v>35</v>
      </c>
      <c r="R58" s="14">
        <f t="shared" si="157"/>
        <v>36</v>
      </c>
      <c r="S58" s="14">
        <f t="shared" si="157"/>
        <v>37</v>
      </c>
      <c r="T58" s="16">
        <v>58.0</v>
      </c>
      <c r="U58" s="16">
        <v>59.0</v>
      </c>
      <c r="V58" s="16">
        <v>96.0</v>
      </c>
      <c r="W58" s="15">
        <v>103.0</v>
      </c>
      <c r="X58" s="15">
        <v>136.0</v>
      </c>
      <c r="Y58" s="17">
        <v>134.0</v>
      </c>
      <c r="Z58" s="15">
        <v>137.0</v>
      </c>
      <c r="AA58" s="15">
        <v>51.724137931034484</v>
      </c>
      <c r="AB58" s="15">
        <v>59.32203389830508</v>
      </c>
      <c r="AC58" s="15">
        <v>57.291666666666664</v>
      </c>
      <c r="AD58" s="16">
        <v>57.28155339805825</v>
      </c>
      <c r="AE58" s="16">
        <v>74.26470588235294</v>
      </c>
      <c r="AF58" s="16">
        <v>73.13432835820896</v>
      </c>
      <c r="AG58" s="16">
        <v>72.99270072992701</v>
      </c>
      <c r="AH58" s="16">
        <f t="shared" si="11"/>
        <v>57.96508465</v>
      </c>
      <c r="AI58" s="18">
        <f t="shared" si="12"/>
        <v>73.46391166</v>
      </c>
      <c r="AJ58" s="14">
        <f t="shared" si="13"/>
        <v>49.66666667</v>
      </c>
      <c r="AK58" s="14">
        <f t="shared" si="14"/>
        <v>99.66666667</v>
      </c>
      <c r="AL58" s="14">
        <f t="shared" si="15"/>
        <v>36.33333333</v>
      </c>
      <c r="AM58" s="14">
        <f t="shared" si="16"/>
        <v>36</v>
      </c>
    </row>
    <row r="59" ht="14.25" customHeight="1">
      <c r="A59" s="1" t="s">
        <v>45</v>
      </c>
      <c r="B59" s="1" t="s">
        <v>132</v>
      </c>
      <c r="C59" s="1" t="s">
        <v>134</v>
      </c>
      <c r="D59" s="1" t="s">
        <v>134</v>
      </c>
      <c r="E59" s="14">
        <v>20602.0</v>
      </c>
      <c r="F59" s="15">
        <v>29.0</v>
      </c>
      <c r="G59" s="15">
        <v>30.0</v>
      </c>
      <c r="H59" s="15">
        <v>43.0</v>
      </c>
      <c r="I59" s="15">
        <v>45.0</v>
      </c>
      <c r="J59" s="15">
        <v>84.0</v>
      </c>
      <c r="K59" s="15">
        <v>89.0</v>
      </c>
      <c r="L59" s="16">
        <v>96.0</v>
      </c>
      <c r="M59" s="14">
        <f t="shared" ref="M59:S59" si="158">IF(AND(ISBLANK(F59), NOT(ISBLANK(T59))), T59, IF(OR(ISBLANK(T59), ISBLANK(F59)), "", T59-F59))</f>
        <v>16</v>
      </c>
      <c r="N59" s="14">
        <f t="shared" si="158"/>
        <v>14</v>
      </c>
      <c r="O59" s="14">
        <f t="shared" si="158"/>
        <v>31</v>
      </c>
      <c r="P59" s="14">
        <f t="shared" si="158"/>
        <v>33</v>
      </c>
      <c r="Q59" s="14">
        <f t="shared" si="158"/>
        <v>22</v>
      </c>
      <c r="R59" s="14">
        <f t="shared" si="158"/>
        <v>20</v>
      </c>
      <c r="S59" s="14">
        <f t="shared" si="158"/>
        <v>21</v>
      </c>
      <c r="T59" s="16">
        <v>45.0</v>
      </c>
      <c r="U59" s="16">
        <v>44.0</v>
      </c>
      <c r="V59" s="16">
        <v>74.0</v>
      </c>
      <c r="W59" s="15">
        <v>78.0</v>
      </c>
      <c r="X59" s="15">
        <v>106.0</v>
      </c>
      <c r="Y59" s="17">
        <v>109.0</v>
      </c>
      <c r="Z59" s="15">
        <v>117.0</v>
      </c>
      <c r="AA59" s="15">
        <v>64.44444444444444</v>
      </c>
      <c r="AB59" s="15">
        <v>68.18181818181817</v>
      </c>
      <c r="AC59" s="15">
        <v>58.108108108108105</v>
      </c>
      <c r="AD59" s="16">
        <v>57.692307692307686</v>
      </c>
      <c r="AE59" s="16">
        <v>79.24528301886792</v>
      </c>
      <c r="AF59" s="16">
        <v>81.65137614678899</v>
      </c>
      <c r="AG59" s="16">
        <v>82.05128205128204</v>
      </c>
      <c r="AH59" s="16">
        <f t="shared" si="11"/>
        <v>61.32741133</v>
      </c>
      <c r="AI59" s="18">
        <f t="shared" si="12"/>
        <v>80.98264707</v>
      </c>
      <c r="AJ59" s="14">
        <f t="shared" si="13"/>
        <v>39.33333333</v>
      </c>
      <c r="AK59" s="14">
        <f t="shared" si="14"/>
        <v>89.66666667</v>
      </c>
      <c r="AL59" s="14">
        <f t="shared" si="15"/>
        <v>26</v>
      </c>
      <c r="AM59" s="14">
        <f t="shared" si="16"/>
        <v>21</v>
      </c>
    </row>
    <row r="60" ht="14.25" customHeight="1">
      <c r="A60" s="1" t="s">
        <v>45</v>
      </c>
      <c r="B60" s="1" t="s">
        <v>132</v>
      </c>
      <c r="C60" s="1" t="s">
        <v>135</v>
      </c>
      <c r="D60" s="1" t="s">
        <v>135</v>
      </c>
      <c r="E60" s="14">
        <v>20603.0</v>
      </c>
      <c r="F60" s="15">
        <v>15.0</v>
      </c>
      <c r="G60" s="15">
        <v>17.0</v>
      </c>
      <c r="H60" s="15">
        <v>18.0</v>
      </c>
      <c r="I60" s="15">
        <v>20.0</v>
      </c>
      <c r="J60" s="15">
        <v>35.0</v>
      </c>
      <c r="K60" s="15">
        <v>37.0</v>
      </c>
      <c r="L60" s="16">
        <v>39.0</v>
      </c>
      <c r="M60" s="14">
        <f t="shared" ref="M60:S60" si="159">IF(AND(ISBLANK(F60), NOT(ISBLANK(T60))), T60, IF(OR(ISBLANK(T60), ISBLANK(F60)), "", T60-F60))</f>
        <v>12</v>
      </c>
      <c r="N60" s="14">
        <f t="shared" si="159"/>
        <v>9</v>
      </c>
      <c r="O60" s="14">
        <f t="shared" si="159"/>
        <v>21</v>
      </c>
      <c r="P60" s="14">
        <f t="shared" si="159"/>
        <v>23</v>
      </c>
      <c r="Q60" s="14">
        <f t="shared" si="159"/>
        <v>15</v>
      </c>
      <c r="R60" s="14">
        <f t="shared" si="159"/>
        <v>18</v>
      </c>
      <c r="S60" s="14">
        <f t="shared" si="159"/>
        <v>16</v>
      </c>
      <c r="T60" s="16">
        <v>27.0</v>
      </c>
      <c r="U60" s="16">
        <v>26.0</v>
      </c>
      <c r="V60" s="16">
        <v>39.0</v>
      </c>
      <c r="W60" s="15">
        <v>43.0</v>
      </c>
      <c r="X60" s="15">
        <v>50.0</v>
      </c>
      <c r="Y60" s="17">
        <v>55.0</v>
      </c>
      <c r="Z60" s="15">
        <v>55.0</v>
      </c>
      <c r="AA60" s="15">
        <v>55.55555555555556</v>
      </c>
      <c r="AB60" s="15">
        <v>65.38461538461539</v>
      </c>
      <c r="AC60" s="15">
        <v>46.15384615384615</v>
      </c>
      <c r="AD60" s="16">
        <v>46.51162790697674</v>
      </c>
      <c r="AE60" s="16">
        <v>70.0</v>
      </c>
      <c r="AF60" s="16">
        <v>67.27272727272727</v>
      </c>
      <c r="AG60" s="16">
        <v>70.9090909090909</v>
      </c>
      <c r="AH60" s="16">
        <f t="shared" si="11"/>
        <v>52.68336315</v>
      </c>
      <c r="AI60" s="18">
        <f t="shared" si="12"/>
        <v>69.39393939</v>
      </c>
      <c r="AJ60" s="14">
        <f t="shared" si="13"/>
        <v>18.33333333</v>
      </c>
      <c r="AK60" s="14">
        <f t="shared" si="14"/>
        <v>37</v>
      </c>
      <c r="AL60" s="14">
        <f t="shared" si="15"/>
        <v>17.66666667</v>
      </c>
      <c r="AM60" s="14">
        <f t="shared" si="16"/>
        <v>16.33333333</v>
      </c>
    </row>
    <row r="61" ht="14.25" customHeight="1">
      <c r="A61" s="1" t="s">
        <v>45</v>
      </c>
      <c r="B61" s="1" t="s">
        <v>132</v>
      </c>
      <c r="C61" s="1" t="s">
        <v>136</v>
      </c>
      <c r="D61" s="1" t="s">
        <v>136</v>
      </c>
      <c r="E61" s="14">
        <v>20604.0</v>
      </c>
      <c r="F61" s="15">
        <v>10.0</v>
      </c>
      <c r="G61" s="15">
        <v>9.0</v>
      </c>
      <c r="H61" s="15">
        <v>10.0</v>
      </c>
      <c r="I61" s="15">
        <v>11.0</v>
      </c>
      <c r="J61" s="15">
        <v>20.0</v>
      </c>
      <c r="K61" s="15">
        <v>19.0</v>
      </c>
      <c r="L61" s="16">
        <v>21.0</v>
      </c>
      <c r="M61" s="14">
        <f t="shared" ref="M61:S61" si="160">IF(AND(ISBLANK(F61), NOT(ISBLANK(T61))), T61, IF(OR(ISBLANK(T61), ISBLANK(F61)), "", T61-F61))</f>
        <v>1</v>
      </c>
      <c r="N61" s="14">
        <f t="shared" si="160"/>
        <v>3</v>
      </c>
      <c r="O61" s="14">
        <f t="shared" si="160"/>
        <v>8</v>
      </c>
      <c r="P61" s="14">
        <f t="shared" si="160"/>
        <v>7</v>
      </c>
      <c r="Q61" s="14">
        <f t="shared" si="160"/>
        <v>4</v>
      </c>
      <c r="R61" s="14">
        <f t="shared" si="160"/>
        <v>6</v>
      </c>
      <c r="S61" s="14">
        <f t="shared" si="160"/>
        <v>4</v>
      </c>
      <c r="T61" s="16">
        <v>11.0</v>
      </c>
      <c r="U61" s="16">
        <v>12.0</v>
      </c>
      <c r="V61" s="16">
        <v>18.0</v>
      </c>
      <c r="W61" s="15">
        <v>18.0</v>
      </c>
      <c r="X61" s="15">
        <v>24.0</v>
      </c>
      <c r="Y61" s="17">
        <v>25.0</v>
      </c>
      <c r="Z61" s="15">
        <v>25.0</v>
      </c>
      <c r="AA61" s="15">
        <v>90.9090909090909</v>
      </c>
      <c r="AB61" s="15">
        <v>75.0</v>
      </c>
      <c r="AC61" s="15">
        <v>55.55555555555556</v>
      </c>
      <c r="AD61" s="16">
        <v>61.111111111111114</v>
      </c>
      <c r="AE61" s="16">
        <v>83.33333333333334</v>
      </c>
      <c r="AF61" s="16">
        <v>76.0</v>
      </c>
      <c r="AG61" s="16">
        <v>84.0</v>
      </c>
      <c r="AH61" s="16">
        <f t="shared" si="11"/>
        <v>63.88888889</v>
      </c>
      <c r="AI61" s="18">
        <f t="shared" si="12"/>
        <v>81.11111111</v>
      </c>
      <c r="AJ61" s="14">
        <f t="shared" si="13"/>
        <v>10</v>
      </c>
      <c r="AK61" s="14">
        <f t="shared" si="14"/>
        <v>20</v>
      </c>
      <c r="AL61" s="14">
        <f t="shared" si="15"/>
        <v>6</v>
      </c>
      <c r="AM61" s="14">
        <f t="shared" si="16"/>
        <v>4.666666667</v>
      </c>
    </row>
    <row r="62" ht="14.25" customHeight="1">
      <c r="A62" s="1" t="s">
        <v>45</v>
      </c>
      <c r="B62" s="1" t="s">
        <v>132</v>
      </c>
      <c r="C62" s="1" t="s">
        <v>137</v>
      </c>
      <c r="D62" s="1" t="s">
        <v>137</v>
      </c>
      <c r="E62" s="14">
        <v>20605.0</v>
      </c>
      <c r="F62" s="15">
        <v>9.0</v>
      </c>
      <c r="G62" s="15">
        <v>14.0</v>
      </c>
      <c r="H62" s="15">
        <v>16.0</v>
      </c>
      <c r="I62" s="15">
        <v>17.0</v>
      </c>
      <c r="J62" s="15">
        <v>23.0</v>
      </c>
      <c r="K62" s="15">
        <v>25.0</v>
      </c>
      <c r="L62" s="16">
        <v>23.0</v>
      </c>
      <c r="M62" s="14">
        <f t="shared" ref="M62:S62" si="161">IF(AND(ISBLANK(F62), NOT(ISBLANK(T62))), T62, IF(OR(ISBLANK(T62), ISBLANK(F62)), "", T62-F62))</f>
        <v>8</v>
      </c>
      <c r="N62" s="14">
        <f t="shared" si="161"/>
        <v>8</v>
      </c>
      <c r="O62" s="14">
        <f t="shared" si="161"/>
        <v>11</v>
      </c>
      <c r="P62" s="14">
        <f t="shared" si="161"/>
        <v>13</v>
      </c>
      <c r="Q62" s="14">
        <f t="shared" si="161"/>
        <v>6</v>
      </c>
      <c r="R62" s="14">
        <f t="shared" si="161"/>
        <v>5</v>
      </c>
      <c r="S62" s="14">
        <f t="shared" si="161"/>
        <v>7</v>
      </c>
      <c r="T62" s="16">
        <v>17.0</v>
      </c>
      <c r="U62" s="16">
        <v>22.0</v>
      </c>
      <c r="V62" s="16">
        <v>27.0</v>
      </c>
      <c r="W62" s="15">
        <v>30.0</v>
      </c>
      <c r="X62" s="15">
        <v>29.0</v>
      </c>
      <c r="Y62" s="17">
        <v>30.0</v>
      </c>
      <c r="Z62" s="15">
        <v>30.0</v>
      </c>
      <c r="AA62" s="15">
        <v>52.94117647058824</v>
      </c>
      <c r="AB62" s="15">
        <v>63.63636363636363</v>
      </c>
      <c r="AC62" s="15">
        <v>59.25925925925925</v>
      </c>
      <c r="AD62" s="16">
        <v>56.666666666666664</v>
      </c>
      <c r="AE62" s="16">
        <v>79.3103448275862</v>
      </c>
      <c r="AF62" s="16">
        <v>83.33333333333334</v>
      </c>
      <c r="AG62" s="16">
        <v>76.66666666666667</v>
      </c>
      <c r="AH62" s="16">
        <f t="shared" si="11"/>
        <v>59.85409652</v>
      </c>
      <c r="AI62" s="18">
        <f t="shared" si="12"/>
        <v>79.77011494</v>
      </c>
      <c r="AJ62" s="14">
        <f t="shared" si="13"/>
        <v>15.66666667</v>
      </c>
      <c r="AK62" s="14">
        <f t="shared" si="14"/>
        <v>23.66666667</v>
      </c>
      <c r="AL62" s="14">
        <f t="shared" si="15"/>
        <v>10.66666667</v>
      </c>
      <c r="AM62" s="14">
        <f t="shared" si="16"/>
        <v>6</v>
      </c>
    </row>
    <row r="63" ht="14.25" customHeight="1">
      <c r="A63" s="1" t="s">
        <v>45</v>
      </c>
      <c r="B63" s="1" t="s">
        <v>132</v>
      </c>
      <c r="C63" s="1" t="s">
        <v>138</v>
      </c>
      <c r="D63" s="1" t="s">
        <v>138</v>
      </c>
      <c r="E63" s="14">
        <v>20606.0</v>
      </c>
      <c r="F63" s="15">
        <v>28.0</v>
      </c>
      <c r="G63" s="15">
        <v>32.0</v>
      </c>
      <c r="H63" s="15">
        <v>46.0</v>
      </c>
      <c r="I63" s="15">
        <v>48.0</v>
      </c>
      <c r="J63" s="15">
        <v>54.0</v>
      </c>
      <c r="K63" s="15">
        <v>56.0</v>
      </c>
      <c r="L63" s="16">
        <v>56.0</v>
      </c>
      <c r="M63" s="14">
        <f t="shared" ref="M63:S63" si="162">IF(AND(ISBLANK(F63), NOT(ISBLANK(T63))), T63, IF(OR(ISBLANK(T63), ISBLANK(F63)), "", T63-F63))</f>
        <v>8</v>
      </c>
      <c r="N63" s="14">
        <f t="shared" si="162"/>
        <v>7</v>
      </c>
      <c r="O63" s="14">
        <f t="shared" si="162"/>
        <v>9</v>
      </c>
      <c r="P63" s="14">
        <f t="shared" si="162"/>
        <v>9</v>
      </c>
      <c r="Q63" s="14">
        <f t="shared" si="162"/>
        <v>7</v>
      </c>
      <c r="R63" s="14">
        <f t="shared" si="162"/>
        <v>5</v>
      </c>
      <c r="S63" s="14">
        <f t="shared" si="162"/>
        <v>4</v>
      </c>
      <c r="T63" s="16">
        <v>36.0</v>
      </c>
      <c r="U63" s="16">
        <v>39.0</v>
      </c>
      <c r="V63" s="16">
        <v>55.0</v>
      </c>
      <c r="W63" s="15">
        <v>57.0</v>
      </c>
      <c r="X63" s="15">
        <v>61.0</v>
      </c>
      <c r="Y63" s="17">
        <v>61.0</v>
      </c>
      <c r="Z63" s="15">
        <v>60.0</v>
      </c>
      <c r="AA63" s="15">
        <v>77.77777777777779</v>
      </c>
      <c r="AB63" s="15">
        <v>82.05128205128204</v>
      </c>
      <c r="AC63" s="15">
        <v>83.63636363636363</v>
      </c>
      <c r="AD63" s="16">
        <v>84.21052631578947</v>
      </c>
      <c r="AE63" s="16">
        <v>88.52459016393442</v>
      </c>
      <c r="AF63" s="16">
        <v>91.80327868852459</v>
      </c>
      <c r="AG63" s="16">
        <v>93.33333333333333</v>
      </c>
      <c r="AH63" s="16">
        <f t="shared" si="11"/>
        <v>83.29939067</v>
      </c>
      <c r="AI63" s="18">
        <f t="shared" si="12"/>
        <v>91.22040073</v>
      </c>
      <c r="AJ63" s="14">
        <f t="shared" si="13"/>
        <v>42</v>
      </c>
      <c r="AK63" s="14">
        <f t="shared" si="14"/>
        <v>55.33333333</v>
      </c>
      <c r="AL63" s="14">
        <f t="shared" si="15"/>
        <v>8.333333333</v>
      </c>
      <c r="AM63" s="14">
        <f t="shared" si="16"/>
        <v>5.333333333</v>
      </c>
    </row>
    <row r="64" ht="14.25" customHeight="1">
      <c r="A64" s="1" t="s">
        <v>45</v>
      </c>
      <c r="B64" s="1" t="s">
        <v>132</v>
      </c>
      <c r="C64" s="1" t="s">
        <v>139</v>
      </c>
      <c r="D64" s="1" t="s">
        <v>139</v>
      </c>
      <c r="E64" s="14">
        <v>20607.0</v>
      </c>
      <c r="F64" s="15">
        <v>30.0</v>
      </c>
      <c r="G64" s="15">
        <v>38.0</v>
      </c>
      <c r="H64" s="15">
        <v>48.0</v>
      </c>
      <c r="I64" s="15">
        <v>57.0</v>
      </c>
      <c r="J64" s="15">
        <v>89.0</v>
      </c>
      <c r="K64" s="15">
        <v>93.0</v>
      </c>
      <c r="L64" s="16">
        <v>92.0</v>
      </c>
      <c r="M64" s="14">
        <f t="shared" ref="M64:S64" si="163">IF(AND(ISBLANK(F64), NOT(ISBLANK(T64))), T64, IF(OR(ISBLANK(T64), ISBLANK(F64)), "", T64-F64))</f>
        <v>12</v>
      </c>
      <c r="N64" s="14">
        <f t="shared" si="163"/>
        <v>9</v>
      </c>
      <c r="O64" s="14">
        <f t="shared" si="163"/>
        <v>27</v>
      </c>
      <c r="P64" s="14">
        <f t="shared" si="163"/>
        <v>22</v>
      </c>
      <c r="Q64" s="14">
        <f t="shared" si="163"/>
        <v>15</v>
      </c>
      <c r="R64" s="14">
        <f t="shared" si="163"/>
        <v>14</v>
      </c>
      <c r="S64" s="14">
        <f t="shared" si="163"/>
        <v>15</v>
      </c>
      <c r="T64" s="16">
        <v>42.0</v>
      </c>
      <c r="U64" s="16">
        <v>47.0</v>
      </c>
      <c r="V64" s="16">
        <v>75.0</v>
      </c>
      <c r="W64" s="15">
        <v>79.0</v>
      </c>
      <c r="X64" s="15">
        <v>104.0</v>
      </c>
      <c r="Y64" s="17">
        <v>107.0</v>
      </c>
      <c r="Z64" s="15">
        <v>107.0</v>
      </c>
      <c r="AA64" s="15">
        <v>71.42857142857143</v>
      </c>
      <c r="AB64" s="15">
        <v>80.85106382978722</v>
      </c>
      <c r="AC64" s="15">
        <v>64.0</v>
      </c>
      <c r="AD64" s="16">
        <v>72.15189873417721</v>
      </c>
      <c r="AE64" s="16">
        <v>85.57692307692307</v>
      </c>
      <c r="AF64" s="16">
        <v>86.91588785046729</v>
      </c>
      <c r="AG64" s="16">
        <v>85.98130841121495</v>
      </c>
      <c r="AH64" s="16">
        <f t="shared" si="11"/>
        <v>72.33432085</v>
      </c>
      <c r="AI64" s="18">
        <f t="shared" si="12"/>
        <v>86.15803978</v>
      </c>
      <c r="AJ64" s="14">
        <f t="shared" si="13"/>
        <v>47.66666667</v>
      </c>
      <c r="AK64" s="14">
        <f t="shared" si="14"/>
        <v>91.33333333</v>
      </c>
      <c r="AL64" s="14">
        <f t="shared" si="15"/>
        <v>19.33333333</v>
      </c>
      <c r="AM64" s="14">
        <f t="shared" si="16"/>
        <v>14.66666667</v>
      </c>
    </row>
    <row r="65" ht="14.25" customHeight="1">
      <c r="A65" s="1" t="s">
        <v>45</v>
      </c>
      <c r="B65" s="1" t="s">
        <v>132</v>
      </c>
      <c r="C65" s="1" t="s">
        <v>140</v>
      </c>
      <c r="D65" s="1" t="s">
        <v>140</v>
      </c>
      <c r="E65" s="14">
        <v>20608.0</v>
      </c>
      <c r="F65" s="15">
        <v>14.0</v>
      </c>
      <c r="G65" s="15">
        <v>15.0</v>
      </c>
      <c r="H65" s="15">
        <v>20.0</v>
      </c>
      <c r="I65" s="15">
        <v>26.0</v>
      </c>
      <c r="J65" s="15">
        <v>54.0</v>
      </c>
      <c r="K65" s="15">
        <v>58.0</v>
      </c>
      <c r="L65" s="16">
        <v>61.0</v>
      </c>
      <c r="M65" s="14">
        <f t="shared" ref="M65:S65" si="164">IF(AND(ISBLANK(F65), NOT(ISBLANK(T65))), T65, IF(OR(ISBLANK(T65), ISBLANK(F65)), "", T65-F65))</f>
        <v>15</v>
      </c>
      <c r="N65" s="14">
        <f t="shared" si="164"/>
        <v>14</v>
      </c>
      <c r="O65" s="14">
        <f t="shared" si="164"/>
        <v>25</v>
      </c>
      <c r="P65" s="14">
        <f t="shared" si="164"/>
        <v>24</v>
      </c>
      <c r="Q65" s="14">
        <f t="shared" si="164"/>
        <v>16</v>
      </c>
      <c r="R65" s="14">
        <f t="shared" si="164"/>
        <v>13</v>
      </c>
      <c r="S65" s="14">
        <f t="shared" si="164"/>
        <v>13</v>
      </c>
      <c r="T65" s="16">
        <v>29.0</v>
      </c>
      <c r="U65" s="16">
        <v>29.0</v>
      </c>
      <c r="V65" s="16">
        <v>45.0</v>
      </c>
      <c r="W65" s="15">
        <v>50.0</v>
      </c>
      <c r="X65" s="15">
        <v>70.0</v>
      </c>
      <c r="Y65" s="17">
        <v>71.0</v>
      </c>
      <c r="Z65" s="15">
        <v>74.0</v>
      </c>
      <c r="AA65" s="15">
        <v>48.275862068965516</v>
      </c>
      <c r="AB65" s="15">
        <v>51.724137931034484</v>
      </c>
      <c r="AC65" s="15">
        <v>44.44444444444444</v>
      </c>
      <c r="AD65" s="16">
        <v>52.0</v>
      </c>
      <c r="AE65" s="16">
        <v>77.14285714285715</v>
      </c>
      <c r="AF65" s="16">
        <v>81.69014084507043</v>
      </c>
      <c r="AG65" s="16">
        <v>82.43243243243244</v>
      </c>
      <c r="AH65" s="16">
        <f t="shared" si="11"/>
        <v>49.38952746</v>
      </c>
      <c r="AI65" s="18">
        <f t="shared" si="12"/>
        <v>80.42181014</v>
      </c>
      <c r="AJ65" s="14">
        <f t="shared" si="13"/>
        <v>20.33333333</v>
      </c>
      <c r="AK65" s="14">
        <f t="shared" si="14"/>
        <v>57.66666667</v>
      </c>
      <c r="AL65" s="14">
        <f t="shared" si="15"/>
        <v>21</v>
      </c>
      <c r="AM65" s="14">
        <f t="shared" si="16"/>
        <v>14</v>
      </c>
    </row>
    <row r="66" ht="14.25" customHeight="1">
      <c r="A66" s="1" t="s">
        <v>45</v>
      </c>
      <c r="B66" s="1" t="s">
        <v>141</v>
      </c>
      <c r="C66" s="1" t="s">
        <v>142</v>
      </c>
      <c r="D66" s="1" t="s">
        <v>142</v>
      </c>
      <c r="E66" s="14">
        <v>20701.0</v>
      </c>
      <c r="F66" s="15">
        <v>21.0</v>
      </c>
      <c r="G66" s="15">
        <v>26.0</v>
      </c>
      <c r="H66" s="15">
        <v>38.0</v>
      </c>
      <c r="I66" s="15">
        <v>47.0</v>
      </c>
      <c r="J66" s="15">
        <v>114.0</v>
      </c>
      <c r="K66" s="15">
        <v>126.0</v>
      </c>
      <c r="L66" s="16">
        <v>143.0</v>
      </c>
      <c r="M66" s="14">
        <f t="shared" ref="M66:S66" si="165">IF(AND(ISBLANK(F66), NOT(ISBLANK(T66))), T66, IF(OR(ISBLANK(T66), ISBLANK(F66)), "", T66-F66))</f>
        <v>23</v>
      </c>
      <c r="N66" s="14">
        <f t="shared" si="165"/>
        <v>19</v>
      </c>
      <c r="O66" s="14">
        <f t="shared" si="165"/>
        <v>51</v>
      </c>
      <c r="P66" s="14">
        <f t="shared" si="165"/>
        <v>45</v>
      </c>
      <c r="Q66" s="14">
        <f t="shared" si="165"/>
        <v>29</v>
      </c>
      <c r="R66" s="14">
        <f t="shared" si="165"/>
        <v>28</v>
      </c>
      <c r="S66" s="14">
        <f t="shared" si="165"/>
        <v>27</v>
      </c>
      <c r="T66" s="16">
        <v>44.0</v>
      </c>
      <c r="U66" s="16">
        <v>45.0</v>
      </c>
      <c r="V66" s="16">
        <v>89.0</v>
      </c>
      <c r="W66" s="15">
        <v>92.0</v>
      </c>
      <c r="X66" s="15">
        <v>143.0</v>
      </c>
      <c r="Y66" s="17">
        <v>154.0</v>
      </c>
      <c r="Z66" s="15">
        <v>170.0</v>
      </c>
      <c r="AA66" s="15">
        <v>47.72727272727273</v>
      </c>
      <c r="AB66" s="15">
        <v>57.77777777777777</v>
      </c>
      <c r="AC66" s="15">
        <v>42.69662921348314</v>
      </c>
      <c r="AD66" s="16">
        <v>51.08695652173913</v>
      </c>
      <c r="AE66" s="16">
        <v>79.72027972027972</v>
      </c>
      <c r="AF66" s="16">
        <v>81.81818181818183</v>
      </c>
      <c r="AG66" s="16">
        <v>84.11764705882354</v>
      </c>
      <c r="AH66" s="16">
        <f t="shared" si="11"/>
        <v>50.5204545</v>
      </c>
      <c r="AI66" s="18">
        <f t="shared" si="12"/>
        <v>81.88536953</v>
      </c>
      <c r="AJ66" s="14">
        <f t="shared" si="13"/>
        <v>37</v>
      </c>
      <c r="AK66" s="14">
        <f t="shared" si="14"/>
        <v>127.6666667</v>
      </c>
      <c r="AL66" s="14">
        <f t="shared" si="15"/>
        <v>38.33333333</v>
      </c>
      <c r="AM66" s="14">
        <f t="shared" si="16"/>
        <v>28</v>
      </c>
    </row>
    <row r="67" ht="14.25" customHeight="1">
      <c r="A67" s="1" t="s">
        <v>45</v>
      </c>
      <c r="B67" s="1" t="s">
        <v>141</v>
      </c>
      <c r="C67" s="1" t="s">
        <v>143</v>
      </c>
      <c r="D67" s="1" t="s">
        <v>143</v>
      </c>
      <c r="E67" s="14">
        <v>20702.0</v>
      </c>
      <c r="F67" s="15">
        <v>9.0</v>
      </c>
      <c r="G67" s="15">
        <v>12.0</v>
      </c>
      <c r="H67" s="15">
        <v>18.0</v>
      </c>
      <c r="I67" s="15">
        <v>23.0</v>
      </c>
      <c r="J67" s="15">
        <v>53.0</v>
      </c>
      <c r="K67" s="15">
        <v>56.0</v>
      </c>
      <c r="L67" s="16">
        <v>61.0</v>
      </c>
      <c r="M67" s="14">
        <f t="shared" ref="M67:S67" si="166">IF(AND(ISBLANK(F67), NOT(ISBLANK(T67))), T67, IF(OR(ISBLANK(T67), ISBLANK(F67)), "", T67-F67))</f>
        <v>12</v>
      </c>
      <c r="N67" s="14">
        <f t="shared" si="166"/>
        <v>9</v>
      </c>
      <c r="O67" s="14">
        <f t="shared" si="166"/>
        <v>22</v>
      </c>
      <c r="P67" s="14">
        <f t="shared" si="166"/>
        <v>18</v>
      </c>
      <c r="Q67" s="14">
        <f t="shared" si="166"/>
        <v>19</v>
      </c>
      <c r="R67" s="14">
        <f t="shared" si="166"/>
        <v>18</v>
      </c>
      <c r="S67" s="14">
        <f t="shared" si="166"/>
        <v>16</v>
      </c>
      <c r="T67" s="16">
        <v>21.0</v>
      </c>
      <c r="U67" s="16">
        <v>21.0</v>
      </c>
      <c r="V67" s="16">
        <v>40.0</v>
      </c>
      <c r="W67" s="15">
        <v>41.0</v>
      </c>
      <c r="X67" s="15">
        <v>72.0</v>
      </c>
      <c r="Y67" s="17">
        <v>74.0</v>
      </c>
      <c r="Z67" s="15">
        <v>77.0</v>
      </c>
      <c r="AA67" s="15">
        <v>42.857142857142854</v>
      </c>
      <c r="AB67" s="15">
        <v>57.14285714285714</v>
      </c>
      <c r="AC67" s="15">
        <v>45.0</v>
      </c>
      <c r="AD67" s="16">
        <v>56.09756097560976</v>
      </c>
      <c r="AE67" s="16">
        <v>73.61111111111111</v>
      </c>
      <c r="AF67" s="16">
        <v>75.67567567567568</v>
      </c>
      <c r="AG67" s="16">
        <v>79.22077922077922</v>
      </c>
      <c r="AH67" s="16">
        <f t="shared" si="11"/>
        <v>52.74680604</v>
      </c>
      <c r="AI67" s="18">
        <f t="shared" si="12"/>
        <v>76.16918867</v>
      </c>
      <c r="AJ67" s="14">
        <f t="shared" si="13"/>
        <v>17.66666667</v>
      </c>
      <c r="AK67" s="14">
        <f t="shared" si="14"/>
        <v>56.66666667</v>
      </c>
      <c r="AL67" s="14">
        <f t="shared" si="15"/>
        <v>16.33333333</v>
      </c>
      <c r="AM67" s="14">
        <f t="shared" si="16"/>
        <v>17.66666667</v>
      </c>
    </row>
    <row r="68" ht="14.25" customHeight="1">
      <c r="A68" s="1" t="s">
        <v>45</v>
      </c>
      <c r="B68" s="1" t="s">
        <v>144</v>
      </c>
      <c r="C68" s="1" t="s">
        <v>145</v>
      </c>
      <c r="D68" s="1" t="s">
        <v>145</v>
      </c>
      <c r="E68" s="14">
        <v>20801.0</v>
      </c>
      <c r="F68" s="15">
        <v>184.0</v>
      </c>
      <c r="G68" s="15">
        <v>189.0</v>
      </c>
      <c r="H68" s="15">
        <v>240.0</v>
      </c>
      <c r="I68" s="15">
        <v>259.0</v>
      </c>
      <c r="J68" s="15">
        <v>395.0</v>
      </c>
      <c r="K68" s="15">
        <v>411.0</v>
      </c>
      <c r="L68" s="16">
        <v>421.0</v>
      </c>
      <c r="M68" s="14">
        <f t="shared" ref="M68:S68" si="167">IF(AND(ISBLANK(F68), NOT(ISBLANK(T68))), T68, IF(OR(ISBLANK(T68), ISBLANK(F68)), "", T68-F68))</f>
        <v>48</v>
      </c>
      <c r="N68" s="14">
        <f t="shared" si="167"/>
        <v>47</v>
      </c>
      <c r="O68" s="14">
        <f t="shared" si="167"/>
        <v>107</v>
      </c>
      <c r="P68" s="14">
        <f t="shared" si="167"/>
        <v>110</v>
      </c>
      <c r="Q68" s="14">
        <f t="shared" si="167"/>
        <v>120</v>
      </c>
      <c r="R68" s="14">
        <f t="shared" si="167"/>
        <v>128</v>
      </c>
      <c r="S68" s="14">
        <f t="shared" si="167"/>
        <v>130</v>
      </c>
      <c r="T68" s="16">
        <v>232.0</v>
      </c>
      <c r="U68" s="16">
        <v>236.0</v>
      </c>
      <c r="V68" s="16">
        <v>347.0</v>
      </c>
      <c r="W68" s="15">
        <v>369.0</v>
      </c>
      <c r="X68" s="15">
        <v>515.0</v>
      </c>
      <c r="Y68" s="17">
        <v>539.0</v>
      </c>
      <c r="Z68" s="15">
        <v>551.0</v>
      </c>
      <c r="AA68" s="15">
        <v>79.3103448275862</v>
      </c>
      <c r="AB68" s="15">
        <v>80.08474576271186</v>
      </c>
      <c r="AC68" s="15">
        <v>69.164265129683</v>
      </c>
      <c r="AD68" s="16">
        <v>70.18970189701898</v>
      </c>
      <c r="AE68" s="16">
        <v>76.69902912621359</v>
      </c>
      <c r="AF68" s="16">
        <v>76.25231910946196</v>
      </c>
      <c r="AG68" s="16">
        <v>76.40653357531761</v>
      </c>
      <c r="AH68" s="16">
        <f t="shared" si="11"/>
        <v>73.1462376</v>
      </c>
      <c r="AI68" s="18">
        <f t="shared" si="12"/>
        <v>76.45262727</v>
      </c>
      <c r="AJ68" s="14">
        <f t="shared" si="13"/>
        <v>229.3333333</v>
      </c>
      <c r="AK68" s="14">
        <f t="shared" si="14"/>
        <v>409</v>
      </c>
      <c r="AL68" s="14">
        <f t="shared" si="15"/>
        <v>88</v>
      </c>
      <c r="AM68" s="14">
        <f t="shared" si="16"/>
        <v>126</v>
      </c>
    </row>
    <row r="69" ht="14.25" customHeight="1">
      <c r="A69" s="1" t="s">
        <v>45</v>
      </c>
      <c r="B69" s="1" t="s">
        <v>144</v>
      </c>
      <c r="C69" s="1" t="s">
        <v>146</v>
      </c>
      <c r="D69" s="1" t="s">
        <v>147</v>
      </c>
      <c r="E69" s="14">
        <v>20802.0</v>
      </c>
      <c r="F69" s="15">
        <v>35.0</v>
      </c>
      <c r="G69" s="15">
        <v>36.0</v>
      </c>
      <c r="H69" s="15">
        <v>42.0</v>
      </c>
      <c r="I69" s="15">
        <v>41.0</v>
      </c>
      <c r="J69" s="15">
        <v>46.0</v>
      </c>
      <c r="K69" s="15">
        <v>47.0</v>
      </c>
      <c r="L69" s="16">
        <v>48.0</v>
      </c>
      <c r="M69" s="14">
        <f t="shared" ref="M69:S69" si="168">IF(AND(ISBLANK(F69), NOT(ISBLANK(T69))), T69, IF(OR(ISBLANK(T69), ISBLANK(F69)), "", T69-F69))</f>
        <v>7</v>
      </c>
      <c r="N69" s="14">
        <f t="shared" si="168"/>
        <v>6</v>
      </c>
      <c r="O69" s="14">
        <f t="shared" si="168"/>
        <v>13</v>
      </c>
      <c r="P69" s="14">
        <f t="shared" si="168"/>
        <v>16</v>
      </c>
      <c r="Q69" s="14">
        <f t="shared" si="168"/>
        <v>16</v>
      </c>
      <c r="R69" s="14">
        <f t="shared" si="168"/>
        <v>18</v>
      </c>
      <c r="S69" s="14">
        <f t="shared" si="168"/>
        <v>17</v>
      </c>
      <c r="T69" s="16">
        <v>42.0</v>
      </c>
      <c r="U69" s="16">
        <v>42.0</v>
      </c>
      <c r="V69" s="16">
        <v>55.0</v>
      </c>
      <c r="W69" s="15">
        <v>57.0</v>
      </c>
      <c r="X69" s="15">
        <v>62.0</v>
      </c>
      <c r="Y69" s="17">
        <v>65.0</v>
      </c>
      <c r="Z69" s="15">
        <v>65.0</v>
      </c>
      <c r="AA69" s="15">
        <v>83.33333333333334</v>
      </c>
      <c r="AB69" s="15">
        <v>85.71428571428571</v>
      </c>
      <c r="AC69" s="15">
        <v>76.36363636363637</v>
      </c>
      <c r="AD69" s="16">
        <v>71.9298245614035</v>
      </c>
      <c r="AE69" s="16">
        <v>74.19354838709677</v>
      </c>
      <c r="AF69" s="16">
        <v>72.3076923076923</v>
      </c>
      <c r="AG69" s="16">
        <v>73.84615384615385</v>
      </c>
      <c r="AH69" s="16">
        <f t="shared" si="11"/>
        <v>78.00258221</v>
      </c>
      <c r="AI69" s="18">
        <f t="shared" si="12"/>
        <v>73.44913151</v>
      </c>
      <c r="AJ69" s="14">
        <f t="shared" si="13"/>
        <v>39.66666667</v>
      </c>
      <c r="AK69" s="14">
        <f t="shared" si="14"/>
        <v>47</v>
      </c>
      <c r="AL69" s="14">
        <f t="shared" si="15"/>
        <v>11.66666667</v>
      </c>
      <c r="AM69" s="14">
        <f t="shared" si="16"/>
        <v>17</v>
      </c>
    </row>
    <row r="70" ht="14.25" customHeight="1">
      <c r="A70" s="1" t="s">
        <v>45</v>
      </c>
      <c r="B70" s="1" t="s">
        <v>144</v>
      </c>
      <c r="C70" s="1" t="s">
        <v>148</v>
      </c>
      <c r="D70" s="1" t="s">
        <v>148</v>
      </c>
      <c r="E70" s="14">
        <v>20803.0</v>
      </c>
      <c r="F70" s="15">
        <v>39.0</v>
      </c>
      <c r="G70" s="15">
        <v>42.0</v>
      </c>
      <c r="H70" s="15">
        <v>56.0</v>
      </c>
      <c r="I70" s="15">
        <v>57.0</v>
      </c>
      <c r="J70" s="15">
        <v>69.0</v>
      </c>
      <c r="K70" s="15">
        <v>74.0</v>
      </c>
      <c r="L70" s="16">
        <v>76.0</v>
      </c>
      <c r="M70" s="14">
        <f t="shared" ref="M70:S70" si="169">IF(AND(ISBLANK(F70), NOT(ISBLANK(T70))), T70, IF(OR(ISBLANK(T70), ISBLANK(F70)), "", T70-F70))</f>
        <v>22</v>
      </c>
      <c r="N70" s="14">
        <f t="shared" si="169"/>
        <v>18</v>
      </c>
      <c r="O70" s="14">
        <f t="shared" si="169"/>
        <v>30</v>
      </c>
      <c r="P70" s="14">
        <f t="shared" si="169"/>
        <v>30</v>
      </c>
      <c r="Q70" s="14">
        <f t="shared" si="169"/>
        <v>31</v>
      </c>
      <c r="R70" s="14">
        <f t="shared" si="169"/>
        <v>30</v>
      </c>
      <c r="S70" s="14">
        <f t="shared" si="169"/>
        <v>30</v>
      </c>
      <c r="T70" s="16">
        <v>61.0</v>
      </c>
      <c r="U70" s="16">
        <v>60.0</v>
      </c>
      <c r="V70" s="16">
        <v>86.0</v>
      </c>
      <c r="W70" s="15">
        <v>87.0</v>
      </c>
      <c r="X70" s="15">
        <v>100.0</v>
      </c>
      <c r="Y70" s="17">
        <v>104.0</v>
      </c>
      <c r="Z70" s="15">
        <v>106.0</v>
      </c>
      <c r="AA70" s="15">
        <v>63.934426229508205</v>
      </c>
      <c r="AB70" s="15">
        <v>70.0</v>
      </c>
      <c r="AC70" s="15">
        <v>65.11627906976744</v>
      </c>
      <c r="AD70" s="16">
        <v>65.51724137931035</v>
      </c>
      <c r="AE70" s="16">
        <v>69.0</v>
      </c>
      <c r="AF70" s="16">
        <v>71.15384615384616</v>
      </c>
      <c r="AG70" s="16">
        <v>71.69811320754717</v>
      </c>
      <c r="AH70" s="16">
        <f t="shared" si="11"/>
        <v>66.87784015</v>
      </c>
      <c r="AI70" s="18">
        <f t="shared" si="12"/>
        <v>70.61731979</v>
      </c>
      <c r="AJ70" s="14">
        <f t="shared" si="13"/>
        <v>51.66666667</v>
      </c>
      <c r="AK70" s="14">
        <f t="shared" si="14"/>
        <v>73</v>
      </c>
      <c r="AL70" s="14">
        <f t="shared" si="15"/>
        <v>26</v>
      </c>
      <c r="AM70" s="14">
        <f t="shared" si="16"/>
        <v>30.33333333</v>
      </c>
    </row>
    <row r="71" ht="14.25" customHeight="1">
      <c r="A71" s="1" t="s">
        <v>45</v>
      </c>
      <c r="B71" s="1" t="s">
        <v>144</v>
      </c>
      <c r="C71" s="1" t="s">
        <v>149</v>
      </c>
      <c r="D71" s="1" t="s">
        <v>149</v>
      </c>
      <c r="E71" s="14">
        <v>20804.0</v>
      </c>
      <c r="F71" s="15">
        <v>17.0</v>
      </c>
      <c r="G71" s="15">
        <v>21.0</v>
      </c>
      <c r="H71" s="15">
        <v>28.0</v>
      </c>
      <c r="I71" s="15">
        <v>30.0</v>
      </c>
      <c r="J71" s="15">
        <v>43.0</v>
      </c>
      <c r="K71" s="15">
        <v>43.0</v>
      </c>
      <c r="L71" s="16">
        <v>43.0</v>
      </c>
      <c r="M71" s="14">
        <f t="shared" ref="M71:S71" si="170">IF(AND(ISBLANK(F71), NOT(ISBLANK(T71))), T71, IF(OR(ISBLANK(T71), ISBLANK(F71)), "", T71-F71))</f>
        <v>9</v>
      </c>
      <c r="N71" s="14">
        <f t="shared" si="170"/>
        <v>7</v>
      </c>
      <c r="O71" s="14">
        <f t="shared" si="170"/>
        <v>17</v>
      </c>
      <c r="P71" s="14">
        <f t="shared" si="170"/>
        <v>19</v>
      </c>
      <c r="Q71" s="14">
        <f t="shared" si="170"/>
        <v>11</v>
      </c>
      <c r="R71" s="14">
        <f t="shared" si="170"/>
        <v>11</v>
      </c>
      <c r="S71" s="14">
        <f t="shared" si="170"/>
        <v>14</v>
      </c>
      <c r="T71" s="16">
        <v>26.0</v>
      </c>
      <c r="U71" s="16">
        <v>28.0</v>
      </c>
      <c r="V71" s="16">
        <v>45.0</v>
      </c>
      <c r="W71" s="15">
        <v>49.0</v>
      </c>
      <c r="X71" s="15">
        <v>54.0</v>
      </c>
      <c r="Y71" s="17">
        <v>54.0</v>
      </c>
      <c r="Z71" s="15">
        <v>57.0</v>
      </c>
      <c r="AA71" s="15">
        <v>65.38461538461539</v>
      </c>
      <c r="AB71" s="15">
        <v>75.0</v>
      </c>
      <c r="AC71" s="15">
        <v>62.22222222222222</v>
      </c>
      <c r="AD71" s="16">
        <v>61.224489795918366</v>
      </c>
      <c r="AE71" s="16">
        <v>79.62962962962963</v>
      </c>
      <c r="AF71" s="16">
        <v>79.62962962962963</v>
      </c>
      <c r="AG71" s="16">
        <v>75.43859649122807</v>
      </c>
      <c r="AH71" s="16">
        <f t="shared" si="11"/>
        <v>66.14890401</v>
      </c>
      <c r="AI71" s="18">
        <f t="shared" si="12"/>
        <v>78.23261858</v>
      </c>
      <c r="AJ71" s="14">
        <f t="shared" si="13"/>
        <v>26.33333333</v>
      </c>
      <c r="AK71" s="14">
        <f t="shared" si="14"/>
        <v>43</v>
      </c>
      <c r="AL71" s="14">
        <f t="shared" si="15"/>
        <v>14.33333333</v>
      </c>
      <c r="AM71" s="14">
        <f t="shared" si="16"/>
        <v>12</v>
      </c>
    </row>
    <row r="72" ht="14.25" customHeight="1">
      <c r="A72" s="1" t="s">
        <v>45</v>
      </c>
      <c r="B72" s="1" t="s">
        <v>144</v>
      </c>
      <c r="C72" s="1" t="s">
        <v>150</v>
      </c>
      <c r="D72" s="1" t="s">
        <v>151</v>
      </c>
      <c r="E72" s="14">
        <v>20805.0</v>
      </c>
      <c r="F72" s="15">
        <v>21.0</v>
      </c>
      <c r="G72" s="15">
        <v>23.0</v>
      </c>
      <c r="H72" s="15">
        <v>28.0</v>
      </c>
      <c r="I72" s="15">
        <v>31.0</v>
      </c>
      <c r="J72" s="15">
        <v>55.0</v>
      </c>
      <c r="K72" s="15">
        <v>56.0</v>
      </c>
      <c r="L72" s="16">
        <v>55.0</v>
      </c>
      <c r="M72" s="14">
        <f t="shared" ref="M72:S72" si="171">IF(AND(ISBLANK(F72), NOT(ISBLANK(T72))), T72, IF(OR(ISBLANK(T72), ISBLANK(F72)), "", T72-F72))</f>
        <v>29</v>
      </c>
      <c r="N72" s="14">
        <f t="shared" si="171"/>
        <v>27</v>
      </c>
      <c r="O72" s="14">
        <f t="shared" si="171"/>
        <v>39</v>
      </c>
      <c r="P72" s="14">
        <f t="shared" si="171"/>
        <v>37</v>
      </c>
      <c r="Q72" s="14">
        <f t="shared" si="171"/>
        <v>18</v>
      </c>
      <c r="R72" s="14">
        <f t="shared" si="171"/>
        <v>17</v>
      </c>
      <c r="S72" s="14">
        <f t="shared" si="171"/>
        <v>18</v>
      </c>
      <c r="T72" s="16">
        <v>50.0</v>
      </c>
      <c r="U72" s="16">
        <v>50.0</v>
      </c>
      <c r="V72" s="16">
        <v>67.0</v>
      </c>
      <c r="W72" s="15">
        <v>68.0</v>
      </c>
      <c r="X72" s="15">
        <v>73.0</v>
      </c>
      <c r="Y72" s="17">
        <v>73.0</v>
      </c>
      <c r="Z72" s="15">
        <v>73.0</v>
      </c>
      <c r="AA72" s="15">
        <v>42.0</v>
      </c>
      <c r="AB72" s="15">
        <v>46.0</v>
      </c>
      <c r="AC72" s="15">
        <v>41.7910447761194</v>
      </c>
      <c r="AD72" s="16">
        <v>45.588235294117645</v>
      </c>
      <c r="AE72" s="16">
        <v>75.34246575342466</v>
      </c>
      <c r="AF72" s="16">
        <v>76.71232876712328</v>
      </c>
      <c r="AG72" s="16">
        <v>75.34246575342466</v>
      </c>
      <c r="AH72" s="16">
        <f t="shared" si="11"/>
        <v>44.45976002</v>
      </c>
      <c r="AI72" s="18">
        <f t="shared" si="12"/>
        <v>75.79908676</v>
      </c>
      <c r="AJ72" s="14">
        <f t="shared" si="13"/>
        <v>27.33333333</v>
      </c>
      <c r="AK72" s="14">
        <f t="shared" si="14"/>
        <v>55.33333333</v>
      </c>
      <c r="AL72" s="14">
        <f t="shared" si="15"/>
        <v>34.33333333</v>
      </c>
      <c r="AM72" s="14">
        <f t="shared" si="16"/>
        <v>17.66666667</v>
      </c>
    </row>
    <row r="73" ht="14.25" customHeight="1">
      <c r="A73" s="1" t="s">
        <v>45</v>
      </c>
      <c r="B73" s="1" t="s">
        <v>144</v>
      </c>
      <c r="C73" s="1" t="s">
        <v>152</v>
      </c>
      <c r="D73" s="1" t="s">
        <v>153</v>
      </c>
      <c r="E73" s="14">
        <v>20806.0</v>
      </c>
      <c r="F73" s="15">
        <v>72.0</v>
      </c>
      <c r="G73" s="15">
        <v>73.0</v>
      </c>
      <c r="H73" s="15">
        <v>85.0</v>
      </c>
      <c r="I73" s="15">
        <v>88.0</v>
      </c>
      <c r="J73" s="15">
        <v>114.0</v>
      </c>
      <c r="K73" s="15">
        <v>115.0</v>
      </c>
      <c r="L73" s="16">
        <v>114.0</v>
      </c>
      <c r="M73" s="14">
        <f t="shared" ref="M73:S73" si="172">IF(AND(ISBLANK(F73), NOT(ISBLANK(T73))), T73, IF(OR(ISBLANK(T73), ISBLANK(F73)), "", T73-F73))</f>
        <v>29</v>
      </c>
      <c r="N73" s="14">
        <f t="shared" si="172"/>
        <v>27</v>
      </c>
      <c r="O73" s="14">
        <f t="shared" si="172"/>
        <v>41</v>
      </c>
      <c r="P73" s="14">
        <f t="shared" si="172"/>
        <v>38</v>
      </c>
      <c r="Q73" s="14">
        <f t="shared" si="172"/>
        <v>29</v>
      </c>
      <c r="R73" s="14">
        <f t="shared" si="172"/>
        <v>30</v>
      </c>
      <c r="S73" s="14">
        <f t="shared" si="172"/>
        <v>32</v>
      </c>
      <c r="T73" s="16">
        <v>101.0</v>
      </c>
      <c r="U73" s="16">
        <v>100.0</v>
      </c>
      <c r="V73" s="16">
        <v>126.0</v>
      </c>
      <c r="W73" s="15">
        <v>126.0</v>
      </c>
      <c r="X73" s="15">
        <v>143.0</v>
      </c>
      <c r="Y73" s="17">
        <v>145.0</v>
      </c>
      <c r="Z73" s="15">
        <v>146.0</v>
      </c>
      <c r="AA73" s="15">
        <v>71.28712871287128</v>
      </c>
      <c r="AB73" s="15">
        <v>73.0</v>
      </c>
      <c r="AC73" s="15">
        <v>67.46031746031747</v>
      </c>
      <c r="AD73" s="16">
        <v>69.84126984126983</v>
      </c>
      <c r="AE73" s="16">
        <v>79.72027972027972</v>
      </c>
      <c r="AF73" s="16">
        <v>79.3103448275862</v>
      </c>
      <c r="AG73" s="16">
        <v>78.08219178082192</v>
      </c>
      <c r="AH73" s="16">
        <f t="shared" si="11"/>
        <v>70.1005291</v>
      </c>
      <c r="AI73" s="18">
        <f t="shared" si="12"/>
        <v>79.03760544</v>
      </c>
      <c r="AJ73" s="14">
        <f t="shared" si="13"/>
        <v>82</v>
      </c>
      <c r="AK73" s="14">
        <f t="shared" si="14"/>
        <v>114.3333333</v>
      </c>
      <c r="AL73" s="14">
        <f t="shared" si="15"/>
        <v>35.33333333</v>
      </c>
      <c r="AM73" s="14">
        <f t="shared" si="16"/>
        <v>30.33333333</v>
      </c>
    </row>
    <row r="74" ht="14.25" customHeight="1">
      <c r="A74" s="1" t="s">
        <v>45</v>
      </c>
      <c r="B74" s="1" t="s">
        <v>144</v>
      </c>
      <c r="C74" s="1" t="s">
        <v>154</v>
      </c>
      <c r="D74" s="1" t="s">
        <v>154</v>
      </c>
      <c r="E74" s="14">
        <v>20807.0</v>
      </c>
      <c r="F74" s="15">
        <v>17.0</v>
      </c>
      <c r="G74" s="15">
        <v>17.0</v>
      </c>
      <c r="H74" s="15">
        <v>22.0</v>
      </c>
      <c r="I74" s="15">
        <v>24.0</v>
      </c>
      <c r="J74" s="15">
        <v>36.0</v>
      </c>
      <c r="K74" s="15">
        <v>35.0</v>
      </c>
      <c r="L74" s="16">
        <v>33.0</v>
      </c>
      <c r="M74" s="14">
        <f t="shared" ref="M74:S74" si="173">IF(AND(ISBLANK(F74), NOT(ISBLANK(T74))), T74, IF(OR(ISBLANK(T74), ISBLANK(F74)), "", T74-F74))</f>
        <v>10</v>
      </c>
      <c r="N74" s="14">
        <f t="shared" si="173"/>
        <v>9</v>
      </c>
      <c r="O74" s="14">
        <f t="shared" si="173"/>
        <v>15</v>
      </c>
      <c r="P74" s="14">
        <f t="shared" si="173"/>
        <v>14</v>
      </c>
      <c r="Q74" s="14">
        <f t="shared" si="173"/>
        <v>12</v>
      </c>
      <c r="R74" s="14">
        <f t="shared" si="173"/>
        <v>13</v>
      </c>
      <c r="S74" s="14">
        <f t="shared" si="173"/>
        <v>15</v>
      </c>
      <c r="T74" s="16">
        <v>27.0</v>
      </c>
      <c r="U74" s="16">
        <v>26.0</v>
      </c>
      <c r="V74" s="16">
        <v>37.0</v>
      </c>
      <c r="W74" s="15">
        <v>38.0</v>
      </c>
      <c r="X74" s="15">
        <v>48.0</v>
      </c>
      <c r="Y74" s="17">
        <v>48.0</v>
      </c>
      <c r="Z74" s="15">
        <v>48.0</v>
      </c>
      <c r="AA74" s="15">
        <v>62.96296296296296</v>
      </c>
      <c r="AB74" s="15">
        <v>65.38461538461539</v>
      </c>
      <c r="AC74" s="15">
        <v>59.45945945945946</v>
      </c>
      <c r="AD74" s="16">
        <v>63.1578947368421</v>
      </c>
      <c r="AE74" s="16">
        <v>75.0</v>
      </c>
      <c r="AF74" s="16">
        <v>72.91666666666666</v>
      </c>
      <c r="AG74" s="16">
        <v>68.75</v>
      </c>
      <c r="AH74" s="16">
        <f t="shared" si="11"/>
        <v>62.66732319</v>
      </c>
      <c r="AI74" s="18">
        <f t="shared" si="12"/>
        <v>72.22222222</v>
      </c>
      <c r="AJ74" s="14">
        <f t="shared" si="13"/>
        <v>21</v>
      </c>
      <c r="AK74" s="14">
        <f t="shared" si="14"/>
        <v>34.66666667</v>
      </c>
      <c r="AL74" s="14">
        <f t="shared" si="15"/>
        <v>12.66666667</v>
      </c>
      <c r="AM74" s="14">
        <f t="shared" si="16"/>
        <v>13.33333333</v>
      </c>
    </row>
    <row r="75" ht="14.25" customHeight="1">
      <c r="A75" s="1" t="s">
        <v>45</v>
      </c>
      <c r="B75" s="1" t="s">
        <v>155</v>
      </c>
      <c r="C75" s="1" t="s">
        <v>156</v>
      </c>
      <c r="D75" s="1" t="s">
        <v>156</v>
      </c>
      <c r="E75" s="14">
        <v>20901.0</v>
      </c>
      <c r="F75" s="15">
        <v>42.0</v>
      </c>
      <c r="G75" s="15">
        <v>45.0</v>
      </c>
      <c r="H75" s="15">
        <v>51.0</v>
      </c>
      <c r="I75" s="15">
        <v>53.0</v>
      </c>
      <c r="J75" s="15">
        <v>69.0</v>
      </c>
      <c r="K75" s="15">
        <v>73.0</v>
      </c>
      <c r="L75" s="16">
        <v>73.0</v>
      </c>
      <c r="M75" s="14">
        <f t="shared" ref="M75:S75" si="174">IF(AND(ISBLANK(F75), NOT(ISBLANK(T75))), T75, IF(OR(ISBLANK(T75), ISBLANK(F75)), "", T75-F75))</f>
        <v>7</v>
      </c>
      <c r="N75" s="14">
        <f t="shared" si="174"/>
        <v>6</v>
      </c>
      <c r="O75" s="14">
        <f t="shared" si="174"/>
        <v>21</v>
      </c>
      <c r="P75" s="14">
        <f t="shared" si="174"/>
        <v>19</v>
      </c>
      <c r="Q75" s="14">
        <f t="shared" si="174"/>
        <v>27</v>
      </c>
      <c r="R75" s="14">
        <f t="shared" si="174"/>
        <v>24</v>
      </c>
      <c r="S75" s="14">
        <f t="shared" si="174"/>
        <v>23</v>
      </c>
      <c r="T75" s="16">
        <v>49.0</v>
      </c>
      <c r="U75" s="16">
        <v>51.0</v>
      </c>
      <c r="V75" s="16">
        <v>72.0</v>
      </c>
      <c r="W75" s="15">
        <v>72.0</v>
      </c>
      <c r="X75" s="15">
        <v>96.0</v>
      </c>
      <c r="Y75" s="17">
        <v>97.0</v>
      </c>
      <c r="Z75" s="15">
        <v>96.0</v>
      </c>
      <c r="AA75" s="15">
        <v>85.71428571428571</v>
      </c>
      <c r="AB75" s="15">
        <v>88.23529411764706</v>
      </c>
      <c r="AC75" s="15">
        <v>70.83333333333334</v>
      </c>
      <c r="AD75" s="16">
        <v>73.61111111111111</v>
      </c>
      <c r="AE75" s="16">
        <v>71.875</v>
      </c>
      <c r="AF75" s="16">
        <v>75.25773195876289</v>
      </c>
      <c r="AG75" s="16">
        <v>76.04166666666666</v>
      </c>
      <c r="AH75" s="16">
        <f t="shared" si="11"/>
        <v>77.55991285</v>
      </c>
      <c r="AI75" s="18">
        <f t="shared" si="12"/>
        <v>74.39146621</v>
      </c>
      <c r="AJ75" s="14">
        <f t="shared" si="13"/>
        <v>49.66666667</v>
      </c>
      <c r="AK75" s="14">
        <f t="shared" si="14"/>
        <v>71.66666667</v>
      </c>
      <c r="AL75" s="14">
        <f t="shared" si="15"/>
        <v>15.33333333</v>
      </c>
      <c r="AM75" s="14">
        <f t="shared" si="16"/>
        <v>24.66666667</v>
      </c>
    </row>
    <row r="76" ht="14.25" customHeight="1">
      <c r="A76" s="1" t="s">
        <v>45</v>
      </c>
      <c r="B76" s="1" t="s">
        <v>155</v>
      </c>
      <c r="C76" s="1" t="s">
        <v>157</v>
      </c>
      <c r="D76" s="1" t="s">
        <v>157</v>
      </c>
      <c r="E76" s="14">
        <v>20902.0</v>
      </c>
      <c r="F76" s="15">
        <v>20.0</v>
      </c>
      <c r="G76" s="15">
        <v>25.0</v>
      </c>
      <c r="H76" s="15">
        <v>35.0</v>
      </c>
      <c r="I76" s="15">
        <v>37.0</v>
      </c>
      <c r="J76" s="15">
        <v>60.0</v>
      </c>
      <c r="K76" s="15">
        <v>61.0</v>
      </c>
      <c r="L76" s="16">
        <v>67.0</v>
      </c>
      <c r="M76" s="14">
        <f t="shared" ref="M76:S76" si="175">IF(AND(ISBLANK(F76), NOT(ISBLANK(T76))), T76, IF(OR(ISBLANK(T76), ISBLANK(F76)), "", T76-F76))</f>
        <v>16</v>
      </c>
      <c r="N76" s="14">
        <f t="shared" si="175"/>
        <v>15</v>
      </c>
      <c r="O76" s="14">
        <f t="shared" si="175"/>
        <v>24</v>
      </c>
      <c r="P76" s="14">
        <f t="shared" si="175"/>
        <v>24</v>
      </c>
      <c r="Q76" s="14">
        <f t="shared" si="175"/>
        <v>15</v>
      </c>
      <c r="R76" s="14">
        <f t="shared" si="175"/>
        <v>15</v>
      </c>
      <c r="S76" s="14">
        <f t="shared" si="175"/>
        <v>14</v>
      </c>
      <c r="T76" s="16">
        <v>36.0</v>
      </c>
      <c r="U76" s="16">
        <v>40.0</v>
      </c>
      <c r="V76" s="16">
        <v>59.0</v>
      </c>
      <c r="W76" s="15">
        <v>61.0</v>
      </c>
      <c r="X76" s="15">
        <v>75.0</v>
      </c>
      <c r="Y76" s="17">
        <v>76.0</v>
      </c>
      <c r="Z76" s="15">
        <v>81.0</v>
      </c>
      <c r="AA76" s="15">
        <v>55.55555555555556</v>
      </c>
      <c r="AB76" s="15">
        <v>62.5</v>
      </c>
      <c r="AC76" s="15">
        <v>59.32203389830508</v>
      </c>
      <c r="AD76" s="16">
        <v>60.65573770491803</v>
      </c>
      <c r="AE76" s="16">
        <v>80.0</v>
      </c>
      <c r="AF76" s="16">
        <v>80.26315789473685</v>
      </c>
      <c r="AG76" s="16">
        <v>82.71604938271605</v>
      </c>
      <c r="AH76" s="16">
        <f t="shared" si="11"/>
        <v>60.82592387</v>
      </c>
      <c r="AI76" s="18">
        <f t="shared" si="12"/>
        <v>80.99306909</v>
      </c>
      <c r="AJ76" s="14">
        <f t="shared" si="13"/>
        <v>32.33333333</v>
      </c>
      <c r="AK76" s="14">
        <f t="shared" si="14"/>
        <v>62.66666667</v>
      </c>
      <c r="AL76" s="14">
        <f t="shared" si="15"/>
        <v>21</v>
      </c>
      <c r="AM76" s="14">
        <f t="shared" si="16"/>
        <v>14.66666667</v>
      </c>
    </row>
    <row r="77" ht="14.25" customHeight="1">
      <c r="A77" s="1" t="s">
        <v>45</v>
      </c>
      <c r="B77" s="1" t="s">
        <v>155</v>
      </c>
      <c r="C77" s="1" t="s">
        <v>158</v>
      </c>
      <c r="D77" s="1" t="s">
        <v>158</v>
      </c>
      <c r="E77" s="14">
        <v>20903.0</v>
      </c>
      <c r="F77" s="15">
        <v>17.0</v>
      </c>
      <c r="G77" s="15">
        <v>17.0</v>
      </c>
      <c r="H77" s="15">
        <v>23.0</v>
      </c>
      <c r="I77" s="15">
        <v>23.0</v>
      </c>
      <c r="J77" s="15">
        <v>44.0</v>
      </c>
      <c r="K77" s="15">
        <v>44.0</v>
      </c>
      <c r="L77" s="16">
        <v>45.0</v>
      </c>
      <c r="M77" s="14">
        <f t="shared" ref="M77:S77" si="176">IF(AND(ISBLANK(F77), NOT(ISBLANK(T77))), T77, IF(OR(ISBLANK(T77), ISBLANK(F77)), "", T77-F77))</f>
        <v>16</v>
      </c>
      <c r="N77" s="14">
        <f t="shared" si="176"/>
        <v>17</v>
      </c>
      <c r="O77" s="14">
        <f t="shared" si="176"/>
        <v>27</v>
      </c>
      <c r="P77" s="14">
        <f t="shared" si="176"/>
        <v>28</v>
      </c>
      <c r="Q77" s="14">
        <f t="shared" si="176"/>
        <v>17</v>
      </c>
      <c r="R77" s="14">
        <f t="shared" si="176"/>
        <v>17</v>
      </c>
      <c r="S77" s="14">
        <f t="shared" si="176"/>
        <v>17</v>
      </c>
      <c r="T77" s="16">
        <v>33.0</v>
      </c>
      <c r="U77" s="16">
        <v>34.0</v>
      </c>
      <c r="V77" s="16">
        <v>50.0</v>
      </c>
      <c r="W77" s="15">
        <v>51.0</v>
      </c>
      <c r="X77" s="15">
        <v>61.0</v>
      </c>
      <c r="Y77" s="17">
        <v>61.0</v>
      </c>
      <c r="Z77" s="15">
        <v>62.0</v>
      </c>
      <c r="AA77" s="15">
        <v>51.515151515151516</v>
      </c>
      <c r="AB77" s="15">
        <v>50.0</v>
      </c>
      <c r="AC77" s="15">
        <v>46.0</v>
      </c>
      <c r="AD77" s="16">
        <v>45.09803921568628</v>
      </c>
      <c r="AE77" s="16">
        <v>72.1311475409836</v>
      </c>
      <c r="AF77" s="16">
        <v>72.1311475409836</v>
      </c>
      <c r="AG77" s="16">
        <v>72.58064516129032</v>
      </c>
      <c r="AH77" s="16">
        <f t="shared" si="11"/>
        <v>47.03267974</v>
      </c>
      <c r="AI77" s="18">
        <f t="shared" si="12"/>
        <v>72.28098008</v>
      </c>
      <c r="AJ77" s="14">
        <f t="shared" si="13"/>
        <v>21</v>
      </c>
      <c r="AK77" s="14">
        <f t="shared" si="14"/>
        <v>44.33333333</v>
      </c>
      <c r="AL77" s="14">
        <f t="shared" si="15"/>
        <v>24</v>
      </c>
      <c r="AM77" s="14">
        <f t="shared" si="16"/>
        <v>17</v>
      </c>
    </row>
    <row r="78" ht="14.25" customHeight="1">
      <c r="A78" s="1" t="s">
        <v>45</v>
      </c>
      <c r="B78" s="1" t="s">
        <v>155</v>
      </c>
      <c r="C78" s="1" t="s">
        <v>159</v>
      </c>
      <c r="D78" s="1" t="s">
        <v>159</v>
      </c>
      <c r="E78" s="14">
        <v>20904.0</v>
      </c>
      <c r="F78" s="15">
        <v>8.0</v>
      </c>
      <c r="G78" s="15">
        <v>8.0</v>
      </c>
      <c r="H78" s="15">
        <v>8.0</v>
      </c>
      <c r="I78" s="15">
        <v>9.0</v>
      </c>
      <c r="J78" s="15">
        <v>13.0</v>
      </c>
      <c r="K78" s="15">
        <v>13.0</v>
      </c>
      <c r="L78" s="16">
        <v>14.0</v>
      </c>
      <c r="M78" s="14">
        <f t="shared" ref="M78:S78" si="177">IF(AND(ISBLANK(F78), NOT(ISBLANK(T78))), T78, IF(OR(ISBLANK(T78), ISBLANK(F78)), "", T78-F78))</f>
        <v>2</v>
      </c>
      <c r="N78" s="14">
        <f t="shared" si="177"/>
        <v>2</v>
      </c>
      <c r="O78" s="14">
        <f t="shared" si="177"/>
        <v>7</v>
      </c>
      <c r="P78" s="14">
        <f t="shared" si="177"/>
        <v>6</v>
      </c>
      <c r="Q78" s="14">
        <f t="shared" si="177"/>
        <v>3</v>
      </c>
      <c r="R78" s="14">
        <f t="shared" si="177"/>
        <v>3</v>
      </c>
      <c r="S78" s="14">
        <f t="shared" si="177"/>
        <v>2</v>
      </c>
      <c r="T78" s="16">
        <v>10.0</v>
      </c>
      <c r="U78" s="16">
        <v>10.0</v>
      </c>
      <c r="V78" s="16">
        <v>15.0</v>
      </c>
      <c r="W78" s="15">
        <v>15.0</v>
      </c>
      <c r="X78" s="15">
        <v>16.0</v>
      </c>
      <c r="Y78" s="17">
        <v>16.0</v>
      </c>
      <c r="Z78" s="15">
        <v>16.0</v>
      </c>
      <c r="AA78" s="15">
        <v>80.0</v>
      </c>
      <c r="AB78" s="15">
        <v>80.0</v>
      </c>
      <c r="AC78" s="15">
        <v>53.333333333333336</v>
      </c>
      <c r="AD78" s="16">
        <v>60.0</v>
      </c>
      <c r="AE78" s="16">
        <v>81.25</v>
      </c>
      <c r="AF78" s="16">
        <v>81.25</v>
      </c>
      <c r="AG78" s="16">
        <v>87.5</v>
      </c>
      <c r="AH78" s="16">
        <f t="shared" si="11"/>
        <v>64.44444444</v>
      </c>
      <c r="AI78" s="18">
        <f t="shared" si="12"/>
        <v>83.33333333</v>
      </c>
      <c r="AJ78" s="14">
        <f t="shared" si="13"/>
        <v>8.333333333</v>
      </c>
      <c r="AK78" s="14">
        <f t="shared" si="14"/>
        <v>13.33333333</v>
      </c>
      <c r="AL78" s="14">
        <f t="shared" si="15"/>
        <v>5</v>
      </c>
      <c r="AM78" s="14">
        <f t="shared" si="16"/>
        <v>2.666666667</v>
      </c>
    </row>
    <row r="79" ht="14.25" customHeight="1">
      <c r="A79" s="1" t="s">
        <v>45</v>
      </c>
      <c r="B79" s="1" t="s">
        <v>155</v>
      </c>
      <c r="C79" s="1" t="s">
        <v>160</v>
      </c>
      <c r="D79" s="1" t="s">
        <v>160</v>
      </c>
      <c r="E79" s="14">
        <v>20905.0</v>
      </c>
      <c r="F79" s="15">
        <v>28.0</v>
      </c>
      <c r="G79" s="15">
        <v>31.0</v>
      </c>
      <c r="H79" s="15">
        <v>38.0</v>
      </c>
      <c r="I79" s="15">
        <v>49.0</v>
      </c>
      <c r="J79" s="15">
        <v>72.0</v>
      </c>
      <c r="K79" s="15">
        <v>74.0</v>
      </c>
      <c r="L79" s="16">
        <v>73.0</v>
      </c>
      <c r="M79" s="14">
        <f t="shared" ref="M79:S79" si="178">IF(AND(ISBLANK(F79), NOT(ISBLANK(T79))), T79, IF(OR(ISBLANK(T79), ISBLANK(F79)), "", T79-F79))</f>
        <v>27</v>
      </c>
      <c r="N79" s="14">
        <f t="shared" si="178"/>
        <v>25</v>
      </c>
      <c r="O79" s="14">
        <f t="shared" si="178"/>
        <v>42</v>
      </c>
      <c r="P79" s="14">
        <f t="shared" si="178"/>
        <v>33</v>
      </c>
      <c r="Q79" s="14">
        <f t="shared" si="178"/>
        <v>20</v>
      </c>
      <c r="R79" s="14">
        <f t="shared" si="178"/>
        <v>20</v>
      </c>
      <c r="S79" s="14">
        <f t="shared" si="178"/>
        <v>23</v>
      </c>
      <c r="T79" s="16">
        <v>55.0</v>
      </c>
      <c r="U79" s="16">
        <v>56.0</v>
      </c>
      <c r="V79" s="16">
        <v>80.0</v>
      </c>
      <c r="W79" s="15">
        <v>82.0</v>
      </c>
      <c r="X79" s="15">
        <v>92.0</v>
      </c>
      <c r="Y79" s="17">
        <v>94.0</v>
      </c>
      <c r="Z79" s="15">
        <v>96.0</v>
      </c>
      <c r="AA79" s="15">
        <v>50.90909090909091</v>
      </c>
      <c r="AB79" s="15">
        <v>55.35714285714286</v>
      </c>
      <c r="AC79" s="15">
        <v>47.5</v>
      </c>
      <c r="AD79" s="16">
        <v>59.756097560975604</v>
      </c>
      <c r="AE79" s="16">
        <v>78.26086956521739</v>
      </c>
      <c r="AF79" s="16">
        <v>78.72340425531915</v>
      </c>
      <c r="AG79" s="16">
        <v>76.04166666666666</v>
      </c>
      <c r="AH79" s="16">
        <f t="shared" si="11"/>
        <v>54.20441347</v>
      </c>
      <c r="AI79" s="18">
        <f t="shared" si="12"/>
        <v>77.6753135</v>
      </c>
      <c r="AJ79" s="14">
        <f t="shared" si="13"/>
        <v>39.33333333</v>
      </c>
      <c r="AK79" s="14">
        <f t="shared" si="14"/>
        <v>73</v>
      </c>
      <c r="AL79" s="14">
        <f t="shared" si="15"/>
        <v>33.33333333</v>
      </c>
      <c r="AM79" s="14">
        <f t="shared" si="16"/>
        <v>21</v>
      </c>
    </row>
    <row r="80" ht="14.25" customHeight="1">
      <c r="A80" s="1" t="s">
        <v>45</v>
      </c>
      <c r="B80" s="1" t="s">
        <v>161</v>
      </c>
      <c r="C80" s="1" t="s">
        <v>161</v>
      </c>
      <c r="D80" s="1" t="s">
        <v>161</v>
      </c>
      <c r="E80" s="14">
        <v>21001.0</v>
      </c>
      <c r="F80" s="15">
        <v>35.0</v>
      </c>
      <c r="G80" s="15">
        <v>38.0</v>
      </c>
      <c r="H80" s="15">
        <v>48.0</v>
      </c>
      <c r="I80" s="15">
        <v>66.0</v>
      </c>
      <c r="J80" s="15">
        <v>97.0</v>
      </c>
      <c r="K80" s="15">
        <v>100.0</v>
      </c>
      <c r="L80" s="16">
        <v>98.0</v>
      </c>
      <c r="M80" s="14">
        <f t="shared" ref="M80:S80" si="179">IF(AND(ISBLANK(F80), NOT(ISBLANK(T80))), T80, IF(OR(ISBLANK(T80), ISBLANK(F80)), "", T80-F80))</f>
        <v>22</v>
      </c>
      <c r="N80" s="14">
        <f t="shared" si="179"/>
        <v>19</v>
      </c>
      <c r="O80" s="14">
        <f t="shared" si="179"/>
        <v>54</v>
      </c>
      <c r="P80" s="14">
        <f t="shared" si="179"/>
        <v>41</v>
      </c>
      <c r="Q80" s="14">
        <f t="shared" si="179"/>
        <v>32</v>
      </c>
      <c r="R80" s="14">
        <f t="shared" si="179"/>
        <v>34</v>
      </c>
      <c r="S80" s="14">
        <f t="shared" si="179"/>
        <v>36</v>
      </c>
      <c r="T80" s="16">
        <v>57.0</v>
      </c>
      <c r="U80" s="16">
        <v>57.0</v>
      </c>
      <c r="V80" s="16">
        <v>102.0</v>
      </c>
      <c r="W80" s="15">
        <v>107.0</v>
      </c>
      <c r="X80" s="15">
        <v>129.0</v>
      </c>
      <c r="Y80" s="17">
        <v>134.0</v>
      </c>
      <c r="Z80" s="15">
        <v>134.0</v>
      </c>
      <c r="AA80" s="15">
        <v>61.40350877192983</v>
      </c>
      <c r="AB80" s="15">
        <v>66.66666666666666</v>
      </c>
      <c r="AC80" s="15">
        <v>47.05882352941176</v>
      </c>
      <c r="AD80" s="16">
        <v>61.6822429906542</v>
      </c>
      <c r="AE80" s="16">
        <v>75.1937984496124</v>
      </c>
      <c r="AF80" s="16">
        <v>74.6268656716418</v>
      </c>
      <c r="AG80" s="16">
        <v>73.13432835820896</v>
      </c>
      <c r="AH80" s="16">
        <f t="shared" si="11"/>
        <v>58.4692444</v>
      </c>
      <c r="AI80" s="18">
        <f t="shared" si="12"/>
        <v>74.31833083</v>
      </c>
      <c r="AJ80" s="14">
        <f t="shared" si="13"/>
        <v>50.66666667</v>
      </c>
      <c r="AK80" s="14">
        <f t="shared" si="14"/>
        <v>98.33333333</v>
      </c>
      <c r="AL80" s="14">
        <f t="shared" si="15"/>
        <v>38</v>
      </c>
      <c r="AM80" s="14">
        <f t="shared" si="16"/>
        <v>34</v>
      </c>
    </row>
    <row r="81" ht="14.25" customHeight="1">
      <c r="A81" s="1" t="s">
        <v>45</v>
      </c>
      <c r="B81" s="1" t="s">
        <v>161</v>
      </c>
      <c r="C81" s="1" t="s">
        <v>162</v>
      </c>
      <c r="D81" s="1" t="s">
        <v>162</v>
      </c>
      <c r="E81" s="14">
        <v>21002.0</v>
      </c>
      <c r="F81" s="15">
        <v>15.0</v>
      </c>
      <c r="G81" s="15">
        <v>15.0</v>
      </c>
      <c r="H81" s="15">
        <v>19.0</v>
      </c>
      <c r="I81" s="15">
        <v>19.0</v>
      </c>
      <c r="J81" s="15">
        <v>43.0</v>
      </c>
      <c r="K81" s="15">
        <v>45.0</v>
      </c>
      <c r="L81" s="16">
        <v>44.0</v>
      </c>
      <c r="M81" s="14">
        <f t="shared" ref="M81:S81" si="180">IF(AND(ISBLANK(F81), NOT(ISBLANK(T81))), T81, IF(OR(ISBLANK(T81), ISBLANK(F81)), "", T81-F81))</f>
        <v>8</v>
      </c>
      <c r="N81" s="14">
        <f t="shared" si="180"/>
        <v>8</v>
      </c>
      <c r="O81" s="14">
        <f t="shared" si="180"/>
        <v>18</v>
      </c>
      <c r="P81" s="14">
        <f t="shared" si="180"/>
        <v>18</v>
      </c>
      <c r="Q81" s="14">
        <f t="shared" si="180"/>
        <v>6</v>
      </c>
      <c r="R81" s="14">
        <f t="shared" si="180"/>
        <v>7</v>
      </c>
      <c r="S81" s="14">
        <f t="shared" si="180"/>
        <v>7</v>
      </c>
      <c r="T81" s="16">
        <v>23.0</v>
      </c>
      <c r="U81" s="16">
        <v>23.0</v>
      </c>
      <c r="V81" s="16">
        <v>37.0</v>
      </c>
      <c r="W81" s="15">
        <v>37.0</v>
      </c>
      <c r="X81" s="15">
        <v>49.0</v>
      </c>
      <c r="Y81" s="17">
        <v>52.0</v>
      </c>
      <c r="Z81" s="15">
        <v>51.0</v>
      </c>
      <c r="AA81" s="15">
        <v>65.21739130434783</v>
      </c>
      <c r="AB81" s="15">
        <v>65.21739130434783</v>
      </c>
      <c r="AC81" s="15">
        <v>51.35135135135135</v>
      </c>
      <c r="AD81" s="16">
        <v>51.35135135135135</v>
      </c>
      <c r="AE81" s="16">
        <v>87.75510204081633</v>
      </c>
      <c r="AF81" s="16">
        <v>86.53846153846155</v>
      </c>
      <c r="AG81" s="16">
        <v>86.27450980392157</v>
      </c>
      <c r="AH81" s="16">
        <f t="shared" si="11"/>
        <v>55.97336467</v>
      </c>
      <c r="AI81" s="18">
        <f t="shared" si="12"/>
        <v>86.85602446</v>
      </c>
      <c r="AJ81" s="14">
        <f t="shared" si="13"/>
        <v>17.66666667</v>
      </c>
      <c r="AK81" s="14">
        <f t="shared" si="14"/>
        <v>44</v>
      </c>
      <c r="AL81" s="14">
        <f t="shared" si="15"/>
        <v>14.66666667</v>
      </c>
      <c r="AM81" s="14">
        <f t="shared" si="16"/>
        <v>6.666666667</v>
      </c>
    </row>
    <row r="82" ht="14.25" customHeight="1">
      <c r="A82" s="1" t="s">
        <v>45</v>
      </c>
      <c r="B82" s="1" t="s">
        <v>161</v>
      </c>
      <c r="C82" s="1" t="s">
        <v>163</v>
      </c>
      <c r="D82" s="1" t="s">
        <v>163</v>
      </c>
      <c r="E82" s="14">
        <v>21003.0</v>
      </c>
      <c r="F82" s="15">
        <v>21.0</v>
      </c>
      <c r="G82" s="15">
        <v>23.0</v>
      </c>
      <c r="H82" s="15">
        <v>31.0</v>
      </c>
      <c r="I82" s="15">
        <v>37.0</v>
      </c>
      <c r="J82" s="15">
        <v>73.0</v>
      </c>
      <c r="K82" s="15">
        <v>77.0</v>
      </c>
      <c r="L82" s="16">
        <v>76.0</v>
      </c>
      <c r="M82" s="14">
        <f t="shared" ref="M82:S82" si="181">IF(AND(ISBLANK(F82), NOT(ISBLANK(T82))), T82, IF(OR(ISBLANK(T82), ISBLANK(F82)), "", T82-F82))</f>
        <v>9</v>
      </c>
      <c r="N82" s="14">
        <f t="shared" si="181"/>
        <v>10</v>
      </c>
      <c r="O82" s="14">
        <f t="shared" si="181"/>
        <v>23</v>
      </c>
      <c r="P82" s="14">
        <f t="shared" si="181"/>
        <v>24</v>
      </c>
      <c r="Q82" s="14">
        <f t="shared" si="181"/>
        <v>20</v>
      </c>
      <c r="R82" s="14">
        <f t="shared" si="181"/>
        <v>18</v>
      </c>
      <c r="S82" s="14">
        <f t="shared" si="181"/>
        <v>21</v>
      </c>
      <c r="T82" s="16">
        <v>30.0</v>
      </c>
      <c r="U82" s="16">
        <v>33.0</v>
      </c>
      <c r="V82" s="16">
        <v>54.0</v>
      </c>
      <c r="W82" s="15">
        <v>61.0</v>
      </c>
      <c r="X82" s="15">
        <v>93.0</v>
      </c>
      <c r="Y82" s="17">
        <v>95.0</v>
      </c>
      <c r="Z82" s="15">
        <v>97.0</v>
      </c>
      <c r="AA82" s="15">
        <v>70.0</v>
      </c>
      <c r="AB82" s="15">
        <v>69.6969696969697</v>
      </c>
      <c r="AC82" s="15">
        <v>57.407407407407405</v>
      </c>
      <c r="AD82" s="16">
        <v>60.65573770491803</v>
      </c>
      <c r="AE82" s="16">
        <v>78.49462365591397</v>
      </c>
      <c r="AF82" s="16">
        <v>81.05263157894737</v>
      </c>
      <c r="AG82" s="16">
        <v>78.35051546391753</v>
      </c>
      <c r="AH82" s="16">
        <f t="shared" si="11"/>
        <v>62.58670494</v>
      </c>
      <c r="AI82" s="18">
        <f t="shared" si="12"/>
        <v>79.2992569</v>
      </c>
      <c r="AJ82" s="14">
        <f t="shared" si="13"/>
        <v>30.33333333</v>
      </c>
      <c r="AK82" s="14">
        <f t="shared" si="14"/>
        <v>75.33333333</v>
      </c>
      <c r="AL82" s="14">
        <f t="shared" si="15"/>
        <v>19</v>
      </c>
      <c r="AM82" s="14">
        <f t="shared" si="16"/>
        <v>19.66666667</v>
      </c>
    </row>
    <row r="83" ht="14.25" customHeight="1">
      <c r="A83" s="1" t="s">
        <v>45</v>
      </c>
      <c r="B83" s="1" t="s">
        <v>161</v>
      </c>
      <c r="C83" s="1" t="s">
        <v>164</v>
      </c>
      <c r="D83" s="1" t="s">
        <v>164</v>
      </c>
      <c r="E83" s="14">
        <v>21004.0</v>
      </c>
      <c r="F83" s="15">
        <v>46.0</v>
      </c>
      <c r="G83" s="15">
        <v>47.0</v>
      </c>
      <c r="H83" s="15">
        <v>46.0</v>
      </c>
      <c r="I83" s="15">
        <v>49.0</v>
      </c>
      <c r="J83" s="15">
        <v>95.0</v>
      </c>
      <c r="K83" s="15">
        <v>101.0</v>
      </c>
      <c r="L83" s="16">
        <v>102.0</v>
      </c>
      <c r="M83" s="14">
        <f t="shared" ref="M83:S83" si="182">IF(AND(ISBLANK(F83), NOT(ISBLANK(T83))), T83, IF(OR(ISBLANK(T83), ISBLANK(F83)), "", T83-F83))</f>
        <v>35</v>
      </c>
      <c r="N83" s="14">
        <f t="shared" si="182"/>
        <v>34</v>
      </c>
      <c r="O83" s="14">
        <f t="shared" si="182"/>
        <v>76</v>
      </c>
      <c r="P83" s="14">
        <f t="shared" si="182"/>
        <v>76</v>
      </c>
      <c r="Q83" s="14">
        <f t="shared" si="182"/>
        <v>56</v>
      </c>
      <c r="R83" s="14">
        <f t="shared" si="182"/>
        <v>53</v>
      </c>
      <c r="S83" s="14">
        <f t="shared" si="182"/>
        <v>57</v>
      </c>
      <c r="T83" s="16">
        <v>81.0</v>
      </c>
      <c r="U83" s="16">
        <v>81.0</v>
      </c>
      <c r="V83" s="16">
        <v>122.0</v>
      </c>
      <c r="W83" s="15">
        <v>125.0</v>
      </c>
      <c r="X83" s="15">
        <v>151.0</v>
      </c>
      <c r="Y83" s="17">
        <v>154.0</v>
      </c>
      <c r="Z83" s="15">
        <v>159.0</v>
      </c>
      <c r="AA83" s="15">
        <v>56.79012345679012</v>
      </c>
      <c r="AB83" s="15">
        <v>58.0246913580247</v>
      </c>
      <c r="AC83" s="15">
        <v>37.704918032786885</v>
      </c>
      <c r="AD83" s="16">
        <v>39.2</v>
      </c>
      <c r="AE83" s="16">
        <v>62.913907284768214</v>
      </c>
      <c r="AF83" s="16">
        <v>65.5844155844156</v>
      </c>
      <c r="AG83" s="16">
        <v>64.15094339622641</v>
      </c>
      <c r="AH83" s="16">
        <f t="shared" si="11"/>
        <v>44.97653646</v>
      </c>
      <c r="AI83" s="18">
        <f t="shared" si="12"/>
        <v>64.21642209</v>
      </c>
      <c r="AJ83" s="14">
        <f t="shared" si="13"/>
        <v>47.33333333</v>
      </c>
      <c r="AK83" s="14">
        <f t="shared" si="14"/>
        <v>99.33333333</v>
      </c>
      <c r="AL83" s="14">
        <f t="shared" si="15"/>
        <v>62</v>
      </c>
      <c r="AM83" s="14">
        <f t="shared" si="16"/>
        <v>55.33333333</v>
      </c>
    </row>
    <row r="84" ht="14.25" customHeight="1">
      <c r="A84" s="1" t="s">
        <v>45</v>
      </c>
      <c r="B84" s="1" t="s">
        <v>161</v>
      </c>
      <c r="C84" s="1" t="s">
        <v>165</v>
      </c>
      <c r="D84" s="1" t="s">
        <v>165</v>
      </c>
      <c r="E84" s="14">
        <v>21005.0</v>
      </c>
      <c r="F84" s="15">
        <v>19.0</v>
      </c>
      <c r="G84" s="15">
        <v>22.0</v>
      </c>
      <c r="H84" s="15">
        <v>27.0</v>
      </c>
      <c r="I84" s="15">
        <v>25.0</v>
      </c>
      <c r="J84" s="15">
        <v>44.0</v>
      </c>
      <c r="K84" s="15">
        <v>45.0</v>
      </c>
      <c r="L84" s="16">
        <v>45.0</v>
      </c>
      <c r="M84" s="14">
        <f t="shared" ref="M84:S84" si="183">IF(AND(ISBLANK(F84), NOT(ISBLANK(T84))), T84, IF(OR(ISBLANK(T84), ISBLANK(F84)), "", T84-F84))</f>
        <v>5</v>
      </c>
      <c r="N84" s="14">
        <f t="shared" si="183"/>
        <v>4</v>
      </c>
      <c r="O84" s="14">
        <f t="shared" si="183"/>
        <v>16</v>
      </c>
      <c r="P84" s="14">
        <f t="shared" si="183"/>
        <v>22</v>
      </c>
      <c r="Q84" s="14">
        <f t="shared" si="183"/>
        <v>14</v>
      </c>
      <c r="R84" s="14">
        <f t="shared" si="183"/>
        <v>14</v>
      </c>
      <c r="S84" s="14">
        <f t="shared" si="183"/>
        <v>14</v>
      </c>
      <c r="T84" s="16">
        <v>24.0</v>
      </c>
      <c r="U84" s="16">
        <v>26.0</v>
      </c>
      <c r="V84" s="16">
        <v>43.0</v>
      </c>
      <c r="W84" s="15">
        <v>47.0</v>
      </c>
      <c r="X84" s="15">
        <v>58.0</v>
      </c>
      <c r="Y84" s="17">
        <v>59.0</v>
      </c>
      <c r="Z84" s="15">
        <v>59.0</v>
      </c>
      <c r="AA84" s="15">
        <v>79.16666666666666</v>
      </c>
      <c r="AB84" s="15">
        <v>84.61538461538461</v>
      </c>
      <c r="AC84" s="15">
        <v>62.7906976744186</v>
      </c>
      <c r="AD84" s="16">
        <v>53.191489361702125</v>
      </c>
      <c r="AE84" s="16">
        <v>75.86206896551724</v>
      </c>
      <c r="AF84" s="16">
        <v>76.27118644067797</v>
      </c>
      <c r="AG84" s="16">
        <v>76.27118644067797</v>
      </c>
      <c r="AH84" s="16">
        <f t="shared" si="11"/>
        <v>66.86585722</v>
      </c>
      <c r="AI84" s="18">
        <f t="shared" si="12"/>
        <v>76.13481395</v>
      </c>
      <c r="AJ84" s="14">
        <f t="shared" si="13"/>
        <v>24.66666667</v>
      </c>
      <c r="AK84" s="14">
        <f t="shared" si="14"/>
        <v>44.66666667</v>
      </c>
      <c r="AL84" s="14">
        <f t="shared" si="15"/>
        <v>14</v>
      </c>
      <c r="AM84" s="14">
        <f t="shared" si="16"/>
        <v>14</v>
      </c>
    </row>
    <row r="85" ht="14.25" customHeight="1">
      <c r="A85" s="1" t="s">
        <v>45</v>
      </c>
      <c r="B85" s="1" t="s">
        <v>161</v>
      </c>
      <c r="C85" s="1" t="s">
        <v>166</v>
      </c>
      <c r="D85" s="1" t="s">
        <v>166</v>
      </c>
      <c r="E85" s="14">
        <v>21006.0</v>
      </c>
      <c r="F85" s="15">
        <v>4.0</v>
      </c>
      <c r="G85" s="15">
        <v>6.0</v>
      </c>
      <c r="H85" s="15">
        <v>8.0</v>
      </c>
      <c r="I85" s="15">
        <v>8.0</v>
      </c>
      <c r="J85" s="15">
        <v>10.0</v>
      </c>
      <c r="K85" s="15">
        <v>11.0</v>
      </c>
      <c r="L85" s="16">
        <v>11.0</v>
      </c>
      <c r="M85" s="14">
        <f t="shared" ref="M85:S85" si="184">IF(AND(ISBLANK(F85), NOT(ISBLANK(T85))), T85, IF(OR(ISBLANK(T85), ISBLANK(F85)), "", T85-F85))</f>
        <v>3</v>
      </c>
      <c r="N85" s="14">
        <f t="shared" si="184"/>
        <v>1</v>
      </c>
      <c r="O85" s="14">
        <f t="shared" si="184"/>
        <v>3</v>
      </c>
      <c r="P85" s="14">
        <f t="shared" si="184"/>
        <v>3</v>
      </c>
      <c r="Q85" s="14">
        <f t="shared" si="184"/>
        <v>3</v>
      </c>
      <c r="R85" s="14">
        <f t="shared" si="184"/>
        <v>5</v>
      </c>
      <c r="S85" s="14">
        <f t="shared" si="184"/>
        <v>5</v>
      </c>
      <c r="T85" s="16">
        <v>7.0</v>
      </c>
      <c r="U85" s="16">
        <v>7.0</v>
      </c>
      <c r="V85" s="16">
        <v>11.0</v>
      </c>
      <c r="W85" s="15">
        <v>11.0</v>
      </c>
      <c r="X85" s="15">
        <v>13.0</v>
      </c>
      <c r="Y85" s="17">
        <v>16.0</v>
      </c>
      <c r="Z85" s="15">
        <v>16.0</v>
      </c>
      <c r="AA85" s="15">
        <v>57.14285714285714</v>
      </c>
      <c r="AB85" s="15">
        <v>85.71428571428571</v>
      </c>
      <c r="AC85" s="15">
        <v>72.72727272727273</v>
      </c>
      <c r="AD85" s="16">
        <v>72.72727272727273</v>
      </c>
      <c r="AE85" s="16">
        <v>76.92307692307693</v>
      </c>
      <c r="AF85" s="16">
        <v>68.75</v>
      </c>
      <c r="AG85" s="16">
        <v>68.75</v>
      </c>
      <c r="AH85" s="16">
        <f t="shared" si="11"/>
        <v>77.05627706</v>
      </c>
      <c r="AI85" s="18">
        <f t="shared" si="12"/>
        <v>71.47435897</v>
      </c>
      <c r="AJ85" s="14">
        <f t="shared" si="13"/>
        <v>7.333333333</v>
      </c>
      <c r="AK85" s="14">
        <f t="shared" si="14"/>
        <v>10.66666667</v>
      </c>
      <c r="AL85" s="14">
        <f t="shared" si="15"/>
        <v>2.333333333</v>
      </c>
      <c r="AM85" s="14">
        <f t="shared" si="16"/>
        <v>4.333333333</v>
      </c>
    </row>
    <row r="86" ht="14.25" customHeight="1">
      <c r="A86" s="1" t="s">
        <v>45</v>
      </c>
      <c r="B86" s="1" t="s">
        <v>167</v>
      </c>
      <c r="C86" s="1" t="s">
        <v>168</v>
      </c>
      <c r="D86" s="1" t="s">
        <v>169</v>
      </c>
      <c r="E86" s="14">
        <v>21101.0</v>
      </c>
      <c r="F86" s="15">
        <v>39.0</v>
      </c>
      <c r="G86" s="15">
        <v>46.0</v>
      </c>
      <c r="H86" s="15">
        <v>64.0</v>
      </c>
      <c r="I86" s="15">
        <v>64.0</v>
      </c>
      <c r="J86" s="15">
        <v>101.0</v>
      </c>
      <c r="K86" s="15">
        <v>101.0</v>
      </c>
      <c r="L86" s="16">
        <v>102.0</v>
      </c>
      <c r="M86" s="14">
        <f t="shared" ref="M86:S86" si="185">IF(AND(ISBLANK(F86), NOT(ISBLANK(T86))), T86, IF(OR(ISBLANK(T86), ISBLANK(F86)), "", T86-F86))</f>
        <v>12</v>
      </c>
      <c r="N86" s="14">
        <f t="shared" si="185"/>
        <v>10</v>
      </c>
      <c r="O86" s="14">
        <f t="shared" si="185"/>
        <v>21</v>
      </c>
      <c r="P86" s="14">
        <f t="shared" si="185"/>
        <v>24</v>
      </c>
      <c r="Q86" s="14">
        <f t="shared" si="185"/>
        <v>21</v>
      </c>
      <c r="R86" s="14">
        <f t="shared" si="185"/>
        <v>23</v>
      </c>
      <c r="S86" s="14">
        <f t="shared" si="185"/>
        <v>27</v>
      </c>
      <c r="T86" s="16">
        <v>51.0</v>
      </c>
      <c r="U86" s="16">
        <v>56.0</v>
      </c>
      <c r="V86" s="16">
        <v>85.0</v>
      </c>
      <c r="W86" s="15">
        <v>88.0</v>
      </c>
      <c r="X86" s="15">
        <v>122.0</v>
      </c>
      <c r="Y86" s="17">
        <v>124.0</v>
      </c>
      <c r="Z86" s="15">
        <v>129.0</v>
      </c>
      <c r="AA86" s="15">
        <v>76.47058823529412</v>
      </c>
      <c r="AB86" s="15">
        <v>82.14285714285714</v>
      </c>
      <c r="AC86" s="15">
        <v>75.29411764705883</v>
      </c>
      <c r="AD86" s="16">
        <v>72.72727272727273</v>
      </c>
      <c r="AE86" s="16">
        <v>82.78688524590164</v>
      </c>
      <c r="AF86" s="16">
        <v>81.45161290322581</v>
      </c>
      <c r="AG86" s="16">
        <v>79.06976744186046</v>
      </c>
      <c r="AH86" s="16">
        <f t="shared" si="11"/>
        <v>76.72141584</v>
      </c>
      <c r="AI86" s="18">
        <f t="shared" si="12"/>
        <v>81.1027552</v>
      </c>
      <c r="AJ86" s="14">
        <f t="shared" si="13"/>
        <v>58</v>
      </c>
      <c r="AK86" s="14">
        <f t="shared" si="14"/>
        <v>101.3333333</v>
      </c>
      <c r="AL86" s="14">
        <f t="shared" si="15"/>
        <v>18.33333333</v>
      </c>
      <c r="AM86" s="14">
        <f t="shared" si="16"/>
        <v>23.66666667</v>
      </c>
    </row>
    <row r="87" ht="14.25" customHeight="1">
      <c r="A87" s="1" t="s">
        <v>45</v>
      </c>
      <c r="B87" s="1" t="s">
        <v>167</v>
      </c>
      <c r="C87" s="1" t="s">
        <v>170</v>
      </c>
      <c r="D87" s="1" t="s">
        <v>171</v>
      </c>
      <c r="E87" s="14">
        <v>21102.0</v>
      </c>
      <c r="F87" s="15">
        <v>26.0</v>
      </c>
      <c r="G87" s="15">
        <v>27.0</v>
      </c>
      <c r="H87" s="15">
        <v>34.0</v>
      </c>
      <c r="I87" s="15">
        <v>38.0</v>
      </c>
      <c r="J87" s="15">
        <v>81.0</v>
      </c>
      <c r="K87" s="15">
        <v>83.0</v>
      </c>
      <c r="L87" s="16">
        <v>85.0</v>
      </c>
      <c r="M87" s="14">
        <f t="shared" ref="M87:S87" si="186">IF(AND(ISBLANK(F87), NOT(ISBLANK(T87))), T87, IF(OR(ISBLANK(T87), ISBLANK(F87)), "", T87-F87))</f>
        <v>11</v>
      </c>
      <c r="N87" s="14">
        <f t="shared" si="186"/>
        <v>11</v>
      </c>
      <c r="O87" s="14">
        <f t="shared" si="186"/>
        <v>40</v>
      </c>
      <c r="P87" s="14">
        <f t="shared" si="186"/>
        <v>41</v>
      </c>
      <c r="Q87" s="14">
        <f t="shared" si="186"/>
        <v>28</v>
      </c>
      <c r="R87" s="14">
        <f t="shared" si="186"/>
        <v>28</v>
      </c>
      <c r="S87" s="14">
        <f t="shared" si="186"/>
        <v>33</v>
      </c>
      <c r="T87" s="16">
        <v>37.0</v>
      </c>
      <c r="U87" s="16">
        <v>38.0</v>
      </c>
      <c r="V87" s="16">
        <v>74.0</v>
      </c>
      <c r="W87" s="15">
        <v>79.0</v>
      </c>
      <c r="X87" s="15">
        <v>109.0</v>
      </c>
      <c r="Y87" s="17">
        <v>111.0</v>
      </c>
      <c r="Z87" s="15">
        <v>118.0</v>
      </c>
      <c r="AA87" s="15">
        <v>70.27027027027027</v>
      </c>
      <c r="AB87" s="15">
        <v>71.05263157894737</v>
      </c>
      <c r="AC87" s="15">
        <v>45.94594594594595</v>
      </c>
      <c r="AD87" s="16">
        <v>48.10126582278481</v>
      </c>
      <c r="AE87" s="16">
        <v>74.31192660550458</v>
      </c>
      <c r="AF87" s="16">
        <v>74.77477477477478</v>
      </c>
      <c r="AG87" s="16">
        <v>72.03389830508475</v>
      </c>
      <c r="AH87" s="16">
        <f t="shared" si="11"/>
        <v>55.03328112</v>
      </c>
      <c r="AI87" s="18">
        <f t="shared" si="12"/>
        <v>73.70686656</v>
      </c>
      <c r="AJ87" s="14">
        <f t="shared" si="13"/>
        <v>33</v>
      </c>
      <c r="AK87" s="14">
        <f t="shared" si="14"/>
        <v>83</v>
      </c>
      <c r="AL87" s="14">
        <f t="shared" si="15"/>
        <v>30.66666667</v>
      </c>
      <c r="AM87" s="14">
        <f t="shared" si="16"/>
        <v>29.66666667</v>
      </c>
    </row>
    <row r="88" ht="14.25" customHeight="1">
      <c r="A88" s="1" t="s">
        <v>45</v>
      </c>
      <c r="B88" s="1" t="s">
        <v>167</v>
      </c>
      <c r="C88" s="1" t="s">
        <v>172</v>
      </c>
      <c r="D88" s="1" t="s">
        <v>172</v>
      </c>
      <c r="E88" s="14">
        <v>21103.0</v>
      </c>
      <c r="F88" s="15">
        <v>23.0</v>
      </c>
      <c r="G88" s="15">
        <v>21.0</v>
      </c>
      <c r="H88" s="15">
        <v>23.0</v>
      </c>
      <c r="I88" s="15">
        <v>25.0</v>
      </c>
      <c r="J88" s="15">
        <v>39.0</v>
      </c>
      <c r="K88" s="15">
        <v>41.0</v>
      </c>
      <c r="L88" s="16">
        <v>42.0</v>
      </c>
      <c r="M88" s="14">
        <f t="shared" ref="M88:S88" si="187">IF(AND(ISBLANK(F88), NOT(ISBLANK(T88))), T88, IF(OR(ISBLANK(T88), ISBLANK(F88)), "", T88-F88))</f>
        <v>7</v>
      </c>
      <c r="N88" s="14">
        <f t="shared" si="187"/>
        <v>8</v>
      </c>
      <c r="O88" s="14">
        <f t="shared" si="187"/>
        <v>11</v>
      </c>
      <c r="P88" s="14">
        <f t="shared" si="187"/>
        <v>9</v>
      </c>
      <c r="Q88" s="14">
        <f t="shared" si="187"/>
        <v>8</v>
      </c>
      <c r="R88" s="14">
        <f t="shared" si="187"/>
        <v>8</v>
      </c>
      <c r="S88" s="14">
        <f t="shared" si="187"/>
        <v>8</v>
      </c>
      <c r="T88" s="16">
        <v>30.0</v>
      </c>
      <c r="U88" s="16">
        <v>29.0</v>
      </c>
      <c r="V88" s="16">
        <v>34.0</v>
      </c>
      <c r="W88" s="15">
        <v>34.0</v>
      </c>
      <c r="X88" s="15">
        <v>47.0</v>
      </c>
      <c r="Y88" s="17">
        <v>49.0</v>
      </c>
      <c r="Z88" s="15">
        <v>50.0</v>
      </c>
      <c r="AA88" s="15">
        <v>76.66666666666667</v>
      </c>
      <c r="AB88" s="15">
        <v>72.41379310344827</v>
      </c>
      <c r="AC88" s="15">
        <v>67.64705882352942</v>
      </c>
      <c r="AD88" s="16">
        <v>73.52941176470588</v>
      </c>
      <c r="AE88" s="16">
        <v>82.97872340425532</v>
      </c>
      <c r="AF88" s="16">
        <v>83.6734693877551</v>
      </c>
      <c r="AG88" s="16">
        <v>84.0</v>
      </c>
      <c r="AH88" s="16">
        <f t="shared" si="11"/>
        <v>71.19675456</v>
      </c>
      <c r="AI88" s="18">
        <f t="shared" si="12"/>
        <v>83.55073093</v>
      </c>
      <c r="AJ88" s="14">
        <f t="shared" si="13"/>
        <v>23</v>
      </c>
      <c r="AK88" s="14">
        <f t="shared" si="14"/>
        <v>40.66666667</v>
      </c>
      <c r="AL88" s="14">
        <f t="shared" si="15"/>
        <v>9.333333333</v>
      </c>
      <c r="AM88" s="14">
        <f t="shared" si="16"/>
        <v>8</v>
      </c>
    </row>
    <row r="89" ht="14.25" customHeight="1">
      <c r="A89" s="1" t="s">
        <v>45</v>
      </c>
      <c r="B89" s="1" t="s">
        <v>167</v>
      </c>
      <c r="C89" s="1" t="s">
        <v>173</v>
      </c>
      <c r="D89" s="1" t="s">
        <v>173</v>
      </c>
      <c r="E89" s="14">
        <v>21104.0</v>
      </c>
      <c r="F89" s="15">
        <v>41.0</v>
      </c>
      <c r="G89" s="15">
        <v>46.0</v>
      </c>
      <c r="H89" s="15">
        <v>68.0</v>
      </c>
      <c r="I89" s="15">
        <v>77.0</v>
      </c>
      <c r="J89" s="15">
        <v>165.0</v>
      </c>
      <c r="K89" s="15">
        <v>176.0</v>
      </c>
      <c r="L89" s="16">
        <v>179.0</v>
      </c>
      <c r="M89" s="14">
        <f t="shared" ref="M89:S89" si="188">IF(AND(ISBLANK(F89), NOT(ISBLANK(T89))), T89, IF(OR(ISBLANK(T89), ISBLANK(F89)), "", T89-F89))</f>
        <v>41</v>
      </c>
      <c r="N89" s="14">
        <f t="shared" si="188"/>
        <v>40</v>
      </c>
      <c r="O89" s="14">
        <f t="shared" si="188"/>
        <v>73</v>
      </c>
      <c r="P89" s="14">
        <f t="shared" si="188"/>
        <v>72</v>
      </c>
      <c r="Q89" s="14">
        <f t="shared" si="188"/>
        <v>59</v>
      </c>
      <c r="R89" s="14">
        <f t="shared" si="188"/>
        <v>58</v>
      </c>
      <c r="S89" s="14">
        <f t="shared" si="188"/>
        <v>56</v>
      </c>
      <c r="T89" s="16">
        <v>82.0</v>
      </c>
      <c r="U89" s="16">
        <v>86.0</v>
      </c>
      <c r="V89" s="16">
        <v>141.0</v>
      </c>
      <c r="W89" s="15">
        <v>149.0</v>
      </c>
      <c r="X89" s="15">
        <v>224.0</v>
      </c>
      <c r="Y89" s="17">
        <v>234.0</v>
      </c>
      <c r="Z89" s="15">
        <v>235.0</v>
      </c>
      <c r="AA89" s="15">
        <v>50.0</v>
      </c>
      <c r="AB89" s="15">
        <v>53.48837209302325</v>
      </c>
      <c r="AC89" s="15">
        <v>48.226950354609926</v>
      </c>
      <c r="AD89" s="16">
        <v>51.67785234899329</v>
      </c>
      <c r="AE89" s="16">
        <v>73.66071428571429</v>
      </c>
      <c r="AF89" s="16">
        <v>75.21367521367522</v>
      </c>
      <c r="AG89" s="16">
        <v>76.17021276595744</v>
      </c>
      <c r="AH89" s="16">
        <f t="shared" si="11"/>
        <v>51.13105827</v>
      </c>
      <c r="AI89" s="18">
        <f t="shared" si="12"/>
        <v>75.01486742</v>
      </c>
      <c r="AJ89" s="14">
        <f t="shared" si="13"/>
        <v>63.66666667</v>
      </c>
      <c r="AK89" s="14">
        <f t="shared" si="14"/>
        <v>173.3333333</v>
      </c>
      <c r="AL89" s="14">
        <f t="shared" si="15"/>
        <v>61.66666667</v>
      </c>
      <c r="AM89" s="14">
        <f t="shared" si="16"/>
        <v>57.66666667</v>
      </c>
    </row>
    <row r="90" ht="14.25" customHeight="1">
      <c r="A90" s="1" t="s">
        <v>45</v>
      </c>
      <c r="B90" s="1" t="s">
        <v>167</v>
      </c>
      <c r="C90" s="1" t="s">
        <v>174</v>
      </c>
      <c r="D90" s="1" t="s">
        <v>174</v>
      </c>
      <c r="E90" s="14">
        <v>21105.0</v>
      </c>
      <c r="F90" s="15">
        <v>51.0</v>
      </c>
      <c r="G90" s="15">
        <v>61.0</v>
      </c>
      <c r="H90" s="15">
        <v>87.0</v>
      </c>
      <c r="I90" s="15">
        <v>106.0</v>
      </c>
      <c r="J90" s="15">
        <v>234.0</v>
      </c>
      <c r="K90" s="15">
        <v>252.0</v>
      </c>
      <c r="L90" s="16">
        <v>266.0</v>
      </c>
      <c r="M90" s="14">
        <f t="shared" ref="M90:S90" si="189">IF(AND(ISBLANK(F90), NOT(ISBLANK(T90))), T90, IF(OR(ISBLANK(T90), ISBLANK(F90)), "", T90-F90))</f>
        <v>31</v>
      </c>
      <c r="N90" s="14">
        <f t="shared" si="189"/>
        <v>30</v>
      </c>
      <c r="O90" s="14">
        <f t="shared" si="189"/>
        <v>78</v>
      </c>
      <c r="P90" s="14">
        <f t="shared" si="189"/>
        <v>76</v>
      </c>
      <c r="Q90" s="14">
        <f t="shared" si="189"/>
        <v>58</v>
      </c>
      <c r="R90" s="14">
        <f t="shared" si="189"/>
        <v>61</v>
      </c>
      <c r="S90" s="14">
        <f t="shared" si="189"/>
        <v>60</v>
      </c>
      <c r="T90" s="16">
        <v>82.0</v>
      </c>
      <c r="U90" s="16">
        <v>91.0</v>
      </c>
      <c r="V90" s="16">
        <v>165.0</v>
      </c>
      <c r="W90" s="15">
        <v>182.0</v>
      </c>
      <c r="X90" s="15">
        <v>292.0</v>
      </c>
      <c r="Y90" s="17">
        <v>313.0</v>
      </c>
      <c r="Z90" s="15">
        <v>326.0</v>
      </c>
      <c r="AA90" s="15">
        <v>62.19512195121951</v>
      </c>
      <c r="AB90" s="15">
        <v>67.03296703296702</v>
      </c>
      <c r="AC90" s="15">
        <v>52.72727272727272</v>
      </c>
      <c r="AD90" s="16">
        <v>58.24175824175825</v>
      </c>
      <c r="AE90" s="16">
        <v>80.13698630136986</v>
      </c>
      <c r="AF90" s="16">
        <v>80.5111821086262</v>
      </c>
      <c r="AG90" s="16">
        <v>81.59509202453987</v>
      </c>
      <c r="AH90" s="16">
        <f t="shared" si="11"/>
        <v>59.33399933</v>
      </c>
      <c r="AI90" s="18">
        <f t="shared" si="12"/>
        <v>80.74775348</v>
      </c>
      <c r="AJ90" s="14">
        <f t="shared" si="13"/>
        <v>84.66666667</v>
      </c>
      <c r="AK90" s="14">
        <f t="shared" si="14"/>
        <v>250.6666667</v>
      </c>
      <c r="AL90" s="14">
        <f t="shared" si="15"/>
        <v>61.33333333</v>
      </c>
      <c r="AM90" s="14">
        <f t="shared" si="16"/>
        <v>59.66666667</v>
      </c>
    </row>
    <row r="91" ht="14.25" customHeight="1">
      <c r="A91" s="1" t="s">
        <v>45</v>
      </c>
      <c r="B91" s="1" t="s">
        <v>175</v>
      </c>
      <c r="C91" s="1" t="s">
        <v>176</v>
      </c>
      <c r="D91" s="1" t="s">
        <v>176</v>
      </c>
      <c r="E91" s="14">
        <v>21201.0</v>
      </c>
      <c r="F91" s="15">
        <v>114.0</v>
      </c>
      <c r="G91" s="15">
        <v>119.0</v>
      </c>
      <c r="H91" s="15">
        <v>157.0</v>
      </c>
      <c r="I91" s="15">
        <v>168.0</v>
      </c>
      <c r="J91" s="15">
        <v>189.0</v>
      </c>
      <c r="K91" s="15">
        <v>188.0</v>
      </c>
      <c r="L91" s="16">
        <v>195.0</v>
      </c>
      <c r="M91" s="14">
        <f t="shared" ref="M91:S91" si="190">IF(AND(ISBLANK(F91), NOT(ISBLANK(T91))), T91, IF(OR(ISBLANK(T91), ISBLANK(F91)), "", T91-F91))</f>
        <v>45</v>
      </c>
      <c r="N91" s="14">
        <f t="shared" si="190"/>
        <v>45</v>
      </c>
      <c r="O91" s="14">
        <f t="shared" si="190"/>
        <v>72</v>
      </c>
      <c r="P91" s="14">
        <f t="shared" si="190"/>
        <v>68</v>
      </c>
      <c r="Q91" s="14">
        <f t="shared" si="190"/>
        <v>73</v>
      </c>
      <c r="R91" s="14">
        <f t="shared" si="190"/>
        <v>76</v>
      </c>
      <c r="S91" s="14">
        <f t="shared" si="190"/>
        <v>69</v>
      </c>
      <c r="T91" s="16">
        <v>159.0</v>
      </c>
      <c r="U91" s="16">
        <v>164.0</v>
      </c>
      <c r="V91" s="16">
        <v>229.0</v>
      </c>
      <c r="W91" s="15">
        <v>236.0</v>
      </c>
      <c r="X91" s="15">
        <v>262.0</v>
      </c>
      <c r="Y91" s="17">
        <v>264.0</v>
      </c>
      <c r="Z91" s="15">
        <v>264.0</v>
      </c>
      <c r="AA91" s="15">
        <v>71.69811320754717</v>
      </c>
      <c r="AB91" s="15">
        <v>72.5609756097561</v>
      </c>
      <c r="AC91" s="15">
        <v>68.5589519650655</v>
      </c>
      <c r="AD91" s="16">
        <v>71.1864406779661</v>
      </c>
      <c r="AE91" s="16">
        <v>72.13740458015268</v>
      </c>
      <c r="AF91" s="16">
        <v>71.21212121212122</v>
      </c>
      <c r="AG91" s="16">
        <v>73.86363636363636</v>
      </c>
      <c r="AH91" s="16">
        <f t="shared" si="11"/>
        <v>70.76878942</v>
      </c>
      <c r="AI91" s="18">
        <f t="shared" si="12"/>
        <v>72.40438739</v>
      </c>
      <c r="AJ91" s="14">
        <f t="shared" si="13"/>
        <v>148</v>
      </c>
      <c r="AK91" s="14">
        <f t="shared" si="14"/>
        <v>190.6666667</v>
      </c>
      <c r="AL91" s="14">
        <f t="shared" si="15"/>
        <v>61.66666667</v>
      </c>
      <c r="AM91" s="14">
        <f t="shared" si="16"/>
        <v>72.66666667</v>
      </c>
    </row>
    <row r="92" ht="14.25" customHeight="1">
      <c r="A92" s="1" t="s">
        <v>45</v>
      </c>
      <c r="B92" s="1" t="s">
        <v>175</v>
      </c>
      <c r="C92" s="1" t="s">
        <v>177</v>
      </c>
      <c r="D92" s="1" t="s">
        <v>177</v>
      </c>
      <c r="E92" s="14">
        <v>21202.0</v>
      </c>
      <c r="F92" s="15">
        <v>72.0</v>
      </c>
      <c r="G92" s="15">
        <v>72.0</v>
      </c>
      <c r="H92" s="15">
        <v>89.0</v>
      </c>
      <c r="I92" s="15">
        <v>97.0</v>
      </c>
      <c r="J92" s="15">
        <v>138.0</v>
      </c>
      <c r="K92" s="15">
        <v>143.0</v>
      </c>
      <c r="L92" s="16">
        <v>146.0</v>
      </c>
      <c r="M92" s="14">
        <f t="shared" ref="M92:S92" si="191">IF(AND(ISBLANK(F92), NOT(ISBLANK(T92))), T92, IF(OR(ISBLANK(T92), ISBLANK(F92)), "", T92-F92))</f>
        <v>32</v>
      </c>
      <c r="N92" s="14">
        <f t="shared" si="191"/>
        <v>32</v>
      </c>
      <c r="O92" s="14">
        <f t="shared" si="191"/>
        <v>34</v>
      </c>
      <c r="P92" s="14">
        <f t="shared" si="191"/>
        <v>32</v>
      </c>
      <c r="Q92" s="14">
        <f t="shared" si="191"/>
        <v>44</v>
      </c>
      <c r="R92" s="14">
        <f t="shared" si="191"/>
        <v>46</v>
      </c>
      <c r="S92" s="14">
        <f t="shared" si="191"/>
        <v>49</v>
      </c>
      <c r="T92" s="16">
        <v>104.0</v>
      </c>
      <c r="U92" s="16">
        <v>104.0</v>
      </c>
      <c r="V92" s="16">
        <v>123.0</v>
      </c>
      <c r="W92" s="15">
        <v>129.0</v>
      </c>
      <c r="X92" s="15">
        <v>182.0</v>
      </c>
      <c r="Y92" s="17">
        <v>189.0</v>
      </c>
      <c r="Z92" s="15">
        <v>195.0</v>
      </c>
      <c r="AA92" s="15">
        <v>69.23076923076923</v>
      </c>
      <c r="AB92" s="15">
        <v>69.23076923076923</v>
      </c>
      <c r="AC92" s="15">
        <v>72.35772357723577</v>
      </c>
      <c r="AD92" s="16">
        <v>75.1937984496124</v>
      </c>
      <c r="AE92" s="16">
        <v>75.82417582417582</v>
      </c>
      <c r="AF92" s="16">
        <v>75.66137566137566</v>
      </c>
      <c r="AG92" s="16">
        <v>74.87179487179488</v>
      </c>
      <c r="AH92" s="16">
        <f t="shared" si="11"/>
        <v>72.26076375</v>
      </c>
      <c r="AI92" s="18">
        <f t="shared" si="12"/>
        <v>75.45244879</v>
      </c>
      <c r="AJ92" s="14">
        <f t="shared" si="13"/>
        <v>86</v>
      </c>
      <c r="AK92" s="14">
        <f t="shared" si="14"/>
        <v>142.3333333</v>
      </c>
      <c r="AL92" s="14">
        <f t="shared" si="15"/>
        <v>32.66666667</v>
      </c>
      <c r="AM92" s="14">
        <f t="shared" si="16"/>
        <v>46.33333333</v>
      </c>
    </row>
    <row r="93" ht="14.25" customHeight="1">
      <c r="A93" s="1" t="s">
        <v>45</v>
      </c>
      <c r="B93" s="1" t="s">
        <v>175</v>
      </c>
      <c r="C93" s="1" t="s">
        <v>178</v>
      </c>
      <c r="D93" s="1" t="s">
        <v>178</v>
      </c>
      <c r="E93" s="14">
        <v>21203.0</v>
      </c>
      <c r="F93" s="15">
        <v>95.0</v>
      </c>
      <c r="G93" s="15">
        <v>97.0</v>
      </c>
      <c r="H93" s="15">
        <v>127.0</v>
      </c>
      <c r="I93" s="15">
        <v>126.0</v>
      </c>
      <c r="J93" s="15">
        <v>125.0</v>
      </c>
      <c r="K93" s="15">
        <v>124.0</v>
      </c>
      <c r="L93" s="16">
        <v>127.0</v>
      </c>
      <c r="M93" s="14">
        <f t="shared" ref="M93:S93" si="192">IF(AND(ISBLANK(F93), NOT(ISBLANK(T93))), T93, IF(OR(ISBLANK(T93), ISBLANK(F93)), "", T93-F93))</f>
        <v>22</v>
      </c>
      <c r="N93" s="14">
        <f t="shared" si="192"/>
        <v>20</v>
      </c>
      <c r="O93" s="14">
        <f t="shared" si="192"/>
        <v>35</v>
      </c>
      <c r="P93" s="14">
        <f t="shared" si="192"/>
        <v>38</v>
      </c>
      <c r="Q93" s="14">
        <f t="shared" si="192"/>
        <v>37</v>
      </c>
      <c r="R93" s="14">
        <f t="shared" si="192"/>
        <v>38</v>
      </c>
      <c r="S93" s="14">
        <f t="shared" si="192"/>
        <v>37</v>
      </c>
      <c r="T93" s="16">
        <v>117.0</v>
      </c>
      <c r="U93" s="16">
        <v>117.0</v>
      </c>
      <c r="V93" s="16">
        <v>162.0</v>
      </c>
      <c r="W93" s="15">
        <v>164.0</v>
      </c>
      <c r="X93" s="15">
        <v>162.0</v>
      </c>
      <c r="Y93" s="17">
        <v>162.0</v>
      </c>
      <c r="Z93" s="15">
        <v>164.0</v>
      </c>
      <c r="AA93" s="15">
        <v>81.19658119658119</v>
      </c>
      <c r="AB93" s="15">
        <v>82.90598290598291</v>
      </c>
      <c r="AC93" s="15">
        <v>78.39506172839506</v>
      </c>
      <c r="AD93" s="16">
        <v>76.82926829268293</v>
      </c>
      <c r="AE93" s="16">
        <v>77.1604938271605</v>
      </c>
      <c r="AF93" s="16">
        <v>76.5432098765432</v>
      </c>
      <c r="AG93" s="16">
        <v>77.4390243902439</v>
      </c>
      <c r="AH93" s="16">
        <f t="shared" si="11"/>
        <v>79.37677098</v>
      </c>
      <c r="AI93" s="18">
        <f t="shared" si="12"/>
        <v>77.04757603</v>
      </c>
      <c r="AJ93" s="14">
        <f t="shared" si="13"/>
        <v>116.6666667</v>
      </c>
      <c r="AK93" s="14">
        <f t="shared" si="14"/>
        <v>125.3333333</v>
      </c>
      <c r="AL93" s="14">
        <f t="shared" si="15"/>
        <v>31</v>
      </c>
      <c r="AM93" s="14">
        <f t="shared" si="16"/>
        <v>37.33333333</v>
      </c>
    </row>
    <row r="94" ht="14.25" customHeight="1">
      <c r="A94" s="1" t="s">
        <v>45</v>
      </c>
      <c r="B94" s="1" t="s">
        <v>175</v>
      </c>
      <c r="C94" s="1" t="s">
        <v>179</v>
      </c>
      <c r="D94" s="1" t="s">
        <v>179</v>
      </c>
      <c r="E94" s="14">
        <v>21204.0</v>
      </c>
      <c r="F94" s="15">
        <v>23.0</v>
      </c>
      <c r="G94" s="15">
        <v>23.0</v>
      </c>
      <c r="H94" s="15">
        <v>30.0</v>
      </c>
      <c r="I94" s="15">
        <v>38.0</v>
      </c>
      <c r="J94" s="15">
        <v>47.0</v>
      </c>
      <c r="K94" s="15">
        <v>48.0</v>
      </c>
      <c r="L94" s="16">
        <v>52.0</v>
      </c>
      <c r="M94" s="14">
        <f t="shared" ref="M94:S94" si="193">IF(AND(ISBLANK(F94), NOT(ISBLANK(T94))), T94, IF(OR(ISBLANK(T94), ISBLANK(F94)), "", T94-F94))</f>
        <v>12</v>
      </c>
      <c r="N94" s="14">
        <f t="shared" si="193"/>
        <v>12</v>
      </c>
      <c r="O94" s="14">
        <f t="shared" si="193"/>
        <v>24</v>
      </c>
      <c r="P94" s="14">
        <f t="shared" si="193"/>
        <v>19</v>
      </c>
      <c r="Q94" s="14">
        <f t="shared" si="193"/>
        <v>17</v>
      </c>
      <c r="R94" s="14">
        <f t="shared" si="193"/>
        <v>17</v>
      </c>
      <c r="S94" s="14">
        <f t="shared" si="193"/>
        <v>15</v>
      </c>
      <c r="T94" s="16">
        <v>35.0</v>
      </c>
      <c r="U94" s="16">
        <v>35.0</v>
      </c>
      <c r="V94" s="16">
        <v>54.0</v>
      </c>
      <c r="W94" s="15">
        <v>57.0</v>
      </c>
      <c r="X94" s="15">
        <v>64.0</v>
      </c>
      <c r="Y94" s="17">
        <v>65.0</v>
      </c>
      <c r="Z94" s="15">
        <v>67.0</v>
      </c>
      <c r="AA94" s="15">
        <v>65.71428571428571</v>
      </c>
      <c r="AB94" s="15">
        <v>65.71428571428571</v>
      </c>
      <c r="AC94" s="15">
        <v>55.55555555555556</v>
      </c>
      <c r="AD94" s="16">
        <v>66.66666666666666</v>
      </c>
      <c r="AE94" s="16">
        <v>73.4375</v>
      </c>
      <c r="AF94" s="16">
        <v>73.84615384615385</v>
      </c>
      <c r="AG94" s="16">
        <v>77.61194029850746</v>
      </c>
      <c r="AH94" s="16">
        <f t="shared" si="11"/>
        <v>62.64550265</v>
      </c>
      <c r="AI94" s="18">
        <f t="shared" si="12"/>
        <v>74.96519805</v>
      </c>
      <c r="AJ94" s="14">
        <f t="shared" si="13"/>
        <v>30.33333333</v>
      </c>
      <c r="AK94" s="14">
        <f t="shared" si="14"/>
        <v>49</v>
      </c>
      <c r="AL94" s="14">
        <f t="shared" si="15"/>
        <v>18.33333333</v>
      </c>
      <c r="AM94" s="14">
        <f t="shared" si="16"/>
        <v>16.33333333</v>
      </c>
    </row>
    <row r="95" ht="14.25" customHeight="1">
      <c r="A95" s="1" t="s">
        <v>45</v>
      </c>
      <c r="B95" s="1" t="s">
        <v>180</v>
      </c>
      <c r="C95" s="1" t="s">
        <v>181</v>
      </c>
      <c r="D95" s="1" t="s">
        <v>182</v>
      </c>
      <c r="E95" s="14">
        <v>21301.0</v>
      </c>
      <c r="F95" s="15">
        <v>75.0</v>
      </c>
      <c r="G95" s="15">
        <v>73.0</v>
      </c>
      <c r="H95" s="15">
        <v>83.0</v>
      </c>
      <c r="I95" s="15">
        <v>96.0</v>
      </c>
      <c r="J95" s="15">
        <v>126.0</v>
      </c>
      <c r="K95" s="15">
        <v>131.0</v>
      </c>
      <c r="L95" s="16">
        <v>137.0</v>
      </c>
      <c r="M95" s="14">
        <f t="shared" ref="M95:S95" si="194">IF(AND(ISBLANK(F95), NOT(ISBLANK(T95))), T95, IF(OR(ISBLANK(T95), ISBLANK(F95)), "", T95-F95))</f>
        <v>45</v>
      </c>
      <c r="N95" s="14">
        <f t="shared" si="194"/>
        <v>47</v>
      </c>
      <c r="O95" s="14">
        <f t="shared" si="194"/>
        <v>72</v>
      </c>
      <c r="P95" s="14">
        <f t="shared" si="194"/>
        <v>60</v>
      </c>
      <c r="Q95" s="14">
        <f t="shared" si="194"/>
        <v>47</v>
      </c>
      <c r="R95" s="14">
        <f t="shared" si="194"/>
        <v>46</v>
      </c>
      <c r="S95" s="14">
        <f t="shared" si="194"/>
        <v>43</v>
      </c>
      <c r="T95" s="16">
        <v>120.0</v>
      </c>
      <c r="U95" s="16">
        <v>120.0</v>
      </c>
      <c r="V95" s="16">
        <v>155.0</v>
      </c>
      <c r="W95" s="15">
        <v>156.0</v>
      </c>
      <c r="X95" s="15">
        <v>173.0</v>
      </c>
      <c r="Y95" s="17">
        <v>177.0</v>
      </c>
      <c r="Z95" s="15">
        <v>180.0</v>
      </c>
      <c r="AA95" s="15">
        <v>62.5</v>
      </c>
      <c r="AB95" s="15">
        <v>60.83333333333333</v>
      </c>
      <c r="AC95" s="15">
        <v>53.5483870967742</v>
      </c>
      <c r="AD95" s="16">
        <v>61.53846153846154</v>
      </c>
      <c r="AE95" s="16">
        <v>72.83236994219652</v>
      </c>
      <c r="AF95" s="16">
        <v>74.01129943502825</v>
      </c>
      <c r="AG95" s="16">
        <v>76.11111111111111</v>
      </c>
      <c r="AH95" s="16">
        <f t="shared" si="11"/>
        <v>58.64006066</v>
      </c>
      <c r="AI95" s="18">
        <f t="shared" si="12"/>
        <v>74.31826016</v>
      </c>
      <c r="AJ95" s="14">
        <f t="shared" si="13"/>
        <v>84</v>
      </c>
      <c r="AK95" s="14">
        <f t="shared" si="14"/>
        <v>131.3333333</v>
      </c>
      <c r="AL95" s="14">
        <f t="shared" si="15"/>
        <v>59.66666667</v>
      </c>
      <c r="AM95" s="14">
        <f t="shared" si="16"/>
        <v>45.33333333</v>
      </c>
    </row>
    <row r="96" ht="14.25" customHeight="1">
      <c r="A96" s="1" t="s">
        <v>45</v>
      </c>
      <c r="B96" s="1" t="s">
        <v>180</v>
      </c>
      <c r="C96" s="1" t="s">
        <v>183</v>
      </c>
      <c r="D96" s="1" t="s">
        <v>183</v>
      </c>
      <c r="E96" s="14">
        <v>21302.0</v>
      </c>
      <c r="F96" s="15">
        <v>16.0</v>
      </c>
      <c r="G96" s="15">
        <v>23.0</v>
      </c>
      <c r="H96" s="15">
        <v>26.0</v>
      </c>
      <c r="I96" s="15">
        <v>29.0</v>
      </c>
      <c r="J96" s="15">
        <v>45.0</v>
      </c>
      <c r="K96" s="15">
        <v>46.0</v>
      </c>
      <c r="L96" s="16">
        <v>44.0</v>
      </c>
      <c r="M96" s="14">
        <f t="shared" ref="M96:S96" si="195">IF(AND(ISBLANK(F96), NOT(ISBLANK(T96))), T96, IF(OR(ISBLANK(T96), ISBLANK(F96)), "", T96-F96))</f>
        <v>18</v>
      </c>
      <c r="N96" s="14">
        <f t="shared" si="195"/>
        <v>11</v>
      </c>
      <c r="O96" s="14">
        <f t="shared" si="195"/>
        <v>26</v>
      </c>
      <c r="P96" s="14">
        <f t="shared" si="195"/>
        <v>25</v>
      </c>
      <c r="Q96" s="14">
        <f t="shared" si="195"/>
        <v>19</v>
      </c>
      <c r="R96" s="14">
        <f t="shared" si="195"/>
        <v>20</v>
      </c>
      <c r="S96" s="14">
        <f t="shared" si="195"/>
        <v>23</v>
      </c>
      <c r="T96" s="16">
        <v>34.0</v>
      </c>
      <c r="U96" s="16">
        <v>34.0</v>
      </c>
      <c r="V96" s="16">
        <v>52.0</v>
      </c>
      <c r="W96" s="15">
        <v>54.0</v>
      </c>
      <c r="X96" s="15">
        <v>64.0</v>
      </c>
      <c r="Y96" s="17">
        <v>66.0</v>
      </c>
      <c r="Z96" s="15">
        <v>67.0</v>
      </c>
      <c r="AA96" s="15">
        <v>47.05882352941176</v>
      </c>
      <c r="AB96" s="15">
        <v>67.64705882352942</v>
      </c>
      <c r="AC96" s="15">
        <v>50.0</v>
      </c>
      <c r="AD96" s="16">
        <v>53.70370370370371</v>
      </c>
      <c r="AE96" s="16">
        <v>70.3125</v>
      </c>
      <c r="AF96" s="16">
        <v>69.6969696969697</v>
      </c>
      <c r="AG96" s="16">
        <v>65.67164179104478</v>
      </c>
      <c r="AH96" s="16">
        <f t="shared" si="11"/>
        <v>57.11692084</v>
      </c>
      <c r="AI96" s="18">
        <f t="shared" si="12"/>
        <v>68.5603705</v>
      </c>
      <c r="AJ96" s="14">
        <f t="shared" si="13"/>
        <v>26</v>
      </c>
      <c r="AK96" s="14">
        <f t="shared" si="14"/>
        <v>45</v>
      </c>
      <c r="AL96" s="14">
        <f t="shared" si="15"/>
        <v>20.66666667</v>
      </c>
      <c r="AM96" s="14">
        <f t="shared" si="16"/>
        <v>20.66666667</v>
      </c>
    </row>
    <row r="97" ht="14.25" customHeight="1">
      <c r="A97" s="1" t="s">
        <v>45</v>
      </c>
      <c r="B97" s="1" t="s">
        <v>180</v>
      </c>
      <c r="C97" s="1" t="s">
        <v>184</v>
      </c>
      <c r="D97" s="1" t="s">
        <v>184</v>
      </c>
      <c r="E97" s="14">
        <v>21303.0</v>
      </c>
      <c r="F97" s="15">
        <v>29.0</v>
      </c>
      <c r="G97" s="15">
        <v>32.0</v>
      </c>
      <c r="H97" s="15">
        <v>43.0</v>
      </c>
      <c r="I97" s="15">
        <v>43.0</v>
      </c>
      <c r="J97" s="15">
        <v>55.0</v>
      </c>
      <c r="K97" s="15">
        <v>60.0</v>
      </c>
      <c r="L97" s="16">
        <v>59.0</v>
      </c>
      <c r="M97" s="14">
        <f t="shared" ref="M97:S97" si="196">IF(AND(ISBLANK(F97), NOT(ISBLANK(T97))), T97, IF(OR(ISBLANK(T97), ISBLANK(F97)), "", T97-F97))</f>
        <v>14</v>
      </c>
      <c r="N97" s="14">
        <f t="shared" si="196"/>
        <v>14</v>
      </c>
      <c r="O97" s="14">
        <f t="shared" si="196"/>
        <v>17</v>
      </c>
      <c r="P97" s="14">
        <f t="shared" si="196"/>
        <v>20</v>
      </c>
      <c r="Q97" s="14">
        <f t="shared" si="196"/>
        <v>14</v>
      </c>
      <c r="R97" s="14">
        <f t="shared" si="196"/>
        <v>11</v>
      </c>
      <c r="S97" s="14">
        <f t="shared" si="196"/>
        <v>13</v>
      </c>
      <c r="T97" s="16">
        <v>43.0</v>
      </c>
      <c r="U97" s="16">
        <v>46.0</v>
      </c>
      <c r="V97" s="16">
        <v>60.0</v>
      </c>
      <c r="W97" s="15">
        <v>63.0</v>
      </c>
      <c r="X97" s="15">
        <v>69.0</v>
      </c>
      <c r="Y97" s="17">
        <v>71.0</v>
      </c>
      <c r="Z97" s="15">
        <v>72.0</v>
      </c>
      <c r="AA97" s="15">
        <v>67.44186046511628</v>
      </c>
      <c r="AB97" s="15">
        <v>69.56521739130434</v>
      </c>
      <c r="AC97" s="15">
        <v>71.66666666666667</v>
      </c>
      <c r="AD97" s="16">
        <v>68.25396825396825</v>
      </c>
      <c r="AE97" s="16">
        <v>79.71014492753623</v>
      </c>
      <c r="AF97" s="16">
        <v>84.50704225352112</v>
      </c>
      <c r="AG97" s="16">
        <v>81.94444444444444</v>
      </c>
      <c r="AH97" s="16">
        <f t="shared" si="11"/>
        <v>69.82861744</v>
      </c>
      <c r="AI97" s="18">
        <f t="shared" si="12"/>
        <v>82.05387721</v>
      </c>
      <c r="AJ97" s="14">
        <f t="shared" si="13"/>
        <v>39.33333333</v>
      </c>
      <c r="AK97" s="14">
        <f t="shared" si="14"/>
        <v>58</v>
      </c>
      <c r="AL97" s="14">
        <f t="shared" si="15"/>
        <v>17</v>
      </c>
      <c r="AM97" s="14">
        <f t="shared" si="16"/>
        <v>12.66666667</v>
      </c>
    </row>
    <row r="98" ht="14.25" customHeight="1">
      <c r="A98" s="1" t="s">
        <v>45</v>
      </c>
      <c r="B98" s="1" t="s">
        <v>180</v>
      </c>
      <c r="C98" s="1" t="s">
        <v>185</v>
      </c>
      <c r="D98" s="1" t="s">
        <v>185</v>
      </c>
      <c r="E98" s="14">
        <v>21304.0</v>
      </c>
      <c r="F98" s="15">
        <v>47.0</v>
      </c>
      <c r="G98" s="15">
        <v>48.0</v>
      </c>
      <c r="H98" s="15">
        <v>58.0</v>
      </c>
      <c r="I98" s="15">
        <v>65.0</v>
      </c>
      <c r="J98" s="15">
        <v>84.0</v>
      </c>
      <c r="K98" s="15">
        <v>86.0</v>
      </c>
      <c r="L98" s="16">
        <v>87.0</v>
      </c>
      <c r="M98" s="14">
        <f t="shared" ref="M98:S98" si="197">IF(AND(ISBLANK(F98), NOT(ISBLANK(T98))), T98, IF(OR(ISBLANK(T98), ISBLANK(F98)), "", T98-F98))</f>
        <v>17</v>
      </c>
      <c r="N98" s="14">
        <f t="shared" si="197"/>
        <v>17</v>
      </c>
      <c r="O98" s="14">
        <f t="shared" si="197"/>
        <v>37</v>
      </c>
      <c r="P98" s="14">
        <f t="shared" si="197"/>
        <v>34</v>
      </c>
      <c r="Q98" s="14">
        <f t="shared" si="197"/>
        <v>28</v>
      </c>
      <c r="R98" s="14">
        <f t="shared" si="197"/>
        <v>27</v>
      </c>
      <c r="S98" s="14">
        <f t="shared" si="197"/>
        <v>30</v>
      </c>
      <c r="T98" s="16">
        <v>64.0</v>
      </c>
      <c r="U98" s="16">
        <v>65.0</v>
      </c>
      <c r="V98" s="16">
        <v>95.0</v>
      </c>
      <c r="W98" s="15">
        <v>99.0</v>
      </c>
      <c r="X98" s="15">
        <v>112.0</v>
      </c>
      <c r="Y98" s="17">
        <v>113.0</v>
      </c>
      <c r="Z98" s="15">
        <v>117.0</v>
      </c>
      <c r="AA98" s="15">
        <v>73.4375</v>
      </c>
      <c r="AB98" s="15">
        <v>73.84615384615385</v>
      </c>
      <c r="AC98" s="15">
        <v>61.05263157894737</v>
      </c>
      <c r="AD98" s="16">
        <v>65.65656565656566</v>
      </c>
      <c r="AE98" s="16">
        <v>75.0</v>
      </c>
      <c r="AF98" s="16">
        <v>76.10619469026548</v>
      </c>
      <c r="AG98" s="16">
        <v>74.35897435897436</v>
      </c>
      <c r="AH98" s="16">
        <f t="shared" si="11"/>
        <v>66.85178369</v>
      </c>
      <c r="AI98" s="18">
        <f t="shared" si="12"/>
        <v>75.15505635</v>
      </c>
      <c r="AJ98" s="14">
        <f t="shared" si="13"/>
        <v>57</v>
      </c>
      <c r="AK98" s="14">
        <f t="shared" si="14"/>
        <v>85.66666667</v>
      </c>
      <c r="AL98" s="14">
        <f t="shared" si="15"/>
        <v>29.33333333</v>
      </c>
      <c r="AM98" s="14">
        <f t="shared" si="16"/>
        <v>28.33333333</v>
      </c>
    </row>
    <row r="99" ht="14.25" customHeight="1">
      <c r="A99" s="1" t="s">
        <v>45</v>
      </c>
      <c r="B99" s="1" t="s">
        <v>180</v>
      </c>
      <c r="C99" s="1" t="s">
        <v>186</v>
      </c>
      <c r="D99" s="1" t="s">
        <v>186</v>
      </c>
      <c r="E99" s="14">
        <v>21305.0</v>
      </c>
      <c r="F99" s="15">
        <v>89.0</v>
      </c>
      <c r="G99" s="15">
        <v>90.0</v>
      </c>
      <c r="H99" s="15">
        <v>111.0</v>
      </c>
      <c r="I99" s="15">
        <v>116.0</v>
      </c>
      <c r="J99" s="15">
        <v>152.0</v>
      </c>
      <c r="K99" s="15">
        <v>153.0</v>
      </c>
      <c r="L99" s="16">
        <v>160.0</v>
      </c>
      <c r="M99" s="14">
        <f t="shared" ref="M99:S99" si="198">IF(AND(ISBLANK(F99), NOT(ISBLANK(T99))), T99, IF(OR(ISBLANK(T99), ISBLANK(F99)), "", T99-F99))</f>
        <v>15</v>
      </c>
      <c r="N99" s="14">
        <f t="shared" si="198"/>
        <v>16</v>
      </c>
      <c r="O99" s="14">
        <f t="shared" si="198"/>
        <v>48</v>
      </c>
      <c r="P99" s="14">
        <f t="shared" si="198"/>
        <v>49</v>
      </c>
      <c r="Q99" s="14">
        <f t="shared" si="198"/>
        <v>61</v>
      </c>
      <c r="R99" s="14">
        <f t="shared" si="198"/>
        <v>64</v>
      </c>
      <c r="S99" s="14">
        <f t="shared" si="198"/>
        <v>62</v>
      </c>
      <c r="T99" s="16">
        <v>104.0</v>
      </c>
      <c r="U99" s="16">
        <v>106.0</v>
      </c>
      <c r="V99" s="16">
        <v>159.0</v>
      </c>
      <c r="W99" s="15">
        <v>165.0</v>
      </c>
      <c r="X99" s="15">
        <v>213.0</v>
      </c>
      <c r="Y99" s="17">
        <v>217.0</v>
      </c>
      <c r="Z99" s="15">
        <v>222.0</v>
      </c>
      <c r="AA99" s="15">
        <v>85.57692307692307</v>
      </c>
      <c r="AB99" s="15">
        <v>84.90566037735849</v>
      </c>
      <c r="AC99" s="15">
        <v>69.81132075471697</v>
      </c>
      <c r="AD99" s="16">
        <v>70.3030303030303</v>
      </c>
      <c r="AE99" s="16">
        <v>71.36150234741784</v>
      </c>
      <c r="AF99" s="16">
        <v>70.50691244239631</v>
      </c>
      <c r="AG99" s="16">
        <v>72.07207207207207</v>
      </c>
      <c r="AH99" s="16">
        <f t="shared" si="11"/>
        <v>75.00667048</v>
      </c>
      <c r="AI99" s="18">
        <f t="shared" si="12"/>
        <v>71.31349562</v>
      </c>
      <c r="AJ99" s="14">
        <f t="shared" si="13"/>
        <v>105.6666667</v>
      </c>
      <c r="AK99" s="14">
        <f t="shared" si="14"/>
        <v>155</v>
      </c>
      <c r="AL99" s="14">
        <f t="shared" si="15"/>
        <v>37.66666667</v>
      </c>
      <c r="AM99" s="14">
        <f t="shared" si="16"/>
        <v>62.33333333</v>
      </c>
    </row>
    <row r="100" ht="14.25" customHeight="1">
      <c r="A100" s="1" t="s">
        <v>45</v>
      </c>
      <c r="B100" s="1" t="s">
        <v>180</v>
      </c>
      <c r="C100" s="1" t="s">
        <v>187</v>
      </c>
      <c r="D100" s="1" t="s">
        <v>187</v>
      </c>
      <c r="E100" s="14">
        <v>21306.0</v>
      </c>
      <c r="F100" s="15">
        <v>37.0</v>
      </c>
      <c r="G100" s="15">
        <v>37.0</v>
      </c>
      <c r="H100" s="15">
        <v>42.0</v>
      </c>
      <c r="I100" s="15">
        <v>43.0</v>
      </c>
      <c r="J100" s="15">
        <v>53.0</v>
      </c>
      <c r="K100" s="15">
        <v>54.0</v>
      </c>
      <c r="L100" s="16">
        <v>54.0</v>
      </c>
      <c r="M100" s="14">
        <f t="shared" ref="M100:S100" si="199">IF(AND(ISBLANK(F100), NOT(ISBLANK(T100))), T100, IF(OR(ISBLANK(T100), ISBLANK(F100)), "", T100-F100))</f>
        <v>6</v>
      </c>
      <c r="N100" s="14">
        <f t="shared" si="199"/>
        <v>6</v>
      </c>
      <c r="O100" s="14">
        <f t="shared" si="199"/>
        <v>12</v>
      </c>
      <c r="P100" s="14">
        <f t="shared" si="199"/>
        <v>12</v>
      </c>
      <c r="Q100" s="14">
        <f t="shared" si="199"/>
        <v>11</v>
      </c>
      <c r="R100" s="14">
        <f t="shared" si="199"/>
        <v>13</v>
      </c>
      <c r="S100" s="14">
        <f t="shared" si="199"/>
        <v>14</v>
      </c>
      <c r="T100" s="16">
        <v>43.0</v>
      </c>
      <c r="U100" s="16">
        <v>43.0</v>
      </c>
      <c r="V100" s="16">
        <v>54.0</v>
      </c>
      <c r="W100" s="15">
        <v>55.0</v>
      </c>
      <c r="X100" s="15">
        <v>64.0</v>
      </c>
      <c r="Y100" s="17">
        <v>67.0</v>
      </c>
      <c r="Z100" s="15">
        <v>68.0</v>
      </c>
      <c r="AA100" s="15">
        <v>86.04651162790698</v>
      </c>
      <c r="AB100" s="15">
        <v>86.04651162790698</v>
      </c>
      <c r="AC100" s="15">
        <v>77.77777777777779</v>
      </c>
      <c r="AD100" s="16">
        <v>78.18181818181819</v>
      </c>
      <c r="AE100" s="16">
        <v>82.8125</v>
      </c>
      <c r="AF100" s="16">
        <v>80.59701492537313</v>
      </c>
      <c r="AG100" s="16">
        <v>79.41176470588235</v>
      </c>
      <c r="AH100" s="16">
        <f t="shared" si="11"/>
        <v>80.66870253</v>
      </c>
      <c r="AI100" s="18">
        <f t="shared" si="12"/>
        <v>80.94042654</v>
      </c>
      <c r="AJ100" s="14">
        <f t="shared" si="13"/>
        <v>40.66666667</v>
      </c>
      <c r="AK100" s="14">
        <f t="shared" si="14"/>
        <v>53.66666667</v>
      </c>
      <c r="AL100" s="14">
        <f t="shared" si="15"/>
        <v>10</v>
      </c>
      <c r="AM100" s="14">
        <f t="shared" si="16"/>
        <v>12.66666667</v>
      </c>
    </row>
    <row r="101" ht="14.25" customHeight="1">
      <c r="A101" s="1" t="s">
        <v>45</v>
      </c>
      <c r="B101" s="1" t="s">
        <v>180</v>
      </c>
      <c r="C101" s="1" t="s">
        <v>188</v>
      </c>
      <c r="D101" s="1" t="s">
        <v>188</v>
      </c>
      <c r="E101" s="14">
        <v>21307.0</v>
      </c>
      <c r="F101" s="15">
        <v>8.0</v>
      </c>
      <c r="G101" s="15">
        <v>8.0</v>
      </c>
      <c r="H101" s="15">
        <v>9.0</v>
      </c>
      <c r="I101" s="15">
        <v>8.0</v>
      </c>
      <c r="J101" s="15">
        <v>6.0</v>
      </c>
      <c r="K101" s="15">
        <v>7.0</v>
      </c>
      <c r="L101" s="16">
        <v>7.0</v>
      </c>
      <c r="M101" s="14">
        <f t="shared" ref="M101:S101" si="200">IF(AND(ISBLANK(F101), NOT(ISBLANK(T101))), T101, IF(OR(ISBLANK(T101), ISBLANK(F101)), "", T101-F101))</f>
        <v>1</v>
      </c>
      <c r="N101" s="14">
        <f t="shared" si="200"/>
        <v>1</v>
      </c>
      <c r="O101" s="14">
        <f t="shared" si="200"/>
        <v>2</v>
      </c>
      <c r="P101" s="14">
        <f t="shared" si="200"/>
        <v>3</v>
      </c>
      <c r="Q101" s="14">
        <f t="shared" si="200"/>
        <v>5</v>
      </c>
      <c r="R101" s="14">
        <f t="shared" si="200"/>
        <v>4</v>
      </c>
      <c r="S101" s="14">
        <f t="shared" si="200"/>
        <v>4</v>
      </c>
      <c r="T101" s="16">
        <v>9.0</v>
      </c>
      <c r="U101" s="16">
        <v>9.0</v>
      </c>
      <c r="V101" s="16">
        <v>11.0</v>
      </c>
      <c r="W101" s="15">
        <v>11.0</v>
      </c>
      <c r="X101" s="15">
        <v>11.0</v>
      </c>
      <c r="Y101" s="17">
        <v>11.0</v>
      </c>
      <c r="Z101" s="15">
        <v>11.0</v>
      </c>
      <c r="AA101" s="15">
        <v>88.88888888888889</v>
      </c>
      <c r="AB101" s="15">
        <v>88.88888888888889</v>
      </c>
      <c r="AC101" s="15">
        <v>81.81818181818183</v>
      </c>
      <c r="AD101" s="16">
        <v>72.72727272727273</v>
      </c>
      <c r="AE101" s="16">
        <v>54.54545454545454</v>
      </c>
      <c r="AF101" s="16">
        <v>63.63636363636363</v>
      </c>
      <c r="AG101" s="16">
        <v>63.63636363636363</v>
      </c>
      <c r="AH101" s="16">
        <f t="shared" si="11"/>
        <v>81.14478114</v>
      </c>
      <c r="AI101" s="18">
        <f t="shared" si="12"/>
        <v>60.60606061</v>
      </c>
      <c r="AJ101" s="14">
        <f t="shared" si="13"/>
        <v>8.333333333</v>
      </c>
      <c r="AK101" s="14">
        <f t="shared" si="14"/>
        <v>6.666666667</v>
      </c>
      <c r="AL101" s="14">
        <f t="shared" si="15"/>
        <v>2</v>
      </c>
      <c r="AM101" s="14">
        <f t="shared" si="16"/>
        <v>4.333333333</v>
      </c>
    </row>
    <row r="102" ht="14.25" customHeight="1">
      <c r="A102" s="1" t="s">
        <v>45</v>
      </c>
      <c r="B102" s="1" t="s">
        <v>189</v>
      </c>
      <c r="C102" s="1" t="s">
        <v>190</v>
      </c>
      <c r="D102" s="1" t="s">
        <v>190</v>
      </c>
      <c r="E102" s="14">
        <v>21401.0</v>
      </c>
      <c r="F102" s="15">
        <v>31.0</v>
      </c>
      <c r="G102" s="15">
        <v>34.0</v>
      </c>
      <c r="H102" s="15">
        <v>42.0</v>
      </c>
      <c r="I102" s="15">
        <v>50.0</v>
      </c>
      <c r="J102" s="15">
        <v>86.0</v>
      </c>
      <c r="K102" s="15">
        <v>87.0</v>
      </c>
      <c r="L102" s="16">
        <v>90.0</v>
      </c>
      <c r="M102" s="14">
        <f t="shared" ref="M102:S102" si="201">IF(AND(ISBLANK(F102), NOT(ISBLANK(T102))), T102, IF(OR(ISBLANK(T102), ISBLANK(F102)), "", T102-F102))</f>
        <v>21</v>
      </c>
      <c r="N102" s="14">
        <f t="shared" si="201"/>
        <v>23</v>
      </c>
      <c r="O102" s="14">
        <f t="shared" si="201"/>
        <v>43</v>
      </c>
      <c r="P102" s="14">
        <f t="shared" si="201"/>
        <v>39</v>
      </c>
      <c r="Q102" s="14">
        <f t="shared" si="201"/>
        <v>31</v>
      </c>
      <c r="R102" s="14">
        <f t="shared" si="201"/>
        <v>30</v>
      </c>
      <c r="S102" s="14">
        <f t="shared" si="201"/>
        <v>29</v>
      </c>
      <c r="T102" s="16">
        <v>52.0</v>
      </c>
      <c r="U102" s="16">
        <v>57.0</v>
      </c>
      <c r="V102" s="16">
        <v>85.0</v>
      </c>
      <c r="W102" s="15">
        <v>89.0</v>
      </c>
      <c r="X102" s="15">
        <v>117.0</v>
      </c>
      <c r="Y102" s="17">
        <v>117.0</v>
      </c>
      <c r="Z102" s="15">
        <v>119.0</v>
      </c>
      <c r="AA102" s="15">
        <v>59.61538461538461</v>
      </c>
      <c r="AB102" s="15">
        <v>59.64912280701754</v>
      </c>
      <c r="AC102" s="15">
        <v>49.411764705882355</v>
      </c>
      <c r="AD102" s="16">
        <v>56.17977528089888</v>
      </c>
      <c r="AE102" s="16">
        <v>73.50427350427351</v>
      </c>
      <c r="AF102" s="16">
        <v>74.35897435897436</v>
      </c>
      <c r="AG102" s="16">
        <v>75.63025210084034</v>
      </c>
      <c r="AH102" s="16">
        <f t="shared" si="11"/>
        <v>55.08022093</v>
      </c>
      <c r="AI102" s="18">
        <f t="shared" si="12"/>
        <v>74.49783332</v>
      </c>
      <c r="AJ102" s="14">
        <f t="shared" si="13"/>
        <v>42</v>
      </c>
      <c r="AK102" s="14">
        <f t="shared" si="14"/>
        <v>87.66666667</v>
      </c>
      <c r="AL102" s="14">
        <f t="shared" si="15"/>
        <v>35</v>
      </c>
      <c r="AM102" s="14">
        <f t="shared" si="16"/>
        <v>30</v>
      </c>
    </row>
    <row r="103" ht="14.25" customHeight="1">
      <c r="A103" s="1" t="s">
        <v>45</v>
      </c>
      <c r="B103" s="1" t="s">
        <v>189</v>
      </c>
      <c r="C103" s="1" t="s">
        <v>191</v>
      </c>
      <c r="D103" s="1" t="s">
        <v>191</v>
      </c>
      <c r="E103" s="14">
        <v>21402.0</v>
      </c>
      <c r="F103" s="15">
        <v>35.0</v>
      </c>
      <c r="G103" s="15">
        <v>37.0</v>
      </c>
      <c r="H103" s="15">
        <v>46.0</v>
      </c>
      <c r="I103" s="15">
        <v>46.0</v>
      </c>
      <c r="J103" s="15">
        <v>77.0</v>
      </c>
      <c r="K103" s="15">
        <v>79.0</v>
      </c>
      <c r="L103" s="16">
        <v>77.0</v>
      </c>
      <c r="M103" s="14">
        <f t="shared" ref="M103:S103" si="202">IF(AND(ISBLANK(F103), NOT(ISBLANK(T103))), T103, IF(OR(ISBLANK(T103), ISBLANK(F103)), "", T103-F103))</f>
        <v>9</v>
      </c>
      <c r="N103" s="14">
        <f t="shared" si="202"/>
        <v>10</v>
      </c>
      <c r="O103" s="14">
        <f t="shared" si="202"/>
        <v>22</v>
      </c>
      <c r="P103" s="14">
        <f t="shared" si="202"/>
        <v>23</v>
      </c>
      <c r="Q103" s="14">
        <f t="shared" si="202"/>
        <v>16</v>
      </c>
      <c r="R103" s="14">
        <f t="shared" si="202"/>
        <v>15</v>
      </c>
      <c r="S103" s="14">
        <f t="shared" si="202"/>
        <v>15</v>
      </c>
      <c r="T103" s="16">
        <v>44.0</v>
      </c>
      <c r="U103" s="16">
        <v>47.0</v>
      </c>
      <c r="V103" s="16">
        <v>68.0</v>
      </c>
      <c r="W103" s="15">
        <v>69.0</v>
      </c>
      <c r="X103" s="15">
        <v>93.0</v>
      </c>
      <c r="Y103" s="17">
        <v>94.0</v>
      </c>
      <c r="Z103" s="15">
        <v>92.0</v>
      </c>
      <c r="AA103" s="15">
        <v>79.54545454545455</v>
      </c>
      <c r="AB103" s="15">
        <v>78.72340425531915</v>
      </c>
      <c r="AC103" s="15">
        <v>67.64705882352942</v>
      </c>
      <c r="AD103" s="16">
        <v>66.66666666666666</v>
      </c>
      <c r="AE103" s="16">
        <v>82.79569892473118</v>
      </c>
      <c r="AF103" s="16">
        <v>84.04255319148936</v>
      </c>
      <c r="AG103" s="16">
        <v>83.69565217391305</v>
      </c>
      <c r="AH103" s="16">
        <f t="shared" si="11"/>
        <v>71.01237658</v>
      </c>
      <c r="AI103" s="18">
        <f t="shared" si="12"/>
        <v>83.51130143</v>
      </c>
      <c r="AJ103" s="14">
        <f t="shared" si="13"/>
        <v>43</v>
      </c>
      <c r="AK103" s="14">
        <f t="shared" si="14"/>
        <v>77.66666667</v>
      </c>
      <c r="AL103" s="14">
        <f t="shared" si="15"/>
        <v>18.33333333</v>
      </c>
      <c r="AM103" s="14">
        <f t="shared" si="16"/>
        <v>15.33333333</v>
      </c>
    </row>
    <row r="104" ht="14.25" customHeight="1">
      <c r="A104" s="1" t="s">
        <v>45</v>
      </c>
      <c r="B104" s="1" t="s">
        <v>192</v>
      </c>
      <c r="C104" s="1" t="s">
        <v>193</v>
      </c>
      <c r="D104" s="1" t="s">
        <v>193</v>
      </c>
      <c r="E104" s="14">
        <v>21501.0</v>
      </c>
      <c r="F104" s="15">
        <v>15.0</v>
      </c>
      <c r="G104" s="15">
        <v>21.0</v>
      </c>
      <c r="H104" s="15">
        <v>24.0</v>
      </c>
      <c r="I104" s="15">
        <v>34.0</v>
      </c>
      <c r="J104" s="15">
        <v>99.0</v>
      </c>
      <c r="K104" s="15">
        <v>98.0</v>
      </c>
      <c r="L104" s="16">
        <v>99.0</v>
      </c>
      <c r="M104" s="14">
        <f t="shared" ref="M104:S104" si="203">IF(AND(ISBLANK(F104), NOT(ISBLANK(T104))), T104, IF(OR(ISBLANK(T104), ISBLANK(F104)), "", T104-F104))</f>
        <v>10</v>
      </c>
      <c r="N104" s="14">
        <f t="shared" si="203"/>
        <v>9</v>
      </c>
      <c r="O104" s="14">
        <f t="shared" si="203"/>
        <v>18</v>
      </c>
      <c r="P104" s="14">
        <f t="shared" si="203"/>
        <v>16</v>
      </c>
      <c r="Q104" s="14">
        <f t="shared" si="203"/>
        <v>18</v>
      </c>
      <c r="R104" s="14">
        <f t="shared" si="203"/>
        <v>21</v>
      </c>
      <c r="S104" s="14">
        <f t="shared" si="203"/>
        <v>20</v>
      </c>
      <c r="T104" s="16">
        <v>25.0</v>
      </c>
      <c r="U104" s="16">
        <v>30.0</v>
      </c>
      <c r="V104" s="16">
        <v>42.0</v>
      </c>
      <c r="W104" s="15">
        <v>50.0</v>
      </c>
      <c r="X104" s="15">
        <v>117.0</v>
      </c>
      <c r="Y104" s="17">
        <v>119.0</v>
      </c>
      <c r="Z104" s="15">
        <v>119.0</v>
      </c>
      <c r="AA104" s="15">
        <v>60.0</v>
      </c>
      <c r="AB104" s="15">
        <v>70.0</v>
      </c>
      <c r="AC104" s="15">
        <v>57.14285714285714</v>
      </c>
      <c r="AD104" s="16">
        <v>68.0</v>
      </c>
      <c r="AE104" s="16">
        <v>84.61538461538461</v>
      </c>
      <c r="AF104" s="16">
        <v>82.35294117647058</v>
      </c>
      <c r="AG104" s="16">
        <v>83.19327731092437</v>
      </c>
      <c r="AH104" s="16">
        <f t="shared" si="11"/>
        <v>65.04761905</v>
      </c>
      <c r="AI104" s="18">
        <f t="shared" si="12"/>
        <v>83.38720103</v>
      </c>
      <c r="AJ104" s="14">
        <f t="shared" si="13"/>
        <v>26.33333333</v>
      </c>
      <c r="AK104" s="14">
        <f t="shared" si="14"/>
        <v>98.66666667</v>
      </c>
      <c r="AL104" s="14">
        <f t="shared" si="15"/>
        <v>14.33333333</v>
      </c>
      <c r="AM104" s="14">
        <f t="shared" si="16"/>
        <v>19.66666667</v>
      </c>
    </row>
    <row r="105" ht="14.25" customHeight="1">
      <c r="A105" s="1" t="s">
        <v>45</v>
      </c>
      <c r="B105" s="1" t="s">
        <v>192</v>
      </c>
      <c r="C105" s="1" t="s">
        <v>194</v>
      </c>
      <c r="D105" s="1" t="s">
        <v>194</v>
      </c>
      <c r="E105" s="14">
        <v>21502.0</v>
      </c>
      <c r="F105" s="15">
        <v>15.0</v>
      </c>
      <c r="G105" s="15">
        <v>16.0</v>
      </c>
      <c r="H105" s="15">
        <v>17.0</v>
      </c>
      <c r="I105" s="15">
        <v>20.0</v>
      </c>
      <c r="J105" s="15">
        <v>73.0</v>
      </c>
      <c r="K105" s="15">
        <v>74.0</v>
      </c>
      <c r="L105" s="16">
        <v>74.0</v>
      </c>
      <c r="M105" s="14">
        <f t="shared" ref="M105:S105" si="204">IF(AND(ISBLANK(F105), NOT(ISBLANK(T105))), T105, IF(OR(ISBLANK(T105), ISBLANK(F105)), "", T105-F105))</f>
        <v>12</v>
      </c>
      <c r="N105" s="14">
        <f t="shared" si="204"/>
        <v>12</v>
      </c>
      <c r="O105" s="14">
        <f t="shared" si="204"/>
        <v>31</v>
      </c>
      <c r="P105" s="14">
        <f t="shared" si="204"/>
        <v>32</v>
      </c>
      <c r="Q105" s="14">
        <f t="shared" si="204"/>
        <v>17</v>
      </c>
      <c r="R105" s="14">
        <f t="shared" si="204"/>
        <v>19</v>
      </c>
      <c r="S105" s="14">
        <f t="shared" si="204"/>
        <v>19</v>
      </c>
      <c r="T105" s="16">
        <v>27.0</v>
      </c>
      <c r="U105" s="16">
        <v>28.0</v>
      </c>
      <c r="V105" s="16">
        <v>48.0</v>
      </c>
      <c r="W105" s="15">
        <v>52.0</v>
      </c>
      <c r="X105" s="15">
        <v>90.0</v>
      </c>
      <c r="Y105" s="17">
        <v>93.0</v>
      </c>
      <c r="Z105" s="15">
        <v>93.0</v>
      </c>
      <c r="AA105" s="15">
        <v>55.55555555555556</v>
      </c>
      <c r="AB105" s="15">
        <v>57.14285714285714</v>
      </c>
      <c r="AC105" s="15">
        <v>35.41666666666667</v>
      </c>
      <c r="AD105" s="16">
        <v>38.46153846153847</v>
      </c>
      <c r="AE105" s="16">
        <v>81.11111111111111</v>
      </c>
      <c r="AF105" s="16">
        <v>79.56989247311827</v>
      </c>
      <c r="AG105" s="16">
        <v>79.56989247311827</v>
      </c>
      <c r="AH105" s="16">
        <f t="shared" si="11"/>
        <v>43.67368742</v>
      </c>
      <c r="AI105" s="18">
        <f t="shared" si="12"/>
        <v>80.08363202</v>
      </c>
      <c r="AJ105" s="14">
        <f t="shared" si="13"/>
        <v>17.66666667</v>
      </c>
      <c r="AK105" s="14">
        <f t="shared" si="14"/>
        <v>73.66666667</v>
      </c>
      <c r="AL105" s="14">
        <f t="shared" si="15"/>
        <v>25</v>
      </c>
      <c r="AM105" s="14">
        <f t="shared" si="16"/>
        <v>18.33333333</v>
      </c>
    </row>
    <row r="106" ht="14.25" customHeight="1">
      <c r="A106" s="1" t="s">
        <v>45</v>
      </c>
      <c r="B106" s="1" t="s">
        <v>195</v>
      </c>
      <c r="C106" s="1" t="s">
        <v>196</v>
      </c>
      <c r="D106" s="1" t="s">
        <v>197</v>
      </c>
      <c r="E106" s="14">
        <v>21601.0</v>
      </c>
      <c r="F106" s="15">
        <v>15.0</v>
      </c>
      <c r="G106" s="15">
        <v>19.0</v>
      </c>
      <c r="H106" s="15">
        <v>22.0</v>
      </c>
      <c r="I106" s="15">
        <v>29.0</v>
      </c>
      <c r="J106" s="15">
        <v>69.0</v>
      </c>
      <c r="K106" s="15">
        <v>77.0</v>
      </c>
      <c r="L106" s="16">
        <v>80.0</v>
      </c>
      <c r="M106" s="14">
        <f t="shared" ref="M106:S106" si="205">IF(AND(ISBLANK(F106), NOT(ISBLANK(T106))), T106, IF(OR(ISBLANK(T106), ISBLANK(F106)), "", T106-F106))</f>
        <v>18</v>
      </c>
      <c r="N106" s="14">
        <f t="shared" si="205"/>
        <v>18</v>
      </c>
      <c r="O106" s="14">
        <f t="shared" si="205"/>
        <v>39</v>
      </c>
      <c r="P106" s="14">
        <f t="shared" si="205"/>
        <v>35</v>
      </c>
      <c r="Q106" s="14">
        <f t="shared" si="205"/>
        <v>20</v>
      </c>
      <c r="R106" s="14">
        <f t="shared" si="205"/>
        <v>17</v>
      </c>
      <c r="S106" s="14">
        <f t="shared" si="205"/>
        <v>17</v>
      </c>
      <c r="T106" s="16">
        <v>33.0</v>
      </c>
      <c r="U106" s="16">
        <v>37.0</v>
      </c>
      <c r="V106" s="16">
        <v>61.0</v>
      </c>
      <c r="W106" s="15">
        <v>64.0</v>
      </c>
      <c r="X106" s="15">
        <v>89.0</v>
      </c>
      <c r="Y106" s="17">
        <v>94.0</v>
      </c>
      <c r="Z106" s="15">
        <v>97.0</v>
      </c>
      <c r="AA106" s="15">
        <v>45.45454545454545</v>
      </c>
      <c r="AB106" s="15">
        <v>51.35135135135135</v>
      </c>
      <c r="AC106" s="15">
        <v>36.0655737704918</v>
      </c>
      <c r="AD106" s="16">
        <v>45.3125</v>
      </c>
      <c r="AE106" s="16">
        <v>77.52808988764045</v>
      </c>
      <c r="AF106" s="16">
        <v>81.91489361702128</v>
      </c>
      <c r="AG106" s="16">
        <v>82.4742268041237</v>
      </c>
      <c r="AH106" s="16">
        <f t="shared" si="11"/>
        <v>44.24314171</v>
      </c>
      <c r="AI106" s="18">
        <f t="shared" si="12"/>
        <v>80.6390701</v>
      </c>
      <c r="AJ106" s="14">
        <f t="shared" si="13"/>
        <v>23.33333333</v>
      </c>
      <c r="AK106" s="14">
        <f t="shared" si="14"/>
        <v>75.33333333</v>
      </c>
      <c r="AL106" s="14">
        <f t="shared" si="15"/>
        <v>30.66666667</v>
      </c>
      <c r="AM106" s="14">
        <f t="shared" si="16"/>
        <v>18</v>
      </c>
    </row>
    <row r="107" ht="14.25" customHeight="1">
      <c r="A107" s="1" t="s">
        <v>45</v>
      </c>
      <c r="B107" s="1" t="s">
        <v>195</v>
      </c>
      <c r="C107" s="1" t="s">
        <v>198</v>
      </c>
      <c r="D107" s="1" t="s">
        <v>198</v>
      </c>
      <c r="E107" s="14">
        <v>21602.0</v>
      </c>
      <c r="F107" s="15">
        <v>3.0</v>
      </c>
      <c r="G107" s="15">
        <v>2.0</v>
      </c>
      <c r="H107" s="15">
        <v>2.0</v>
      </c>
      <c r="I107" s="15">
        <v>4.0</v>
      </c>
      <c r="J107" s="15">
        <v>16.0</v>
      </c>
      <c r="K107" s="15">
        <v>15.0</v>
      </c>
      <c r="L107" s="16">
        <v>17.0</v>
      </c>
      <c r="M107" s="14">
        <f t="shared" ref="M107:S107" si="206">IF(AND(ISBLANK(F107), NOT(ISBLANK(T107))), T107, IF(OR(ISBLANK(T107), ISBLANK(F107)), "", T107-F107))</f>
        <v>1</v>
      </c>
      <c r="N107" s="14">
        <f t="shared" si="206"/>
        <v>2</v>
      </c>
      <c r="O107" s="14">
        <f t="shared" si="206"/>
        <v>7</v>
      </c>
      <c r="P107" s="14">
        <f t="shared" si="206"/>
        <v>6</v>
      </c>
      <c r="Q107" s="14">
        <f t="shared" si="206"/>
        <v>4</v>
      </c>
      <c r="R107" s="14">
        <f t="shared" si="206"/>
        <v>5</v>
      </c>
      <c r="S107" s="14">
        <f t="shared" si="206"/>
        <v>4</v>
      </c>
      <c r="T107" s="16">
        <v>4.0</v>
      </c>
      <c r="U107" s="16">
        <v>4.0</v>
      </c>
      <c r="V107" s="16">
        <v>9.0</v>
      </c>
      <c r="W107" s="15">
        <v>10.0</v>
      </c>
      <c r="X107" s="15">
        <v>20.0</v>
      </c>
      <c r="Y107" s="17">
        <v>20.0</v>
      </c>
      <c r="Z107" s="15">
        <v>21.0</v>
      </c>
      <c r="AA107" s="15">
        <v>75.0</v>
      </c>
      <c r="AB107" s="15">
        <v>50.0</v>
      </c>
      <c r="AC107" s="15">
        <v>22.22222222222222</v>
      </c>
      <c r="AD107" s="16">
        <v>40.0</v>
      </c>
      <c r="AE107" s="16">
        <v>80.0</v>
      </c>
      <c r="AF107" s="16">
        <v>75.0</v>
      </c>
      <c r="AG107" s="16">
        <v>80.95238095238095</v>
      </c>
      <c r="AH107" s="16">
        <f t="shared" si="11"/>
        <v>37.40740741</v>
      </c>
      <c r="AI107" s="18">
        <f t="shared" si="12"/>
        <v>78.65079365</v>
      </c>
      <c r="AJ107" s="14">
        <f t="shared" si="13"/>
        <v>2.666666667</v>
      </c>
      <c r="AK107" s="14">
        <f t="shared" si="14"/>
        <v>16</v>
      </c>
      <c r="AL107" s="14">
        <f t="shared" si="15"/>
        <v>5</v>
      </c>
      <c r="AM107" s="14">
        <f t="shared" si="16"/>
        <v>4.333333333</v>
      </c>
    </row>
    <row r="108" ht="14.25" customHeight="1">
      <c r="A108" s="1" t="s">
        <v>45</v>
      </c>
      <c r="B108" s="1" t="s">
        <v>199</v>
      </c>
      <c r="C108" s="1" t="s">
        <v>200</v>
      </c>
      <c r="D108" s="1" t="s">
        <v>200</v>
      </c>
      <c r="E108" s="14">
        <v>21701.0</v>
      </c>
      <c r="F108" s="15">
        <v>43.0</v>
      </c>
      <c r="G108" s="15">
        <v>48.0</v>
      </c>
      <c r="H108" s="15">
        <v>64.0</v>
      </c>
      <c r="I108" s="15">
        <v>71.0</v>
      </c>
      <c r="J108" s="15">
        <v>102.0</v>
      </c>
      <c r="K108" s="15">
        <v>101.0</v>
      </c>
      <c r="L108" s="16">
        <v>100.0</v>
      </c>
      <c r="M108" s="14">
        <f t="shared" ref="M108:S108" si="207">IF(AND(ISBLANK(F108), NOT(ISBLANK(T108))), T108, IF(OR(ISBLANK(T108), ISBLANK(F108)), "", T108-F108))</f>
        <v>23</v>
      </c>
      <c r="N108" s="14">
        <f t="shared" si="207"/>
        <v>23</v>
      </c>
      <c r="O108" s="14">
        <f t="shared" si="207"/>
        <v>38</v>
      </c>
      <c r="P108" s="14">
        <f t="shared" si="207"/>
        <v>39</v>
      </c>
      <c r="Q108" s="14">
        <f t="shared" si="207"/>
        <v>29</v>
      </c>
      <c r="R108" s="14">
        <f t="shared" si="207"/>
        <v>32</v>
      </c>
      <c r="S108" s="14">
        <f t="shared" si="207"/>
        <v>34</v>
      </c>
      <c r="T108" s="16">
        <v>66.0</v>
      </c>
      <c r="U108" s="16">
        <v>71.0</v>
      </c>
      <c r="V108" s="16">
        <v>102.0</v>
      </c>
      <c r="W108" s="15">
        <v>110.0</v>
      </c>
      <c r="X108" s="15">
        <v>131.0</v>
      </c>
      <c r="Y108" s="17">
        <v>133.0</v>
      </c>
      <c r="Z108" s="15">
        <v>134.0</v>
      </c>
      <c r="AA108" s="15">
        <v>65.15151515151516</v>
      </c>
      <c r="AB108" s="15">
        <v>67.6056338028169</v>
      </c>
      <c r="AC108" s="15">
        <v>62.745098039215684</v>
      </c>
      <c r="AD108" s="16">
        <v>64.54545454545455</v>
      </c>
      <c r="AE108" s="16">
        <v>77.86259541984732</v>
      </c>
      <c r="AF108" s="16">
        <v>75.93984962406014</v>
      </c>
      <c r="AG108" s="16">
        <v>74.6268656716418</v>
      </c>
      <c r="AH108" s="16">
        <f t="shared" si="11"/>
        <v>64.96539546</v>
      </c>
      <c r="AI108" s="18">
        <f t="shared" si="12"/>
        <v>76.14310357</v>
      </c>
      <c r="AJ108" s="14">
        <f t="shared" si="13"/>
        <v>61</v>
      </c>
      <c r="AK108" s="14">
        <f t="shared" si="14"/>
        <v>101</v>
      </c>
      <c r="AL108" s="14">
        <f t="shared" si="15"/>
        <v>33.33333333</v>
      </c>
      <c r="AM108" s="14">
        <f t="shared" si="16"/>
        <v>31.66666667</v>
      </c>
    </row>
    <row r="109" ht="14.25" customHeight="1">
      <c r="A109" s="1" t="s">
        <v>45</v>
      </c>
      <c r="B109" s="1" t="s">
        <v>199</v>
      </c>
      <c r="C109" s="1" t="s">
        <v>201</v>
      </c>
      <c r="D109" s="1" t="s">
        <v>201</v>
      </c>
      <c r="E109" s="14">
        <v>21702.0</v>
      </c>
      <c r="F109" s="15">
        <v>27.0</v>
      </c>
      <c r="G109" s="15">
        <v>27.0</v>
      </c>
      <c r="H109" s="15">
        <v>35.0</v>
      </c>
      <c r="I109" s="15">
        <v>35.0</v>
      </c>
      <c r="J109" s="15">
        <v>42.0</v>
      </c>
      <c r="K109" s="15">
        <v>44.0</v>
      </c>
      <c r="L109" s="16">
        <v>47.0</v>
      </c>
      <c r="M109" s="14">
        <f t="shared" ref="M109:S109" si="208">IF(AND(ISBLANK(F109), NOT(ISBLANK(T109))), T109, IF(OR(ISBLANK(T109), ISBLANK(F109)), "", T109-F109))</f>
        <v>3</v>
      </c>
      <c r="N109" s="14">
        <f t="shared" si="208"/>
        <v>3</v>
      </c>
      <c r="O109" s="14">
        <f t="shared" si="208"/>
        <v>10</v>
      </c>
      <c r="P109" s="14">
        <f t="shared" si="208"/>
        <v>10</v>
      </c>
      <c r="Q109" s="14">
        <f t="shared" si="208"/>
        <v>13</v>
      </c>
      <c r="R109" s="14">
        <f t="shared" si="208"/>
        <v>13</v>
      </c>
      <c r="S109" s="14">
        <f t="shared" si="208"/>
        <v>12</v>
      </c>
      <c r="T109" s="16">
        <v>30.0</v>
      </c>
      <c r="U109" s="16">
        <v>30.0</v>
      </c>
      <c r="V109" s="16">
        <v>45.0</v>
      </c>
      <c r="W109" s="15">
        <v>45.0</v>
      </c>
      <c r="X109" s="15">
        <v>55.0</v>
      </c>
      <c r="Y109" s="17">
        <v>57.0</v>
      </c>
      <c r="Z109" s="15">
        <v>59.0</v>
      </c>
      <c r="AA109" s="15">
        <v>90.0</v>
      </c>
      <c r="AB109" s="15">
        <v>90.0</v>
      </c>
      <c r="AC109" s="15">
        <v>77.77777777777779</v>
      </c>
      <c r="AD109" s="16">
        <v>77.77777777777779</v>
      </c>
      <c r="AE109" s="16">
        <v>76.36363636363637</v>
      </c>
      <c r="AF109" s="16">
        <v>77.19298245614034</v>
      </c>
      <c r="AG109" s="16">
        <v>79.66101694915254</v>
      </c>
      <c r="AH109" s="16">
        <f t="shared" si="11"/>
        <v>81.85185185</v>
      </c>
      <c r="AI109" s="18">
        <f t="shared" si="12"/>
        <v>77.73921192</v>
      </c>
      <c r="AJ109" s="14">
        <f t="shared" si="13"/>
        <v>32.33333333</v>
      </c>
      <c r="AK109" s="14">
        <f t="shared" si="14"/>
        <v>44.33333333</v>
      </c>
      <c r="AL109" s="14">
        <f t="shared" si="15"/>
        <v>7.666666667</v>
      </c>
      <c r="AM109" s="14">
        <f t="shared" si="16"/>
        <v>12.66666667</v>
      </c>
    </row>
    <row r="110" ht="14.25" customHeight="1">
      <c r="A110" s="1" t="s">
        <v>45</v>
      </c>
      <c r="B110" s="1" t="s">
        <v>199</v>
      </c>
      <c r="C110" s="1" t="s">
        <v>202</v>
      </c>
      <c r="D110" s="1" t="s">
        <v>202</v>
      </c>
      <c r="E110" s="14">
        <v>21703.0</v>
      </c>
      <c r="F110" s="15">
        <v>5.0</v>
      </c>
      <c r="G110" s="15">
        <v>6.0</v>
      </c>
      <c r="H110" s="15">
        <v>7.0</v>
      </c>
      <c r="I110" s="15">
        <v>8.0</v>
      </c>
      <c r="J110" s="15">
        <v>10.0</v>
      </c>
      <c r="K110" s="15">
        <v>10.0</v>
      </c>
      <c r="L110" s="16">
        <v>10.0</v>
      </c>
      <c r="M110" s="14">
        <f t="shared" ref="M110:S110" si="209">IF(AND(ISBLANK(F110), NOT(ISBLANK(T110))), T110, IF(OR(ISBLANK(T110), ISBLANK(F110)), "", T110-F110))</f>
        <v>3</v>
      </c>
      <c r="N110" s="14">
        <f t="shared" si="209"/>
        <v>2</v>
      </c>
      <c r="O110" s="14">
        <f t="shared" si="209"/>
        <v>4</v>
      </c>
      <c r="P110" s="14">
        <f t="shared" si="209"/>
        <v>4</v>
      </c>
      <c r="Q110" s="14">
        <f t="shared" si="209"/>
        <v>0</v>
      </c>
      <c r="R110" s="14">
        <f t="shared" si="209"/>
        <v>0</v>
      </c>
      <c r="S110" s="14">
        <f t="shared" si="209"/>
        <v>0</v>
      </c>
      <c r="T110" s="16">
        <v>8.0</v>
      </c>
      <c r="U110" s="16">
        <v>8.0</v>
      </c>
      <c r="V110" s="16">
        <v>11.0</v>
      </c>
      <c r="W110" s="15">
        <v>12.0</v>
      </c>
      <c r="X110" s="15">
        <v>10.0</v>
      </c>
      <c r="Y110" s="17">
        <v>10.0</v>
      </c>
      <c r="Z110" s="15">
        <v>10.0</v>
      </c>
      <c r="AA110" s="15">
        <v>62.5</v>
      </c>
      <c r="AB110" s="15">
        <v>75.0</v>
      </c>
      <c r="AC110" s="15">
        <v>63.63636363636363</v>
      </c>
      <c r="AD110" s="16">
        <v>66.66666666666666</v>
      </c>
      <c r="AE110" s="16">
        <v>100.0</v>
      </c>
      <c r="AF110" s="16">
        <v>100.0</v>
      </c>
      <c r="AG110" s="16">
        <v>100.0</v>
      </c>
      <c r="AH110" s="16">
        <f t="shared" si="11"/>
        <v>68.43434343</v>
      </c>
      <c r="AI110" s="18">
        <f t="shared" si="12"/>
        <v>100</v>
      </c>
      <c r="AJ110" s="14">
        <f t="shared" si="13"/>
        <v>7</v>
      </c>
      <c r="AK110" s="14">
        <f t="shared" si="14"/>
        <v>10</v>
      </c>
      <c r="AL110" s="14">
        <f t="shared" si="15"/>
        <v>3.333333333</v>
      </c>
      <c r="AM110" s="14">
        <f t="shared" si="16"/>
        <v>0</v>
      </c>
    </row>
    <row r="111" ht="14.25" customHeight="1">
      <c r="A111" s="1" t="s">
        <v>45</v>
      </c>
      <c r="B111" s="1" t="s">
        <v>203</v>
      </c>
      <c r="C111" s="1" t="s">
        <v>204</v>
      </c>
      <c r="D111" s="1" t="s">
        <v>204</v>
      </c>
      <c r="E111" s="14">
        <v>21801.0</v>
      </c>
      <c r="F111" s="15">
        <v>33.0</v>
      </c>
      <c r="G111" s="15">
        <v>31.0</v>
      </c>
      <c r="H111" s="15">
        <v>34.0</v>
      </c>
      <c r="I111" s="15">
        <v>34.0</v>
      </c>
      <c r="J111" s="15">
        <v>50.0</v>
      </c>
      <c r="K111" s="15">
        <v>52.0</v>
      </c>
      <c r="L111" s="16">
        <v>52.0</v>
      </c>
      <c r="M111" s="14">
        <f t="shared" ref="M111:S111" si="210">IF(AND(ISBLANK(F111), NOT(ISBLANK(T111))), T111, IF(OR(ISBLANK(T111), ISBLANK(F111)), "", T111-F111))</f>
        <v>12</v>
      </c>
      <c r="N111" s="14">
        <f t="shared" si="210"/>
        <v>13</v>
      </c>
      <c r="O111" s="14">
        <f t="shared" si="210"/>
        <v>26</v>
      </c>
      <c r="P111" s="14">
        <f t="shared" si="210"/>
        <v>24</v>
      </c>
      <c r="Q111" s="14">
        <f t="shared" si="210"/>
        <v>19</v>
      </c>
      <c r="R111" s="14">
        <f t="shared" si="210"/>
        <v>17</v>
      </c>
      <c r="S111" s="14">
        <f t="shared" si="210"/>
        <v>16</v>
      </c>
      <c r="T111" s="16">
        <v>45.0</v>
      </c>
      <c r="U111" s="16">
        <v>44.0</v>
      </c>
      <c r="V111" s="16">
        <v>60.0</v>
      </c>
      <c r="W111" s="15">
        <v>58.0</v>
      </c>
      <c r="X111" s="15">
        <v>69.0</v>
      </c>
      <c r="Y111" s="17">
        <v>69.0</v>
      </c>
      <c r="Z111" s="15">
        <v>68.0</v>
      </c>
      <c r="AA111" s="15">
        <v>73.33333333333333</v>
      </c>
      <c r="AB111" s="15">
        <v>70.45454545454545</v>
      </c>
      <c r="AC111" s="15">
        <v>56.666666666666664</v>
      </c>
      <c r="AD111" s="16">
        <v>58.620689655172406</v>
      </c>
      <c r="AE111" s="16">
        <v>72.46376811594203</v>
      </c>
      <c r="AF111" s="16">
        <v>75.36231884057972</v>
      </c>
      <c r="AG111" s="16">
        <v>76.47058823529412</v>
      </c>
      <c r="AH111" s="16">
        <f t="shared" si="11"/>
        <v>61.91396726</v>
      </c>
      <c r="AI111" s="18">
        <f t="shared" si="12"/>
        <v>74.7655584</v>
      </c>
      <c r="AJ111" s="14">
        <f t="shared" si="13"/>
        <v>33</v>
      </c>
      <c r="AK111" s="14">
        <f t="shared" si="14"/>
        <v>51.33333333</v>
      </c>
      <c r="AL111" s="14">
        <f t="shared" si="15"/>
        <v>21</v>
      </c>
      <c r="AM111" s="14">
        <f t="shared" si="16"/>
        <v>17.33333333</v>
      </c>
    </row>
    <row r="112" ht="14.25" customHeight="1">
      <c r="A112" s="1" t="s">
        <v>45</v>
      </c>
      <c r="B112" s="1" t="s">
        <v>205</v>
      </c>
      <c r="C112" s="1" t="s">
        <v>206</v>
      </c>
      <c r="D112" s="1" t="s">
        <v>206</v>
      </c>
      <c r="E112" s="14">
        <v>21802.0</v>
      </c>
      <c r="F112" s="15">
        <v>14.0</v>
      </c>
      <c r="G112" s="15">
        <v>15.0</v>
      </c>
      <c r="H112" s="15">
        <v>18.0</v>
      </c>
      <c r="I112" s="15">
        <v>22.0</v>
      </c>
      <c r="J112" s="15">
        <v>27.0</v>
      </c>
      <c r="K112" s="15">
        <v>26.0</v>
      </c>
      <c r="L112" s="16">
        <v>25.0</v>
      </c>
      <c r="M112" s="14">
        <f t="shared" ref="M112:S112" si="211">IF(AND(ISBLANK(F112), NOT(ISBLANK(T112))), T112, IF(OR(ISBLANK(T112), ISBLANK(F112)), "", T112-F112))</f>
        <v>17</v>
      </c>
      <c r="N112" s="14">
        <f t="shared" si="211"/>
        <v>15</v>
      </c>
      <c r="O112" s="14">
        <f t="shared" si="211"/>
        <v>26</v>
      </c>
      <c r="P112" s="14">
        <f t="shared" si="211"/>
        <v>24</v>
      </c>
      <c r="Q112" s="14">
        <f t="shared" si="211"/>
        <v>17</v>
      </c>
      <c r="R112" s="14">
        <f t="shared" si="211"/>
        <v>19</v>
      </c>
      <c r="S112" s="14">
        <f t="shared" si="211"/>
        <v>20</v>
      </c>
      <c r="T112" s="16">
        <v>31.0</v>
      </c>
      <c r="U112" s="16">
        <v>30.0</v>
      </c>
      <c r="V112" s="16">
        <v>44.0</v>
      </c>
      <c r="W112" s="15">
        <v>46.0</v>
      </c>
      <c r="X112" s="15">
        <v>44.0</v>
      </c>
      <c r="Y112" s="17">
        <v>45.0</v>
      </c>
      <c r="Z112" s="15">
        <v>45.0</v>
      </c>
      <c r="AA112" s="15">
        <v>45.16129032258064</v>
      </c>
      <c r="AB112" s="15">
        <v>50.0</v>
      </c>
      <c r="AC112" s="15">
        <v>40.909090909090914</v>
      </c>
      <c r="AD112" s="16">
        <v>47.82608695652174</v>
      </c>
      <c r="AE112" s="16">
        <v>61.36363636363637</v>
      </c>
      <c r="AF112" s="16">
        <v>57.77777777777777</v>
      </c>
      <c r="AG112" s="16">
        <v>55.55555555555556</v>
      </c>
      <c r="AH112" s="16">
        <f t="shared" si="11"/>
        <v>46.24505929</v>
      </c>
      <c r="AI112" s="18">
        <f t="shared" si="12"/>
        <v>58.23232323</v>
      </c>
      <c r="AJ112" s="14">
        <f t="shared" si="13"/>
        <v>18.33333333</v>
      </c>
      <c r="AK112" s="14">
        <f t="shared" si="14"/>
        <v>26</v>
      </c>
      <c r="AL112" s="14">
        <f t="shared" si="15"/>
        <v>21.66666667</v>
      </c>
      <c r="AM112" s="14">
        <f t="shared" si="16"/>
        <v>18.66666667</v>
      </c>
    </row>
    <row r="113" ht="14.25" customHeight="1">
      <c r="A113" s="1" t="s">
        <v>45</v>
      </c>
      <c r="B113" s="1" t="s">
        <v>205</v>
      </c>
      <c r="C113" s="1" t="s">
        <v>207</v>
      </c>
      <c r="D113" s="1" t="s">
        <v>207</v>
      </c>
      <c r="E113" s="14">
        <v>21803.0</v>
      </c>
      <c r="F113" s="15">
        <v>5.0</v>
      </c>
      <c r="G113" s="15">
        <v>5.0</v>
      </c>
      <c r="H113" s="15">
        <v>5.0</v>
      </c>
      <c r="I113" s="15">
        <v>5.0</v>
      </c>
      <c r="J113" s="15">
        <v>12.0</v>
      </c>
      <c r="K113" s="15">
        <v>12.0</v>
      </c>
      <c r="L113" s="16">
        <v>13.0</v>
      </c>
      <c r="M113" s="14">
        <f t="shared" ref="M113:S113" si="212">IF(AND(ISBLANK(F113), NOT(ISBLANK(T113))), T113, IF(OR(ISBLANK(T113), ISBLANK(F113)), "", T113-F113))</f>
        <v>0</v>
      </c>
      <c r="N113" s="14">
        <f t="shared" si="212"/>
        <v>0</v>
      </c>
      <c r="O113" s="14">
        <f t="shared" si="212"/>
        <v>3</v>
      </c>
      <c r="P113" s="14">
        <f t="shared" si="212"/>
        <v>3</v>
      </c>
      <c r="Q113" s="14">
        <f t="shared" si="212"/>
        <v>3</v>
      </c>
      <c r="R113" s="14">
        <f t="shared" si="212"/>
        <v>4</v>
      </c>
      <c r="S113" s="14">
        <f t="shared" si="212"/>
        <v>3</v>
      </c>
      <c r="T113" s="16">
        <v>5.0</v>
      </c>
      <c r="U113" s="16">
        <v>5.0</v>
      </c>
      <c r="V113" s="16">
        <v>8.0</v>
      </c>
      <c r="W113" s="15">
        <v>8.0</v>
      </c>
      <c r="X113" s="15">
        <v>15.0</v>
      </c>
      <c r="Y113" s="17">
        <v>16.0</v>
      </c>
      <c r="Z113" s="15">
        <v>16.0</v>
      </c>
      <c r="AA113" s="15">
        <v>100.0</v>
      </c>
      <c r="AB113" s="15">
        <v>100.0</v>
      </c>
      <c r="AC113" s="15">
        <v>62.5</v>
      </c>
      <c r="AD113" s="16">
        <v>62.5</v>
      </c>
      <c r="AE113" s="16">
        <v>80.0</v>
      </c>
      <c r="AF113" s="16">
        <v>75.0</v>
      </c>
      <c r="AG113" s="16">
        <v>81.25</v>
      </c>
      <c r="AH113" s="16">
        <f t="shared" si="11"/>
        <v>75</v>
      </c>
      <c r="AI113" s="18">
        <f t="shared" si="12"/>
        <v>78.75</v>
      </c>
      <c r="AJ113" s="14">
        <f t="shared" si="13"/>
        <v>5</v>
      </c>
      <c r="AK113" s="14">
        <f t="shared" si="14"/>
        <v>12.33333333</v>
      </c>
      <c r="AL113" s="14">
        <f t="shared" si="15"/>
        <v>2</v>
      </c>
      <c r="AM113" s="14">
        <f t="shared" si="16"/>
        <v>3.333333333</v>
      </c>
    </row>
    <row r="114" ht="14.25" customHeight="1">
      <c r="A114" s="1" t="s">
        <v>45</v>
      </c>
      <c r="B114" s="1" t="s">
        <v>208</v>
      </c>
      <c r="C114" s="1" t="s">
        <v>209</v>
      </c>
      <c r="D114" s="1" t="s">
        <v>209</v>
      </c>
      <c r="E114" s="14">
        <v>21901.0</v>
      </c>
      <c r="F114" s="15">
        <v>10.0</v>
      </c>
      <c r="G114" s="15">
        <v>12.0</v>
      </c>
      <c r="H114" s="15">
        <v>15.0</v>
      </c>
      <c r="I114" s="15">
        <v>15.0</v>
      </c>
      <c r="J114" s="15">
        <v>27.0</v>
      </c>
      <c r="K114" s="15">
        <v>27.0</v>
      </c>
      <c r="L114" s="16">
        <v>29.0</v>
      </c>
      <c r="M114" s="14">
        <f t="shared" ref="M114:S114" si="213">IF(AND(ISBLANK(F114), NOT(ISBLANK(T114))), T114, IF(OR(ISBLANK(T114), ISBLANK(F114)), "", T114-F114))</f>
        <v>15</v>
      </c>
      <c r="N114" s="14">
        <f t="shared" si="213"/>
        <v>13</v>
      </c>
      <c r="O114" s="14">
        <f t="shared" si="213"/>
        <v>21</v>
      </c>
      <c r="P114" s="14">
        <f t="shared" si="213"/>
        <v>21</v>
      </c>
      <c r="Q114" s="14">
        <f t="shared" si="213"/>
        <v>14</v>
      </c>
      <c r="R114" s="14">
        <f t="shared" si="213"/>
        <v>14</v>
      </c>
      <c r="S114" s="14">
        <f t="shared" si="213"/>
        <v>13</v>
      </c>
      <c r="T114" s="16">
        <v>25.0</v>
      </c>
      <c r="U114" s="16">
        <v>25.0</v>
      </c>
      <c r="V114" s="16">
        <v>36.0</v>
      </c>
      <c r="W114" s="15">
        <v>36.0</v>
      </c>
      <c r="X114" s="15">
        <v>41.0</v>
      </c>
      <c r="Y114" s="17">
        <v>41.0</v>
      </c>
      <c r="Z114" s="15">
        <v>42.0</v>
      </c>
      <c r="AA114" s="15">
        <v>40.0</v>
      </c>
      <c r="AB114" s="15">
        <v>48.0</v>
      </c>
      <c r="AC114" s="15">
        <v>41.66666666666667</v>
      </c>
      <c r="AD114" s="16">
        <v>41.66666666666667</v>
      </c>
      <c r="AE114" s="16">
        <v>65.85365853658537</v>
      </c>
      <c r="AF114" s="16">
        <v>65.85365853658537</v>
      </c>
      <c r="AG114" s="16">
        <v>69.04761904761905</v>
      </c>
      <c r="AH114" s="16">
        <f t="shared" si="11"/>
        <v>43.77777778</v>
      </c>
      <c r="AI114" s="18">
        <f t="shared" si="12"/>
        <v>66.91831204</v>
      </c>
      <c r="AJ114" s="14">
        <f t="shared" si="13"/>
        <v>14</v>
      </c>
      <c r="AK114" s="14">
        <f t="shared" si="14"/>
        <v>27.66666667</v>
      </c>
      <c r="AL114" s="14">
        <f t="shared" si="15"/>
        <v>18.33333333</v>
      </c>
      <c r="AM114" s="14">
        <f t="shared" si="16"/>
        <v>13.66666667</v>
      </c>
    </row>
    <row r="115" ht="14.25" customHeight="1">
      <c r="A115" s="1" t="s">
        <v>45</v>
      </c>
      <c r="B115" s="1" t="s">
        <v>208</v>
      </c>
      <c r="C115" s="1" t="s">
        <v>210</v>
      </c>
      <c r="D115" s="1" t="s">
        <v>210</v>
      </c>
      <c r="E115" s="14">
        <v>21902.0</v>
      </c>
      <c r="F115" s="15">
        <v>4.0</v>
      </c>
      <c r="G115" s="15">
        <v>6.0</v>
      </c>
      <c r="H115" s="15">
        <v>10.0</v>
      </c>
      <c r="I115" s="15">
        <v>11.0</v>
      </c>
      <c r="J115" s="15">
        <v>12.0</v>
      </c>
      <c r="K115" s="15">
        <v>10.0</v>
      </c>
      <c r="L115" s="16">
        <v>12.0</v>
      </c>
      <c r="M115" s="14">
        <f t="shared" ref="M115:S115" si="214">IF(AND(ISBLANK(F115), NOT(ISBLANK(T115))), T115, IF(OR(ISBLANK(T115), ISBLANK(F115)), "", T115-F115))</f>
        <v>5</v>
      </c>
      <c r="N115" s="14">
        <f t="shared" si="214"/>
        <v>3</v>
      </c>
      <c r="O115" s="14">
        <f t="shared" si="214"/>
        <v>5</v>
      </c>
      <c r="P115" s="14">
        <f t="shared" si="214"/>
        <v>4</v>
      </c>
      <c r="Q115" s="14">
        <f t="shared" si="214"/>
        <v>4</v>
      </c>
      <c r="R115" s="14">
        <f t="shared" si="214"/>
        <v>6</v>
      </c>
      <c r="S115" s="14">
        <f t="shared" si="214"/>
        <v>5</v>
      </c>
      <c r="T115" s="16">
        <v>9.0</v>
      </c>
      <c r="U115" s="16">
        <v>9.0</v>
      </c>
      <c r="V115" s="16">
        <v>15.0</v>
      </c>
      <c r="W115" s="15">
        <v>15.0</v>
      </c>
      <c r="X115" s="15">
        <v>16.0</v>
      </c>
      <c r="Y115" s="17">
        <v>16.0</v>
      </c>
      <c r="Z115" s="15">
        <v>17.0</v>
      </c>
      <c r="AA115" s="15">
        <v>44.44444444444444</v>
      </c>
      <c r="AB115" s="15">
        <v>66.66666666666666</v>
      </c>
      <c r="AC115" s="15">
        <v>66.66666666666666</v>
      </c>
      <c r="AD115" s="16">
        <v>73.33333333333333</v>
      </c>
      <c r="AE115" s="16">
        <v>75.0</v>
      </c>
      <c r="AF115" s="16">
        <v>62.5</v>
      </c>
      <c r="AG115" s="16">
        <v>70.58823529411765</v>
      </c>
      <c r="AH115" s="16">
        <f t="shared" si="11"/>
        <v>68.88888889</v>
      </c>
      <c r="AI115" s="18">
        <f t="shared" si="12"/>
        <v>69.3627451</v>
      </c>
      <c r="AJ115" s="14">
        <f t="shared" si="13"/>
        <v>9</v>
      </c>
      <c r="AK115" s="14">
        <f t="shared" si="14"/>
        <v>11.33333333</v>
      </c>
      <c r="AL115" s="14">
        <f t="shared" si="15"/>
        <v>4</v>
      </c>
      <c r="AM115" s="14">
        <f t="shared" si="16"/>
        <v>5</v>
      </c>
    </row>
    <row r="116" ht="14.25" customHeight="1">
      <c r="A116" s="1" t="s">
        <v>45</v>
      </c>
      <c r="B116" s="1" t="s">
        <v>211</v>
      </c>
      <c r="C116" s="1" t="s">
        <v>211</v>
      </c>
      <c r="D116" s="1" t="s">
        <v>211</v>
      </c>
      <c r="E116" s="14">
        <v>22001.0</v>
      </c>
      <c r="F116" s="15">
        <v>128.0</v>
      </c>
      <c r="G116" s="15">
        <v>146.0</v>
      </c>
      <c r="H116" s="15">
        <v>168.0</v>
      </c>
      <c r="I116" s="15">
        <v>140.0</v>
      </c>
      <c r="J116" s="15">
        <v>260.0</v>
      </c>
      <c r="K116" s="15">
        <v>273.0</v>
      </c>
      <c r="L116" s="16">
        <v>273.0</v>
      </c>
      <c r="M116" s="14">
        <f t="shared" ref="M116:S116" si="215">IF(AND(ISBLANK(F116), NOT(ISBLANK(T116))), T116, IF(OR(ISBLANK(T116), ISBLANK(F116)), "", T116-F116))</f>
        <v>59</v>
      </c>
      <c r="N116" s="14">
        <f t="shared" si="215"/>
        <v>54</v>
      </c>
      <c r="O116" s="14">
        <f t="shared" si="215"/>
        <v>135</v>
      </c>
      <c r="P116" s="14">
        <f t="shared" si="215"/>
        <v>120</v>
      </c>
      <c r="Q116" s="14">
        <f t="shared" si="215"/>
        <v>84</v>
      </c>
      <c r="R116" s="14">
        <f t="shared" si="215"/>
        <v>77</v>
      </c>
      <c r="S116" s="14">
        <f t="shared" si="215"/>
        <v>83</v>
      </c>
      <c r="T116" s="16">
        <v>187.0</v>
      </c>
      <c r="U116" s="16">
        <v>200.0</v>
      </c>
      <c r="V116" s="16">
        <v>303.0</v>
      </c>
      <c r="W116" s="15">
        <v>260.0</v>
      </c>
      <c r="X116" s="15">
        <v>344.0</v>
      </c>
      <c r="Y116" s="17">
        <v>350.0</v>
      </c>
      <c r="Z116" s="15">
        <v>356.0</v>
      </c>
      <c r="AA116" s="15">
        <v>68.44919786096256</v>
      </c>
      <c r="AB116" s="15">
        <v>73.0</v>
      </c>
      <c r="AC116" s="15">
        <v>55.44554455445545</v>
      </c>
      <c r="AD116" s="16">
        <v>53.84615384615385</v>
      </c>
      <c r="AE116" s="16">
        <v>75.5813953488372</v>
      </c>
      <c r="AF116" s="16">
        <v>78.0</v>
      </c>
      <c r="AG116" s="16">
        <v>76.68539325842697</v>
      </c>
      <c r="AH116" s="16">
        <f t="shared" si="11"/>
        <v>60.76389947</v>
      </c>
      <c r="AI116" s="18">
        <f t="shared" si="12"/>
        <v>76.7555962</v>
      </c>
      <c r="AJ116" s="14">
        <f t="shared" si="13"/>
        <v>151.3333333</v>
      </c>
      <c r="AK116" s="14">
        <f t="shared" si="14"/>
        <v>268.6666667</v>
      </c>
      <c r="AL116" s="14">
        <f t="shared" si="15"/>
        <v>103</v>
      </c>
      <c r="AM116" s="14">
        <f t="shared" si="16"/>
        <v>81.33333333</v>
      </c>
    </row>
    <row r="117" ht="14.25" customHeight="1">
      <c r="A117" s="1" t="s">
        <v>45</v>
      </c>
      <c r="B117" s="1" t="s">
        <v>211</v>
      </c>
      <c r="C117" s="1" t="s">
        <v>212</v>
      </c>
      <c r="D117" s="1" t="s">
        <v>212</v>
      </c>
      <c r="E117" s="14">
        <v>22002.0</v>
      </c>
      <c r="F117" s="15">
        <v>1.0</v>
      </c>
      <c r="G117" s="15">
        <v>1.0</v>
      </c>
      <c r="H117" s="15">
        <v>1.0</v>
      </c>
      <c r="I117" s="15">
        <v>35.0</v>
      </c>
      <c r="J117" s="15">
        <v>61.0</v>
      </c>
      <c r="K117" s="15">
        <v>64.0</v>
      </c>
      <c r="L117" s="16">
        <v>64.0</v>
      </c>
      <c r="M117" s="14">
        <f t="shared" ref="M117:S117" si="216">IF(AND(ISBLANK(F117), NOT(ISBLANK(T117))), T117, IF(OR(ISBLANK(T117), ISBLANK(F117)), "", T117-F117))</f>
        <v>1</v>
      </c>
      <c r="N117" s="14">
        <f t="shared" si="216"/>
        <v>1</v>
      </c>
      <c r="O117" s="14">
        <f t="shared" si="216"/>
        <v>1</v>
      </c>
      <c r="P117" s="14">
        <f t="shared" si="216"/>
        <v>21</v>
      </c>
      <c r="Q117" s="14">
        <f t="shared" si="216"/>
        <v>21</v>
      </c>
      <c r="R117" s="14">
        <f t="shared" si="216"/>
        <v>24</v>
      </c>
      <c r="S117" s="14">
        <f t="shared" si="216"/>
        <v>24</v>
      </c>
      <c r="T117" s="16">
        <v>2.0</v>
      </c>
      <c r="U117" s="16">
        <v>2.0</v>
      </c>
      <c r="V117" s="16">
        <v>2.0</v>
      </c>
      <c r="W117" s="15">
        <v>56.0</v>
      </c>
      <c r="X117" s="15">
        <v>82.0</v>
      </c>
      <c r="Y117" s="17">
        <v>88.0</v>
      </c>
      <c r="Z117" s="15">
        <v>88.0</v>
      </c>
      <c r="AA117" s="15">
        <v>50.0</v>
      </c>
      <c r="AB117" s="15">
        <v>50.0</v>
      </c>
      <c r="AC117" s="15">
        <v>50.0</v>
      </c>
      <c r="AD117" s="16">
        <v>62.5</v>
      </c>
      <c r="AE117" s="16">
        <v>74.39024390243902</v>
      </c>
      <c r="AF117" s="16">
        <v>72.72727272727273</v>
      </c>
      <c r="AG117" s="16">
        <v>72.72727272727273</v>
      </c>
      <c r="AH117" s="16">
        <f t="shared" si="11"/>
        <v>54.16666667</v>
      </c>
      <c r="AI117" s="18">
        <f t="shared" si="12"/>
        <v>73.28159645</v>
      </c>
      <c r="AJ117" s="14">
        <f t="shared" si="13"/>
        <v>12.33333333</v>
      </c>
      <c r="AK117" s="14">
        <f t="shared" si="14"/>
        <v>63</v>
      </c>
      <c r="AL117" s="14">
        <f t="shared" si="15"/>
        <v>7.666666667</v>
      </c>
      <c r="AM117" s="14">
        <f t="shared" si="16"/>
        <v>23</v>
      </c>
    </row>
    <row r="118" ht="14.25" customHeight="1">
      <c r="A118" s="1" t="s">
        <v>47</v>
      </c>
      <c r="B118" s="1" t="s">
        <v>213</v>
      </c>
      <c r="C118" s="1" t="s">
        <v>47</v>
      </c>
      <c r="D118" s="1" t="s">
        <v>47</v>
      </c>
      <c r="E118" s="14">
        <v>30101.0</v>
      </c>
      <c r="F118" s="15">
        <v>1666.0</v>
      </c>
      <c r="G118" s="15">
        <v>1826.0</v>
      </c>
      <c r="H118" s="15">
        <v>2196.0</v>
      </c>
      <c r="I118" s="15">
        <v>2323.0</v>
      </c>
      <c r="J118" s="15">
        <v>2709.0</v>
      </c>
      <c r="K118" s="15">
        <v>2752.0</v>
      </c>
      <c r="L118" s="16">
        <v>2785.0</v>
      </c>
      <c r="M118" s="14">
        <f t="shared" ref="M118:S118" si="217">IF(AND(ISBLANK(F118), NOT(ISBLANK(T118))), T118, IF(OR(ISBLANK(T118), ISBLANK(F118)), "", T118-F118))</f>
        <v>426</v>
      </c>
      <c r="N118" s="14">
        <f t="shared" si="217"/>
        <v>448</v>
      </c>
      <c r="O118" s="14">
        <f t="shared" si="217"/>
        <v>571</v>
      </c>
      <c r="P118" s="14">
        <f t="shared" si="217"/>
        <v>611</v>
      </c>
      <c r="Q118" s="14">
        <f t="shared" si="217"/>
        <v>557</v>
      </c>
      <c r="R118" s="14">
        <f t="shared" si="217"/>
        <v>571</v>
      </c>
      <c r="S118" s="14">
        <f t="shared" si="217"/>
        <v>559</v>
      </c>
      <c r="T118" s="16">
        <v>2092.0</v>
      </c>
      <c r="U118" s="16">
        <v>2274.0</v>
      </c>
      <c r="V118" s="16">
        <v>2767.0</v>
      </c>
      <c r="W118" s="15">
        <v>2934.0</v>
      </c>
      <c r="X118" s="15">
        <v>3266.0</v>
      </c>
      <c r="Y118" s="17">
        <v>3323.0</v>
      </c>
      <c r="Z118" s="15">
        <v>3344.0</v>
      </c>
      <c r="AA118" s="15">
        <v>79.63671128107075</v>
      </c>
      <c r="AB118" s="15">
        <v>80.29903254177661</v>
      </c>
      <c r="AC118" s="15">
        <v>79.36393205637874</v>
      </c>
      <c r="AD118" s="16">
        <v>79.17518745739605</v>
      </c>
      <c r="AE118" s="16">
        <v>82.94549908144519</v>
      </c>
      <c r="AF118" s="16">
        <v>82.81673186879325</v>
      </c>
      <c r="AG118" s="16">
        <v>83.28349282296651</v>
      </c>
      <c r="AH118" s="16">
        <f t="shared" si="11"/>
        <v>79.61271735</v>
      </c>
      <c r="AI118" s="18">
        <f t="shared" si="12"/>
        <v>83.01524126</v>
      </c>
      <c r="AJ118" s="14">
        <f t="shared" si="13"/>
        <v>2115</v>
      </c>
      <c r="AK118" s="14">
        <f t="shared" si="14"/>
        <v>2748.666667</v>
      </c>
      <c r="AL118" s="14">
        <f t="shared" si="15"/>
        <v>543.3333333</v>
      </c>
      <c r="AM118" s="14">
        <f t="shared" si="16"/>
        <v>562.3333333</v>
      </c>
    </row>
    <row r="119" ht="14.25" customHeight="1">
      <c r="A119" s="1" t="s">
        <v>47</v>
      </c>
      <c r="B119" s="1" t="s">
        <v>214</v>
      </c>
      <c r="C119" s="1" t="s">
        <v>215</v>
      </c>
      <c r="D119" s="1" t="s">
        <v>215</v>
      </c>
      <c r="E119" s="14">
        <v>30201.0</v>
      </c>
      <c r="F119" s="15">
        <v>62.0</v>
      </c>
      <c r="G119" s="15">
        <v>65.0</v>
      </c>
      <c r="H119" s="15">
        <v>82.0</v>
      </c>
      <c r="I119" s="15">
        <v>97.0</v>
      </c>
      <c r="J119" s="15">
        <v>165.0</v>
      </c>
      <c r="K119" s="15">
        <v>169.0</v>
      </c>
      <c r="L119" s="16">
        <v>172.0</v>
      </c>
      <c r="M119" s="14">
        <f t="shared" ref="M119:S119" si="218">IF(AND(ISBLANK(F119), NOT(ISBLANK(T119))), T119, IF(OR(ISBLANK(T119), ISBLANK(F119)), "", T119-F119))</f>
        <v>13</v>
      </c>
      <c r="N119" s="14">
        <f t="shared" si="218"/>
        <v>16</v>
      </c>
      <c r="O119" s="14">
        <f t="shared" si="218"/>
        <v>45</v>
      </c>
      <c r="P119" s="14">
        <f t="shared" si="218"/>
        <v>47</v>
      </c>
      <c r="Q119" s="14">
        <f t="shared" si="218"/>
        <v>42</v>
      </c>
      <c r="R119" s="14">
        <f t="shared" si="218"/>
        <v>43</v>
      </c>
      <c r="S119" s="14">
        <f t="shared" si="218"/>
        <v>42</v>
      </c>
      <c r="T119" s="16">
        <v>75.0</v>
      </c>
      <c r="U119" s="16">
        <v>81.0</v>
      </c>
      <c r="V119" s="16">
        <v>127.0</v>
      </c>
      <c r="W119" s="15">
        <v>144.0</v>
      </c>
      <c r="X119" s="15">
        <v>207.0</v>
      </c>
      <c r="Y119" s="17">
        <v>212.0</v>
      </c>
      <c r="Z119" s="15">
        <v>214.0</v>
      </c>
      <c r="AA119" s="15">
        <v>82.66666666666667</v>
      </c>
      <c r="AB119" s="15">
        <v>80.24691358024691</v>
      </c>
      <c r="AC119" s="15">
        <v>64.56692913385827</v>
      </c>
      <c r="AD119" s="16">
        <v>67.36111111111111</v>
      </c>
      <c r="AE119" s="16">
        <v>79.71014492753623</v>
      </c>
      <c r="AF119" s="16">
        <v>79.71698113207547</v>
      </c>
      <c r="AG119" s="16">
        <v>80.37383177570094</v>
      </c>
      <c r="AH119" s="16">
        <f t="shared" si="11"/>
        <v>70.72498461</v>
      </c>
      <c r="AI119" s="18">
        <f t="shared" si="12"/>
        <v>79.93365261</v>
      </c>
      <c r="AJ119" s="14">
        <f t="shared" si="13"/>
        <v>81.33333333</v>
      </c>
      <c r="AK119" s="14">
        <f t="shared" si="14"/>
        <v>168.6666667</v>
      </c>
      <c r="AL119" s="14">
        <f t="shared" si="15"/>
        <v>36</v>
      </c>
      <c r="AM119" s="14">
        <f t="shared" si="16"/>
        <v>42.33333333</v>
      </c>
    </row>
    <row r="120" ht="14.25" customHeight="1">
      <c r="A120" s="1" t="s">
        <v>47</v>
      </c>
      <c r="B120" s="1" t="s">
        <v>214</v>
      </c>
      <c r="C120" s="1" t="s">
        <v>216</v>
      </c>
      <c r="D120" s="1" t="s">
        <v>216</v>
      </c>
      <c r="E120" s="14">
        <v>30202.0</v>
      </c>
      <c r="F120" s="15">
        <v>5.0</v>
      </c>
      <c r="G120" s="15">
        <v>7.0</v>
      </c>
      <c r="H120" s="15">
        <v>12.0</v>
      </c>
      <c r="I120" s="15">
        <v>12.0</v>
      </c>
      <c r="J120" s="15">
        <v>21.0</v>
      </c>
      <c r="K120" s="15">
        <v>19.0</v>
      </c>
      <c r="L120" s="16">
        <v>18.0</v>
      </c>
      <c r="M120" s="14">
        <f t="shared" ref="M120:S120" si="219">IF(AND(ISBLANK(F120), NOT(ISBLANK(T120))), T120, IF(OR(ISBLANK(T120), ISBLANK(F120)), "", T120-F120))</f>
        <v>6</v>
      </c>
      <c r="N120" s="14">
        <f t="shared" si="219"/>
        <v>6</v>
      </c>
      <c r="O120" s="14">
        <f t="shared" si="219"/>
        <v>14</v>
      </c>
      <c r="P120" s="14">
        <f t="shared" si="219"/>
        <v>14</v>
      </c>
      <c r="Q120" s="14">
        <f t="shared" si="219"/>
        <v>8</v>
      </c>
      <c r="R120" s="14">
        <f t="shared" si="219"/>
        <v>9</v>
      </c>
      <c r="S120" s="14">
        <f t="shared" si="219"/>
        <v>9</v>
      </c>
      <c r="T120" s="16">
        <v>11.0</v>
      </c>
      <c r="U120" s="16">
        <v>13.0</v>
      </c>
      <c r="V120" s="16">
        <v>26.0</v>
      </c>
      <c r="W120" s="15">
        <v>26.0</v>
      </c>
      <c r="X120" s="15">
        <v>29.0</v>
      </c>
      <c r="Y120" s="17">
        <v>28.0</v>
      </c>
      <c r="Z120" s="15">
        <v>27.0</v>
      </c>
      <c r="AA120" s="15">
        <v>45.45454545454545</v>
      </c>
      <c r="AB120" s="15">
        <v>53.84615384615385</v>
      </c>
      <c r="AC120" s="15">
        <v>46.15384615384615</v>
      </c>
      <c r="AD120" s="16">
        <v>46.15384615384615</v>
      </c>
      <c r="AE120" s="16">
        <v>72.41379310344827</v>
      </c>
      <c r="AF120" s="16">
        <v>67.85714285714286</v>
      </c>
      <c r="AG120" s="16">
        <v>66.66666666666666</v>
      </c>
      <c r="AH120" s="16">
        <f t="shared" si="11"/>
        <v>48.71794872</v>
      </c>
      <c r="AI120" s="18">
        <f t="shared" si="12"/>
        <v>68.97920088</v>
      </c>
      <c r="AJ120" s="14">
        <f t="shared" si="13"/>
        <v>10.33333333</v>
      </c>
      <c r="AK120" s="14">
        <f t="shared" si="14"/>
        <v>19.33333333</v>
      </c>
      <c r="AL120" s="14">
        <f t="shared" si="15"/>
        <v>11.33333333</v>
      </c>
      <c r="AM120" s="14">
        <f t="shared" si="16"/>
        <v>8.666666667</v>
      </c>
    </row>
    <row r="121" ht="14.25" customHeight="1">
      <c r="A121" s="1" t="s">
        <v>47</v>
      </c>
      <c r="B121" s="1" t="s">
        <v>214</v>
      </c>
      <c r="C121" s="1" t="s">
        <v>217</v>
      </c>
      <c r="D121" s="1" t="s">
        <v>217</v>
      </c>
      <c r="E121" s="14">
        <v>30203.0</v>
      </c>
      <c r="F121" s="15">
        <v>7.0</v>
      </c>
      <c r="G121" s="15">
        <v>7.0</v>
      </c>
      <c r="H121" s="15">
        <v>12.0</v>
      </c>
      <c r="I121" s="15">
        <v>12.0</v>
      </c>
      <c r="J121" s="15">
        <v>38.0</v>
      </c>
      <c r="K121" s="15">
        <v>41.0</v>
      </c>
      <c r="L121" s="16">
        <v>39.0</v>
      </c>
      <c r="M121" s="14">
        <f t="shared" ref="M121:S121" si="220">IF(AND(ISBLANK(F121), NOT(ISBLANK(T121))), T121, IF(OR(ISBLANK(T121), ISBLANK(F121)), "", T121-F121))</f>
        <v>1</v>
      </c>
      <c r="N121" s="14">
        <f t="shared" si="220"/>
        <v>2</v>
      </c>
      <c r="O121" s="14">
        <f t="shared" si="220"/>
        <v>6</v>
      </c>
      <c r="P121" s="14">
        <f t="shared" si="220"/>
        <v>6</v>
      </c>
      <c r="Q121" s="14">
        <f t="shared" si="220"/>
        <v>9</v>
      </c>
      <c r="R121" s="14">
        <f t="shared" si="220"/>
        <v>7</v>
      </c>
      <c r="S121" s="14">
        <f t="shared" si="220"/>
        <v>7</v>
      </c>
      <c r="T121" s="16">
        <v>8.0</v>
      </c>
      <c r="U121" s="16">
        <v>9.0</v>
      </c>
      <c r="V121" s="16">
        <v>18.0</v>
      </c>
      <c r="W121" s="15">
        <v>18.0</v>
      </c>
      <c r="X121" s="15">
        <v>47.0</v>
      </c>
      <c r="Y121" s="17">
        <v>48.0</v>
      </c>
      <c r="Z121" s="15">
        <v>46.0</v>
      </c>
      <c r="AA121" s="15">
        <v>87.5</v>
      </c>
      <c r="AB121" s="15">
        <v>77.77777777777779</v>
      </c>
      <c r="AC121" s="15">
        <v>66.66666666666666</v>
      </c>
      <c r="AD121" s="16">
        <v>66.66666666666666</v>
      </c>
      <c r="AE121" s="16">
        <v>80.85106382978722</v>
      </c>
      <c r="AF121" s="16">
        <v>85.41666666666666</v>
      </c>
      <c r="AG121" s="16">
        <v>84.78260869565217</v>
      </c>
      <c r="AH121" s="16">
        <f t="shared" si="11"/>
        <v>70.37037037</v>
      </c>
      <c r="AI121" s="18">
        <f t="shared" si="12"/>
        <v>83.6834464</v>
      </c>
      <c r="AJ121" s="14">
        <f t="shared" si="13"/>
        <v>10.33333333</v>
      </c>
      <c r="AK121" s="14">
        <f t="shared" si="14"/>
        <v>39.33333333</v>
      </c>
      <c r="AL121" s="14">
        <f t="shared" si="15"/>
        <v>4.666666667</v>
      </c>
      <c r="AM121" s="14">
        <f t="shared" si="16"/>
        <v>7.666666667</v>
      </c>
    </row>
    <row r="122" ht="14.25" customHeight="1">
      <c r="A122" s="1" t="s">
        <v>47</v>
      </c>
      <c r="B122" s="1" t="s">
        <v>218</v>
      </c>
      <c r="C122" s="1" t="s">
        <v>219</v>
      </c>
      <c r="D122" s="1" t="s">
        <v>220</v>
      </c>
      <c r="E122" s="14">
        <v>30301.0</v>
      </c>
      <c r="F122" s="15">
        <v>56.0</v>
      </c>
      <c r="G122" s="15">
        <v>63.0</v>
      </c>
      <c r="H122" s="15">
        <v>82.0</v>
      </c>
      <c r="I122" s="15">
        <v>83.0</v>
      </c>
      <c r="J122" s="15">
        <v>147.0</v>
      </c>
      <c r="K122" s="15">
        <v>160.0</v>
      </c>
      <c r="L122" s="16">
        <v>164.0</v>
      </c>
      <c r="M122" s="14">
        <f t="shared" ref="M122:S122" si="221">IF(AND(ISBLANK(F122), NOT(ISBLANK(T122))), T122, IF(OR(ISBLANK(T122), ISBLANK(F122)), "", T122-F122))</f>
        <v>20</v>
      </c>
      <c r="N122" s="14">
        <f t="shared" si="221"/>
        <v>20</v>
      </c>
      <c r="O122" s="14">
        <f t="shared" si="221"/>
        <v>46</v>
      </c>
      <c r="P122" s="14">
        <f t="shared" si="221"/>
        <v>46</v>
      </c>
      <c r="Q122" s="14">
        <f t="shared" si="221"/>
        <v>29</v>
      </c>
      <c r="R122" s="14">
        <f t="shared" si="221"/>
        <v>37</v>
      </c>
      <c r="S122" s="14">
        <f t="shared" si="221"/>
        <v>37</v>
      </c>
      <c r="T122" s="16">
        <v>76.0</v>
      </c>
      <c r="U122" s="16">
        <v>83.0</v>
      </c>
      <c r="V122" s="16">
        <v>128.0</v>
      </c>
      <c r="W122" s="15">
        <v>129.0</v>
      </c>
      <c r="X122" s="15">
        <v>176.0</v>
      </c>
      <c r="Y122" s="17">
        <v>197.0</v>
      </c>
      <c r="Z122" s="15">
        <v>201.0</v>
      </c>
      <c r="AA122" s="15">
        <v>73.68421052631578</v>
      </c>
      <c r="AB122" s="15">
        <v>75.90361445783132</v>
      </c>
      <c r="AC122" s="15">
        <v>64.0625</v>
      </c>
      <c r="AD122" s="16">
        <v>64.34108527131784</v>
      </c>
      <c r="AE122" s="16">
        <v>83.52272727272727</v>
      </c>
      <c r="AF122" s="16">
        <v>81.21827411167513</v>
      </c>
      <c r="AG122" s="16">
        <v>81.59203980099502</v>
      </c>
      <c r="AH122" s="16">
        <f t="shared" si="11"/>
        <v>68.10239991</v>
      </c>
      <c r="AI122" s="18">
        <f t="shared" si="12"/>
        <v>82.11101373</v>
      </c>
      <c r="AJ122" s="14">
        <f t="shared" si="13"/>
        <v>76</v>
      </c>
      <c r="AK122" s="14">
        <f t="shared" si="14"/>
        <v>157</v>
      </c>
      <c r="AL122" s="14">
        <f t="shared" si="15"/>
        <v>37.33333333</v>
      </c>
      <c r="AM122" s="14">
        <f t="shared" si="16"/>
        <v>34.33333333</v>
      </c>
    </row>
    <row r="123" ht="14.25" customHeight="1">
      <c r="A123" s="1" t="s">
        <v>47</v>
      </c>
      <c r="B123" s="1" t="s">
        <v>218</v>
      </c>
      <c r="C123" s="1" t="s">
        <v>221</v>
      </c>
      <c r="D123" s="1" t="s">
        <v>221</v>
      </c>
      <c r="E123" s="14">
        <v>30302.0</v>
      </c>
      <c r="F123" s="15">
        <v>38.0</v>
      </c>
      <c r="G123" s="15">
        <v>43.0</v>
      </c>
      <c r="H123" s="15">
        <v>50.0</v>
      </c>
      <c r="I123" s="15">
        <v>31.0</v>
      </c>
      <c r="J123" s="15">
        <v>50.0</v>
      </c>
      <c r="K123" s="15">
        <v>56.0</v>
      </c>
      <c r="L123" s="16">
        <v>53.0</v>
      </c>
      <c r="M123" s="14">
        <f t="shared" ref="M123:S123" si="222">IF(AND(ISBLANK(F123), NOT(ISBLANK(T123))), T123, IF(OR(ISBLANK(T123), ISBLANK(F123)), "", T123-F123))</f>
        <v>15</v>
      </c>
      <c r="N123" s="14">
        <f t="shared" si="222"/>
        <v>18</v>
      </c>
      <c r="O123" s="14">
        <f t="shared" si="222"/>
        <v>55</v>
      </c>
      <c r="P123" s="14">
        <f t="shared" si="222"/>
        <v>19</v>
      </c>
      <c r="Q123" s="14">
        <f t="shared" si="222"/>
        <v>16</v>
      </c>
      <c r="R123" s="14">
        <f t="shared" si="222"/>
        <v>12</v>
      </c>
      <c r="S123" s="14">
        <f t="shared" si="222"/>
        <v>14</v>
      </c>
      <c r="T123" s="16">
        <v>53.0</v>
      </c>
      <c r="U123" s="16">
        <v>61.0</v>
      </c>
      <c r="V123" s="16">
        <v>105.0</v>
      </c>
      <c r="W123" s="15">
        <v>50.0</v>
      </c>
      <c r="X123" s="15">
        <v>66.0</v>
      </c>
      <c r="Y123" s="17">
        <v>68.0</v>
      </c>
      <c r="Z123" s="15">
        <v>67.0</v>
      </c>
      <c r="AA123" s="15">
        <v>71.69811320754717</v>
      </c>
      <c r="AB123" s="15">
        <v>70.49180327868852</v>
      </c>
      <c r="AC123" s="15">
        <v>47.61904761904761</v>
      </c>
      <c r="AD123" s="16">
        <v>62.0</v>
      </c>
      <c r="AE123" s="16">
        <v>75.75757575757575</v>
      </c>
      <c r="AF123" s="16">
        <v>82.35294117647058</v>
      </c>
      <c r="AG123" s="16">
        <v>79.1044776119403</v>
      </c>
      <c r="AH123" s="16">
        <f t="shared" si="11"/>
        <v>60.0369503</v>
      </c>
      <c r="AI123" s="18">
        <f t="shared" si="12"/>
        <v>79.07166485</v>
      </c>
      <c r="AJ123" s="14">
        <f t="shared" si="13"/>
        <v>41.33333333</v>
      </c>
      <c r="AK123" s="14">
        <f t="shared" si="14"/>
        <v>53</v>
      </c>
      <c r="AL123" s="14">
        <f t="shared" si="15"/>
        <v>30.66666667</v>
      </c>
      <c r="AM123" s="14">
        <f t="shared" si="16"/>
        <v>14</v>
      </c>
    </row>
    <row r="124" ht="14.25" customHeight="1">
      <c r="A124" s="1" t="s">
        <v>47</v>
      </c>
      <c r="B124" s="1" t="s">
        <v>218</v>
      </c>
      <c r="C124" s="1" t="s">
        <v>222</v>
      </c>
      <c r="D124" s="1" t="s">
        <v>222</v>
      </c>
      <c r="E124" s="14">
        <v>30303.0</v>
      </c>
      <c r="F124" s="15">
        <v>0.0</v>
      </c>
      <c r="G124" s="15">
        <v>0.0</v>
      </c>
      <c r="H124" s="15">
        <v>0.0</v>
      </c>
      <c r="I124" s="15">
        <v>27.0</v>
      </c>
      <c r="J124" s="15">
        <v>71.0</v>
      </c>
      <c r="K124" s="15">
        <v>76.0</v>
      </c>
      <c r="L124" s="16">
        <v>80.0</v>
      </c>
      <c r="M124" s="14">
        <f t="shared" ref="M124:S124" si="223">IF(AND(ISBLANK(F124), NOT(ISBLANK(T124))), T124, IF(OR(ISBLANK(T124), ISBLANK(F124)), "", T124-F124))</f>
        <v>0</v>
      </c>
      <c r="N124" s="14">
        <f t="shared" si="223"/>
        <v>0</v>
      </c>
      <c r="O124" s="14">
        <f t="shared" si="223"/>
        <v>0</v>
      </c>
      <c r="P124" s="14">
        <f t="shared" si="223"/>
        <v>28</v>
      </c>
      <c r="Q124" s="14">
        <f t="shared" si="223"/>
        <v>20</v>
      </c>
      <c r="R124" s="14">
        <f t="shared" si="223"/>
        <v>20</v>
      </c>
      <c r="S124" s="14">
        <f t="shared" si="223"/>
        <v>19</v>
      </c>
      <c r="T124" s="16">
        <v>0.0</v>
      </c>
      <c r="U124" s="16">
        <v>0.0</v>
      </c>
      <c r="V124" s="16">
        <v>0.0</v>
      </c>
      <c r="W124" s="15">
        <v>55.0</v>
      </c>
      <c r="X124" s="15">
        <v>91.0</v>
      </c>
      <c r="Y124" s="17">
        <v>96.0</v>
      </c>
      <c r="Z124" s="15">
        <v>99.0</v>
      </c>
      <c r="AA124" s="15"/>
      <c r="AB124" s="15"/>
      <c r="AC124" s="15"/>
      <c r="AD124" s="16">
        <v>49.09090909090909</v>
      </c>
      <c r="AE124" s="16">
        <v>78.02197802197803</v>
      </c>
      <c r="AF124" s="16">
        <v>79.16666666666666</v>
      </c>
      <c r="AG124" s="16">
        <v>80.8080808080808</v>
      </c>
      <c r="AH124" s="16">
        <f t="shared" si="11"/>
        <v>49.09090909</v>
      </c>
      <c r="AI124" s="18">
        <f t="shared" si="12"/>
        <v>79.33224183</v>
      </c>
      <c r="AJ124" s="14">
        <f t="shared" si="13"/>
        <v>9</v>
      </c>
      <c r="AK124" s="14">
        <f t="shared" si="14"/>
        <v>75.66666667</v>
      </c>
      <c r="AL124" s="14">
        <f t="shared" si="15"/>
        <v>9.333333333</v>
      </c>
      <c r="AM124" s="14">
        <f t="shared" si="16"/>
        <v>19.66666667</v>
      </c>
    </row>
    <row r="125" ht="14.25" customHeight="1">
      <c r="A125" s="1" t="s">
        <v>47</v>
      </c>
      <c r="B125" s="1" t="s">
        <v>223</v>
      </c>
      <c r="C125" s="1" t="s">
        <v>224</v>
      </c>
      <c r="D125" s="1" t="s">
        <v>224</v>
      </c>
      <c r="E125" s="14">
        <v>30401.0</v>
      </c>
      <c r="F125" s="15">
        <v>44.0</v>
      </c>
      <c r="G125" s="15">
        <v>47.0</v>
      </c>
      <c r="H125" s="15">
        <v>56.0</v>
      </c>
      <c r="I125" s="15">
        <v>60.0</v>
      </c>
      <c r="J125" s="15">
        <v>72.0</v>
      </c>
      <c r="K125" s="15">
        <v>70.0</v>
      </c>
      <c r="L125" s="16">
        <v>74.0</v>
      </c>
      <c r="M125" s="14">
        <f t="shared" ref="M125:S125" si="224">IF(AND(ISBLANK(F125), NOT(ISBLANK(T125))), T125, IF(OR(ISBLANK(T125), ISBLANK(F125)), "", T125-F125))</f>
        <v>11</v>
      </c>
      <c r="N125" s="14">
        <f t="shared" si="224"/>
        <v>13</v>
      </c>
      <c r="O125" s="14">
        <f t="shared" si="224"/>
        <v>27</v>
      </c>
      <c r="P125" s="14">
        <f t="shared" si="224"/>
        <v>25</v>
      </c>
      <c r="Q125" s="14">
        <f t="shared" si="224"/>
        <v>17</v>
      </c>
      <c r="R125" s="14">
        <f t="shared" si="224"/>
        <v>21</v>
      </c>
      <c r="S125" s="14">
        <f t="shared" si="224"/>
        <v>22</v>
      </c>
      <c r="T125" s="16">
        <v>55.0</v>
      </c>
      <c r="U125" s="16">
        <v>60.0</v>
      </c>
      <c r="V125" s="16">
        <v>83.0</v>
      </c>
      <c r="W125" s="15">
        <v>85.0</v>
      </c>
      <c r="X125" s="15">
        <v>89.0</v>
      </c>
      <c r="Y125" s="17">
        <v>91.0</v>
      </c>
      <c r="Z125" s="15">
        <v>96.0</v>
      </c>
      <c r="AA125" s="15">
        <v>80.0</v>
      </c>
      <c r="AB125" s="15">
        <v>78.33333333333333</v>
      </c>
      <c r="AC125" s="15">
        <v>67.46987951807229</v>
      </c>
      <c r="AD125" s="16">
        <v>70.58823529411765</v>
      </c>
      <c r="AE125" s="16">
        <v>80.89887640449437</v>
      </c>
      <c r="AF125" s="16">
        <v>76.92307692307693</v>
      </c>
      <c r="AG125" s="16">
        <v>77.08333333333334</v>
      </c>
      <c r="AH125" s="16">
        <f t="shared" si="11"/>
        <v>72.13048272</v>
      </c>
      <c r="AI125" s="18">
        <f t="shared" si="12"/>
        <v>78.30176222</v>
      </c>
      <c r="AJ125" s="14">
        <f t="shared" si="13"/>
        <v>54.33333333</v>
      </c>
      <c r="AK125" s="14">
        <f t="shared" si="14"/>
        <v>72</v>
      </c>
      <c r="AL125" s="14">
        <f t="shared" si="15"/>
        <v>21.66666667</v>
      </c>
      <c r="AM125" s="14">
        <f t="shared" si="16"/>
        <v>20</v>
      </c>
    </row>
    <row r="126" ht="14.25" customHeight="1">
      <c r="A126" s="1" t="s">
        <v>47</v>
      </c>
      <c r="B126" s="1" t="s">
        <v>223</v>
      </c>
      <c r="C126" s="1" t="s">
        <v>225</v>
      </c>
      <c r="D126" s="1" t="s">
        <v>226</v>
      </c>
      <c r="E126" s="14">
        <v>30402.0</v>
      </c>
      <c r="F126" s="15">
        <v>11.0</v>
      </c>
      <c r="G126" s="15">
        <v>11.0</v>
      </c>
      <c r="H126" s="15">
        <v>17.0</v>
      </c>
      <c r="I126" s="15">
        <v>20.0</v>
      </c>
      <c r="J126" s="15">
        <v>41.0</v>
      </c>
      <c r="K126" s="15">
        <v>43.0</v>
      </c>
      <c r="L126" s="16">
        <v>43.0</v>
      </c>
      <c r="M126" s="14">
        <f t="shared" ref="M126:S126" si="225">IF(AND(ISBLANK(F126), NOT(ISBLANK(T126))), T126, IF(OR(ISBLANK(T126), ISBLANK(F126)), "", T126-F126))</f>
        <v>7</v>
      </c>
      <c r="N126" s="14">
        <f t="shared" si="225"/>
        <v>7</v>
      </c>
      <c r="O126" s="14">
        <f t="shared" si="225"/>
        <v>15</v>
      </c>
      <c r="P126" s="14">
        <f t="shared" si="225"/>
        <v>13</v>
      </c>
      <c r="Q126" s="14">
        <f t="shared" si="225"/>
        <v>9</v>
      </c>
      <c r="R126" s="14">
        <f t="shared" si="225"/>
        <v>12</v>
      </c>
      <c r="S126" s="14">
        <f t="shared" si="225"/>
        <v>14</v>
      </c>
      <c r="T126" s="16">
        <v>18.0</v>
      </c>
      <c r="U126" s="16">
        <v>18.0</v>
      </c>
      <c r="V126" s="16">
        <v>32.0</v>
      </c>
      <c r="W126" s="15">
        <v>33.0</v>
      </c>
      <c r="X126" s="15">
        <v>50.0</v>
      </c>
      <c r="Y126" s="17">
        <v>55.0</v>
      </c>
      <c r="Z126" s="15">
        <v>57.0</v>
      </c>
      <c r="AA126" s="15">
        <v>61.111111111111114</v>
      </c>
      <c r="AB126" s="15">
        <v>61.111111111111114</v>
      </c>
      <c r="AC126" s="15">
        <v>53.125</v>
      </c>
      <c r="AD126" s="16">
        <v>60.60606060606061</v>
      </c>
      <c r="AE126" s="16">
        <v>82.0</v>
      </c>
      <c r="AF126" s="16">
        <v>78.18181818181819</v>
      </c>
      <c r="AG126" s="16">
        <v>75.43859649122807</v>
      </c>
      <c r="AH126" s="16">
        <f t="shared" si="11"/>
        <v>58.28072391</v>
      </c>
      <c r="AI126" s="18">
        <f t="shared" si="12"/>
        <v>78.54013822</v>
      </c>
      <c r="AJ126" s="14">
        <f t="shared" si="13"/>
        <v>16</v>
      </c>
      <c r="AK126" s="14">
        <f t="shared" si="14"/>
        <v>42.33333333</v>
      </c>
      <c r="AL126" s="14">
        <f t="shared" si="15"/>
        <v>11.66666667</v>
      </c>
      <c r="AM126" s="14">
        <f t="shared" si="16"/>
        <v>11.66666667</v>
      </c>
    </row>
    <row r="127" ht="14.25" customHeight="1">
      <c r="A127" s="1" t="s">
        <v>47</v>
      </c>
      <c r="B127" s="1" t="s">
        <v>223</v>
      </c>
      <c r="C127" s="1" t="s">
        <v>227</v>
      </c>
      <c r="D127" s="1" t="s">
        <v>227</v>
      </c>
      <c r="E127" s="14">
        <v>30403.0</v>
      </c>
      <c r="F127" s="15">
        <v>19.0</v>
      </c>
      <c r="G127" s="15">
        <v>22.0</v>
      </c>
      <c r="H127" s="15">
        <v>36.0</v>
      </c>
      <c r="I127" s="15">
        <v>46.0</v>
      </c>
      <c r="J127" s="15">
        <v>71.0</v>
      </c>
      <c r="K127" s="15">
        <v>75.0</v>
      </c>
      <c r="L127" s="16">
        <v>77.0</v>
      </c>
      <c r="M127" s="14">
        <f t="shared" ref="M127:S127" si="226">IF(AND(ISBLANK(F127), NOT(ISBLANK(T127))), T127, IF(OR(ISBLANK(T127), ISBLANK(F127)), "", T127-F127))</f>
        <v>7</v>
      </c>
      <c r="N127" s="14">
        <f t="shared" si="226"/>
        <v>8</v>
      </c>
      <c r="O127" s="14">
        <f t="shared" si="226"/>
        <v>15</v>
      </c>
      <c r="P127" s="14">
        <f t="shared" si="226"/>
        <v>19</v>
      </c>
      <c r="Q127" s="14">
        <f t="shared" si="226"/>
        <v>23</v>
      </c>
      <c r="R127" s="14">
        <f t="shared" si="226"/>
        <v>24</v>
      </c>
      <c r="S127" s="14">
        <f t="shared" si="226"/>
        <v>26</v>
      </c>
      <c r="T127" s="16">
        <v>26.0</v>
      </c>
      <c r="U127" s="16">
        <v>30.0</v>
      </c>
      <c r="V127" s="16">
        <v>51.0</v>
      </c>
      <c r="W127" s="15">
        <v>65.0</v>
      </c>
      <c r="X127" s="15">
        <v>94.0</v>
      </c>
      <c r="Y127" s="17">
        <v>99.0</v>
      </c>
      <c r="Z127" s="15">
        <v>103.0</v>
      </c>
      <c r="AA127" s="15">
        <v>73.07692307692307</v>
      </c>
      <c r="AB127" s="15">
        <v>73.33333333333333</v>
      </c>
      <c r="AC127" s="15">
        <v>70.58823529411765</v>
      </c>
      <c r="AD127" s="16">
        <v>70.76923076923077</v>
      </c>
      <c r="AE127" s="16">
        <v>75.53191489361703</v>
      </c>
      <c r="AF127" s="16">
        <v>75.75757575757575</v>
      </c>
      <c r="AG127" s="16">
        <v>74.75728155339806</v>
      </c>
      <c r="AH127" s="16">
        <f t="shared" si="11"/>
        <v>71.5635998</v>
      </c>
      <c r="AI127" s="18">
        <f t="shared" si="12"/>
        <v>75.34892407</v>
      </c>
      <c r="AJ127" s="14">
        <f t="shared" si="13"/>
        <v>34.66666667</v>
      </c>
      <c r="AK127" s="14">
        <f t="shared" si="14"/>
        <v>74.33333333</v>
      </c>
      <c r="AL127" s="14">
        <f t="shared" si="15"/>
        <v>14</v>
      </c>
      <c r="AM127" s="14">
        <f t="shared" si="16"/>
        <v>24.33333333</v>
      </c>
    </row>
    <row r="128" ht="14.25" customHeight="1">
      <c r="A128" s="1" t="s">
        <v>47</v>
      </c>
      <c r="B128" s="1" t="s">
        <v>223</v>
      </c>
      <c r="C128" s="1" t="s">
        <v>228</v>
      </c>
      <c r="D128" s="1" t="s">
        <v>228</v>
      </c>
      <c r="E128" s="14">
        <v>30404.0</v>
      </c>
      <c r="F128" s="15">
        <v>21.0</v>
      </c>
      <c r="G128" s="15">
        <v>19.0</v>
      </c>
      <c r="H128" s="15">
        <v>19.0</v>
      </c>
      <c r="I128" s="15">
        <v>18.0</v>
      </c>
      <c r="J128" s="15">
        <v>29.0</v>
      </c>
      <c r="K128" s="15">
        <v>27.0</v>
      </c>
      <c r="L128" s="16">
        <v>26.0</v>
      </c>
      <c r="M128" s="14">
        <f t="shared" ref="M128:S128" si="227">IF(AND(ISBLANK(F128), NOT(ISBLANK(T128))), T128, IF(OR(ISBLANK(T128), ISBLANK(F128)), "", T128-F128))</f>
        <v>17</v>
      </c>
      <c r="N128" s="14">
        <f t="shared" si="227"/>
        <v>19</v>
      </c>
      <c r="O128" s="14">
        <f t="shared" si="227"/>
        <v>20</v>
      </c>
      <c r="P128" s="14">
        <f t="shared" si="227"/>
        <v>21</v>
      </c>
      <c r="Q128" s="14">
        <f t="shared" si="227"/>
        <v>8</v>
      </c>
      <c r="R128" s="14">
        <f t="shared" si="227"/>
        <v>9</v>
      </c>
      <c r="S128" s="14">
        <f t="shared" si="227"/>
        <v>10</v>
      </c>
      <c r="T128" s="16">
        <v>38.0</v>
      </c>
      <c r="U128" s="16">
        <v>38.0</v>
      </c>
      <c r="V128" s="16">
        <v>39.0</v>
      </c>
      <c r="W128" s="15">
        <v>39.0</v>
      </c>
      <c r="X128" s="15">
        <v>37.0</v>
      </c>
      <c r="Y128" s="17">
        <v>36.0</v>
      </c>
      <c r="Z128" s="15">
        <v>36.0</v>
      </c>
      <c r="AA128" s="15">
        <v>55.26315789473685</v>
      </c>
      <c r="AB128" s="15">
        <v>50.0</v>
      </c>
      <c r="AC128" s="15">
        <v>48.717948717948715</v>
      </c>
      <c r="AD128" s="16">
        <v>46.15384615384615</v>
      </c>
      <c r="AE128" s="16">
        <v>78.37837837837837</v>
      </c>
      <c r="AF128" s="16">
        <v>75.0</v>
      </c>
      <c r="AG128" s="16">
        <v>72.22222222222221</v>
      </c>
      <c r="AH128" s="16">
        <f t="shared" si="11"/>
        <v>48.29059829</v>
      </c>
      <c r="AI128" s="18">
        <f t="shared" si="12"/>
        <v>75.2002002</v>
      </c>
      <c r="AJ128" s="14">
        <f t="shared" si="13"/>
        <v>18.66666667</v>
      </c>
      <c r="AK128" s="14">
        <f t="shared" si="14"/>
        <v>27.33333333</v>
      </c>
      <c r="AL128" s="14">
        <f t="shared" si="15"/>
        <v>20</v>
      </c>
      <c r="AM128" s="14">
        <f t="shared" si="16"/>
        <v>9</v>
      </c>
    </row>
    <row r="129" ht="14.25" customHeight="1">
      <c r="A129" s="1" t="s">
        <v>47</v>
      </c>
      <c r="B129" s="1" t="s">
        <v>229</v>
      </c>
      <c r="C129" s="1" t="s">
        <v>229</v>
      </c>
      <c r="D129" s="1" t="s">
        <v>229</v>
      </c>
      <c r="E129" s="14">
        <v>30501.0</v>
      </c>
      <c r="F129" s="15">
        <v>41.0</v>
      </c>
      <c r="G129" s="15">
        <v>42.0</v>
      </c>
      <c r="H129" s="15">
        <v>63.0</v>
      </c>
      <c r="I129" s="15">
        <v>60.0</v>
      </c>
      <c r="J129" s="15">
        <v>71.0</v>
      </c>
      <c r="K129" s="15">
        <v>74.0</v>
      </c>
      <c r="L129" s="16">
        <v>73.0</v>
      </c>
      <c r="M129" s="14">
        <f t="shared" ref="M129:S129" si="228">IF(AND(ISBLANK(F129), NOT(ISBLANK(T129))), T129, IF(OR(ISBLANK(T129), ISBLANK(F129)), "", T129-F129))</f>
        <v>11</v>
      </c>
      <c r="N129" s="14">
        <f t="shared" si="228"/>
        <v>10</v>
      </c>
      <c r="O129" s="14">
        <f t="shared" si="228"/>
        <v>15</v>
      </c>
      <c r="P129" s="14">
        <f t="shared" si="228"/>
        <v>15</v>
      </c>
      <c r="Q129" s="14">
        <f t="shared" si="228"/>
        <v>14</v>
      </c>
      <c r="R129" s="14">
        <f t="shared" si="228"/>
        <v>15</v>
      </c>
      <c r="S129" s="14">
        <f t="shared" si="228"/>
        <v>15</v>
      </c>
      <c r="T129" s="16">
        <v>52.0</v>
      </c>
      <c r="U129" s="16">
        <v>52.0</v>
      </c>
      <c r="V129" s="16">
        <v>78.0</v>
      </c>
      <c r="W129" s="15">
        <v>75.0</v>
      </c>
      <c r="X129" s="15">
        <v>85.0</v>
      </c>
      <c r="Y129" s="17">
        <v>89.0</v>
      </c>
      <c r="Z129" s="15">
        <v>88.0</v>
      </c>
      <c r="AA129" s="15">
        <v>78.84615384615384</v>
      </c>
      <c r="AB129" s="15">
        <v>80.76923076923077</v>
      </c>
      <c r="AC129" s="15">
        <v>80.76923076923077</v>
      </c>
      <c r="AD129" s="16">
        <v>80.0</v>
      </c>
      <c r="AE129" s="16">
        <v>83.52941176470588</v>
      </c>
      <c r="AF129" s="16">
        <v>83.14606741573034</v>
      </c>
      <c r="AG129" s="16">
        <v>82.95454545454545</v>
      </c>
      <c r="AH129" s="16">
        <f t="shared" si="11"/>
        <v>80.51282051</v>
      </c>
      <c r="AI129" s="18">
        <f t="shared" si="12"/>
        <v>83.21000821</v>
      </c>
      <c r="AJ129" s="14">
        <f t="shared" si="13"/>
        <v>55</v>
      </c>
      <c r="AK129" s="14">
        <f t="shared" si="14"/>
        <v>72.66666667</v>
      </c>
      <c r="AL129" s="14">
        <f t="shared" si="15"/>
        <v>13.33333333</v>
      </c>
      <c r="AM129" s="14">
        <f t="shared" si="16"/>
        <v>14.66666667</v>
      </c>
    </row>
    <row r="130" ht="14.25" customHeight="1">
      <c r="A130" s="1" t="s">
        <v>47</v>
      </c>
      <c r="B130" s="1" t="s">
        <v>229</v>
      </c>
      <c r="C130" s="1" t="s">
        <v>230</v>
      </c>
      <c r="D130" s="1" t="s">
        <v>230</v>
      </c>
      <c r="E130" s="14">
        <v>30502.0</v>
      </c>
      <c r="F130" s="15">
        <v>30.0</v>
      </c>
      <c r="G130" s="15">
        <v>32.0</v>
      </c>
      <c r="H130" s="15">
        <v>34.0</v>
      </c>
      <c r="I130" s="15">
        <v>38.0</v>
      </c>
      <c r="J130" s="15">
        <v>54.0</v>
      </c>
      <c r="K130" s="15">
        <v>57.0</v>
      </c>
      <c r="L130" s="16">
        <v>56.0</v>
      </c>
      <c r="M130" s="14">
        <f t="shared" ref="M130:S130" si="229">IF(AND(ISBLANK(F130), NOT(ISBLANK(T130))), T130, IF(OR(ISBLANK(T130), ISBLANK(F130)), "", T130-F130))</f>
        <v>12</v>
      </c>
      <c r="N130" s="14">
        <f t="shared" si="229"/>
        <v>12</v>
      </c>
      <c r="O130" s="14">
        <f t="shared" si="229"/>
        <v>15</v>
      </c>
      <c r="P130" s="14">
        <f t="shared" si="229"/>
        <v>14</v>
      </c>
      <c r="Q130" s="14">
        <f t="shared" si="229"/>
        <v>20</v>
      </c>
      <c r="R130" s="14">
        <f t="shared" si="229"/>
        <v>19</v>
      </c>
      <c r="S130" s="14">
        <f t="shared" si="229"/>
        <v>21</v>
      </c>
      <c r="T130" s="16">
        <v>42.0</v>
      </c>
      <c r="U130" s="16">
        <v>44.0</v>
      </c>
      <c r="V130" s="16">
        <v>49.0</v>
      </c>
      <c r="W130" s="15">
        <v>52.0</v>
      </c>
      <c r="X130" s="15">
        <v>74.0</v>
      </c>
      <c r="Y130" s="17">
        <v>76.0</v>
      </c>
      <c r="Z130" s="15">
        <v>77.0</v>
      </c>
      <c r="AA130" s="15">
        <v>71.42857142857143</v>
      </c>
      <c r="AB130" s="15">
        <v>72.72727272727273</v>
      </c>
      <c r="AC130" s="15">
        <v>69.38775510204081</v>
      </c>
      <c r="AD130" s="16">
        <v>73.07692307692307</v>
      </c>
      <c r="AE130" s="16">
        <v>72.97297297297297</v>
      </c>
      <c r="AF130" s="16">
        <v>75.0</v>
      </c>
      <c r="AG130" s="16">
        <v>72.72727272727273</v>
      </c>
      <c r="AH130" s="16">
        <f t="shared" si="11"/>
        <v>71.7306503</v>
      </c>
      <c r="AI130" s="18">
        <f t="shared" si="12"/>
        <v>73.56674857</v>
      </c>
      <c r="AJ130" s="14">
        <f t="shared" si="13"/>
        <v>34.66666667</v>
      </c>
      <c r="AK130" s="14">
        <f t="shared" si="14"/>
        <v>55.66666667</v>
      </c>
      <c r="AL130" s="14">
        <f t="shared" si="15"/>
        <v>13.66666667</v>
      </c>
      <c r="AM130" s="14">
        <f t="shared" si="16"/>
        <v>20</v>
      </c>
    </row>
    <row r="131" ht="14.25" customHeight="1">
      <c r="A131" s="1" t="s">
        <v>47</v>
      </c>
      <c r="B131" s="1" t="s">
        <v>231</v>
      </c>
      <c r="C131" s="1" t="s">
        <v>231</v>
      </c>
      <c r="D131" s="1" t="s">
        <v>232</v>
      </c>
      <c r="E131" s="14">
        <v>30601.0</v>
      </c>
      <c r="F131" s="15">
        <v>14.0</v>
      </c>
      <c r="G131" s="15">
        <v>15.0</v>
      </c>
      <c r="H131" s="15">
        <v>21.0</v>
      </c>
      <c r="I131" s="15">
        <v>22.0</v>
      </c>
      <c r="J131" s="15">
        <v>46.0</v>
      </c>
      <c r="K131" s="15">
        <v>45.0</v>
      </c>
      <c r="L131" s="16">
        <v>47.0</v>
      </c>
      <c r="M131" s="14">
        <f t="shared" ref="M131:S131" si="230">IF(AND(ISBLANK(F131), NOT(ISBLANK(T131))), T131, IF(OR(ISBLANK(T131), ISBLANK(F131)), "", T131-F131))</f>
        <v>10</v>
      </c>
      <c r="N131" s="14">
        <f t="shared" si="230"/>
        <v>11</v>
      </c>
      <c r="O131" s="14">
        <f t="shared" si="230"/>
        <v>30</v>
      </c>
      <c r="P131" s="14">
        <f t="shared" si="230"/>
        <v>30</v>
      </c>
      <c r="Q131" s="14">
        <f t="shared" si="230"/>
        <v>19</v>
      </c>
      <c r="R131" s="14">
        <f t="shared" si="230"/>
        <v>20</v>
      </c>
      <c r="S131" s="14">
        <f t="shared" si="230"/>
        <v>19</v>
      </c>
      <c r="T131" s="16">
        <v>24.0</v>
      </c>
      <c r="U131" s="16">
        <v>26.0</v>
      </c>
      <c r="V131" s="16">
        <v>51.0</v>
      </c>
      <c r="W131" s="15">
        <v>52.0</v>
      </c>
      <c r="X131" s="15">
        <v>65.0</v>
      </c>
      <c r="Y131" s="17">
        <v>65.0</v>
      </c>
      <c r="Z131" s="15">
        <v>66.0</v>
      </c>
      <c r="AA131" s="15">
        <v>58.333333333333336</v>
      </c>
      <c r="AB131" s="15">
        <v>57.692307692307686</v>
      </c>
      <c r="AC131" s="15">
        <v>41.17647058823529</v>
      </c>
      <c r="AD131" s="16">
        <v>42.30769230769231</v>
      </c>
      <c r="AE131" s="16">
        <v>70.76923076923077</v>
      </c>
      <c r="AF131" s="16">
        <v>69.23076923076923</v>
      </c>
      <c r="AG131" s="16">
        <v>71.21212121212122</v>
      </c>
      <c r="AH131" s="16">
        <f t="shared" si="11"/>
        <v>47.05882353</v>
      </c>
      <c r="AI131" s="18">
        <f t="shared" si="12"/>
        <v>70.4040404</v>
      </c>
      <c r="AJ131" s="14">
        <f t="shared" si="13"/>
        <v>19.33333333</v>
      </c>
      <c r="AK131" s="14">
        <f t="shared" si="14"/>
        <v>46</v>
      </c>
      <c r="AL131" s="14">
        <f t="shared" si="15"/>
        <v>23.66666667</v>
      </c>
      <c r="AM131" s="14">
        <f t="shared" si="16"/>
        <v>19.33333333</v>
      </c>
    </row>
    <row r="132" ht="14.25" customHeight="1">
      <c r="A132" s="1" t="s">
        <v>47</v>
      </c>
      <c r="B132" s="1" t="s">
        <v>231</v>
      </c>
      <c r="C132" s="1" t="s">
        <v>233</v>
      </c>
      <c r="D132" s="1" t="s">
        <v>233</v>
      </c>
      <c r="E132" s="14">
        <v>30602.0</v>
      </c>
      <c r="F132" s="15">
        <v>10.0</v>
      </c>
      <c r="G132" s="15">
        <v>19.0</v>
      </c>
      <c r="H132" s="15">
        <v>24.0</v>
      </c>
      <c r="I132" s="15">
        <v>24.0</v>
      </c>
      <c r="J132" s="15">
        <v>38.0</v>
      </c>
      <c r="K132" s="15">
        <v>40.0</v>
      </c>
      <c r="L132" s="16">
        <v>42.0</v>
      </c>
      <c r="M132" s="14">
        <f t="shared" ref="M132:S132" si="231">IF(AND(ISBLANK(F132), NOT(ISBLANK(T132))), T132, IF(OR(ISBLANK(T132), ISBLANK(F132)), "", T132-F132))</f>
        <v>1</v>
      </c>
      <c r="N132" s="14">
        <f t="shared" si="231"/>
        <v>3</v>
      </c>
      <c r="O132" s="14">
        <f t="shared" si="231"/>
        <v>19</v>
      </c>
      <c r="P132" s="14">
        <f t="shared" si="231"/>
        <v>21</v>
      </c>
      <c r="Q132" s="14">
        <f t="shared" si="231"/>
        <v>17</v>
      </c>
      <c r="R132" s="14">
        <f t="shared" si="231"/>
        <v>15</v>
      </c>
      <c r="S132" s="14">
        <f t="shared" si="231"/>
        <v>15</v>
      </c>
      <c r="T132" s="16">
        <v>11.0</v>
      </c>
      <c r="U132" s="16">
        <v>22.0</v>
      </c>
      <c r="V132" s="16">
        <v>43.0</v>
      </c>
      <c r="W132" s="15">
        <v>45.0</v>
      </c>
      <c r="X132" s="15">
        <v>55.0</v>
      </c>
      <c r="Y132" s="17">
        <v>55.0</v>
      </c>
      <c r="Z132" s="15">
        <v>57.0</v>
      </c>
      <c r="AA132" s="15">
        <v>90.9090909090909</v>
      </c>
      <c r="AB132" s="15">
        <v>86.36363636363636</v>
      </c>
      <c r="AC132" s="15">
        <v>55.81395348837209</v>
      </c>
      <c r="AD132" s="16">
        <v>53.333333333333336</v>
      </c>
      <c r="AE132" s="16">
        <v>69.0909090909091</v>
      </c>
      <c r="AF132" s="16">
        <v>72.72727272727273</v>
      </c>
      <c r="AG132" s="16">
        <v>73.68421052631578</v>
      </c>
      <c r="AH132" s="16">
        <f t="shared" si="11"/>
        <v>65.17030773</v>
      </c>
      <c r="AI132" s="18">
        <f t="shared" si="12"/>
        <v>71.83413078</v>
      </c>
      <c r="AJ132" s="14">
        <f t="shared" si="13"/>
        <v>22.33333333</v>
      </c>
      <c r="AK132" s="14">
        <f t="shared" si="14"/>
        <v>40</v>
      </c>
      <c r="AL132" s="14">
        <f t="shared" si="15"/>
        <v>14.33333333</v>
      </c>
      <c r="AM132" s="14">
        <f t="shared" si="16"/>
        <v>15.66666667</v>
      </c>
    </row>
    <row r="133" ht="14.25" customHeight="1">
      <c r="A133" s="1" t="s">
        <v>47</v>
      </c>
      <c r="B133" s="1" t="s">
        <v>234</v>
      </c>
      <c r="C133" s="1" t="s">
        <v>234</v>
      </c>
      <c r="D133" s="1" t="s">
        <v>234</v>
      </c>
      <c r="E133" s="14">
        <v>30701.0</v>
      </c>
      <c r="F133" s="15">
        <v>60.0</v>
      </c>
      <c r="G133" s="15">
        <v>69.0</v>
      </c>
      <c r="H133" s="15">
        <v>80.0</v>
      </c>
      <c r="I133" s="15">
        <v>85.0</v>
      </c>
      <c r="J133" s="15">
        <v>131.0</v>
      </c>
      <c r="K133" s="15">
        <v>127.0</v>
      </c>
      <c r="L133" s="16">
        <v>124.0</v>
      </c>
      <c r="M133" s="14">
        <f t="shared" ref="M133:S133" si="232">IF(AND(ISBLANK(F133), NOT(ISBLANK(T133))), T133, IF(OR(ISBLANK(T133), ISBLANK(F133)), "", T133-F133))</f>
        <v>33</v>
      </c>
      <c r="N133" s="14">
        <f t="shared" si="232"/>
        <v>25</v>
      </c>
      <c r="O133" s="14">
        <f t="shared" si="232"/>
        <v>46</v>
      </c>
      <c r="P133" s="14">
        <f t="shared" si="232"/>
        <v>43</v>
      </c>
      <c r="Q133" s="14">
        <f t="shared" si="232"/>
        <v>34</v>
      </c>
      <c r="R133" s="14">
        <f t="shared" si="232"/>
        <v>35</v>
      </c>
      <c r="S133" s="14">
        <f t="shared" si="232"/>
        <v>37</v>
      </c>
      <c r="T133" s="16">
        <v>93.0</v>
      </c>
      <c r="U133" s="16">
        <v>94.0</v>
      </c>
      <c r="V133" s="16">
        <v>126.0</v>
      </c>
      <c r="W133" s="15">
        <v>128.0</v>
      </c>
      <c r="X133" s="15">
        <v>165.0</v>
      </c>
      <c r="Y133" s="17">
        <v>162.0</v>
      </c>
      <c r="Z133" s="15">
        <v>161.0</v>
      </c>
      <c r="AA133" s="15">
        <v>64.51612903225806</v>
      </c>
      <c r="AB133" s="15">
        <v>73.40425531914893</v>
      </c>
      <c r="AC133" s="15">
        <v>63.49206349206349</v>
      </c>
      <c r="AD133" s="16">
        <v>66.40625</v>
      </c>
      <c r="AE133" s="16">
        <v>79.39393939393939</v>
      </c>
      <c r="AF133" s="16">
        <v>78.39506172839506</v>
      </c>
      <c r="AG133" s="16">
        <v>77.01863354037268</v>
      </c>
      <c r="AH133" s="16">
        <f t="shared" si="11"/>
        <v>67.76752294</v>
      </c>
      <c r="AI133" s="18">
        <f t="shared" si="12"/>
        <v>78.26921155</v>
      </c>
      <c r="AJ133" s="14">
        <f t="shared" si="13"/>
        <v>78</v>
      </c>
      <c r="AK133" s="14">
        <f t="shared" si="14"/>
        <v>127.3333333</v>
      </c>
      <c r="AL133" s="14">
        <f t="shared" si="15"/>
        <v>38</v>
      </c>
      <c r="AM133" s="14">
        <f t="shared" si="16"/>
        <v>35.33333333</v>
      </c>
    </row>
    <row r="134" ht="14.25" customHeight="1">
      <c r="A134" s="1" t="s">
        <v>47</v>
      </c>
      <c r="B134" s="1" t="s">
        <v>234</v>
      </c>
      <c r="C134" s="1" t="s">
        <v>235</v>
      </c>
      <c r="D134" s="1" t="s">
        <v>236</v>
      </c>
      <c r="E134" s="14">
        <v>30702.0</v>
      </c>
      <c r="F134" s="15">
        <v>23.0</v>
      </c>
      <c r="G134" s="15">
        <v>22.0</v>
      </c>
      <c r="H134" s="15">
        <v>28.0</v>
      </c>
      <c r="I134" s="15">
        <v>29.0</v>
      </c>
      <c r="J134" s="15">
        <v>34.0</v>
      </c>
      <c r="K134" s="15">
        <v>36.0</v>
      </c>
      <c r="L134" s="16">
        <v>39.0</v>
      </c>
      <c r="M134" s="14">
        <f t="shared" ref="M134:S134" si="233">IF(AND(ISBLANK(F134), NOT(ISBLANK(T134))), T134, IF(OR(ISBLANK(T134), ISBLANK(F134)), "", T134-F134))</f>
        <v>11</v>
      </c>
      <c r="N134" s="14">
        <f t="shared" si="233"/>
        <v>10</v>
      </c>
      <c r="O134" s="14">
        <f t="shared" si="233"/>
        <v>14</v>
      </c>
      <c r="P134" s="14">
        <f t="shared" si="233"/>
        <v>12</v>
      </c>
      <c r="Q134" s="14">
        <f t="shared" si="233"/>
        <v>11</v>
      </c>
      <c r="R134" s="14">
        <f t="shared" si="233"/>
        <v>10</v>
      </c>
      <c r="S134" s="14">
        <f t="shared" si="233"/>
        <v>12</v>
      </c>
      <c r="T134" s="16">
        <v>34.0</v>
      </c>
      <c r="U134" s="16">
        <v>32.0</v>
      </c>
      <c r="V134" s="16">
        <v>42.0</v>
      </c>
      <c r="W134" s="15">
        <v>41.0</v>
      </c>
      <c r="X134" s="15">
        <v>45.0</v>
      </c>
      <c r="Y134" s="17">
        <v>46.0</v>
      </c>
      <c r="Z134" s="15">
        <v>51.0</v>
      </c>
      <c r="AA134" s="15">
        <v>67.64705882352942</v>
      </c>
      <c r="AB134" s="15">
        <v>68.75</v>
      </c>
      <c r="AC134" s="15">
        <v>66.66666666666666</v>
      </c>
      <c r="AD134" s="16">
        <v>70.73170731707317</v>
      </c>
      <c r="AE134" s="16">
        <v>75.55555555555556</v>
      </c>
      <c r="AF134" s="16">
        <v>78.26086956521739</v>
      </c>
      <c r="AG134" s="16">
        <v>76.47058823529412</v>
      </c>
      <c r="AH134" s="16">
        <f t="shared" si="11"/>
        <v>68.71612466</v>
      </c>
      <c r="AI134" s="18">
        <f t="shared" si="12"/>
        <v>76.76233779</v>
      </c>
      <c r="AJ134" s="14">
        <f t="shared" si="13"/>
        <v>26.33333333</v>
      </c>
      <c r="AK134" s="14">
        <f t="shared" si="14"/>
        <v>36.33333333</v>
      </c>
      <c r="AL134" s="14">
        <f t="shared" si="15"/>
        <v>12</v>
      </c>
      <c r="AM134" s="14">
        <f t="shared" si="16"/>
        <v>11</v>
      </c>
    </row>
    <row r="135" ht="14.25" customHeight="1">
      <c r="A135" s="1" t="s">
        <v>47</v>
      </c>
      <c r="B135" s="1" t="s">
        <v>234</v>
      </c>
      <c r="C135" s="1" t="s">
        <v>237</v>
      </c>
      <c r="D135" s="1" t="s">
        <v>237</v>
      </c>
      <c r="E135" s="14">
        <v>30703.0</v>
      </c>
      <c r="F135" s="15">
        <v>7.0</v>
      </c>
      <c r="G135" s="15">
        <v>7.0</v>
      </c>
      <c r="H135" s="15">
        <v>10.0</v>
      </c>
      <c r="I135" s="15">
        <v>13.0</v>
      </c>
      <c r="J135" s="15">
        <v>19.0</v>
      </c>
      <c r="K135" s="15">
        <v>18.0</v>
      </c>
      <c r="L135" s="16">
        <v>18.0</v>
      </c>
      <c r="M135" s="14">
        <f t="shared" ref="M135:S135" si="234">IF(AND(ISBLANK(F135), NOT(ISBLANK(T135))), T135, IF(OR(ISBLANK(T135), ISBLANK(F135)), "", T135-F135))</f>
        <v>2</v>
      </c>
      <c r="N135" s="14">
        <f t="shared" si="234"/>
        <v>4</v>
      </c>
      <c r="O135" s="14">
        <f t="shared" si="234"/>
        <v>5</v>
      </c>
      <c r="P135" s="14">
        <f t="shared" si="234"/>
        <v>4</v>
      </c>
      <c r="Q135" s="14">
        <f t="shared" si="234"/>
        <v>4</v>
      </c>
      <c r="R135" s="14">
        <f t="shared" si="234"/>
        <v>5</v>
      </c>
      <c r="S135" s="14">
        <f t="shared" si="234"/>
        <v>6</v>
      </c>
      <c r="T135" s="16">
        <v>9.0</v>
      </c>
      <c r="U135" s="16">
        <v>11.0</v>
      </c>
      <c r="V135" s="16">
        <v>15.0</v>
      </c>
      <c r="W135" s="15">
        <v>17.0</v>
      </c>
      <c r="X135" s="15">
        <v>23.0</v>
      </c>
      <c r="Y135" s="17">
        <v>23.0</v>
      </c>
      <c r="Z135" s="15">
        <v>24.0</v>
      </c>
      <c r="AA135" s="15">
        <v>77.77777777777779</v>
      </c>
      <c r="AB135" s="15">
        <v>63.63636363636363</v>
      </c>
      <c r="AC135" s="15">
        <v>66.66666666666666</v>
      </c>
      <c r="AD135" s="16">
        <v>76.47058823529412</v>
      </c>
      <c r="AE135" s="16">
        <v>82.6086956521739</v>
      </c>
      <c r="AF135" s="16">
        <v>78.26086956521739</v>
      </c>
      <c r="AG135" s="16">
        <v>75.0</v>
      </c>
      <c r="AH135" s="16">
        <f t="shared" si="11"/>
        <v>68.92453951</v>
      </c>
      <c r="AI135" s="18">
        <f t="shared" si="12"/>
        <v>78.62318841</v>
      </c>
      <c r="AJ135" s="14">
        <f t="shared" si="13"/>
        <v>10</v>
      </c>
      <c r="AK135" s="14">
        <f t="shared" si="14"/>
        <v>18.33333333</v>
      </c>
      <c r="AL135" s="14">
        <f t="shared" si="15"/>
        <v>4.333333333</v>
      </c>
      <c r="AM135" s="14">
        <f t="shared" si="16"/>
        <v>5</v>
      </c>
    </row>
    <row r="136" ht="14.25" customHeight="1">
      <c r="A136" s="1" t="s">
        <v>47</v>
      </c>
      <c r="B136" s="1" t="s">
        <v>238</v>
      </c>
      <c r="C136" s="1" t="s">
        <v>239</v>
      </c>
      <c r="D136" s="1" t="s">
        <v>239</v>
      </c>
      <c r="E136" s="14">
        <v>30801.0</v>
      </c>
      <c r="F136" s="15">
        <v>83.0</v>
      </c>
      <c r="G136" s="15">
        <v>91.0</v>
      </c>
      <c r="H136" s="15">
        <v>109.0</v>
      </c>
      <c r="I136" s="15">
        <v>111.0</v>
      </c>
      <c r="J136" s="15">
        <v>127.0</v>
      </c>
      <c r="K136" s="15">
        <v>129.0</v>
      </c>
      <c r="L136" s="16">
        <v>129.0</v>
      </c>
      <c r="M136" s="14">
        <f t="shared" ref="M136:S136" si="235">IF(AND(ISBLANK(F136), NOT(ISBLANK(T136))), T136, IF(OR(ISBLANK(T136), ISBLANK(F136)), "", T136-F136))</f>
        <v>21</v>
      </c>
      <c r="N136" s="14">
        <f t="shared" si="235"/>
        <v>15</v>
      </c>
      <c r="O136" s="14">
        <f t="shared" si="235"/>
        <v>33</v>
      </c>
      <c r="P136" s="14">
        <f t="shared" si="235"/>
        <v>30</v>
      </c>
      <c r="Q136" s="14">
        <f t="shared" si="235"/>
        <v>24</v>
      </c>
      <c r="R136" s="14">
        <f t="shared" si="235"/>
        <v>24</v>
      </c>
      <c r="S136" s="14">
        <f t="shared" si="235"/>
        <v>24</v>
      </c>
      <c r="T136" s="16">
        <v>104.0</v>
      </c>
      <c r="U136" s="16">
        <v>106.0</v>
      </c>
      <c r="V136" s="16">
        <v>142.0</v>
      </c>
      <c r="W136" s="15">
        <v>141.0</v>
      </c>
      <c r="X136" s="15">
        <v>151.0</v>
      </c>
      <c r="Y136" s="17">
        <v>153.0</v>
      </c>
      <c r="Z136" s="15">
        <v>153.0</v>
      </c>
      <c r="AA136" s="15">
        <v>79.8076923076923</v>
      </c>
      <c r="AB136" s="15">
        <v>85.84905660377359</v>
      </c>
      <c r="AC136" s="15">
        <v>76.76056338028168</v>
      </c>
      <c r="AD136" s="16">
        <v>78.72340425531915</v>
      </c>
      <c r="AE136" s="16">
        <v>84.10596026490066</v>
      </c>
      <c r="AF136" s="16">
        <v>84.31372549019608</v>
      </c>
      <c r="AG136" s="16">
        <v>84.31372549019608</v>
      </c>
      <c r="AH136" s="16">
        <f t="shared" si="11"/>
        <v>80.44434141</v>
      </c>
      <c r="AI136" s="18">
        <f t="shared" si="12"/>
        <v>84.24447042</v>
      </c>
      <c r="AJ136" s="14">
        <f t="shared" si="13"/>
        <v>103.6666667</v>
      </c>
      <c r="AK136" s="14">
        <f t="shared" si="14"/>
        <v>128.3333333</v>
      </c>
      <c r="AL136" s="14">
        <f t="shared" si="15"/>
        <v>26</v>
      </c>
      <c r="AM136" s="14">
        <f t="shared" si="16"/>
        <v>24</v>
      </c>
    </row>
    <row r="137" ht="14.25" customHeight="1">
      <c r="A137" s="1" t="s">
        <v>47</v>
      </c>
      <c r="B137" s="1" t="s">
        <v>238</v>
      </c>
      <c r="C137" s="1" t="s">
        <v>240</v>
      </c>
      <c r="D137" s="1" t="s">
        <v>240</v>
      </c>
      <c r="E137" s="14">
        <v>30802.0</v>
      </c>
      <c r="F137" s="15">
        <v>12.0</v>
      </c>
      <c r="G137" s="15">
        <v>13.0</v>
      </c>
      <c r="H137" s="15">
        <v>20.0</v>
      </c>
      <c r="I137" s="15">
        <v>20.0</v>
      </c>
      <c r="J137" s="15">
        <v>27.0</v>
      </c>
      <c r="K137" s="15">
        <v>26.0</v>
      </c>
      <c r="L137" s="16">
        <v>26.0</v>
      </c>
      <c r="M137" s="14">
        <f t="shared" ref="M137:S137" si="236">IF(AND(ISBLANK(F137), NOT(ISBLANK(T137))), T137, IF(OR(ISBLANK(T137), ISBLANK(F137)), "", T137-F137))</f>
        <v>4</v>
      </c>
      <c r="N137" s="14">
        <f t="shared" si="236"/>
        <v>5</v>
      </c>
      <c r="O137" s="14">
        <f t="shared" si="236"/>
        <v>6</v>
      </c>
      <c r="P137" s="14">
        <f t="shared" si="236"/>
        <v>6</v>
      </c>
      <c r="Q137" s="14">
        <f t="shared" si="236"/>
        <v>4</v>
      </c>
      <c r="R137" s="14">
        <f t="shared" si="236"/>
        <v>5</v>
      </c>
      <c r="S137" s="14">
        <f t="shared" si="236"/>
        <v>5</v>
      </c>
      <c r="T137" s="16">
        <v>16.0</v>
      </c>
      <c r="U137" s="16">
        <v>18.0</v>
      </c>
      <c r="V137" s="16">
        <v>26.0</v>
      </c>
      <c r="W137" s="15">
        <v>26.0</v>
      </c>
      <c r="X137" s="15">
        <v>31.0</v>
      </c>
      <c r="Y137" s="17">
        <v>31.0</v>
      </c>
      <c r="Z137" s="15">
        <v>31.0</v>
      </c>
      <c r="AA137" s="15">
        <v>75.0</v>
      </c>
      <c r="AB137" s="15">
        <v>72.22222222222221</v>
      </c>
      <c r="AC137" s="15">
        <v>76.92307692307693</v>
      </c>
      <c r="AD137" s="16">
        <v>76.92307692307693</v>
      </c>
      <c r="AE137" s="16">
        <v>87.09677419354838</v>
      </c>
      <c r="AF137" s="16">
        <v>83.87096774193549</v>
      </c>
      <c r="AG137" s="16">
        <v>83.87096774193549</v>
      </c>
      <c r="AH137" s="16">
        <f t="shared" si="11"/>
        <v>75.35612536</v>
      </c>
      <c r="AI137" s="18">
        <f t="shared" si="12"/>
        <v>84.94623656</v>
      </c>
      <c r="AJ137" s="14">
        <f t="shared" si="13"/>
        <v>17.66666667</v>
      </c>
      <c r="AK137" s="14">
        <f t="shared" si="14"/>
        <v>26.33333333</v>
      </c>
      <c r="AL137" s="14">
        <f t="shared" si="15"/>
        <v>5.666666667</v>
      </c>
      <c r="AM137" s="14">
        <f t="shared" si="16"/>
        <v>4.666666667</v>
      </c>
    </row>
    <row r="138" ht="14.25" customHeight="1">
      <c r="A138" s="1" t="s">
        <v>47</v>
      </c>
      <c r="B138" s="1" t="s">
        <v>238</v>
      </c>
      <c r="C138" s="1" t="s">
        <v>241</v>
      </c>
      <c r="D138" s="1" t="s">
        <v>241</v>
      </c>
      <c r="E138" s="14">
        <v>30803.0</v>
      </c>
      <c r="F138" s="15">
        <v>14.0</v>
      </c>
      <c r="G138" s="15">
        <v>14.0</v>
      </c>
      <c r="H138" s="15">
        <v>19.0</v>
      </c>
      <c r="I138" s="15">
        <v>24.0</v>
      </c>
      <c r="J138" s="15">
        <v>32.0</v>
      </c>
      <c r="K138" s="15">
        <v>31.0</v>
      </c>
      <c r="L138" s="16">
        <v>31.0</v>
      </c>
      <c r="M138" s="14">
        <f t="shared" ref="M138:S138" si="237">IF(AND(ISBLANK(F138), NOT(ISBLANK(T138))), T138, IF(OR(ISBLANK(T138), ISBLANK(F138)), "", T138-F138))</f>
        <v>3</v>
      </c>
      <c r="N138" s="14">
        <f t="shared" si="237"/>
        <v>3</v>
      </c>
      <c r="O138" s="14">
        <f t="shared" si="237"/>
        <v>3</v>
      </c>
      <c r="P138" s="14">
        <f t="shared" si="237"/>
        <v>3</v>
      </c>
      <c r="Q138" s="14">
        <f t="shared" si="237"/>
        <v>5</v>
      </c>
      <c r="R138" s="14">
        <f t="shared" si="237"/>
        <v>5</v>
      </c>
      <c r="S138" s="14">
        <f t="shared" si="237"/>
        <v>5</v>
      </c>
      <c r="T138" s="16">
        <v>17.0</v>
      </c>
      <c r="U138" s="16">
        <v>17.0</v>
      </c>
      <c r="V138" s="16">
        <v>22.0</v>
      </c>
      <c r="W138" s="15">
        <v>27.0</v>
      </c>
      <c r="X138" s="15">
        <v>37.0</v>
      </c>
      <c r="Y138" s="17">
        <v>36.0</v>
      </c>
      <c r="Z138" s="15">
        <v>36.0</v>
      </c>
      <c r="AA138" s="15">
        <v>82.35294117647058</v>
      </c>
      <c r="AB138" s="15">
        <v>82.35294117647058</v>
      </c>
      <c r="AC138" s="15">
        <v>86.36363636363636</v>
      </c>
      <c r="AD138" s="16">
        <v>88.88888888888889</v>
      </c>
      <c r="AE138" s="16">
        <v>86.48648648648648</v>
      </c>
      <c r="AF138" s="16">
        <v>86.11111111111111</v>
      </c>
      <c r="AG138" s="16">
        <v>86.11111111111111</v>
      </c>
      <c r="AH138" s="16">
        <f t="shared" si="11"/>
        <v>85.86848881</v>
      </c>
      <c r="AI138" s="18">
        <f t="shared" si="12"/>
        <v>86.23623624</v>
      </c>
      <c r="AJ138" s="14">
        <f t="shared" si="13"/>
        <v>19</v>
      </c>
      <c r="AK138" s="14">
        <f t="shared" si="14"/>
        <v>31.33333333</v>
      </c>
      <c r="AL138" s="14">
        <f t="shared" si="15"/>
        <v>3</v>
      </c>
      <c r="AM138" s="14">
        <f t="shared" si="16"/>
        <v>5</v>
      </c>
    </row>
    <row r="139" ht="14.25" customHeight="1">
      <c r="A139" s="1" t="s">
        <v>47</v>
      </c>
      <c r="B139" s="1" t="s">
        <v>242</v>
      </c>
      <c r="C139" s="1" t="s">
        <v>242</v>
      </c>
      <c r="D139" s="1" t="s">
        <v>242</v>
      </c>
      <c r="E139" s="14">
        <v>30901.0</v>
      </c>
      <c r="F139" s="15">
        <v>408.0</v>
      </c>
      <c r="G139" s="15">
        <v>432.0</v>
      </c>
      <c r="H139" s="15">
        <v>515.0</v>
      </c>
      <c r="I139" s="15">
        <v>543.0</v>
      </c>
      <c r="J139" s="15">
        <v>655.0</v>
      </c>
      <c r="K139" s="15">
        <v>681.0</v>
      </c>
      <c r="L139" s="16">
        <v>681.0</v>
      </c>
      <c r="M139" s="14">
        <f t="shared" ref="M139:S139" si="238">IF(AND(ISBLANK(F139), NOT(ISBLANK(T139))), T139, IF(OR(ISBLANK(T139), ISBLANK(F139)), "", T139-F139))</f>
        <v>114</v>
      </c>
      <c r="N139" s="14">
        <f t="shared" si="238"/>
        <v>117</v>
      </c>
      <c r="O139" s="14">
        <f t="shared" si="238"/>
        <v>169</v>
      </c>
      <c r="P139" s="14">
        <f t="shared" si="238"/>
        <v>173</v>
      </c>
      <c r="Q139" s="14">
        <f t="shared" si="238"/>
        <v>173</v>
      </c>
      <c r="R139" s="14">
        <f t="shared" si="238"/>
        <v>167</v>
      </c>
      <c r="S139" s="14">
        <f t="shared" si="238"/>
        <v>162</v>
      </c>
      <c r="T139" s="16">
        <v>522.0</v>
      </c>
      <c r="U139" s="16">
        <v>549.0</v>
      </c>
      <c r="V139" s="16">
        <v>684.0</v>
      </c>
      <c r="W139" s="15">
        <v>716.0</v>
      </c>
      <c r="X139" s="15">
        <v>828.0</v>
      </c>
      <c r="Y139" s="17">
        <v>848.0</v>
      </c>
      <c r="Z139" s="15">
        <v>843.0</v>
      </c>
      <c r="AA139" s="15">
        <v>78.16091954022988</v>
      </c>
      <c r="AB139" s="15">
        <v>78.68852459016394</v>
      </c>
      <c r="AC139" s="15">
        <v>75.29239766081871</v>
      </c>
      <c r="AD139" s="16">
        <v>75.83798882681563</v>
      </c>
      <c r="AE139" s="16">
        <v>79.10628019323671</v>
      </c>
      <c r="AF139" s="16">
        <v>80.30660377358491</v>
      </c>
      <c r="AG139" s="16">
        <v>80.78291814946618</v>
      </c>
      <c r="AH139" s="16">
        <f t="shared" si="11"/>
        <v>76.60630369</v>
      </c>
      <c r="AI139" s="18">
        <f t="shared" si="12"/>
        <v>80.06526737</v>
      </c>
      <c r="AJ139" s="14">
        <f t="shared" si="13"/>
        <v>496.6666667</v>
      </c>
      <c r="AK139" s="14">
        <f t="shared" si="14"/>
        <v>672.3333333</v>
      </c>
      <c r="AL139" s="14">
        <f t="shared" si="15"/>
        <v>153</v>
      </c>
      <c r="AM139" s="14">
        <f t="shared" si="16"/>
        <v>167.3333333</v>
      </c>
    </row>
    <row r="140" ht="14.25" customHeight="1">
      <c r="A140" s="1" t="s">
        <v>47</v>
      </c>
      <c r="B140" s="1" t="s">
        <v>242</v>
      </c>
      <c r="C140" s="1" t="s">
        <v>243</v>
      </c>
      <c r="D140" s="1" t="s">
        <v>243</v>
      </c>
      <c r="E140" s="14">
        <v>30902.0</v>
      </c>
      <c r="F140" s="15">
        <v>115.0</v>
      </c>
      <c r="G140" s="15">
        <v>124.0</v>
      </c>
      <c r="H140" s="15">
        <v>144.0</v>
      </c>
      <c r="I140" s="15">
        <v>165.0</v>
      </c>
      <c r="J140" s="15">
        <v>270.0</v>
      </c>
      <c r="K140" s="15">
        <v>279.0</v>
      </c>
      <c r="L140" s="16">
        <v>278.0</v>
      </c>
      <c r="M140" s="14">
        <f t="shared" ref="M140:S140" si="239">IF(AND(ISBLANK(F140), NOT(ISBLANK(T140))), T140, IF(OR(ISBLANK(T140), ISBLANK(F140)), "", T140-F140))</f>
        <v>33</v>
      </c>
      <c r="N140" s="14">
        <f t="shared" si="239"/>
        <v>43</v>
      </c>
      <c r="O140" s="14">
        <f t="shared" si="239"/>
        <v>73</v>
      </c>
      <c r="P140" s="14">
        <f t="shared" si="239"/>
        <v>75</v>
      </c>
      <c r="Q140" s="14">
        <f t="shared" si="239"/>
        <v>81</v>
      </c>
      <c r="R140" s="14">
        <f t="shared" si="239"/>
        <v>81</v>
      </c>
      <c r="S140" s="14">
        <f t="shared" si="239"/>
        <v>92</v>
      </c>
      <c r="T140" s="16">
        <v>148.0</v>
      </c>
      <c r="U140" s="16">
        <v>167.0</v>
      </c>
      <c r="V140" s="16">
        <v>217.0</v>
      </c>
      <c r="W140" s="15">
        <v>240.0</v>
      </c>
      <c r="X140" s="15">
        <v>351.0</v>
      </c>
      <c r="Y140" s="17">
        <v>360.0</v>
      </c>
      <c r="Z140" s="15">
        <v>370.0</v>
      </c>
      <c r="AA140" s="15">
        <v>77.7027027027027</v>
      </c>
      <c r="AB140" s="15">
        <v>74.25149700598801</v>
      </c>
      <c r="AC140" s="15">
        <v>66.3594470046083</v>
      </c>
      <c r="AD140" s="16">
        <v>68.75</v>
      </c>
      <c r="AE140" s="16">
        <v>76.92307692307693</v>
      </c>
      <c r="AF140" s="16">
        <v>77.5</v>
      </c>
      <c r="AG140" s="16">
        <v>75.13513513513513</v>
      </c>
      <c r="AH140" s="16">
        <f t="shared" si="11"/>
        <v>69.78698134</v>
      </c>
      <c r="AI140" s="18">
        <f t="shared" si="12"/>
        <v>76.51940402</v>
      </c>
      <c r="AJ140" s="14">
        <f t="shared" si="13"/>
        <v>144.3333333</v>
      </c>
      <c r="AK140" s="14">
        <f t="shared" si="14"/>
        <v>275.6666667</v>
      </c>
      <c r="AL140" s="14">
        <f t="shared" si="15"/>
        <v>63.66666667</v>
      </c>
      <c r="AM140" s="14">
        <f t="shared" si="16"/>
        <v>84.66666667</v>
      </c>
    </row>
    <row r="141" ht="14.25" customHeight="1">
      <c r="A141" s="1" t="s">
        <v>47</v>
      </c>
      <c r="B141" s="1" t="s">
        <v>242</v>
      </c>
      <c r="C141" s="1" t="s">
        <v>244</v>
      </c>
      <c r="D141" s="1" t="s">
        <v>244</v>
      </c>
      <c r="E141" s="14">
        <v>30903.0</v>
      </c>
      <c r="F141" s="15">
        <v>116.0</v>
      </c>
      <c r="G141" s="15">
        <v>138.0</v>
      </c>
      <c r="H141" s="15">
        <v>184.0</v>
      </c>
      <c r="I141" s="15">
        <v>200.0</v>
      </c>
      <c r="J141" s="15">
        <v>282.0</v>
      </c>
      <c r="K141" s="15">
        <v>299.0</v>
      </c>
      <c r="L141" s="16">
        <v>294.0</v>
      </c>
      <c r="M141" s="14">
        <f t="shared" ref="M141:S141" si="240">IF(AND(ISBLANK(F141), NOT(ISBLANK(T141))), T141, IF(OR(ISBLANK(T141), ISBLANK(F141)), "", T141-F141))</f>
        <v>28</v>
      </c>
      <c r="N141" s="14">
        <f t="shared" si="240"/>
        <v>27</v>
      </c>
      <c r="O141" s="14">
        <f t="shared" si="240"/>
        <v>43</v>
      </c>
      <c r="P141" s="14">
        <f t="shared" si="240"/>
        <v>51</v>
      </c>
      <c r="Q141" s="14">
        <f t="shared" si="240"/>
        <v>64</v>
      </c>
      <c r="R141" s="14">
        <f t="shared" si="240"/>
        <v>67</v>
      </c>
      <c r="S141" s="14">
        <f t="shared" si="240"/>
        <v>72</v>
      </c>
      <c r="T141" s="16">
        <v>144.0</v>
      </c>
      <c r="U141" s="16">
        <v>165.0</v>
      </c>
      <c r="V141" s="16">
        <v>227.0</v>
      </c>
      <c r="W141" s="15">
        <v>251.0</v>
      </c>
      <c r="X141" s="15">
        <v>346.0</v>
      </c>
      <c r="Y141" s="17">
        <v>366.0</v>
      </c>
      <c r="Z141" s="15">
        <v>366.0</v>
      </c>
      <c r="AA141" s="15">
        <v>80.55555555555556</v>
      </c>
      <c r="AB141" s="15">
        <v>83.63636363636363</v>
      </c>
      <c r="AC141" s="15">
        <v>81.05726872246696</v>
      </c>
      <c r="AD141" s="16">
        <v>79.6812749003984</v>
      </c>
      <c r="AE141" s="16">
        <v>81.5028901734104</v>
      </c>
      <c r="AF141" s="16">
        <v>81.69398907103826</v>
      </c>
      <c r="AG141" s="16">
        <v>80.32786885245902</v>
      </c>
      <c r="AH141" s="16">
        <f t="shared" si="11"/>
        <v>81.45830242</v>
      </c>
      <c r="AI141" s="18">
        <f t="shared" si="12"/>
        <v>81.17491603</v>
      </c>
      <c r="AJ141" s="14">
        <f t="shared" si="13"/>
        <v>174</v>
      </c>
      <c r="AK141" s="14">
        <f t="shared" si="14"/>
        <v>291.6666667</v>
      </c>
      <c r="AL141" s="14">
        <f t="shared" si="15"/>
        <v>40.33333333</v>
      </c>
      <c r="AM141" s="14">
        <f t="shared" si="16"/>
        <v>67.66666667</v>
      </c>
    </row>
    <row r="142" ht="14.25" customHeight="1">
      <c r="A142" s="1" t="s">
        <v>47</v>
      </c>
      <c r="B142" s="1" t="s">
        <v>242</v>
      </c>
      <c r="C142" s="1" t="s">
        <v>245</v>
      </c>
      <c r="D142" s="1" t="s">
        <v>245</v>
      </c>
      <c r="E142" s="14">
        <v>30904.0</v>
      </c>
      <c r="F142" s="15">
        <v>119.0</v>
      </c>
      <c r="G142" s="15">
        <v>135.0</v>
      </c>
      <c r="H142" s="15">
        <v>150.0</v>
      </c>
      <c r="I142" s="15">
        <v>155.0</v>
      </c>
      <c r="J142" s="15">
        <v>210.0</v>
      </c>
      <c r="K142" s="15">
        <v>222.0</v>
      </c>
      <c r="L142" s="16">
        <v>233.0</v>
      </c>
      <c r="M142" s="14">
        <f t="shared" ref="M142:S142" si="241">IF(AND(ISBLANK(F142), NOT(ISBLANK(T142))), T142, IF(OR(ISBLANK(T142), ISBLANK(F142)), "", T142-F142))</f>
        <v>53</v>
      </c>
      <c r="N142" s="14">
        <f t="shared" si="241"/>
        <v>57</v>
      </c>
      <c r="O142" s="14">
        <f t="shared" si="241"/>
        <v>89</v>
      </c>
      <c r="P142" s="14">
        <f t="shared" si="241"/>
        <v>97</v>
      </c>
      <c r="Q142" s="14">
        <f t="shared" si="241"/>
        <v>89</v>
      </c>
      <c r="R142" s="14">
        <f t="shared" si="241"/>
        <v>93</v>
      </c>
      <c r="S142" s="14">
        <f t="shared" si="241"/>
        <v>97</v>
      </c>
      <c r="T142" s="16">
        <v>172.0</v>
      </c>
      <c r="U142" s="16">
        <v>192.0</v>
      </c>
      <c r="V142" s="16">
        <v>239.0</v>
      </c>
      <c r="W142" s="15">
        <v>252.0</v>
      </c>
      <c r="X142" s="15">
        <v>299.0</v>
      </c>
      <c r="Y142" s="17">
        <v>315.0</v>
      </c>
      <c r="Z142" s="15">
        <v>330.0</v>
      </c>
      <c r="AA142" s="15">
        <v>69.18604651162791</v>
      </c>
      <c r="AB142" s="15">
        <v>70.3125</v>
      </c>
      <c r="AC142" s="15">
        <v>62.76150627615063</v>
      </c>
      <c r="AD142" s="16">
        <v>61.50793650793651</v>
      </c>
      <c r="AE142" s="16">
        <v>70.23411371237458</v>
      </c>
      <c r="AF142" s="16">
        <v>70.47619047619048</v>
      </c>
      <c r="AG142" s="16">
        <v>70.60606060606061</v>
      </c>
      <c r="AH142" s="16">
        <f t="shared" si="11"/>
        <v>64.86064759</v>
      </c>
      <c r="AI142" s="18">
        <f t="shared" si="12"/>
        <v>70.43878826</v>
      </c>
      <c r="AJ142" s="14">
        <f t="shared" si="13"/>
        <v>146.6666667</v>
      </c>
      <c r="AK142" s="14">
        <f t="shared" si="14"/>
        <v>221.6666667</v>
      </c>
      <c r="AL142" s="14">
        <f t="shared" si="15"/>
        <v>81</v>
      </c>
      <c r="AM142" s="14">
        <f t="shared" si="16"/>
        <v>93</v>
      </c>
    </row>
    <row r="143" ht="14.25" customHeight="1">
      <c r="A143" s="1" t="s">
        <v>47</v>
      </c>
      <c r="B143" s="1" t="s">
        <v>242</v>
      </c>
      <c r="C143" s="1" t="s">
        <v>246</v>
      </c>
      <c r="D143" s="1" t="s">
        <v>246</v>
      </c>
      <c r="E143" s="14">
        <v>30905.0</v>
      </c>
      <c r="F143" s="15">
        <v>122.0</v>
      </c>
      <c r="G143" s="15">
        <v>129.0</v>
      </c>
      <c r="H143" s="15">
        <v>160.0</v>
      </c>
      <c r="I143" s="15">
        <v>166.0</v>
      </c>
      <c r="J143" s="15">
        <v>225.0</v>
      </c>
      <c r="K143" s="15">
        <v>229.0</v>
      </c>
      <c r="L143" s="16">
        <v>235.0</v>
      </c>
      <c r="M143" s="14">
        <f t="shared" ref="M143:S143" si="242">IF(AND(ISBLANK(F143), NOT(ISBLANK(T143))), T143, IF(OR(ISBLANK(T143), ISBLANK(F143)), "", T143-F143))</f>
        <v>36</v>
      </c>
      <c r="N143" s="14">
        <f t="shared" si="242"/>
        <v>41</v>
      </c>
      <c r="O143" s="14">
        <f t="shared" si="242"/>
        <v>48</v>
      </c>
      <c r="P143" s="14">
        <f t="shared" si="242"/>
        <v>47</v>
      </c>
      <c r="Q143" s="14">
        <f t="shared" si="242"/>
        <v>49</v>
      </c>
      <c r="R143" s="14">
        <f t="shared" si="242"/>
        <v>49</v>
      </c>
      <c r="S143" s="14">
        <f t="shared" si="242"/>
        <v>51</v>
      </c>
      <c r="T143" s="16">
        <v>158.0</v>
      </c>
      <c r="U143" s="16">
        <v>170.0</v>
      </c>
      <c r="V143" s="16">
        <v>208.0</v>
      </c>
      <c r="W143" s="15">
        <v>213.0</v>
      </c>
      <c r="X143" s="15">
        <v>274.0</v>
      </c>
      <c r="Y143" s="17">
        <v>278.0</v>
      </c>
      <c r="Z143" s="15">
        <v>286.0</v>
      </c>
      <c r="AA143" s="15">
        <v>77.21518987341773</v>
      </c>
      <c r="AB143" s="15">
        <v>75.88235294117646</v>
      </c>
      <c r="AC143" s="15">
        <v>76.92307692307693</v>
      </c>
      <c r="AD143" s="16">
        <v>77.93427230046949</v>
      </c>
      <c r="AE143" s="16">
        <v>82.11678832116789</v>
      </c>
      <c r="AF143" s="16">
        <v>82.37410071942446</v>
      </c>
      <c r="AG143" s="16">
        <v>82.16783216783216</v>
      </c>
      <c r="AH143" s="16">
        <f t="shared" si="11"/>
        <v>76.91323405</v>
      </c>
      <c r="AI143" s="18">
        <f t="shared" si="12"/>
        <v>82.21957374</v>
      </c>
      <c r="AJ143" s="14">
        <f t="shared" si="13"/>
        <v>151.6666667</v>
      </c>
      <c r="AK143" s="14">
        <f t="shared" si="14"/>
        <v>229.6666667</v>
      </c>
      <c r="AL143" s="14">
        <f t="shared" si="15"/>
        <v>45.33333333</v>
      </c>
      <c r="AM143" s="14">
        <f t="shared" si="16"/>
        <v>49.66666667</v>
      </c>
    </row>
    <row r="144" ht="14.25" customHeight="1">
      <c r="A144" s="1" t="s">
        <v>47</v>
      </c>
      <c r="B144" s="1" t="s">
        <v>247</v>
      </c>
      <c r="C144" s="1" t="s">
        <v>248</v>
      </c>
      <c r="D144" s="1" t="s">
        <v>248</v>
      </c>
      <c r="E144" s="14">
        <v>31001.0</v>
      </c>
      <c r="F144" s="15">
        <v>254.0</v>
      </c>
      <c r="G144" s="15">
        <v>282.0</v>
      </c>
      <c r="H144" s="15">
        <v>378.0</v>
      </c>
      <c r="I144" s="15">
        <v>445.0</v>
      </c>
      <c r="J144" s="15">
        <v>674.0</v>
      </c>
      <c r="K144" s="15">
        <v>705.0</v>
      </c>
      <c r="L144" s="16">
        <v>736.0</v>
      </c>
      <c r="M144" s="14">
        <f t="shared" ref="M144:S144" si="243">IF(AND(ISBLANK(F144), NOT(ISBLANK(T144))), T144, IF(OR(ISBLANK(T144), ISBLANK(F144)), "", T144-F144))</f>
        <v>42</v>
      </c>
      <c r="N144" s="14">
        <f t="shared" si="243"/>
        <v>54</v>
      </c>
      <c r="O144" s="14">
        <f t="shared" si="243"/>
        <v>109</v>
      </c>
      <c r="P144" s="14">
        <f t="shared" si="243"/>
        <v>130</v>
      </c>
      <c r="Q144" s="14">
        <f t="shared" si="243"/>
        <v>155</v>
      </c>
      <c r="R144" s="14">
        <f t="shared" si="243"/>
        <v>156</v>
      </c>
      <c r="S144" s="14">
        <f t="shared" si="243"/>
        <v>157</v>
      </c>
      <c r="T144" s="16">
        <v>296.0</v>
      </c>
      <c r="U144" s="16">
        <v>336.0</v>
      </c>
      <c r="V144" s="16">
        <v>487.0</v>
      </c>
      <c r="W144" s="15">
        <v>575.0</v>
      </c>
      <c r="X144" s="15">
        <v>829.0</v>
      </c>
      <c r="Y144" s="17">
        <v>861.0</v>
      </c>
      <c r="Z144" s="15">
        <v>893.0</v>
      </c>
      <c r="AA144" s="15">
        <v>85.8108108108108</v>
      </c>
      <c r="AB144" s="15">
        <v>83.92857142857143</v>
      </c>
      <c r="AC144" s="15">
        <v>77.61806981519507</v>
      </c>
      <c r="AD144" s="16">
        <v>77.39130434782608</v>
      </c>
      <c r="AE144" s="16">
        <v>81.30277442702051</v>
      </c>
      <c r="AF144" s="16">
        <v>81.8815331010453</v>
      </c>
      <c r="AG144" s="16">
        <v>82.4188129899216</v>
      </c>
      <c r="AH144" s="16">
        <f t="shared" si="11"/>
        <v>79.64598186</v>
      </c>
      <c r="AI144" s="18">
        <f t="shared" si="12"/>
        <v>81.86770684</v>
      </c>
      <c r="AJ144" s="14">
        <f t="shared" si="13"/>
        <v>368.3333333</v>
      </c>
      <c r="AK144" s="14">
        <f t="shared" si="14"/>
        <v>705</v>
      </c>
      <c r="AL144" s="14">
        <f t="shared" si="15"/>
        <v>97.66666667</v>
      </c>
      <c r="AM144" s="14">
        <f t="shared" si="16"/>
        <v>156</v>
      </c>
    </row>
    <row r="145" ht="14.25" customHeight="1">
      <c r="A145" s="1" t="s">
        <v>47</v>
      </c>
      <c r="B145" s="1" t="s">
        <v>247</v>
      </c>
      <c r="C145" s="1" t="s">
        <v>249</v>
      </c>
      <c r="D145" s="1" t="s">
        <v>249</v>
      </c>
      <c r="E145" s="14">
        <v>31002.0</v>
      </c>
      <c r="F145" s="15">
        <v>64.0</v>
      </c>
      <c r="G145" s="15">
        <v>71.0</v>
      </c>
      <c r="H145" s="15">
        <v>85.0</v>
      </c>
      <c r="I145" s="15">
        <v>88.0</v>
      </c>
      <c r="J145" s="15">
        <v>123.0</v>
      </c>
      <c r="K145" s="15">
        <v>129.0</v>
      </c>
      <c r="L145" s="16">
        <v>135.0</v>
      </c>
      <c r="M145" s="14">
        <f t="shared" ref="M145:S145" si="244">IF(AND(ISBLANK(F145), NOT(ISBLANK(T145))), T145, IF(OR(ISBLANK(T145), ISBLANK(F145)), "", T145-F145))</f>
        <v>17</v>
      </c>
      <c r="N145" s="14">
        <f t="shared" si="244"/>
        <v>17</v>
      </c>
      <c r="O145" s="14">
        <f t="shared" si="244"/>
        <v>33</v>
      </c>
      <c r="P145" s="14">
        <f t="shared" si="244"/>
        <v>42</v>
      </c>
      <c r="Q145" s="14">
        <f t="shared" si="244"/>
        <v>32</v>
      </c>
      <c r="R145" s="14">
        <f t="shared" si="244"/>
        <v>31</v>
      </c>
      <c r="S145" s="14">
        <f t="shared" si="244"/>
        <v>32</v>
      </c>
      <c r="T145" s="16">
        <v>81.0</v>
      </c>
      <c r="U145" s="16">
        <v>88.0</v>
      </c>
      <c r="V145" s="16">
        <v>118.0</v>
      </c>
      <c r="W145" s="15">
        <v>130.0</v>
      </c>
      <c r="X145" s="15">
        <v>155.0</v>
      </c>
      <c r="Y145" s="17">
        <v>160.0</v>
      </c>
      <c r="Z145" s="15">
        <v>167.0</v>
      </c>
      <c r="AA145" s="15">
        <v>79.01234567901234</v>
      </c>
      <c r="AB145" s="15">
        <v>80.68181818181817</v>
      </c>
      <c r="AC145" s="15">
        <v>72.03389830508475</v>
      </c>
      <c r="AD145" s="16">
        <v>67.6923076923077</v>
      </c>
      <c r="AE145" s="16">
        <v>79.35483870967742</v>
      </c>
      <c r="AF145" s="16">
        <v>80.625</v>
      </c>
      <c r="AG145" s="16">
        <v>80.83832335329342</v>
      </c>
      <c r="AH145" s="16">
        <f t="shared" si="11"/>
        <v>73.46934139</v>
      </c>
      <c r="AI145" s="18">
        <f t="shared" si="12"/>
        <v>80.27272069</v>
      </c>
      <c r="AJ145" s="14">
        <f t="shared" si="13"/>
        <v>81.33333333</v>
      </c>
      <c r="AK145" s="14">
        <f t="shared" si="14"/>
        <v>129</v>
      </c>
      <c r="AL145" s="14">
        <f t="shared" si="15"/>
        <v>30.66666667</v>
      </c>
      <c r="AM145" s="14">
        <f t="shared" si="16"/>
        <v>31.66666667</v>
      </c>
    </row>
    <row r="146" ht="14.25" customHeight="1">
      <c r="A146" s="1" t="s">
        <v>47</v>
      </c>
      <c r="B146" s="1" t="s">
        <v>247</v>
      </c>
      <c r="C146" s="1" t="s">
        <v>250</v>
      </c>
      <c r="D146" s="1" t="s">
        <v>250</v>
      </c>
      <c r="E146" s="14">
        <v>31003.0</v>
      </c>
      <c r="F146" s="15">
        <v>151.0</v>
      </c>
      <c r="G146" s="15">
        <v>172.0</v>
      </c>
      <c r="H146" s="15">
        <v>220.0</v>
      </c>
      <c r="I146" s="15">
        <v>251.0</v>
      </c>
      <c r="J146" s="15">
        <v>499.0</v>
      </c>
      <c r="K146" s="15">
        <v>524.0</v>
      </c>
      <c r="L146" s="16">
        <v>544.0</v>
      </c>
      <c r="M146" s="14">
        <f t="shared" ref="M146:S146" si="245">IF(AND(ISBLANK(F146), NOT(ISBLANK(T146))), T146, IF(OR(ISBLANK(T146), ISBLANK(F146)), "", T146-F146))</f>
        <v>34</v>
      </c>
      <c r="N146" s="14">
        <f t="shared" si="245"/>
        <v>43</v>
      </c>
      <c r="O146" s="14">
        <f t="shared" si="245"/>
        <v>122</v>
      </c>
      <c r="P146" s="14">
        <f t="shared" si="245"/>
        <v>116</v>
      </c>
      <c r="Q146" s="14">
        <f t="shared" si="245"/>
        <v>127</v>
      </c>
      <c r="R146" s="14">
        <f t="shared" si="245"/>
        <v>135</v>
      </c>
      <c r="S146" s="14">
        <f t="shared" si="245"/>
        <v>142</v>
      </c>
      <c r="T146" s="16">
        <v>185.0</v>
      </c>
      <c r="U146" s="16">
        <v>215.0</v>
      </c>
      <c r="V146" s="16">
        <v>342.0</v>
      </c>
      <c r="W146" s="15">
        <v>367.0</v>
      </c>
      <c r="X146" s="15">
        <v>626.0</v>
      </c>
      <c r="Y146" s="17">
        <v>659.0</v>
      </c>
      <c r="Z146" s="15">
        <v>686.0</v>
      </c>
      <c r="AA146" s="15">
        <v>81.62162162162161</v>
      </c>
      <c r="AB146" s="15">
        <v>80.0</v>
      </c>
      <c r="AC146" s="15">
        <v>64.32748538011695</v>
      </c>
      <c r="AD146" s="16">
        <v>68.39237057220708</v>
      </c>
      <c r="AE146" s="16">
        <v>79.71246006389777</v>
      </c>
      <c r="AF146" s="16">
        <v>79.5144157814871</v>
      </c>
      <c r="AG146" s="16">
        <v>79.30029154518951</v>
      </c>
      <c r="AH146" s="16">
        <f t="shared" si="11"/>
        <v>70.90661865</v>
      </c>
      <c r="AI146" s="18">
        <f t="shared" si="12"/>
        <v>79.5090558</v>
      </c>
      <c r="AJ146" s="14">
        <f t="shared" si="13"/>
        <v>214.3333333</v>
      </c>
      <c r="AK146" s="14">
        <f t="shared" si="14"/>
        <v>522.3333333</v>
      </c>
      <c r="AL146" s="14">
        <f t="shared" si="15"/>
        <v>93.66666667</v>
      </c>
      <c r="AM146" s="14">
        <f t="shared" si="16"/>
        <v>134.6666667</v>
      </c>
    </row>
    <row r="147" ht="14.25" customHeight="1">
      <c r="A147" s="1" t="s">
        <v>47</v>
      </c>
      <c r="B147" s="1" t="s">
        <v>251</v>
      </c>
      <c r="C147" s="1" t="s">
        <v>251</v>
      </c>
      <c r="D147" s="1" t="s">
        <v>251</v>
      </c>
      <c r="E147" s="14">
        <v>31101.0</v>
      </c>
      <c r="F147" s="15">
        <v>37.0</v>
      </c>
      <c r="G147" s="15">
        <v>42.0</v>
      </c>
      <c r="H147" s="15">
        <v>47.0</v>
      </c>
      <c r="I147" s="15">
        <v>48.0</v>
      </c>
      <c r="J147" s="15">
        <v>115.0</v>
      </c>
      <c r="K147" s="15">
        <v>112.0</v>
      </c>
      <c r="L147" s="16">
        <v>120.0</v>
      </c>
      <c r="M147" s="14">
        <f t="shared" ref="M147:S147" si="246">IF(AND(ISBLANK(F147), NOT(ISBLANK(T147))), T147, IF(OR(ISBLANK(T147), ISBLANK(F147)), "", T147-F147))</f>
        <v>3</v>
      </c>
      <c r="N147" s="14">
        <f t="shared" si="246"/>
        <v>14</v>
      </c>
      <c r="O147" s="14">
        <f t="shared" si="246"/>
        <v>54</v>
      </c>
      <c r="P147" s="14">
        <f t="shared" si="246"/>
        <v>53</v>
      </c>
      <c r="Q147" s="14">
        <f t="shared" si="246"/>
        <v>39</v>
      </c>
      <c r="R147" s="14">
        <f t="shared" si="246"/>
        <v>45</v>
      </c>
      <c r="S147" s="14">
        <f t="shared" si="246"/>
        <v>43</v>
      </c>
      <c r="T147" s="16">
        <v>40.0</v>
      </c>
      <c r="U147" s="16">
        <v>56.0</v>
      </c>
      <c r="V147" s="16">
        <v>101.0</v>
      </c>
      <c r="W147" s="15">
        <v>101.0</v>
      </c>
      <c r="X147" s="15">
        <v>154.0</v>
      </c>
      <c r="Y147" s="17">
        <v>157.0</v>
      </c>
      <c r="Z147" s="15">
        <v>163.0</v>
      </c>
      <c r="AA147" s="15">
        <v>92.5</v>
      </c>
      <c r="AB147" s="15">
        <v>75.0</v>
      </c>
      <c r="AC147" s="15">
        <v>46.53465346534654</v>
      </c>
      <c r="AD147" s="16">
        <v>47.524752475247524</v>
      </c>
      <c r="AE147" s="16">
        <v>74.67532467532467</v>
      </c>
      <c r="AF147" s="16">
        <v>71.3375796178344</v>
      </c>
      <c r="AG147" s="16">
        <v>73.61963190184049</v>
      </c>
      <c r="AH147" s="16">
        <f t="shared" si="11"/>
        <v>56.35313531</v>
      </c>
      <c r="AI147" s="18">
        <f t="shared" si="12"/>
        <v>73.2108454</v>
      </c>
      <c r="AJ147" s="14">
        <f t="shared" si="13"/>
        <v>45.66666667</v>
      </c>
      <c r="AK147" s="14">
        <f t="shared" si="14"/>
        <v>115.6666667</v>
      </c>
      <c r="AL147" s="14">
        <f t="shared" si="15"/>
        <v>40.33333333</v>
      </c>
      <c r="AM147" s="14">
        <f t="shared" si="16"/>
        <v>42.33333333</v>
      </c>
    </row>
    <row r="148" ht="14.25" customHeight="1">
      <c r="A148" s="1" t="s">
        <v>47</v>
      </c>
      <c r="B148" s="1" t="s">
        <v>252</v>
      </c>
      <c r="C148" s="1" t="s">
        <v>253</v>
      </c>
      <c r="D148" s="1" t="s">
        <v>253</v>
      </c>
      <c r="E148" s="14">
        <v>31201.0</v>
      </c>
      <c r="F148" s="15">
        <v>22.0</v>
      </c>
      <c r="G148" s="15">
        <v>23.0</v>
      </c>
      <c r="H148" s="15">
        <v>25.0</v>
      </c>
      <c r="I148" s="15">
        <v>25.0</v>
      </c>
      <c r="J148" s="15">
        <v>63.0</v>
      </c>
      <c r="K148" s="15">
        <v>69.0</v>
      </c>
      <c r="L148" s="16">
        <v>83.0</v>
      </c>
      <c r="M148" s="14">
        <f t="shared" ref="M148:S148" si="247">IF(AND(ISBLANK(F148), NOT(ISBLANK(T148))), T148, IF(OR(ISBLANK(T148), ISBLANK(F148)), "", T148-F148))</f>
        <v>6</v>
      </c>
      <c r="N148" s="14">
        <f t="shared" si="247"/>
        <v>8</v>
      </c>
      <c r="O148" s="14">
        <f t="shared" si="247"/>
        <v>21</v>
      </c>
      <c r="P148" s="14">
        <f t="shared" si="247"/>
        <v>23</v>
      </c>
      <c r="Q148" s="14">
        <f t="shared" si="247"/>
        <v>20</v>
      </c>
      <c r="R148" s="14">
        <f t="shared" si="247"/>
        <v>20</v>
      </c>
      <c r="S148" s="14">
        <f t="shared" si="247"/>
        <v>19</v>
      </c>
      <c r="T148" s="16">
        <v>28.0</v>
      </c>
      <c r="U148" s="16">
        <v>31.0</v>
      </c>
      <c r="V148" s="16">
        <v>46.0</v>
      </c>
      <c r="W148" s="15">
        <v>48.0</v>
      </c>
      <c r="X148" s="15">
        <v>83.0</v>
      </c>
      <c r="Y148" s="17">
        <v>89.0</v>
      </c>
      <c r="Z148" s="15">
        <v>102.0</v>
      </c>
      <c r="AA148" s="15">
        <v>78.57142857142857</v>
      </c>
      <c r="AB148" s="15">
        <v>74.19354838709677</v>
      </c>
      <c r="AC148" s="15">
        <v>54.347826086956516</v>
      </c>
      <c r="AD148" s="16">
        <v>52.083333333333336</v>
      </c>
      <c r="AE148" s="16">
        <v>75.90361445783132</v>
      </c>
      <c r="AF148" s="16">
        <v>77.52808988764045</v>
      </c>
      <c r="AG148" s="16">
        <v>81.37254901960785</v>
      </c>
      <c r="AH148" s="16">
        <f t="shared" si="11"/>
        <v>60.20823594</v>
      </c>
      <c r="AI148" s="18">
        <f t="shared" si="12"/>
        <v>78.26808446</v>
      </c>
      <c r="AJ148" s="14">
        <f t="shared" si="13"/>
        <v>24.33333333</v>
      </c>
      <c r="AK148" s="14">
        <f t="shared" si="14"/>
        <v>71.66666667</v>
      </c>
      <c r="AL148" s="14">
        <f t="shared" si="15"/>
        <v>17.33333333</v>
      </c>
      <c r="AM148" s="14">
        <f t="shared" si="16"/>
        <v>19.66666667</v>
      </c>
    </row>
    <row r="149" ht="14.25" customHeight="1">
      <c r="A149" s="1" t="s">
        <v>47</v>
      </c>
      <c r="B149" s="1" t="s">
        <v>252</v>
      </c>
      <c r="C149" s="1" t="s">
        <v>254</v>
      </c>
      <c r="D149" s="1" t="s">
        <v>254</v>
      </c>
      <c r="E149" s="14">
        <v>31202.0</v>
      </c>
      <c r="F149" s="15">
        <v>19.0</v>
      </c>
      <c r="G149" s="15">
        <v>21.0</v>
      </c>
      <c r="H149" s="15">
        <v>26.0</v>
      </c>
      <c r="I149" s="15">
        <v>27.0</v>
      </c>
      <c r="J149" s="15">
        <v>61.0</v>
      </c>
      <c r="K149" s="15">
        <v>70.0</v>
      </c>
      <c r="L149" s="16">
        <v>77.0</v>
      </c>
      <c r="M149" s="14">
        <f t="shared" ref="M149:S149" si="248">IF(AND(ISBLANK(F149), NOT(ISBLANK(T149))), T149, IF(OR(ISBLANK(T149), ISBLANK(F149)), "", T149-F149))</f>
        <v>11</v>
      </c>
      <c r="N149" s="14">
        <f t="shared" si="248"/>
        <v>12</v>
      </c>
      <c r="O149" s="14">
        <f t="shared" si="248"/>
        <v>21</v>
      </c>
      <c r="P149" s="14">
        <f t="shared" si="248"/>
        <v>20</v>
      </c>
      <c r="Q149" s="14">
        <f t="shared" si="248"/>
        <v>24</v>
      </c>
      <c r="R149" s="14">
        <f t="shared" si="248"/>
        <v>22</v>
      </c>
      <c r="S149" s="14">
        <f t="shared" si="248"/>
        <v>25</v>
      </c>
      <c r="T149" s="16">
        <v>30.0</v>
      </c>
      <c r="U149" s="16">
        <v>33.0</v>
      </c>
      <c r="V149" s="16">
        <v>47.0</v>
      </c>
      <c r="W149" s="15">
        <v>47.0</v>
      </c>
      <c r="X149" s="15">
        <v>85.0</v>
      </c>
      <c r="Y149" s="17">
        <v>92.0</v>
      </c>
      <c r="Z149" s="15">
        <v>102.0</v>
      </c>
      <c r="AA149" s="15">
        <v>63.33333333333333</v>
      </c>
      <c r="AB149" s="15">
        <v>63.63636363636363</v>
      </c>
      <c r="AC149" s="15">
        <v>55.319148936170215</v>
      </c>
      <c r="AD149" s="16">
        <v>57.446808510638306</v>
      </c>
      <c r="AE149" s="16">
        <v>71.76470588235294</v>
      </c>
      <c r="AF149" s="16">
        <v>76.08695652173914</v>
      </c>
      <c r="AG149" s="16">
        <v>75.49019607843137</v>
      </c>
      <c r="AH149" s="16">
        <f t="shared" si="11"/>
        <v>58.80077369</v>
      </c>
      <c r="AI149" s="18">
        <f t="shared" si="12"/>
        <v>74.44728616</v>
      </c>
      <c r="AJ149" s="14">
        <f t="shared" si="13"/>
        <v>24.66666667</v>
      </c>
      <c r="AK149" s="14">
        <f t="shared" si="14"/>
        <v>69.33333333</v>
      </c>
      <c r="AL149" s="14">
        <f t="shared" si="15"/>
        <v>17.66666667</v>
      </c>
      <c r="AM149" s="14">
        <f t="shared" si="16"/>
        <v>23.66666667</v>
      </c>
    </row>
    <row r="150" ht="14.25" customHeight="1">
      <c r="A150" s="1" t="s">
        <v>47</v>
      </c>
      <c r="B150" s="1" t="s">
        <v>252</v>
      </c>
      <c r="C150" s="1" t="s">
        <v>255</v>
      </c>
      <c r="D150" s="1" t="s">
        <v>255</v>
      </c>
      <c r="E150" s="14">
        <v>31203.0</v>
      </c>
      <c r="F150" s="15">
        <v>18.0</v>
      </c>
      <c r="G150" s="15">
        <v>19.0</v>
      </c>
      <c r="H150" s="15">
        <v>32.0</v>
      </c>
      <c r="I150" s="15">
        <v>38.0</v>
      </c>
      <c r="J150" s="15">
        <v>59.0</v>
      </c>
      <c r="K150" s="15">
        <v>64.0</v>
      </c>
      <c r="L150" s="16">
        <v>62.0</v>
      </c>
      <c r="M150" s="14">
        <f t="shared" ref="M150:S150" si="249">IF(AND(ISBLANK(F150), NOT(ISBLANK(T150))), T150, IF(OR(ISBLANK(T150), ISBLANK(F150)), "", T150-F150))</f>
        <v>4</v>
      </c>
      <c r="N150" s="14">
        <f t="shared" si="249"/>
        <v>7</v>
      </c>
      <c r="O150" s="14">
        <f t="shared" si="249"/>
        <v>23</v>
      </c>
      <c r="P150" s="14">
        <f t="shared" si="249"/>
        <v>22</v>
      </c>
      <c r="Q150" s="14">
        <f t="shared" si="249"/>
        <v>16</v>
      </c>
      <c r="R150" s="14">
        <f t="shared" si="249"/>
        <v>16</v>
      </c>
      <c r="S150" s="14">
        <f t="shared" si="249"/>
        <v>19</v>
      </c>
      <c r="T150" s="16">
        <v>22.0</v>
      </c>
      <c r="U150" s="16">
        <v>26.0</v>
      </c>
      <c r="V150" s="16">
        <v>55.0</v>
      </c>
      <c r="W150" s="15">
        <v>60.0</v>
      </c>
      <c r="X150" s="15">
        <v>75.0</v>
      </c>
      <c r="Y150" s="17">
        <v>80.0</v>
      </c>
      <c r="Z150" s="15">
        <v>81.0</v>
      </c>
      <c r="AA150" s="15">
        <v>81.81818181818183</v>
      </c>
      <c r="AB150" s="15">
        <v>73.07692307692307</v>
      </c>
      <c r="AC150" s="15">
        <v>58.18181818181818</v>
      </c>
      <c r="AD150" s="16">
        <v>63.33333333333333</v>
      </c>
      <c r="AE150" s="16">
        <v>78.66666666666666</v>
      </c>
      <c r="AF150" s="16">
        <v>80.0</v>
      </c>
      <c r="AG150" s="16">
        <v>76.5432098765432</v>
      </c>
      <c r="AH150" s="16">
        <f t="shared" si="11"/>
        <v>64.86402486</v>
      </c>
      <c r="AI150" s="18">
        <f t="shared" si="12"/>
        <v>78.40329218</v>
      </c>
      <c r="AJ150" s="14">
        <f t="shared" si="13"/>
        <v>29.66666667</v>
      </c>
      <c r="AK150" s="14">
        <f t="shared" si="14"/>
        <v>61.66666667</v>
      </c>
      <c r="AL150" s="14">
        <f t="shared" si="15"/>
        <v>17.33333333</v>
      </c>
      <c r="AM150" s="14">
        <f t="shared" si="16"/>
        <v>17</v>
      </c>
    </row>
    <row r="151" ht="14.25" customHeight="1">
      <c r="A151" s="1" t="s">
        <v>47</v>
      </c>
      <c r="B151" s="1" t="s">
        <v>252</v>
      </c>
      <c r="C151" s="1" t="s">
        <v>256</v>
      </c>
      <c r="D151" s="1" t="s">
        <v>256</v>
      </c>
      <c r="E151" s="14">
        <v>31204.0</v>
      </c>
      <c r="F151" s="15">
        <v>49.0</v>
      </c>
      <c r="G151" s="15">
        <v>62.0</v>
      </c>
      <c r="H151" s="15">
        <v>71.0</v>
      </c>
      <c r="I151" s="15">
        <v>88.0</v>
      </c>
      <c r="J151" s="15">
        <v>165.0</v>
      </c>
      <c r="K151" s="15">
        <v>165.0</v>
      </c>
      <c r="L151" s="16">
        <v>167.0</v>
      </c>
      <c r="M151" s="14">
        <f t="shared" ref="M151:S151" si="250">IF(AND(ISBLANK(F151), NOT(ISBLANK(T151))), T151, IF(OR(ISBLANK(T151), ISBLANK(F151)), "", T151-F151))</f>
        <v>10</v>
      </c>
      <c r="N151" s="14">
        <f t="shared" si="250"/>
        <v>11</v>
      </c>
      <c r="O151" s="14">
        <f t="shared" si="250"/>
        <v>25</v>
      </c>
      <c r="P151" s="14">
        <f t="shared" si="250"/>
        <v>35</v>
      </c>
      <c r="Q151" s="14">
        <f t="shared" si="250"/>
        <v>48</v>
      </c>
      <c r="R151" s="14">
        <f t="shared" si="250"/>
        <v>52</v>
      </c>
      <c r="S151" s="14">
        <f t="shared" si="250"/>
        <v>54</v>
      </c>
      <c r="T151" s="16">
        <v>59.0</v>
      </c>
      <c r="U151" s="16">
        <v>73.0</v>
      </c>
      <c r="V151" s="16">
        <v>96.0</v>
      </c>
      <c r="W151" s="15">
        <v>123.0</v>
      </c>
      <c r="X151" s="15">
        <v>213.0</v>
      </c>
      <c r="Y151" s="17">
        <v>217.0</v>
      </c>
      <c r="Z151" s="15">
        <v>221.0</v>
      </c>
      <c r="AA151" s="15">
        <v>83.05084745762711</v>
      </c>
      <c r="AB151" s="15">
        <v>84.93150684931507</v>
      </c>
      <c r="AC151" s="15">
        <v>73.95833333333334</v>
      </c>
      <c r="AD151" s="16">
        <v>71.54471544715447</v>
      </c>
      <c r="AE151" s="16">
        <v>77.46478873239437</v>
      </c>
      <c r="AF151" s="16">
        <v>76.036866359447</v>
      </c>
      <c r="AG151" s="16">
        <v>75.56561085972851</v>
      </c>
      <c r="AH151" s="16">
        <f t="shared" si="11"/>
        <v>76.81151854</v>
      </c>
      <c r="AI151" s="18">
        <f t="shared" si="12"/>
        <v>76.35575532</v>
      </c>
      <c r="AJ151" s="14">
        <f t="shared" si="13"/>
        <v>73.66666667</v>
      </c>
      <c r="AK151" s="14">
        <f t="shared" si="14"/>
        <v>165.6666667</v>
      </c>
      <c r="AL151" s="14">
        <f t="shared" si="15"/>
        <v>23.66666667</v>
      </c>
      <c r="AM151" s="14">
        <f t="shared" si="16"/>
        <v>51.33333333</v>
      </c>
    </row>
    <row r="152" ht="14.25" customHeight="1">
      <c r="A152" s="1" t="s">
        <v>47</v>
      </c>
      <c r="B152" s="1" t="s">
        <v>252</v>
      </c>
      <c r="C152" s="1" t="s">
        <v>257</v>
      </c>
      <c r="D152" s="1" t="s">
        <v>257</v>
      </c>
      <c r="E152" s="14">
        <v>31205.0</v>
      </c>
      <c r="F152" s="15">
        <v>116.0</v>
      </c>
      <c r="G152" s="15">
        <v>153.0</v>
      </c>
      <c r="H152" s="15">
        <v>184.0</v>
      </c>
      <c r="I152" s="15">
        <v>202.0</v>
      </c>
      <c r="J152" s="15">
        <v>352.0</v>
      </c>
      <c r="K152" s="15">
        <v>367.0</v>
      </c>
      <c r="L152" s="16">
        <v>380.0</v>
      </c>
      <c r="M152" s="14">
        <f t="shared" ref="M152:S152" si="251">IF(AND(ISBLANK(F152), NOT(ISBLANK(T152))), T152, IF(OR(ISBLANK(T152), ISBLANK(F152)), "", T152-F152))</f>
        <v>50</v>
      </c>
      <c r="N152" s="14">
        <f t="shared" si="251"/>
        <v>51</v>
      </c>
      <c r="O152" s="14">
        <f t="shared" si="251"/>
        <v>95</v>
      </c>
      <c r="P152" s="14">
        <f t="shared" si="251"/>
        <v>102</v>
      </c>
      <c r="Q152" s="14">
        <f t="shared" si="251"/>
        <v>84</v>
      </c>
      <c r="R152" s="14">
        <f t="shared" si="251"/>
        <v>92</v>
      </c>
      <c r="S152" s="14">
        <f t="shared" si="251"/>
        <v>98</v>
      </c>
      <c r="T152" s="16">
        <v>166.0</v>
      </c>
      <c r="U152" s="16">
        <v>204.0</v>
      </c>
      <c r="V152" s="16">
        <v>279.0</v>
      </c>
      <c r="W152" s="15">
        <v>304.0</v>
      </c>
      <c r="X152" s="15">
        <v>436.0</v>
      </c>
      <c r="Y152" s="17">
        <v>459.0</v>
      </c>
      <c r="Z152" s="15">
        <v>478.0</v>
      </c>
      <c r="AA152" s="15">
        <v>69.87951807228916</v>
      </c>
      <c r="AB152" s="15">
        <v>75.0</v>
      </c>
      <c r="AC152" s="15">
        <v>65.94982078853047</v>
      </c>
      <c r="AD152" s="16">
        <v>66.44736842105263</v>
      </c>
      <c r="AE152" s="16">
        <v>80.73394495412845</v>
      </c>
      <c r="AF152" s="16">
        <v>79.95642701525054</v>
      </c>
      <c r="AG152" s="16">
        <v>79.49790794979079</v>
      </c>
      <c r="AH152" s="16">
        <f t="shared" si="11"/>
        <v>69.1323964</v>
      </c>
      <c r="AI152" s="18">
        <f t="shared" si="12"/>
        <v>80.06275997</v>
      </c>
      <c r="AJ152" s="14">
        <f t="shared" si="13"/>
        <v>179.6666667</v>
      </c>
      <c r="AK152" s="14">
        <f t="shared" si="14"/>
        <v>366.3333333</v>
      </c>
      <c r="AL152" s="14">
        <f t="shared" si="15"/>
        <v>82.66666667</v>
      </c>
      <c r="AM152" s="14">
        <f t="shared" si="16"/>
        <v>91.33333333</v>
      </c>
    </row>
    <row r="153" ht="14.25" customHeight="1">
      <c r="A153" s="1" t="s">
        <v>47</v>
      </c>
      <c r="B153" s="1" t="s">
        <v>252</v>
      </c>
      <c r="C153" s="1" t="s">
        <v>258</v>
      </c>
      <c r="D153" s="1" t="s">
        <v>258</v>
      </c>
      <c r="E153" s="14">
        <v>31206.0</v>
      </c>
      <c r="F153" s="15">
        <v>69.0</v>
      </c>
      <c r="G153" s="15">
        <v>78.0</v>
      </c>
      <c r="H153" s="15">
        <v>100.0</v>
      </c>
      <c r="I153" s="15">
        <v>111.0</v>
      </c>
      <c r="J153" s="15">
        <v>230.0</v>
      </c>
      <c r="K153" s="15">
        <v>232.0</v>
      </c>
      <c r="L153" s="16">
        <v>237.0</v>
      </c>
      <c r="M153" s="14">
        <f t="shared" ref="M153:S153" si="252">IF(AND(ISBLANK(F153), NOT(ISBLANK(T153))), T153, IF(OR(ISBLANK(T153), ISBLANK(F153)), "", T153-F153))</f>
        <v>15</v>
      </c>
      <c r="N153" s="14">
        <f t="shared" si="252"/>
        <v>18</v>
      </c>
      <c r="O153" s="14">
        <f t="shared" si="252"/>
        <v>52</v>
      </c>
      <c r="P153" s="14">
        <f t="shared" si="252"/>
        <v>53</v>
      </c>
      <c r="Q153" s="14">
        <f t="shared" si="252"/>
        <v>61</v>
      </c>
      <c r="R153" s="14">
        <f t="shared" si="252"/>
        <v>74</v>
      </c>
      <c r="S153" s="14">
        <f t="shared" si="252"/>
        <v>83</v>
      </c>
      <c r="T153" s="16">
        <v>84.0</v>
      </c>
      <c r="U153" s="16">
        <v>96.0</v>
      </c>
      <c r="V153" s="16">
        <v>152.0</v>
      </c>
      <c r="W153" s="15">
        <v>164.0</v>
      </c>
      <c r="X153" s="15">
        <v>291.0</v>
      </c>
      <c r="Y153" s="17">
        <v>306.0</v>
      </c>
      <c r="Z153" s="15">
        <v>320.0</v>
      </c>
      <c r="AA153" s="15">
        <v>82.14285714285714</v>
      </c>
      <c r="AB153" s="15">
        <v>81.25</v>
      </c>
      <c r="AC153" s="15">
        <v>65.78947368421053</v>
      </c>
      <c r="AD153" s="16">
        <v>67.6829268292683</v>
      </c>
      <c r="AE153" s="16">
        <v>79.03780068728523</v>
      </c>
      <c r="AF153" s="16">
        <v>75.81699346405229</v>
      </c>
      <c r="AG153" s="16">
        <v>74.0625</v>
      </c>
      <c r="AH153" s="16">
        <f t="shared" si="11"/>
        <v>71.5741335</v>
      </c>
      <c r="AI153" s="18">
        <f t="shared" si="12"/>
        <v>76.30576472</v>
      </c>
      <c r="AJ153" s="14">
        <f t="shared" si="13"/>
        <v>96.33333333</v>
      </c>
      <c r="AK153" s="14">
        <f t="shared" si="14"/>
        <v>233</v>
      </c>
      <c r="AL153" s="14">
        <f t="shared" si="15"/>
        <v>41</v>
      </c>
      <c r="AM153" s="14">
        <f t="shared" si="16"/>
        <v>72.66666667</v>
      </c>
    </row>
    <row r="154" ht="14.25" customHeight="1">
      <c r="A154" s="1" t="s">
        <v>47</v>
      </c>
      <c r="B154" s="1" t="s">
        <v>259</v>
      </c>
      <c r="C154" s="1" t="s">
        <v>259</v>
      </c>
      <c r="D154" s="1" t="s">
        <v>259</v>
      </c>
      <c r="E154" s="14">
        <v>31301.0</v>
      </c>
      <c r="F154" s="15">
        <v>51.0</v>
      </c>
      <c r="G154" s="15">
        <v>58.0</v>
      </c>
      <c r="H154" s="15">
        <v>75.0</v>
      </c>
      <c r="I154" s="15">
        <v>82.0</v>
      </c>
      <c r="J154" s="15">
        <v>154.0</v>
      </c>
      <c r="K154" s="15">
        <v>158.0</v>
      </c>
      <c r="L154" s="16">
        <v>164.0</v>
      </c>
      <c r="M154" s="14">
        <f t="shared" ref="M154:S154" si="253">IF(AND(ISBLANK(F154), NOT(ISBLANK(T154))), T154, IF(OR(ISBLANK(T154), ISBLANK(F154)), "", T154-F154))</f>
        <v>7</v>
      </c>
      <c r="N154" s="14">
        <f t="shared" si="253"/>
        <v>10</v>
      </c>
      <c r="O154" s="14">
        <f t="shared" si="253"/>
        <v>37</v>
      </c>
      <c r="P154" s="14">
        <f t="shared" si="253"/>
        <v>39</v>
      </c>
      <c r="Q154" s="14">
        <f t="shared" si="253"/>
        <v>42</v>
      </c>
      <c r="R154" s="14">
        <f t="shared" si="253"/>
        <v>41</v>
      </c>
      <c r="S154" s="14">
        <f t="shared" si="253"/>
        <v>42</v>
      </c>
      <c r="T154" s="16">
        <v>58.0</v>
      </c>
      <c r="U154" s="16">
        <v>68.0</v>
      </c>
      <c r="V154" s="16">
        <v>112.0</v>
      </c>
      <c r="W154" s="15">
        <v>121.0</v>
      </c>
      <c r="X154" s="15">
        <v>196.0</v>
      </c>
      <c r="Y154" s="17">
        <v>199.0</v>
      </c>
      <c r="Z154" s="15">
        <v>206.0</v>
      </c>
      <c r="AA154" s="15">
        <v>87.93103448275862</v>
      </c>
      <c r="AB154" s="15">
        <v>85.29411764705883</v>
      </c>
      <c r="AC154" s="15">
        <v>66.96428571428571</v>
      </c>
      <c r="AD154" s="16">
        <v>67.76859504132231</v>
      </c>
      <c r="AE154" s="16">
        <v>78.57142857142857</v>
      </c>
      <c r="AF154" s="16">
        <v>79.39698492462311</v>
      </c>
      <c r="AG154" s="16">
        <v>79.6116504854369</v>
      </c>
      <c r="AH154" s="16">
        <f t="shared" si="11"/>
        <v>73.3423328</v>
      </c>
      <c r="AI154" s="18">
        <f t="shared" si="12"/>
        <v>79.19335466</v>
      </c>
      <c r="AJ154" s="14">
        <f t="shared" si="13"/>
        <v>71.66666667</v>
      </c>
      <c r="AK154" s="14">
        <f t="shared" si="14"/>
        <v>158.6666667</v>
      </c>
      <c r="AL154" s="14">
        <f t="shared" si="15"/>
        <v>28.66666667</v>
      </c>
      <c r="AM154" s="14">
        <f t="shared" si="16"/>
        <v>41.66666667</v>
      </c>
    </row>
    <row r="155" ht="14.25" customHeight="1">
      <c r="A155" s="1" t="s">
        <v>47</v>
      </c>
      <c r="B155" s="1" t="s">
        <v>259</v>
      </c>
      <c r="C155" s="1" t="s">
        <v>260</v>
      </c>
      <c r="D155" s="1" t="s">
        <v>260</v>
      </c>
      <c r="E155" s="14">
        <v>31302.0</v>
      </c>
      <c r="F155" s="15">
        <v>9.0</v>
      </c>
      <c r="G155" s="15">
        <v>8.0</v>
      </c>
      <c r="H155" s="15">
        <v>10.0</v>
      </c>
      <c r="I155" s="15">
        <v>11.0</v>
      </c>
      <c r="J155" s="15">
        <v>21.0</v>
      </c>
      <c r="K155" s="15">
        <v>22.0</v>
      </c>
      <c r="L155" s="16">
        <v>22.0</v>
      </c>
      <c r="M155" s="14">
        <f t="shared" ref="M155:S155" si="254">IF(AND(ISBLANK(F155), NOT(ISBLANK(T155))), T155, IF(OR(ISBLANK(T155), ISBLANK(F155)), "", T155-F155))</f>
        <v>1</v>
      </c>
      <c r="N155" s="14">
        <f t="shared" si="254"/>
        <v>2</v>
      </c>
      <c r="O155" s="14">
        <f t="shared" si="254"/>
        <v>4</v>
      </c>
      <c r="P155" s="14">
        <f t="shared" si="254"/>
        <v>3</v>
      </c>
      <c r="Q155" s="14">
        <f t="shared" si="254"/>
        <v>6</v>
      </c>
      <c r="R155" s="14">
        <f t="shared" si="254"/>
        <v>6</v>
      </c>
      <c r="S155" s="14">
        <f t="shared" si="254"/>
        <v>6</v>
      </c>
      <c r="T155" s="16">
        <v>10.0</v>
      </c>
      <c r="U155" s="16">
        <v>10.0</v>
      </c>
      <c r="V155" s="16">
        <v>14.0</v>
      </c>
      <c r="W155" s="15">
        <v>14.0</v>
      </c>
      <c r="X155" s="15">
        <v>27.0</v>
      </c>
      <c r="Y155" s="17">
        <v>28.0</v>
      </c>
      <c r="Z155" s="15">
        <v>28.0</v>
      </c>
      <c r="AA155" s="15">
        <v>90.0</v>
      </c>
      <c r="AB155" s="15">
        <v>80.0</v>
      </c>
      <c r="AC155" s="15">
        <v>71.42857142857143</v>
      </c>
      <c r="AD155" s="16">
        <v>78.57142857142857</v>
      </c>
      <c r="AE155" s="16">
        <v>77.77777777777779</v>
      </c>
      <c r="AF155" s="16">
        <v>78.57142857142857</v>
      </c>
      <c r="AG155" s="16">
        <v>78.57142857142857</v>
      </c>
      <c r="AH155" s="16">
        <f t="shared" si="11"/>
        <v>76.66666667</v>
      </c>
      <c r="AI155" s="18">
        <f t="shared" si="12"/>
        <v>78.30687831</v>
      </c>
      <c r="AJ155" s="14">
        <f t="shared" si="13"/>
        <v>9.666666667</v>
      </c>
      <c r="AK155" s="14">
        <f t="shared" si="14"/>
        <v>21.66666667</v>
      </c>
      <c r="AL155" s="14">
        <f t="shared" si="15"/>
        <v>3</v>
      </c>
      <c r="AM155" s="14">
        <f t="shared" si="16"/>
        <v>6</v>
      </c>
    </row>
    <row r="156" ht="14.25" customHeight="1">
      <c r="A156" s="1" t="s">
        <v>47</v>
      </c>
      <c r="B156" s="1" t="s">
        <v>259</v>
      </c>
      <c r="C156" s="1" t="s">
        <v>261</v>
      </c>
      <c r="D156" s="1" t="s">
        <v>261</v>
      </c>
      <c r="E156" s="14">
        <v>31303.0</v>
      </c>
      <c r="F156" s="15">
        <v>4.0</v>
      </c>
      <c r="G156" s="15">
        <v>4.0</v>
      </c>
      <c r="H156" s="15">
        <v>5.0</v>
      </c>
      <c r="I156" s="15">
        <v>5.0</v>
      </c>
      <c r="J156" s="15">
        <v>7.0</v>
      </c>
      <c r="K156" s="15">
        <v>7.0</v>
      </c>
      <c r="L156" s="16">
        <v>7.0</v>
      </c>
      <c r="M156" s="14">
        <f t="shared" ref="M156:S156" si="255">IF(AND(ISBLANK(F156), NOT(ISBLANK(T156))), T156, IF(OR(ISBLANK(T156), ISBLANK(F156)), "", T156-F156))</f>
        <v>1</v>
      </c>
      <c r="N156" s="14">
        <f t="shared" si="255"/>
        <v>1</v>
      </c>
      <c r="O156" s="14">
        <f t="shared" si="255"/>
        <v>4</v>
      </c>
      <c r="P156" s="14">
        <f t="shared" si="255"/>
        <v>4</v>
      </c>
      <c r="Q156" s="14">
        <f t="shared" si="255"/>
        <v>2</v>
      </c>
      <c r="R156" s="14">
        <f t="shared" si="255"/>
        <v>4</v>
      </c>
      <c r="S156" s="14">
        <f t="shared" si="255"/>
        <v>4</v>
      </c>
      <c r="T156" s="16">
        <v>5.0</v>
      </c>
      <c r="U156" s="16">
        <v>5.0</v>
      </c>
      <c r="V156" s="16">
        <v>9.0</v>
      </c>
      <c r="W156" s="15">
        <v>9.0</v>
      </c>
      <c r="X156" s="15">
        <v>9.0</v>
      </c>
      <c r="Y156" s="17">
        <v>11.0</v>
      </c>
      <c r="Z156" s="15">
        <v>11.0</v>
      </c>
      <c r="AA156" s="15">
        <v>80.0</v>
      </c>
      <c r="AB156" s="15">
        <v>80.0</v>
      </c>
      <c r="AC156" s="15">
        <v>55.55555555555556</v>
      </c>
      <c r="AD156" s="16">
        <v>55.55555555555556</v>
      </c>
      <c r="AE156" s="16">
        <v>77.77777777777779</v>
      </c>
      <c r="AF156" s="16">
        <v>63.63636363636363</v>
      </c>
      <c r="AG156" s="16">
        <v>63.63636363636363</v>
      </c>
      <c r="AH156" s="16">
        <f t="shared" si="11"/>
        <v>63.7037037</v>
      </c>
      <c r="AI156" s="18">
        <f t="shared" si="12"/>
        <v>68.35016835</v>
      </c>
      <c r="AJ156" s="14">
        <f t="shared" si="13"/>
        <v>4.666666667</v>
      </c>
      <c r="AK156" s="14">
        <f t="shared" si="14"/>
        <v>7</v>
      </c>
      <c r="AL156" s="14">
        <f t="shared" si="15"/>
        <v>3</v>
      </c>
      <c r="AM156" s="14">
        <f t="shared" si="16"/>
        <v>3.333333333</v>
      </c>
    </row>
    <row r="157" ht="14.25" customHeight="1">
      <c r="A157" s="1" t="s">
        <v>47</v>
      </c>
      <c r="B157" s="1" t="s">
        <v>259</v>
      </c>
      <c r="C157" s="1" t="s">
        <v>262</v>
      </c>
      <c r="D157" s="1" t="s">
        <v>263</v>
      </c>
      <c r="E157" s="14">
        <v>31304.0</v>
      </c>
      <c r="F157" s="15">
        <v>69.0</v>
      </c>
      <c r="G157" s="15">
        <v>78.0</v>
      </c>
      <c r="H157" s="15">
        <v>100.0</v>
      </c>
      <c r="I157" s="15">
        <v>111.0</v>
      </c>
      <c r="J157" s="15">
        <v>230.0</v>
      </c>
      <c r="K157" s="15">
        <v>232.0</v>
      </c>
      <c r="L157" s="16">
        <v>237.0</v>
      </c>
      <c r="M157" s="14">
        <f t="shared" ref="M157:S157" si="256">IF(AND(ISBLANK(F157), NOT(ISBLANK(T157))), T157, IF(OR(ISBLANK(T157), ISBLANK(F157)), "", T157-F157))</f>
        <v>15</v>
      </c>
      <c r="N157" s="14">
        <f t="shared" si="256"/>
        <v>18</v>
      </c>
      <c r="O157" s="14">
        <f t="shared" si="256"/>
        <v>52</v>
      </c>
      <c r="P157" s="14">
        <f t="shared" si="256"/>
        <v>53</v>
      </c>
      <c r="Q157" s="14">
        <f t="shared" si="256"/>
        <v>61</v>
      </c>
      <c r="R157" s="14">
        <f t="shared" si="256"/>
        <v>74</v>
      </c>
      <c r="S157" s="14">
        <f t="shared" si="256"/>
        <v>83</v>
      </c>
      <c r="T157" s="16">
        <v>84.0</v>
      </c>
      <c r="U157" s="16">
        <v>96.0</v>
      </c>
      <c r="V157" s="16">
        <v>152.0</v>
      </c>
      <c r="W157" s="15">
        <v>164.0</v>
      </c>
      <c r="X157" s="15">
        <v>291.0</v>
      </c>
      <c r="Y157" s="17">
        <v>306.0</v>
      </c>
      <c r="Z157" s="15">
        <v>320.0</v>
      </c>
      <c r="AA157" s="15">
        <v>82.14285714285714</v>
      </c>
      <c r="AB157" s="15">
        <v>81.25</v>
      </c>
      <c r="AC157" s="15">
        <v>65.78947368421053</v>
      </c>
      <c r="AD157" s="16">
        <v>67.6829268292683</v>
      </c>
      <c r="AE157" s="16">
        <v>79.03780068728523</v>
      </c>
      <c r="AF157" s="16">
        <v>75.81699346405229</v>
      </c>
      <c r="AG157" s="16">
        <v>74.0625</v>
      </c>
      <c r="AH157" s="16">
        <f t="shared" si="11"/>
        <v>71.5741335</v>
      </c>
      <c r="AI157" s="18">
        <f t="shared" si="12"/>
        <v>76.30576472</v>
      </c>
      <c r="AJ157" s="14">
        <f t="shared" si="13"/>
        <v>96.33333333</v>
      </c>
      <c r="AK157" s="14">
        <f t="shared" si="14"/>
        <v>233</v>
      </c>
      <c r="AL157" s="14">
        <f t="shared" si="15"/>
        <v>41</v>
      </c>
      <c r="AM157" s="14">
        <f t="shared" si="16"/>
        <v>72.66666667</v>
      </c>
    </row>
    <row r="158" ht="14.25" customHeight="1">
      <c r="A158" s="1" t="s">
        <v>47</v>
      </c>
      <c r="B158" s="1" t="s">
        <v>264</v>
      </c>
      <c r="C158" s="1" t="s">
        <v>264</v>
      </c>
      <c r="D158" s="1" t="s">
        <v>265</v>
      </c>
      <c r="E158" s="14">
        <v>31401.0</v>
      </c>
      <c r="F158" s="15">
        <v>107.0</v>
      </c>
      <c r="G158" s="15">
        <v>111.0</v>
      </c>
      <c r="H158" s="15">
        <v>151.0</v>
      </c>
      <c r="I158" s="15">
        <v>165.0</v>
      </c>
      <c r="J158" s="15">
        <v>189.0</v>
      </c>
      <c r="K158" s="15">
        <v>186.0</v>
      </c>
      <c r="L158" s="16">
        <v>191.0</v>
      </c>
      <c r="M158" s="14">
        <f t="shared" ref="M158:S158" si="257">IF(AND(ISBLANK(F158), NOT(ISBLANK(T158))), T158, IF(OR(ISBLANK(T158), ISBLANK(F158)), "", T158-F158))</f>
        <v>24</v>
      </c>
      <c r="N158" s="14">
        <f t="shared" si="257"/>
        <v>22</v>
      </c>
      <c r="O158" s="14">
        <f t="shared" si="257"/>
        <v>42</v>
      </c>
      <c r="P158" s="14">
        <f t="shared" si="257"/>
        <v>43</v>
      </c>
      <c r="Q158" s="14">
        <f t="shared" si="257"/>
        <v>37</v>
      </c>
      <c r="R158" s="14">
        <f t="shared" si="257"/>
        <v>41</v>
      </c>
      <c r="S158" s="14">
        <f t="shared" si="257"/>
        <v>43</v>
      </c>
      <c r="T158" s="16">
        <v>131.0</v>
      </c>
      <c r="U158" s="16">
        <v>133.0</v>
      </c>
      <c r="V158" s="16">
        <v>193.0</v>
      </c>
      <c r="W158" s="15">
        <v>208.0</v>
      </c>
      <c r="X158" s="15">
        <v>226.0</v>
      </c>
      <c r="Y158" s="17">
        <v>227.0</v>
      </c>
      <c r="Z158" s="15">
        <v>234.0</v>
      </c>
      <c r="AA158" s="15">
        <v>81.67938931297711</v>
      </c>
      <c r="AB158" s="15">
        <v>83.45864661654136</v>
      </c>
      <c r="AC158" s="15">
        <v>78.23834196891191</v>
      </c>
      <c r="AD158" s="16">
        <v>79.32692307692307</v>
      </c>
      <c r="AE158" s="16">
        <v>83.6283185840708</v>
      </c>
      <c r="AF158" s="16">
        <v>81.93832599118943</v>
      </c>
      <c r="AG158" s="16">
        <v>81.62393162393163</v>
      </c>
      <c r="AH158" s="16">
        <f t="shared" si="11"/>
        <v>80.34130389</v>
      </c>
      <c r="AI158" s="18">
        <f t="shared" si="12"/>
        <v>82.39685873</v>
      </c>
      <c r="AJ158" s="14">
        <f t="shared" si="13"/>
        <v>142.3333333</v>
      </c>
      <c r="AK158" s="14">
        <f t="shared" si="14"/>
        <v>188.6666667</v>
      </c>
      <c r="AL158" s="14">
        <f t="shared" si="15"/>
        <v>35.66666667</v>
      </c>
      <c r="AM158" s="14">
        <f t="shared" si="16"/>
        <v>40.33333333</v>
      </c>
    </row>
    <row r="159" ht="14.25" customHeight="1">
      <c r="A159" s="1" t="s">
        <v>47</v>
      </c>
      <c r="B159" s="1" t="s">
        <v>264</v>
      </c>
      <c r="C159" s="1" t="s">
        <v>266</v>
      </c>
      <c r="D159" s="1" t="s">
        <v>266</v>
      </c>
      <c r="E159" s="14">
        <v>31402.0</v>
      </c>
      <c r="F159" s="15">
        <v>32.0</v>
      </c>
      <c r="G159" s="15">
        <v>34.0</v>
      </c>
      <c r="H159" s="15">
        <v>37.0</v>
      </c>
      <c r="I159" s="15">
        <v>39.0</v>
      </c>
      <c r="J159" s="15">
        <v>42.0</v>
      </c>
      <c r="K159" s="15">
        <v>46.0</v>
      </c>
      <c r="L159" s="16">
        <v>46.0</v>
      </c>
      <c r="M159" s="14">
        <f t="shared" ref="M159:S159" si="258">IF(AND(ISBLANK(F159), NOT(ISBLANK(T159))), T159, IF(OR(ISBLANK(T159), ISBLANK(F159)), "", T159-F159))</f>
        <v>12</v>
      </c>
      <c r="N159" s="14">
        <f t="shared" si="258"/>
        <v>13</v>
      </c>
      <c r="O159" s="14">
        <f t="shared" si="258"/>
        <v>18</v>
      </c>
      <c r="P159" s="14">
        <f t="shared" si="258"/>
        <v>17</v>
      </c>
      <c r="Q159" s="14">
        <f t="shared" si="258"/>
        <v>17</v>
      </c>
      <c r="R159" s="14">
        <f t="shared" si="258"/>
        <v>18</v>
      </c>
      <c r="S159" s="14">
        <f t="shared" si="258"/>
        <v>17</v>
      </c>
      <c r="T159" s="16">
        <v>44.0</v>
      </c>
      <c r="U159" s="16">
        <v>47.0</v>
      </c>
      <c r="V159" s="16">
        <v>55.0</v>
      </c>
      <c r="W159" s="15">
        <v>56.0</v>
      </c>
      <c r="X159" s="15">
        <v>59.0</v>
      </c>
      <c r="Y159" s="17">
        <v>64.0</v>
      </c>
      <c r="Z159" s="15">
        <v>63.0</v>
      </c>
      <c r="AA159" s="15">
        <v>72.72727272727273</v>
      </c>
      <c r="AB159" s="15">
        <v>72.3404255319149</v>
      </c>
      <c r="AC159" s="15">
        <v>67.27272727272727</v>
      </c>
      <c r="AD159" s="16">
        <v>69.64285714285714</v>
      </c>
      <c r="AE159" s="16">
        <v>71.1864406779661</v>
      </c>
      <c r="AF159" s="16">
        <v>71.875</v>
      </c>
      <c r="AG159" s="16">
        <v>73.01587301587301</v>
      </c>
      <c r="AH159" s="16">
        <f t="shared" si="11"/>
        <v>69.75200332</v>
      </c>
      <c r="AI159" s="18">
        <f t="shared" si="12"/>
        <v>72.02577123</v>
      </c>
      <c r="AJ159" s="14">
        <f t="shared" si="13"/>
        <v>36.66666667</v>
      </c>
      <c r="AK159" s="14">
        <f t="shared" si="14"/>
        <v>44.66666667</v>
      </c>
      <c r="AL159" s="14">
        <f t="shared" si="15"/>
        <v>16</v>
      </c>
      <c r="AM159" s="14">
        <f t="shared" si="16"/>
        <v>17.33333333</v>
      </c>
    </row>
    <row r="160" ht="14.25" customHeight="1">
      <c r="A160" s="1" t="s">
        <v>47</v>
      </c>
      <c r="B160" s="1" t="s">
        <v>264</v>
      </c>
      <c r="C160" s="1" t="s">
        <v>267</v>
      </c>
      <c r="D160" s="1" t="s">
        <v>268</v>
      </c>
      <c r="E160" s="14">
        <v>31403.0</v>
      </c>
      <c r="F160" s="15">
        <v>50.0</v>
      </c>
      <c r="G160" s="15">
        <v>51.0</v>
      </c>
      <c r="H160" s="15">
        <v>67.0</v>
      </c>
      <c r="I160" s="15">
        <v>73.0</v>
      </c>
      <c r="J160" s="15">
        <v>75.0</v>
      </c>
      <c r="K160" s="15">
        <v>74.0</v>
      </c>
      <c r="L160" s="16">
        <v>72.0</v>
      </c>
      <c r="M160" s="14">
        <f t="shared" ref="M160:S160" si="259">IF(AND(ISBLANK(F160), NOT(ISBLANK(T160))), T160, IF(OR(ISBLANK(T160), ISBLANK(F160)), "", T160-F160))</f>
        <v>12</v>
      </c>
      <c r="N160" s="14">
        <f t="shared" si="259"/>
        <v>11</v>
      </c>
      <c r="O160" s="14">
        <f t="shared" si="259"/>
        <v>21</v>
      </c>
      <c r="P160" s="14">
        <f t="shared" si="259"/>
        <v>22</v>
      </c>
      <c r="Q160" s="14">
        <f t="shared" si="259"/>
        <v>24</v>
      </c>
      <c r="R160" s="14">
        <f t="shared" si="259"/>
        <v>24</v>
      </c>
      <c r="S160" s="14">
        <f t="shared" si="259"/>
        <v>32</v>
      </c>
      <c r="T160" s="16">
        <v>62.0</v>
      </c>
      <c r="U160" s="16">
        <v>62.0</v>
      </c>
      <c r="V160" s="16">
        <v>88.0</v>
      </c>
      <c r="W160" s="15">
        <v>95.0</v>
      </c>
      <c r="X160" s="15">
        <v>99.0</v>
      </c>
      <c r="Y160" s="17">
        <v>98.0</v>
      </c>
      <c r="Z160" s="15">
        <v>104.0</v>
      </c>
      <c r="AA160" s="15">
        <v>80.64516129032258</v>
      </c>
      <c r="AB160" s="15">
        <v>82.25806451612904</v>
      </c>
      <c r="AC160" s="15">
        <v>76.13636363636364</v>
      </c>
      <c r="AD160" s="16">
        <v>76.84210526315789</v>
      </c>
      <c r="AE160" s="16">
        <v>75.75757575757575</v>
      </c>
      <c r="AF160" s="16">
        <v>75.51020408163265</v>
      </c>
      <c r="AG160" s="16">
        <v>69.23076923076923</v>
      </c>
      <c r="AH160" s="16">
        <f t="shared" si="11"/>
        <v>78.41217781</v>
      </c>
      <c r="AI160" s="18">
        <f t="shared" si="12"/>
        <v>73.49951636</v>
      </c>
      <c r="AJ160" s="14">
        <f t="shared" si="13"/>
        <v>63.66666667</v>
      </c>
      <c r="AK160" s="14">
        <f t="shared" si="14"/>
        <v>73.66666667</v>
      </c>
      <c r="AL160" s="14">
        <f t="shared" si="15"/>
        <v>18</v>
      </c>
      <c r="AM160" s="14">
        <f t="shared" si="16"/>
        <v>26.66666667</v>
      </c>
    </row>
    <row r="161" ht="14.25" customHeight="1">
      <c r="A161" s="1" t="s">
        <v>47</v>
      </c>
      <c r="B161" s="1" t="s">
        <v>264</v>
      </c>
      <c r="C161" s="1" t="s">
        <v>269</v>
      </c>
      <c r="D161" s="1" t="s">
        <v>269</v>
      </c>
      <c r="E161" s="14">
        <v>31404.0</v>
      </c>
      <c r="F161" s="21"/>
      <c r="G161" s="21"/>
      <c r="H161" s="21"/>
      <c r="I161" s="15"/>
      <c r="J161" s="15"/>
      <c r="K161" s="15"/>
      <c r="L161" s="16"/>
      <c r="M161" s="14" t="str">
        <f t="shared" ref="M161:S161" si="260">IF(AND(ISBLANK(F161), NOT(ISBLANK(T161))), T161, IF(OR(ISBLANK(T161), ISBLANK(F161)), "", T161-F161))</f>
        <v/>
      </c>
      <c r="N161" s="14" t="str">
        <f t="shared" si="260"/>
        <v/>
      </c>
      <c r="O161" s="14" t="str">
        <f t="shared" si="260"/>
        <v/>
      </c>
      <c r="P161" s="14" t="str">
        <f t="shared" si="260"/>
        <v/>
      </c>
      <c r="Q161" s="14" t="str">
        <f t="shared" si="260"/>
        <v/>
      </c>
      <c r="R161" s="14" t="str">
        <f t="shared" si="260"/>
        <v/>
      </c>
      <c r="S161" s="14" t="str">
        <f t="shared" si="260"/>
        <v/>
      </c>
      <c r="T161" s="16"/>
      <c r="U161" s="16"/>
      <c r="V161" s="16"/>
      <c r="W161" s="1"/>
      <c r="X161" s="1"/>
      <c r="Y161" s="22"/>
      <c r="Z161" s="1"/>
      <c r="AA161" s="1"/>
      <c r="AB161" s="1"/>
      <c r="AC161" s="1"/>
      <c r="AD161" s="16"/>
      <c r="AE161" s="16"/>
      <c r="AF161" s="16"/>
      <c r="AG161" s="16"/>
      <c r="AH161" s="16"/>
      <c r="AI161" s="18"/>
      <c r="AJ161" s="14"/>
      <c r="AK161" s="14"/>
      <c r="AL161" s="14"/>
      <c r="AM161" s="14"/>
    </row>
    <row r="162" ht="14.25" customHeight="1">
      <c r="A162" s="1" t="s">
        <v>47</v>
      </c>
      <c r="B162" s="1" t="s">
        <v>264</v>
      </c>
      <c r="C162" s="1" t="s">
        <v>270</v>
      </c>
      <c r="D162" s="1" t="s">
        <v>271</v>
      </c>
      <c r="E162" s="14">
        <v>31405.0</v>
      </c>
      <c r="F162" s="15">
        <v>0.0</v>
      </c>
      <c r="G162" s="15">
        <v>0.0</v>
      </c>
      <c r="H162" s="15">
        <v>0.0</v>
      </c>
      <c r="I162" s="15">
        <v>0.0</v>
      </c>
      <c r="J162" s="15">
        <v>0.0</v>
      </c>
      <c r="K162" s="15">
        <v>0.0</v>
      </c>
      <c r="L162" s="16">
        <v>0.0</v>
      </c>
      <c r="M162" s="14">
        <f t="shared" ref="M162:S162" si="261">IF(AND(ISBLANK(F162), NOT(ISBLANK(T162))), T162, IF(OR(ISBLANK(T162), ISBLANK(F162)), "", T162-F162))</f>
        <v>0</v>
      </c>
      <c r="N162" s="14">
        <f t="shared" si="261"/>
        <v>0</v>
      </c>
      <c r="O162" s="14">
        <f t="shared" si="261"/>
        <v>2</v>
      </c>
      <c r="P162" s="14">
        <f t="shared" si="261"/>
        <v>2</v>
      </c>
      <c r="Q162" s="14">
        <f t="shared" si="261"/>
        <v>0</v>
      </c>
      <c r="R162" s="14">
        <f t="shared" si="261"/>
        <v>0</v>
      </c>
      <c r="S162" s="14">
        <f t="shared" si="261"/>
        <v>1</v>
      </c>
      <c r="T162" s="16">
        <v>0.0</v>
      </c>
      <c r="U162" s="16">
        <v>0.0</v>
      </c>
      <c r="V162" s="16">
        <v>2.0</v>
      </c>
      <c r="W162" s="1">
        <v>2.0</v>
      </c>
      <c r="X162" s="1">
        <v>0.0</v>
      </c>
      <c r="Y162" s="22">
        <v>0.0</v>
      </c>
      <c r="Z162" s="1">
        <v>1.0</v>
      </c>
      <c r="AA162" s="1"/>
      <c r="AB162" s="1"/>
      <c r="AC162" s="1"/>
      <c r="AD162" s="16"/>
      <c r="AE162" s="16"/>
      <c r="AF162" s="16"/>
      <c r="AG162" s="16"/>
      <c r="AH162" s="16"/>
      <c r="AI162" s="18"/>
      <c r="AJ162" s="14">
        <f t="shared" ref="AJ162:AJ177" si="263">AVERAGE(G162:I162)</f>
        <v>0</v>
      </c>
      <c r="AK162" s="14">
        <f t="shared" ref="AK162:AK177" si="264">AVERAGE(J162:L162)</f>
        <v>0</v>
      </c>
      <c r="AL162" s="14">
        <f t="shared" ref="AL162:AL177" si="265">AVERAGE(N162:P162)</f>
        <v>1.333333333</v>
      </c>
      <c r="AM162" s="14">
        <f t="shared" ref="AM162:AM177" si="266">AVERAGE(Q162:S162)</f>
        <v>0.3333333333</v>
      </c>
    </row>
    <row r="163" ht="14.25" customHeight="1">
      <c r="A163" s="1" t="s">
        <v>47</v>
      </c>
      <c r="B163" s="1" t="s">
        <v>272</v>
      </c>
      <c r="C163" s="1" t="s">
        <v>272</v>
      </c>
      <c r="D163" s="1" t="s">
        <v>272</v>
      </c>
      <c r="E163" s="14">
        <v>31501.0</v>
      </c>
      <c r="F163" s="15">
        <v>10.0</v>
      </c>
      <c r="G163" s="15">
        <v>9.0</v>
      </c>
      <c r="H163" s="15">
        <v>15.0</v>
      </c>
      <c r="I163" s="15">
        <v>16.0</v>
      </c>
      <c r="J163" s="15">
        <v>24.0</v>
      </c>
      <c r="K163" s="15">
        <v>22.0</v>
      </c>
      <c r="L163" s="16">
        <v>23.0</v>
      </c>
      <c r="M163" s="14">
        <f t="shared" ref="M163:S163" si="262">IF(AND(ISBLANK(F163), NOT(ISBLANK(T163))), T163, IF(OR(ISBLANK(T163), ISBLANK(F163)), "", T163-F163))</f>
        <v>8</v>
      </c>
      <c r="N163" s="14">
        <f t="shared" si="262"/>
        <v>9</v>
      </c>
      <c r="O163" s="14">
        <f t="shared" si="262"/>
        <v>12</v>
      </c>
      <c r="P163" s="14">
        <f t="shared" si="262"/>
        <v>11</v>
      </c>
      <c r="Q163" s="14">
        <f t="shared" si="262"/>
        <v>10</v>
      </c>
      <c r="R163" s="14">
        <f t="shared" si="262"/>
        <v>11</v>
      </c>
      <c r="S163" s="14">
        <f t="shared" si="262"/>
        <v>10</v>
      </c>
      <c r="T163" s="16">
        <v>18.0</v>
      </c>
      <c r="U163" s="16">
        <v>18.0</v>
      </c>
      <c r="V163" s="16">
        <v>27.0</v>
      </c>
      <c r="W163" s="15">
        <v>27.0</v>
      </c>
      <c r="X163" s="15">
        <v>34.0</v>
      </c>
      <c r="Y163" s="17">
        <v>33.0</v>
      </c>
      <c r="Z163" s="15">
        <v>33.0</v>
      </c>
      <c r="AA163" s="15">
        <v>55.55555555555556</v>
      </c>
      <c r="AB163" s="15">
        <v>50.0</v>
      </c>
      <c r="AC163" s="15">
        <v>55.55555555555556</v>
      </c>
      <c r="AD163" s="16">
        <v>59.25925925925925</v>
      </c>
      <c r="AE163" s="16">
        <v>70.58823529411765</v>
      </c>
      <c r="AF163" s="16">
        <v>66.66666666666666</v>
      </c>
      <c r="AG163" s="16">
        <v>69.6969696969697</v>
      </c>
      <c r="AH163" s="16">
        <f t="shared" ref="AH163:AH177" si="268">AVERAGE(AB163:AD163)</f>
        <v>54.9382716</v>
      </c>
      <c r="AI163" s="18">
        <f t="shared" ref="AI163:AI177" si="269">AVERAGE(AE163:AG163)</f>
        <v>68.98395722</v>
      </c>
      <c r="AJ163" s="14">
        <f t="shared" si="263"/>
        <v>13.33333333</v>
      </c>
      <c r="AK163" s="14">
        <f t="shared" si="264"/>
        <v>23</v>
      </c>
      <c r="AL163" s="14">
        <f t="shared" si="265"/>
        <v>10.66666667</v>
      </c>
      <c r="AM163" s="14">
        <f t="shared" si="266"/>
        <v>10.33333333</v>
      </c>
    </row>
    <row r="164" ht="14.25" customHeight="1">
      <c r="A164" s="1" t="s">
        <v>47</v>
      </c>
      <c r="B164" s="1" t="s">
        <v>273</v>
      </c>
      <c r="C164" s="1" t="s">
        <v>273</v>
      </c>
      <c r="D164" s="1" t="s">
        <v>273</v>
      </c>
      <c r="E164" s="14">
        <v>31601.0</v>
      </c>
      <c r="F164" s="15">
        <v>119.0</v>
      </c>
      <c r="G164" s="15">
        <v>135.0</v>
      </c>
      <c r="H164" s="15">
        <v>149.0</v>
      </c>
      <c r="I164" s="15">
        <v>86.0</v>
      </c>
      <c r="J164" s="15">
        <v>128.0</v>
      </c>
      <c r="K164" s="15">
        <v>130.0</v>
      </c>
      <c r="L164" s="16">
        <v>132.0</v>
      </c>
      <c r="M164" s="14">
        <f t="shared" ref="M164:S164" si="267">IF(AND(ISBLANK(F164), NOT(ISBLANK(T164))), T164, IF(OR(ISBLANK(T164), ISBLANK(F164)), "", T164-F164))</f>
        <v>44</v>
      </c>
      <c r="N164" s="14">
        <f t="shared" si="267"/>
        <v>43</v>
      </c>
      <c r="O164" s="14">
        <f t="shared" si="267"/>
        <v>77</v>
      </c>
      <c r="P164" s="14">
        <f t="shared" si="267"/>
        <v>39</v>
      </c>
      <c r="Q164" s="14">
        <f t="shared" si="267"/>
        <v>28</v>
      </c>
      <c r="R164" s="14">
        <f t="shared" si="267"/>
        <v>31</v>
      </c>
      <c r="S164" s="14">
        <f t="shared" si="267"/>
        <v>30</v>
      </c>
      <c r="T164" s="16">
        <v>163.0</v>
      </c>
      <c r="U164" s="16">
        <v>178.0</v>
      </c>
      <c r="V164" s="16">
        <v>226.0</v>
      </c>
      <c r="W164" s="15">
        <v>125.0</v>
      </c>
      <c r="X164" s="15">
        <v>156.0</v>
      </c>
      <c r="Y164" s="17">
        <v>161.0</v>
      </c>
      <c r="Z164" s="15">
        <v>162.0</v>
      </c>
      <c r="AA164" s="15">
        <v>73.00613496932516</v>
      </c>
      <c r="AB164" s="15">
        <v>75.84269662921348</v>
      </c>
      <c r="AC164" s="15">
        <v>65.929203539823</v>
      </c>
      <c r="AD164" s="16">
        <v>68.8</v>
      </c>
      <c r="AE164" s="16">
        <v>82.05128205128204</v>
      </c>
      <c r="AF164" s="16">
        <v>80.74534161490683</v>
      </c>
      <c r="AG164" s="16">
        <v>81.48148148148148</v>
      </c>
      <c r="AH164" s="16">
        <f t="shared" si="268"/>
        <v>70.19063339</v>
      </c>
      <c r="AI164" s="18">
        <f t="shared" si="269"/>
        <v>81.42603505</v>
      </c>
      <c r="AJ164" s="14">
        <f t="shared" si="263"/>
        <v>123.3333333</v>
      </c>
      <c r="AK164" s="14">
        <f t="shared" si="264"/>
        <v>130</v>
      </c>
      <c r="AL164" s="14">
        <f t="shared" si="265"/>
        <v>53</v>
      </c>
      <c r="AM164" s="14">
        <f t="shared" si="266"/>
        <v>29.66666667</v>
      </c>
    </row>
    <row r="165" ht="14.25" customHeight="1">
      <c r="A165" s="1" t="s">
        <v>47</v>
      </c>
      <c r="B165" s="1" t="s">
        <v>273</v>
      </c>
      <c r="C165" s="1" t="s">
        <v>274</v>
      </c>
      <c r="D165" s="1" t="s">
        <v>274</v>
      </c>
      <c r="E165" s="14">
        <v>31602.0</v>
      </c>
      <c r="F165" s="15">
        <v>0.0</v>
      </c>
      <c r="G165" s="15">
        <v>0.0</v>
      </c>
      <c r="H165" s="15">
        <v>0.0</v>
      </c>
      <c r="I165" s="15">
        <v>71.0</v>
      </c>
      <c r="J165" s="15">
        <v>162.0</v>
      </c>
      <c r="K165" s="15">
        <v>166.0</v>
      </c>
      <c r="L165" s="16">
        <v>162.0</v>
      </c>
      <c r="M165" s="14">
        <f t="shared" ref="M165:S165" si="270">IF(AND(ISBLANK(F165), NOT(ISBLANK(T165))), T165, IF(OR(ISBLANK(T165), ISBLANK(F165)), "", T165-F165))</f>
        <v>0</v>
      </c>
      <c r="N165" s="14">
        <f t="shared" si="270"/>
        <v>0</v>
      </c>
      <c r="O165" s="14">
        <f t="shared" si="270"/>
        <v>0</v>
      </c>
      <c r="P165" s="14">
        <f t="shared" si="270"/>
        <v>38</v>
      </c>
      <c r="Q165" s="14">
        <f t="shared" si="270"/>
        <v>52</v>
      </c>
      <c r="R165" s="14">
        <f t="shared" si="270"/>
        <v>60</v>
      </c>
      <c r="S165" s="14">
        <f t="shared" si="270"/>
        <v>64</v>
      </c>
      <c r="T165" s="16">
        <v>0.0</v>
      </c>
      <c r="U165" s="16">
        <v>0.0</v>
      </c>
      <c r="V165" s="16">
        <v>0.0</v>
      </c>
      <c r="W165" s="15">
        <v>109.0</v>
      </c>
      <c r="X165" s="15">
        <v>214.0</v>
      </c>
      <c r="Y165" s="17">
        <v>226.0</v>
      </c>
      <c r="Z165" s="15">
        <v>226.0</v>
      </c>
      <c r="AA165" s="15"/>
      <c r="AB165" s="15"/>
      <c r="AC165" s="15"/>
      <c r="AD165" s="16">
        <v>65.13761467889908</v>
      </c>
      <c r="AE165" s="16">
        <v>75.70093457943925</v>
      </c>
      <c r="AF165" s="16">
        <v>73.45132743362832</v>
      </c>
      <c r="AG165" s="16">
        <v>71.68141592920354</v>
      </c>
      <c r="AH165" s="16">
        <f t="shared" si="268"/>
        <v>65.13761468</v>
      </c>
      <c r="AI165" s="18">
        <f t="shared" si="269"/>
        <v>73.61122598</v>
      </c>
      <c r="AJ165" s="14">
        <f t="shared" si="263"/>
        <v>23.66666667</v>
      </c>
      <c r="AK165" s="14">
        <f t="shared" si="264"/>
        <v>163.3333333</v>
      </c>
      <c r="AL165" s="14">
        <f t="shared" si="265"/>
        <v>12.66666667</v>
      </c>
      <c r="AM165" s="14">
        <f t="shared" si="266"/>
        <v>58.66666667</v>
      </c>
    </row>
    <row r="166" ht="14.25" customHeight="1">
      <c r="A166" s="1" t="s">
        <v>50</v>
      </c>
      <c r="B166" s="1" t="s">
        <v>213</v>
      </c>
      <c r="C166" s="1" t="s">
        <v>50</v>
      </c>
      <c r="D166" s="1" t="s">
        <v>50</v>
      </c>
      <c r="E166" s="14">
        <v>40101.0</v>
      </c>
      <c r="F166" s="15">
        <v>982.0</v>
      </c>
      <c r="G166" s="15">
        <v>1016.0</v>
      </c>
      <c r="H166" s="15">
        <v>1337.0</v>
      </c>
      <c r="I166" s="15">
        <v>1364.0</v>
      </c>
      <c r="J166" s="15">
        <v>1653.0</v>
      </c>
      <c r="K166" s="15">
        <v>1684.0</v>
      </c>
      <c r="L166" s="16">
        <v>1694.0</v>
      </c>
      <c r="M166" s="14">
        <f t="shared" ref="M166:S166" si="271">IF(AND(ISBLANK(F166), NOT(ISBLANK(T166))), T166, IF(OR(ISBLANK(T166), ISBLANK(F166)), "", T166-F166))</f>
        <v>129</v>
      </c>
      <c r="N166" s="14">
        <f t="shared" si="271"/>
        <v>116</v>
      </c>
      <c r="O166" s="14">
        <f t="shared" si="271"/>
        <v>224</v>
      </c>
      <c r="P166" s="14">
        <f t="shared" si="271"/>
        <v>233</v>
      </c>
      <c r="Q166" s="14">
        <f t="shared" si="271"/>
        <v>331</v>
      </c>
      <c r="R166" s="14">
        <f t="shared" si="271"/>
        <v>348</v>
      </c>
      <c r="S166" s="14">
        <f t="shared" si="271"/>
        <v>363</v>
      </c>
      <c r="T166" s="16">
        <v>1111.0</v>
      </c>
      <c r="U166" s="16">
        <v>1132.0</v>
      </c>
      <c r="V166" s="16">
        <v>1561.0</v>
      </c>
      <c r="W166" s="15">
        <v>1597.0</v>
      </c>
      <c r="X166" s="15">
        <v>1984.0</v>
      </c>
      <c r="Y166" s="17">
        <v>2032.0</v>
      </c>
      <c r="Z166" s="15">
        <v>2057.0</v>
      </c>
      <c r="AA166" s="15">
        <v>88.38883888388838</v>
      </c>
      <c r="AB166" s="15">
        <v>89.75265017667844</v>
      </c>
      <c r="AC166" s="15">
        <v>85.65022421524664</v>
      </c>
      <c r="AD166" s="16">
        <v>85.41014402003756</v>
      </c>
      <c r="AE166" s="16">
        <v>83.31653225806451</v>
      </c>
      <c r="AF166" s="16">
        <v>82.8740157480315</v>
      </c>
      <c r="AG166" s="16">
        <v>82.35294117647058</v>
      </c>
      <c r="AH166" s="16">
        <f t="shared" si="268"/>
        <v>86.9376728</v>
      </c>
      <c r="AI166" s="18">
        <f t="shared" si="269"/>
        <v>82.84782973</v>
      </c>
      <c r="AJ166" s="14">
        <f t="shared" si="263"/>
        <v>1239</v>
      </c>
      <c r="AK166" s="14">
        <f t="shared" si="264"/>
        <v>1677</v>
      </c>
      <c r="AL166" s="14">
        <f t="shared" si="265"/>
        <v>191</v>
      </c>
      <c r="AM166" s="14">
        <f t="shared" si="266"/>
        <v>347.3333333</v>
      </c>
    </row>
    <row r="167" ht="14.25" customHeight="1">
      <c r="A167" s="1" t="s">
        <v>50</v>
      </c>
      <c r="B167" s="1" t="s">
        <v>213</v>
      </c>
      <c r="C167" s="1" t="s">
        <v>275</v>
      </c>
      <c r="D167" s="1" t="s">
        <v>275</v>
      </c>
      <c r="E167" s="14">
        <v>40102.0</v>
      </c>
      <c r="F167" s="15">
        <v>67.0</v>
      </c>
      <c r="G167" s="15">
        <v>66.0</v>
      </c>
      <c r="H167" s="15">
        <v>95.0</v>
      </c>
      <c r="I167" s="15">
        <v>102.0</v>
      </c>
      <c r="J167" s="15">
        <v>134.0</v>
      </c>
      <c r="K167" s="15">
        <v>134.0</v>
      </c>
      <c r="L167" s="16">
        <v>139.0</v>
      </c>
      <c r="M167" s="14">
        <f t="shared" ref="M167:S167" si="272">IF(AND(ISBLANK(F167), NOT(ISBLANK(T167))), T167, IF(OR(ISBLANK(T167), ISBLANK(F167)), "", T167-F167))</f>
        <v>42</v>
      </c>
      <c r="N167" s="14">
        <f t="shared" si="272"/>
        <v>44</v>
      </c>
      <c r="O167" s="14">
        <f t="shared" si="272"/>
        <v>66</v>
      </c>
      <c r="P167" s="14">
        <f t="shared" si="272"/>
        <v>64</v>
      </c>
      <c r="Q167" s="14">
        <f t="shared" si="272"/>
        <v>74</v>
      </c>
      <c r="R167" s="14">
        <f t="shared" si="272"/>
        <v>80</v>
      </c>
      <c r="S167" s="14">
        <f t="shared" si="272"/>
        <v>76</v>
      </c>
      <c r="T167" s="16">
        <v>109.0</v>
      </c>
      <c r="U167" s="16">
        <v>110.0</v>
      </c>
      <c r="V167" s="16">
        <v>161.0</v>
      </c>
      <c r="W167" s="15">
        <v>166.0</v>
      </c>
      <c r="X167" s="15">
        <v>208.0</v>
      </c>
      <c r="Y167" s="17">
        <v>214.0</v>
      </c>
      <c r="Z167" s="15">
        <v>215.0</v>
      </c>
      <c r="AA167" s="15">
        <v>61.46788990825688</v>
      </c>
      <c r="AB167" s="15">
        <v>60.0</v>
      </c>
      <c r="AC167" s="15">
        <v>59.006211180124225</v>
      </c>
      <c r="AD167" s="16">
        <v>61.44578313253012</v>
      </c>
      <c r="AE167" s="16">
        <v>64.42307692307693</v>
      </c>
      <c r="AF167" s="16">
        <v>62.616822429906534</v>
      </c>
      <c r="AG167" s="16">
        <v>64.65116279069767</v>
      </c>
      <c r="AH167" s="16">
        <f t="shared" si="268"/>
        <v>60.15066477</v>
      </c>
      <c r="AI167" s="18">
        <f t="shared" si="269"/>
        <v>63.89702071</v>
      </c>
      <c r="AJ167" s="14">
        <f t="shared" si="263"/>
        <v>87.66666667</v>
      </c>
      <c r="AK167" s="14">
        <f t="shared" si="264"/>
        <v>135.6666667</v>
      </c>
      <c r="AL167" s="14">
        <f t="shared" si="265"/>
        <v>58</v>
      </c>
      <c r="AM167" s="14">
        <f t="shared" si="266"/>
        <v>76.66666667</v>
      </c>
    </row>
    <row r="168" ht="14.25" customHeight="1">
      <c r="A168" s="1" t="s">
        <v>50</v>
      </c>
      <c r="B168" s="1" t="s">
        <v>213</v>
      </c>
      <c r="C168" s="1" t="s">
        <v>276</v>
      </c>
      <c r="D168" s="1" t="s">
        <v>276</v>
      </c>
      <c r="E168" s="14">
        <v>40103.0</v>
      </c>
      <c r="F168" s="15">
        <v>5.0</v>
      </c>
      <c r="G168" s="15">
        <v>6.0</v>
      </c>
      <c r="H168" s="15">
        <v>8.0</v>
      </c>
      <c r="I168" s="15">
        <v>8.0</v>
      </c>
      <c r="J168" s="15">
        <v>17.0</v>
      </c>
      <c r="K168" s="15">
        <v>18.0</v>
      </c>
      <c r="L168" s="16">
        <v>20.0</v>
      </c>
      <c r="M168" s="14">
        <f t="shared" ref="M168:S168" si="273">IF(AND(ISBLANK(F168), NOT(ISBLANK(T168))), T168, IF(OR(ISBLANK(T168), ISBLANK(F168)), "", T168-F168))</f>
        <v>6</v>
      </c>
      <c r="N168" s="14">
        <f t="shared" si="273"/>
        <v>5</v>
      </c>
      <c r="O168" s="14">
        <f t="shared" si="273"/>
        <v>9</v>
      </c>
      <c r="P168" s="14">
        <f t="shared" si="273"/>
        <v>9</v>
      </c>
      <c r="Q168" s="14">
        <f t="shared" si="273"/>
        <v>10</v>
      </c>
      <c r="R168" s="14">
        <f t="shared" si="273"/>
        <v>15</v>
      </c>
      <c r="S168" s="14">
        <f t="shared" si="273"/>
        <v>14</v>
      </c>
      <c r="T168" s="16">
        <v>11.0</v>
      </c>
      <c r="U168" s="16">
        <v>11.0</v>
      </c>
      <c r="V168" s="16">
        <v>17.0</v>
      </c>
      <c r="W168" s="15">
        <v>17.0</v>
      </c>
      <c r="X168" s="15">
        <v>27.0</v>
      </c>
      <c r="Y168" s="17">
        <v>33.0</v>
      </c>
      <c r="Z168" s="15">
        <v>34.0</v>
      </c>
      <c r="AA168" s="15">
        <v>45.45454545454545</v>
      </c>
      <c r="AB168" s="15">
        <v>54.54545454545454</v>
      </c>
      <c r="AC168" s="15">
        <v>47.05882352941176</v>
      </c>
      <c r="AD168" s="16">
        <v>47.05882352941176</v>
      </c>
      <c r="AE168" s="16">
        <v>62.96296296296296</v>
      </c>
      <c r="AF168" s="16">
        <v>54.54545454545454</v>
      </c>
      <c r="AG168" s="16">
        <v>58.82352941176471</v>
      </c>
      <c r="AH168" s="16">
        <f t="shared" si="268"/>
        <v>49.5543672</v>
      </c>
      <c r="AI168" s="18">
        <f t="shared" si="269"/>
        <v>58.77731564</v>
      </c>
      <c r="AJ168" s="14">
        <f t="shared" si="263"/>
        <v>7.333333333</v>
      </c>
      <c r="AK168" s="14">
        <f t="shared" si="264"/>
        <v>18.33333333</v>
      </c>
      <c r="AL168" s="14">
        <f t="shared" si="265"/>
        <v>7.666666667</v>
      </c>
      <c r="AM168" s="14">
        <f t="shared" si="266"/>
        <v>13</v>
      </c>
    </row>
    <row r="169" ht="14.25" customHeight="1">
      <c r="A169" s="1" t="s">
        <v>50</v>
      </c>
      <c r="B169" s="1" t="s">
        <v>213</v>
      </c>
      <c r="C169" s="1" t="s">
        <v>277</v>
      </c>
      <c r="D169" s="1" t="s">
        <v>278</v>
      </c>
      <c r="E169" s="14">
        <v>40104.0</v>
      </c>
      <c r="F169" s="15">
        <v>29.0</v>
      </c>
      <c r="G169" s="15">
        <v>30.0</v>
      </c>
      <c r="H169" s="15">
        <v>47.0</v>
      </c>
      <c r="I169" s="15">
        <v>51.0</v>
      </c>
      <c r="J169" s="15">
        <v>75.0</v>
      </c>
      <c r="K169" s="15">
        <v>75.0</v>
      </c>
      <c r="L169" s="16">
        <v>81.0</v>
      </c>
      <c r="M169" s="14">
        <f t="shared" ref="M169:S169" si="274">IF(AND(ISBLANK(F169), NOT(ISBLANK(T169))), T169, IF(OR(ISBLANK(T169), ISBLANK(F169)), "", T169-F169))</f>
        <v>17</v>
      </c>
      <c r="N169" s="14">
        <f t="shared" si="274"/>
        <v>18</v>
      </c>
      <c r="O169" s="14">
        <f t="shared" si="274"/>
        <v>29</v>
      </c>
      <c r="P169" s="14">
        <f t="shared" si="274"/>
        <v>26</v>
      </c>
      <c r="Q169" s="14">
        <f t="shared" si="274"/>
        <v>33</v>
      </c>
      <c r="R169" s="14">
        <f t="shared" si="274"/>
        <v>35</v>
      </c>
      <c r="S169" s="14">
        <f t="shared" si="274"/>
        <v>31</v>
      </c>
      <c r="T169" s="16">
        <v>46.0</v>
      </c>
      <c r="U169" s="16">
        <v>48.0</v>
      </c>
      <c r="V169" s="16">
        <v>76.0</v>
      </c>
      <c r="W169" s="15">
        <v>77.0</v>
      </c>
      <c r="X169" s="15">
        <v>108.0</v>
      </c>
      <c r="Y169" s="17">
        <v>110.0</v>
      </c>
      <c r="Z169" s="15">
        <v>112.0</v>
      </c>
      <c r="AA169" s="15">
        <v>63.04347826086957</v>
      </c>
      <c r="AB169" s="15">
        <v>62.5</v>
      </c>
      <c r="AC169" s="15">
        <v>61.8421052631579</v>
      </c>
      <c r="AD169" s="16">
        <v>66.23376623376623</v>
      </c>
      <c r="AE169" s="16">
        <v>69.44444444444444</v>
      </c>
      <c r="AF169" s="16">
        <v>68.18181818181817</v>
      </c>
      <c r="AG169" s="16">
        <v>72.32142857142857</v>
      </c>
      <c r="AH169" s="16">
        <f t="shared" si="268"/>
        <v>63.5252905</v>
      </c>
      <c r="AI169" s="18">
        <f t="shared" si="269"/>
        <v>69.98256373</v>
      </c>
      <c r="AJ169" s="14">
        <f t="shared" si="263"/>
        <v>42.66666667</v>
      </c>
      <c r="AK169" s="14">
        <f t="shared" si="264"/>
        <v>77</v>
      </c>
      <c r="AL169" s="14">
        <f t="shared" si="265"/>
        <v>24.33333333</v>
      </c>
      <c r="AM169" s="14">
        <f t="shared" si="266"/>
        <v>33</v>
      </c>
    </row>
    <row r="170" ht="14.25" customHeight="1">
      <c r="A170" s="1" t="s">
        <v>50</v>
      </c>
      <c r="B170" s="1" t="s">
        <v>279</v>
      </c>
      <c r="C170" s="1" t="s">
        <v>280</v>
      </c>
      <c r="D170" s="1" t="s">
        <v>280</v>
      </c>
      <c r="E170" s="14">
        <v>40201.0</v>
      </c>
      <c r="F170" s="15">
        <v>73.0</v>
      </c>
      <c r="G170" s="15">
        <v>81.0</v>
      </c>
      <c r="H170" s="15">
        <v>96.0</v>
      </c>
      <c r="I170" s="15">
        <v>102.0</v>
      </c>
      <c r="J170" s="15">
        <v>177.0</v>
      </c>
      <c r="K170" s="15">
        <v>199.0</v>
      </c>
      <c r="L170" s="16">
        <v>202.0</v>
      </c>
      <c r="M170" s="14">
        <f t="shared" ref="M170:S170" si="275">IF(AND(ISBLANK(F170), NOT(ISBLANK(T170))), T170, IF(OR(ISBLANK(T170), ISBLANK(F170)), "", T170-F170))</f>
        <v>63</v>
      </c>
      <c r="N170" s="14">
        <f t="shared" si="275"/>
        <v>59</v>
      </c>
      <c r="O170" s="14">
        <f t="shared" si="275"/>
        <v>80</v>
      </c>
      <c r="P170" s="14">
        <f t="shared" si="275"/>
        <v>86</v>
      </c>
      <c r="Q170" s="14">
        <f t="shared" si="275"/>
        <v>74</v>
      </c>
      <c r="R170" s="14">
        <f t="shared" si="275"/>
        <v>65</v>
      </c>
      <c r="S170" s="14">
        <f t="shared" si="275"/>
        <v>67</v>
      </c>
      <c r="T170" s="16">
        <v>136.0</v>
      </c>
      <c r="U170" s="16">
        <v>140.0</v>
      </c>
      <c r="V170" s="16">
        <v>176.0</v>
      </c>
      <c r="W170" s="15">
        <v>188.0</v>
      </c>
      <c r="X170" s="15">
        <v>251.0</v>
      </c>
      <c r="Y170" s="17">
        <v>264.0</v>
      </c>
      <c r="Z170" s="15">
        <v>269.0</v>
      </c>
      <c r="AA170" s="15">
        <v>53.67647058823529</v>
      </c>
      <c r="AB170" s="15">
        <v>57.85714285714286</v>
      </c>
      <c r="AC170" s="15">
        <v>54.54545454545454</v>
      </c>
      <c r="AD170" s="16">
        <v>54.25531914893617</v>
      </c>
      <c r="AE170" s="16">
        <v>70.5179282868526</v>
      </c>
      <c r="AF170" s="16">
        <v>75.37878787878788</v>
      </c>
      <c r="AG170" s="16">
        <v>75.09293680297398</v>
      </c>
      <c r="AH170" s="16">
        <f t="shared" si="268"/>
        <v>55.55263885</v>
      </c>
      <c r="AI170" s="18">
        <f t="shared" si="269"/>
        <v>73.66321766</v>
      </c>
      <c r="AJ170" s="14">
        <f t="shared" si="263"/>
        <v>93</v>
      </c>
      <c r="AK170" s="14">
        <f t="shared" si="264"/>
        <v>192.6666667</v>
      </c>
      <c r="AL170" s="14">
        <f t="shared" si="265"/>
        <v>75</v>
      </c>
      <c r="AM170" s="14">
        <f t="shared" si="266"/>
        <v>68.66666667</v>
      </c>
    </row>
    <row r="171" ht="14.25" customHeight="1">
      <c r="A171" s="1" t="s">
        <v>50</v>
      </c>
      <c r="B171" s="1" t="s">
        <v>279</v>
      </c>
      <c r="C171" s="1" t="s">
        <v>281</v>
      </c>
      <c r="D171" s="1" t="s">
        <v>281</v>
      </c>
      <c r="E171" s="14">
        <v>40202.0</v>
      </c>
      <c r="F171" s="15">
        <v>7.0</v>
      </c>
      <c r="G171" s="15">
        <v>7.0</v>
      </c>
      <c r="H171" s="15">
        <v>10.0</v>
      </c>
      <c r="I171" s="15">
        <v>9.0</v>
      </c>
      <c r="J171" s="15">
        <v>15.0</v>
      </c>
      <c r="K171" s="15">
        <v>15.0</v>
      </c>
      <c r="L171" s="16">
        <v>16.0</v>
      </c>
      <c r="M171" s="14">
        <f t="shared" ref="M171:S171" si="276">IF(AND(ISBLANK(F171), NOT(ISBLANK(T171))), T171, IF(OR(ISBLANK(T171), ISBLANK(F171)), "", T171-F171))</f>
        <v>7</v>
      </c>
      <c r="N171" s="14">
        <f t="shared" si="276"/>
        <v>7</v>
      </c>
      <c r="O171" s="14">
        <f t="shared" si="276"/>
        <v>9</v>
      </c>
      <c r="P171" s="14">
        <f t="shared" si="276"/>
        <v>11</v>
      </c>
      <c r="Q171" s="14">
        <f t="shared" si="276"/>
        <v>11</v>
      </c>
      <c r="R171" s="14">
        <f t="shared" si="276"/>
        <v>10</v>
      </c>
      <c r="S171" s="14">
        <f t="shared" si="276"/>
        <v>10</v>
      </c>
      <c r="T171" s="16">
        <v>14.0</v>
      </c>
      <c r="U171" s="16">
        <v>14.0</v>
      </c>
      <c r="V171" s="16">
        <v>19.0</v>
      </c>
      <c r="W171" s="15">
        <v>20.0</v>
      </c>
      <c r="X171" s="15">
        <v>26.0</v>
      </c>
      <c r="Y171" s="17">
        <v>25.0</v>
      </c>
      <c r="Z171" s="15">
        <v>26.0</v>
      </c>
      <c r="AA171" s="15">
        <v>50.0</v>
      </c>
      <c r="AB171" s="15">
        <v>50.0</v>
      </c>
      <c r="AC171" s="15">
        <v>52.63157894736842</v>
      </c>
      <c r="AD171" s="16">
        <v>45.0</v>
      </c>
      <c r="AE171" s="16">
        <v>57.692307692307686</v>
      </c>
      <c r="AF171" s="16">
        <v>60.0</v>
      </c>
      <c r="AG171" s="16">
        <v>61.53846153846154</v>
      </c>
      <c r="AH171" s="16">
        <f t="shared" si="268"/>
        <v>49.21052632</v>
      </c>
      <c r="AI171" s="18">
        <f t="shared" si="269"/>
        <v>59.74358974</v>
      </c>
      <c r="AJ171" s="14">
        <f t="shared" si="263"/>
        <v>8.666666667</v>
      </c>
      <c r="AK171" s="14">
        <f t="shared" si="264"/>
        <v>15.33333333</v>
      </c>
      <c r="AL171" s="14">
        <f t="shared" si="265"/>
        <v>9</v>
      </c>
      <c r="AM171" s="14">
        <f t="shared" si="266"/>
        <v>10.33333333</v>
      </c>
    </row>
    <row r="172" ht="14.25" customHeight="1">
      <c r="A172" s="1" t="s">
        <v>50</v>
      </c>
      <c r="B172" s="1" t="s">
        <v>282</v>
      </c>
      <c r="C172" s="1" t="s">
        <v>283</v>
      </c>
      <c r="D172" s="1" t="s">
        <v>283</v>
      </c>
      <c r="E172" s="14">
        <v>40301.0</v>
      </c>
      <c r="F172" s="15">
        <v>14.0</v>
      </c>
      <c r="G172" s="15">
        <v>16.0</v>
      </c>
      <c r="H172" s="15">
        <v>28.0</v>
      </c>
      <c r="I172" s="15">
        <v>28.0</v>
      </c>
      <c r="J172" s="15">
        <v>48.0</v>
      </c>
      <c r="K172" s="15">
        <v>51.0</v>
      </c>
      <c r="L172" s="16">
        <v>52.0</v>
      </c>
      <c r="M172" s="14">
        <f t="shared" ref="M172:S172" si="277">IF(AND(ISBLANK(F172), NOT(ISBLANK(T172))), T172, IF(OR(ISBLANK(T172), ISBLANK(F172)), "", T172-F172))</f>
        <v>22</v>
      </c>
      <c r="N172" s="14">
        <f t="shared" si="277"/>
        <v>19</v>
      </c>
      <c r="O172" s="14">
        <f t="shared" si="277"/>
        <v>30</v>
      </c>
      <c r="P172" s="14">
        <f t="shared" si="277"/>
        <v>32</v>
      </c>
      <c r="Q172" s="14">
        <f t="shared" si="277"/>
        <v>27</v>
      </c>
      <c r="R172" s="14">
        <f t="shared" si="277"/>
        <v>26</v>
      </c>
      <c r="S172" s="14">
        <f t="shared" si="277"/>
        <v>26</v>
      </c>
      <c r="T172" s="16">
        <v>36.0</v>
      </c>
      <c r="U172" s="16">
        <v>35.0</v>
      </c>
      <c r="V172" s="16">
        <v>58.0</v>
      </c>
      <c r="W172" s="15">
        <v>60.0</v>
      </c>
      <c r="X172" s="15">
        <v>75.0</v>
      </c>
      <c r="Y172" s="17">
        <v>77.0</v>
      </c>
      <c r="Z172" s="15">
        <v>78.0</v>
      </c>
      <c r="AA172" s="15">
        <v>38.88888888888889</v>
      </c>
      <c r="AB172" s="15">
        <v>45.714285714285715</v>
      </c>
      <c r="AC172" s="15">
        <v>48.275862068965516</v>
      </c>
      <c r="AD172" s="16">
        <v>46.666666666666664</v>
      </c>
      <c r="AE172" s="16">
        <v>64.0</v>
      </c>
      <c r="AF172" s="16">
        <v>66.23376623376623</v>
      </c>
      <c r="AG172" s="16">
        <v>66.66666666666666</v>
      </c>
      <c r="AH172" s="16">
        <f t="shared" si="268"/>
        <v>46.88560482</v>
      </c>
      <c r="AI172" s="18">
        <f t="shared" si="269"/>
        <v>65.63347763</v>
      </c>
      <c r="AJ172" s="14">
        <f t="shared" si="263"/>
        <v>24</v>
      </c>
      <c r="AK172" s="14">
        <f t="shared" si="264"/>
        <v>50.33333333</v>
      </c>
      <c r="AL172" s="14">
        <f t="shared" si="265"/>
        <v>27</v>
      </c>
      <c r="AM172" s="14">
        <f t="shared" si="266"/>
        <v>26.33333333</v>
      </c>
    </row>
    <row r="173" ht="14.25" customHeight="1">
      <c r="A173" s="1" t="s">
        <v>50</v>
      </c>
      <c r="B173" s="1" t="s">
        <v>282</v>
      </c>
      <c r="C173" s="1" t="s">
        <v>284</v>
      </c>
      <c r="D173" s="1" t="s">
        <v>284</v>
      </c>
      <c r="E173" s="14">
        <v>40302.0</v>
      </c>
      <c r="F173" s="15">
        <v>3.0</v>
      </c>
      <c r="G173" s="15">
        <v>3.0</v>
      </c>
      <c r="H173" s="15">
        <v>4.0</v>
      </c>
      <c r="I173" s="15">
        <v>3.0</v>
      </c>
      <c r="J173" s="15">
        <v>8.0</v>
      </c>
      <c r="K173" s="15">
        <v>8.0</v>
      </c>
      <c r="L173" s="16">
        <v>8.0</v>
      </c>
      <c r="M173" s="14">
        <f t="shared" ref="M173:S173" si="278">IF(AND(ISBLANK(F173), NOT(ISBLANK(T173))), T173, IF(OR(ISBLANK(T173), ISBLANK(F173)), "", T173-F173))</f>
        <v>5</v>
      </c>
      <c r="N173" s="14">
        <f t="shared" si="278"/>
        <v>5</v>
      </c>
      <c r="O173" s="14">
        <f t="shared" si="278"/>
        <v>6</v>
      </c>
      <c r="P173" s="14">
        <f t="shared" si="278"/>
        <v>6</v>
      </c>
      <c r="Q173" s="14">
        <f t="shared" si="278"/>
        <v>3</v>
      </c>
      <c r="R173" s="14">
        <f t="shared" si="278"/>
        <v>3</v>
      </c>
      <c r="S173" s="14">
        <f t="shared" si="278"/>
        <v>2</v>
      </c>
      <c r="T173" s="16">
        <v>8.0</v>
      </c>
      <c r="U173" s="16">
        <v>8.0</v>
      </c>
      <c r="V173" s="16">
        <v>10.0</v>
      </c>
      <c r="W173" s="15">
        <v>9.0</v>
      </c>
      <c r="X173" s="15">
        <v>11.0</v>
      </c>
      <c r="Y173" s="17">
        <v>11.0</v>
      </c>
      <c r="Z173" s="15">
        <v>10.0</v>
      </c>
      <c r="AA173" s="15">
        <v>37.5</v>
      </c>
      <c r="AB173" s="15">
        <v>37.5</v>
      </c>
      <c r="AC173" s="15">
        <v>40.0</v>
      </c>
      <c r="AD173" s="16">
        <v>33.33333333333333</v>
      </c>
      <c r="AE173" s="16">
        <v>72.72727272727273</v>
      </c>
      <c r="AF173" s="16">
        <v>72.72727272727273</v>
      </c>
      <c r="AG173" s="16">
        <v>80.0</v>
      </c>
      <c r="AH173" s="16">
        <f t="shared" si="268"/>
        <v>36.94444444</v>
      </c>
      <c r="AI173" s="18">
        <f t="shared" si="269"/>
        <v>75.15151515</v>
      </c>
      <c r="AJ173" s="14">
        <f t="shared" si="263"/>
        <v>3.333333333</v>
      </c>
      <c r="AK173" s="14">
        <f t="shared" si="264"/>
        <v>8</v>
      </c>
      <c r="AL173" s="14">
        <f t="shared" si="265"/>
        <v>5.666666667</v>
      </c>
      <c r="AM173" s="14">
        <f t="shared" si="266"/>
        <v>2.666666667</v>
      </c>
    </row>
    <row r="174" ht="14.25" customHeight="1">
      <c r="A174" s="1" t="s">
        <v>50</v>
      </c>
      <c r="B174" s="1" t="s">
        <v>285</v>
      </c>
      <c r="C174" s="1" t="s">
        <v>286</v>
      </c>
      <c r="D174" s="1" t="s">
        <v>286</v>
      </c>
      <c r="E174" s="14">
        <v>40401.0</v>
      </c>
      <c r="F174" s="15">
        <v>7.0</v>
      </c>
      <c r="G174" s="15">
        <v>10.0</v>
      </c>
      <c r="H174" s="15">
        <v>12.0</v>
      </c>
      <c r="I174" s="15">
        <v>13.0</v>
      </c>
      <c r="J174" s="15">
        <v>28.0</v>
      </c>
      <c r="K174" s="15">
        <v>29.0</v>
      </c>
      <c r="L174" s="16">
        <v>30.0</v>
      </c>
      <c r="M174" s="14">
        <f t="shared" ref="M174:S174" si="279">IF(AND(ISBLANK(F174), NOT(ISBLANK(T174))), T174, IF(OR(ISBLANK(T174), ISBLANK(F174)), "", T174-F174))</f>
        <v>17</v>
      </c>
      <c r="N174" s="14">
        <f t="shared" si="279"/>
        <v>16</v>
      </c>
      <c r="O174" s="14">
        <f t="shared" si="279"/>
        <v>20</v>
      </c>
      <c r="P174" s="14">
        <f t="shared" si="279"/>
        <v>20</v>
      </c>
      <c r="Q174" s="14">
        <f t="shared" si="279"/>
        <v>12</v>
      </c>
      <c r="R174" s="14">
        <f t="shared" si="279"/>
        <v>11</v>
      </c>
      <c r="S174" s="14">
        <f t="shared" si="279"/>
        <v>9</v>
      </c>
      <c r="T174" s="16">
        <v>24.0</v>
      </c>
      <c r="U174" s="16">
        <v>26.0</v>
      </c>
      <c r="V174" s="16">
        <v>32.0</v>
      </c>
      <c r="W174" s="15">
        <v>33.0</v>
      </c>
      <c r="X174" s="15">
        <v>40.0</v>
      </c>
      <c r="Y174" s="17">
        <v>40.0</v>
      </c>
      <c r="Z174" s="15">
        <v>39.0</v>
      </c>
      <c r="AA174" s="15">
        <v>29.166666666666668</v>
      </c>
      <c r="AB174" s="15">
        <v>38.46153846153847</v>
      </c>
      <c r="AC174" s="15">
        <v>37.5</v>
      </c>
      <c r="AD174" s="16">
        <v>39.39393939393939</v>
      </c>
      <c r="AE174" s="16">
        <v>70.0</v>
      </c>
      <c r="AF174" s="16">
        <v>72.5</v>
      </c>
      <c r="AG174" s="16">
        <v>76.92307692307693</v>
      </c>
      <c r="AH174" s="16">
        <f t="shared" si="268"/>
        <v>38.45182595</v>
      </c>
      <c r="AI174" s="18">
        <f t="shared" si="269"/>
        <v>73.14102564</v>
      </c>
      <c r="AJ174" s="14">
        <f t="shared" si="263"/>
        <v>11.66666667</v>
      </c>
      <c r="AK174" s="14">
        <f t="shared" si="264"/>
        <v>29</v>
      </c>
      <c r="AL174" s="14">
        <f t="shared" si="265"/>
        <v>18.66666667</v>
      </c>
      <c r="AM174" s="14">
        <f t="shared" si="266"/>
        <v>10.66666667</v>
      </c>
    </row>
    <row r="175" ht="14.25" customHeight="1">
      <c r="A175" s="1" t="s">
        <v>50</v>
      </c>
      <c r="B175" s="1" t="s">
        <v>285</v>
      </c>
      <c r="C175" s="1" t="s">
        <v>287</v>
      </c>
      <c r="D175" s="1" t="s">
        <v>287</v>
      </c>
      <c r="E175" s="14">
        <v>40402.0</v>
      </c>
      <c r="F175" s="15">
        <v>8.0</v>
      </c>
      <c r="G175" s="15">
        <v>8.0</v>
      </c>
      <c r="H175" s="15">
        <v>12.0</v>
      </c>
      <c r="I175" s="15">
        <v>11.0</v>
      </c>
      <c r="J175" s="15">
        <v>22.0</v>
      </c>
      <c r="K175" s="15">
        <v>24.0</v>
      </c>
      <c r="L175" s="16">
        <v>24.0</v>
      </c>
      <c r="M175" s="14">
        <f t="shared" ref="M175:S175" si="280">IF(AND(ISBLANK(F175), NOT(ISBLANK(T175))), T175, IF(OR(ISBLANK(T175), ISBLANK(F175)), "", T175-F175))</f>
        <v>13</v>
      </c>
      <c r="N175" s="14">
        <f t="shared" si="280"/>
        <v>13</v>
      </c>
      <c r="O175" s="14">
        <f t="shared" si="280"/>
        <v>21</v>
      </c>
      <c r="P175" s="14">
        <f t="shared" si="280"/>
        <v>22</v>
      </c>
      <c r="Q175" s="14">
        <f t="shared" si="280"/>
        <v>15</v>
      </c>
      <c r="R175" s="14">
        <f t="shared" si="280"/>
        <v>13</v>
      </c>
      <c r="S175" s="14">
        <f t="shared" si="280"/>
        <v>13</v>
      </c>
      <c r="T175" s="16">
        <v>21.0</v>
      </c>
      <c r="U175" s="16">
        <v>21.0</v>
      </c>
      <c r="V175" s="16">
        <v>33.0</v>
      </c>
      <c r="W175" s="15">
        <v>33.0</v>
      </c>
      <c r="X175" s="15">
        <v>37.0</v>
      </c>
      <c r="Y175" s="17">
        <v>37.0</v>
      </c>
      <c r="Z175" s="15">
        <v>37.0</v>
      </c>
      <c r="AA175" s="15">
        <v>38.095238095238095</v>
      </c>
      <c r="AB175" s="15">
        <v>38.095238095238095</v>
      </c>
      <c r="AC175" s="15">
        <v>36.36363636363637</v>
      </c>
      <c r="AD175" s="16">
        <v>33.33333333333333</v>
      </c>
      <c r="AE175" s="16">
        <v>59.45945945945946</v>
      </c>
      <c r="AF175" s="16">
        <v>64.86486486486487</v>
      </c>
      <c r="AG175" s="16">
        <v>64.86486486486487</v>
      </c>
      <c r="AH175" s="16">
        <f t="shared" si="268"/>
        <v>35.93073593</v>
      </c>
      <c r="AI175" s="18">
        <f t="shared" si="269"/>
        <v>63.06306306</v>
      </c>
      <c r="AJ175" s="14">
        <f t="shared" si="263"/>
        <v>10.33333333</v>
      </c>
      <c r="AK175" s="14">
        <f t="shared" si="264"/>
        <v>23.33333333</v>
      </c>
      <c r="AL175" s="14">
        <f t="shared" si="265"/>
        <v>18.66666667</v>
      </c>
      <c r="AM175" s="14">
        <f t="shared" si="266"/>
        <v>13.66666667</v>
      </c>
    </row>
    <row r="176" ht="14.25" customHeight="1">
      <c r="A176" s="1" t="s">
        <v>50</v>
      </c>
      <c r="B176" s="1" t="s">
        <v>288</v>
      </c>
      <c r="C176" s="1" t="s">
        <v>289</v>
      </c>
      <c r="D176" s="1" t="s">
        <v>289</v>
      </c>
      <c r="E176" s="14">
        <v>40501.0</v>
      </c>
      <c r="F176" s="15">
        <v>8.0</v>
      </c>
      <c r="G176" s="15">
        <v>10.0</v>
      </c>
      <c r="H176" s="15">
        <v>12.0</v>
      </c>
      <c r="I176" s="15">
        <v>12.0</v>
      </c>
      <c r="J176" s="15">
        <v>11.0</v>
      </c>
      <c r="K176" s="15">
        <v>12.0</v>
      </c>
      <c r="L176" s="16">
        <v>12.0</v>
      </c>
      <c r="M176" s="14">
        <f t="shared" ref="M176:S176" si="281">IF(AND(ISBLANK(F176), NOT(ISBLANK(T176))), T176, IF(OR(ISBLANK(T176), ISBLANK(F176)), "", T176-F176))</f>
        <v>6</v>
      </c>
      <c r="N176" s="14">
        <f t="shared" si="281"/>
        <v>4</v>
      </c>
      <c r="O176" s="14">
        <f t="shared" si="281"/>
        <v>4</v>
      </c>
      <c r="P176" s="14">
        <f t="shared" si="281"/>
        <v>4</v>
      </c>
      <c r="Q176" s="14">
        <f t="shared" si="281"/>
        <v>2</v>
      </c>
      <c r="R176" s="14">
        <f t="shared" si="281"/>
        <v>1</v>
      </c>
      <c r="S176" s="14">
        <f t="shared" si="281"/>
        <v>1</v>
      </c>
      <c r="T176" s="16">
        <v>14.0</v>
      </c>
      <c r="U176" s="16">
        <v>14.0</v>
      </c>
      <c r="V176" s="16">
        <v>16.0</v>
      </c>
      <c r="W176" s="15">
        <v>16.0</v>
      </c>
      <c r="X176" s="15">
        <v>13.0</v>
      </c>
      <c r="Y176" s="17">
        <v>13.0</v>
      </c>
      <c r="Z176" s="15">
        <v>13.0</v>
      </c>
      <c r="AA176" s="15">
        <v>57.14285714285714</v>
      </c>
      <c r="AB176" s="15">
        <v>71.42857142857143</v>
      </c>
      <c r="AC176" s="15">
        <v>75.0</v>
      </c>
      <c r="AD176" s="16">
        <v>75.0</v>
      </c>
      <c r="AE176" s="16">
        <v>84.61538461538461</v>
      </c>
      <c r="AF176" s="16">
        <v>92.3076923076923</v>
      </c>
      <c r="AG176" s="16">
        <v>92.3076923076923</v>
      </c>
      <c r="AH176" s="16">
        <f t="shared" si="268"/>
        <v>73.80952381</v>
      </c>
      <c r="AI176" s="18">
        <f t="shared" si="269"/>
        <v>89.74358974</v>
      </c>
      <c r="AJ176" s="14">
        <f t="shared" si="263"/>
        <v>11.33333333</v>
      </c>
      <c r="AK176" s="14">
        <f t="shared" si="264"/>
        <v>11.66666667</v>
      </c>
      <c r="AL176" s="14">
        <f t="shared" si="265"/>
        <v>4</v>
      </c>
      <c r="AM176" s="14">
        <f t="shared" si="266"/>
        <v>1.333333333</v>
      </c>
    </row>
    <row r="177" ht="14.25" customHeight="1">
      <c r="A177" s="1" t="s">
        <v>50</v>
      </c>
      <c r="B177" s="1" t="s">
        <v>288</v>
      </c>
      <c r="C177" s="1" t="s">
        <v>290</v>
      </c>
      <c r="D177" s="1" t="s">
        <v>290</v>
      </c>
      <c r="E177" s="14">
        <v>40502.0</v>
      </c>
      <c r="F177" s="15">
        <v>1.0</v>
      </c>
      <c r="G177" s="15">
        <v>0.0</v>
      </c>
      <c r="H177" s="15">
        <v>2.0</v>
      </c>
      <c r="I177" s="15">
        <v>2.0</v>
      </c>
      <c r="J177" s="15">
        <v>4.0</v>
      </c>
      <c r="K177" s="15">
        <v>4.0</v>
      </c>
      <c r="L177" s="16">
        <v>5.0</v>
      </c>
      <c r="M177" s="14">
        <f t="shared" ref="M177:S177" si="282">IF(AND(ISBLANK(F177), NOT(ISBLANK(T177))), T177, IF(OR(ISBLANK(T177), ISBLANK(F177)), "", T177-F177))</f>
        <v>2</v>
      </c>
      <c r="N177" s="14">
        <f t="shared" si="282"/>
        <v>3</v>
      </c>
      <c r="O177" s="14">
        <f t="shared" si="282"/>
        <v>4</v>
      </c>
      <c r="P177" s="14">
        <f t="shared" si="282"/>
        <v>4</v>
      </c>
      <c r="Q177" s="14">
        <f t="shared" si="282"/>
        <v>3</v>
      </c>
      <c r="R177" s="14">
        <f t="shared" si="282"/>
        <v>3</v>
      </c>
      <c r="S177" s="14">
        <f t="shared" si="282"/>
        <v>3</v>
      </c>
      <c r="T177" s="16">
        <v>3.0</v>
      </c>
      <c r="U177" s="16">
        <v>3.0</v>
      </c>
      <c r="V177" s="16">
        <v>6.0</v>
      </c>
      <c r="W177" s="15">
        <v>6.0</v>
      </c>
      <c r="X177" s="15">
        <v>7.0</v>
      </c>
      <c r="Y177" s="17">
        <v>7.0</v>
      </c>
      <c r="Z177" s="15">
        <v>8.0</v>
      </c>
      <c r="AA177" s="15">
        <v>33.33333333333333</v>
      </c>
      <c r="AB177" s="15">
        <v>0.0</v>
      </c>
      <c r="AC177" s="15">
        <v>33.33333333333333</v>
      </c>
      <c r="AD177" s="16">
        <v>33.33333333333333</v>
      </c>
      <c r="AE177" s="16">
        <v>57.14285714285714</v>
      </c>
      <c r="AF177" s="16">
        <v>57.14285714285714</v>
      </c>
      <c r="AG177" s="16">
        <v>62.5</v>
      </c>
      <c r="AH177" s="16">
        <f t="shared" si="268"/>
        <v>22.22222222</v>
      </c>
      <c r="AI177" s="18">
        <f t="shared" si="269"/>
        <v>58.92857143</v>
      </c>
      <c r="AJ177" s="14">
        <f t="shared" si="263"/>
        <v>1.333333333</v>
      </c>
      <c r="AK177" s="14">
        <f t="shared" si="264"/>
        <v>4.333333333</v>
      </c>
      <c r="AL177" s="14">
        <f t="shared" si="265"/>
        <v>3.666666667</v>
      </c>
      <c r="AM177" s="14">
        <f t="shared" si="266"/>
        <v>3</v>
      </c>
    </row>
    <row r="178" ht="14.25" customHeight="1">
      <c r="A178" s="1" t="s">
        <v>50</v>
      </c>
      <c r="B178" s="1" t="s">
        <v>288</v>
      </c>
      <c r="C178" s="1" t="s">
        <v>291</v>
      </c>
      <c r="D178" s="1" t="s">
        <v>291</v>
      </c>
      <c r="E178" s="14">
        <v>40503.0</v>
      </c>
      <c r="F178" s="21"/>
      <c r="G178" s="21"/>
      <c r="H178" s="21"/>
      <c r="I178" s="15"/>
      <c r="J178" s="15"/>
      <c r="K178" s="15"/>
      <c r="L178" s="16"/>
      <c r="M178" s="14" t="str">
        <f t="shared" ref="M178:S178" si="283">IF(AND(ISBLANK(F178), NOT(ISBLANK(T178))), T178, IF(OR(ISBLANK(T178), ISBLANK(F178)), "", T178-F178))</f>
        <v/>
      </c>
      <c r="N178" s="14" t="str">
        <f t="shared" si="283"/>
        <v/>
      </c>
      <c r="O178" s="14" t="str">
        <f t="shared" si="283"/>
        <v/>
      </c>
      <c r="P178" s="14" t="str">
        <f t="shared" si="283"/>
        <v/>
      </c>
      <c r="Q178" s="14" t="str">
        <f t="shared" si="283"/>
        <v/>
      </c>
      <c r="R178" s="14" t="str">
        <f t="shared" si="283"/>
        <v/>
      </c>
      <c r="S178" s="14" t="str">
        <f t="shared" si="283"/>
        <v/>
      </c>
      <c r="T178" s="16"/>
      <c r="U178" s="16"/>
      <c r="V178" s="16"/>
      <c r="W178" s="1"/>
      <c r="X178" s="1"/>
      <c r="Y178" s="22"/>
      <c r="Z178" s="1"/>
      <c r="AA178" s="1"/>
      <c r="AB178" s="1"/>
      <c r="AC178" s="1"/>
      <c r="AD178" s="16"/>
      <c r="AE178" s="16"/>
      <c r="AF178" s="16"/>
      <c r="AG178" s="16"/>
      <c r="AH178" s="16"/>
      <c r="AI178" s="18"/>
      <c r="AJ178" s="14"/>
      <c r="AK178" s="14"/>
      <c r="AL178" s="14"/>
      <c r="AM178" s="14"/>
    </row>
    <row r="179" ht="14.25" customHeight="1">
      <c r="A179" s="1" t="s">
        <v>50</v>
      </c>
      <c r="B179" s="1" t="s">
        <v>288</v>
      </c>
      <c r="C179" s="1" t="s">
        <v>292</v>
      </c>
      <c r="D179" s="1" t="s">
        <v>292</v>
      </c>
      <c r="E179" s="14">
        <v>40504.0</v>
      </c>
      <c r="F179" s="21"/>
      <c r="G179" s="21"/>
      <c r="H179" s="21"/>
      <c r="I179" s="15"/>
      <c r="J179" s="15"/>
      <c r="K179" s="15"/>
      <c r="L179" s="16"/>
      <c r="M179" s="14" t="str">
        <f t="shared" ref="M179:S179" si="284">IF(AND(ISBLANK(F179), NOT(ISBLANK(T179))), T179, IF(OR(ISBLANK(T179), ISBLANK(F179)), "", T179-F179))</f>
        <v/>
      </c>
      <c r="N179" s="14" t="str">
        <f t="shared" si="284"/>
        <v/>
      </c>
      <c r="O179" s="14" t="str">
        <f t="shared" si="284"/>
        <v/>
      </c>
      <c r="P179" s="14" t="str">
        <f t="shared" si="284"/>
        <v/>
      </c>
      <c r="Q179" s="14" t="str">
        <f t="shared" si="284"/>
        <v/>
      </c>
      <c r="R179" s="14" t="str">
        <f t="shared" si="284"/>
        <v/>
      </c>
      <c r="S179" s="14" t="str">
        <f t="shared" si="284"/>
        <v/>
      </c>
      <c r="T179" s="16"/>
      <c r="U179" s="16"/>
      <c r="V179" s="16"/>
      <c r="W179" s="1"/>
      <c r="X179" s="1"/>
      <c r="Y179" s="22"/>
      <c r="Z179" s="1"/>
      <c r="AA179" s="1"/>
      <c r="AB179" s="1"/>
      <c r="AC179" s="1"/>
      <c r="AD179" s="16"/>
      <c r="AE179" s="16"/>
      <c r="AF179" s="16"/>
      <c r="AG179" s="16"/>
      <c r="AH179" s="16"/>
      <c r="AI179" s="18"/>
      <c r="AJ179" s="14"/>
      <c r="AK179" s="14"/>
      <c r="AL179" s="14"/>
      <c r="AM179" s="14"/>
    </row>
    <row r="180" ht="14.25" customHeight="1">
      <c r="A180" s="1" t="s">
        <v>50</v>
      </c>
      <c r="B180" s="1" t="s">
        <v>288</v>
      </c>
      <c r="C180" s="1" t="s">
        <v>293</v>
      </c>
      <c r="D180" s="1" t="s">
        <v>293</v>
      </c>
      <c r="E180" s="14">
        <v>40505.0</v>
      </c>
      <c r="F180" s="21"/>
      <c r="G180" s="21"/>
      <c r="H180" s="21"/>
      <c r="I180" s="15"/>
      <c r="J180" s="15"/>
      <c r="K180" s="15"/>
      <c r="L180" s="16"/>
      <c r="M180" s="14" t="str">
        <f t="shared" ref="M180:S180" si="285">IF(AND(ISBLANK(F180), NOT(ISBLANK(T180))), T180, IF(OR(ISBLANK(T180), ISBLANK(F180)), "", T180-F180))</f>
        <v/>
      </c>
      <c r="N180" s="14" t="str">
        <f t="shared" si="285"/>
        <v/>
      </c>
      <c r="O180" s="14" t="str">
        <f t="shared" si="285"/>
        <v/>
      </c>
      <c r="P180" s="14" t="str">
        <f t="shared" si="285"/>
        <v/>
      </c>
      <c r="Q180" s="14" t="str">
        <f t="shared" si="285"/>
        <v/>
      </c>
      <c r="R180" s="14" t="str">
        <f t="shared" si="285"/>
        <v/>
      </c>
      <c r="S180" s="14" t="str">
        <f t="shared" si="285"/>
        <v/>
      </c>
      <c r="T180" s="16"/>
      <c r="U180" s="16"/>
      <c r="V180" s="16"/>
      <c r="W180" s="1"/>
      <c r="X180" s="1"/>
      <c r="Y180" s="22"/>
      <c r="Z180" s="1"/>
      <c r="AA180" s="1"/>
      <c r="AB180" s="1"/>
      <c r="AC180" s="1"/>
      <c r="AD180" s="16"/>
      <c r="AE180" s="16"/>
      <c r="AF180" s="16"/>
      <c r="AG180" s="16"/>
      <c r="AH180" s="16"/>
      <c r="AI180" s="18"/>
      <c r="AJ180" s="14"/>
      <c r="AK180" s="14"/>
      <c r="AL180" s="14"/>
      <c r="AM180" s="14"/>
    </row>
    <row r="181" ht="14.25" customHeight="1">
      <c r="A181" s="1" t="s">
        <v>50</v>
      </c>
      <c r="B181" s="1" t="s">
        <v>294</v>
      </c>
      <c r="C181" s="1" t="s">
        <v>294</v>
      </c>
      <c r="D181" s="1" t="s">
        <v>295</v>
      </c>
      <c r="E181" s="14">
        <v>40601.0</v>
      </c>
      <c r="F181" s="15">
        <v>13.0</v>
      </c>
      <c r="G181" s="15">
        <v>13.0</v>
      </c>
      <c r="H181" s="15">
        <v>16.0</v>
      </c>
      <c r="I181" s="15">
        <v>17.0</v>
      </c>
      <c r="J181" s="15">
        <v>25.0</v>
      </c>
      <c r="K181" s="15">
        <v>30.0</v>
      </c>
      <c r="L181" s="16">
        <v>28.0</v>
      </c>
      <c r="M181" s="14">
        <f t="shared" ref="M181:S181" si="286">IF(AND(ISBLANK(F181), NOT(ISBLANK(T181))), T181, IF(OR(ISBLANK(T181), ISBLANK(F181)), "", T181-F181))</f>
        <v>6</v>
      </c>
      <c r="N181" s="14">
        <f t="shared" si="286"/>
        <v>7</v>
      </c>
      <c r="O181" s="14">
        <f t="shared" si="286"/>
        <v>12</v>
      </c>
      <c r="P181" s="14">
        <f t="shared" si="286"/>
        <v>12</v>
      </c>
      <c r="Q181" s="14">
        <f t="shared" si="286"/>
        <v>10</v>
      </c>
      <c r="R181" s="14">
        <f t="shared" si="286"/>
        <v>8</v>
      </c>
      <c r="S181" s="14">
        <f t="shared" si="286"/>
        <v>9</v>
      </c>
      <c r="T181" s="16">
        <v>19.0</v>
      </c>
      <c r="U181" s="16">
        <v>20.0</v>
      </c>
      <c r="V181" s="16">
        <v>28.0</v>
      </c>
      <c r="W181" s="15">
        <v>29.0</v>
      </c>
      <c r="X181" s="15">
        <v>35.0</v>
      </c>
      <c r="Y181" s="17">
        <v>38.0</v>
      </c>
      <c r="Z181" s="15">
        <v>37.0</v>
      </c>
      <c r="AA181" s="15">
        <v>68.42105263157895</v>
      </c>
      <c r="AB181" s="15">
        <v>65.0</v>
      </c>
      <c r="AC181" s="15">
        <v>57.14285714285714</v>
      </c>
      <c r="AD181" s="16">
        <v>58.620689655172406</v>
      </c>
      <c r="AE181" s="16">
        <v>71.42857142857143</v>
      </c>
      <c r="AF181" s="16">
        <v>78.94736842105263</v>
      </c>
      <c r="AG181" s="16">
        <v>75.67567567567568</v>
      </c>
      <c r="AH181" s="16">
        <f t="shared" ref="AH181:AH182" si="288">AVERAGE(AB181:AD181)</f>
        <v>60.2545156</v>
      </c>
      <c r="AI181" s="18">
        <f t="shared" ref="AI181:AI344" si="289">AVERAGE(AE181:AG181)</f>
        <v>75.35053851</v>
      </c>
      <c r="AJ181" s="14">
        <f t="shared" ref="AJ181:AJ344" si="290">AVERAGE(G181:I181)</f>
        <v>15.33333333</v>
      </c>
      <c r="AK181" s="14">
        <f t="shared" ref="AK181:AK344" si="291">AVERAGE(J181:L181)</f>
        <v>27.66666667</v>
      </c>
      <c r="AL181" s="14">
        <f t="shared" ref="AL181:AL344" si="292">AVERAGE(N181:P181)</f>
        <v>10.33333333</v>
      </c>
      <c r="AM181" s="14">
        <f t="shared" ref="AM181:AM344" si="293">AVERAGE(Q181:S181)</f>
        <v>9</v>
      </c>
    </row>
    <row r="182" ht="14.25" customHeight="1">
      <c r="A182" s="1" t="s">
        <v>50</v>
      </c>
      <c r="B182" s="1" t="s">
        <v>294</v>
      </c>
      <c r="C182" s="1" t="s">
        <v>296</v>
      </c>
      <c r="D182" s="1" t="s">
        <v>296</v>
      </c>
      <c r="E182" s="14">
        <v>40602.0</v>
      </c>
      <c r="F182" s="15">
        <v>24.0</v>
      </c>
      <c r="G182" s="15">
        <v>23.0</v>
      </c>
      <c r="H182" s="15">
        <v>27.0</v>
      </c>
      <c r="I182" s="15">
        <v>29.0</v>
      </c>
      <c r="J182" s="15">
        <v>49.0</v>
      </c>
      <c r="K182" s="15">
        <v>49.0</v>
      </c>
      <c r="L182" s="16">
        <v>47.0</v>
      </c>
      <c r="M182" s="14">
        <f t="shared" ref="M182:S182" si="287">IF(AND(ISBLANK(F182), NOT(ISBLANK(T182))), T182, IF(OR(ISBLANK(T182), ISBLANK(F182)), "", T182-F182))</f>
        <v>15</v>
      </c>
      <c r="N182" s="14">
        <f t="shared" si="287"/>
        <v>18</v>
      </c>
      <c r="O182" s="14">
        <f t="shared" si="287"/>
        <v>23</v>
      </c>
      <c r="P182" s="14">
        <f t="shared" si="287"/>
        <v>22</v>
      </c>
      <c r="Q182" s="14">
        <f t="shared" si="287"/>
        <v>14</v>
      </c>
      <c r="R182" s="14">
        <f t="shared" si="287"/>
        <v>12</v>
      </c>
      <c r="S182" s="14">
        <f t="shared" si="287"/>
        <v>13</v>
      </c>
      <c r="T182" s="16">
        <v>39.0</v>
      </c>
      <c r="U182" s="16">
        <v>41.0</v>
      </c>
      <c r="V182" s="16">
        <v>50.0</v>
      </c>
      <c r="W182" s="15">
        <v>51.0</v>
      </c>
      <c r="X182" s="15">
        <v>63.0</v>
      </c>
      <c r="Y182" s="17">
        <v>61.0</v>
      </c>
      <c r="Z182" s="15">
        <v>60.0</v>
      </c>
      <c r="AA182" s="15">
        <v>61.53846153846154</v>
      </c>
      <c r="AB182" s="15">
        <v>56.09756097560976</v>
      </c>
      <c r="AC182" s="15">
        <v>54.0</v>
      </c>
      <c r="AD182" s="16">
        <v>56.86274509803921</v>
      </c>
      <c r="AE182" s="16">
        <v>77.77777777777779</v>
      </c>
      <c r="AF182" s="16">
        <v>80.32786885245902</v>
      </c>
      <c r="AG182" s="16">
        <v>78.33333333333333</v>
      </c>
      <c r="AH182" s="16">
        <f t="shared" si="288"/>
        <v>55.65343536</v>
      </c>
      <c r="AI182" s="18">
        <f t="shared" si="289"/>
        <v>78.81299332</v>
      </c>
      <c r="AJ182" s="14">
        <f t="shared" si="290"/>
        <v>26.33333333</v>
      </c>
      <c r="AK182" s="14">
        <f t="shared" si="291"/>
        <v>48.33333333</v>
      </c>
      <c r="AL182" s="14">
        <f t="shared" si="292"/>
        <v>21</v>
      </c>
      <c r="AM182" s="14">
        <f t="shared" si="293"/>
        <v>13</v>
      </c>
    </row>
    <row r="183" ht="14.25" customHeight="1">
      <c r="A183" s="1" t="s">
        <v>50</v>
      </c>
      <c r="B183" s="1" t="s">
        <v>294</v>
      </c>
      <c r="C183" s="1" t="s">
        <v>297</v>
      </c>
      <c r="D183" s="1" t="s">
        <v>297</v>
      </c>
      <c r="E183" s="14">
        <v>40603.0</v>
      </c>
      <c r="F183" s="15">
        <v>0.0</v>
      </c>
      <c r="G183" s="15">
        <v>0.0</v>
      </c>
      <c r="H183" s="15">
        <v>0.0</v>
      </c>
      <c r="I183" s="15">
        <v>0.0</v>
      </c>
      <c r="J183" s="15">
        <v>6.0</v>
      </c>
      <c r="K183" s="15">
        <v>5.0</v>
      </c>
      <c r="L183" s="16">
        <v>5.0</v>
      </c>
      <c r="M183" s="14">
        <f t="shared" ref="M183:S183" si="294">IF(AND(ISBLANK(F183), NOT(ISBLANK(T183))), T183, IF(OR(ISBLANK(T183), ISBLANK(F183)), "", T183-F183))</f>
        <v>6</v>
      </c>
      <c r="N183" s="14">
        <f t="shared" si="294"/>
        <v>6</v>
      </c>
      <c r="O183" s="14">
        <f t="shared" si="294"/>
        <v>9</v>
      </c>
      <c r="P183" s="14">
        <f t="shared" si="294"/>
        <v>9</v>
      </c>
      <c r="Q183" s="14">
        <f t="shared" si="294"/>
        <v>6</v>
      </c>
      <c r="R183" s="14">
        <f t="shared" si="294"/>
        <v>6</v>
      </c>
      <c r="S183" s="14">
        <f t="shared" si="294"/>
        <v>6</v>
      </c>
      <c r="T183" s="16">
        <v>6.0</v>
      </c>
      <c r="U183" s="16">
        <v>6.0</v>
      </c>
      <c r="V183" s="16">
        <v>9.0</v>
      </c>
      <c r="W183" s="15">
        <v>9.0</v>
      </c>
      <c r="X183" s="15">
        <v>12.0</v>
      </c>
      <c r="Y183" s="17">
        <v>11.0</v>
      </c>
      <c r="Z183" s="15">
        <v>11.0</v>
      </c>
      <c r="AA183" s="15"/>
      <c r="AB183" s="15"/>
      <c r="AC183" s="15"/>
      <c r="AD183" s="16"/>
      <c r="AE183" s="16">
        <v>50.0</v>
      </c>
      <c r="AF183" s="16">
        <v>45.45454545454545</v>
      </c>
      <c r="AG183" s="16">
        <v>45.45454545454545</v>
      </c>
      <c r="AH183" s="16"/>
      <c r="AI183" s="18">
        <f t="shared" si="289"/>
        <v>46.96969697</v>
      </c>
      <c r="AJ183" s="14">
        <f t="shared" si="290"/>
        <v>0</v>
      </c>
      <c r="AK183" s="14">
        <f t="shared" si="291"/>
        <v>5.333333333</v>
      </c>
      <c r="AL183" s="14">
        <f t="shared" si="292"/>
        <v>8</v>
      </c>
      <c r="AM183" s="14">
        <f t="shared" si="293"/>
        <v>6</v>
      </c>
    </row>
    <row r="184" ht="14.25" customHeight="1">
      <c r="A184" s="1" t="s">
        <v>50</v>
      </c>
      <c r="B184" s="1" t="s">
        <v>298</v>
      </c>
      <c r="C184" s="1" t="s">
        <v>299</v>
      </c>
      <c r="D184" s="1" t="s">
        <v>300</v>
      </c>
      <c r="E184" s="14">
        <v>40701.0</v>
      </c>
      <c r="F184" s="15">
        <v>99.0</v>
      </c>
      <c r="G184" s="15">
        <v>102.0</v>
      </c>
      <c r="H184" s="15">
        <v>126.0</v>
      </c>
      <c r="I184" s="15">
        <v>130.0</v>
      </c>
      <c r="J184" s="15">
        <v>179.0</v>
      </c>
      <c r="K184" s="15">
        <v>179.0</v>
      </c>
      <c r="L184" s="16">
        <v>182.0</v>
      </c>
      <c r="M184" s="14">
        <f t="shared" ref="M184:S184" si="295">IF(AND(ISBLANK(F184), NOT(ISBLANK(T184))), T184, IF(OR(ISBLANK(T184), ISBLANK(F184)), "", T184-F184))</f>
        <v>56</v>
      </c>
      <c r="N184" s="14">
        <f t="shared" si="295"/>
        <v>50</v>
      </c>
      <c r="O184" s="14">
        <f t="shared" si="295"/>
        <v>84</v>
      </c>
      <c r="P184" s="14">
        <f t="shared" si="295"/>
        <v>81</v>
      </c>
      <c r="Q184" s="14">
        <f t="shared" si="295"/>
        <v>43</v>
      </c>
      <c r="R184" s="14">
        <f t="shared" si="295"/>
        <v>45</v>
      </c>
      <c r="S184" s="14">
        <f t="shared" si="295"/>
        <v>51</v>
      </c>
      <c r="T184" s="16">
        <v>155.0</v>
      </c>
      <c r="U184" s="16">
        <v>152.0</v>
      </c>
      <c r="V184" s="16">
        <v>210.0</v>
      </c>
      <c r="W184" s="15">
        <v>211.0</v>
      </c>
      <c r="X184" s="15">
        <v>222.0</v>
      </c>
      <c r="Y184" s="17">
        <v>224.0</v>
      </c>
      <c r="Z184" s="15">
        <v>233.0</v>
      </c>
      <c r="AA184" s="15">
        <v>63.87096774193548</v>
      </c>
      <c r="AB184" s="15">
        <v>67.10526315789474</v>
      </c>
      <c r="AC184" s="15">
        <v>60.0</v>
      </c>
      <c r="AD184" s="16">
        <v>61.61137440758294</v>
      </c>
      <c r="AE184" s="16">
        <v>80.63063063063063</v>
      </c>
      <c r="AF184" s="16">
        <v>79.91071428571429</v>
      </c>
      <c r="AG184" s="16">
        <v>78.11158798283262</v>
      </c>
      <c r="AH184" s="16">
        <f t="shared" ref="AH184:AH198" si="297">AVERAGE(AB184:AD184)</f>
        <v>62.90554586</v>
      </c>
      <c r="AI184" s="18">
        <f t="shared" si="289"/>
        <v>79.55097763</v>
      </c>
      <c r="AJ184" s="14">
        <f t="shared" si="290"/>
        <v>119.3333333</v>
      </c>
      <c r="AK184" s="14">
        <f t="shared" si="291"/>
        <v>180</v>
      </c>
      <c r="AL184" s="14">
        <f t="shared" si="292"/>
        <v>71.66666667</v>
      </c>
      <c r="AM184" s="14">
        <f t="shared" si="293"/>
        <v>46.33333333</v>
      </c>
    </row>
    <row r="185" ht="14.25" customHeight="1">
      <c r="A185" s="1" t="s">
        <v>50</v>
      </c>
      <c r="B185" s="1" t="s">
        <v>298</v>
      </c>
      <c r="C185" s="1" t="s">
        <v>301</v>
      </c>
      <c r="D185" s="1" t="s">
        <v>301</v>
      </c>
      <c r="E185" s="14">
        <v>40702.0</v>
      </c>
      <c r="F185" s="15">
        <v>27.0</v>
      </c>
      <c r="G185" s="15">
        <v>27.0</v>
      </c>
      <c r="H185" s="15">
        <v>33.0</v>
      </c>
      <c r="I185" s="15">
        <v>31.0</v>
      </c>
      <c r="J185" s="15">
        <v>41.0</v>
      </c>
      <c r="K185" s="15">
        <v>42.0</v>
      </c>
      <c r="L185" s="16">
        <v>41.0</v>
      </c>
      <c r="M185" s="14">
        <f t="shared" ref="M185:S185" si="296">IF(AND(ISBLANK(F185), NOT(ISBLANK(T185))), T185, IF(OR(ISBLANK(T185), ISBLANK(F185)), "", T185-F185))</f>
        <v>12</v>
      </c>
      <c r="N185" s="14">
        <f t="shared" si="296"/>
        <v>13</v>
      </c>
      <c r="O185" s="14">
        <f t="shared" si="296"/>
        <v>18</v>
      </c>
      <c r="P185" s="14">
        <f t="shared" si="296"/>
        <v>17</v>
      </c>
      <c r="Q185" s="14">
        <f t="shared" si="296"/>
        <v>18</v>
      </c>
      <c r="R185" s="14">
        <f t="shared" si="296"/>
        <v>17</v>
      </c>
      <c r="S185" s="14">
        <f t="shared" si="296"/>
        <v>18</v>
      </c>
      <c r="T185" s="16">
        <v>39.0</v>
      </c>
      <c r="U185" s="16">
        <v>40.0</v>
      </c>
      <c r="V185" s="16">
        <v>51.0</v>
      </c>
      <c r="W185" s="15">
        <v>48.0</v>
      </c>
      <c r="X185" s="15">
        <v>59.0</v>
      </c>
      <c r="Y185" s="17">
        <v>59.0</v>
      </c>
      <c r="Z185" s="15">
        <v>59.0</v>
      </c>
      <c r="AA185" s="15">
        <v>69.23076923076923</v>
      </c>
      <c r="AB185" s="15">
        <v>67.5</v>
      </c>
      <c r="AC185" s="15">
        <v>64.70588235294117</v>
      </c>
      <c r="AD185" s="16">
        <v>64.58333333333334</v>
      </c>
      <c r="AE185" s="16">
        <v>69.49152542372882</v>
      </c>
      <c r="AF185" s="16">
        <v>71.1864406779661</v>
      </c>
      <c r="AG185" s="16">
        <v>69.49152542372882</v>
      </c>
      <c r="AH185" s="16">
        <f t="shared" si="297"/>
        <v>65.59640523</v>
      </c>
      <c r="AI185" s="18">
        <f t="shared" si="289"/>
        <v>70.05649718</v>
      </c>
      <c r="AJ185" s="14">
        <f t="shared" si="290"/>
        <v>30.33333333</v>
      </c>
      <c r="AK185" s="14">
        <f t="shared" si="291"/>
        <v>41.33333333</v>
      </c>
      <c r="AL185" s="14">
        <f t="shared" si="292"/>
        <v>16</v>
      </c>
      <c r="AM185" s="14">
        <f t="shared" si="293"/>
        <v>17.66666667</v>
      </c>
    </row>
    <row r="186" ht="14.25" customHeight="1">
      <c r="A186" s="1" t="s">
        <v>50</v>
      </c>
      <c r="B186" s="1" t="s">
        <v>302</v>
      </c>
      <c r="C186" s="1" t="s">
        <v>303</v>
      </c>
      <c r="D186" s="1" t="s">
        <v>303</v>
      </c>
      <c r="E186" s="14">
        <v>40801.0</v>
      </c>
      <c r="F186" s="15">
        <v>9.0</v>
      </c>
      <c r="G186" s="15">
        <v>11.0</v>
      </c>
      <c r="H186" s="15">
        <v>12.0</v>
      </c>
      <c r="I186" s="15">
        <v>15.0</v>
      </c>
      <c r="J186" s="15">
        <v>36.0</v>
      </c>
      <c r="K186" s="15">
        <v>38.0</v>
      </c>
      <c r="L186" s="16">
        <v>37.0</v>
      </c>
      <c r="M186" s="14">
        <f t="shared" ref="M186:S186" si="298">IF(AND(ISBLANK(F186), NOT(ISBLANK(T186))), T186, IF(OR(ISBLANK(T186), ISBLANK(F186)), "", T186-F186))</f>
        <v>22</v>
      </c>
      <c r="N186" s="14">
        <f t="shared" si="298"/>
        <v>22</v>
      </c>
      <c r="O186" s="14">
        <f t="shared" si="298"/>
        <v>33</v>
      </c>
      <c r="P186" s="14">
        <f t="shared" si="298"/>
        <v>35</v>
      </c>
      <c r="Q186" s="14">
        <f t="shared" si="298"/>
        <v>24</v>
      </c>
      <c r="R186" s="14">
        <f t="shared" si="298"/>
        <v>25</v>
      </c>
      <c r="S186" s="14">
        <f t="shared" si="298"/>
        <v>24</v>
      </c>
      <c r="T186" s="16">
        <v>31.0</v>
      </c>
      <c r="U186" s="16">
        <v>33.0</v>
      </c>
      <c r="V186" s="16">
        <v>45.0</v>
      </c>
      <c r="W186" s="15">
        <v>50.0</v>
      </c>
      <c r="X186" s="15">
        <v>60.0</v>
      </c>
      <c r="Y186" s="17">
        <v>63.0</v>
      </c>
      <c r="Z186" s="15">
        <v>61.0</v>
      </c>
      <c r="AA186" s="15">
        <v>29.03225806451613</v>
      </c>
      <c r="AB186" s="15">
        <v>33.33333333333333</v>
      </c>
      <c r="AC186" s="15">
        <v>26.666666666666668</v>
      </c>
      <c r="AD186" s="16">
        <v>30.0</v>
      </c>
      <c r="AE186" s="16">
        <v>60.0</v>
      </c>
      <c r="AF186" s="16">
        <v>60.317460317460316</v>
      </c>
      <c r="AG186" s="16">
        <v>60.65573770491803</v>
      </c>
      <c r="AH186" s="16">
        <f t="shared" si="297"/>
        <v>30</v>
      </c>
      <c r="AI186" s="18">
        <f t="shared" si="289"/>
        <v>60.32439934</v>
      </c>
      <c r="AJ186" s="14">
        <f t="shared" si="290"/>
        <v>12.66666667</v>
      </c>
      <c r="AK186" s="14">
        <f t="shared" si="291"/>
        <v>37</v>
      </c>
      <c r="AL186" s="14">
        <f t="shared" si="292"/>
        <v>30</v>
      </c>
      <c r="AM186" s="14">
        <f t="shared" si="293"/>
        <v>24.33333333</v>
      </c>
    </row>
    <row r="187" ht="14.25" customHeight="1">
      <c r="A187" s="1" t="s">
        <v>50</v>
      </c>
      <c r="B187" s="1" t="s">
        <v>302</v>
      </c>
      <c r="C187" s="1" t="s">
        <v>304</v>
      </c>
      <c r="D187" s="1" t="s">
        <v>304</v>
      </c>
      <c r="E187" s="14">
        <v>40802.0</v>
      </c>
      <c r="F187" s="15">
        <v>3.0</v>
      </c>
      <c r="G187" s="15">
        <v>5.0</v>
      </c>
      <c r="H187" s="15">
        <v>5.0</v>
      </c>
      <c r="I187" s="15">
        <v>5.0</v>
      </c>
      <c r="J187" s="15">
        <v>12.0</v>
      </c>
      <c r="K187" s="15">
        <v>13.0</v>
      </c>
      <c r="L187" s="16">
        <v>17.0</v>
      </c>
      <c r="M187" s="14">
        <f t="shared" ref="M187:S187" si="299">IF(AND(ISBLANK(F187), NOT(ISBLANK(T187))), T187, IF(OR(ISBLANK(T187), ISBLANK(F187)), "", T187-F187))</f>
        <v>8</v>
      </c>
      <c r="N187" s="14">
        <f t="shared" si="299"/>
        <v>6</v>
      </c>
      <c r="O187" s="14">
        <f t="shared" si="299"/>
        <v>9</v>
      </c>
      <c r="P187" s="14">
        <f t="shared" si="299"/>
        <v>9</v>
      </c>
      <c r="Q187" s="14">
        <f t="shared" si="299"/>
        <v>6</v>
      </c>
      <c r="R187" s="14">
        <f t="shared" si="299"/>
        <v>7</v>
      </c>
      <c r="S187" s="14">
        <f t="shared" si="299"/>
        <v>5</v>
      </c>
      <c r="T187" s="16">
        <v>11.0</v>
      </c>
      <c r="U187" s="16">
        <v>11.0</v>
      </c>
      <c r="V187" s="16">
        <v>14.0</v>
      </c>
      <c r="W187" s="15">
        <v>14.0</v>
      </c>
      <c r="X187" s="15">
        <v>18.0</v>
      </c>
      <c r="Y187" s="17">
        <v>20.0</v>
      </c>
      <c r="Z187" s="15">
        <v>22.0</v>
      </c>
      <c r="AA187" s="15">
        <v>27.27272727272727</v>
      </c>
      <c r="AB187" s="15">
        <v>45.45454545454545</v>
      </c>
      <c r="AC187" s="15">
        <v>35.714285714285715</v>
      </c>
      <c r="AD187" s="16">
        <v>35.714285714285715</v>
      </c>
      <c r="AE187" s="16">
        <v>66.66666666666666</v>
      </c>
      <c r="AF187" s="16">
        <v>65.0</v>
      </c>
      <c r="AG187" s="16">
        <v>77.27272727272727</v>
      </c>
      <c r="AH187" s="16">
        <f t="shared" si="297"/>
        <v>38.96103896</v>
      </c>
      <c r="AI187" s="18">
        <f t="shared" si="289"/>
        <v>69.64646465</v>
      </c>
      <c r="AJ187" s="14">
        <f t="shared" si="290"/>
        <v>5</v>
      </c>
      <c r="AK187" s="14">
        <f t="shared" si="291"/>
        <v>14</v>
      </c>
      <c r="AL187" s="14">
        <f t="shared" si="292"/>
        <v>8</v>
      </c>
      <c r="AM187" s="14">
        <f t="shared" si="293"/>
        <v>6</v>
      </c>
    </row>
    <row r="188" ht="14.25" customHeight="1">
      <c r="A188" s="1" t="s">
        <v>50</v>
      </c>
      <c r="B188" s="1" t="s">
        <v>305</v>
      </c>
      <c r="C188" s="1" t="s">
        <v>305</v>
      </c>
      <c r="D188" s="1" t="s">
        <v>305</v>
      </c>
      <c r="E188" s="14">
        <v>40901.0</v>
      </c>
      <c r="F188" s="15">
        <v>7.0</v>
      </c>
      <c r="G188" s="15">
        <v>7.0</v>
      </c>
      <c r="H188" s="15">
        <v>8.0</v>
      </c>
      <c r="I188" s="15">
        <v>11.0</v>
      </c>
      <c r="J188" s="15">
        <v>25.0</v>
      </c>
      <c r="K188" s="15">
        <v>25.0</v>
      </c>
      <c r="L188" s="16">
        <v>26.0</v>
      </c>
      <c r="M188" s="14">
        <f t="shared" ref="M188:S188" si="300">IF(AND(ISBLANK(F188), NOT(ISBLANK(T188))), T188, IF(OR(ISBLANK(T188), ISBLANK(F188)), "", T188-F188))</f>
        <v>8</v>
      </c>
      <c r="N188" s="14">
        <f t="shared" si="300"/>
        <v>8</v>
      </c>
      <c r="O188" s="14">
        <f t="shared" si="300"/>
        <v>12</v>
      </c>
      <c r="P188" s="14">
        <f t="shared" si="300"/>
        <v>10</v>
      </c>
      <c r="Q188" s="14">
        <f t="shared" si="300"/>
        <v>6</v>
      </c>
      <c r="R188" s="14">
        <f t="shared" si="300"/>
        <v>6</v>
      </c>
      <c r="S188" s="14">
        <f t="shared" si="300"/>
        <v>6</v>
      </c>
      <c r="T188" s="16">
        <v>15.0</v>
      </c>
      <c r="U188" s="16">
        <v>15.0</v>
      </c>
      <c r="V188" s="16">
        <v>20.0</v>
      </c>
      <c r="W188" s="15">
        <v>21.0</v>
      </c>
      <c r="X188" s="15">
        <v>31.0</v>
      </c>
      <c r="Y188" s="17">
        <v>31.0</v>
      </c>
      <c r="Z188" s="15">
        <v>32.0</v>
      </c>
      <c r="AA188" s="15">
        <v>46.666666666666664</v>
      </c>
      <c r="AB188" s="15">
        <v>46.666666666666664</v>
      </c>
      <c r="AC188" s="15">
        <v>40.0</v>
      </c>
      <c r="AD188" s="16">
        <v>52.38095238095239</v>
      </c>
      <c r="AE188" s="16">
        <v>80.64516129032258</v>
      </c>
      <c r="AF188" s="16">
        <v>80.64516129032258</v>
      </c>
      <c r="AG188" s="16">
        <v>81.25</v>
      </c>
      <c r="AH188" s="16">
        <f t="shared" si="297"/>
        <v>46.34920635</v>
      </c>
      <c r="AI188" s="18">
        <f t="shared" si="289"/>
        <v>80.84677419</v>
      </c>
      <c r="AJ188" s="14">
        <f t="shared" si="290"/>
        <v>8.666666667</v>
      </c>
      <c r="AK188" s="14">
        <f t="shared" si="291"/>
        <v>25.33333333</v>
      </c>
      <c r="AL188" s="14">
        <f t="shared" si="292"/>
        <v>10</v>
      </c>
      <c r="AM188" s="14">
        <f t="shared" si="293"/>
        <v>6</v>
      </c>
    </row>
    <row r="189" ht="14.25" customHeight="1">
      <c r="A189" s="1" t="s">
        <v>50</v>
      </c>
      <c r="B189" s="1" t="s">
        <v>305</v>
      </c>
      <c r="C189" s="1" t="s">
        <v>306</v>
      </c>
      <c r="D189" s="1" t="s">
        <v>306</v>
      </c>
      <c r="E189" s="14">
        <v>40902.0</v>
      </c>
      <c r="F189" s="15">
        <v>0.0</v>
      </c>
      <c r="G189" s="15">
        <v>2.0</v>
      </c>
      <c r="H189" s="15">
        <v>2.0</v>
      </c>
      <c r="I189" s="15">
        <v>3.0</v>
      </c>
      <c r="J189" s="15">
        <v>4.0</v>
      </c>
      <c r="K189" s="15">
        <v>5.0</v>
      </c>
      <c r="L189" s="16">
        <v>5.0</v>
      </c>
      <c r="M189" s="14">
        <f t="shared" ref="M189:S189" si="301">IF(AND(ISBLANK(F189), NOT(ISBLANK(T189))), T189, IF(OR(ISBLANK(T189), ISBLANK(F189)), "", T189-F189))</f>
        <v>4</v>
      </c>
      <c r="N189" s="14">
        <f t="shared" si="301"/>
        <v>2</v>
      </c>
      <c r="O189" s="14">
        <f t="shared" si="301"/>
        <v>4</v>
      </c>
      <c r="P189" s="14">
        <f t="shared" si="301"/>
        <v>3</v>
      </c>
      <c r="Q189" s="14">
        <f t="shared" si="301"/>
        <v>3</v>
      </c>
      <c r="R189" s="14">
        <f t="shared" si="301"/>
        <v>2</v>
      </c>
      <c r="S189" s="14">
        <f t="shared" si="301"/>
        <v>2</v>
      </c>
      <c r="T189" s="16">
        <v>4.0</v>
      </c>
      <c r="U189" s="16">
        <v>4.0</v>
      </c>
      <c r="V189" s="16">
        <v>6.0</v>
      </c>
      <c r="W189" s="15">
        <v>6.0</v>
      </c>
      <c r="X189" s="15">
        <v>7.0</v>
      </c>
      <c r="Y189" s="17">
        <v>7.0</v>
      </c>
      <c r="Z189" s="15">
        <v>7.0</v>
      </c>
      <c r="AA189" s="15">
        <v>0.0</v>
      </c>
      <c r="AB189" s="15">
        <v>50.0</v>
      </c>
      <c r="AC189" s="15">
        <v>33.33333333333333</v>
      </c>
      <c r="AD189" s="16">
        <v>50.0</v>
      </c>
      <c r="AE189" s="16">
        <v>57.14285714285714</v>
      </c>
      <c r="AF189" s="16">
        <v>71.42857142857143</v>
      </c>
      <c r="AG189" s="16">
        <v>71.42857142857143</v>
      </c>
      <c r="AH189" s="16">
        <f t="shared" si="297"/>
        <v>44.44444444</v>
      </c>
      <c r="AI189" s="18">
        <f t="shared" si="289"/>
        <v>66.66666667</v>
      </c>
      <c r="AJ189" s="14">
        <f t="shared" si="290"/>
        <v>2.333333333</v>
      </c>
      <c r="AK189" s="14">
        <f t="shared" si="291"/>
        <v>4.666666667</v>
      </c>
      <c r="AL189" s="14">
        <f t="shared" si="292"/>
        <v>3</v>
      </c>
      <c r="AM189" s="14">
        <f t="shared" si="293"/>
        <v>2.333333333</v>
      </c>
    </row>
    <row r="190" ht="14.25" customHeight="1">
      <c r="A190" s="1" t="s">
        <v>50</v>
      </c>
      <c r="B190" s="1" t="s">
        <v>305</v>
      </c>
      <c r="C190" s="1" t="s">
        <v>307</v>
      </c>
      <c r="D190" s="1" t="s">
        <v>307</v>
      </c>
      <c r="E190" s="14">
        <v>40903.0</v>
      </c>
      <c r="F190" s="15">
        <v>3.0</v>
      </c>
      <c r="G190" s="15">
        <v>3.0</v>
      </c>
      <c r="H190" s="15">
        <v>4.0</v>
      </c>
      <c r="I190" s="15">
        <v>4.0</v>
      </c>
      <c r="J190" s="15">
        <v>17.0</v>
      </c>
      <c r="K190" s="15">
        <v>18.0</v>
      </c>
      <c r="L190" s="16">
        <v>17.0</v>
      </c>
      <c r="M190" s="14">
        <f t="shared" ref="M190:S190" si="302">IF(AND(ISBLANK(F190), NOT(ISBLANK(T190))), T190, IF(OR(ISBLANK(T190), ISBLANK(F190)), "", T190-F190))</f>
        <v>4</v>
      </c>
      <c r="N190" s="14">
        <f t="shared" si="302"/>
        <v>4</v>
      </c>
      <c r="O190" s="14">
        <f t="shared" si="302"/>
        <v>9</v>
      </c>
      <c r="P190" s="14">
        <f t="shared" si="302"/>
        <v>9</v>
      </c>
      <c r="Q190" s="14">
        <f t="shared" si="302"/>
        <v>3</v>
      </c>
      <c r="R190" s="14">
        <f t="shared" si="302"/>
        <v>2</v>
      </c>
      <c r="S190" s="14">
        <f t="shared" si="302"/>
        <v>2</v>
      </c>
      <c r="T190" s="16">
        <v>7.0</v>
      </c>
      <c r="U190" s="16">
        <v>7.0</v>
      </c>
      <c r="V190" s="16">
        <v>13.0</v>
      </c>
      <c r="W190" s="15">
        <v>13.0</v>
      </c>
      <c r="X190" s="15">
        <v>20.0</v>
      </c>
      <c r="Y190" s="17">
        <v>20.0</v>
      </c>
      <c r="Z190" s="15">
        <v>19.0</v>
      </c>
      <c r="AA190" s="15">
        <v>42.857142857142854</v>
      </c>
      <c r="AB190" s="15">
        <v>42.857142857142854</v>
      </c>
      <c r="AC190" s="15">
        <v>30.76923076923077</v>
      </c>
      <c r="AD190" s="16">
        <v>30.76923076923077</v>
      </c>
      <c r="AE190" s="16">
        <v>85.0</v>
      </c>
      <c r="AF190" s="16">
        <v>90.0</v>
      </c>
      <c r="AG190" s="16">
        <v>89.47368421052632</v>
      </c>
      <c r="AH190" s="16">
        <f t="shared" si="297"/>
        <v>34.7985348</v>
      </c>
      <c r="AI190" s="18">
        <f t="shared" si="289"/>
        <v>88.15789474</v>
      </c>
      <c r="AJ190" s="14">
        <f t="shared" si="290"/>
        <v>3.666666667</v>
      </c>
      <c r="AK190" s="14">
        <f t="shared" si="291"/>
        <v>17.33333333</v>
      </c>
      <c r="AL190" s="14">
        <f t="shared" si="292"/>
        <v>7.333333333</v>
      </c>
      <c r="AM190" s="14">
        <f t="shared" si="293"/>
        <v>2.333333333</v>
      </c>
    </row>
    <row r="191" ht="14.25" customHeight="1">
      <c r="A191" s="1" t="s">
        <v>50</v>
      </c>
      <c r="B191" s="1" t="s">
        <v>308</v>
      </c>
      <c r="C191" s="1" t="s">
        <v>309</v>
      </c>
      <c r="D191" s="1" t="s">
        <v>309</v>
      </c>
      <c r="E191" s="14">
        <v>41001.0</v>
      </c>
      <c r="F191" s="15">
        <v>12.0</v>
      </c>
      <c r="G191" s="15">
        <v>14.0</v>
      </c>
      <c r="H191" s="15">
        <v>14.0</v>
      </c>
      <c r="I191" s="15">
        <v>15.0</v>
      </c>
      <c r="J191" s="15">
        <v>29.0</v>
      </c>
      <c r="K191" s="15">
        <v>31.0</v>
      </c>
      <c r="L191" s="16">
        <v>31.0</v>
      </c>
      <c r="M191" s="14">
        <f t="shared" ref="M191:S191" si="303">IF(AND(ISBLANK(F191), NOT(ISBLANK(T191))), T191, IF(OR(ISBLANK(T191), ISBLANK(F191)), "", T191-F191))</f>
        <v>11</v>
      </c>
      <c r="N191" s="14">
        <f t="shared" si="303"/>
        <v>9</v>
      </c>
      <c r="O191" s="14">
        <f t="shared" si="303"/>
        <v>20</v>
      </c>
      <c r="P191" s="14">
        <f t="shared" si="303"/>
        <v>20</v>
      </c>
      <c r="Q191" s="14">
        <f t="shared" si="303"/>
        <v>16</v>
      </c>
      <c r="R191" s="14">
        <f t="shared" si="303"/>
        <v>16</v>
      </c>
      <c r="S191" s="14">
        <f t="shared" si="303"/>
        <v>16</v>
      </c>
      <c r="T191" s="16">
        <v>23.0</v>
      </c>
      <c r="U191" s="16">
        <v>23.0</v>
      </c>
      <c r="V191" s="16">
        <v>34.0</v>
      </c>
      <c r="W191" s="15">
        <v>35.0</v>
      </c>
      <c r="X191" s="15">
        <v>45.0</v>
      </c>
      <c r="Y191" s="17">
        <v>47.0</v>
      </c>
      <c r="Z191" s="15">
        <v>47.0</v>
      </c>
      <c r="AA191" s="15">
        <v>52.17391304347826</v>
      </c>
      <c r="AB191" s="15">
        <v>60.86956521739131</v>
      </c>
      <c r="AC191" s="15">
        <v>41.17647058823529</v>
      </c>
      <c r="AD191" s="16">
        <v>42.857142857142854</v>
      </c>
      <c r="AE191" s="16">
        <v>64.44444444444444</v>
      </c>
      <c r="AF191" s="16">
        <v>65.95744680851064</v>
      </c>
      <c r="AG191" s="16">
        <v>65.95744680851064</v>
      </c>
      <c r="AH191" s="16">
        <f t="shared" si="297"/>
        <v>48.30105955</v>
      </c>
      <c r="AI191" s="18">
        <f t="shared" si="289"/>
        <v>65.45311269</v>
      </c>
      <c r="AJ191" s="14">
        <f t="shared" si="290"/>
        <v>14.33333333</v>
      </c>
      <c r="AK191" s="14">
        <f t="shared" si="291"/>
        <v>30.33333333</v>
      </c>
      <c r="AL191" s="14">
        <f t="shared" si="292"/>
        <v>16.33333333</v>
      </c>
      <c r="AM191" s="14">
        <f t="shared" si="293"/>
        <v>16</v>
      </c>
    </row>
    <row r="192" ht="14.25" customHeight="1">
      <c r="A192" s="1" t="s">
        <v>50</v>
      </c>
      <c r="B192" s="1" t="s">
        <v>310</v>
      </c>
      <c r="C192" s="1" t="s">
        <v>311</v>
      </c>
      <c r="D192" s="1" t="s">
        <v>311</v>
      </c>
      <c r="E192" s="14">
        <v>41101.0</v>
      </c>
      <c r="F192" s="15">
        <v>29.0</v>
      </c>
      <c r="G192" s="15">
        <v>30.0</v>
      </c>
      <c r="H192" s="15">
        <v>30.0</v>
      </c>
      <c r="I192" s="15">
        <v>30.0</v>
      </c>
      <c r="J192" s="15">
        <v>38.0</v>
      </c>
      <c r="K192" s="15">
        <v>39.0</v>
      </c>
      <c r="L192" s="16">
        <v>40.0</v>
      </c>
      <c r="M192" s="14">
        <f t="shared" ref="M192:S192" si="304">IF(AND(ISBLANK(F192), NOT(ISBLANK(T192))), T192, IF(OR(ISBLANK(T192), ISBLANK(F192)), "", T192-F192))</f>
        <v>21</v>
      </c>
      <c r="N192" s="14">
        <f t="shared" si="304"/>
        <v>20</v>
      </c>
      <c r="O192" s="14">
        <f t="shared" si="304"/>
        <v>25</v>
      </c>
      <c r="P192" s="14">
        <f t="shared" si="304"/>
        <v>25</v>
      </c>
      <c r="Q192" s="14">
        <f t="shared" si="304"/>
        <v>22</v>
      </c>
      <c r="R192" s="14">
        <f t="shared" si="304"/>
        <v>21</v>
      </c>
      <c r="S192" s="14">
        <f t="shared" si="304"/>
        <v>18</v>
      </c>
      <c r="T192" s="16">
        <v>50.0</v>
      </c>
      <c r="U192" s="16">
        <v>50.0</v>
      </c>
      <c r="V192" s="16">
        <v>55.0</v>
      </c>
      <c r="W192" s="15">
        <v>55.0</v>
      </c>
      <c r="X192" s="15">
        <v>60.0</v>
      </c>
      <c r="Y192" s="17">
        <v>60.0</v>
      </c>
      <c r="Z192" s="15">
        <v>58.0</v>
      </c>
      <c r="AA192" s="15">
        <v>57.99999999999999</v>
      </c>
      <c r="AB192" s="15">
        <v>60.0</v>
      </c>
      <c r="AC192" s="15">
        <v>54.54545454545454</v>
      </c>
      <c r="AD192" s="16">
        <v>54.54545454545454</v>
      </c>
      <c r="AE192" s="16">
        <v>63.33333333333333</v>
      </c>
      <c r="AF192" s="16">
        <v>65.0</v>
      </c>
      <c r="AG192" s="16">
        <v>68.96551724137932</v>
      </c>
      <c r="AH192" s="16">
        <f t="shared" si="297"/>
        <v>56.36363636</v>
      </c>
      <c r="AI192" s="18">
        <f t="shared" si="289"/>
        <v>65.76628352</v>
      </c>
      <c r="AJ192" s="14">
        <f t="shared" si="290"/>
        <v>30</v>
      </c>
      <c r="AK192" s="14">
        <f t="shared" si="291"/>
        <v>39</v>
      </c>
      <c r="AL192" s="14">
        <f t="shared" si="292"/>
        <v>23.33333333</v>
      </c>
      <c r="AM192" s="14">
        <f t="shared" si="293"/>
        <v>20.33333333</v>
      </c>
    </row>
    <row r="193" ht="14.25" customHeight="1">
      <c r="A193" s="1" t="s">
        <v>50</v>
      </c>
      <c r="B193" s="1" t="s">
        <v>312</v>
      </c>
      <c r="C193" s="1" t="s">
        <v>313</v>
      </c>
      <c r="D193" s="1" t="s">
        <v>314</v>
      </c>
      <c r="E193" s="14">
        <v>41201.0</v>
      </c>
      <c r="F193" s="15">
        <v>14.0</v>
      </c>
      <c r="G193" s="15">
        <v>12.0</v>
      </c>
      <c r="H193" s="15">
        <v>14.0</v>
      </c>
      <c r="I193" s="15">
        <v>15.0</v>
      </c>
      <c r="J193" s="15">
        <v>19.0</v>
      </c>
      <c r="K193" s="15">
        <v>20.0</v>
      </c>
      <c r="L193" s="16">
        <v>20.0</v>
      </c>
      <c r="M193" s="14">
        <f t="shared" ref="M193:S193" si="305">IF(AND(ISBLANK(F193), NOT(ISBLANK(T193))), T193, IF(OR(ISBLANK(T193), ISBLANK(F193)), "", T193-F193))</f>
        <v>12</v>
      </c>
      <c r="N193" s="14">
        <f t="shared" si="305"/>
        <v>15</v>
      </c>
      <c r="O193" s="14">
        <f t="shared" si="305"/>
        <v>19</v>
      </c>
      <c r="P193" s="14">
        <f t="shared" si="305"/>
        <v>21</v>
      </c>
      <c r="Q193" s="14">
        <f t="shared" si="305"/>
        <v>18</v>
      </c>
      <c r="R193" s="14">
        <f t="shared" si="305"/>
        <v>17</v>
      </c>
      <c r="S193" s="14">
        <f t="shared" si="305"/>
        <v>17</v>
      </c>
      <c r="T193" s="16">
        <v>26.0</v>
      </c>
      <c r="U193" s="16">
        <v>27.0</v>
      </c>
      <c r="V193" s="16">
        <v>33.0</v>
      </c>
      <c r="W193" s="15">
        <v>36.0</v>
      </c>
      <c r="X193" s="15">
        <v>37.0</v>
      </c>
      <c r="Y193" s="17">
        <v>37.0</v>
      </c>
      <c r="Z193" s="15">
        <v>37.0</v>
      </c>
      <c r="AA193" s="15">
        <v>53.84615384615385</v>
      </c>
      <c r="AB193" s="15">
        <v>44.44444444444444</v>
      </c>
      <c r="AC193" s="15">
        <v>42.42424242424242</v>
      </c>
      <c r="AD193" s="16">
        <v>41.66666666666667</v>
      </c>
      <c r="AE193" s="16">
        <v>51.35135135135135</v>
      </c>
      <c r="AF193" s="16">
        <v>54.054054054054056</v>
      </c>
      <c r="AG193" s="16">
        <v>54.054054054054056</v>
      </c>
      <c r="AH193" s="16">
        <f t="shared" si="297"/>
        <v>42.84511785</v>
      </c>
      <c r="AI193" s="18">
        <f t="shared" si="289"/>
        <v>53.15315315</v>
      </c>
      <c r="AJ193" s="14">
        <f t="shared" si="290"/>
        <v>13.66666667</v>
      </c>
      <c r="AK193" s="14">
        <f t="shared" si="291"/>
        <v>19.66666667</v>
      </c>
      <c r="AL193" s="14">
        <f t="shared" si="292"/>
        <v>18.33333333</v>
      </c>
      <c r="AM193" s="14">
        <f t="shared" si="293"/>
        <v>17.33333333</v>
      </c>
    </row>
    <row r="194" ht="14.25" customHeight="1">
      <c r="A194" s="1" t="s">
        <v>50</v>
      </c>
      <c r="B194" s="1" t="s">
        <v>312</v>
      </c>
      <c r="C194" s="1" t="s">
        <v>315</v>
      </c>
      <c r="D194" s="1" t="s">
        <v>315</v>
      </c>
      <c r="E194" s="14">
        <v>41202.0</v>
      </c>
      <c r="F194" s="15">
        <v>3.0</v>
      </c>
      <c r="G194" s="15">
        <v>3.0</v>
      </c>
      <c r="H194" s="15">
        <v>5.0</v>
      </c>
      <c r="I194" s="15">
        <v>7.0</v>
      </c>
      <c r="J194" s="15">
        <v>10.0</v>
      </c>
      <c r="K194" s="15">
        <v>11.0</v>
      </c>
      <c r="L194" s="16">
        <v>11.0</v>
      </c>
      <c r="M194" s="14">
        <f t="shared" ref="M194:S194" si="306">IF(AND(ISBLANK(F194), NOT(ISBLANK(T194))), T194, IF(OR(ISBLANK(T194), ISBLANK(F194)), "", T194-F194))</f>
        <v>7</v>
      </c>
      <c r="N194" s="14">
        <f t="shared" si="306"/>
        <v>7</v>
      </c>
      <c r="O194" s="14">
        <f t="shared" si="306"/>
        <v>10</v>
      </c>
      <c r="P194" s="14">
        <f t="shared" si="306"/>
        <v>9</v>
      </c>
      <c r="Q194" s="14">
        <f t="shared" si="306"/>
        <v>8</v>
      </c>
      <c r="R194" s="14">
        <f t="shared" si="306"/>
        <v>7</v>
      </c>
      <c r="S194" s="14">
        <f t="shared" si="306"/>
        <v>7</v>
      </c>
      <c r="T194" s="16">
        <v>10.0</v>
      </c>
      <c r="U194" s="16">
        <v>10.0</v>
      </c>
      <c r="V194" s="16">
        <v>15.0</v>
      </c>
      <c r="W194" s="15">
        <v>16.0</v>
      </c>
      <c r="X194" s="15">
        <v>18.0</v>
      </c>
      <c r="Y194" s="17">
        <v>18.0</v>
      </c>
      <c r="Z194" s="15">
        <v>18.0</v>
      </c>
      <c r="AA194" s="15">
        <v>30.0</v>
      </c>
      <c r="AB194" s="15">
        <v>30.0</v>
      </c>
      <c r="AC194" s="15">
        <v>33.33333333333333</v>
      </c>
      <c r="AD194" s="16">
        <v>43.75</v>
      </c>
      <c r="AE194" s="16">
        <v>55.55555555555556</v>
      </c>
      <c r="AF194" s="16">
        <v>61.111111111111114</v>
      </c>
      <c r="AG194" s="16">
        <v>61.111111111111114</v>
      </c>
      <c r="AH194" s="16">
        <f t="shared" si="297"/>
        <v>35.69444444</v>
      </c>
      <c r="AI194" s="18">
        <f t="shared" si="289"/>
        <v>59.25925926</v>
      </c>
      <c r="AJ194" s="14">
        <f t="shared" si="290"/>
        <v>5</v>
      </c>
      <c r="AK194" s="14">
        <f t="shared" si="291"/>
        <v>10.66666667</v>
      </c>
      <c r="AL194" s="14">
        <f t="shared" si="292"/>
        <v>8.666666667</v>
      </c>
      <c r="AM194" s="14">
        <f t="shared" si="293"/>
        <v>7.333333333</v>
      </c>
    </row>
    <row r="195" ht="14.25" customHeight="1">
      <c r="A195" s="1" t="s">
        <v>50</v>
      </c>
      <c r="B195" s="1" t="s">
        <v>316</v>
      </c>
      <c r="C195" s="1" t="s">
        <v>253</v>
      </c>
      <c r="D195" s="1" t="s">
        <v>253</v>
      </c>
      <c r="E195" s="14">
        <v>41301.0</v>
      </c>
      <c r="F195" s="15">
        <v>14.0</v>
      </c>
      <c r="G195" s="15">
        <v>16.0</v>
      </c>
      <c r="H195" s="15">
        <v>20.0</v>
      </c>
      <c r="I195" s="15">
        <v>19.0</v>
      </c>
      <c r="J195" s="15">
        <v>41.0</v>
      </c>
      <c r="K195" s="15">
        <v>44.0</v>
      </c>
      <c r="L195" s="16">
        <v>45.0</v>
      </c>
      <c r="M195" s="14">
        <f t="shared" ref="M195:S195" si="307">IF(AND(ISBLANK(F195), NOT(ISBLANK(T195))), T195, IF(OR(ISBLANK(T195), ISBLANK(F195)), "", T195-F195))</f>
        <v>26</v>
      </c>
      <c r="N195" s="14">
        <f t="shared" si="307"/>
        <v>24</v>
      </c>
      <c r="O195" s="14">
        <f t="shared" si="307"/>
        <v>34</v>
      </c>
      <c r="P195" s="14">
        <f t="shared" si="307"/>
        <v>36</v>
      </c>
      <c r="Q195" s="14">
        <f t="shared" si="307"/>
        <v>24</v>
      </c>
      <c r="R195" s="14">
        <f t="shared" si="307"/>
        <v>21</v>
      </c>
      <c r="S195" s="14">
        <f t="shared" si="307"/>
        <v>20</v>
      </c>
      <c r="T195" s="16">
        <v>40.0</v>
      </c>
      <c r="U195" s="16">
        <v>40.0</v>
      </c>
      <c r="V195" s="16">
        <v>54.0</v>
      </c>
      <c r="W195" s="15">
        <v>55.0</v>
      </c>
      <c r="X195" s="15">
        <v>65.0</v>
      </c>
      <c r="Y195" s="17">
        <v>65.0</v>
      </c>
      <c r="Z195" s="15">
        <v>65.0</v>
      </c>
      <c r="AA195" s="15">
        <v>35.0</v>
      </c>
      <c r="AB195" s="15">
        <v>40.0</v>
      </c>
      <c r="AC195" s="15">
        <v>37.03703703703704</v>
      </c>
      <c r="AD195" s="16">
        <v>34.54545454545455</v>
      </c>
      <c r="AE195" s="16">
        <v>63.07692307692307</v>
      </c>
      <c r="AF195" s="16">
        <v>67.6923076923077</v>
      </c>
      <c r="AG195" s="16">
        <v>69.23076923076923</v>
      </c>
      <c r="AH195" s="16">
        <f t="shared" si="297"/>
        <v>37.19416386</v>
      </c>
      <c r="AI195" s="18">
        <f t="shared" si="289"/>
        <v>66.66666667</v>
      </c>
      <c r="AJ195" s="14">
        <f t="shared" si="290"/>
        <v>18.33333333</v>
      </c>
      <c r="AK195" s="14">
        <f t="shared" si="291"/>
        <v>43.33333333</v>
      </c>
      <c r="AL195" s="14">
        <f t="shared" si="292"/>
        <v>31.33333333</v>
      </c>
      <c r="AM195" s="14">
        <f t="shared" si="293"/>
        <v>21.66666667</v>
      </c>
    </row>
    <row r="196" ht="14.25" customHeight="1">
      <c r="A196" s="1" t="s">
        <v>50</v>
      </c>
      <c r="B196" s="1" t="s">
        <v>317</v>
      </c>
      <c r="C196" s="1" t="s">
        <v>318</v>
      </c>
      <c r="D196" s="1" t="s">
        <v>318</v>
      </c>
      <c r="E196" s="14">
        <v>41401.0</v>
      </c>
      <c r="F196" s="15">
        <v>22.0</v>
      </c>
      <c r="G196" s="15">
        <v>27.0</v>
      </c>
      <c r="H196" s="15">
        <v>30.0</v>
      </c>
      <c r="I196" s="15">
        <v>30.0</v>
      </c>
      <c r="J196" s="15">
        <v>45.0</v>
      </c>
      <c r="K196" s="15">
        <v>47.0</v>
      </c>
      <c r="L196" s="16">
        <v>51.0</v>
      </c>
      <c r="M196" s="14">
        <f t="shared" ref="M196:S196" si="308">IF(AND(ISBLANK(F196), NOT(ISBLANK(T196))), T196, IF(OR(ISBLANK(T196), ISBLANK(F196)), "", T196-F196))</f>
        <v>11</v>
      </c>
      <c r="N196" s="14">
        <f t="shared" si="308"/>
        <v>9</v>
      </c>
      <c r="O196" s="14">
        <f t="shared" si="308"/>
        <v>27</v>
      </c>
      <c r="P196" s="14">
        <f t="shared" si="308"/>
        <v>28</v>
      </c>
      <c r="Q196" s="14">
        <f t="shared" si="308"/>
        <v>20</v>
      </c>
      <c r="R196" s="14">
        <f t="shared" si="308"/>
        <v>19</v>
      </c>
      <c r="S196" s="14">
        <f t="shared" si="308"/>
        <v>17</v>
      </c>
      <c r="T196" s="16">
        <v>33.0</v>
      </c>
      <c r="U196" s="16">
        <v>36.0</v>
      </c>
      <c r="V196" s="16">
        <v>57.0</v>
      </c>
      <c r="W196" s="15">
        <v>58.0</v>
      </c>
      <c r="X196" s="15">
        <v>65.0</v>
      </c>
      <c r="Y196" s="17">
        <v>66.0</v>
      </c>
      <c r="Z196" s="15">
        <v>68.0</v>
      </c>
      <c r="AA196" s="15">
        <v>66.66666666666666</v>
      </c>
      <c r="AB196" s="15">
        <v>75.0</v>
      </c>
      <c r="AC196" s="15">
        <v>52.63157894736842</v>
      </c>
      <c r="AD196" s="16">
        <v>51.724137931034484</v>
      </c>
      <c r="AE196" s="16">
        <v>69.23076923076923</v>
      </c>
      <c r="AF196" s="16">
        <v>71.21212121212122</v>
      </c>
      <c r="AG196" s="16">
        <v>75.0</v>
      </c>
      <c r="AH196" s="16">
        <f t="shared" si="297"/>
        <v>59.78523896</v>
      </c>
      <c r="AI196" s="18">
        <f t="shared" si="289"/>
        <v>71.81429681</v>
      </c>
      <c r="AJ196" s="14">
        <f t="shared" si="290"/>
        <v>29</v>
      </c>
      <c r="AK196" s="14">
        <f t="shared" si="291"/>
        <v>47.66666667</v>
      </c>
      <c r="AL196" s="14">
        <f t="shared" si="292"/>
        <v>21.33333333</v>
      </c>
      <c r="AM196" s="14">
        <f t="shared" si="293"/>
        <v>18.66666667</v>
      </c>
    </row>
    <row r="197" ht="14.25" customHeight="1">
      <c r="A197" s="1" t="s">
        <v>50</v>
      </c>
      <c r="B197" s="1" t="s">
        <v>319</v>
      </c>
      <c r="C197" s="1" t="s">
        <v>320</v>
      </c>
      <c r="D197" s="1" t="s">
        <v>320</v>
      </c>
      <c r="E197" s="14">
        <v>41501.0</v>
      </c>
      <c r="F197" s="15">
        <v>2.0</v>
      </c>
      <c r="G197" s="15">
        <v>2.0</v>
      </c>
      <c r="H197" s="15">
        <v>1.0</v>
      </c>
      <c r="I197" s="15">
        <v>2.0</v>
      </c>
      <c r="J197" s="15">
        <v>8.0</v>
      </c>
      <c r="K197" s="15">
        <v>9.0</v>
      </c>
      <c r="L197" s="16">
        <v>9.0</v>
      </c>
      <c r="M197" s="14">
        <f t="shared" ref="M197:S197" si="309">IF(AND(ISBLANK(F197), NOT(ISBLANK(T197))), T197, IF(OR(ISBLANK(T197), ISBLANK(F197)), "", T197-F197))</f>
        <v>5</v>
      </c>
      <c r="N197" s="14">
        <f t="shared" si="309"/>
        <v>5</v>
      </c>
      <c r="O197" s="14">
        <f t="shared" si="309"/>
        <v>6</v>
      </c>
      <c r="P197" s="14">
        <f t="shared" si="309"/>
        <v>6</v>
      </c>
      <c r="Q197" s="14">
        <f t="shared" si="309"/>
        <v>1</v>
      </c>
      <c r="R197" s="14">
        <f t="shared" si="309"/>
        <v>1</v>
      </c>
      <c r="S197" s="14">
        <f t="shared" si="309"/>
        <v>1</v>
      </c>
      <c r="T197" s="16">
        <v>7.0</v>
      </c>
      <c r="U197" s="16">
        <v>7.0</v>
      </c>
      <c r="V197" s="16">
        <v>7.0</v>
      </c>
      <c r="W197" s="15">
        <v>8.0</v>
      </c>
      <c r="X197" s="15">
        <v>9.0</v>
      </c>
      <c r="Y197" s="17">
        <v>10.0</v>
      </c>
      <c r="Z197" s="15">
        <v>10.0</v>
      </c>
      <c r="AA197" s="15">
        <v>28.57142857142857</v>
      </c>
      <c r="AB197" s="15">
        <v>28.57142857142857</v>
      </c>
      <c r="AC197" s="15">
        <v>14.285714285714285</v>
      </c>
      <c r="AD197" s="16">
        <v>25.0</v>
      </c>
      <c r="AE197" s="16">
        <v>88.88888888888889</v>
      </c>
      <c r="AF197" s="16">
        <v>90.0</v>
      </c>
      <c r="AG197" s="16">
        <v>90.0</v>
      </c>
      <c r="AH197" s="16">
        <f t="shared" si="297"/>
        <v>22.61904762</v>
      </c>
      <c r="AI197" s="18">
        <f t="shared" si="289"/>
        <v>89.62962963</v>
      </c>
      <c r="AJ197" s="14">
        <f t="shared" si="290"/>
        <v>1.666666667</v>
      </c>
      <c r="AK197" s="14">
        <f t="shared" si="291"/>
        <v>8.666666667</v>
      </c>
      <c r="AL197" s="14">
        <f t="shared" si="292"/>
        <v>5.666666667</v>
      </c>
      <c r="AM197" s="14">
        <f t="shared" si="293"/>
        <v>1</v>
      </c>
    </row>
    <row r="198" ht="14.25" customHeight="1">
      <c r="A198" s="1" t="s">
        <v>50</v>
      </c>
      <c r="B198" s="1" t="s">
        <v>319</v>
      </c>
      <c r="C198" s="1" t="s">
        <v>321</v>
      </c>
      <c r="D198" s="1" t="s">
        <v>321</v>
      </c>
      <c r="E198" s="14">
        <v>41502.0</v>
      </c>
      <c r="F198" s="15">
        <v>2.0</v>
      </c>
      <c r="G198" s="15">
        <v>2.0</v>
      </c>
      <c r="H198" s="15">
        <v>2.0</v>
      </c>
      <c r="I198" s="15">
        <v>2.0</v>
      </c>
      <c r="J198" s="15">
        <v>7.0</v>
      </c>
      <c r="K198" s="15">
        <v>7.0</v>
      </c>
      <c r="L198" s="16">
        <v>7.0</v>
      </c>
      <c r="M198" s="14">
        <f t="shared" ref="M198:S198" si="310">IF(AND(ISBLANK(F198), NOT(ISBLANK(T198))), T198, IF(OR(ISBLANK(T198), ISBLANK(F198)), "", T198-F198))</f>
        <v>4</v>
      </c>
      <c r="N198" s="14">
        <f t="shared" si="310"/>
        <v>4</v>
      </c>
      <c r="O198" s="14">
        <f t="shared" si="310"/>
        <v>6</v>
      </c>
      <c r="P198" s="14">
        <f t="shared" si="310"/>
        <v>6</v>
      </c>
      <c r="Q198" s="14">
        <f t="shared" si="310"/>
        <v>3</v>
      </c>
      <c r="R198" s="14">
        <f t="shared" si="310"/>
        <v>3</v>
      </c>
      <c r="S198" s="14">
        <f t="shared" si="310"/>
        <v>3</v>
      </c>
      <c r="T198" s="16">
        <v>6.0</v>
      </c>
      <c r="U198" s="16">
        <v>6.0</v>
      </c>
      <c r="V198" s="16">
        <v>8.0</v>
      </c>
      <c r="W198" s="15">
        <v>8.0</v>
      </c>
      <c r="X198" s="15">
        <v>10.0</v>
      </c>
      <c r="Y198" s="17">
        <v>10.0</v>
      </c>
      <c r="Z198" s="1">
        <v>10.0</v>
      </c>
      <c r="AA198" s="1">
        <v>33.33333333333333</v>
      </c>
      <c r="AB198" s="1">
        <v>33.33333333333333</v>
      </c>
      <c r="AC198" s="1">
        <v>25.0</v>
      </c>
      <c r="AD198" s="16">
        <v>25.0</v>
      </c>
      <c r="AE198" s="16">
        <v>70.0</v>
      </c>
      <c r="AF198" s="16">
        <v>70.0</v>
      </c>
      <c r="AG198" s="16">
        <v>70.0</v>
      </c>
      <c r="AH198" s="16">
        <f t="shared" si="297"/>
        <v>27.77777778</v>
      </c>
      <c r="AI198" s="18">
        <f t="shared" si="289"/>
        <v>70</v>
      </c>
      <c r="AJ198" s="14">
        <f t="shared" si="290"/>
        <v>2</v>
      </c>
      <c r="AK198" s="14">
        <f t="shared" si="291"/>
        <v>7</v>
      </c>
      <c r="AL198" s="14">
        <f t="shared" si="292"/>
        <v>5.333333333</v>
      </c>
      <c r="AM198" s="14">
        <f t="shared" si="293"/>
        <v>3</v>
      </c>
    </row>
    <row r="199" ht="14.25" customHeight="1">
      <c r="A199" s="1" t="s">
        <v>50</v>
      </c>
      <c r="B199" s="1" t="s">
        <v>319</v>
      </c>
      <c r="C199" s="1" t="s">
        <v>282</v>
      </c>
      <c r="D199" s="1" t="s">
        <v>282</v>
      </c>
      <c r="E199" s="14">
        <v>41503.0</v>
      </c>
      <c r="F199" s="15">
        <v>0.0</v>
      </c>
      <c r="G199" s="15">
        <v>0.0</v>
      </c>
      <c r="H199" s="15">
        <v>0.0</v>
      </c>
      <c r="I199" s="15">
        <v>0.0</v>
      </c>
      <c r="J199" s="15">
        <v>3.0</v>
      </c>
      <c r="K199" s="15">
        <v>3.0</v>
      </c>
      <c r="L199" s="16">
        <v>3.0</v>
      </c>
      <c r="M199" s="14">
        <f t="shared" ref="M199:S199" si="311">IF(AND(ISBLANK(F199), NOT(ISBLANK(T199))), T199, IF(OR(ISBLANK(T199), ISBLANK(F199)), "", T199-F199))</f>
        <v>0</v>
      </c>
      <c r="N199" s="14">
        <f t="shared" si="311"/>
        <v>0</v>
      </c>
      <c r="O199" s="14">
        <f t="shared" si="311"/>
        <v>0</v>
      </c>
      <c r="P199" s="14">
        <f t="shared" si="311"/>
        <v>0</v>
      </c>
      <c r="Q199" s="14">
        <f t="shared" si="311"/>
        <v>0</v>
      </c>
      <c r="R199" s="14">
        <f t="shared" si="311"/>
        <v>0</v>
      </c>
      <c r="S199" s="14">
        <f t="shared" si="311"/>
        <v>0</v>
      </c>
      <c r="T199" s="16">
        <v>0.0</v>
      </c>
      <c r="U199" s="16">
        <v>0.0</v>
      </c>
      <c r="V199" s="16">
        <v>0.0</v>
      </c>
      <c r="W199" s="15">
        <v>0.0</v>
      </c>
      <c r="X199" s="15">
        <v>3.0</v>
      </c>
      <c r="Y199" s="17">
        <v>3.0</v>
      </c>
      <c r="Z199" s="15">
        <v>3.0</v>
      </c>
      <c r="AA199" s="15"/>
      <c r="AB199" s="15"/>
      <c r="AC199" s="15"/>
      <c r="AD199" s="16"/>
      <c r="AE199" s="16">
        <v>100.0</v>
      </c>
      <c r="AF199" s="16">
        <v>100.0</v>
      </c>
      <c r="AG199" s="16">
        <v>100.0</v>
      </c>
      <c r="AH199" s="16"/>
      <c r="AI199" s="18">
        <f t="shared" si="289"/>
        <v>100</v>
      </c>
      <c r="AJ199" s="14">
        <f t="shared" si="290"/>
        <v>0</v>
      </c>
      <c r="AK199" s="14">
        <f t="shared" si="291"/>
        <v>3</v>
      </c>
      <c r="AL199" s="14">
        <f t="shared" si="292"/>
        <v>0</v>
      </c>
      <c r="AM199" s="14">
        <f t="shared" si="293"/>
        <v>0</v>
      </c>
    </row>
    <row r="200" ht="14.25" customHeight="1">
      <c r="A200" s="1" t="s">
        <v>50</v>
      </c>
      <c r="B200" s="1" t="s">
        <v>322</v>
      </c>
      <c r="C200" s="1" t="s">
        <v>323</v>
      </c>
      <c r="D200" s="1" t="s">
        <v>324</v>
      </c>
      <c r="E200" s="14">
        <v>41601.0</v>
      </c>
      <c r="F200" s="15">
        <v>10.0</v>
      </c>
      <c r="G200" s="15">
        <v>10.0</v>
      </c>
      <c r="H200" s="15">
        <v>14.0</v>
      </c>
      <c r="I200" s="15">
        <v>14.0</v>
      </c>
      <c r="J200" s="15">
        <v>35.0</v>
      </c>
      <c r="K200" s="15">
        <v>36.0</v>
      </c>
      <c r="L200" s="16">
        <v>36.0</v>
      </c>
      <c r="M200" s="14">
        <f t="shared" ref="M200:S200" si="312">IF(AND(ISBLANK(F200), NOT(ISBLANK(T200))), T200, IF(OR(ISBLANK(T200), ISBLANK(F200)), "", T200-F200))</f>
        <v>23</v>
      </c>
      <c r="N200" s="14">
        <f t="shared" si="312"/>
        <v>23</v>
      </c>
      <c r="O200" s="14">
        <f t="shared" si="312"/>
        <v>28</v>
      </c>
      <c r="P200" s="14">
        <f t="shared" si="312"/>
        <v>30</v>
      </c>
      <c r="Q200" s="14">
        <f t="shared" si="312"/>
        <v>21</v>
      </c>
      <c r="R200" s="14">
        <f t="shared" si="312"/>
        <v>21</v>
      </c>
      <c r="S200" s="14">
        <f t="shared" si="312"/>
        <v>19</v>
      </c>
      <c r="T200" s="16">
        <v>33.0</v>
      </c>
      <c r="U200" s="16">
        <v>33.0</v>
      </c>
      <c r="V200" s="16">
        <v>42.0</v>
      </c>
      <c r="W200" s="15">
        <v>44.0</v>
      </c>
      <c r="X200" s="15">
        <v>56.0</v>
      </c>
      <c r="Y200" s="17">
        <v>57.0</v>
      </c>
      <c r="Z200" s="15">
        <v>55.0</v>
      </c>
      <c r="AA200" s="15">
        <v>30.303030303030305</v>
      </c>
      <c r="AB200" s="15">
        <v>30.303030303030305</v>
      </c>
      <c r="AC200" s="15">
        <v>33.33333333333333</v>
      </c>
      <c r="AD200" s="16">
        <v>31.818181818181817</v>
      </c>
      <c r="AE200" s="16">
        <v>62.5</v>
      </c>
      <c r="AF200" s="16">
        <v>63.1578947368421</v>
      </c>
      <c r="AG200" s="16">
        <v>65.45454545454545</v>
      </c>
      <c r="AH200" s="16">
        <f t="shared" ref="AH200:AH344" si="314">AVERAGE(AB200:AD200)</f>
        <v>31.81818182</v>
      </c>
      <c r="AI200" s="18">
        <f t="shared" si="289"/>
        <v>63.70414673</v>
      </c>
      <c r="AJ200" s="14">
        <f t="shared" si="290"/>
        <v>12.66666667</v>
      </c>
      <c r="AK200" s="14">
        <f t="shared" si="291"/>
        <v>35.66666667</v>
      </c>
      <c r="AL200" s="14">
        <f t="shared" si="292"/>
        <v>27</v>
      </c>
      <c r="AM200" s="14">
        <f t="shared" si="293"/>
        <v>20.33333333</v>
      </c>
    </row>
    <row r="201" ht="14.25" customHeight="1">
      <c r="A201" s="1" t="s">
        <v>325</v>
      </c>
      <c r="B201" s="1" t="s">
        <v>326</v>
      </c>
      <c r="C201" s="1" t="s">
        <v>325</v>
      </c>
      <c r="D201" s="1" t="s">
        <v>325</v>
      </c>
      <c r="E201" s="14">
        <v>50101.0</v>
      </c>
      <c r="F201" s="15">
        <v>621.0</v>
      </c>
      <c r="G201" s="15">
        <v>718.0</v>
      </c>
      <c r="H201" s="15">
        <v>895.0</v>
      </c>
      <c r="I201" s="15">
        <v>917.0</v>
      </c>
      <c r="J201" s="15">
        <v>1016.0</v>
      </c>
      <c r="K201" s="15">
        <v>1034.0</v>
      </c>
      <c r="L201" s="16">
        <v>1082.0</v>
      </c>
      <c r="M201" s="14">
        <f t="shared" ref="M201:S201" si="313">IF(AND(ISBLANK(F201), NOT(ISBLANK(T201))), T201, IF(OR(ISBLANK(T201), ISBLANK(F201)), "", T201-F201))</f>
        <v>120</v>
      </c>
      <c r="N201" s="14">
        <f t="shared" si="313"/>
        <v>144</v>
      </c>
      <c r="O201" s="14">
        <f t="shared" si="313"/>
        <v>242</v>
      </c>
      <c r="P201" s="14">
        <f t="shared" si="313"/>
        <v>249</v>
      </c>
      <c r="Q201" s="14">
        <f t="shared" si="313"/>
        <v>310</v>
      </c>
      <c r="R201" s="14">
        <f t="shared" si="313"/>
        <v>316</v>
      </c>
      <c r="S201" s="14">
        <f t="shared" si="313"/>
        <v>325</v>
      </c>
      <c r="T201" s="16">
        <v>741.0</v>
      </c>
      <c r="U201" s="16">
        <v>862.0</v>
      </c>
      <c r="V201" s="16">
        <v>1137.0</v>
      </c>
      <c r="W201" s="15">
        <v>1166.0</v>
      </c>
      <c r="X201" s="15">
        <v>1326.0</v>
      </c>
      <c r="Y201" s="17">
        <v>1350.0</v>
      </c>
      <c r="Z201" s="15">
        <v>1407.0</v>
      </c>
      <c r="AA201" s="15">
        <v>83.80566801619433</v>
      </c>
      <c r="AB201" s="15">
        <v>83.29466357308584</v>
      </c>
      <c r="AC201" s="15">
        <v>78.71591908531222</v>
      </c>
      <c r="AD201" s="16">
        <v>78.64493996569468</v>
      </c>
      <c r="AE201" s="16">
        <v>76.6214177978884</v>
      </c>
      <c r="AF201" s="16">
        <v>76.5925925925926</v>
      </c>
      <c r="AG201" s="16">
        <v>76.90120824449183</v>
      </c>
      <c r="AH201" s="16">
        <f t="shared" si="314"/>
        <v>80.21850754</v>
      </c>
      <c r="AI201" s="18">
        <f t="shared" si="289"/>
        <v>76.70507288</v>
      </c>
      <c r="AJ201" s="14">
        <f t="shared" si="290"/>
        <v>843.3333333</v>
      </c>
      <c r="AK201" s="14">
        <f t="shared" si="291"/>
        <v>1044</v>
      </c>
      <c r="AL201" s="14">
        <f t="shared" si="292"/>
        <v>211.6666667</v>
      </c>
      <c r="AM201" s="14">
        <f t="shared" si="293"/>
        <v>317</v>
      </c>
    </row>
    <row r="202" ht="14.25" customHeight="1">
      <c r="A202" s="1" t="s">
        <v>325</v>
      </c>
      <c r="B202" s="1" t="s">
        <v>326</v>
      </c>
      <c r="C202" s="1" t="s">
        <v>327</v>
      </c>
      <c r="D202" s="1" t="s">
        <v>327</v>
      </c>
      <c r="E202" s="14">
        <v>50102.0</v>
      </c>
      <c r="F202" s="15">
        <v>26.0</v>
      </c>
      <c r="G202" s="15">
        <v>28.0</v>
      </c>
      <c r="H202" s="15">
        <v>31.0</v>
      </c>
      <c r="I202" s="15">
        <v>33.0</v>
      </c>
      <c r="J202" s="15">
        <v>58.0</v>
      </c>
      <c r="K202" s="15">
        <v>58.0</v>
      </c>
      <c r="L202" s="16">
        <v>58.0</v>
      </c>
      <c r="M202" s="14">
        <f t="shared" ref="M202:S202" si="315">IF(AND(ISBLANK(F202), NOT(ISBLANK(T202))), T202, IF(OR(ISBLANK(T202), ISBLANK(F202)), "", T202-F202))</f>
        <v>8</v>
      </c>
      <c r="N202" s="14">
        <f t="shared" si="315"/>
        <v>10</v>
      </c>
      <c r="O202" s="14">
        <f t="shared" si="315"/>
        <v>41</v>
      </c>
      <c r="P202" s="14">
        <f t="shared" si="315"/>
        <v>52</v>
      </c>
      <c r="Q202" s="14">
        <f t="shared" si="315"/>
        <v>41</v>
      </c>
      <c r="R202" s="14">
        <f t="shared" si="315"/>
        <v>45</v>
      </c>
      <c r="S202" s="14">
        <f t="shared" si="315"/>
        <v>48</v>
      </c>
      <c r="T202" s="16">
        <v>34.0</v>
      </c>
      <c r="U202" s="16">
        <v>38.0</v>
      </c>
      <c r="V202" s="16">
        <v>72.0</v>
      </c>
      <c r="W202" s="15">
        <v>85.0</v>
      </c>
      <c r="X202" s="15">
        <v>99.0</v>
      </c>
      <c r="Y202" s="17">
        <v>103.0</v>
      </c>
      <c r="Z202" s="15">
        <v>106.0</v>
      </c>
      <c r="AA202" s="15">
        <v>76.47058823529412</v>
      </c>
      <c r="AB202" s="15">
        <v>73.68421052631578</v>
      </c>
      <c r="AC202" s="15">
        <v>43.05555555555556</v>
      </c>
      <c r="AD202" s="16">
        <v>38.82352941176471</v>
      </c>
      <c r="AE202" s="16">
        <v>58.58585858585859</v>
      </c>
      <c r="AF202" s="16">
        <v>56.310679611650485</v>
      </c>
      <c r="AG202" s="16">
        <v>54.71698113207547</v>
      </c>
      <c r="AH202" s="16">
        <f t="shared" si="314"/>
        <v>51.85443183</v>
      </c>
      <c r="AI202" s="18">
        <f t="shared" si="289"/>
        <v>56.53783978</v>
      </c>
      <c r="AJ202" s="14">
        <f t="shared" si="290"/>
        <v>30.66666667</v>
      </c>
      <c r="AK202" s="14">
        <f t="shared" si="291"/>
        <v>58</v>
      </c>
      <c r="AL202" s="14">
        <f t="shared" si="292"/>
        <v>34.33333333</v>
      </c>
      <c r="AM202" s="14">
        <f t="shared" si="293"/>
        <v>44.66666667</v>
      </c>
    </row>
    <row r="203" ht="14.25" customHeight="1">
      <c r="A203" s="1" t="s">
        <v>325</v>
      </c>
      <c r="B203" s="1" t="s">
        <v>326</v>
      </c>
      <c r="C203" s="1" t="s">
        <v>328</v>
      </c>
      <c r="D203" s="1" t="s">
        <v>329</v>
      </c>
      <c r="E203" s="14">
        <v>50103.0</v>
      </c>
      <c r="F203" s="15">
        <v>33.0</v>
      </c>
      <c r="G203" s="15">
        <v>35.0</v>
      </c>
      <c r="H203" s="15">
        <v>46.0</v>
      </c>
      <c r="I203" s="15">
        <v>45.0</v>
      </c>
      <c r="J203" s="15">
        <v>56.0</v>
      </c>
      <c r="K203" s="15">
        <v>56.0</v>
      </c>
      <c r="L203" s="16">
        <v>55.0</v>
      </c>
      <c r="M203" s="14">
        <f t="shared" ref="M203:S203" si="316">IF(AND(ISBLANK(F203), NOT(ISBLANK(T203))), T203, IF(OR(ISBLANK(T203), ISBLANK(F203)), "", T203-F203))</f>
        <v>16</v>
      </c>
      <c r="N203" s="14">
        <f t="shared" si="316"/>
        <v>14</v>
      </c>
      <c r="O203" s="14">
        <f t="shared" si="316"/>
        <v>27</v>
      </c>
      <c r="P203" s="14">
        <f t="shared" si="316"/>
        <v>31</v>
      </c>
      <c r="Q203" s="14">
        <f t="shared" si="316"/>
        <v>22</v>
      </c>
      <c r="R203" s="14">
        <f t="shared" si="316"/>
        <v>22</v>
      </c>
      <c r="S203" s="14">
        <f t="shared" si="316"/>
        <v>23</v>
      </c>
      <c r="T203" s="16">
        <v>49.0</v>
      </c>
      <c r="U203" s="16">
        <v>49.0</v>
      </c>
      <c r="V203" s="16">
        <v>73.0</v>
      </c>
      <c r="W203" s="15">
        <v>76.0</v>
      </c>
      <c r="X203" s="15">
        <v>78.0</v>
      </c>
      <c r="Y203" s="17">
        <v>78.0</v>
      </c>
      <c r="Z203" s="15">
        <v>78.0</v>
      </c>
      <c r="AA203" s="15">
        <v>67.3469387755102</v>
      </c>
      <c r="AB203" s="15">
        <v>71.42857142857143</v>
      </c>
      <c r="AC203" s="15">
        <v>63.013698630136986</v>
      </c>
      <c r="AD203" s="16">
        <v>59.210526315789465</v>
      </c>
      <c r="AE203" s="16">
        <v>71.7948717948718</v>
      </c>
      <c r="AF203" s="16">
        <v>71.7948717948718</v>
      </c>
      <c r="AG203" s="16">
        <v>70.51282051282051</v>
      </c>
      <c r="AH203" s="16">
        <f t="shared" si="314"/>
        <v>64.55093212</v>
      </c>
      <c r="AI203" s="18">
        <f t="shared" si="289"/>
        <v>71.36752137</v>
      </c>
      <c r="AJ203" s="14">
        <f t="shared" si="290"/>
        <v>42</v>
      </c>
      <c r="AK203" s="14">
        <f t="shared" si="291"/>
        <v>55.66666667</v>
      </c>
      <c r="AL203" s="14">
        <f t="shared" si="292"/>
        <v>24</v>
      </c>
      <c r="AM203" s="14">
        <f t="shared" si="293"/>
        <v>22.33333333</v>
      </c>
    </row>
    <row r="204" ht="14.25" customHeight="1">
      <c r="A204" s="1" t="s">
        <v>325</v>
      </c>
      <c r="B204" s="1" t="s">
        <v>326</v>
      </c>
      <c r="C204" s="1" t="s">
        <v>330</v>
      </c>
      <c r="D204" s="1" t="s">
        <v>331</v>
      </c>
      <c r="E204" s="14">
        <v>50104.0</v>
      </c>
      <c r="F204" s="15">
        <v>31.0</v>
      </c>
      <c r="G204" s="15">
        <v>33.0</v>
      </c>
      <c r="H204" s="15">
        <v>26.0</v>
      </c>
      <c r="I204" s="15">
        <v>49.0</v>
      </c>
      <c r="J204" s="15">
        <v>22.0</v>
      </c>
      <c r="K204" s="15">
        <v>24.0</v>
      </c>
      <c r="L204" s="16">
        <v>28.0</v>
      </c>
      <c r="M204" s="14">
        <f t="shared" ref="M204:S204" si="317">IF(AND(ISBLANK(F204), NOT(ISBLANK(T204))), T204, IF(OR(ISBLANK(T204), ISBLANK(F204)), "", T204-F204))</f>
        <v>21</v>
      </c>
      <c r="N204" s="14">
        <f t="shared" si="317"/>
        <v>19</v>
      </c>
      <c r="O204" s="14">
        <f t="shared" si="317"/>
        <v>23</v>
      </c>
      <c r="P204" s="14">
        <f t="shared" si="317"/>
        <v>30</v>
      </c>
      <c r="Q204" s="14">
        <f t="shared" si="317"/>
        <v>15</v>
      </c>
      <c r="R204" s="14">
        <f t="shared" si="317"/>
        <v>15</v>
      </c>
      <c r="S204" s="14">
        <f t="shared" si="317"/>
        <v>17</v>
      </c>
      <c r="T204" s="16">
        <v>52.0</v>
      </c>
      <c r="U204" s="16">
        <v>52.0</v>
      </c>
      <c r="V204" s="16">
        <v>49.0</v>
      </c>
      <c r="W204" s="15">
        <v>79.0</v>
      </c>
      <c r="X204" s="15">
        <v>37.0</v>
      </c>
      <c r="Y204" s="17">
        <v>39.0</v>
      </c>
      <c r="Z204" s="15">
        <v>45.0</v>
      </c>
      <c r="AA204" s="15">
        <v>59.61538461538461</v>
      </c>
      <c r="AB204" s="15">
        <v>63.46153846153846</v>
      </c>
      <c r="AC204" s="15">
        <v>53.06122448979592</v>
      </c>
      <c r="AD204" s="16">
        <v>62.0253164556962</v>
      </c>
      <c r="AE204" s="16">
        <v>59.45945945945946</v>
      </c>
      <c r="AF204" s="16">
        <v>61.53846153846154</v>
      </c>
      <c r="AG204" s="16">
        <v>62.22222222222222</v>
      </c>
      <c r="AH204" s="16">
        <f t="shared" si="314"/>
        <v>59.51602647</v>
      </c>
      <c r="AI204" s="18">
        <f t="shared" si="289"/>
        <v>61.07338107</v>
      </c>
      <c r="AJ204" s="14">
        <f t="shared" si="290"/>
        <v>36</v>
      </c>
      <c r="AK204" s="14">
        <f t="shared" si="291"/>
        <v>24.66666667</v>
      </c>
      <c r="AL204" s="14">
        <f t="shared" si="292"/>
        <v>24</v>
      </c>
      <c r="AM204" s="14">
        <f t="shared" si="293"/>
        <v>15.66666667</v>
      </c>
    </row>
    <row r="205" ht="14.25" customHeight="1">
      <c r="A205" s="1" t="s">
        <v>325</v>
      </c>
      <c r="B205" s="1" t="s">
        <v>332</v>
      </c>
      <c r="C205" s="1" t="s">
        <v>333</v>
      </c>
      <c r="D205" s="1" t="s">
        <v>333</v>
      </c>
      <c r="E205" s="14">
        <v>50201.0</v>
      </c>
      <c r="F205" s="15">
        <v>67.0</v>
      </c>
      <c r="G205" s="15">
        <v>73.0</v>
      </c>
      <c r="H205" s="15">
        <v>90.0</v>
      </c>
      <c r="I205" s="15">
        <v>81.0</v>
      </c>
      <c r="J205" s="15">
        <v>118.0</v>
      </c>
      <c r="K205" s="15">
        <v>122.0</v>
      </c>
      <c r="L205" s="16">
        <v>127.0</v>
      </c>
      <c r="M205" s="14">
        <f t="shared" ref="M205:S205" si="318">IF(AND(ISBLANK(F205), NOT(ISBLANK(T205))), T205, IF(OR(ISBLANK(T205), ISBLANK(F205)), "", T205-F205))</f>
        <v>42</v>
      </c>
      <c r="N205" s="14">
        <f t="shared" si="318"/>
        <v>61</v>
      </c>
      <c r="O205" s="14">
        <f t="shared" si="318"/>
        <v>77</v>
      </c>
      <c r="P205" s="14">
        <f t="shared" si="318"/>
        <v>53</v>
      </c>
      <c r="Q205" s="14">
        <f t="shared" si="318"/>
        <v>34</v>
      </c>
      <c r="R205" s="14">
        <f t="shared" si="318"/>
        <v>31</v>
      </c>
      <c r="S205" s="14">
        <f t="shared" si="318"/>
        <v>30</v>
      </c>
      <c r="T205" s="16">
        <v>109.0</v>
      </c>
      <c r="U205" s="16">
        <v>134.0</v>
      </c>
      <c r="V205" s="16">
        <v>167.0</v>
      </c>
      <c r="W205" s="15">
        <v>134.0</v>
      </c>
      <c r="X205" s="15">
        <v>152.0</v>
      </c>
      <c r="Y205" s="17">
        <v>153.0</v>
      </c>
      <c r="Z205" s="15">
        <v>157.0</v>
      </c>
      <c r="AA205" s="15">
        <v>61.46788990825688</v>
      </c>
      <c r="AB205" s="15">
        <v>54.47761194029851</v>
      </c>
      <c r="AC205" s="15">
        <v>53.89221556886228</v>
      </c>
      <c r="AD205" s="16">
        <v>60.447761194029844</v>
      </c>
      <c r="AE205" s="16">
        <v>77.63157894736842</v>
      </c>
      <c r="AF205" s="16">
        <v>79.73856209150327</v>
      </c>
      <c r="AG205" s="16">
        <v>80.89171974522293</v>
      </c>
      <c r="AH205" s="16">
        <f t="shared" si="314"/>
        <v>56.27252957</v>
      </c>
      <c r="AI205" s="18">
        <f t="shared" si="289"/>
        <v>79.42062026</v>
      </c>
      <c r="AJ205" s="14">
        <f t="shared" si="290"/>
        <v>81.33333333</v>
      </c>
      <c r="AK205" s="14">
        <f t="shared" si="291"/>
        <v>122.3333333</v>
      </c>
      <c r="AL205" s="14">
        <f t="shared" si="292"/>
        <v>63.66666667</v>
      </c>
      <c r="AM205" s="14">
        <f t="shared" si="293"/>
        <v>31.66666667</v>
      </c>
    </row>
    <row r="206" ht="14.25" customHeight="1">
      <c r="A206" s="1" t="s">
        <v>325</v>
      </c>
      <c r="B206" s="1" t="s">
        <v>332</v>
      </c>
      <c r="C206" s="1" t="s">
        <v>334</v>
      </c>
      <c r="D206" s="1" t="s">
        <v>334</v>
      </c>
      <c r="E206" s="14">
        <v>50202.0</v>
      </c>
      <c r="F206" s="15">
        <v>17.0</v>
      </c>
      <c r="G206" s="15">
        <v>27.0</v>
      </c>
      <c r="H206" s="15">
        <v>34.0</v>
      </c>
      <c r="I206" s="15">
        <v>40.0</v>
      </c>
      <c r="J206" s="15">
        <v>82.0</v>
      </c>
      <c r="K206" s="15">
        <v>85.0</v>
      </c>
      <c r="L206" s="16">
        <v>91.0</v>
      </c>
      <c r="M206" s="14">
        <f t="shared" ref="M206:S206" si="319">IF(AND(ISBLANK(F206), NOT(ISBLANK(T206))), T206, IF(OR(ISBLANK(T206), ISBLANK(F206)), "", T206-F206))</f>
        <v>28</v>
      </c>
      <c r="N206" s="14">
        <f t="shared" si="319"/>
        <v>31</v>
      </c>
      <c r="O206" s="14">
        <f t="shared" si="319"/>
        <v>50</v>
      </c>
      <c r="P206" s="14">
        <f t="shared" si="319"/>
        <v>47</v>
      </c>
      <c r="Q206" s="14">
        <f t="shared" si="319"/>
        <v>31</v>
      </c>
      <c r="R206" s="14">
        <f t="shared" si="319"/>
        <v>31</v>
      </c>
      <c r="S206" s="14">
        <f t="shared" si="319"/>
        <v>29</v>
      </c>
      <c r="T206" s="16">
        <v>45.0</v>
      </c>
      <c r="U206" s="16">
        <v>58.0</v>
      </c>
      <c r="V206" s="16">
        <v>84.0</v>
      </c>
      <c r="W206" s="15">
        <v>87.0</v>
      </c>
      <c r="X206" s="15">
        <v>113.0</v>
      </c>
      <c r="Y206" s="17">
        <v>116.0</v>
      </c>
      <c r="Z206" s="15">
        <v>120.0</v>
      </c>
      <c r="AA206" s="15">
        <v>37.77777777777778</v>
      </c>
      <c r="AB206" s="15">
        <v>46.55172413793103</v>
      </c>
      <c r="AC206" s="15">
        <v>40.476190476190474</v>
      </c>
      <c r="AD206" s="16">
        <v>45.97701149425287</v>
      </c>
      <c r="AE206" s="16">
        <v>72.56637168141593</v>
      </c>
      <c r="AF206" s="16">
        <v>73.27586206896551</v>
      </c>
      <c r="AG206" s="16">
        <v>75.83333333333333</v>
      </c>
      <c r="AH206" s="16">
        <f t="shared" si="314"/>
        <v>44.33497537</v>
      </c>
      <c r="AI206" s="18">
        <f t="shared" si="289"/>
        <v>73.89185569</v>
      </c>
      <c r="AJ206" s="14">
        <f t="shared" si="290"/>
        <v>33.66666667</v>
      </c>
      <c r="AK206" s="14">
        <f t="shared" si="291"/>
        <v>86</v>
      </c>
      <c r="AL206" s="14">
        <f t="shared" si="292"/>
        <v>42.66666667</v>
      </c>
      <c r="AM206" s="14">
        <f t="shared" si="293"/>
        <v>30.33333333</v>
      </c>
    </row>
    <row r="207" ht="14.25" customHeight="1">
      <c r="A207" s="1" t="s">
        <v>325</v>
      </c>
      <c r="B207" s="1" t="s">
        <v>332</v>
      </c>
      <c r="C207" s="1" t="s">
        <v>335</v>
      </c>
      <c r="D207" s="1" t="s">
        <v>335</v>
      </c>
      <c r="E207" s="14">
        <v>50203.0</v>
      </c>
      <c r="F207" s="15">
        <v>137.0</v>
      </c>
      <c r="G207" s="15">
        <v>139.0</v>
      </c>
      <c r="H207" s="15">
        <v>161.0</v>
      </c>
      <c r="I207" s="15">
        <v>212.0</v>
      </c>
      <c r="J207" s="15">
        <v>244.0</v>
      </c>
      <c r="K207" s="15">
        <v>245.0</v>
      </c>
      <c r="L207" s="16">
        <v>248.0</v>
      </c>
      <c r="M207" s="14">
        <f t="shared" ref="M207:S207" si="320">IF(AND(ISBLANK(F207), NOT(ISBLANK(T207))), T207, IF(OR(ISBLANK(T207), ISBLANK(F207)), "", T207-F207))</f>
        <v>25</v>
      </c>
      <c r="N207" s="14">
        <f t="shared" si="320"/>
        <v>25</v>
      </c>
      <c r="O207" s="14">
        <f t="shared" si="320"/>
        <v>47</v>
      </c>
      <c r="P207" s="14">
        <f t="shared" si="320"/>
        <v>64</v>
      </c>
      <c r="Q207" s="14">
        <f t="shared" si="320"/>
        <v>50</v>
      </c>
      <c r="R207" s="14">
        <f t="shared" si="320"/>
        <v>50</v>
      </c>
      <c r="S207" s="14">
        <f t="shared" si="320"/>
        <v>52</v>
      </c>
      <c r="T207" s="16">
        <v>162.0</v>
      </c>
      <c r="U207" s="16">
        <v>164.0</v>
      </c>
      <c r="V207" s="16">
        <v>208.0</v>
      </c>
      <c r="W207" s="15">
        <v>276.0</v>
      </c>
      <c r="X207" s="15">
        <v>294.0</v>
      </c>
      <c r="Y207" s="17">
        <v>295.0</v>
      </c>
      <c r="Z207" s="15">
        <v>300.0</v>
      </c>
      <c r="AA207" s="15">
        <v>84.5679012345679</v>
      </c>
      <c r="AB207" s="15">
        <v>84.7560975609756</v>
      </c>
      <c r="AC207" s="15">
        <v>77.40384615384616</v>
      </c>
      <c r="AD207" s="16">
        <v>76.81159420289855</v>
      </c>
      <c r="AE207" s="16">
        <v>82.99319727891157</v>
      </c>
      <c r="AF207" s="16">
        <v>83.05084745762711</v>
      </c>
      <c r="AG207" s="16">
        <v>82.66666666666667</v>
      </c>
      <c r="AH207" s="16">
        <f t="shared" si="314"/>
        <v>79.65717931</v>
      </c>
      <c r="AI207" s="18">
        <f t="shared" si="289"/>
        <v>82.90357047</v>
      </c>
      <c r="AJ207" s="14">
        <f t="shared" si="290"/>
        <v>170.6666667</v>
      </c>
      <c r="AK207" s="14">
        <f t="shared" si="291"/>
        <v>245.6666667</v>
      </c>
      <c r="AL207" s="14">
        <f t="shared" si="292"/>
        <v>45.33333333</v>
      </c>
      <c r="AM207" s="14">
        <f t="shared" si="293"/>
        <v>50.66666667</v>
      </c>
    </row>
    <row r="208" ht="14.25" customHeight="1">
      <c r="A208" s="1" t="s">
        <v>325</v>
      </c>
      <c r="B208" s="1" t="s">
        <v>332</v>
      </c>
      <c r="C208" s="1" t="s">
        <v>336</v>
      </c>
      <c r="D208" s="1" t="s">
        <v>336</v>
      </c>
      <c r="E208" s="14">
        <v>50204.0</v>
      </c>
      <c r="F208" s="15">
        <v>0.0</v>
      </c>
      <c r="G208" s="15">
        <v>0.0</v>
      </c>
      <c r="H208" s="15">
        <v>0.0</v>
      </c>
      <c r="I208" s="15">
        <v>14.0</v>
      </c>
      <c r="J208" s="15">
        <v>36.0</v>
      </c>
      <c r="K208" s="15">
        <v>39.0</v>
      </c>
      <c r="L208" s="16">
        <v>41.0</v>
      </c>
      <c r="M208" s="14">
        <f t="shared" ref="M208:S208" si="321">IF(AND(ISBLANK(F208), NOT(ISBLANK(T208))), T208, IF(OR(ISBLANK(T208), ISBLANK(F208)), "", T208-F208))</f>
        <v>8</v>
      </c>
      <c r="N208" s="14">
        <f t="shared" si="321"/>
        <v>8</v>
      </c>
      <c r="O208" s="14">
        <f t="shared" si="321"/>
        <v>8</v>
      </c>
      <c r="P208" s="14">
        <f t="shared" si="321"/>
        <v>30</v>
      </c>
      <c r="Q208" s="14">
        <f t="shared" si="321"/>
        <v>18</v>
      </c>
      <c r="R208" s="14">
        <f t="shared" si="321"/>
        <v>19</v>
      </c>
      <c r="S208" s="14">
        <f t="shared" si="321"/>
        <v>23</v>
      </c>
      <c r="T208" s="16">
        <v>8.0</v>
      </c>
      <c r="U208" s="16">
        <v>8.0</v>
      </c>
      <c r="V208" s="16">
        <v>8.0</v>
      </c>
      <c r="W208" s="15">
        <v>44.0</v>
      </c>
      <c r="X208" s="15">
        <v>54.0</v>
      </c>
      <c r="Y208" s="17">
        <v>58.0</v>
      </c>
      <c r="Z208" s="15">
        <v>64.0</v>
      </c>
      <c r="AA208" s="15">
        <v>0.0</v>
      </c>
      <c r="AB208" s="15">
        <v>0.0</v>
      </c>
      <c r="AC208" s="15">
        <v>0.0</v>
      </c>
      <c r="AD208" s="16">
        <v>31.818181818181817</v>
      </c>
      <c r="AE208" s="16">
        <v>66.66666666666666</v>
      </c>
      <c r="AF208" s="16">
        <v>67.24137931034483</v>
      </c>
      <c r="AG208" s="16">
        <v>64.0625</v>
      </c>
      <c r="AH208" s="16">
        <f t="shared" si="314"/>
        <v>10.60606061</v>
      </c>
      <c r="AI208" s="18">
        <f t="shared" si="289"/>
        <v>65.99018199</v>
      </c>
      <c r="AJ208" s="14">
        <f t="shared" si="290"/>
        <v>4.666666667</v>
      </c>
      <c r="AK208" s="14">
        <f t="shared" si="291"/>
        <v>38.66666667</v>
      </c>
      <c r="AL208" s="14">
        <f t="shared" si="292"/>
        <v>15.33333333</v>
      </c>
      <c r="AM208" s="14">
        <f t="shared" si="293"/>
        <v>20</v>
      </c>
    </row>
    <row r="209" ht="14.25" customHeight="1">
      <c r="A209" s="1" t="s">
        <v>325</v>
      </c>
      <c r="B209" s="1" t="s">
        <v>337</v>
      </c>
      <c r="C209" s="1" t="s">
        <v>338</v>
      </c>
      <c r="D209" s="1" t="s">
        <v>339</v>
      </c>
      <c r="E209" s="14">
        <v>50301.0</v>
      </c>
      <c r="F209" s="15">
        <v>66.0</v>
      </c>
      <c r="G209" s="15">
        <v>71.0</v>
      </c>
      <c r="H209" s="15">
        <v>87.0</v>
      </c>
      <c r="I209" s="15">
        <v>91.0</v>
      </c>
      <c r="J209" s="15">
        <v>163.0</v>
      </c>
      <c r="K209" s="15">
        <v>165.0</v>
      </c>
      <c r="L209" s="16">
        <v>167.0</v>
      </c>
      <c r="M209" s="14">
        <f t="shared" ref="M209:S209" si="322">IF(AND(ISBLANK(F209), NOT(ISBLANK(T209))), T209, IF(OR(ISBLANK(T209), ISBLANK(F209)), "", T209-F209))</f>
        <v>29</v>
      </c>
      <c r="N209" s="14">
        <f t="shared" si="322"/>
        <v>29</v>
      </c>
      <c r="O209" s="14">
        <f t="shared" si="322"/>
        <v>98</v>
      </c>
      <c r="P209" s="14">
        <f t="shared" si="322"/>
        <v>106</v>
      </c>
      <c r="Q209" s="14">
        <f t="shared" si="322"/>
        <v>73</v>
      </c>
      <c r="R209" s="14">
        <f t="shared" si="322"/>
        <v>73</v>
      </c>
      <c r="S209" s="14">
        <f t="shared" si="322"/>
        <v>73</v>
      </c>
      <c r="T209" s="16">
        <v>95.0</v>
      </c>
      <c r="U209" s="16">
        <v>100.0</v>
      </c>
      <c r="V209" s="16">
        <v>185.0</v>
      </c>
      <c r="W209" s="15">
        <v>197.0</v>
      </c>
      <c r="X209" s="15">
        <v>236.0</v>
      </c>
      <c r="Y209" s="17">
        <v>238.0</v>
      </c>
      <c r="Z209" s="15">
        <v>240.0</v>
      </c>
      <c r="AA209" s="15">
        <v>69.47368421052632</v>
      </c>
      <c r="AB209" s="15">
        <v>71.0</v>
      </c>
      <c r="AC209" s="15">
        <v>47.02702702702703</v>
      </c>
      <c r="AD209" s="16">
        <v>46.192893401015226</v>
      </c>
      <c r="AE209" s="16">
        <v>69.0677966101695</v>
      </c>
      <c r="AF209" s="16">
        <v>69.32773109243698</v>
      </c>
      <c r="AG209" s="16">
        <v>69.58333333333333</v>
      </c>
      <c r="AH209" s="16">
        <f t="shared" si="314"/>
        <v>54.73997348</v>
      </c>
      <c r="AI209" s="18">
        <f t="shared" si="289"/>
        <v>69.32628701</v>
      </c>
      <c r="AJ209" s="14">
        <f t="shared" si="290"/>
        <v>83</v>
      </c>
      <c r="AK209" s="14">
        <f t="shared" si="291"/>
        <v>165</v>
      </c>
      <c r="AL209" s="14">
        <f t="shared" si="292"/>
        <v>77.66666667</v>
      </c>
      <c r="AM209" s="14">
        <f t="shared" si="293"/>
        <v>73</v>
      </c>
    </row>
    <row r="210" ht="14.25" customHeight="1">
      <c r="A210" s="1" t="s">
        <v>325</v>
      </c>
      <c r="B210" s="1" t="s">
        <v>337</v>
      </c>
      <c r="C210" s="1" t="s">
        <v>340</v>
      </c>
      <c r="D210" s="1" t="s">
        <v>340</v>
      </c>
      <c r="E210" s="14">
        <v>50302.0</v>
      </c>
      <c r="F210" s="15">
        <v>33.0</v>
      </c>
      <c r="G210" s="15">
        <v>33.0</v>
      </c>
      <c r="H210" s="15">
        <v>39.0</v>
      </c>
      <c r="I210" s="15">
        <v>47.0</v>
      </c>
      <c r="J210" s="15">
        <v>61.0</v>
      </c>
      <c r="K210" s="15">
        <v>61.0</v>
      </c>
      <c r="L210" s="16">
        <v>63.0</v>
      </c>
      <c r="M210" s="14">
        <f t="shared" ref="M210:S210" si="323">IF(AND(ISBLANK(F210), NOT(ISBLANK(T210))), T210, IF(OR(ISBLANK(T210), ISBLANK(F210)), "", T210-F210))</f>
        <v>8</v>
      </c>
      <c r="N210" s="14">
        <f t="shared" si="323"/>
        <v>8</v>
      </c>
      <c r="O210" s="14">
        <f t="shared" si="323"/>
        <v>27</v>
      </c>
      <c r="P210" s="14">
        <f t="shared" si="323"/>
        <v>37</v>
      </c>
      <c r="Q210" s="14">
        <f t="shared" si="323"/>
        <v>30</v>
      </c>
      <c r="R210" s="14">
        <f t="shared" si="323"/>
        <v>29</v>
      </c>
      <c r="S210" s="14">
        <f t="shared" si="323"/>
        <v>28</v>
      </c>
      <c r="T210" s="16">
        <v>41.0</v>
      </c>
      <c r="U210" s="16">
        <v>41.0</v>
      </c>
      <c r="V210" s="16">
        <v>66.0</v>
      </c>
      <c r="W210" s="15">
        <v>84.0</v>
      </c>
      <c r="X210" s="15">
        <v>91.0</v>
      </c>
      <c r="Y210" s="17">
        <v>90.0</v>
      </c>
      <c r="Z210" s="15">
        <v>91.0</v>
      </c>
      <c r="AA210" s="15">
        <v>80.48780487804879</v>
      </c>
      <c r="AB210" s="15">
        <v>80.48780487804879</v>
      </c>
      <c r="AC210" s="15">
        <v>59.09090909090909</v>
      </c>
      <c r="AD210" s="16">
        <v>55.952380952380956</v>
      </c>
      <c r="AE210" s="16">
        <v>67.03296703296702</v>
      </c>
      <c r="AF210" s="16">
        <v>67.77777777777779</v>
      </c>
      <c r="AG210" s="16">
        <v>69.23076923076923</v>
      </c>
      <c r="AH210" s="16">
        <f t="shared" si="314"/>
        <v>65.17703164</v>
      </c>
      <c r="AI210" s="18">
        <f t="shared" si="289"/>
        <v>68.01383801</v>
      </c>
      <c r="AJ210" s="14">
        <f t="shared" si="290"/>
        <v>39.66666667</v>
      </c>
      <c r="AK210" s="14">
        <f t="shared" si="291"/>
        <v>61.66666667</v>
      </c>
      <c r="AL210" s="14">
        <f t="shared" si="292"/>
        <v>24</v>
      </c>
      <c r="AM210" s="14">
        <f t="shared" si="293"/>
        <v>29</v>
      </c>
    </row>
    <row r="211" ht="14.25" customHeight="1">
      <c r="A211" s="1" t="s">
        <v>325</v>
      </c>
      <c r="B211" s="1" t="s">
        <v>337</v>
      </c>
      <c r="C211" s="1" t="s">
        <v>341</v>
      </c>
      <c r="D211" s="1" t="s">
        <v>341</v>
      </c>
      <c r="E211" s="14">
        <v>50303.0</v>
      </c>
      <c r="F211" s="15">
        <v>22.0</v>
      </c>
      <c r="G211" s="15">
        <v>23.0</v>
      </c>
      <c r="H211" s="15">
        <v>26.0</v>
      </c>
      <c r="I211" s="15">
        <v>27.0</v>
      </c>
      <c r="J211" s="15">
        <v>46.0</v>
      </c>
      <c r="K211" s="15">
        <v>49.0</v>
      </c>
      <c r="L211" s="16">
        <v>48.0</v>
      </c>
      <c r="M211" s="14">
        <f t="shared" ref="M211:S211" si="324">IF(AND(ISBLANK(F211), NOT(ISBLANK(T211))), T211, IF(OR(ISBLANK(T211), ISBLANK(F211)), "", T211-F211))</f>
        <v>6</v>
      </c>
      <c r="N211" s="14">
        <f t="shared" si="324"/>
        <v>6</v>
      </c>
      <c r="O211" s="14">
        <f t="shared" si="324"/>
        <v>29</v>
      </c>
      <c r="P211" s="14">
        <f t="shared" si="324"/>
        <v>31</v>
      </c>
      <c r="Q211" s="14">
        <f t="shared" si="324"/>
        <v>26</v>
      </c>
      <c r="R211" s="14">
        <f t="shared" si="324"/>
        <v>24</v>
      </c>
      <c r="S211" s="14">
        <f t="shared" si="324"/>
        <v>25</v>
      </c>
      <c r="T211" s="16">
        <v>28.0</v>
      </c>
      <c r="U211" s="16">
        <v>29.0</v>
      </c>
      <c r="V211" s="16">
        <v>55.0</v>
      </c>
      <c r="W211" s="15">
        <v>58.0</v>
      </c>
      <c r="X211" s="15">
        <v>72.0</v>
      </c>
      <c r="Y211" s="17">
        <v>73.0</v>
      </c>
      <c r="Z211" s="15">
        <v>73.0</v>
      </c>
      <c r="AA211" s="15">
        <v>78.57142857142857</v>
      </c>
      <c r="AB211" s="15">
        <v>79.3103448275862</v>
      </c>
      <c r="AC211" s="15">
        <v>47.27272727272727</v>
      </c>
      <c r="AD211" s="16">
        <v>46.55172413793103</v>
      </c>
      <c r="AE211" s="16">
        <v>63.888888888888886</v>
      </c>
      <c r="AF211" s="16">
        <v>67.12328767123287</v>
      </c>
      <c r="AG211" s="16">
        <v>65.75342465753424</v>
      </c>
      <c r="AH211" s="16">
        <f t="shared" si="314"/>
        <v>57.71159875</v>
      </c>
      <c r="AI211" s="18">
        <f t="shared" si="289"/>
        <v>65.58853374</v>
      </c>
      <c r="AJ211" s="14">
        <f t="shared" si="290"/>
        <v>25.33333333</v>
      </c>
      <c r="AK211" s="14">
        <f t="shared" si="291"/>
        <v>47.66666667</v>
      </c>
      <c r="AL211" s="14">
        <f t="shared" si="292"/>
        <v>22</v>
      </c>
      <c r="AM211" s="14">
        <f t="shared" si="293"/>
        <v>25</v>
      </c>
    </row>
    <row r="212" ht="14.25" customHeight="1">
      <c r="A212" s="1" t="s">
        <v>325</v>
      </c>
      <c r="B212" s="1" t="s">
        <v>334</v>
      </c>
      <c r="C212" s="1" t="s">
        <v>342</v>
      </c>
      <c r="D212" s="1" t="s">
        <v>342</v>
      </c>
      <c r="E212" s="14">
        <v>50401.0</v>
      </c>
      <c r="F212" s="15">
        <v>37.0</v>
      </c>
      <c r="G212" s="15">
        <v>41.0</v>
      </c>
      <c r="H212" s="15">
        <v>47.0</v>
      </c>
      <c r="I212" s="15">
        <v>50.0</v>
      </c>
      <c r="J212" s="15">
        <v>97.0</v>
      </c>
      <c r="K212" s="15">
        <v>102.0</v>
      </c>
      <c r="L212" s="16">
        <v>110.0</v>
      </c>
      <c r="M212" s="14">
        <f t="shared" ref="M212:S212" si="325">IF(AND(ISBLANK(F212), NOT(ISBLANK(T212))), T212, IF(OR(ISBLANK(T212), ISBLANK(F212)), "", T212-F212))</f>
        <v>10</v>
      </c>
      <c r="N212" s="14">
        <f t="shared" si="325"/>
        <v>10</v>
      </c>
      <c r="O212" s="14">
        <f t="shared" si="325"/>
        <v>41</v>
      </c>
      <c r="P212" s="14">
        <f t="shared" si="325"/>
        <v>41</v>
      </c>
      <c r="Q212" s="14">
        <f t="shared" si="325"/>
        <v>29</v>
      </c>
      <c r="R212" s="14">
        <f t="shared" si="325"/>
        <v>30</v>
      </c>
      <c r="S212" s="14">
        <f t="shared" si="325"/>
        <v>30</v>
      </c>
      <c r="T212" s="16">
        <v>47.0</v>
      </c>
      <c r="U212" s="16">
        <v>51.0</v>
      </c>
      <c r="V212" s="16">
        <v>88.0</v>
      </c>
      <c r="W212" s="15">
        <v>91.0</v>
      </c>
      <c r="X212" s="15">
        <v>126.0</v>
      </c>
      <c r="Y212" s="17">
        <v>132.0</v>
      </c>
      <c r="Z212" s="15">
        <v>140.0</v>
      </c>
      <c r="AA212" s="15">
        <v>78.72340425531915</v>
      </c>
      <c r="AB212" s="15">
        <v>80.3921568627451</v>
      </c>
      <c r="AC212" s="15">
        <v>53.40909090909091</v>
      </c>
      <c r="AD212" s="16">
        <v>54.94505494505495</v>
      </c>
      <c r="AE212" s="16">
        <v>76.98412698412699</v>
      </c>
      <c r="AF212" s="16">
        <v>77.27272727272727</v>
      </c>
      <c r="AG212" s="16">
        <v>78.57142857142857</v>
      </c>
      <c r="AH212" s="16">
        <f t="shared" si="314"/>
        <v>62.91543424</v>
      </c>
      <c r="AI212" s="18">
        <f t="shared" si="289"/>
        <v>77.60942761</v>
      </c>
      <c r="AJ212" s="14">
        <f t="shared" si="290"/>
        <v>46</v>
      </c>
      <c r="AK212" s="14">
        <f t="shared" si="291"/>
        <v>103</v>
      </c>
      <c r="AL212" s="14">
        <f t="shared" si="292"/>
        <v>30.66666667</v>
      </c>
      <c r="AM212" s="14">
        <f t="shared" si="293"/>
        <v>29.66666667</v>
      </c>
    </row>
    <row r="213" ht="14.25" customHeight="1">
      <c r="A213" s="1" t="s">
        <v>325</v>
      </c>
      <c r="B213" s="1" t="s">
        <v>334</v>
      </c>
      <c r="C213" s="1" t="s">
        <v>343</v>
      </c>
      <c r="D213" s="1" t="s">
        <v>343</v>
      </c>
      <c r="E213" s="14">
        <v>50402.0</v>
      </c>
      <c r="F213" s="15">
        <v>19.0</v>
      </c>
      <c r="G213" s="15">
        <v>23.0</v>
      </c>
      <c r="H213" s="15">
        <v>23.0</v>
      </c>
      <c r="I213" s="15">
        <v>26.0</v>
      </c>
      <c r="J213" s="15">
        <v>65.0</v>
      </c>
      <c r="K213" s="15">
        <v>74.0</v>
      </c>
      <c r="L213" s="16">
        <v>79.0</v>
      </c>
      <c r="M213" s="14">
        <f t="shared" ref="M213:S213" si="326">IF(AND(ISBLANK(F213), NOT(ISBLANK(T213))), T213, IF(OR(ISBLANK(T213), ISBLANK(F213)), "", T213-F213))</f>
        <v>2</v>
      </c>
      <c r="N213" s="14">
        <f t="shared" si="326"/>
        <v>3</v>
      </c>
      <c r="O213" s="14">
        <f t="shared" si="326"/>
        <v>29</v>
      </c>
      <c r="P213" s="14">
        <f t="shared" si="326"/>
        <v>32</v>
      </c>
      <c r="Q213" s="14">
        <f t="shared" si="326"/>
        <v>37</v>
      </c>
      <c r="R213" s="14">
        <f t="shared" si="326"/>
        <v>32</v>
      </c>
      <c r="S213" s="14">
        <f t="shared" si="326"/>
        <v>30</v>
      </c>
      <c r="T213" s="16">
        <v>21.0</v>
      </c>
      <c r="U213" s="16">
        <v>26.0</v>
      </c>
      <c r="V213" s="16">
        <v>52.0</v>
      </c>
      <c r="W213" s="15">
        <v>58.0</v>
      </c>
      <c r="X213" s="15">
        <v>102.0</v>
      </c>
      <c r="Y213" s="17">
        <v>106.0</v>
      </c>
      <c r="Z213" s="15">
        <v>109.0</v>
      </c>
      <c r="AA213" s="15">
        <v>90.47619047619048</v>
      </c>
      <c r="AB213" s="15">
        <v>88.46153846153845</v>
      </c>
      <c r="AC213" s="15">
        <v>44.230769230769226</v>
      </c>
      <c r="AD213" s="16">
        <v>44.827586206896555</v>
      </c>
      <c r="AE213" s="16">
        <v>63.725490196078425</v>
      </c>
      <c r="AF213" s="16">
        <v>69.81132075471697</v>
      </c>
      <c r="AG213" s="16">
        <v>72.47706422018348</v>
      </c>
      <c r="AH213" s="16">
        <f t="shared" si="314"/>
        <v>59.17329797</v>
      </c>
      <c r="AI213" s="18">
        <f t="shared" si="289"/>
        <v>68.67129172</v>
      </c>
      <c r="AJ213" s="14">
        <f t="shared" si="290"/>
        <v>24</v>
      </c>
      <c r="AK213" s="14">
        <f t="shared" si="291"/>
        <v>72.66666667</v>
      </c>
      <c r="AL213" s="14">
        <f t="shared" si="292"/>
        <v>21.33333333</v>
      </c>
      <c r="AM213" s="14">
        <f t="shared" si="293"/>
        <v>33</v>
      </c>
    </row>
    <row r="214" ht="14.25" customHeight="1">
      <c r="A214" s="1" t="s">
        <v>325</v>
      </c>
      <c r="B214" s="1" t="s">
        <v>334</v>
      </c>
      <c r="C214" s="1" t="s">
        <v>344</v>
      </c>
      <c r="D214" s="1" t="s">
        <v>344</v>
      </c>
      <c r="E214" s="14">
        <v>50403.0</v>
      </c>
      <c r="F214" s="15">
        <v>35.0</v>
      </c>
      <c r="G214" s="15">
        <v>38.0</v>
      </c>
      <c r="H214" s="15">
        <v>44.0</v>
      </c>
      <c r="I214" s="15">
        <v>53.0</v>
      </c>
      <c r="J214" s="15">
        <v>102.0</v>
      </c>
      <c r="K214" s="15">
        <v>109.0</v>
      </c>
      <c r="L214" s="16">
        <v>113.0</v>
      </c>
      <c r="M214" s="14">
        <f t="shared" ref="M214:S214" si="327">IF(AND(ISBLANK(F214), NOT(ISBLANK(T214))), T214, IF(OR(ISBLANK(T214), ISBLANK(F214)), "", T214-F214))</f>
        <v>15</v>
      </c>
      <c r="N214" s="14">
        <f t="shared" si="327"/>
        <v>21</v>
      </c>
      <c r="O214" s="14">
        <f t="shared" si="327"/>
        <v>37</v>
      </c>
      <c r="P214" s="14">
        <f t="shared" si="327"/>
        <v>44</v>
      </c>
      <c r="Q214" s="14">
        <f t="shared" si="327"/>
        <v>25</v>
      </c>
      <c r="R214" s="14">
        <f t="shared" si="327"/>
        <v>26</v>
      </c>
      <c r="S214" s="14">
        <f t="shared" si="327"/>
        <v>27</v>
      </c>
      <c r="T214" s="16">
        <v>50.0</v>
      </c>
      <c r="U214" s="16">
        <v>59.0</v>
      </c>
      <c r="V214" s="16">
        <v>81.0</v>
      </c>
      <c r="W214" s="15">
        <v>97.0</v>
      </c>
      <c r="X214" s="15">
        <v>127.0</v>
      </c>
      <c r="Y214" s="17">
        <v>135.0</v>
      </c>
      <c r="Z214" s="15">
        <v>140.0</v>
      </c>
      <c r="AA214" s="15">
        <v>70.0</v>
      </c>
      <c r="AB214" s="15">
        <v>64.40677966101694</v>
      </c>
      <c r="AC214" s="15">
        <v>54.32098765432099</v>
      </c>
      <c r="AD214" s="16">
        <v>54.63917525773196</v>
      </c>
      <c r="AE214" s="16">
        <v>80.31496062992126</v>
      </c>
      <c r="AF214" s="16">
        <v>80.74074074074075</v>
      </c>
      <c r="AG214" s="16">
        <v>80.71428571428572</v>
      </c>
      <c r="AH214" s="16">
        <f t="shared" si="314"/>
        <v>57.78898086</v>
      </c>
      <c r="AI214" s="18">
        <f t="shared" si="289"/>
        <v>80.58999569</v>
      </c>
      <c r="AJ214" s="14">
        <f t="shared" si="290"/>
        <v>45</v>
      </c>
      <c r="AK214" s="14">
        <f t="shared" si="291"/>
        <v>108</v>
      </c>
      <c r="AL214" s="14">
        <f t="shared" si="292"/>
        <v>34</v>
      </c>
      <c r="AM214" s="14">
        <f t="shared" si="293"/>
        <v>26</v>
      </c>
    </row>
    <row r="215" ht="14.25" customHeight="1">
      <c r="A215" s="1" t="s">
        <v>325</v>
      </c>
      <c r="B215" s="1" t="s">
        <v>334</v>
      </c>
      <c r="C215" s="1" t="s">
        <v>345</v>
      </c>
      <c r="D215" s="1" t="s">
        <v>345</v>
      </c>
      <c r="E215" s="14">
        <v>50404.0</v>
      </c>
      <c r="F215" s="15">
        <v>15.0</v>
      </c>
      <c r="G215" s="15">
        <v>24.0</v>
      </c>
      <c r="H215" s="15">
        <v>28.0</v>
      </c>
      <c r="I215" s="15">
        <v>31.0</v>
      </c>
      <c r="J215" s="15">
        <v>49.0</v>
      </c>
      <c r="K215" s="15">
        <v>53.0</v>
      </c>
      <c r="L215" s="16">
        <v>59.0</v>
      </c>
      <c r="M215" s="14">
        <f t="shared" ref="M215:S215" si="328">IF(AND(ISBLANK(F215), NOT(ISBLANK(T215))), T215, IF(OR(ISBLANK(T215), ISBLANK(F215)), "", T215-F215))</f>
        <v>7</v>
      </c>
      <c r="N215" s="14">
        <f t="shared" si="328"/>
        <v>12</v>
      </c>
      <c r="O215" s="14">
        <f t="shared" si="328"/>
        <v>29</v>
      </c>
      <c r="P215" s="14">
        <f t="shared" si="328"/>
        <v>37</v>
      </c>
      <c r="Q215" s="14">
        <f t="shared" si="328"/>
        <v>25</v>
      </c>
      <c r="R215" s="14">
        <f t="shared" si="328"/>
        <v>25</v>
      </c>
      <c r="S215" s="14">
        <f t="shared" si="328"/>
        <v>23</v>
      </c>
      <c r="T215" s="16">
        <v>22.0</v>
      </c>
      <c r="U215" s="16">
        <v>36.0</v>
      </c>
      <c r="V215" s="16">
        <v>57.0</v>
      </c>
      <c r="W215" s="15">
        <v>68.0</v>
      </c>
      <c r="X215" s="15">
        <v>74.0</v>
      </c>
      <c r="Y215" s="17">
        <v>78.0</v>
      </c>
      <c r="Z215" s="15">
        <v>82.0</v>
      </c>
      <c r="AA215" s="15">
        <v>68.18181818181817</v>
      </c>
      <c r="AB215" s="15">
        <v>66.66666666666666</v>
      </c>
      <c r="AC215" s="15">
        <v>49.122807017543856</v>
      </c>
      <c r="AD215" s="16">
        <v>45.588235294117645</v>
      </c>
      <c r="AE215" s="16">
        <v>66.21621621621621</v>
      </c>
      <c r="AF215" s="16">
        <v>67.94871794871796</v>
      </c>
      <c r="AG215" s="16">
        <v>71.95121951219512</v>
      </c>
      <c r="AH215" s="16">
        <f t="shared" si="314"/>
        <v>53.79256966</v>
      </c>
      <c r="AI215" s="18">
        <f t="shared" si="289"/>
        <v>68.70538456</v>
      </c>
      <c r="AJ215" s="14">
        <f t="shared" si="290"/>
        <v>27.66666667</v>
      </c>
      <c r="AK215" s="14">
        <f t="shared" si="291"/>
        <v>53.66666667</v>
      </c>
      <c r="AL215" s="14">
        <f t="shared" si="292"/>
        <v>26</v>
      </c>
      <c r="AM215" s="14">
        <f t="shared" si="293"/>
        <v>24.33333333</v>
      </c>
    </row>
    <row r="216" ht="14.25" customHeight="1">
      <c r="A216" s="1" t="s">
        <v>325</v>
      </c>
      <c r="B216" s="1" t="s">
        <v>334</v>
      </c>
      <c r="C216" s="1" t="s">
        <v>346</v>
      </c>
      <c r="D216" s="1" t="s">
        <v>346</v>
      </c>
      <c r="E216" s="14">
        <v>50405.0</v>
      </c>
      <c r="F216" s="15">
        <v>37.0</v>
      </c>
      <c r="G216" s="15">
        <v>41.0</v>
      </c>
      <c r="H216" s="15">
        <v>47.0</v>
      </c>
      <c r="I216" s="15">
        <v>50.0</v>
      </c>
      <c r="J216" s="15">
        <v>97.0</v>
      </c>
      <c r="K216" s="15">
        <v>102.0</v>
      </c>
      <c r="L216" s="16">
        <v>110.0</v>
      </c>
      <c r="M216" s="14">
        <f t="shared" ref="M216:S216" si="329">IF(AND(ISBLANK(F216), NOT(ISBLANK(T216))), T216, IF(OR(ISBLANK(T216), ISBLANK(F216)), "", T216-F216))</f>
        <v>10</v>
      </c>
      <c r="N216" s="14">
        <f t="shared" si="329"/>
        <v>10</v>
      </c>
      <c r="O216" s="14">
        <f t="shared" si="329"/>
        <v>41</v>
      </c>
      <c r="P216" s="14">
        <f t="shared" si="329"/>
        <v>41</v>
      </c>
      <c r="Q216" s="14">
        <f t="shared" si="329"/>
        <v>29</v>
      </c>
      <c r="R216" s="14">
        <f t="shared" si="329"/>
        <v>30</v>
      </c>
      <c r="S216" s="14">
        <f t="shared" si="329"/>
        <v>30</v>
      </c>
      <c r="T216" s="16">
        <v>47.0</v>
      </c>
      <c r="U216" s="16">
        <v>51.0</v>
      </c>
      <c r="V216" s="16">
        <v>88.0</v>
      </c>
      <c r="W216" s="15">
        <v>91.0</v>
      </c>
      <c r="X216" s="15">
        <v>126.0</v>
      </c>
      <c r="Y216" s="17">
        <v>132.0</v>
      </c>
      <c r="Z216" s="15">
        <v>140.0</v>
      </c>
      <c r="AA216" s="15">
        <v>78.72340425531915</v>
      </c>
      <c r="AB216" s="15">
        <v>80.3921568627451</v>
      </c>
      <c r="AC216" s="15">
        <v>53.40909090909091</v>
      </c>
      <c r="AD216" s="16">
        <v>54.94505494505495</v>
      </c>
      <c r="AE216" s="16">
        <v>76.98412698412699</v>
      </c>
      <c r="AF216" s="16">
        <v>77.27272727272727</v>
      </c>
      <c r="AG216" s="16">
        <v>78.57142857142857</v>
      </c>
      <c r="AH216" s="16">
        <f t="shared" si="314"/>
        <v>62.91543424</v>
      </c>
      <c r="AI216" s="18">
        <f t="shared" si="289"/>
        <v>77.60942761</v>
      </c>
      <c r="AJ216" s="14">
        <f t="shared" si="290"/>
        <v>46</v>
      </c>
      <c r="AK216" s="14">
        <f t="shared" si="291"/>
        <v>103</v>
      </c>
      <c r="AL216" s="14">
        <f t="shared" si="292"/>
        <v>30.66666667</v>
      </c>
      <c r="AM216" s="14">
        <f t="shared" si="293"/>
        <v>29.66666667</v>
      </c>
    </row>
    <row r="217" ht="14.25" customHeight="1">
      <c r="A217" s="1" t="s">
        <v>325</v>
      </c>
      <c r="B217" s="1" t="s">
        <v>347</v>
      </c>
      <c r="C217" s="1" t="s">
        <v>348</v>
      </c>
      <c r="D217" s="1" t="s">
        <v>348</v>
      </c>
      <c r="E217" s="14">
        <v>50501.0</v>
      </c>
      <c r="F217" s="15">
        <v>37.0</v>
      </c>
      <c r="G217" s="15">
        <v>43.0</v>
      </c>
      <c r="H217" s="15">
        <v>51.0</v>
      </c>
      <c r="I217" s="15">
        <v>61.0</v>
      </c>
      <c r="J217" s="15">
        <v>120.0</v>
      </c>
      <c r="K217" s="15">
        <v>121.0</v>
      </c>
      <c r="L217" s="16">
        <v>123.0</v>
      </c>
      <c r="M217" s="14">
        <f t="shared" ref="M217:S217" si="330">IF(AND(ISBLANK(F217), NOT(ISBLANK(T217))), T217, IF(OR(ISBLANK(T217), ISBLANK(F217)), "", T217-F217))</f>
        <v>18</v>
      </c>
      <c r="N217" s="14">
        <f t="shared" si="330"/>
        <v>20</v>
      </c>
      <c r="O217" s="14">
        <f t="shared" si="330"/>
        <v>43</v>
      </c>
      <c r="P217" s="14">
        <f t="shared" si="330"/>
        <v>40</v>
      </c>
      <c r="Q217" s="14">
        <f t="shared" si="330"/>
        <v>16</v>
      </c>
      <c r="R217" s="14">
        <f t="shared" si="330"/>
        <v>16</v>
      </c>
      <c r="S217" s="14">
        <f t="shared" si="330"/>
        <v>16</v>
      </c>
      <c r="T217" s="16">
        <v>55.0</v>
      </c>
      <c r="U217" s="16">
        <v>63.0</v>
      </c>
      <c r="V217" s="16">
        <v>94.0</v>
      </c>
      <c r="W217" s="15">
        <v>101.0</v>
      </c>
      <c r="X217" s="15">
        <v>136.0</v>
      </c>
      <c r="Y217" s="17">
        <v>137.0</v>
      </c>
      <c r="Z217" s="15">
        <v>139.0</v>
      </c>
      <c r="AA217" s="15">
        <v>67.27272727272727</v>
      </c>
      <c r="AB217" s="15">
        <v>68.25396825396825</v>
      </c>
      <c r="AC217" s="15">
        <v>54.25531914893617</v>
      </c>
      <c r="AD217" s="16">
        <v>60.396039603960396</v>
      </c>
      <c r="AE217" s="16">
        <v>88.23529411764706</v>
      </c>
      <c r="AF217" s="16">
        <v>88.32116788321169</v>
      </c>
      <c r="AG217" s="16">
        <v>88.48920863309353</v>
      </c>
      <c r="AH217" s="16">
        <f t="shared" si="314"/>
        <v>60.96844234</v>
      </c>
      <c r="AI217" s="18">
        <f t="shared" si="289"/>
        <v>88.34855688</v>
      </c>
      <c r="AJ217" s="14">
        <f t="shared" si="290"/>
        <v>51.66666667</v>
      </c>
      <c r="AK217" s="14">
        <f t="shared" si="291"/>
        <v>121.3333333</v>
      </c>
      <c r="AL217" s="14">
        <f t="shared" si="292"/>
        <v>34.33333333</v>
      </c>
      <c r="AM217" s="14">
        <f t="shared" si="293"/>
        <v>16</v>
      </c>
    </row>
    <row r="218" ht="14.25" customHeight="1">
      <c r="A218" s="1" t="s">
        <v>325</v>
      </c>
      <c r="B218" s="1" t="s">
        <v>347</v>
      </c>
      <c r="C218" s="1" t="s">
        <v>349</v>
      </c>
      <c r="D218" s="1" t="s">
        <v>349</v>
      </c>
      <c r="E218" s="14">
        <v>50502.0</v>
      </c>
      <c r="F218" s="15">
        <v>28.0</v>
      </c>
      <c r="G218" s="15">
        <v>31.0</v>
      </c>
      <c r="H218" s="15">
        <v>32.0</v>
      </c>
      <c r="I218" s="15">
        <v>36.0</v>
      </c>
      <c r="J218" s="15">
        <v>59.0</v>
      </c>
      <c r="K218" s="15">
        <v>62.0</v>
      </c>
      <c r="L218" s="16">
        <v>64.0</v>
      </c>
      <c r="M218" s="14">
        <f t="shared" ref="M218:S218" si="331">IF(AND(ISBLANK(F218), NOT(ISBLANK(T218))), T218, IF(OR(ISBLANK(T218), ISBLANK(F218)), "", T218-F218))</f>
        <v>8</v>
      </c>
      <c r="N218" s="14">
        <f t="shared" si="331"/>
        <v>9</v>
      </c>
      <c r="O218" s="14">
        <f t="shared" si="331"/>
        <v>20</v>
      </c>
      <c r="P218" s="14">
        <f t="shared" si="331"/>
        <v>23</v>
      </c>
      <c r="Q218" s="14">
        <f t="shared" si="331"/>
        <v>16</v>
      </c>
      <c r="R218" s="14">
        <f t="shared" si="331"/>
        <v>15</v>
      </c>
      <c r="S218" s="14">
        <f t="shared" si="331"/>
        <v>15</v>
      </c>
      <c r="T218" s="16">
        <v>36.0</v>
      </c>
      <c r="U218" s="16">
        <v>40.0</v>
      </c>
      <c r="V218" s="16">
        <v>52.0</v>
      </c>
      <c r="W218" s="15">
        <v>59.0</v>
      </c>
      <c r="X218" s="15">
        <v>75.0</v>
      </c>
      <c r="Y218" s="17">
        <v>77.0</v>
      </c>
      <c r="Z218" s="15">
        <v>79.0</v>
      </c>
      <c r="AA218" s="15">
        <v>77.77777777777779</v>
      </c>
      <c r="AB218" s="15">
        <v>77.5</v>
      </c>
      <c r="AC218" s="15">
        <v>61.53846153846154</v>
      </c>
      <c r="AD218" s="16">
        <v>61.016949152542374</v>
      </c>
      <c r="AE218" s="16">
        <v>78.66666666666666</v>
      </c>
      <c r="AF218" s="16">
        <v>80.51948051948052</v>
      </c>
      <c r="AG218" s="16">
        <v>81.0126582278481</v>
      </c>
      <c r="AH218" s="16">
        <f t="shared" si="314"/>
        <v>66.6851369</v>
      </c>
      <c r="AI218" s="18">
        <f t="shared" si="289"/>
        <v>80.06626847</v>
      </c>
      <c r="AJ218" s="14">
        <f t="shared" si="290"/>
        <v>33</v>
      </c>
      <c r="AK218" s="14">
        <f t="shared" si="291"/>
        <v>61.66666667</v>
      </c>
      <c r="AL218" s="14">
        <f t="shared" si="292"/>
        <v>17.33333333</v>
      </c>
      <c r="AM218" s="14">
        <f t="shared" si="293"/>
        <v>15.33333333</v>
      </c>
    </row>
    <row r="219" ht="14.25" customHeight="1">
      <c r="A219" s="1" t="s">
        <v>325</v>
      </c>
      <c r="B219" s="1" t="s">
        <v>350</v>
      </c>
      <c r="C219" s="1" t="s">
        <v>351</v>
      </c>
      <c r="D219" s="1" t="s">
        <v>351</v>
      </c>
      <c r="E219" s="14">
        <v>50601.0</v>
      </c>
      <c r="F219" s="15">
        <v>48.0</v>
      </c>
      <c r="G219" s="15">
        <v>48.0</v>
      </c>
      <c r="H219" s="15">
        <v>62.0</v>
      </c>
      <c r="I219" s="15">
        <v>66.0</v>
      </c>
      <c r="J219" s="15">
        <v>137.0</v>
      </c>
      <c r="K219" s="15">
        <v>138.0</v>
      </c>
      <c r="L219" s="16">
        <v>134.0</v>
      </c>
      <c r="M219" s="14">
        <f t="shared" ref="M219:S219" si="332">IF(AND(ISBLANK(F219), NOT(ISBLANK(T219))), T219, IF(OR(ISBLANK(T219), ISBLANK(F219)), "", T219-F219))</f>
        <v>70</v>
      </c>
      <c r="N219" s="14">
        <f t="shared" si="332"/>
        <v>77</v>
      </c>
      <c r="O219" s="14">
        <f t="shared" si="332"/>
        <v>145</v>
      </c>
      <c r="P219" s="14">
        <f t="shared" si="332"/>
        <v>143</v>
      </c>
      <c r="Q219" s="14">
        <f t="shared" si="332"/>
        <v>115</v>
      </c>
      <c r="R219" s="14">
        <f t="shared" si="332"/>
        <v>119</v>
      </c>
      <c r="S219" s="14">
        <f t="shared" si="332"/>
        <v>118</v>
      </c>
      <c r="T219" s="16">
        <v>118.0</v>
      </c>
      <c r="U219" s="16">
        <v>125.0</v>
      </c>
      <c r="V219" s="16">
        <v>207.0</v>
      </c>
      <c r="W219" s="15">
        <v>209.0</v>
      </c>
      <c r="X219" s="15">
        <v>252.0</v>
      </c>
      <c r="Y219" s="17">
        <v>257.0</v>
      </c>
      <c r="Z219" s="15">
        <v>252.0</v>
      </c>
      <c r="AA219" s="15">
        <v>40.67796610169492</v>
      </c>
      <c r="AB219" s="15">
        <v>38.4</v>
      </c>
      <c r="AC219" s="15">
        <v>29.951690821256037</v>
      </c>
      <c r="AD219" s="16">
        <v>31.57894736842105</v>
      </c>
      <c r="AE219" s="16">
        <v>54.36507936507936</v>
      </c>
      <c r="AF219" s="16">
        <v>53.69649805447471</v>
      </c>
      <c r="AG219" s="16">
        <v>53.17460317460318</v>
      </c>
      <c r="AH219" s="16">
        <f t="shared" si="314"/>
        <v>33.31021273</v>
      </c>
      <c r="AI219" s="18">
        <f t="shared" si="289"/>
        <v>53.74539353</v>
      </c>
      <c r="AJ219" s="14">
        <f t="shared" si="290"/>
        <v>58.66666667</v>
      </c>
      <c r="AK219" s="14">
        <f t="shared" si="291"/>
        <v>136.3333333</v>
      </c>
      <c r="AL219" s="14">
        <f t="shared" si="292"/>
        <v>121.6666667</v>
      </c>
      <c r="AM219" s="14">
        <f t="shared" si="293"/>
        <v>117.3333333</v>
      </c>
    </row>
    <row r="220" ht="14.25" customHeight="1">
      <c r="A220" s="1" t="s">
        <v>325</v>
      </c>
      <c r="B220" s="1" t="s">
        <v>350</v>
      </c>
      <c r="C220" s="1" t="s">
        <v>352</v>
      </c>
      <c r="D220" s="1" t="s">
        <v>352</v>
      </c>
      <c r="E220" s="14">
        <v>50602.0</v>
      </c>
      <c r="F220" s="15">
        <v>30.0</v>
      </c>
      <c r="G220" s="15">
        <v>34.0</v>
      </c>
      <c r="H220" s="15">
        <v>43.0</v>
      </c>
      <c r="I220" s="15">
        <v>41.0</v>
      </c>
      <c r="J220" s="15">
        <v>54.0</v>
      </c>
      <c r="K220" s="15">
        <v>52.0</v>
      </c>
      <c r="L220" s="16">
        <v>53.0</v>
      </c>
      <c r="M220" s="14">
        <f t="shared" ref="M220:S220" si="333">IF(AND(ISBLANK(F220), NOT(ISBLANK(T220))), T220, IF(OR(ISBLANK(T220), ISBLANK(F220)), "", T220-F220))</f>
        <v>25</v>
      </c>
      <c r="N220" s="14">
        <f t="shared" si="333"/>
        <v>23</v>
      </c>
      <c r="O220" s="14">
        <f t="shared" si="333"/>
        <v>42</v>
      </c>
      <c r="P220" s="14">
        <f t="shared" si="333"/>
        <v>45</v>
      </c>
      <c r="Q220" s="14">
        <f t="shared" si="333"/>
        <v>35</v>
      </c>
      <c r="R220" s="14">
        <f t="shared" si="333"/>
        <v>38</v>
      </c>
      <c r="S220" s="14">
        <f t="shared" si="333"/>
        <v>37</v>
      </c>
      <c r="T220" s="16">
        <v>55.0</v>
      </c>
      <c r="U220" s="16">
        <v>57.0</v>
      </c>
      <c r="V220" s="16">
        <v>85.0</v>
      </c>
      <c r="W220" s="15">
        <v>86.0</v>
      </c>
      <c r="X220" s="15">
        <v>89.0</v>
      </c>
      <c r="Y220" s="17">
        <v>90.0</v>
      </c>
      <c r="Z220" s="15">
        <v>90.0</v>
      </c>
      <c r="AA220" s="15">
        <v>54.54545454545454</v>
      </c>
      <c r="AB220" s="15">
        <v>59.64912280701754</v>
      </c>
      <c r="AC220" s="15">
        <v>50.588235294117645</v>
      </c>
      <c r="AD220" s="16">
        <v>47.674418604651166</v>
      </c>
      <c r="AE220" s="16">
        <v>60.67415730337079</v>
      </c>
      <c r="AF220" s="16">
        <v>57.77777777777777</v>
      </c>
      <c r="AG220" s="16">
        <v>58.88888888888889</v>
      </c>
      <c r="AH220" s="16">
        <f t="shared" si="314"/>
        <v>52.6372589</v>
      </c>
      <c r="AI220" s="18">
        <f t="shared" si="289"/>
        <v>59.11360799</v>
      </c>
      <c r="AJ220" s="14">
        <f t="shared" si="290"/>
        <v>39.33333333</v>
      </c>
      <c r="AK220" s="14">
        <f t="shared" si="291"/>
        <v>53</v>
      </c>
      <c r="AL220" s="14">
        <f t="shared" si="292"/>
        <v>36.66666667</v>
      </c>
      <c r="AM220" s="14">
        <f t="shared" si="293"/>
        <v>36.66666667</v>
      </c>
    </row>
    <row r="221" ht="14.25" customHeight="1">
      <c r="A221" s="1" t="s">
        <v>325</v>
      </c>
      <c r="B221" s="1" t="s">
        <v>353</v>
      </c>
      <c r="C221" s="1" t="s">
        <v>354</v>
      </c>
      <c r="D221" s="1" t="s">
        <v>355</v>
      </c>
      <c r="E221" s="14">
        <v>50701.0</v>
      </c>
      <c r="F221" s="15">
        <v>21.0</v>
      </c>
      <c r="G221" s="15">
        <v>27.0</v>
      </c>
      <c r="H221" s="15">
        <v>34.0</v>
      </c>
      <c r="I221" s="15">
        <v>44.0</v>
      </c>
      <c r="J221" s="15">
        <v>85.0</v>
      </c>
      <c r="K221" s="15">
        <v>83.0</v>
      </c>
      <c r="L221" s="16">
        <v>86.0</v>
      </c>
      <c r="M221" s="14">
        <f t="shared" ref="M221:S221" si="334">IF(AND(ISBLANK(F221), NOT(ISBLANK(T221))), T221, IF(OR(ISBLANK(T221), ISBLANK(F221)), "", T221-F221))</f>
        <v>14</v>
      </c>
      <c r="N221" s="14">
        <f t="shared" si="334"/>
        <v>26</v>
      </c>
      <c r="O221" s="14">
        <f t="shared" si="334"/>
        <v>36</v>
      </c>
      <c r="P221" s="14">
        <f t="shared" si="334"/>
        <v>33</v>
      </c>
      <c r="Q221" s="14">
        <f t="shared" si="334"/>
        <v>14</v>
      </c>
      <c r="R221" s="14">
        <f t="shared" si="334"/>
        <v>17</v>
      </c>
      <c r="S221" s="14">
        <f t="shared" si="334"/>
        <v>17</v>
      </c>
      <c r="T221" s="16">
        <v>35.0</v>
      </c>
      <c r="U221" s="16">
        <v>53.0</v>
      </c>
      <c r="V221" s="16">
        <v>70.0</v>
      </c>
      <c r="W221" s="15">
        <v>77.0</v>
      </c>
      <c r="X221" s="15">
        <v>99.0</v>
      </c>
      <c r="Y221" s="17">
        <v>100.0</v>
      </c>
      <c r="Z221" s="15">
        <v>103.0</v>
      </c>
      <c r="AA221" s="15">
        <v>60.0</v>
      </c>
      <c r="AB221" s="15">
        <v>50.943396226415096</v>
      </c>
      <c r="AC221" s="15">
        <v>48.57142857142857</v>
      </c>
      <c r="AD221" s="16">
        <v>57.14285714285714</v>
      </c>
      <c r="AE221" s="16">
        <v>85.85858585858585</v>
      </c>
      <c r="AF221" s="16">
        <v>83.0</v>
      </c>
      <c r="AG221" s="16">
        <v>83.49514563106796</v>
      </c>
      <c r="AH221" s="16">
        <f t="shared" si="314"/>
        <v>52.21922731</v>
      </c>
      <c r="AI221" s="18">
        <f t="shared" si="289"/>
        <v>84.1179105</v>
      </c>
      <c r="AJ221" s="14">
        <f t="shared" si="290"/>
        <v>35</v>
      </c>
      <c r="AK221" s="14">
        <f t="shared" si="291"/>
        <v>84.66666667</v>
      </c>
      <c r="AL221" s="14">
        <f t="shared" si="292"/>
        <v>31.66666667</v>
      </c>
      <c r="AM221" s="14">
        <f t="shared" si="293"/>
        <v>16</v>
      </c>
    </row>
    <row r="222" ht="14.25" customHeight="1">
      <c r="A222" s="1" t="s">
        <v>325</v>
      </c>
      <c r="B222" s="1" t="s">
        <v>353</v>
      </c>
      <c r="C222" s="1" t="s">
        <v>356</v>
      </c>
      <c r="D222" s="1" t="s">
        <v>356</v>
      </c>
      <c r="E222" s="14">
        <v>50702.0</v>
      </c>
      <c r="F222" s="15">
        <v>28.0</v>
      </c>
      <c r="G222" s="15">
        <v>29.0</v>
      </c>
      <c r="H222" s="15">
        <v>34.0</v>
      </c>
      <c r="I222" s="15">
        <v>35.0</v>
      </c>
      <c r="J222" s="15">
        <v>47.0</v>
      </c>
      <c r="K222" s="15">
        <v>48.0</v>
      </c>
      <c r="L222" s="16">
        <v>49.0</v>
      </c>
      <c r="M222" s="14">
        <f t="shared" ref="M222:S222" si="335">IF(AND(ISBLANK(F222), NOT(ISBLANK(T222))), T222, IF(OR(ISBLANK(T222), ISBLANK(F222)), "", T222-F222))</f>
        <v>7</v>
      </c>
      <c r="N222" s="14">
        <f t="shared" si="335"/>
        <v>11</v>
      </c>
      <c r="O222" s="14">
        <f t="shared" si="335"/>
        <v>26</v>
      </c>
      <c r="P222" s="14">
        <f t="shared" si="335"/>
        <v>24</v>
      </c>
      <c r="Q222" s="14">
        <f t="shared" si="335"/>
        <v>12</v>
      </c>
      <c r="R222" s="14">
        <f t="shared" si="335"/>
        <v>11</v>
      </c>
      <c r="S222" s="14">
        <f t="shared" si="335"/>
        <v>11</v>
      </c>
      <c r="T222" s="16">
        <v>35.0</v>
      </c>
      <c r="U222" s="16">
        <v>40.0</v>
      </c>
      <c r="V222" s="16">
        <v>60.0</v>
      </c>
      <c r="W222" s="15">
        <v>59.0</v>
      </c>
      <c r="X222" s="15">
        <v>59.0</v>
      </c>
      <c r="Y222" s="17">
        <v>59.0</v>
      </c>
      <c r="Z222" s="15">
        <v>60.0</v>
      </c>
      <c r="AA222" s="15">
        <v>80.0</v>
      </c>
      <c r="AB222" s="15">
        <v>72.5</v>
      </c>
      <c r="AC222" s="15">
        <v>56.666666666666664</v>
      </c>
      <c r="AD222" s="16">
        <v>59.32203389830508</v>
      </c>
      <c r="AE222" s="16">
        <v>79.66101694915254</v>
      </c>
      <c r="AF222" s="16">
        <v>81.35593220338984</v>
      </c>
      <c r="AG222" s="16">
        <v>81.66666666666667</v>
      </c>
      <c r="AH222" s="16">
        <f t="shared" si="314"/>
        <v>62.82956685</v>
      </c>
      <c r="AI222" s="18">
        <f t="shared" si="289"/>
        <v>80.89453861</v>
      </c>
      <c r="AJ222" s="14">
        <f t="shared" si="290"/>
        <v>32.66666667</v>
      </c>
      <c r="AK222" s="14">
        <f t="shared" si="291"/>
        <v>48</v>
      </c>
      <c r="AL222" s="14">
        <f t="shared" si="292"/>
        <v>20.33333333</v>
      </c>
      <c r="AM222" s="14">
        <f t="shared" si="293"/>
        <v>11.33333333</v>
      </c>
    </row>
    <row r="223" ht="14.25" customHeight="1">
      <c r="A223" s="1" t="s">
        <v>325</v>
      </c>
      <c r="B223" s="1" t="s">
        <v>357</v>
      </c>
      <c r="C223" s="1" t="s">
        <v>358</v>
      </c>
      <c r="D223" s="1" t="s">
        <v>358</v>
      </c>
      <c r="E223" s="14">
        <v>50801.0</v>
      </c>
      <c r="F223" s="15">
        <v>150.0</v>
      </c>
      <c r="G223" s="15">
        <v>152.0</v>
      </c>
      <c r="H223" s="15">
        <v>203.0</v>
      </c>
      <c r="I223" s="15">
        <v>222.0</v>
      </c>
      <c r="J223" s="15">
        <v>313.0</v>
      </c>
      <c r="K223" s="15">
        <v>313.0</v>
      </c>
      <c r="L223" s="16">
        <v>310.0</v>
      </c>
      <c r="M223" s="14">
        <f t="shared" ref="M223:S223" si="336">IF(AND(ISBLANK(F223), NOT(ISBLANK(T223))), T223, IF(OR(ISBLANK(T223), ISBLANK(F223)), "", T223-F223))</f>
        <v>67</v>
      </c>
      <c r="N223" s="14">
        <f t="shared" si="336"/>
        <v>63</v>
      </c>
      <c r="O223" s="14">
        <f t="shared" si="336"/>
        <v>129</v>
      </c>
      <c r="P223" s="14">
        <f t="shared" si="336"/>
        <v>140</v>
      </c>
      <c r="Q223" s="14">
        <f t="shared" si="336"/>
        <v>125</v>
      </c>
      <c r="R223" s="14">
        <f t="shared" si="336"/>
        <v>131</v>
      </c>
      <c r="S223" s="14">
        <f t="shared" si="336"/>
        <v>136</v>
      </c>
      <c r="T223" s="16">
        <v>217.0</v>
      </c>
      <c r="U223" s="16">
        <v>215.0</v>
      </c>
      <c r="V223" s="16">
        <v>332.0</v>
      </c>
      <c r="W223" s="15">
        <v>362.0</v>
      </c>
      <c r="X223" s="15">
        <v>438.0</v>
      </c>
      <c r="Y223" s="17">
        <v>444.0</v>
      </c>
      <c r="Z223" s="15">
        <v>446.0</v>
      </c>
      <c r="AA223" s="15">
        <v>69.12442396313364</v>
      </c>
      <c r="AB223" s="15">
        <v>70.69767441860465</v>
      </c>
      <c r="AC223" s="15">
        <v>61.14457831325302</v>
      </c>
      <c r="AD223" s="16">
        <v>61.32596685082873</v>
      </c>
      <c r="AE223" s="16">
        <v>71.46118721461188</v>
      </c>
      <c r="AF223" s="16">
        <v>70.4954954954955</v>
      </c>
      <c r="AG223" s="16">
        <v>69.50672645739911</v>
      </c>
      <c r="AH223" s="16">
        <f t="shared" si="314"/>
        <v>64.38940653</v>
      </c>
      <c r="AI223" s="18">
        <f t="shared" si="289"/>
        <v>70.48780306</v>
      </c>
      <c r="AJ223" s="14">
        <f t="shared" si="290"/>
        <v>192.3333333</v>
      </c>
      <c r="AK223" s="14">
        <f t="shared" si="291"/>
        <v>312</v>
      </c>
      <c r="AL223" s="14">
        <f t="shared" si="292"/>
        <v>110.6666667</v>
      </c>
      <c r="AM223" s="14">
        <f t="shared" si="293"/>
        <v>130.6666667</v>
      </c>
    </row>
    <row r="224" ht="14.25" customHeight="1">
      <c r="A224" s="1" t="s">
        <v>325</v>
      </c>
      <c r="B224" s="1" t="s">
        <v>357</v>
      </c>
      <c r="C224" s="1" t="s">
        <v>359</v>
      </c>
      <c r="D224" s="1" t="s">
        <v>359</v>
      </c>
      <c r="E224" s="14">
        <v>50802.0</v>
      </c>
      <c r="F224" s="15">
        <v>43.0</v>
      </c>
      <c r="G224" s="15">
        <v>59.0</v>
      </c>
      <c r="H224" s="15">
        <v>58.0</v>
      </c>
      <c r="I224" s="15">
        <v>61.0</v>
      </c>
      <c r="J224" s="15">
        <v>76.0</v>
      </c>
      <c r="K224" s="15">
        <v>76.0</v>
      </c>
      <c r="L224" s="16">
        <v>76.0</v>
      </c>
      <c r="M224" s="14">
        <f t="shared" ref="M224:S224" si="337">IF(AND(ISBLANK(F224), NOT(ISBLANK(T224))), T224, IF(OR(ISBLANK(T224), ISBLANK(F224)), "", T224-F224))</f>
        <v>25</v>
      </c>
      <c r="N224" s="14">
        <f t="shared" si="337"/>
        <v>24</v>
      </c>
      <c r="O224" s="14">
        <f t="shared" si="337"/>
        <v>32</v>
      </c>
      <c r="P224" s="14">
        <f t="shared" si="337"/>
        <v>32</v>
      </c>
      <c r="Q224" s="14">
        <f t="shared" si="337"/>
        <v>22</v>
      </c>
      <c r="R224" s="14">
        <f t="shared" si="337"/>
        <v>21</v>
      </c>
      <c r="S224" s="14">
        <f t="shared" si="337"/>
        <v>24</v>
      </c>
      <c r="T224" s="16">
        <v>68.0</v>
      </c>
      <c r="U224" s="16">
        <v>83.0</v>
      </c>
      <c r="V224" s="16">
        <v>90.0</v>
      </c>
      <c r="W224" s="15">
        <v>93.0</v>
      </c>
      <c r="X224" s="15">
        <v>98.0</v>
      </c>
      <c r="Y224" s="17">
        <v>97.0</v>
      </c>
      <c r="Z224" s="15">
        <v>100.0</v>
      </c>
      <c r="AA224" s="15">
        <v>63.23529411764706</v>
      </c>
      <c r="AB224" s="15">
        <v>71.08433734939759</v>
      </c>
      <c r="AC224" s="15">
        <v>64.44444444444444</v>
      </c>
      <c r="AD224" s="16">
        <v>65.59139784946237</v>
      </c>
      <c r="AE224" s="16">
        <v>77.55102040816327</v>
      </c>
      <c r="AF224" s="16">
        <v>78.35051546391753</v>
      </c>
      <c r="AG224" s="16">
        <v>76.0</v>
      </c>
      <c r="AH224" s="16">
        <f t="shared" si="314"/>
        <v>67.04005988</v>
      </c>
      <c r="AI224" s="18">
        <f t="shared" si="289"/>
        <v>77.30051196</v>
      </c>
      <c r="AJ224" s="14">
        <f t="shared" si="290"/>
        <v>59.33333333</v>
      </c>
      <c r="AK224" s="14">
        <f t="shared" si="291"/>
        <v>76</v>
      </c>
      <c r="AL224" s="14">
        <f t="shared" si="292"/>
        <v>29.33333333</v>
      </c>
      <c r="AM224" s="14">
        <f t="shared" si="293"/>
        <v>22.33333333</v>
      </c>
    </row>
    <row r="225" ht="14.25" customHeight="1">
      <c r="A225" s="1" t="s">
        <v>325</v>
      </c>
      <c r="B225" s="1" t="s">
        <v>360</v>
      </c>
      <c r="C225" s="1" t="s">
        <v>361</v>
      </c>
      <c r="D225" s="1" t="s">
        <v>362</v>
      </c>
      <c r="E225" s="14">
        <v>50901.0</v>
      </c>
      <c r="F225" s="15">
        <v>22.0</v>
      </c>
      <c r="G225" s="15">
        <v>28.0</v>
      </c>
      <c r="H225" s="15">
        <v>37.0</v>
      </c>
      <c r="I225" s="15">
        <v>39.0</v>
      </c>
      <c r="J225" s="15">
        <v>68.0</v>
      </c>
      <c r="K225" s="15">
        <v>69.0</v>
      </c>
      <c r="L225" s="16">
        <v>74.0</v>
      </c>
      <c r="M225" s="14">
        <f t="shared" ref="M225:S225" si="338">IF(AND(ISBLANK(F225), NOT(ISBLANK(T225))), T225, IF(OR(ISBLANK(T225), ISBLANK(F225)), "", T225-F225))</f>
        <v>33</v>
      </c>
      <c r="N225" s="14">
        <f t="shared" si="338"/>
        <v>31</v>
      </c>
      <c r="O225" s="14">
        <f t="shared" si="338"/>
        <v>56</v>
      </c>
      <c r="P225" s="14">
        <f t="shared" si="338"/>
        <v>57</v>
      </c>
      <c r="Q225" s="14">
        <f t="shared" si="338"/>
        <v>48</v>
      </c>
      <c r="R225" s="14">
        <f t="shared" si="338"/>
        <v>50</v>
      </c>
      <c r="S225" s="14">
        <f t="shared" si="338"/>
        <v>49</v>
      </c>
      <c r="T225" s="16">
        <v>55.0</v>
      </c>
      <c r="U225" s="16">
        <v>59.0</v>
      </c>
      <c r="V225" s="16">
        <v>93.0</v>
      </c>
      <c r="W225" s="15">
        <v>96.0</v>
      </c>
      <c r="X225" s="15">
        <v>116.0</v>
      </c>
      <c r="Y225" s="17">
        <v>119.0</v>
      </c>
      <c r="Z225" s="15">
        <v>123.0</v>
      </c>
      <c r="AA225" s="15">
        <v>40.0</v>
      </c>
      <c r="AB225" s="15">
        <v>47.45762711864407</v>
      </c>
      <c r="AC225" s="15">
        <v>39.784946236559136</v>
      </c>
      <c r="AD225" s="16">
        <v>40.625</v>
      </c>
      <c r="AE225" s="16">
        <v>58.620689655172406</v>
      </c>
      <c r="AF225" s="16">
        <v>57.98319327731093</v>
      </c>
      <c r="AG225" s="16">
        <v>60.16260162601627</v>
      </c>
      <c r="AH225" s="16">
        <f t="shared" si="314"/>
        <v>42.62252445</v>
      </c>
      <c r="AI225" s="18">
        <f t="shared" si="289"/>
        <v>58.92216152</v>
      </c>
      <c r="AJ225" s="14">
        <f t="shared" si="290"/>
        <v>34.66666667</v>
      </c>
      <c r="AK225" s="14">
        <f t="shared" si="291"/>
        <v>70.33333333</v>
      </c>
      <c r="AL225" s="14">
        <f t="shared" si="292"/>
        <v>48</v>
      </c>
      <c r="AM225" s="14">
        <f t="shared" si="293"/>
        <v>49</v>
      </c>
    </row>
    <row r="226" ht="14.25" customHeight="1">
      <c r="A226" s="1" t="s">
        <v>325</v>
      </c>
      <c r="B226" s="1" t="s">
        <v>360</v>
      </c>
      <c r="C226" s="1" t="s">
        <v>363</v>
      </c>
      <c r="D226" s="1" t="s">
        <v>364</v>
      </c>
      <c r="E226" s="14">
        <v>50902.0</v>
      </c>
      <c r="F226" s="15">
        <v>3.0</v>
      </c>
      <c r="G226" s="15">
        <v>4.0</v>
      </c>
      <c r="H226" s="15">
        <v>5.0</v>
      </c>
      <c r="I226" s="15">
        <v>5.0</v>
      </c>
      <c r="J226" s="15">
        <v>6.0</v>
      </c>
      <c r="K226" s="15">
        <v>6.0</v>
      </c>
      <c r="L226" s="16">
        <v>6.0</v>
      </c>
      <c r="M226" s="14">
        <f t="shared" ref="M226:S226" si="339">IF(AND(ISBLANK(F226), NOT(ISBLANK(T226))), T226, IF(OR(ISBLANK(T226), ISBLANK(F226)), "", T226-F226))</f>
        <v>2</v>
      </c>
      <c r="N226" s="14">
        <f t="shared" si="339"/>
        <v>1</v>
      </c>
      <c r="O226" s="14">
        <f t="shared" si="339"/>
        <v>2</v>
      </c>
      <c r="P226" s="14">
        <f t="shared" si="339"/>
        <v>3</v>
      </c>
      <c r="Q226" s="14">
        <f t="shared" si="339"/>
        <v>3</v>
      </c>
      <c r="R226" s="14">
        <f t="shared" si="339"/>
        <v>3</v>
      </c>
      <c r="S226" s="14">
        <f t="shared" si="339"/>
        <v>3</v>
      </c>
      <c r="T226" s="16">
        <v>5.0</v>
      </c>
      <c r="U226" s="16">
        <v>5.0</v>
      </c>
      <c r="V226" s="16">
        <v>7.0</v>
      </c>
      <c r="W226" s="15">
        <v>8.0</v>
      </c>
      <c r="X226" s="15">
        <v>9.0</v>
      </c>
      <c r="Y226" s="17">
        <v>9.0</v>
      </c>
      <c r="Z226" s="15">
        <v>9.0</v>
      </c>
      <c r="AA226" s="15">
        <v>60.0</v>
      </c>
      <c r="AB226" s="15">
        <v>80.0</v>
      </c>
      <c r="AC226" s="15">
        <v>71.42857142857143</v>
      </c>
      <c r="AD226" s="16">
        <v>62.5</v>
      </c>
      <c r="AE226" s="16">
        <v>66.66666666666666</v>
      </c>
      <c r="AF226" s="16">
        <v>66.66666666666666</v>
      </c>
      <c r="AG226" s="16">
        <v>66.66666666666666</v>
      </c>
      <c r="AH226" s="16">
        <f t="shared" si="314"/>
        <v>71.30952381</v>
      </c>
      <c r="AI226" s="18">
        <f t="shared" si="289"/>
        <v>66.66666667</v>
      </c>
      <c r="AJ226" s="14">
        <f t="shared" si="290"/>
        <v>4.666666667</v>
      </c>
      <c r="AK226" s="14">
        <f t="shared" si="291"/>
        <v>6</v>
      </c>
      <c r="AL226" s="14">
        <f t="shared" si="292"/>
        <v>2</v>
      </c>
      <c r="AM226" s="14">
        <f t="shared" si="293"/>
        <v>3</v>
      </c>
    </row>
    <row r="227" ht="14.25" customHeight="1">
      <c r="A227" s="1" t="s">
        <v>325</v>
      </c>
      <c r="B227" s="1" t="s">
        <v>365</v>
      </c>
      <c r="C227" s="1" t="s">
        <v>366</v>
      </c>
      <c r="D227" s="1" t="s">
        <v>367</v>
      </c>
      <c r="E227" s="14">
        <v>51001.0</v>
      </c>
      <c r="F227" s="15">
        <v>4.0</v>
      </c>
      <c r="G227" s="15">
        <v>5.0</v>
      </c>
      <c r="H227" s="15">
        <v>9.0</v>
      </c>
      <c r="I227" s="15">
        <v>7.0</v>
      </c>
      <c r="J227" s="15">
        <v>20.0</v>
      </c>
      <c r="K227" s="15">
        <v>20.0</v>
      </c>
      <c r="L227" s="16">
        <v>21.0</v>
      </c>
      <c r="M227" s="14">
        <f t="shared" ref="M227:S227" si="340">IF(AND(ISBLANK(F227), NOT(ISBLANK(T227))), T227, IF(OR(ISBLANK(T227), ISBLANK(F227)), "", T227-F227))</f>
        <v>9</v>
      </c>
      <c r="N227" s="14">
        <f t="shared" si="340"/>
        <v>9</v>
      </c>
      <c r="O227" s="14">
        <f t="shared" si="340"/>
        <v>15</v>
      </c>
      <c r="P227" s="14">
        <f t="shared" si="340"/>
        <v>18</v>
      </c>
      <c r="Q227" s="14">
        <f t="shared" si="340"/>
        <v>12</v>
      </c>
      <c r="R227" s="14">
        <f t="shared" si="340"/>
        <v>12</v>
      </c>
      <c r="S227" s="14">
        <f t="shared" si="340"/>
        <v>12</v>
      </c>
      <c r="T227" s="16">
        <v>13.0</v>
      </c>
      <c r="U227" s="16">
        <v>14.0</v>
      </c>
      <c r="V227" s="16">
        <v>24.0</v>
      </c>
      <c r="W227" s="15">
        <v>25.0</v>
      </c>
      <c r="X227" s="15">
        <v>32.0</v>
      </c>
      <c r="Y227" s="17">
        <v>32.0</v>
      </c>
      <c r="Z227" s="15">
        <v>33.0</v>
      </c>
      <c r="AA227" s="15">
        <v>30.76923076923077</v>
      </c>
      <c r="AB227" s="15">
        <v>35.714285714285715</v>
      </c>
      <c r="AC227" s="15">
        <v>37.5</v>
      </c>
      <c r="AD227" s="16">
        <v>28.000000000000004</v>
      </c>
      <c r="AE227" s="16">
        <v>62.5</v>
      </c>
      <c r="AF227" s="16">
        <v>62.5</v>
      </c>
      <c r="AG227" s="16">
        <v>63.63636363636363</v>
      </c>
      <c r="AH227" s="16">
        <f t="shared" si="314"/>
        <v>33.73809524</v>
      </c>
      <c r="AI227" s="18">
        <f t="shared" si="289"/>
        <v>62.87878788</v>
      </c>
      <c r="AJ227" s="14">
        <f t="shared" si="290"/>
        <v>7</v>
      </c>
      <c r="AK227" s="14">
        <f t="shared" si="291"/>
        <v>20.33333333</v>
      </c>
      <c r="AL227" s="14">
        <f t="shared" si="292"/>
        <v>14</v>
      </c>
      <c r="AM227" s="14">
        <f t="shared" si="293"/>
        <v>12</v>
      </c>
    </row>
    <row r="228" ht="14.25" customHeight="1">
      <c r="A228" s="1" t="s">
        <v>325</v>
      </c>
      <c r="B228" s="1" t="s">
        <v>365</v>
      </c>
      <c r="C228" s="1" t="s">
        <v>368</v>
      </c>
      <c r="D228" s="1" t="s">
        <v>368</v>
      </c>
      <c r="E228" s="14">
        <v>51002.0</v>
      </c>
      <c r="F228" s="15">
        <v>2.0</v>
      </c>
      <c r="G228" s="15">
        <v>2.0</v>
      </c>
      <c r="H228" s="15">
        <v>2.0</v>
      </c>
      <c r="I228" s="15">
        <v>3.0</v>
      </c>
      <c r="J228" s="15">
        <v>5.0</v>
      </c>
      <c r="K228" s="15">
        <v>4.0</v>
      </c>
      <c r="L228" s="16">
        <v>6.0</v>
      </c>
      <c r="M228" s="14">
        <f t="shared" ref="M228:S228" si="341">IF(AND(ISBLANK(F228), NOT(ISBLANK(T228))), T228, IF(OR(ISBLANK(T228), ISBLANK(F228)), "", T228-F228))</f>
        <v>3</v>
      </c>
      <c r="N228" s="14">
        <f t="shared" si="341"/>
        <v>3</v>
      </c>
      <c r="O228" s="14">
        <f t="shared" si="341"/>
        <v>5</v>
      </c>
      <c r="P228" s="14">
        <f t="shared" si="341"/>
        <v>4</v>
      </c>
      <c r="Q228" s="14">
        <f t="shared" si="341"/>
        <v>4</v>
      </c>
      <c r="R228" s="14">
        <f t="shared" si="341"/>
        <v>5</v>
      </c>
      <c r="S228" s="14">
        <f t="shared" si="341"/>
        <v>3</v>
      </c>
      <c r="T228" s="16">
        <v>5.0</v>
      </c>
      <c r="U228" s="16">
        <v>5.0</v>
      </c>
      <c r="V228" s="16">
        <v>7.0</v>
      </c>
      <c r="W228" s="15">
        <v>7.0</v>
      </c>
      <c r="X228" s="15">
        <v>9.0</v>
      </c>
      <c r="Y228" s="17">
        <v>9.0</v>
      </c>
      <c r="Z228" s="15">
        <v>9.0</v>
      </c>
      <c r="AA228" s="15">
        <v>40.0</v>
      </c>
      <c r="AB228" s="15">
        <v>40.0</v>
      </c>
      <c r="AC228" s="15">
        <v>28.57142857142857</v>
      </c>
      <c r="AD228" s="16">
        <v>42.857142857142854</v>
      </c>
      <c r="AE228" s="16">
        <v>55.55555555555556</v>
      </c>
      <c r="AF228" s="16">
        <v>44.44444444444444</v>
      </c>
      <c r="AG228" s="16">
        <v>66.66666666666666</v>
      </c>
      <c r="AH228" s="16">
        <f t="shared" si="314"/>
        <v>37.14285714</v>
      </c>
      <c r="AI228" s="18">
        <f t="shared" si="289"/>
        <v>55.55555556</v>
      </c>
      <c r="AJ228" s="14">
        <f t="shared" si="290"/>
        <v>2.333333333</v>
      </c>
      <c r="AK228" s="14">
        <f t="shared" si="291"/>
        <v>5</v>
      </c>
      <c r="AL228" s="14">
        <f t="shared" si="292"/>
        <v>4</v>
      </c>
      <c r="AM228" s="14">
        <f t="shared" si="293"/>
        <v>4</v>
      </c>
    </row>
    <row r="229" ht="14.25" customHeight="1">
      <c r="A229" s="1" t="s">
        <v>325</v>
      </c>
      <c r="B229" s="1" t="s">
        <v>365</v>
      </c>
      <c r="C229" s="1" t="s">
        <v>369</v>
      </c>
      <c r="D229" s="1" t="s">
        <v>369</v>
      </c>
      <c r="E229" s="14">
        <v>51003.0</v>
      </c>
      <c r="F229" s="15">
        <v>2.0</v>
      </c>
      <c r="G229" s="15">
        <v>2.0</v>
      </c>
      <c r="H229" s="15">
        <v>3.0</v>
      </c>
      <c r="I229" s="15">
        <v>5.0</v>
      </c>
      <c r="J229" s="15">
        <v>9.0</v>
      </c>
      <c r="K229" s="15">
        <v>12.0</v>
      </c>
      <c r="L229" s="16">
        <v>13.0</v>
      </c>
      <c r="M229" s="14">
        <f t="shared" ref="M229:S229" si="342">IF(AND(ISBLANK(F229), NOT(ISBLANK(T229))), T229, IF(OR(ISBLANK(T229), ISBLANK(F229)), "", T229-F229))</f>
        <v>3</v>
      </c>
      <c r="N229" s="14">
        <f t="shared" si="342"/>
        <v>3</v>
      </c>
      <c r="O229" s="14">
        <f t="shared" si="342"/>
        <v>9</v>
      </c>
      <c r="P229" s="14">
        <f t="shared" si="342"/>
        <v>7</v>
      </c>
      <c r="Q229" s="14">
        <f t="shared" si="342"/>
        <v>5</v>
      </c>
      <c r="R229" s="14">
        <f t="shared" si="342"/>
        <v>5</v>
      </c>
      <c r="S229" s="14">
        <f t="shared" si="342"/>
        <v>5</v>
      </c>
      <c r="T229" s="16">
        <v>5.0</v>
      </c>
      <c r="U229" s="16">
        <v>5.0</v>
      </c>
      <c r="V229" s="16">
        <v>12.0</v>
      </c>
      <c r="W229" s="15">
        <v>12.0</v>
      </c>
      <c r="X229" s="15">
        <v>14.0</v>
      </c>
      <c r="Y229" s="17">
        <v>17.0</v>
      </c>
      <c r="Z229" s="15">
        <v>18.0</v>
      </c>
      <c r="AA229" s="15">
        <v>40.0</v>
      </c>
      <c r="AB229" s="15">
        <v>40.0</v>
      </c>
      <c r="AC229" s="15">
        <v>25.0</v>
      </c>
      <c r="AD229" s="16">
        <v>41.66666666666667</v>
      </c>
      <c r="AE229" s="16">
        <v>64.28571428571429</v>
      </c>
      <c r="AF229" s="16">
        <v>70.58823529411765</v>
      </c>
      <c r="AG229" s="16">
        <v>72.22222222222221</v>
      </c>
      <c r="AH229" s="16">
        <f t="shared" si="314"/>
        <v>35.55555556</v>
      </c>
      <c r="AI229" s="18">
        <f t="shared" si="289"/>
        <v>69.03205727</v>
      </c>
      <c r="AJ229" s="14">
        <f t="shared" si="290"/>
        <v>3.333333333</v>
      </c>
      <c r="AK229" s="14">
        <f t="shared" si="291"/>
        <v>11.33333333</v>
      </c>
      <c r="AL229" s="14">
        <f t="shared" si="292"/>
        <v>6.333333333</v>
      </c>
      <c r="AM229" s="14">
        <f t="shared" si="293"/>
        <v>5</v>
      </c>
    </row>
    <row r="230" ht="14.25" customHeight="1">
      <c r="A230" s="1" t="s">
        <v>325</v>
      </c>
      <c r="B230" s="1" t="s">
        <v>370</v>
      </c>
      <c r="C230" s="1" t="s">
        <v>371</v>
      </c>
      <c r="D230" s="1" t="s">
        <v>372</v>
      </c>
      <c r="E230" s="14">
        <v>51101.0</v>
      </c>
      <c r="F230" s="15">
        <v>70.0</v>
      </c>
      <c r="G230" s="15">
        <v>82.0</v>
      </c>
      <c r="H230" s="15">
        <v>96.0</v>
      </c>
      <c r="I230" s="15">
        <v>73.0</v>
      </c>
      <c r="J230" s="15">
        <v>122.0</v>
      </c>
      <c r="K230" s="15">
        <v>126.0</v>
      </c>
      <c r="L230" s="16">
        <v>134.0</v>
      </c>
      <c r="M230" s="14">
        <f t="shared" ref="M230:S230" si="343">IF(AND(ISBLANK(F230), NOT(ISBLANK(T230))), T230, IF(OR(ISBLANK(T230), ISBLANK(F230)), "", T230-F230))</f>
        <v>67</v>
      </c>
      <c r="N230" s="14">
        <f t="shared" si="343"/>
        <v>55</v>
      </c>
      <c r="O230" s="14">
        <f t="shared" si="343"/>
        <v>129</v>
      </c>
      <c r="P230" s="14">
        <f t="shared" si="343"/>
        <v>95</v>
      </c>
      <c r="Q230" s="14">
        <f t="shared" si="343"/>
        <v>67</v>
      </c>
      <c r="R230" s="14">
        <f t="shared" si="343"/>
        <v>66</v>
      </c>
      <c r="S230" s="14">
        <f t="shared" si="343"/>
        <v>59</v>
      </c>
      <c r="T230" s="16">
        <v>137.0</v>
      </c>
      <c r="U230" s="16">
        <v>137.0</v>
      </c>
      <c r="V230" s="16">
        <v>225.0</v>
      </c>
      <c r="W230" s="15">
        <v>168.0</v>
      </c>
      <c r="X230" s="15">
        <v>189.0</v>
      </c>
      <c r="Y230" s="17">
        <v>192.0</v>
      </c>
      <c r="Z230" s="15">
        <v>193.0</v>
      </c>
      <c r="AA230" s="15">
        <v>51.09489051094891</v>
      </c>
      <c r="AB230" s="15">
        <v>59.854014598540154</v>
      </c>
      <c r="AC230" s="15">
        <v>42.66666666666667</v>
      </c>
      <c r="AD230" s="16">
        <v>43.452380952380956</v>
      </c>
      <c r="AE230" s="16">
        <v>64.55026455026454</v>
      </c>
      <c r="AF230" s="16">
        <v>65.625</v>
      </c>
      <c r="AG230" s="16">
        <v>69.43005181347151</v>
      </c>
      <c r="AH230" s="16">
        <f t="shared" si="314"/>
        <v>48.65768741</v>
      </c>
      <c r="AI230" s="18">
        <f t="shared" si="289"/>
        <v>66.53510545</v>
      </c>
      <c r="AJ230" s="14">
        <f t="shared" si="290"/>
        <v>83.66666667</v>
      </c>
      <c r="AK230" s="14">
        <f t="shared" si="291"/>
        <v>127.3333333</v>
      </c>
      <c r="AL230" s="14">
        <f t="shared" si="292"/>
        <v>93</v>
      </c>
      <c r="AM230" s="14">
        <f t="shared" si="293"/>
        <v>64</v>
      </c>
    </row>
    <row r="231" ht="14.25" customHeight="1">
      <c r="A231" s="1" t="s">
        <v>325</v>
      </c>
      <c r="B231" s="1" t="s">
        <v>370</v>
      </c>
      <c r="C231" s="1" t="s">
        <v>373</v>
      </c>
      <c r="D231" s="1" t="s">
        <v>373</v>
      </c>
      <c r="E231" s="14">
        <v>51102.0</v>
      </c>
      <c r="F231" s="15">
        <v>27.0</v>
      </c>
      <c r="G231" s="15">
        <v>31.0</v>
      </c>
      <c r="H231" s="15">
        <v>38.0</v>
      </c>
      <c r="I231" s="15">
        <v>42.0</v>
      </c>
      <c r="J231" s="15">
        <v>55.0</v>
      </c>
      <c r="K231" s="15">
        <v>56.0</v>
      </c>
      <c r="L231" s="16">
        <v>58.0</v>
      </c>
      <c r="M231" s="14">
        <f t="shared" ref="M231:S231" si="344">IF(AND(ISBLANK(F231), NOT(ISBLANK(T231))), T231, IF(OR(ISBLANK(T231), ISBLANK(F231)), "", T231-F231))</f>
        <v>23</v>
      </c>
      <c r="N231" s="14">
        <f t="shared" si="344"/>
        <v>21</v>
      </c>
      <c r="O231" s="14">
        <f t="shared" si="344"/>
        <v>36</v>
      </c>
      <c r="P231" s="14">
        <f t="shared" si="344"/>
        <v>32</v>
      </c>
      <c r="Q231" s="14">
        <f t="shared" si="344"/>
        <v>35</v>
      </c>
      <c r="R231" s="14">
        <f t="shared" si="344"/>
        <v>38</v>
      </c>
      <c r="S231" s="14">
        <f t="shared" si="344"/>
        <v>43</v>
      </c>
      <c r="T231" s="16">
        <v>50.0</v>
      </c>
      <c r="U231" s="16">
        <v>52.0</v>
      </c>
      <c r="V231" s="16">
        <v>74.0</v>
      </c>
      <c r="W231" s="15">
        <v>74.0</v>
      </c>
      <c r="X231" s="15">
        <v>90.0</v>
      </c>
      <c r="Y231" s="17">
        <v>94.0</v>
      </c>
      <c r="Z231" s="15">
        <v>101.0</v>
      </c>
      <c r="AA231" s="15">
        <v>54.0</v>
      </c>
      <c r="AB231" s="15">
        <v>59.61538461538461</v>
      </c>
      <c r="AC231" s="15">
        <v>51.35135135135135</v>
      </c>
      <c r="AD231" s="16">
        <v>56.75675675675676</v>
      </c>
      <c r="AE231" s="16">
        <v>61.111111111111114</v>
      </c>
      <c r="AF231" s="16">
        <v>59.57446808510638</v>
      </c>
      <c r="AG231" s="16">
        <v>57.42574257425742</v>
      </c>
      <c r="AH231" s="16">
        <f t="shared" si="314"/>
        <v>55.90783091</v>
      </c>
      <c r="AI231" s="18">
        <f t="shared" si="289"/>
        <v>59.37044059</v>
      </c>
      <c r="AJ231" s="14">
        <f t="shared" si="290"/>
        <v>37</v>
      </c>
      <c r="AK231" s="14">
        <f t="shared" si="291"/>
        <v>56.33333333</v>
      </c>
      <c r="AL231" s="14">
        <f t="shared" si="292"/>
        <v>29.66666667</v>
      </c>
      <c r="AM231" s="14">
        <f t="shared" si="293"/>
        <v>38.66666667</v>
      </c>
    </row>
    <row r="232" ht="14.25" customHeight="1">
      <c r="A232" s="1" t="s">
        <v>325</v>
      </c>
      <c r="B232" s="1" t="s">
        <v>370</v>
      </c>
      <c r="C232" s="1" t="s">
        <v>374</v>
      </c>
      <c r="D232" s="1" t="s">
        <v>374</v>
      </c>
      <c r="E232" s="14">
        <v>51103.0</v>
      </c>
      <c r="F232" s="15">
        <v>0.0</v>
      </c>
      <c r="G232" s="15">
        <v>0.0</v>
      </c>
      <c r="H232" s="15">
        <v>0.0</v>
      </c>
      <c r="I232" s="15">
        <v>39.0</v>
      </c>
      <c r="J232" s="15">
        <v>79.0</v>
      </c>
      <c r="K232" s="15">
        <v>81.0</v>
      </c>
      <c r="L232" s="16">
        <v>84.0</v>
      </c>
      <c r="M232" s="14">
        <f t="shared" ref="M232:S232" si="345">IF(AND(ISBLANK(F232), NOT(ISBLANK(T232))), T232, IF(OR(ISBLANK(T232), ISBLANK(F232)), "", T232-F232))</f>
        <v>0</v>
      </c>
      <c r="N232" s="14">
        <f t="shared" si="345"/>
        <v>0</v>
      </c>
      <c r="O232" s="14">
        <f t="shared" si="345"/>
        <v>0</v>
      </c>
      <c r="P232" s="14">
        <f t="shared" si="345"/>
        <v>45</v>
      </c>
      <c r="Q232" s="14">
        <f t="shared" si="345"/>
        <v>39</v>
      </c>
      <c r="R232" s="14">
        <f t="shared" si="345"/>
        <v>39</v>
      </c>
      <c r="S232" s="14">
        <f t="shared" si="345"/>
        <v>38</v>
      </c>
      <c r="T232" s="16">
        <v>0.0</v>
      </c>
      <c r="U232" s="16">
        <v>0.0</v>
      </c>
      <c r="V232" s="16">
        <v>0.0</v>
      </c>
      <c r="W232" s="15">
        <v>84.0</v>
      </c>
      <c r="X232" s="15">
        <v>118.0</v>
      </c>
      <c r="Y232" s="17">
        <v>120.0</v>
      </c>
      <c r="Z232" s="15">
        <v>122.0</v>
      </c>
      <c r="AA232" s="15"/>
      <c r="AB232" s="15"/>
      <c r="AC232" s="15"/>
      <c r="AD232" s="16">
        <v>46.42857142857143</v>
      </c>
      <c r="AE232" s="16">
        <v>66.94915254237289</v>
      </c>
      <c r="AF232" s="16">
        <v>67.5</v>
      </c>
      <c r="AG232" s="16">
        <v>68.85245901639344</v>
      </c>
      <c r="AH232" s="16">
        <f t="shared" si="314"/>
        <v>46.42857143</v>
      </c>
      <c r="AI232" s="18">
        <f t="shared" si="289"/>
        <v>67.76720385</v>
      </c>
      <c r="AJ232" s="14">
        <f t="shared" si="290"/>
        <v>13</v>
      </c>
      <c r="AK232" s="14">
        <f t="shared" si="291"/>
        <v>81.33333333</v>
      </c>
      <c r="AL232" s="14">
        <f t="shared" si="292"/>
        <v>15</v>
      </c>
      <c r="AM232" s="14">
        <f t="shared" si="293"/>
        <v>38.66666667</v>
      </c>
    </row>
    <row r="233" ht="14.25" customHeight="1">
      <c r="A233" s="1" t="s">
        <v>325</v>
      </c>
      <c r="B233" s="1" t="s">
        <v>375</v>
      </c>
      <c r="C233" s="1" t="s">
        <v>376</v>
      </c>
      <c r="D233" s="1" t="s">
        <v>376</v>
      </c>
      <c r="E233" s="14">
        <v>51201.0</v>
      </c>
      <c r="F233" s="15">
        <v>111.0</v>
      </c>
      <c r="G233" s="15">
        <v>118.0</v>
      </c>
      <c r="H233" s="15">
        <v>146.0</v>
      </c>
      <c r="I233" s="15">
        <v>150.0</v>
      </c>
      <c r="J233" s="15">
        <v>207.0</v>
      </c>
      <c r="K233" s="15">
        <v>211.0</v>
      </c>
      <c r="L233" s="16">
        <v>213.0</v>
      </c>
      <c r="M233" s="14">
        <f t="shared" ref="M233:S233" si="346">IF(AND(ISBLANK(F233), NOT(ISBLANK(T233))), T233, IF(OR(ISBLANK(T233), ISBLANK(F233)), "", T233-F233))</f>
        <v>53</v>
      </c>
      <c r="N233" s="14">
        <f t="shared" si="346"/>
        <v>47</v>
      </c>
      <c r="O233" s="14">
        <f t="shared" si="346"/>
        <v>71</v>
      </c>
      <c r="P233" s="14">
        <f t="shared" si="346"/>
        <v>72</v>
      </c>
      <c r="Q233" s="14">
        <f t="shared" si="346"/>
        <v>76</v>
      </c>
      <c r="R233" s="14">
        <f t="shared" si="346"/>
        <v>76</v>
      </c>
      <c r="S233" s="14">
        <f t="shared" si="346"/>
        <v>79</v>
      </c>
      <c r="T233" s="16">
        <v>164.0</v>
      </c>
      <c r="U233" s="16">
        <v>165.0</v>
      </c>
      <c r="V233" s="16">
        <v>217.0</v>
      </c>
      <c r="W233" s="15">
        <v>222.0</v>
      </c>
      <c r="X233" s="15">
        <v>283.0</v>
      </c>
      <c r="Y233" s="17">
        <v>287.0</v>
      </c>
      <c r="Z233" s="15">
        <v>292.0</v>
      </c>
      <c r="AA233" s="15">
        <v>67.6829268292683</v>
      </c>
      <c r="AB233" s="15">
        <v>71.51515151515152</v>
      </c>
      <c r="AC233" s="15">
        <v>67.2811059907834</v>
      </c>
      <c r="AD233" s="16">
        <v>67.56756756756756</v>
      </c>
      <c r="AE233" s="16">
        <v>73.14487632508833</v>
      </c>
      <c r="AF233" s="16">
        <v>73.5191637630662</v>
      </c>
      <c r="AG233" s="16">
        <v>72.94520547945206</v>
      </c>
      <c r="AH233" s="16">
        <f t="shared" si="314"/>
        <v>68.78794169</v>
      </c>
      <c r="AI233" s="18">
        <f t="shared" si="289"/>
        <v>73.20308186</v>
      </c>
      <c r="AJ233" s="14">
        <f t="shared" si="290"/>
        <v>138</v>
      </c>
      <c r="AK233" s="14">
        <f t="shared" si="291"/>
        <v>210.3333333</v>
      </c>
      <c r="AL233" s="14">
        <f t="shared" si="292"/>
        <v>63.33333333</v>
      </c>
      <c r="AM233" s="14">
        <f t="shared" si="293"/>
        <v>77</v>
      </c>
    </row>
    <row r="234" ht="14.25" customHeight="1">
      <c r="A234" s="1" t="s">
        <v>325</v>
      </c>
      <c r="B234" s="1" t="s">
        <v>375</v>
      </c>
      <c r="C234" s="1" t="s">
        <v>377</v>
      </c>
      <c r="D234" s="1" t="s">
        <v>377</v>
      </c>
      <c r="E234" s="14">
        <v>51202.0</v>
      </c>
      <c r="F234" s="15">
        <v>28.0</v>
      </c>
      <c r="G234" s="15">
        <v>34.0</v>
      </c>
      <c r="H234" s="15">
        <v>42.0</v>
      </c>
      <c r="I234" s="15">
        <v>49.0</v>
      </c>
      <c r="J234" s="15">
        <v>71.0</v>
      </c>
      <c r="K234" s="15">
        <v>70.0</v>
      </c>
      <c r="L234" s="16">
        <v>75.0</v>
      </c>
      <c r="M234" s="14">
        <f t="shared" ref="M234:S234" si="347">IF(AND(ISBLANK(F234), NOT(ISBLANK(T234))), T234, IF(OR(ISBLANK(T234), ISBLANK(F234)), "", T234-F234))</f>
        <v>39</v>
      </c>
      <c r="N234" s="14">
        <f t="shared" si="347"/>
        <v>45</v>
      </c>
      <c r="O234" s="14">
        <f t="shared" si="347"/>
        <v>64</v>
      </c>
      <c r="P234" s="14">
        <f t="shared" si="347"/>
        <v>62</v>
      </c>
      <c r="Q234" s="14">
        <f t="shared" si="347"/>
        <v>49</v>
      </c>
      <c r="R234" s="14">
        <f t="shared" si="347"/>
        <v>49</v>
      </c>
      <c r="S234" s="14">
        <f t="shared" si="347"/>
        <v>45</v>
      </c>
      <c r="T234" s="16">
        <v>67.0</v>
      </c>
      <c r="U234" s="16">
        <v>79.0</v>
      </c>
      <c r="V234" s="16">
        <v>106.0</v>
      </c>
      <c r="W234" s="15">
        <v>111.0</v>
      </c>
      <c r="X234" s="15">
        <v>120.0</v>
      </c>
      <c r="Y234" s="17">
        <v>119.0</v>
      </c>
      <c r="Z234" s="15">
        <v>120.0</v>
      </c>
      <c r="AA234" s="15">
        <v>41.7910447761194</v>
      </c>
      <c r="AB234" s="15">
        <v>43.037974683544306</v>
      </c>
      <c r="AC234" s="15">
        <v>39.62264150943396</v>
      </c>
      <c r="AD234" s="16">
        <v>44.14414414414414</v>
      </c>
      <c r="AE234" s="16">
        <v>59.166666666666664</v>
      </c>
      <c r="AF234" s="16">
        <v>58.82352941176471</v>
      </c>
      <c r="AG234" s="16">
        <v>62.5</v>
      </c>
      <c r="AH234" s="16">
        <f t="shared" si="314"/>
        <v>42.26825345</v>
      </c>
      <c r="AI234" s="18">
        <f t="shared" si="289"/>
        <v>60.16339869</v>
      </c>
      <c r="AJ234" s="14">
        <f t="shared" si="290"/>
        <v>41.66666667</v>
      </c>
      <c r="AK234" s="14">
        <f t="shared" si="291"/>
        <v>72</v>
      </c>
      <c r="AL234" s="14">
        <f t="shared" si="292"/>
        <v>57</v>
      </c>
      <c r="AM234" s="14">
        <f t="shared" si="293"/>
        <v>47.66666667</v>
      </c>
    </row>
    <row r="235" ht="14.25" customHeight="1">
      <c r="A235" s="1" t="s">
        <v>325</v>
      </c>
      <c r="B235" s="1" t="s">
        <v>375</v>
      </c>
      <c r="C235" s="1" t="s">
        <v>378</v>
      </c>
      <c r="D235" s="1" t="s">
        <v>378</v>
      </c>
      <c r="E235" s="14">
        <v>51203.0</v>
      </c>
      <c r="F235" s="15">
        <v>12.0</v>
      </c>
      <c r="G235" s="15">
        <v>15.0</v>
      </c>
      <c r="H235" s="15">
        <v>21.0</v>
      </c>
      <c r="I235" s="15">
        <v>20.0</v>
      </c>
      <c r="J235" s="15">
        <v>31.0</v>
      </c>
      <c r="K235" s="15">
        <v>33.0</v>
      </c>
      <c r="L235" s="16">
        <v>33.0</v>
      </c>
      <c r="M235" s="14">
        <f t="shared" ref="M235:S235" si="348">IF(AND(ISBLANK(F235), NOT(ISBLANK(T235))), T235, IF(OR(ISBLANK(T235), ISBLANK(F235)), "", T235-F235))</f>
        <v>10</v>
      </c>
      <c r="N235" s="14">
        <f t="shared" si="348"/>
        <v>7</v>
      </c>
      <c r="O235" s="14">
        <f t="shared" si="348"/>
        <v>16</v>
      </c>
      <c r="P235" s="14">
        <f t="shared" si="348"/>
        <v>17</v>
      </c>
      <c r="Q235" s="14">
        <f t="shared" si="348"/>
        <v>24</v>
      </c>
      <c r="R235" s="14">
        <f t="shared" si="348"/>
        <v>23</v>
      </c>
      <c r="S235" s="14">
        <f t="shared" si="348"/>
        <v>23</v>
      </c>
      <c r="T235" s="16">
        <v>22.0</v>
      </c>
      <c r="U235" s="16">
        <v>22.0</v>
      </c>
      <c r="V235" s="16">
        <v>37.0</v>
      </c>
      <c r="W235" s="15">
        <v>37.0</v>
      </c>
      <c r="X235" s="15">
        <v>55.0</v>
      </c>
      <c r="Y235" s="17">
        <v>56.0</v>
      </c>
      <c r="Z235" s="15">
        <v>56.0</v>
      </c>
      <c r="AA235" s="15">
        <v>54.54545454545454</v>
      </c>
      <c r="AB235" s="15">
        <v>68.18181818181817</v>
      </c>
      <c r="AC235" s="15">
        <v>56.75675675675676</v>
      </c>
      <c r="AD235" s="16">
        <v>54.054054054054056</v>
      </c>
      <c r="AE235" s="16">
        <v>56.36363636363636</v>
      </c>
      <c r="AF235" s="16">
        <v>58.92857142857143</v>
      </c>
      <c r="AG235" s="16">
        <v>58.92857142857143</v>
      </c>
      <c r="AH235" s="16">
        <f t="shared" si="314"/>
        <v>59.66420966</v>
      </c>
      <c r="AI235" s="18">
        <f t="shared" si="289"/>
        <v>58.07359307</v>
      </c>
      <c r="AJ235" s="14">
        <f t="shared" si="290"/>
        <v>18.66666667</v>
      </c>
      <c r="AK235" s="14">
        <f t="shared" si="291"/>
        <v>32.33333333</v>
      </c>
      <c r="AL235" s="14">
        <f t="shared" si="292"/>
        <v>13.33333333</v>
      </c>
      <c r="AM235" s="14">
        <f t="shared" si="293"/>
        <v>23.33333333</v>
      </c>
    </row>
    <row r="236" ht="14.25" customHeight="1">
      <c r="A236" s="1" t="s">
        <v>325</v>
      </c>
      <c r="B236" s="1" t="s">
        <v>377</v>
      </c>
      <c r="C236" s="1" t="s">
        <v>379</v>
      </c>
      <c r="D236" s="1" t="s">
        <v>379</v>
      </c>
      <c r="E236" s="14">
        <v>51204.0</v>
      </c>
      <c r="F236" s="15">
        <v>28.0</v>
      </c>
      <c r="G236" s="15">
        <v>34.0</v>
      </c>
      <c r="H236" s="15">
        <v>42.0</v>
      </c>
      <c r="I236" s="15">
        <v>49.0</v>
      </c>
      <c r="J236" s="15">
        <v>71.0</v>
      </c>
      <c r="K236" s="15">
        <v>70.0</v>
      </c>
      <c r="L236" s="16">
        <v>75.0</v>
      </c>
      <c r="M236" s="14">
        <f t="shared" ref="M236:S236" si="349">IF(AND(ISBLANK(F236), NOT(ISBLANK(T236))), T236, IF(OR(ISBLANK(T236), ISBLANK(F236)), "", T236-F236))</f>
        <v>39</v>
      </c>
      <c r="N236" s="14">
        <f t="shared" si="349"/>
        <v>45</v>
      </c>
      <c r="O236" s="14">
        <f t="shared" si="349"/>
        <v>64</v>
      </c>
      <c r="P236" s="14">
        <f t="shared" si="349"/>
        <v>62</v>
      </c>
      <c r="Q236" s="14">
        <f t="shared" si="349"/>
        <v>49</v>
      </c>
      <c r="R236" s="14">
        <f t="shared" si="349"/>
        <v>49</v>
      </c>
      <c r="S236" s="14">
        <f t="shared" si="349"/>
        <v>45</v>
      </c>
      <c r="T236" s="16">
        <v>67.0</v>
      </c>
      <c r="U236" s="16">
        <v>79.0</v>
      </c>
      <c r="V236" s="16">
        <v>106.0</v>
      </c>
      <c r="W236" s="15">
        <v>111.0</v>
      </c>
      <c r="X236" s="15">
        <v>120.0</v>
      </c>
      <c r="Y236" s="17">
        <v>119.0</v>
      </c>
      <c r="Z236" s="15">
        <v>120.0</v>
      </c>
      <c r="AA236" s="15">
        <v>41.7910447761194</v>
      </c>
      <c r="AB236" s="15">
        <v>43.037974683544306</v>
      </c>
      <c r="AC236" s="15">
        <v>39.62264150943396</v>
      </c>
      <c r="AD236" s="16">
        <v>44.14414414414414</v>
      </c>
      <c r="AE236" s="16">
        <v>59.166666666666664</v>
      </c>
      <c r="AF236" s="16">
        <v>58.82352941176471</v>
      </c>
      <c r="AG236" s="16">
        <v>62.5</v>
      </c>
      <c r="AH236" s="16">
        <f t="shared" si="314"/>
        <v>42.26825345</v>
      </c>
      <c r="AI236" s="18">
        <f t="shared" si="289"/>
        <v>60.16339869</v>
      </c>
      <c r="AJ236" s="14">
        <f t="shared" si="290"/>
        <v>41.66666667</v>
      </c>
      <c r="AK236" s="14">
        <f t="shared" si="291"/>
        <v>72</v>
      </c>
      <c r="AL236" s="14">
        <f t="shared" si="292"/>
        <v>57</v>
      </c>
      <c r="AM236" s="14">
        <f t="shared" si="293"/>
        <v>47.66666667</v>
      </c>
    </row>
    <row r="237" ht="14.25" customHeight="1">
      <c r="A237" s="1" t="s">
        <v>325</v>
      </c>
      <c r="B237" s="1" t="s">
        <v>380</v>
      </c>
      <c r="C237" s="1" t="s">
        <v>381</v>
      </c>
      <c r="D237" s="1" t="s">
        <v>381</v>
      </c>
      <c r="E237" s="14">
        <v>51301.0</v>
      </c>
      <c r="F237" s="15">
        <v>6.0</v>
      </c>
      <c r="G237" s="15">
        <v>7.0</v>
      </c>
      <c r="H237" s="15">
        <v>7.0</v>
      </c>
      <c r="I237" s="15">
        <v>9.0</v>
      </c>
      <c r="J237" s="15">
        <v>31.0</v>
      </c>
      <c r="K237" s="15">
        <v>31.0</v>
      </c>
      <c r="L237" s="16">
        <v>28.0</v>
      </c>
      <c r="M237" s="14">
        <f t="shared" ref="M237:S237" si="350">IF(AND(ISBLANK(F237), NOT(ISBLANK(T237))), T237, IF(OR(ISBLANK(T237), ISBLANK(F237)), "", T237-F237))</f>
        <v>5</v>
      </c>
      <c r="N237" s="14">
        <f t="shared" si="350"/>
        <v>4</v>
      </c>
      <c r="O237" s="14">
        <f t="shared" si="350"/>
        <v>13</v>
      </c>
      <c r="P237" s="14">
        <f t="shared" si="350"/>
        <v>12</v>
      </c>
      <c r="Q237" s="14">
        <f t="shared" si="350"/>
        <v>6</v>
      </c>
      <c r="R237" s="14">
        <f t="shared" si="350"/>
        <v>6</v>
      </c>
      <c r="S237" s="14">
        <f t="shared" si="350"/>
        <v>9</v>
      </c>
      <c r="T237" s="16">
        <v>11.0</v>
      </c>
      <c r="U237" s="16">
        <v>11.0</v>
      </c>
      <c r="V237" s="16">
        <v>20.0</v>
      </c>
      <c r="W237" s="15">
        <v>21.0</v>
      </c>
      <c r="X237" s="15">
        <v>37.0</v>
      </c>
      <c r="Y237" s="17">
        <v>37.0</v>
      </c>
      <c r="Z237" s="15">
        <v>37.0</v>
      </c>
      <c r="AA237" s="15">
        <v>54.54545454545454</v>
      </c>
      <c r="AB237" s="15">
        <v>63.63636363636363</v>
      </c>
      <c r="AC237" s="15">
        <v>35.0</v>
      </c>
      <c r="AD237" s="16">
        <v>42.857142857142854</v>
      </c>
      <c r="AE237" s="16">
        <v>83.78378378378379</v>
      </c>
      <c r="AF237" s="16">
        <v>83.78378378378379</v>
      </c>
      <c r="AG237" s="16">
        <v>75.67567567567568</v>
      </c>
      <c r="AH237" s="16">
        <f t="shared" si="314"/>
        <v>47.16450216</v>
      </c>
      <c r="AI237" s="18">
        <f t="shared" si="289"/>
        <v>81.08108108</v>
      </c>
      <c r="AJ237" s="14">
        <f t="shared" si="290"/>
        <v>7.666666667</v>
      </c>
      <c r="AK237" s="14">
        <f t="shared" si="291"/>
        <v>30</v>
      </c>
      <c r="AL237" s="14">
        <f t="shared" si="292"/>
        <v>9.666666667</v>
      </c>
      <c r="AM237" s="14">
        <f t="shared" si="293"/>
        <v>7</v>
      </c>
    </row>
    <row r="238" ht="14.25" customHeight="1">
      <c r="A238" s="1" t="s">
        <v>325</v>
      </c>
      <c r="B238" s="1" t="s">
        <v>380</v>
      </c>
      <c r="C238" s="1" t="s">
        <v>382</v>
      </c>
      <c r="D238" s="1" t="s">
        <v>382</v>
      </c>
      <c r="E238" s="14">
        <v>51302.0</v>
      </c>
      <c r="F238" s="15">
        <v>9.0</v>
      </c>
      <c r="G238" s="15">
        <v>10.0</v>
      </c>
      <c r="H238" s="15">
        <v>13.0</v>
      </c>
      <c r="I238" s="15">
        <v>12.0</v>
      </c>
      <c r="J238" s="15">
        <v>38.0</v>
      </c>
      <c r="K238" s="15">
        <v>36.0</v>
      </c>
      <c r="L238" s="16">
        <v>39.0</v>
      </c>
      <c r="M238" s="14">
        <f t="shared" ref="M238:S238" si="351">IF(AND(ISBLANK(F238), NOT(ISBLANK(T238))), T238, IF(OR(ISBLANK(T238), ISBLANK(F238)), "", T238-F238))</f>
        <v>5</v>
      </c>
      <c r="N238" s="14">
        <f t="shared" si="351"/>
        <v>4</v>
      </c>
      <c r="O238" s="14">
        <f t="shared" si="351"/>
        <v>14</v>
      </c>
      <c r="P238" s="14">
        <f t="shared" si="351"/>
        <v>14</v>
      </c>
      <c r="Q238" s="14">
        <f t="shared" si="351"/>
        <v>7</v>
      </c>
      <c r="R238" s="14">
        <f t="shared" si="351"/>
        <v>9</v>
      </c>
      <c r="S238" s="14">
        <f t="shared" si="351"/>
        <v>7</v>
      </c>
      <c r="T238" s="16">
        <v>14.0</v>
      </c>
      <c r="U238" s="16">
        <v>14.0</v>
      </c>
      <c r="V238" s="16">
        <v>27.0</v>
      </c>
      <c r="W238" s="15">
        <v>26.0</v>
      </c>
      <c r="X238" s="15">
        <v>45.0</v>
      </c>
      <c r="Y238" s="17">
        <v>45.0</v>
      </c>
      <c r="Z238" s="15">
        <v>46.0</v>
      </c>
      <c r="AA238" s="15">
        <v>64.28571428571429</v>
      </c>
      <c r="AB238" s="15">
        <v>71.42857142857143</v>
      </c>
      <c r="AC238" s="15">
        <v>48.148148148148145</v>
      </c>
      <c r="AD238" s="16">
        <v>46.15384615384615</v>
      </c>
      <c r="AE238" s="16">
        <v>84.44444444444444</v>
      </c>
      <c r="AF238" s="16">
        <v>80.0</v>
      </c>
      <c r="AG238" s="16">
        <v>84.78260869565217</v>
      </c>
      <c r="AH238" s="16">
        <f t="shared" si="314"/>
        <v>55.24352191</v>
      </c>
      <c r="AI238" s="18">
        <f t="shared" si="289"/>
        <v>83.07568438</v>
      </c>
      <c r="AJ238" s="14">
        <f t="shared" si="290"/>
        <v>11.66666667</v>
      </c>
      <c r="AK238" s="14">
        <f t="shared" si="291"/>
        <v>37.66666667</v>
      </c>
      <c r="AL238" s="14">
        <f t="shared" si="292"/>
        <v>10.66666667</v>
      </c>
      <c r="AM238" s="14">
        <f t="shared" si="293"/>
        <v>7.666666667</v>
      </c>
    </row>
    <row r="239" ht="14.25" customHeight="1">
      <c r="A239" s="1" t="s">
        <v>325</v>
      </c>
      <c r="B239" s="1" t="s">
        <v>383</v>
      </c>
      <c r="C239" s="1" t="s">
        <v>384</v>
      </c>
      <c r="D239" s="1" t="s">
        <v>384</v>
      </c>
      <c r="E239" s="14">
        <v>51401.0</v>
      </c>
      <c r="F239" s="15">
        <v>7.0</v>
      </c>
      <c r="G239" s="15">
        <v>8.0</v>
      </c>
      <c r="H239" s="15">
        <v>9.0</v>
      </c>
      <c r="I239" s="15">
        <v>10.0</v>
      </c>
      <c r="J239" s="15">
        <v>17.0</v>
      </c>
      <c r="K239" s="15">
        <v>17.0</v>
      </c>
      <c r="L239" s="16">
        <v>18.0</v>
      </c>
      <c r="M239" s="14">
        <f t="shared" ref="M239:S239" si="352">IF(AND(ISBLANK(F239), NOT(ISBLANK(T239))), T239, IF(OR(ISBLANK(T239), ISBLANK(F239)), "", T239-F239))</f>
        <v>10</v>
      </c>
      <c r="N239" s="14">
        <f t="shared" si="352"/>
        <v>9</v>
      </c>
      <c r="O239" s="14">
        <f t="shared" si="352"/>
        <v>23</v>
      </c>
      <c r="P239" s="14">
        <f t="shared" si="352"/>
        <v>24</v>
      </c>
      <c r="Q239" s="14">
        <f t="shared" si="352"/>
        <v>18</v>
      </c>
      <c r="R239" s="14">
        <f t="shared" si="352"/>
        <v>20</v>
      </c>
      <c r="S239" s="14">
        <f t="shared" si="352"/>
        <v>20</v>
      </c>
      <c r="T239" s="16">
        <v>17.0</v>
      </c>
      <c r="U239" s="16">
        <v>17.0</v>
      </c>
      <c r="V239" s="16">
        <v>32.0</v>
      </c>
      <c r="W239" s="15">
        <v>34.0</v>
      </c>
      <c r="X239" s="15">
        <v>35.0</v>
      </c>
      <c r="Y239" s="17">
        <v>37.0</v>
      </c>
      <c r="Z239" s="15">
        <v>38.0</v>
      </c>
      <c r="AA239" s="15">
        <v>41.17647058823529</v>
      </c>
      <c r="AB239" s="15">
        <v>47.05882352941176</v>
      </c>
      <c r="AC239" s="15">
        <v>28.125</v>
      </c>
      <c r="AD239" s="16">
        <v>29.411764705882355</v>
      </c>
      <c r="AE239" s="16">
        <v>48.57142857142857</v>
      </c>
      <c r="AF239" s="16">
        <v>45.94594594594595</v>
      </c>
      <c r="AG239" s="16">
        <v>47.368421052631575</v>
      </c>
      <c r="AH239" s="16">
        <f t="shared" si="314"/>
        <v>34.86519608</v>
      </c>
      <c r="AI239" s="18">
        <f t="shared" si="289"/>
        <v>47.29526519</v>
      </c>
      <c r="AJ239" s="14">
        <f t="shared" si="290"/>
        <v>9</v>
      </c>
      <c r="AK239" s="14">
        <f t="shared" si="291"/>
        <v>17.33333333</v>
      </c>
      <c r="AL239" s="14">
        <f t="shared" si="292"/>
        <v>18.66666667</v>
      </c>
      <c r="AM239" s="14">
        <f t="shared" si="293"/>
        <v>19.33333333</v>
      </c>
    </row>
    <row r="240" ht="14.25" customHeight="1">
      <c r="A240" s="1" t="s">
        <v>325</v>
      </c>
      <c r="B240" s="1" t="s">
        <v>383</v>
      </c>
      <c r="C240" s="1" t="s">
        <v>385</v>
      </c>
      <c r="D240" s="1" t="s">
        <v>385</v>
      </c>
      <c r="E240" s="14">
        <v>51402.0</v>
      </c>
      <c r="F240" s="15">
        <v>1.0</v>
      </c>
      <c r="G240" s="15">
        <v>4.0</v>
      </c>
      <c r="H240" s="15">
        <v>4.0</v>
      </c>
      <c r="I240" s="15">
        <v>3.0</v>
      </c>
      <c r="J240" s="15">
        <v>5.0</v>
      </c>
      <c r="K240" s="15">
        <v>5.0</v>
      </c>
      <c r="L240" s="16">
        <v>6.0</v>
      </c>
      <c r="M240" s="14">
        <f t="shared" ref="M240:S240" si="353">IF(AND(ISBLANK(F240), NOT(ISBLANK(T240))), T240, IF(OR(ISBLANK(T240), ISBLANK(F240)), "", T240-F240))</f>
        <v>4</v>
      </c>
      <c r="N240" s="14">
        <f t="shared" si="353"/>
        <v>1</v>
      </c>
      <c r="O240" s="14">
        <f t="shared" si="353"/>
        <v>7</v>
      </c>
      <c r="P240" s="14">
        <f t="shared" si="353"/>
        <v>9</v>
      </c>
      <c r="Q240" s="14">
        <f t="shared" si="353"/>
        <v>7</v>
      </c>
      <c r="R240" s="14">
        <f t="shared" si="353"/>
        <v>7</v>
      </c>
      <c r="S240" s="14">
        <f t="shared" si="353"/>
        <v>6</v>
      </c>
      <c r="T240" s="16">
        <v>5.0</v>
      </c>
      <c r="U240" s="16">
        <v>5.0</v>
      </c>
      <c r="V240" s="16">
        <v>11.0</v>
      </c>
      <c r="W240" s="15">
        <v>12.0</v>
      </c>
      <c r="X240" s="15">
        <v>12.0</v>
      </c>
      <c r="Y240" s="17">
        <v>12.0</v>
      </c>
      <c r="Z240" s="15">
        <v>12.0</v>
      </c>
      <c r="AA240" s="15">
        <v>20.0</v>
      </c>
      <c r="AB240" s="15">
        <v>80.0</v>
      </c>
      <c r="AC240" s="15">
        <v>36.36363636363637</v>
      </c>
      <c r="AD240" s="16">
        <v>25.0</v>
      </c>
      <c r="AE240" s="16">
        <v>41.66666666666667</v>
      </c>
      <c r="AF240" s="16">
        <v>41.66666666666667</v>
      </c>
      <c r="AG240" s="16">
        <v>50.0</v>
      </c>
      <c r="AH240" s="16">
        <f t="shared" si="314"/>
        <v>47.12121212</v>
      </c>
      <c r="AI240" s="18">
        <f t="shared" si="289"/>
        <v>44.44444444</v>
      </c>
      <c r="AJ240" s="14">
        <f t="shared" si="290"/>
        <v>3.666666667</v>
      </c>
      <c r="AK240" s="14">
        <f t="shared" si="291"/>
        <v>5.333333333</v>
      </c>
      <c r="AL240" s="14">
        <f t="shared" si="292"/>
        <v>5.666666667</v>
      </c>
      <c r="AM240" s="14">
        <f t="shared" si="293"/>
        <v>6.666666667</v>
      </c>
    </row>
    <row r="241" ht="14.25" customHeight="1">
      <c r="A241" s="1" t="s">
        <v>325</v>
      </c>
      <c r="B241" s="1" t="s">
        <v>386</v>
      </c>
      <c r="C241" s="1" t="s">
        <v>387</v>
      </c>
      <c r="D241" s="1" t="s">
        <v>387</v>
      </c>
      <c r="E241" s="14">
        <v>51501.0</v>
      </c>
      <c r="F241" s="15">
        <v>144.0</v>
      </c>
      <c r="G241" s="15">
        <v>166.0</v>
      </c>
      <c r="H241" s="15">
        <v>200.0</v>
      </c>
      <c r="I241" s="15">
        <v>204.0</v>
      </c>
      <c r="J241" s="15">
        <v>275.0</v>
      </c>
      <c r="K241" s="15">
        <v>277.0</v>
      </c>
      <c r="L241" s="16">
        <v>280.0</v>
      </c>
      <c r="M241" s="14">
        <f t="shared" ref="M241:S241" si="354">IF(AND(ISBLANK(F241), NOT(ISBLANK(T241))), T241, IF(OR(ISBLANK(T241), ISBLANK(F241)), "", T241-F241))</f>
        <v>64</v>
      </c>
      <c r="N241" s="14">
        <f t="shared" si="354"/>
        <v>83</v>
      </c>
      <c r="O241" s="14">
        <f t="shared" si="354"/>
        <v>129</v>
      </c>
      <c r="P241" s="14">
        <f t="shared" si="354"/>
        <v>124</v>
      </c>
      <c r="Q241" s="14">
        <f t="shared" si="354"/>
        <v>85</v>
      </c>
      <c r="R241" s="14">
        <f t="shared" si="354"/>
        <v>88</v>
      </c>
      <c r="S241" s="14">
        <f t="shared" si="354"/>
        <v>88</v>
      </c>
      <c r="T241" s="16">
        <v>208.0</v>
      </c>
      <c r="U241" s="16">
        <v>249.0</v>
      </c>
      <c r="V241" s="16">
        <v>329.0</v>
      </c>
      <c r="W241" s="15">
        <v>328.0</v>
      </c>
      <c r="X241" s="15">
        <v>360.0</v>
      </c>
      <c r="Y241" s="17">
        <v>365.0</v>
      </c>
      <c r="Z241" s="15">
        <v>368.0</v>
      </c>
      <c r="AA241" s="15">
        <v>69.23076923076923</v>
      </c>
      <c r="AB241" s="15">
        <v>66.66666666666666</v>
      </c>
      <c r="AC241" s="15">
        <v>60.790273556231</v>
      </c>
      <c r="AD241" s="16">
        <v>62.19512195121951</v>
      </c>
      <c r="AE241" s="16">
        <v>76.38888888888889</v>
      </c>
      <c r="AF241" s="16">
        <v>75.89041095890411</v>
      </c>
      <c r="AG241" s="16">
        <v>76.08695652173914</v>
      </c>
      <c r="AH241" s="16">
        <f t="shared" si="314"/>
        <v>63.21735406</v>
      </c>
      <c r="AI241" s="18">
        <f t="shared" si="289"/>
        <v>76.12208546</v>
      </c>
      <c r="AJ241" s="14">
        <f t="shared" si="290"/>
        <v>190</v>
      </c>
      <c r="AK241" s="14">
        <f t="shared" si="291"/>
        <v>277.3333333</v>
      </c>
      <c r="AL241" s="14">
        <f t="shared" si="292"/>
        <v>112</v>
      </c>
      <c r="AM241" s="14">
        <f t="shared" si="293"/>
        <v>87</v>
      </c>
    </row>
    <row r="242" ht="14.25" customHeight="1">
      <c r="A242" s="1" t="s">
        <v>325</v>
      </c>
      <c r="B242" s="1" t="s">
        <v>388</v>
      </c>
      <c r="C242" s="1" t="s">
        <v>389</v>
      </c>
      <c r="D242" s="1" t="s">
        <v>389</v>
      </c>
      <c r="E242" s="14">
        <v>51601.0</v>
      </c>
      <c r="F242" s="15">
        <v>0.0</v>
      </c>
      <c r="G242" s="15">
        <v>1.0</v>
      </c>
      <c r="H242" s="15">
        <v>1.0</v>
      </c>
      <c r="I242" s="15">
        <v>1.0</v>
      </c>
      <c r="J242" s="15">
        <v>11.0</v>
      </c>
      <c r="K242" s="15">
        <v>11.0</v>
      </c>
      <c r="L242" s="16">
        <v>10.0</v>
      </c>
      <c r="M242" s="14">
        <f t="shared" ref="M242:S242" si="355">IF(AND(ISBLANK(F242), NOT(ISBLANK(T242))), T242, IF(OR(ISBLANK(T242), ISBLANK(F242)), "", T242-F242))</f>
        <v>10</v>
      </c>
      <c r="N242" s="14">
        <f t="shared" si="355"/>
        <v>13</v>
      </c>
      <c r="O242" s="14">
        <f t="shared" si="355"/>
        <v>17</v>
      </c>
      <c r="P242" s="14">
        <f t="shared" si="355"/>
        <v>16</v>
      </c>
      <c r="Q242" s="14">
        <f t="shared" si="355"/>
        <v>11</v>
      </c>
      <c r="R242" s="14">
        <f t="shared" si="355"/>
        <v>11</v>
      </c>
      <c r="S242" s="14">
        <f t="shared" si="355"/>
        <v>12</v>
      </c>
      <c r="T242" s="16">
        <v>10.0</v>
      </c>
      <c r="U242" s="16">
        <v>14.0</v>
      </c>
      <c r="V242" s="16">
        <v>18.0</v>
      </c>
      <c r="W242" s="15">
        <v>17.0</v>
      </c>
      <c r="X242" s="15">
        <v>22.0</v>
      </c>
      <c r="Y242" s="17">
        <v>22.0</v>
      </c>
      <c r="Z242" s="15">
        <v>22.0</v>
      </c>
      <c r="AA242" s="15">
        <v>0.0</v>
      </c>
      <c r="AB242" s="15">
        <v>7.142857142857142</v>
      </c>
      <c r="AC242" s="15">
        <v>5.555555555555555</v>
      </c>
      <c r="AD242" s="16">
        <v>5.88235294117647</v>
      </c>
      <c r="AE242" s="16">
        <v>50.0</v>
      </c>
      <c r="AF242" s="16">
        <v>50.0</v>
      </c>
      <c r="AG242" s="16">
        <v>45.45454545454545</v>
      </c>
      <c r="AH242" s="16">
        <f t="shared" si="314"/>
        <v>6.193588547</v>
      </c>
      <c r="AI242" s="18">
        <f t="shared" si="289"/>
        <v>48.48484848</v>
      </c>
      <c r="AJ242" s="14">
        <f t="shared" si="290"/>
        <v>1</v>
      </c>
      <c r="AK242" s="14">
        <f t="shared" si="291"/>
        <v>10.66666667</v>
      </c>
      <c r="AL242" s="14">
        <f t="shared" si="292"/>
        <v>15.33333333</v>
      </c>
      <c r="AM242" s="14">
        <f t="shared" si="293"/>
        <v>11.33333333</v>
      </c>
    </row>
    <row r="243" ht="14.25" customHeight="1">
      <c r="A243" s="1" t="s">
        <v>57</v>
      </c>
      <c r="B243" s="1" t="s">
        <v>213</v>
      </c>
      <c r="C243" s="1" t="s">
        <v>57</v>
      </c>
      <c r="D243" s="1" t="s">
        <v>57</v>
      </c>
      <c r="E243" s="14">
        <v>60101.0</v>
      </c>
      <c r="F243" s="15">
        <v>565.0</v>
      </c>
      <c r="G243" s="15">
        <v>605.0</v>
      </c>
      <c r="H243" s="15">
        <v>707.0</v>
      </c>
      <c r="I243" s="15">
        <v>724.0</v>
      </c>
      <c r="J243" s="15">
        <v>850.0</v>
      </c>
      <c r="K243" s="15">
        <v>870.0</v>
      </c>
      <c r="L243" s="16">
        <v>881.0</v>
      </c>
      <c r="M243" s="14">
        <f t="shared" ref="M243:S243" si="356">IF(AND(ISBLANK(F243), NOT(ISBLANK(T243))), T243, IF(OR(ISBLANK(T243), ISBLANK(F243)), "", T243-F243))</f>
        <v>156</v>
      </c>
      <c r="N243" s="14">
        <f t="shared" si="356"/>
        <v>149</v>
      </c>
      <c r="O243" s="14">
        <f t="shared" si="356"/>
        <v>288</v>
      </c>
      <c r="P243" s="14">
        <f t="shared" si="356"/>
        <v>306</v>
      </c>
      <c r="Q243" s="14">
        <f t="shared" si="356"/>
        <v>254</v>
      </c>
      <c r="R243" s="14">
        <f t="shared" si="356"/>
        <v>260</v>
      </c>
      <c r="S243" s="14">
        <f t="shared" si="356"/>
        <v>264</v>
      </c>
      <c r="T243" s="16">
        <v>721.0</v>
      </c>
      <c r="U243" s="16">
        <v>754.0</v>
      </c>
      <c r="V243" s="16">
        <v>995.0</v>
      </c>
      <c r="W243" s="15">
        <v>1030.0</v>
      </c>
      <c r="X243" s="15">
        <v>1104.0</v>
      </c>
      <c r="Y243" s="17">
        <v>1130.0</v>
      </c>
      <c r="Z243" s="15">
        <v>1145.0</v>
      </c>
      <c r="AA243" s="15">
        <v>78.36338418862691</v>
      </c>
      <c r="AB243" s="15">
        <v>80.23872679045093</v>
      </c>
      <c r="AC243" s="15">
        <v>71.05527638190955</v>
      </c>
      <c r="AD243" s="16">
        <v>70.29126213592232</v>
      </c>
      <c r="AE243" s="16">
        <v>76.9927536231884</v>
      </c>
      <c r="AF243" s="16">
        <v>76.99115044247787</v>
      </c>
      <c r="AG243" s="16">
        <v>76.94323144104803</v>
      </c>
      <c r="AH243" s="16">
        <f t="shared" si="314"/>
        <v>73.8617551</v>
      </c>
      <c r="AI243" s="18">
        <f t="shared" si="289"/>
        <v>76.97571184</v>
      </c>
      <c r="AJ243" s="14">
        <f t="shared" si="290"/>
        <v>678.6666667</v>
      </c>
      <c r="AK243" s="14">
        <f t="shared" si="291"/>
        <v>867</v>
      </c>
      <c r="AL243" s="14">
        <f t="shared" si="292"/>
        <v>247.6666667</v>
      </c>
      <c r="AM243" s="14">
        <f t="shared" si="293"/>
        <v>259.3333333</v>
      </c>
    </row>
    <row r="244" ht="14.25" customHeight="1">
      <c r="A244" s="1" t="s">
        <v>57</v>
      </c>
      <c r="B244" s="1" t="s">
        <v>390</v>
      </c>
      <c r="C244" s="1" t="s">
        <v>391</v>
      </c>
      <c r="D244" s="1" t="s">
        <v>391</v>
      </c>
      <c r="E244" s="14">
        <v>60201.0</v>
      </c>
      <c r="F244" s="15">
        <v>26.0</v>
      </c>
      <c r="G244" s="15">
        <v>28.0</v>
      </c>
      <c r="H244" s="15">
        <v>32.0</v>
      </c>
      <c r="I244" s="15">
        <v>45.0</v>
      </c>
      <c r="J244" s="15">
        <v>82.0</v>
      </c>
      <c r="K244" s="15">
        <v>85.0</v>
      </c>
      <c r="L244" s="16">
        <v>86.0</v>
      </c>
      <c r="M244" s="14">
        <f t="shared" ref="M244:S244" si="357">IF(AND(ISBLANK(F244), NOT(ISBLANK(T244))), T244, IF(OR(ISBLANK(T244), ISBLANK(F244)), "", T244-F244))</f>
        <v>28</v>
      </c>
      <c r="N244" s="14">
        <f t="shared" si="357"/>
        <v>31</v>
      </c>
      <c r="O244" s="14">
        <f t="shared" si="357"/>
        <v>58</v>
      </c>
      <c r="P244" s="14">
        <f t="shared" si="357"/>
        <v>54</v>
      </c>
      <c r="Q244" s="14">
        <f t="shared" si="357"/>
        <v>42</v>
      </c>
      <c r="R244" s="14">
        <f t="shared" si="357"/>
        <v>40</v>
      </c>
      <c r="S244" s="14">
        <f t="shared" si="357"/>
        <v>38</v>
      </c>
      <c r="T244" s="16">
        <v>54.0</v>
      </c>
      <c r="U244" s="16">
        <v>59.0</v>
      </c>
      <c r="V244" s="16">
        <v>90.0</v>
      </c>
      <c r="W244" s="15">
        <v>99.0</v>
      </c>
      <c r="X244" s="15">
        <v>124.0</v>
      </c>
      <c r="Y244" s="17">
        <v>125.0</v>
      </c>
      <c r="Z244" s="15">
        <v>124.0</v>
      </c>
      <c r="AA244" s="15">
        <v>48.148148148148145</v>
      </c>
      <c r="AB244" s="15">
        <v>47.45762711864407</v>
      </c>
      <c r="AC244" s="15">
        <v>35.55555555555556</v>
      </c>
      <c r="AD244" s="16">
        <v>45.45454545454545</v>
      </c>
      <c r="AE244" s="16">
        <v>66.12903225806451</v>
      </c>
      <c r="AF244" s="16">
        <v>68.0</v>
      </c>
      <c r="AG244" s="16">
        <v>69.35483870967742</v>
      </c>
      <c r="AH244" s="16">
        <f t="shared" si="314"/>
        <v>42.82257604</v>
      </c>
      <c r="AI244" s="18">
        <f t="shared" si="289"/>
        <v>67.82795699</v>
      </c>
      <c r="AJ244" s="14">
        <f t="shared" si="290"/>
        <v>35</v>
      </c>
      <c r="AK244" s="14">
        <f t="shared" si="291"/>
        <v>84.33333333</v>
      </c>
      <c r="AL244" s="14">
        <f t="shared" si="292"/>
        <v>47.66666667</v>
      </c>
      <c r="AM244" s="14">
        <f t="shared" si="293"/>
        <v>40</v>
      </c>
    </row>
    <row r="245" ht="14.25" customHeight="1">
      <c r="A245" s="1" t="s">
        <v>57</v>
      </c>
      <c r="B245" s="1" t="s">
        <v>390</v>
      </c>
      <c r="C245" s="1" t="s">
        <v>392</v>
      </c>
      <c r="D245" s="1" t="s">
        <v>392</v>
      </c>
      <c r="E245" s="14">
        <v>60202.0</v>
      </c>
      <c r="F245" s="15">
        <v>107.0</v>
      </c>
      <c r="G245" s="15">
        <v>116.0</v>
      </c>
      <c r="H245" s="15">
        <v>125.0</v>
      </c>
      <c r="I245" s="15">
        <v>134.0</v>
      </c>
      <c r="J245" s="15">
        <v>175.0</v>
      </c>
      <c r="K245" s="15">
        <v>177.0</v>
      </c>
      <c r="L245" s="16">
        <v>176.0</v>
      </c>
      <c r="M245" s="14">
        <f t="shared" ref="M245:S245" si="358">IF(AND(ISBLANK(F245), NOT(ISBLANK(T245))), T245, IF(OR(ISBLANK(T245), ISBLANK(F245)), "", T245-F245))</f>
        <v>38</v>
      </c>
      <c r="N245" s="14">
        <f t="shared" si="358"/>
        <v>40</v>
      </c>
      <c r="O245" s="14">
        <f t="shared" si="358"/>
        <v>69</v>
      </c>
      <c r="P245" s="14">
        <f t="shared" si="358"/>
        <v>93</v>
      </c>
      <c r="Q245" s="14">
        <f t="shared" si="358"/>
        <v>63</v>
      </c>
      <c r="R245" s="14">
        <f t="shared" si="358"/>
        <v>58</v>
      </c>
      <c r="S245" s="14">
        <f t="shared" si="358"/>
        <v>57</v>
      </c>
      <c r="T245" s="16">
        <v>145.0</v>
      </c>
      <c r="U245" s="16">
        <v>156.0</v>
      </c>
      <c r="V245" s="16">
        <v>194.0</v>
      </c>
      <c r="W245" s="15">
        <v>227.0</v>
      </c>
      <c r="X245" s="15">
        <v>238.0</v>
      </c>
      <c r="Y245" s="17">
        <v>235.0</v>
      </c>
      <c r="Z245" s="15">
        <v>233.0</v>
      </c>
      <c r="AA245" s="15">
        <v>73.79310344827587</v>
      </c>
      <c r="AB245" s="15">
        <v>74.35897435897436</v>
      </c>
      <c r="AC245" s="15">
        <v>64.43298969072166</v>
      </c>
      <c r="AD245" s="16">
        <v>59.03083700440529</v>
      </c>
      <c r="AE245" s="16">
        <v>73.52941176470588</v>
      </c>
      <c r="AF245" s="16">
        <v>75.31914893617021</v>
      </c>
      <c r="AG245" s="16">
        <v>75.53648068669528</v>
      </c>
      <c r="AH245" s="16">
        <f t="shared" si="314"/>
        <v>65.94093368</v>
      </c>
      <c r="AI245" s="18">
        <f t="shared" si="289"/>
        <v>74.7950138</v>
      </c>
      <c r="AJ245" s="14">
        <f t="shared" si="290"/>
        <v>125</v>
      </c>
      <c r="AK245" s="14">
        <f t="shared" si="291"/>
        <v>176</v>
      </c>
      <c r="AL245" s="14">
        <f t="shared" si="292"/>
        <v>67.33333333</v>
      </c>
      <c r="AM245" s="14">
        <f t="shared" si="293"/>
        <v>59.33333333</v>
      </c>
    </row>
    <row r="246" ht="14.25" customHeight="1">
      <c r="A246" s="1" t="s">
        <v>57</v>
      </c>
      <c r="B246" s="1" t="s">
        <v>69</v>
      </c>
      <c r="C246" s="1" t="s">
        <v>393</v>
      </c>
      <c r="D246" s="1" t="s">
        <v>393</v>
      </c>
      <c r="E246" s="14">
        <v>60301.0</v>
      </c>
      <c r="F246" s="15">
        <v>227.0</v>
      </c>
      <c r="G246" s="15">
        <v>255.0</v>
      </c>
      <c r="H246" s="15">
        <v>315.0</v>
      </c>
      <c r="I246" s="15">
        <v>326.0</v>
      </c>
      <c r="J246" s="15">
        <v>456.0</v>
      </c>
      <c r="K246" s="15">
        <v>463.0</v>
      </c>
      <c r="L246" s="16">
        <v>468.0</v>
      </c>
      <c r="M246" s="14">
        <f t="shared" ref="M246:S246" si="359">IF(AND(ISBLANK(F246), NOT(ISBLANK(T246))), T246, IF(OR(ISBLANK(T246), ISBLANK(F246)), "", T246-F246))</f>
        <v>57</v>
      </c>
      <c r="N246" s="14">
        <f t="shared" si="359"/>
        <v>54</v>
      </c>
      <c r="O246" s="14">
        <f t="shared" si="359"/>
        <v>143</v>
      </c>
      <c r="P246" s="14">
        <f t="shared" si="359"/>
        <v>152</v>
      </c>
      <c r="Q246" s="14">
        <f t="shared" si="359"/>
        <v>104</v>
      </c>
      <c r="R246" s="14">
        <f t="shared" si="359"/>
        <v>103</v>
      </c>
      <c r="S246" s="14">
        <f t="shared" si="359"/>
        <v>105</v>
      </c>
      <c r="T246" s="16">
        <v>284.0</v>
      </c>
      <c r="U246" s="16">
        <v>309.0</v>
      </c>
      <c r="V246" s="16">
        <v>458.0</v>
      </c>
      <c r="W246" s="15">
        <v>478.0</v>
      </c>
      <c r="X246" s="15">
        <v>560.0</v>
      </c>
      <c r="Y246" s="17">
        <v>566.0</v>
      </c>
      <c r="Z246" s="15">
        <v>573.0</v>
      </c>
      <c r="AA246" s="15">
        <v>79.92957746478874</v>
      </c>
      <c r="AB246" s="15">
        <v>82.52427184466019</v>
      </c>
      <c r="AC246" s="15">
        <v>68.77729257641921</v>
      </c>
      <c r="AD246" s="16">
        <v>68.20083682008368</v>
      </c>
      <c r="AE246" s="16">
        <v>81.42857142857143</v>
      </c>
      <c r="AF246" s="16">
        <v>81.80212014134275</v>
      </c>
      <c r="AG246" s="16">
        <v>81.67539267015707</v>
      </c>
      <c r="AH246" s="16">
        <f t="shared" si="314"/>
        <v>73.16746708</v>
      </c>
      <c r="AI246" s="18">
        <f t="shared" si="289"/>
        <v>81.63536141</v>
      </c>
      <c r="AJ246" s="14">
        <f t="shared" si="290"/>
        <v>298.6666667</v>
      </c>
      <c r="AK246" s="14">
        <f t="shared" si="291"/>
        <v>462.3333333</v>
      </c>
      <c r="AL246" s="14">
        <f t="shared" si="292"/>
        <v>116.3333333</v>
      </c>
      <c r="AM246" s="14">
        <f t="shared" si="293"/>
        <v>104</v>
      </c>
    </row>
    <row r="247" ht="14.25" customHeight="1">
      <c r="A247" s="1" t="s">
        <v>57</v>
      </c>
      <c r="B247" s="1" t="s">
        <v>69</v>
      </c>
      <c r="C247" s="1" t="s">
        <v>394</v>
      </c>
      <c r="D247" s="1" t="s">
        <v>394</v>
      </c>
      <c r="E247" s="14">
        <v>60302.0</v>
      </c>
      <c r="F247" s="15">
        <v>16.0</v>
      </c>
      <c r="G247" s="15">
        <v>20.0</v>
      </c>
      <c r="H247" s="15">
        <v>23.0</v>
      </c>
      <c r="I247" s="15">
        <v>31.0</v>
      </c>
      <c r="J247" s="15">
        <v>80.0</v>
      </c>
      <c r="K247" s="15">
        <v>90.0</v>
      </c>
      <c r="L247" s="16">
        <v>92.0</v>
      </c>
      <c r="M247" s="14">
        <f t="shared" ref="M247:S247" si="360">IF(AND(ISBLANK(F247), NOT(ISBLANK(T247))), T247, IF(OR(ISBLANK(T247), ISBLANK(F247)), "", T247-F247))</f>
        <v>33</v>
      </c>
      <c r="N247" s="14">
        <f t="shared" si="360"/>
        <v>32</v>
      </c>
      <c r="O247" s="14">
        <f t="shared" si="360"/>
        <v>57</v>
      </c>
      <c r="P247" s="14">
        <f t="shared" si="360"/>
        <v>51</v>
      </c>
      <c r="Q247" s="14">
        <f t="shared" si="360"/>
        <v>36</v>
      </c>
      <c r="R247" s="14">
        <f t="shared" si="360"/>
        <v>33</v>
      </c>
      <c r="S247" s="14">
        <f t="shared" si="360"/>
        <v>35</v>
      </c>
      <c r="T247" s="16">
        <v>49.0</v>
      </c>
      <c r="U247" s="16">
        <v>52.0</v>
      </c>
      <c r="V247" s="16">
        <v>80.0</v>
      </c>
      <c r="W247" s="15">
        <v>82.0</v>
      </c>
      <c r="X247" s="15">
        <v>116.0</v>
      </c>
      <c r="Y247" s="17">
        <v>123.0</v>
      </c>
      <c r="Z247" s="15">
        <v>127.0</v>
      </c>
      <c r="AA247" s="15">
        <v>32.6530612244898</v>
      </c>
      <c r="AB247" s="15">
        <v>38.46153846153847</v>
      </c>
      <c r="AC247" s="15">
        <v>28.749999999999996</v>
      </c>
      <c r="AD247" s="16">
        <v>37.80487804878049</v>
      </c>
      <c r="AE247" s="16">
        <v>68.96551724137932</v>
      </c>
      <c r="AF247" s="16">
        <v>73.17073170731707</v>
      </c>
      <c r="AG247" s="16">
        <v>72.44094488188976</v>
      </c>
      <c r="AH247" s="16">
        <f t="shared" si="314"/>
        <v>35.00547217</v>
      </c>
      <c r="AI247" s="18">
        <f t="shared" si="289"/>
        <v>71.52573128</v>
      </c>
      <c r="AJ247" s="14">
        <f t="shared" si="290"/>
        <v>24.66666667</v>
      </c>
      <c r="AK247" s="14">
        <f t="shared" si="291"/>
        <v>87.33333333</v>
      </c>
      <c r="AL247" s="14">
        <f t="shared" si="292"/>
        <v>46.66666667</v>
      </c>
      <c r="AM247" s="14">
        <f t="shared" si="293"/>
        <v>34.66666667</v>
      </c>
    </row>
    <row r="248" ht="14.25" customHeight="1">
      <c r="A248" s="1" t="s">
        <v>57</v>
      </c>
      <c r="B248" s="1" t="s">
        <v>69</v>
      </c>
      <c r="C248" s="1" t="s">
        <v>395</v>
      </c>
      <c r="D248" s="1" t="s">
        <v>395</v>
      </c>
      <c r="E248" s="14">
        <v>60303.0</v>
      </c>
      <c r="F248" s="15">
        <v>93.0</v>
      </c>
      <c r="G248" s="15">
        <v>124.0</v>
      </c>
      <c r="H248" s="15">
        <v>135.0</v>
      </c>
      <c r="I248" s="15">
        <v>154.0</v>
      </c>
      <c r="J248" s="15">
        <v>230.0</v>
      </c>
      <c r="K248" s="15">
        <v>235.0</v>
      </c>
      <c r="L248" s="16">
        <v>233.0</v>
      </c>
      <c r="M248" s="14">
        <f t="shared" ref="M248:S248" si="361">IF(AND(ISBLANK(F248), NOT(ISBLANK(T248))), T248, IF(OR(ISBLANK(T248), ISBLANK(F248)), "", T248-F248))</f>
        <v>58</v>
      </c>
      <c r="N248" s="14">
        <f t="shared" si="361"/>
        <v>55</v>
      </c>
      <c r="O248" s="14">
        <f t="shared" si="361"/>
        <v>84</v>
      </c>
      <c r="P248" s="14">
        <f t="shared" si="361"/>
        <v>87</v>
      </c>
      <c r="Q248" s="14">
        <f t="shared" si="361"/>
        <v>63</v>
      </c>
      <c r="R248" s="14">
        <f t="shared" si="361"/>
        <v>66</v>
      </c>
      <c r="S248" s="14">
        <f t="shared" si="361"/>
        <v>69</v>
      </c>
      <c r="T248" s="16">
        <v>151.0</v>
      </c>
      <c r="U248" s="16">
        <v>179.0</v>
      </c>
      <c r="V248" s="16">
        <v>219.0</v>
      </c>
      <c r="W248" s="15">
        <v>241.0</v>
      </c>
      <c r="X248" s="15">
        <v>293.0</v>
      </c>
      <c r="Y248" s="17">
        <v>301.0</v>
      </c>
      <c r="Z248" s="15">
        <v>302.0</v>
      </c>
      <c r="AA248" s="15">
        <v>61.58940397350994</v>
      </c>
      <c r="AB248" s="15">
        <v>69.27374301675978</v>
      </c>
      <c r="AC248" s="15">
        <v>61.64383561643836</v>
      </c>
      <c r="AD248" s="16">
        <v>63.90041493775933</v>
      </c>
      <c r="AE248" s="16">
        <v>78.49829351535837</v>
      </c>
      <c r="AF248" s="16">
        <v>78.07308970099668</v>
      </c>
      <c r="AG248" s="16">
        <v>77.15231788079471</v>
      </c>
      <c r="AH248" s="16">
        <f t="shared" si="314"/>
        <v>64.93933119</v>
      </c>
      <c r="AI248" s="18">
        <f t="shared" si="289"/>
        <v>77.90790037</v>
      </c>
      <c r="AJ248" s="14">
        <f t="shared" si="290"/>
        <v>137.6666667</v>
      </c>
      <c r="AK248" s="14">
        <f t="shared" si="291"/>
        <v>232.6666667</v>
      </c>
      <c r="AL248" s="14">
        <f t="shared" si="292"/>
        <v>75.33333333</v>
      </c>
      <c r="AM248" s="14">
        <f t="shared" si="293"/>
        <v>66</v>
      </c>
    </row>
    <row r="249" ht="14.25" customHeight="1">
      <c r="A249" s="1" t="s">
        <v>57</v>
      </c>
      <c r="B249" s="1" t="s">
        <v>396</v>
      </c>
      <c r="C249" s="1" t="s">
        <v>397</v>
      </c>
      <c r="D249" s="1" t="s">
        <v>398</v>
      </c>
      <c r="E249" s="14">
        <v>60401.0</v>
      </c>
      <c r="F249" s="15">
        <v>29.0</v>
      </c>
      <c r="G249" s="15">
        <v>29.0</v>
      </c>
      <c r="H249" s="15">
        <v>38.0</v>
      </c>
      <c r="I249" s="15">
        <v>38.0</v>
      </c>
      <c r="J249" s="15">
        <v>64.0</v>
      </c>
      <c r="K249" s="15">
        <v>66.0</v>
      </c>
      <c r="L249" s="16">
        <v>66.0</v>
      </c>
      <c r="M249" s="14">
        <f t="shared" ref="M249:S249" si="362">IF(AND(ISBLANK(F249), NOT(ISBLANK(T249))), T249, IF(OR(ISBLANK(T249), ISBLANK(F249)), "", T249-F249))</f>
        <v>22</v>
      </c>
      <c r="N249" s="14">
        <f t="shared" si="362"/>
        <v>29</v>
      </c>
      <c r="O249" s="14">
        <f t="shared" si="362"/>
        <v>41</v>
      </c>
      <c r="P249" s="14">
        <f t="shared" si="362"/>
        <v>44</v>
      </c>
      <c r="Q249" s="14">
        <f t="shared" si="362"/>
        <v>29</v>
      </c>
      <c r="R249" s="14">
        <f t="shared" si="362"/>
        <v>28</v>
      </c>
      <c r="S249" s="14">
        <f t="shared" si="362"/>
        <v>28</v>
      </c>
      <c r="T249" s="16">
        <v>51.0</v>
      </c>
      <c r="U249" s="16">
        <v>58.0</v>
      </c>
      <c r="V249" s="16">
        <v>79.0</v>
      </c>
      <c r="W249" s="15">
        <v>82.0</v>
      </c>
      <c r="X249" s="15">
        <v>93.0</v>
      </c>
      <c r="Y249" s="17">
        <v>94.0</v>
      </c>
      <c r="Z249" s="15">
        <v>94.0</v>
      </c>
      <c r="AA249" s="15">
        <v>56.86274509803921</v>
      </c>
      <c r="AB249" s="15">
        <v>50.0</v>
      </c>
      <c r="AC249" s="15">
        <v>48.10126582278481</v>
      </c>
      <c r="AD249" s="16">
        <v>46.34146341463415</v>
      </c>
      <c r="AE249" s="16">
        <v>68.81720430107528</v>
      </c>
      <c r="AF249" s="16">
        <v>70.2127659574468</v>
      </c>
      <c r="AG249" s="16">
        <v>70.2127659574468</v>
      </c>
      <c r="AH249" s="16">
        <f t="shared" si="314"/>
        <v>48.14757641</v>
      </c>
      <c r="AI249" s="18">
        <f t="shared" si="289"/>
        <v>69.74757874</v>
      </c>
      <c r="AJ249" s="14">
        <f t="shared" si="290"/>
        <v>35</v>
      </c>
      <c r="AK249" s="14">
        <f t="shared" si="291"/>
        <v>65.33333333</v>
      </c>
      <c r="AL249" s="14">
        <f t="shared" si="292"/>
        <v>38</v>
      </c>
      <c r="AM249" s="14">
        <f t="shared" si="293"/>
        <v>28.33333333</v>
      </c>
    </row>
    <row r="250" ht="14.25" customHeight="1">
      <c r="A250" s="1" t="s">
        <v>57</v>
      </c>
      <c r="B250" s="1" t="s">
        <v>396</v>
      </c>
      <c r="C250" s="1" t="s">
        <v>399</v>
      </c>
      <c r="D250" s="1" t="s">
        <v>399</v>
      </c>
      <c r="E250" s="14">
        <v>60402.0</v>
      </c>
      <c r="F250" s="15">
        <v>6.0</v>
      </c>
      <c r="G250" s="15">
        <v>5.0</v>
      </c>
      <c r="H250" s="15">
        <v>10.0</v>
      </c>
      <c r="I250" s="15">
        <v>12.0</v>
      </c>
      <c r="J250" s="15">
        <v>29.0</v>
      </c>
      <c r="K250" s="15">
        <v>31.0</v>
      </c>
      <c r="L250" s="16">
        <v>33.0</v>
      </c>
      <c r="M250" s="14">
        <f t="shared" ref="M250:S250" si="363">IF(AND(ISBLANK(F250), NOT(ISBLANK(T250))), T250, IF(OR(ISBLANK(T250), ISBLANK(F250)), "", T250-F250))</f>
        <v>6</v>
      </c>
      <c r="N250" s="14">
        <f t="shared" si="363"/>
        <v>7</v>
      </c>
      <c r="O250" s="14">
        <f t="shared" si="363"/>
        <v>17</v>
      </c>
      <c r="P250" s="14">
        <f t="shared" si="363"/>
        <v>15</v>
      </c>
      <c r="Q250" s="14">
        <f t="shared" si="363"/>
        <v>14</v>
      </c>
      <c r="R250" s="14">
        <f t="shared" si="363"/>
        <v>14</v>
      </c>
      <c r="S250" s="14">
        <f t="shared" si="363"/>
        <v>14</v>
      </c>
      <c r="T250" s="16">
        <v>12.0</v>
      </c>
      <c r="U250" s="16">
        <v>12.0</v>
      </c>
      <c r="V250" s="16">
        <v>27.0</v>
      </c>
      <c r="W250" s="15">
        <v>27.0</v>
      </c>
      <c r="X250" s="15">
        <v>43.0</v>
      </c>
      <c r="Y250" s="17">
        <v>45.0</v>
      </c>
      <c r="Z250" s="15">
        <v>47.0</v>
      </c>
      <c r="AA250" s="15">
        <v>50.0</v>
      </c>
      <c r="AB250" s="15">
        <v>41.66666666666667</v>
      </c>
      <c r="AC250" s="15">
        <v>37.03703703703704</v>
      </c>
      <c r="AD250" s="16">
        <v>44.44444444444444</v>
      </c>
      <c r="AE250" s="16">
        <v>67.44186046511628</v>
      </c>
      <c r="AF250" s="16">
        <v>68.88888888888889</v>
      </c>
      <c r="AG250" s="16">
        <v>70.2127659574468</v>
      </c>
      <c r="AH250" s="16">
        <f t="shared" si="314"/>
        <v>41.04938272</v>
      </c>
      <c r="AI250" s="18">
        <f t="shared" si="289"/>
        <v>68.84783844</v>
      </c>
      <c r="AJ250" s="14">
        <f t="shared" si="290"/>
        <v>9</v>
      </c>
      <c r="AK250" s="14">
        <f t="shared" si="291"/>
        <v>31</v>
      </c>
      <c r="AL250" s="14">
        <f t="shared" si="292"/>
        <v>13</v>
      </c>
      <c r="AM250" s="14">
        <f t="shared" si="293"/>
        <v>14</v>
      </c>
    </row>
    <row r="251" ht="14.25" customHeight="1">
      <c r="A251" s="1" t="s">
        <v>57</v>
      </c>
      <c r="B251" s="1" t="s">
        <v>400</v>
      </c>
      <c r="C251" s="1" t="s">
        <v>401</v>
      </c>
      <c r="D251" s="1" t="s">
        <v>402</v>
      </c>
      <c r="E251" s="14">
        <v>60501.0</v>
      </c>
      <c r="F251" s="15">
        <v>66.0</v>
      </c>
      <c r="G251" s="15">
        <v>70.0</v>
      </c>
      <c r="H251" s="15">
        <v>62.0</v>
      </c>
      <c r="I251" s="15">
        <v>70.0</v>
      </c>
      <c r="J251" s="15">
        <v>107.0</v>
      </c>
      <c r="K251" s="15">
        <v>109.0</v>
      </c>
      <c r="L251" s="16">
        <v>112.0</v>
      </c>
      <c r="M251" s="14">
        <f t="shared" ref="M251:S251" si="364">IF(AND(ISBLANK(F251), NOT(ISBLANK(T251))), T251, IF(OR(ISBLANK(T251), ISBLANK(F251)), "", T251-F251))</f>
        <v>63</v>
      </c>
      <c r="N251" s="14">
        <f t="shared" si="364"/>
        <v>58</v>
      </c>
      <c r="O251" s="14">
        <f t="shared" si="364"/>
        <v>80</v>
      </c>
      <c r="P251" s="14">
        <f t="shared" si="364"/>
        <v>79</v>
      </c>
      <c r="Q251" s="14">
        <f t="shared" si="364"/>
        <v>45</v>
      </c>
      <c r="R251" s="14">
        <f t="shared" si="364"/>
        <v>49</v>
      </c>
      <c r="S251" s="14">
        <f t="shared" si="364"/>
        <v>51</v>
      </c>
      <c r="T251" s="16">
        <v>129.0</v>
      </c>
      <c r="U251" s="16">
        <v>128.0</v>
      </c>
      <c r="V251" s="16">
        <v>142.0</v>
      </c>
      <c r="W251" s="15">
        <v>149.0</v>
      </c>
      <c r="X251" s="15">
        <v>152.0</v>
      </c>
      <c r="Y251" s="17">
        <v>158.0</v>
      </c>
      <c r="Z251" s="15">
        <v>163.0</v>
      </c>
      <c r="AA251" s="15">
        <v>51.162790697674424</v>
      </c>
      <c r="AB251" s="15">
        <v>54.6875</v>
      </c>
      <c r="AC251" s="15">
        <v>43.66197183098591</v>
      </c>
      <c r="AD251" s="16">
        <v>46.97986577181208</v>
      </c>
      <c r="AE251" s="16">
        <v>70.39473684210526</v>
      </c>
      <c r="AF251" s="16">
        <v>68.9873417721519</v>
      </c>
      <c r="AG251" s="16">
        <v>68.71165644171779</v>
      </c>
      <c r="AH251" s="16">
        <f t="shared" si="314"/>
        <v>48.44311253</v>
      </c>
      <c r="AI251" s="18">
        <f t="shared" si="289"/>
        <v>69.36457835</v>
      </c>
      <c r="AJ251" s="14">
        <f t="shared" si="290"/>
        <v>67.33333333</v>
      </c>
      <c r="AK251" s="14">
        <f t="shared" si="291"/>
        <v>109.3333333</v>
      </c>
      <c r="AL251" s="14">
        <f t="shared" si="292"/>
        <v>72.33333333</v>
      </c>
      <c r="AM251" s="14">
        <f t="shared" si="293"/>
        <v>48.33333333</v>
      </c>
    </row>
    <row r="252" ht="14.25" customHeight="1">
      <c r="A252" s="1" t="s">
        <v>57</v>
      </c>
      <c r="B252" s="1" t="s">
        <v>400</v>
      </c>
      <c r="C252" s="1" t="s">
        <v>403</v>
      </c>
      <c r="D252" s="1" t="s">
        <v>403</v>
      </c>
      <c r="E252" s="14">
        <v>60502.0</v>
      </c>
      <c r="F252" s="15">
        <v>5.0</v>
      </c>
      <c r="G252" s="15">
        <v>8.0</v>
      </c>
      <c r="H252" s="15">
        <v>12.0</v>
      </c>
      <c r="I252" s="15">
        <v>15.0</v>
      </c>
      <c r="J252" s="15">
        <v>40.0</v>
      </c>
      <c r="K252" s="15">
        <v>42.0</v>
      </c>
      <c r="L252" s="16">
        <v>44.0</v>
      </c>
      <c r="M252" s="14">
        <f t="shared" ref="M252:S252" si="365">IF(AND(ISBLANK(F252), NOT(ISBLANK(T252))), T252, IF(OR(ISBLANK(T252), ISBLANK(F252)), "", T252-F252))</f>
        <v>16</v>
      </c>
      <c r="N252" s="14">
        <f t="shared" si="365"/>
        <v>14</v>
      </c>
      <c r="O252" s="14">
        <f t="shared" si="365"/>
        <v>42</v>
      </c>
      <c r="P252" s="14">
        <f t="shared" si="365"/>
        <v>41</v>
      </c>
      <c r="Q252" s="14">
        <f t="shared" si="365"/>
        <v>21</v>
      </c>
      <c r="R252" s="14">
        <f t="shared" si="365"/>
        <v>22</v>
      </c>
      <c r="S252" s="14">
        <f t="shared" si="365"/>
        <v>22</v>
      </c>
      <c r="T252" s="16">
        <v>21.0</v>
      </c>
      <c r="U252" s="16">
        <v>22.0</v>
      </c>
      <c r="V252" s="16">
        <v>54.0</v>
      </c>
      <c r="W252" s="15">
        <v>56.0</v>
      </c>
      <c r="X252" s="15">
        <v>61.0</v>
      </c>
      <c r="Y252" s="17">
        <v>64.0</v>
      </c>
      <c r="Z252" s="15">
        <v>66.0</v>
      </c>
      <c r="AA252" s="15">
        <v>23.809523809523807</v>
      </c>
      <c r="AB252" s="15">
        <v>36.36363636363637</v>
      </c>
      <c r="AC252" s="15">
        <v>22.22222222222222</v>
      </c>
      <c r="AD252" s="16">
        <v>26.785714285714285</v>
      </c>
      <c r="AE252" s="16">
        <v>65.57377049180327</v>
      </c>
      <c r="AF252" s="16">
        <v>65.625</v>
      </c>
      <c r="AG252" s="16">
        <v>66.66666666666666</v>
      </c>
      <c r="AH252" s="16">
        <f t="shared" si="314"/>
        <v>28.45719096</v>
      </c>
      <c r="AI252" s="18">
        <f t="shared" si="289"/>
        <v>65.95514572</v>
      </c>
      <c r="AJ252" s="14">
        <f t="shared" si="290"/>
        <v>11.66666667</v>
      </c>
      <c r="AK252" s="14">
        <f t="shared" si="291"/>
        <v>42</v>
      </c>
      <c r="AL252" s="14">
        <f t="shared" si="292"/>
        <v>32.33333333</v>
      </c>
      <c r="AM252" s="14">
        <f t="shared" si="293"/>
        <v>21.66666667</v>
      </c>
    </row>
    <row r="253" ht="14.25" customHeight="1">
      <c r="A253" s="1" t="s">
        <v>57</v>
      </c>
      <c r="B253" s="1" t="s">
        <v>404</v>
      </c>
      <c r="C253" s="1" t="s">
        <v>258</v>
      </c>
      <c r="D253" s="1" t="s">
        <v>258</v>
      </c>
      <c r="E253" s="14">
        <v>60601.0</v>
      </c>
      <c r="F253" s="15">
        <v>63.0</v>
      </c>
      <c r="G253" s="15">
        <v>75.0</v>
      </c>
      <c r="H253" s="15">
        <v>67.0</v>
      </c>
      <c r="I253" s="15">
        <v>78.0</v>
      </c>
      <c r="J253" s="15">
        <v>113.0</v>
      </c>
      <c r="K253" s="15">
        <v>120.0</v>
      </c>
      <c r="L253" s="16">
        <v>125.0</v>
      </c>
      <c r="M253" s="14">
        <f t="shared" ref="M253:S253" si="366">IF(AND(ISBLANK(F253), NOT(ISBLANK(T253))), T253, IF(OR(ISBLANK(T253), ISBLANK(F253)), "", T253-F253))</f>
        <v>60</v>
      </c>
      <c r="N253" s="14">
        <f t="shared" si="366"/>
        <v>56</v>
      </c>
      <c r="O253" s="14">
        <f t="shared" si="366"/>
        <v>88</v>
      </c>
      <c r="P253" s="14">
        <f t="shared" si="366"/>
        <v>82</v>
      </c>
      <c r="Q253" s="14">
        <f t="shared" si="366"/>
        <v>40</v>
      </c>
      <c r="R253" s="14">
        <f t="shared" si="366"/>
        <v>36</v>
      </c>
      <c r="S253" s="14">
        <f t="shared" si="366"/>
        <v>33</v>
      </c>
      <c r="T253" s="16">
        <v>123.0</v>
      </c>
      <c r="U253" s="16">
        <v>131.0</v>
      </c>
      <c r="V253" s="16">
        <v>155.0</v>
      </c>
      <c r="W253" s="15">
        <v>160.0</v>
      </c>
      <c r="X253" s="15">
        <v>153.0</v>
      </c>
      <c r="Y253" s="17">
        <v>156.0</v>
      </c>
      <c r="Z253" s="15">
        <v>158.0</v>
      </c>
      <c r="AA253" s="15">
        <v>51.21951219512195</v>
      </c>
      <c r="AB253" s="15">
        <v>57.25190839694656</v>
      </c>
      <c r="AC253" s="15">
        <v>43.225806451612904</v>
      </c>
      <c r="AD253" s="16">
        <v>48.75</v>
      </c>
      <c r="AE253" s="16">
        <v>73.8562091503268</v>
      </c>
      <c r="AF253" s="16">
        <v>76.92307692307693</v>
      </c>
      <c r="AG253" s="16">
        <v>79.11392405063292</v>
      </c>
      <c r="AH253" s="16">
        <f t="shared" si="314"/>
        <v>49.74257162</v>
      </c>
      <c r="AI253" s="18">
        <f t="shared" si="289"/>
        <v>76.63107004</v>
      </c>
      <c r="AJ253" s="14">
        <f t="shared" si="290"/>
        <v>73.33333333</v>
      </c>
      <c r="AK253" s="14">
        <f t="shared" si="291"/>
        <v>119.3333333</v>
      </c>
      <c r="AL253" s="14">
        <f t="shared" si="292"/>
        <v>75.33333333</v>
      </c>
      <c r="AM253" s="14">
        <f t="shared" si="293"/>
        <v>36.33333333</v>
      </c>
    </row>
    <row r="254" ht="14.25" customHeight="1">
      <c r="A254" s="1" t="s">
        <v>59</v>
      </c>
      <c r="B254" s="1" t="s">
        <v>405</v>
      </c>
      <c r="C254" s="1" t="s">
        <v>406</v>
      </c>
      <c r="D254" s="1" t="s">
        <v>406</v>
      </c>
      <c r="E254" s="14">
        <v>70101.0</v>
      </c>
      <c r="F254" s="15">
        <v>2324.0</v>
      </c>
      <c r="G254" s="15">
        <v>2634.0</v>
      </c>
      <c r="H254" s="15">
        <v>3225.0</v>
      </c>
      <c r="I254" s="15">
        <v>3361.0</v>
      </c>
      <c r="J254" s="15">
        <v>4246.0</v>
      </c>
      <c r="K254" s="15">
        <v>4292.0</v>
      </c>
      <c r="L254" s="16">
        <v>4321.0</v>
      </c>
      <c r="M254" s="14">
        <f t="shared" ref="M254:S254" si="367">IF(AND(ISBLANK(F254), NOT(ISBLANK(T254))), T254, IF(OR(ISBLANK(T254), ISBLANK(F254)), "", T254-F254))</f>
        <v>673</v>
      </c>
      <c r="N254" s="14">
        <f t="shared" si="367"/>
        <v>632</v>
      </c>
      <c r="O254" s="14">
        <f t="shared" si="367"/>
        <v>1253</v>
      </c>
      <c r="P254" s="14">
        <f t="shared" si="367"/>
        <v>1235</v>
      </c>
      <c r="Q254" s="14">
        <f t="shared" si="367"/>
        <v>1092</v>
      </c>
      <c r="R254" s="14">
        <f t="shared" si="367"/>
        <v>1099</v>
      </c>
      <c r="S254" s="14">
        <f t="shared" si="367"/>
        <v>1114</v>
      </c>
      <c r="T254" s="16">
        <v>2997.0</v>
      </c>
      <c r="U254" s="16">
        <v>3266.0</v>
      </c>
      <c r="V254" s="16">
        <v>4478.0</v>
      </c>
      <c r="W254" s="15">
        <v>4596.0</v>
      </c>
      <c r="X254" s="15">
        <v>5338.0</v>
      </c>
      <c r="Y254" s="17">
        <v>5391.0</v>
      </c>
      <c r="Z254" s="15">
        <v>5435.0</v>
      </c>
      <c r="AA254" s="15">
        <v>77.5442108775442</v>
      </c>
      <c r="AB254" s="15">
        <v>80.64911206368647</v>
      </c>
      <c r="AC254" s="15">
        <v>72.01875837427423</v>
      </c>
      <c r="AD254" s="16">
        <v>73.12880765883378</v>
      </c>
      <c r="AE254" s="16">
        <v>79.54289996253279</v>
      </c>
      <c r="AF254" s="16">
        <v>79.61417176776109</v>
      </c>
      <c r="AG254" s="16">
        <v>79.50321987120516</v>
      </c>
      <c r="AH254" s="16">
        <f t="shared" si="314"/>
        <v>75.26555937</v>
      </c>
      <c r="AI254" s="18">
        <f t="shared" si="289"/>
        <v>79.55343053</v>
      </c>
      <c r="AJ254" s="14">
        <f t="shared" si="290"/>
        <v>3073.333333</v>
      </c>
      <c r="AK254" s="14">
        <f t="shared" si="291"/>
        <v>4286.333333</v>
      </c>
      <c r="AL254" s="14">
        <f t="shared" si="292"/>
        <v>1040</v>
      </c>
      <c r="AM254" s="14">
        <f t="shared" si="293"/>
        <v>1101.666667</v>
      </c>
    </row>
    <row r="255" ht="14.25" customHeight="1">
      <c r="A255" s="1" t="s">
        <v>59</v>
      </c>
      <c r="B255" s="1" t="s">
        <v>405</v>
      </c>
      <c r="C255" s="1" t="s">
        <v>407</v>
      </c>
      <c r="D255" s="1" t="s">
        <v>407</v>
      </c>
      <c r="E255" s="14">
        <v>70102.0</v>
      </c>
      <c r="F255" s="15">
        <v>99.0</v>
      </c>
      <c r="G255" s="15">
        <v>115.0</v>
      </c>
      <c r="H255" s="15">
        <v>151.0</v>
      </c>
      <c r="I255" s="15">
        <v>178.0</v>
      </c>
      <c r="J255" s="15">
        <v>289.0</v>
      </c>
      <c r="K255" s="15">
        <v>295.0</v>
      </c>
      <c r="L255" s="16">
        <v>313.0</v>
      </c>
      <c r="M255" s="14">
        <f t="shared" ref="M255:S255" si="368">IF(AND(ISBLANK(F255), NOT(ISBLANK(T255))), T255, IF(OR(ISBLANK(T255), ISBLANK(F255)), "", T255-F255))</f>
        <v>13</v>
      </c>
      <c r="N255" s="14">
        <f t="shared" si="368"/>
        <v>13</v>
      </c>
      <c r="O255" s="14">
        <f t="shared" si="368"/>
        <v>54</v>
      </c>
      <c r="P255" s="14">
        <f t="shared" si="368"/>
        <v>42</v>
      </c>
      <c r="Q255" s="14">
        <f t="shared" si="368"/>
        <v>35</v>
      </c>
      <c r="R255" s="14">
        <f t="shared" si="368"/>
        <v>37</v>
      </c>
      <c r="S255" s="14">
        <f t="shared" si="368"/>
        <v>38</v>
      </c>
      <c r="T255" s="16">
        <v>112.0</v>
      </c>
      <c r="U255" s="16">
        <v>128.0</v>
      </c>
      <c r="V255" s="16">
        <v>205.0</v>
      </c>
      <c r="W255" s="15">
        <v>220.0</v>
      </c>
      <c r="X255" s="15">
        <v>324.0</v>
      </c>
      <c r="Y255" s="17">
        <v>332.0</v>
      </c>
      <c r="Z255" s="15">
        <v>351.0</v>
      </c>
      <c r="AA255" s="15">
        <v>88.39285714285714</v>
      </c>
      <c r="AB255" s="15">
        <v>89.84375</v>
      </c>
      <c r="AC255" s="15">
        <v>73.65853658536585</v>
      </c>
      <c r="AD255" s="16">
        <v>80.9090909090909</v>
      </c>
      <c r="AE255" s="16">
        <v>89.19753086419753</v>
      </c>
      <c r="AF255" s="16">
        <v>88.85542168674698</v>
      </c>
      <c r="AG255" s="16">
        <v>89.17378917378917</v>
      </c>
      <c r="AH255" s="16">
        <f t="shared" si="314"/>
        <v>81.47045916</v>
      </c>
      <c r="AI255" s="18">
        <f t="shared" si="289"/>
        <v>89.07558057</v>
      </c>
      <c r="AJ255" s="14">
        <f t="shared" si="290"/>
        <v>148</v>
      </c>
      <c r="AK255" s="14">
        <f t="shared" si="291"/>
        <v>299</v>
      </c>
      <c r="AL255" s="14">
        <f t="shared" si="292"/>
        <v>36.33333333</v>
      </c>
      <c r="AM255" s="14">
        <f t="shared" si="293"/>
        <v>36.66666667</v>
      </c>
    </row>
    <row r="256" ht="14.25" customHeight="1">
      <c r="A256" s="1" t="s">
        <v>59</v>
      </c>
      <c r="B256" s="1" t="s">
        <v>405</v>
      </c>
      <c r="C256" s="1" t="s">
        <v>408</v>
      </c>
      <c r="D256" s="1" t="s">
        <v>409</v>
      </c>
      <c r="E256" s="14">
        <v>70103.0</v>
      </c>
      <c r="F256" s="15">
        <v>19.0</v>
      </c>
      <c r="G256" s="15">
        <v>24.0</v>
      </c>
      <c r="H256" s="15">
        <v>35.0</v>
      </c>
      <c r="I256" s="15">
        <v>36.0</v>
      </c>
      <c r="J256" s="15">
        <v>57.0</v>
      </c>
      <c r="K256" s="15">
        <v>59.0</v>
      </c>
      <c r="L256" s="16">
        <v>60.0</v>
      </c>
      <c r="M256" s="14">
        <f t="shared" ref="M256:S256" si="369">IF(AND(ISBLANK(F256), NOT(ISBLANK(T256))), T256, IF(OR(ISBLANK(T256), ISBLANK(F256)), "", T256-F256))</f>
        <v>6</v>
      </c>
      <c r="N256" s="14">
        <f t="shared" si="369"/>
        <v>8</v>
      </c>
      <c r="O256" s="14">
        <f t="shared" si="369"/>
        <v>24</v>
      </c>
      <c r="P256" s="14">
        <f t="shared" si="369"/>
        <v>28</v>
      </c>
      <c r="Q256" s="14">
        <f t="shared" si="369"/>
        <v>23</v>
      </c>
      <c r="R256" s="14">
        <f t="shared" si="369"/>
        <v>23</v>
      </c>
      <c r="S256" s="14">
        <f t="shared" si="369"/>
        <v>25</v>
      </c>
      <c r="T256" s="16">
        <v>25.0</v>
      </c>
      <c r="U256" s="16">
        <v>32.0</v>
      </c>
      <c r="V256" s="16">
        <v>59.0</v>
      </c>
      <c r="W256" s="15">
        <v>64.0</v>
      </c>
      <c r="X256" s="15">
        <v>80.0</v>
      </c>
      <c r="Y256" s="17">
        <v>82.0</v>
      </c>
      <c r="Z256" s="15">
        <v>85.0</v>
      </c>
      <c r="AA256" s="15">
        <v>76.0</v>
      </c>
      <c r="AB256" s="15">
        <v>75.0</v>
      </c>
      <c r="AC256" s="15">
        <v>59.32203389830508</v>
      </c>
      <c r="AD256" s="16">
        <v>56.25</v>
      </c>
      <c r="AE256" s="16">
        <v>71.25</v>
      </c>
      <c r="AF256" s="16">
        <v>71.95121951219512</v>
      </c>
      <c r="AG256" s="16">
        <v>70.58823529411765</v>
      </c>
      <c r="AH256" s="16">
        <f t="shared" si="314"/>
        <v>63.5240113</v>
      </c>
      <c r="AI256" s="18">
        <f t="shared" si="289"/>
        <v>71.2631516</v>
      </c>
      <c r="AJ256" s="14">
        <f t="shared" si="290"/>
        <v>31.66666667</v>
      </c>
      <c r="AK256" s="14">
        <f t="shared" si="291"/>
        <v>58.66666667</v>
      </c>
      <c r="AL256" s="14">
        <f t="shared" si="292"/>
        <v>20</v>
      </c>
      <c r="AM256" s="14">
        <f t="shared" si="293"/>
        <v>23.66666667</v>
      </c>
    </row>
    <row r="257" ht="14.25" customHeight="1">
      <c r="A257" s="1" t="s">
        <v>59</v>
      </c>
      <c r="B257" s="1" t="s">
        <v>405</v>
      </c>
      <c r="C257" s="1" t="s">
        <v>410</v>
      </c>
      <c r="D257" s="1" t="s">
        <v>410</v>
      </c>
      <c r="E257" s="14">
        <v>70104.0</v>
      </c>
      <c r="F257" s="15">
        <v>114.0</v>
      </c>
      <c r="G257" s="15">
        <v>143.0</v>
      </c>
      <c r="H257" s="15">
        <v>167.0</v>
      </c>
      <c r="I257" s="15">
        <v>185.0</v>
      </c>
      <c r="J257" s="15">
        <v>353.0</v>
      </c>
      <c r="K257" s="15">
        <v>385.0</v>
      </c>
      <c r="L257" s="16">
        <v>403.0</v>
      </c>
      <c r="M257" s="14">
        <f t="shared" ref="M257:S257" si="370">IF(AND(ISBLANK(F257), NOT(ISBLANK(T257))), T257, IF(OR(ISBLANK(T257), ISBLANK(F257)), "", T257-F257))</f>
        <v>19</v>
      </c>
      <c r="N257" s="14">
        <f t="shared" si="370"/>
        <v>21</v>
      </c>
      <c r="O257" s="14">
        <f t="shared" si="370"/>
        <v>78</v>
      </c>
      <c r="P257" s="14">
        <f t="shared" si="370"/>
        <v>87</v>
      </c>
      <c r="Q257" s="14">
        <f t="shared" si="370"/>
        <v>104</v>
      </c>
      <c r="R257" s="14">
        <f t="shared" si="370"/>
        <v>109</v>
      </c>
      <c r="S257" s="14">
        <f t="shared" si="370"/>
        <v>112</v>
      </c>
      <c r="T257" s="16">
        <v>133.0</v>
      </c>
      <c r="U257" s="16">
        <v>164.0</v>
      </c>
      <c r="V257" s="16">
        <v>245.0</v>
      </c>
      <c r="W257" s="15">
        <v>272.0</v>
      </c>
      <c r="X257" s="15">
        <v>457.0</v>
      </c>
      <c r="Y257" s="17">
        <v>494.0</v>
      </c>
      <c r="Z257" s="15">
        <v>515.0</v>
      </c>
      <c r="AA257" s="15">
        <v>85.71428571428571</v>
      </c>
      <c r="AB257" s="15">
        <v>87.1951219512195</v>
      </c>
      <c r="AC257" s="15">
        <v>68.16326530612244</v>
      </c>
      <c r="AD257" s="16">
        <v>68.01470588235294</v>
      </c>
      <c r="AE257" s="16">
        <v>77.24288840262582</v>
      </c>
      <c r="AF257" s="16">
        <v>77.93522267206477</v>
      </c>
      <c r="AG257" s="16">
        <v>78.25242718446603</v>
      </c>
      <c r="AH257" s="16">
        <f t="shared" si="314"/>
        <v>74.45769771</v>
      </c>
      <c r="AI257" s="18">
        <f t="shared" si="289"/>
        <v>77.81017942</v>
      </c>
      <c r="AJ257" s="14">
        <f t="shared" si="290"/>
        <v>165</v>
      </c>
      <c r="AK257" s="14">
        <f t="shared" si="291"/>
        <v>380.3333333</v>
      </c>
      <c r="AL257" s="14">
        <f t="shared" si="292"/>
        <v>62</v>
      </c>
      <c r="AM257" s="14">
        <f t="shared" si="293"/>
        <v>108.3333333</v>
      </c>
    </row>
    <row r="258" ht="14.25" customHeight="1">
      <c r="A258" s="1" t="s">
        <v>59</v>
      </c>
      <c r="B258" s="1" t="s">
        <v>405</v>
      </c>
      <c r="C258" s="1" t="s">
        <v>411</v>
      </c>
      <c r="D258" s="1" t="s">
        <v>411</v>
      </c>
      <c r="E258" s="14">
        <v>70105.0</v>
      </c>
      <c r="F258" s="15">
        <v>106.0</v>
      </c>
      <c r="G258" s="15">
        <v>138.0</v>
      </c>
      <c r="H258" s="15">
        <v>161.0</v>
      </c>
      <c r="I258" s="15">
        <v>168.0</v>
      </c>
      <c r="J258" s="15">
        <v>221.0</v>
      </c>
      <c r="K258" s="15">
        <v>224.0</v>
      </c>
      <c r="L258" s="16">
        <v>228.0</v>
      </c>
      <c r="M258" s="14">
        <f t="shared" ref="M258:S258" si="371">IF(AND(ISBLANK(F258), NOT(ISBLANK(T258))), T258, IF(OR(ISBLANK(T258), ISBLANK(F258)), "", T258-F258))</f>
        <v>59</v>
      </c>
      <c r="N258" s="14">
        <f t="shared" si="371"/>
        <v>87</v>
      </c>
      <c r="O258" s="14">
        <f t="shared" si="371"/>
        <v>129</v>
      </c>
      <c r="P258" s="14">
        <f t="shared" si="371"/>
        <v>129</v>
      </c>
      <c r="Q258" s="14">
        <f t="shared" si="371"/>
        <v>129</v>
      </c>
      <c r="R258" s="14">
        <f t="shared" si="371"/>
        <v>132</v>
      </c>
      <c r="S258" s="14">
        <f t="shared" si="371"/>
        <v>133</v>
      </c>
      <c r="T258" s="16">
        <v>165.0</v>
      </c>
      <c r="U258" s="16">
        <v>225.0</v>
      </c>
      <c r="V258" s="16">
        <v>290.0</v>
      </c>
      <c r="W258" s="15">
        <v>297.0</v>
      </c>
      <c r="X258" s="15">
        <v>350.0</v>
      </c>
      <c r="Y258" s="17">
        <v>356.0</v>
      </c>
      <c r="Z258" s="15">
        <v>361.0</v>
      </c>
      <c r="AA258" s="15">
        <v>64.24242424242425</v>
      </c>
      <c r="AB258" s="15">
        <v>61.33333333333333</v>
      </c>
      <c r="AC258" s="15">
        <v>55.51724137931034</v>
      </c>
      <c r="AD258" s="16">
        <v>56.56565656565656</v>
      </c>
      <c r="AE258" s="16">
        <v>63.142857142857146</v>
      </c>
      <c r="AF258" s="16">
        <v>62.92134831460674</v>
      </c>
      <c r="AG258" s="16">
        <v>63.1578947368421</v>
      </c>
      <c r="AH258" s="16">
        <f t="shared" si="314"/>
        <v>57.80541043</v>
      </c>
      <c r="AI258" s="18">
        <f t="shared" si="289"/>
        <v>63.0740334</v>
      </c>
      <c r="AJ258" s="14">
        <f t="shared" si="290"/>
        <v>155.6666667</v>
      </c>
      <c r="AK258" s="14">
        <f t="shared" si="291"/>
        <v>224.3333333</v>
      </c>
      <c r="AL258" s="14">
        <f t="shared" si="292"/>
        <v>115</v>
      </c>
      <c r="AM258" s="14">
        <f t="shared" si="293"/>
        <v>131.3333333</v>
      </c>
    </row>
    <row r="259" ht="14.25" customHeight="1">
      <c r="A259" s="1" t="s">
        <v>59</v>
      </c>
      <c r="B259" s="1" t="s">
        <v>412</v>
      </c>
      <c r="C259" s="1" t="s">
        <v>412</v>
      </c>
      <c r="D259" s="1" t="s">
        <v>412</v>
      </c>
      <c r="E259" s="14">
        <v>70201.0</v>
      </c>
      <c r="F259" s="15">
        <v>89.0</v>
      </c>
      <c r="G259" s="15">
        <v>149.0</v>
      </c>
      <c r="H259" s="15">
        <v>200.0</v>
      </c>
      <c r="I259" s="15">
        <v>252.0</v>
      </c>
      <c r="J259" s="15">
        <v>467.0</v>
      </c>
      <c r="K259" s="15">
        <v>494.0</v>
      </c>
      <c r="L259" s="16">
        <v>516.0</v>
      </c>
      <c r="M259" s="14">
        <f t="shared" ref="M259:S259" si="372">IF(AND(ISBLANK(F259), NOT(ISBLANK(T259))), T259, IF(OR(ISBLANK(T259), ISBLANK(F259)), "", T259-F259))</f>
        <v>47</v>
      </c>
      <c r="N259" s="14">
        <f t="shared" si="372"/>
        <v>50</v>
      </c>
      <c r="O259" s="14">
        <f t="shared" si="372"/>
        <v>146</v>
      </c>
      <c r="P259" s="14">
        <f t="shared" si="372"/>
        <v>141</v>
      </c>
      <c r="Q259" s="14">
        <f t="shared" si="372"/>
        <v>163</v>
      </c>
      <c r="R259" s="14">
        <f t="shared" si="372"/>
        <v>176</v>
      </c>
      <c r="S259" s="14">
        <f t="shared" si="372"/>
        <v>182</v>
      </c>
      <c r="T259" s="16">
        <v>136.0</v>
      </c>
      <c r="U259" s="16">
        <v>199.0</v>
      </c>
      <c r="V259" s="16">
        <v>346.0</v>
      </c>
      <c r="W259" s="15">
        <v>393.0</v>
      </c>
      <c r="X259" s="15">
        <v>630.0</v>
      </c>
      <c r="Y259" s="17">
        <v>670.0</v>
      </c>
      <c r="Z259" s="15">
        <v>698.0</v>
      </c>
      <c r="AA259" s="15">
        <v>65.44117647058823</v>
      </c>
      <c r="AB259" s="15">
        <v>74.87437185929649</v>
      </c>
      <c r="AC259" s="15">
        <v>57.80346820809249</v>
      </c>
      <c r="AD259" s="16">
        <v>64.12213740458014</v>
      </c>
      <c r="AE259" s="16">
        <v>74.12698412698413</v>
      </c>
      <c r="AF259" s="16">
        <v>73.73134328358208</v>
      </c>
      <c r="AG259" s="16">
        <v>73.92550143266476</v>
      </c>
      <c r="AH259" s="16">
        <f t="shared" si="314"/>
        <v>65.59999249</v>
      </c>
      <c r="AI259" s="18">
        <f t="shared" si="289"/>
        <v>73.92794295</v>
      </c>
      <c r="AJ259" s="14">
        <f t="shared" si="290"/>
        <v>200.3333333</v>
      </c>
      <c r="AK259" s="14">
        <f t="shared" si="291"/>
        <v>492.3333333</v>
      </c>
      <c r="AL259" s="14">
        <f t="shared" si="292"/>
        <v>112.3333333</v>
      </c>
      <c r="AM259" s="14">
        <f t="shared" si="293"/>
        <v>173.6666667</v>
      </c>
    </row>
    <row r="260" ht="14.25" customHeight="1">
      <c r="A260" s="1" t="s">
        <v>59</v>
      </c>
      <c r="B260" s="1" t="s">
        <v>412</v>
      </c>
      <c r="C260" s="1" t="s">
        <v>413</v>
      </c>
      <c r="D260" s="1" t="s">
        <v>413</v>
      </c>
      <c r="E260" s="14">
        <v>70202.0</v>
      </c>
      <c r="F260" s="15">
        <v>24.0</v>
      </c>
      <c r="G260" s="15">
        <v>26.0</v>
      </c>
      <c r="H260" s="15">
        <v>29.0</v>
      </c>
      <c r="I260" s="15">
        <v>34.0</v>
      </c>
      <c r="J260" s="15">
        <v>60.0</v>
      </c>
      <c r="K260" s="15">
        <v>56.0</v>
      </c>
      <c r="L260" s="16">
        <v>60.0</v>
      </c>
      <c r="M260" s="14">
        <f t="shared" ref="M260:S260" si="373">IF(AND(ISBLANK(F260), NOT(ISBLANK(T260))), T260, IF(OR(ISBLANK(T260), ISBLANK(F260)), "", T260-F260))</f>
        <v>16</v>
      </c>
      <c r="N260" s="14">
        <f t="shared" si="373"/>
        <v>15</v>
      </c>
      <c r="O260" s="14">
        <f t="shared" si="373"/>
        <v>28</v>
      </c>
      <c r="P260" s="14">
        <f t="shared" si="373"/>
        <v>27</v>
      </c>
      <c r="Q260" s="14">
        <f t="shared" si="373"/>
        <v>33</v>
      </c>
      <c r="R260" s="14">
        <f t="shared" si="373"/>
        <v>39</v>
      </c>
      <c r="S260" s="14">
        <f t="shared" si="373"/>
        <v>36</v>
      </c>
      <c r="T260" s="16">
        <v>40.0</v>
      </c>
      <c r="U260" s="16">
        <v>41.0</v>
      </c>
      <c r="V260" s="16">
        <v>57.0</v>
      </c>
      <c r="W260" s="15">
        <v>61.0</v>
      </c>
      <c r="X260" s="15">
        <v>93.0</v>
      </c>
      <c r="Y260" s="17">
        <v>95.0</v>
      </c>
      <c r="Z260" s="15">
        <v>96.0</v>
      </c>
      <c r="AA260" s="15">
        <v>60.0</v>
      </c>
      <c r="AB260" s="15">
        <v>63.41463414634146</v>
      </c>
      <c r="AC260" s="15">
        <v>50.877192982456144</v>
      </c>
      <c r="AD260" s="16">
        <v>55.73770491803278</v>
      </c>
      <c r="AE260" s="16">
        <v>64.51612903225806</v>
      </c>
      <c r="AF260" s="16">
        <v>58.94736842105262</v>
      </c>
      <c r="AG260" s="16">
        <v>62.5</v>
      </c>
      <c r="AH260" s="16">
        <f t="shared" si="314"/>
        <v>56.67651068</v>
      </c>
      <c r="AI260" s="18">
        <f t="shared" si="289"/>
        <v>61.98783248</v>
      </c>
      <c r="AJ260" s="14">
        <f t="shared" si="290"/>
        <v>29.66666667</v>
      </c>
      <c r="AK260" s="14">
        <f t="shared" si="291"/>
        <v>58.66666667</v>
      </c>
      <c r="AL260" s="14">
        <f t="shared" si="292"/>
        <v>23.33333333</v>
      </c>
      <c r="AM260" s="14">
        <f t="shared" si="293"/>
        <v>36</v>
      </c>
    </row>
    <row r="261" ht="14.25" customHeight="1">
      <c r="A261" s="1" t="s">
        <v>59</v>
      </c>
      <c r="B261" s="1" t="s">
        <v>414</v>
      </c>
      <c r="C261" s="1" t="s">
        <v>415</v>
      </c>
      <c r="D261" s="1" t="s">
        <v>416</v>
      </c>
      <c r="E261" s="14">
        <v>70301.0</v>
      </c>
      <c r="F261" s="15">
        <v>60.0</v>
      </c>
      <c r="G261" s="15">
        <v>81.0</v>
      </c>
      <c r="H261" s="15">
        <v>91.0</v>
      </c>
      <c r="I261" s="15">
        <v>113.0</v>
      </c>
      <c r="J261" s="15">
        <v>265.0</v>
      </c>
      <c r="K261" s="15">
        <v>276.0</v>
      </c>
      <c r="L261" s="16">
        <v>283.0</v>
      </c>
      <c r="M261" s="14">
        <f t="shared" ref="M261:S261" si="374">IF(AND(ISBLANK(F261), NOT(ISBLANK(T261))), T261, IF(OR(ISBLANK(T261), ISBLANK(F261)), "", T261-F261))</f>
        <v>46</v>
      </c>
      <c r="N261" s="14">
        <f t="shared" si="374"/>
        <v>50</v>
      </c>
      <c r="O261" s="14">
        <f t="shared" si="374"/>
        <v>100</v>
      </c>
      <c r="P261" s="14">
        <f t="shared" si="374"/>
        <v>103</v>
      </c>
      <c r="Q261" s="14">
        <f t="shared" si="374"/>
        <v>65</v>
      </c>
      <c r="R261" s="14">
        <f t="shared" si="374"/>
        <v>57</v>
      </c>
      <c r="S261" s="14">
        <f t="shared" si="374"/>
        <v>56</v>
      </c>
      <c r="T261" s="16">
        <v>106.0</v>
      </c>
      <c r="U261" s="16">
        <v>131.0</v>
      </c>
      <c r="V261" s="16">
        <v>191.0</v>
      </c>
      <c r="W261" s="15">
        <v>216.0</v>
      </c>
      <c r="X261" s="15">
        <v>330.0</v>
      </c>
      <c r="Y261" s="17">
        <v>333.0</v>
      </c>
      <c r="Z261" s="15">
        <v>339.0</v>
      </c>
      <c r="AA261" s="15">
        <v>56.60377358490566</v>
      </c>
      <c r="AB261" s="15">
        <v>61.832061068702295</v>
      </c>
      <c r="AC261" s="15">
        <v>47.64397905759162</v>
      </c>
      <c r="AD261" s="16">
        <v>52.31481481481482</v>
      </c>
      <c r="AE261" s="16">
        <v>80.3030303030303</v>
      </c>
      <c r="AF261" s="16">
        <v>82.88288288288288</v>
      </c>
      <c r="AG261" s="16">
        <v>83.48082595870207</v>
      </c>
      <c r="AH261" s="16">
        <f t="shared" si="314"/>
        <v>53.93028498</v>
      </c>
      <c r="AI261" s="18">
        <f t="shared" si="289"/>
        <v>82.22224638</v>
      </c>
      <c r="AJ261" s="14">
        <f t="shared" si="290"/>
        <v>95</v>
      </c>
      <c r="AK261" s="14">
        <f t="shared" si="291"/>
        <v>274.6666667</v>
      </c>
      <c r="AL261" s="14">
        <f t="shared" si="292"/>
        <v>84.33333333</v>
      </c>
      <c r="AM261" s="14">
        <f t="shared" si="293"/>
        <v>59.33333333</v>
      </c>
    </row>
    <row r="262" ht="14.25" customHeight="1">
      <c r="A262" s="1" t="s">
        <v>59</v>
      </c>
      <c r="B262" s="1" t="s">
        <v>414</v>
      </c>
      <c r="C262" s="1" t="s">
        <v>417</v>
      </c>
      <c r="D262" s="1" t="s">
        <v>418</v>
      </c>
      <c r="E262" s="14">
        <v>70302.0</v>
      </c>
      <c r="F262" s="15">
        <v>15.0</v>
      </c>
      <c r="G262" s="15">
        <v>20.0</v>
      </c>
      <c r="H262" s="15">
        <v>23.0</v>
      </c>
      <c r="I262" s="15">
        <v>24.0</v>
      </c>
      <c r="J262" s="15">
        <v>54.0</v>
      </c>
      <c r="K262" s="15">
        <v>57.0</v>
      </c>
      <c r="L262" s="16">
        <v>60.0</v>
      </c>
      <c r="M262" s="14">
        <f t="shared" ref="M262:S262" si="375">IF(AND(ISBLANK(F262), NOT(ISBLANK(T262))), T262, IF(OR(ISBLANK(T262), ISBLANK(F262)), "", T262-F262))</f>
        <v>27</v>
      </c>
      <c r="N262" s="14">
        <f t="shared" si="375"/>
        <v>22</v>
      </c>
      <c r="O262" s="14">
        <f t="shared" si="375"/>
        <v>45</v>
      </c>
      <c r="P262" s="14">
        <f t="shared" si="375"/>
        <v>42</v>
      </c>
      <c r="Q262" s="14">
        <f t="shared" si="375"/>
        <v>23</v>
      </c>
      <c r="R262" s="14">
        <f t="shared" si="375"/>
        <v>21</v>
      </c>
      <c r="S262" s="14">
        <f t="shared" si="375"/>
        <v>20</v>
      </c>
      <c r="T262" s="16">
        <v>42.0</v>
      </c>
      <c r="U262" s="16">
        <v>42.0</v>
      </c>
      <c r="V262" s="16">
        <v>68.0</v>
      </c>
      <c r="W262" s="15">
        <v>66.0</v>
      </c>
      <c r="X262" s="15">
        <v>77.0</v>
      </c>
      <c r="Y262" s="17">
        <v>78.0</v>
      </c>
      <c r="Z262" s="15">
        <v>80.0</v>
      </c>
      <c r="AA262" s="15">
        <v>35.714285714285715</v>
      </c>
      <c r="AB262" s="15">
        <v>47.61904761904761</v>
      </c>
      <c r="AC262" s="15">
        <v>33.82352941176471</v>
      </c>
      <c r="AD262" s="16">
        <v>36.36363636363637</v>
      </c>
      <c r="AE262" s="16">
        <v>70.12987012987013</v>
      </c>
      <c r="AF262" s="16">
        <v>73.07692307692307</v>
      </c>
      <c r="AG262" s="16">
        <v>75.0</v>
      </c>
      <c r="AH262" s="16">
        <f t="shared" si="314"/>
        <v>39.2687378</v>
      </c>
      <c r="AI262" s="18">
        <f t="shared" si="289"/>
        <v>72.73559774</v>
      </c>
      <c r="AJ262" s="14">
        <f t="shared" si="290"/>
        <v>22.33333333</v>
      </c>
      <c r="AK262" s="14">
        <f t="shared" si="291"/>
        <v>57</v>
      </c>
      <c r="AL262" s="14">
        <f t="shared" si="292"/>
        <v>36.33333333</v>
      </c>
      <c r="AM262" s="14">
        <f t="shared" si="293"/>
        <v>21.33333333</v>
      </c>
    </row>
    <row r="263" ht="14.25" customHeight="1">
      <c r="A263" s="1" t="s">
        <v>59</v>
      </c>
      <c r="B263" s="1" t="s">
        <v>414</v>
      </c>
      <c r="C263" s="1" t="s">
        <v>419</v>
      </c>
      <c r="D263" s="1" t="s">
        <v>419</v>
      </c>
      <c r="E263" s="14">
        <v>70303.0</v>
      </c>
      <c r="F263" s="15">
        <v>2.0</v>
      </c>
      <c r="G263" s="15">
        <v>2.0</v>
      </c>
      <c r="H263" s="15">
        <v>3.0</v>
      </c>
      <c r="I263" s="15">
        <v>9.0</v>
      </c>
      <c r="J263" s="15">
        <v>32.0</v>
      </c>
      <c r="K263" s="15">
        <v>30.0</v>
      </c>
      <c r="L263" s="16">
        <v>33.0</v>
      </c>
      <c r="M263" s="14">
        <f t="shared" ref="M263:S263" si="376">IF(AND(ISBLANK(F263), NOT(ISBLANK(T263))), T263, IF(OR(ISBLANK(T263), ISBLANK(F263)), "", T263-F263))</f>
        <v>7</v>
      </c>
      <c r="N263" s="14">
        <f t="shared" si="376"/>
        <v>6</v>
      </c>
      <c r="O263" s="14">
        <f t="shared" si="376"/>
        <v>10</v>
      </c>
      <c r="P263" s="14">
        <f t="shared" si="376"/>
        <v>10</v>
      </c>
      <c r="Q263" s="14">
        <f t="shared" si="376"/>
        <v>9</v>
      </c>
      <c r="R263" s="14">
        <f t="shared" si="376"/>
        <v>10</v>
      </c>
      <c r="S263" s="14">
        <f t="shared" si="376"/>
        <v>7</v>
      </c>
      <c r="T263" s="16">
        <v>9.0</v>
      </c>
      <c r="U263" s="16">
        <v>8.0</v>
      </c>
      <c r="V263" s="16">
        <v>13.0</v>
      </c>
      <c r="W263" s="15">
        <v>19.0</v>
      </c>
      <c r="X263" s="15">
        <v>41.0</v>
      </c>
      <c r="Y263" s="17">
        <v>40.0</v>
      </c>
      <c r="Z263" s="15">
        <v>40.0</v>
      </c>
      <c r="AA263" s="15">
        <v>22.22222222222222</v>
      </c>
      <c r="AB263" s="15">
        <v>25.0</v>
      </c>
      <c r="AC263" s="15">
        <v>23.076923076923077</v>
      </c>
      <c r="AD263" s="16">
        <v>47.368421052631575</v>
      </c>
      <c r="AE263" s="16">
        <v>78.04878048780488</v>
      </c>
      <c r="AF263" s="16">
        <v>75.0</v>
      </c>
      <c r="AG263" s="16">
        <v>82.5</v>
      </c>
      <c r="AH263" s="16">
        <f t="shared" si="314"/>
        <v>31.81511471</v>
      </c>
      <c r="AI263" s="18">
        <f t="shared" si="289"/>
        <v>78.51626016</v>
      </c>
      <c r="AJ263" s="14">
        <f t="shared" si="290"/>
        <v>4.666666667</v>
      </c>
      <c r="AK263" s="14">
        <f t="shared" si="291"/>
        <v>31.66666667</v>
      </c>
      <c r="AL263" s="14">
        <f t="shared" si="292"/>
        <v>8.666666667</v>
      </c>
      <c r="AM263" s="14">
        <f t="shared" si="293"/>
        <v>8.666666667</v>
      </c>
    </row>
    <row r="264" ht="14.25" customHeight="1">
      <c r="A264" s="1" t="s">
        <v>59</v>
      </c>
      <c r="B264" s="1" t="s">
        <v>420</v>
      </c>
      <c r="C264" s="1" t="s">
        <v>421</v>
      </c>
      <c r="D264" s="1" t="s">
        <v>421</v>
      </c>
      <c r="E264" s="14">
        <v>70401.0</v>
      </c>
      <c r="F264" s="15">
        <v>13.0</v>
      </c>
      <c r="G264" s="15">
        <v>15.0</v>
      </c>
      <c r="H264" s="15">
        <v>18.0</v>
      </c>
      <c r="I264" s="15">
        <v>27.0</v>
      </c>
      <c r="J264" s="15">
        <v>53.0</v>
      </c>
      <c r="K264" s="15">
        <v>55.0</v>
      </c>
      <c r="L264" s="16">
        <v>53.0</v>
      </c>
      <c r="M264" s="14">
        <f t="shared" ref="M264:S264" si="377">IF(AND(ISBLANK(F264), NOT(ISBLANK(T264))), T264, IF(OR(ISBLANK(T264), ISBLANK(F264)), "", T264-F264))</f>
        <v>44</v>
      </c>
      <c r="N264" s="14">
        <f t="shared" si="377"/>
        <v>47</v>
      </c>
      <c r="O264" s="14">
        <f t="shared" si="377"/>
        <v>76</v>
      </c>
      <c r="P264" s="14">
        <f t="shared" si="377"/>
        <v>66</v>
      </c>
      <c r="Q264" s="14">
        <f t="shared" si="377"/>
        <v>46</v>
      </c>
      <c r="R264" s="14">
        <f t="shared" si="377"/>
        <v>47</v>
      </c>
      <c r="S264" s="14">
        <f t="shared" si="377"/>
        <v>49</v>
      </c>
      <c r="T264" s="16">
        <v>57.0</v>
      </c>
      <c r="U264" s="16">
        <v>62.0</v>
      </c>
      <c r="V264" s="16">
        <v>94.0</v>
      </c>
      <c r="W264" s="15">
        <v>93.0</v>
      </c>
      <c r="X264" s="15">
        <v>99.0</v>
      </c>
      <c r="Y264" s="17">
        <v>102.0</v>
      </c>
      <c r="Z264" s="15">
        <v>102.0</v>
      </c>
      <c r="AA264" s="15">
        <v>22.807017543859647</v>
      </c>
      <c r="AB264" s="15">
        <v>24.193548387096776</v>
      </c>
      <c r="AC264" s="15">
        <v>19.148936170212767</v>
      </c>
      <c r="AD264" s="16">
        <v>29.03225806451613</v>
      </c>
      <c r="AE264" s="16">
        <v>53.535353535353536</v>
      </c>
      <c r="AF264" s="16">
        <v>53.92156862745098</v>
      </c>
      <c r="AG264" s="16">
        <v>51.9607843137255</v>
      </c>
      <c r="AH264" s="16">
        <f t="shared" si="314"/>
        <v>24.12491421</v>
      </c>
      <c r="AI264" s="18">
        <f t="shared" si="289"/>
        <v>53.13923549</v>
      </c>
      <c r="AJ264" s="14">
        <f t="shared" si="290"/>
        <v>20</v>
      </c>
      <c r="AK264" s="14">
        <f t="shared" si="291"/>
        <v>53.66666667</v>
      </c>
      <c r="AL264" s="14">
        <f t="shared" si="292"/>
        <v>63</v>
      </c>
      <c r="AM264" s="14">
        <f t="shared" si="293"/>
        <v>47.33333333</v>
      </c>
    </row>
    <row r="265" ht="14.25" customHeight="1">
      <c r="A265" s="1" t="s">
        <v>59</v>
      </c>
      <c r="B265" s="1" t="s">
        <v>420</v>
      </c>
      <c r="C265" s="1" t="s">
        <v>422</v>
      </c>
      <c r="D265" s="1" t="s">
        <v>422</v>
      </c>
      <c r="E265" s="14">
        <v>70402.0</v>
      </c>
      <c r="F265" s="15">
        <v>26.0</v>
      </c>
      <c r="G265" s="15">
        <v>33.0</v>
      </c>
      <c r="H265" s="15">
        <v>43.0</v>
      </c>
      <c r="I265" s="15">
        <v>49.0</v>
      </c>
      <c r="J265" s="15">
        <v>97.0</v>
      </c>
      <c r="K265" s="15">
        <v>95.0</v>
      </c>
      <c r="L265" s="16">
        <v>96.0</v>
      </c>
      <c r="M265" s="14">
        <f t="shared" ref="M265:S265" si="378">IF(AND(ISBLANK(F265), NOT(ISBLANK(T265))), T265, IF(OR(ISBLANK(T265), ISBLANK(F265)), "", T265-F265))</f>
        <v>39</v>
      </c>
      <c r="N265" s="14">
        <f t="shared" si="378"/>
        <v>33</v>
      </c>
      <c r="O265" s="14">
        <f t="shared" si="378"/>
        <v>64</v>
      </c>
      <c r="P265" s="14">
        <f t="shared" si="378"/>
        <v>67</v>
      </c>
      <c r="Q265" s="14">
        <f t="shared" si="378"/>
        <v>43</v>
      </c>
      <c r="R265" s="14">
        <f t="shared" si="378"/>
        <v>49</v>
      </c>
      <c r="S265" s="14">
        <f t="shared" si="378"/>
        <v>50</v>
      </c>
      <c r="T265" s="16">
        <v>65.0</v>
      </c>
      <c r="U265" s="16">
        <v>66.0</v>
      </c>
      <c r="V265" s="16">
        <v>107.0</v>
      </c>
      <c r="W265" s="15">
        <v>116.0</v>
      </c>
      <c r="X265" s="15">
        <v>140.0</v>
      </c>
      <c r="Y265" s="17">
        <v>144.0</v>
      </c>
      <c r="Z265" s="15">
        <v>146.0</v>
      </c>
      <c r="AA265" s="15">
        <v>40.0</v>
      </c>
      <c r="AB265" s="15">
        <v>50.0</v>
      </c>
      <c r="AC265" s="15">
        <v>40.18691588785047</v>
      </c>
      <c r="AD265" s="16">
        <v>42.241379310344826</v>
      </c>
      <c r="AE265" s="16">
        <v>69.28571428571428</v>
      </c>
      <c r="AF265" s="16">
        <v>65.97222222222221</v>
      </c>
      <c r="AG265" s="16">
        <v>65.75342465753424</v>
      </c>
      <c r="AH265" s="16">
        <f t="shared" si="314"/>
        <v>44.14276507</v>
      </c>
      <c r="AI265" s="18">
        <f t="shared" si="289"/>
        <v>67.00378706</v>
      </c>
      <c r="AJ265" s="14">
        <f t="shared" si="290"/>
        <v>41.66666667</v>
      </c>
      <c r="AK265" s="14">
        <f t="shared" si="291"/>
        <v>96</v>
      </c>
      <c r="AL265" s="14">
        <f t="shared" si="292"/>
        <v>54.66666667</v>
      </c>
      <c r="AM265" s="14">
        <f t="shared" si="293"/>
        <v>47.33333333</v>
      </c>
    </row>
    <row r="266" ht="14.25" customHeight="1">
      <c r="A266" s="1" t="s">
        <v>59</v>
      </c>
      <c r="B266" s="1" t="s">
        <v>420</v>
      </c>
      <c r="C266" s="1" t="s">
        <v>423</v>
      </c>
      <c r="D266" s="1" t="s">
        <v>423</v>
      </c>
      <c r="E266" s="14">
        <v>70403.0</v>
      </c>
      <c r="F266" s="15">
        <v>96.0</v>
      </c>
      <c r="G266" s="15">
        <v>107.0</v>
      </c>
      <c r="H266" s="15">
        <v>120.0</v>
      </c>
      <c r="I266" s="15">
        <v>138.0</v>
      </c>
      <c r="J266" s="15">
        <v>244.0</v>
      </c>
      <c r="K266" s="15">
        <v>254.0</v>
      </c>
      <c r="L266" s="16">
        <v>264.0</v>
      </c>
      <c r="M266" s="14">
        <f t="shared" ref="M266:S266" si="379">IF(AND(ISBLANK(F266), NOT(ISBLANK(T266))), T266, IF(OR(ISBLANK(T266), ISBLANK(F266)), "", T266-F266))</f>
        <v>32</v>
      </c>
      <c r="N266" s="14">
        <f t="shared" si="379"/>
        <v>73</v>
      </c>
      <c r="O266" s="14">
        <f t="shared" si="379"/>
        <v>101</v>
      </c>
      <c r="P266" s="14">
        <f t="shared" si="379"/>
        <v>95</v>
      </c>
      <c r="Q266" s="14">
        <f t="shared" si="379"/>
        <v>98</v>
      </c>
      <c r="R266" s="14">
        <f t="shared" si="379"/>
        <v>94</v>
      </c>
      <c r="S266" s="14">
        <f t="shared" si="379"/>
        <v>94</v>
      </c>
      <c r="T266" s="16">
        <v>128.0</v>
      </c>
      <c r="U266" s="16">
        <v>180.0</v>
      </c>
      <c r="V266" s="16">
        <v>221.0</v>
      </c>
      <c r="W266" s="15">
        <v>233.0</v>
      </c>
      <c r="X266" s="15">
        <v>342.0</v>
      </c>
      <c r="Y266" s="17">
        <v>348.0</v>
      </c>
      <c r="Z266" s="15">
        <v>358.0</v>
      </c>
      <c r="AA266" s="15">
        <v>75.0</v>
      </c>
      <c r="AB266" s="15">
        <v>59.44444444444444</v>
      </c>
      <c r="AC266" s="15">
        <v>54.29864253393665</v>
      </c>
      <c r="AD266" s="16">
        <v>59.227467811158796</v>
      </c>
      <c r="AE266" s="16">
        <v>71.34502923976608</v>
      </c>
      <c r="AF266" s="16">
        <v>72.98850574712644</v>
      </c>
      <c r="AG266" s="16">
        <v>73.74301675977654</v>
      </c>
      <c r="AH266" s="16">
        <f t="shared" si="314"/>
        <v>57.6568516</v>
      </c>
      <c r="AI266" s="18">
        <f t="shared" si="289"/>
        <v>72.69218392</v>
      </c>
      <c r="AJ266" s="14">
        <f t="shared" si="290"/>
        <v>121.6666667</v>
      </c>
      <c r="AK266" s="14">
        <f t="shared" si="291"/>
        <v>254</v>
      </c>
      <c r="AL266" s="14">
        <f t="shared" si="292"/>
        <v>89.66666667</v>
      </c>
      <c r="AM266" s="14">
        <f t="shared" si="293"/>
        <v>95.33333333</v>
      </c>
    </row>
    <row r="267" ht="14.25" customHeight="1">
      <c r="A267" s="1" t="s">
        <v>59</v>
      </c>
      <c r="B267" s="1" t="s">
        <v>420</v>
      </c>
      <c r="C267" s="1" t="s">
        <v>424</v>
      </c>
      <c r="D267" s="1" t="s">
        <v>424</v>
      </c>
      <c r="E267" s="14">
        <v>70404.0</v>
      </c>
      <c r="F267" s="15">
        <v>16.0</v>
      </c>
      <c r="G267" s="15">
        <v>18.0</v>
      </c>
      <c r="H267" s="15">
        <v>23.0</v>
      </c>
      <c r="I267" s="15">
        <v>29.0</v>
      </c>
      <c r="J267" s="15">
        <v>52.0</v>
      </c>
      <c r="K267" s="15">
        <v>52.0</v>
      </c>
      <c r="L267" s="16">
        <v>53.0</v>
      </c>
      <c r="M267" s="14">
        <f t="shared" ref="M267:S267" si="380">IF(AND(ISBLANK(F267), NOT(ISBLANK(T267))), T267, IF(OR(ISBLANK(T267), ISBLANK(F267)), "", T267-F267))</f>
        <v>10</v>
      </c>
      <c r="N267" s="14">
        <f t="shared" si="380"/>
        <v>10</v>
      </c>
      <c r="O267" s="14">
        <f t="shared" si="380"/>
        <v>23</v>
      </c>
      <c r="P267" s="14">
        <f t="shared" si="380"/>
        <v>26</v>
      </c>
      <c r="Q267" s="14">
        <f t="shared" si="380"/>
        <v>20</v>
      </c>
      <c r="R267" s="14">
        <f t="shared" si="380"/>
        <v>21</v>
      </c>
      <c r="S267" s="14">
        <f t="shared" si="380"/>
        <v>23</v>
      </c>
      <c r="T267" s="16">
        <v>26.0</v>
      </c>
      <c r="U267" s="16">
        <v>28.0</v>
      </c>
      <c r="V267" s="16">
        <v>46.0</v>
      </c>
      <c r="W267" s="15">
        <v>55.0</v>
      </c>
      <c r="X267" s="15">
        <v>72.0</v>
      </c>
      <c r="Y267" s="17">
        <v>73.0</v>
      </c>
      <c r="Z267" s="15">
        <v>76.0</v>
      </c>
      <c r="AA267" s="15">
        <v>61.53846153846154</v>
      </c>
      <c r="AB267" s="15">
        <v>64.28571428571429</v>
      </c>
      <c r="AC267" s="15">
        <v>50.0</v>
      </c>
      <c r="AD267" s="16">
        <v>52.72727272727272</v>
      </c>
      <c r="AE267" s="16">
        <v>72.22222222222221</v>
      </c>
      <c r="AF267" s="16">
        <v>71.23287671232876</v>
      </c>
      <c r="AG267" s="16">
        <v>69.73684210526315</v>
      </c>
      <c r="AH267" s="16">
        <f t="shared" si="314"/>
        <v>55.67099567</v>
      </c>
      <c r="AI267" s="18">
        <f t="shared" si="289"/>
        <v>71.06398035</v>
      </c>
      <c r="AJ267" s="14">
        <f t="shared" si="290"/>
        <v>23.33333333</v>
      </c>
      <c r="AK267" s="14">
        <f t="shared" si="291"/>
        <v>52.33333333</v>
      </c>
      <c r="AL267" s="14">
        <f t="shared" si="292"/>
        <v>19.66666667</v>
      </c>
      <c r="AM267" s="14">
        <f t="shared" si="293"/>
        <v>21.33333333</v>
      </c>
    </row>
    <row r="268" ht="14.25" customHeight="1">
      <c r="A268" s="1" t="s">
        <v>59</v>
      </c>
      <c r="B268" s="1" t="s">
        <v>425</v>
      </c>
      <c r="C268" s="1" t="s">
        <v>426</v>
      </c>
      <c r="D268" s="1" t="s">
        <v>427</v>
      </c>
      <c r="E268" s="14">
        <v>70501.0</v>
      </c>
      <c r="F268" s="15">
        <v>31.0</v>
      </c>
      <c r="G268" s="15">
        <v>32.0</v>
      </c>
      <c r="H268" s="15">
        <v>40.0</v>
      </c>
      <c r="I268" s="15">
        <v>50.0</v>
      </c>
      <c r="J268" s="15">
        <v>102.0</v>
      </c>
      <c r="K268" s="15">
        <v>100.0</v>
      </c>
      <c r="L268" s="16">
        <v>100.0</v>
      </c>
      <c r="M268" s="14">
        <f t="shared" ref="M268:S268" si="381">IF(AND(ISBLANK(F268), NOT(ISBLANK(T268))), T268, IF(OR(ISBLANK(T268), ISBLANK(F268)), "", T268-F268))</f>
        <v>32</v>
      </c>
      <c r="N268" s="14">
        <f t="shared" si="381"/>
        <v>29</v>
      </c>
      <c r="O268" s="14">
        <f t="shared" si="381"/>
        <v>59</v>
      </c>
      <c r="P268" s="14">
        <f t="shared" si="381"/>
        <v>55</v>
      </c>
      <c r="Q268" s="14">
        <f t="shared" si="381"/>
        <v>27</v>
      </c>
      <c r="R268" s="14">
        <f t="shared" si="381"/>
        <v>30</v>
      </c>
      <c r="S268" s="14">
        <f t="shared" si="381"/>
        <v>30</v>
      </c>
      <c r="T268" s="16">
        <v>63.0</v>
      </c>
      <c r="U268" s="16">
        <v>61.0</v>
      </c>
      <c r="V268" s="16">
        <v>99.0</v>
      </c>
      <c r="W268" s="15">
        <v>105.0</v>
      </c>
      <c r="X268" s="15">
        <v>129.0</v>
      </c>
      <c r="Y268" s="17">
        <v>130.0</v>
      </c>
      <c r="Z268" s="15">
        <v>130.0</v>
      </c>
      <c r="AA268" s="15">
        <v>49.2063492063492</v>
      </c>
      <c r="AB268" s="15">
        <v>52.459016393442624</v>
      </c>
      <c r="AC268" s="15">
        <v>40.4040404040404</v>
      </c>
      <c r="AD268" s="16">
        <v>47.61904761904761</v>
      </c>
      <c r="AE268" s="16">
        <v>79.06976744186046</v>
      </c>
      <c r="AF268" s="16">
        <v>76.92307692307693</v>
      </c>
      <c r="AG268" s="16">
        <v>76.92307692307693</v>
      </c>
      <c r="AH268" s="16">
        <f t="shared" si="314"/>
        <v>46.82736814</v>
      </c>
      <c r="AI268" s="18">
        <f t="shared" si="289"/>
        <v>77.63864043</v>
      </c>
      <c r="AJ268" s="14">
        <f t="shared" si="290"/>
        <v>40.66666667</v>
      </c>
      <c r="AK268" s="14">
        <f t="shared" si="291"/>
        <v>100.6666667</v>
      </c>
      <c r="AL268" s="14">
        <f t="shared" si="292"/>
        <v>47.66666667</v>
      </c>
      <c r="AM268" s="14">
        <f t="shared" si="293"/>
        <v>29</v>
      </c>
    </row>
    <row r="269" ht="14.25" customHeight="1">
      <c r="A269" s="1" t="s">
        <v>59</v>
      </c>
      <c r="B269" s="1" t="s">
        <v>425</v>
      </c>
      <c r="C269" s="1" t="s">
        <v>428</v>
      </c>
      <c r="D269" s="1" t="s">
        <v>428</v>
      </c>
      <c r="E269" s="14">
        <v>70502.0</v>
      </c>
      <c r="F269" s="15">
        <v>45.0</v>
      </c>
      <c r="G269" s="15">
        <v>53.0</v>
      </c>
      <c r="H269" s="15">
        <v>63.0</v>
      </c>
      <c r="I269" s="15">
        <v>69.0</v>
      </c>
      <c r="J269" s="15">
        <v>112.0</v>
      </c>
      <c r="K269" s="15">
        <v>115.0</v>
      </c>
      <c r="L269" s="16">
        <v>116.0</v>
      </c>
      <c r="M269" s="14">
        <f t="shared" ref="M269:S269" si="382">IF(AND(ISBLANK(F269), NOT(ISBLANK(T269))), T269, IF(OR(ISBLANK(T269), ISBLANK(F269)), "", T269-F269))</f>
        <v>22</v>
      </c>
      <c r="N269" s="14">
        <f t="shared" si="382"/>
        <v>19</v>
      </c>
      <c r="O269" s="14">
        <f t="shared" si="382"/>
        <v>53</v>
      </c>
      <c r="P269" s="14">
        <f t="shared" si="382"/>
        <v>56</v>
      </c>
      <c r="Q269" s="14">
        <f t="shared" si="382"/>
        <v>42</v>
      </c>
      <c r="R269" s="14">
        <f t="shared" si="382"/>
        <v>41</v>
      </c>
      <c r="S269" s="14">
        <f t="shared" si="382"/>
        <v>44</v>
      </c>
      <c r="T269" s="16">
        <v>67.0</v>
      </c>
      <c r="U269" s="16">
        <v>72.0</v>
      </c>
      <c r="V269" s="16">
        <v>116.0</v>
      </c>
      <c r="W269" s="15">
        <v>125.0</v>
      </c>
      <c r="X269" s="15">
        <v>154.0</v>
      </c>
      <c r="Y269" s="17">
        <v>156.0</v>
      </c>
      <c r="Z269" s="15">
        <v>160.0</v>
      </c>
      <c r="AA269" s="15">
        <v>67.16417910447761</v>
      </c>
      <c r="AB269" s="15">
        <v>73.61111111111111</v>
      </c>
      <c r="AC269" s="15">
        <v>54.310344827586206</v>
      </c>
      <c r="AD269" s="16">
        <v>55.2</v>
      </c>
      <c r="AE269" s="16">
        <v>72.72727272727273</v>
      </c>
      <c r="AF269" s="16">
        <v>73.71794871794873</v>
      </c>
      <c r="AG269" s="16">
        <v>72.5</v>
      </c>
      <c r="AH269" s="16">
        <f t="shared" si="314"/>
        <v>61.04048531</v>
      </c>
      <c r="AI269" s="18">
        <f t="shared" si="289"/>
        <v>72.98174048</v>
      </c>
      <c r="AJ269" s="14">
        <f t="shared" si="290"/>
        <v>61.66666667</v>
      </c>
      <c r="AK269" s="14">
        <f t="shared" si="291"/>
        <v>114.3333333</v>
      </c>
      <c r="AL269" s="14">
        <f t="shared" si="292"/>
        <v>42.66666667</v>
      </c>
      <c r="AM269" s="14">
        <f t="shared" si="293"/>
        <v>42.33333333</v>
      </c>
    </row>
    <row r="270" ht="14.25" customHeight="1">
      <c r="A270" s="1" t="s">
        <v>59</v>
      </c>
      <c r="B270" s="1" t="s">
        <v>425</v>
      </c>
      <c r="C270" s="1" t="s">
        <v>429</v>
      </c>
      <c r="D270" s="1" t="s">
        <v>429</v>
      </c>
      <c r="E270" s="14">
        <v>70503.0</v>
      </c>
      <c r="F270" s="15">
        <v>34.0</v>
      </c>
      <c r="G270" s="15">
        <v>43.0</v>
      </c>
      <c r="H270" s="15">
        <v>53.0</v>
      </c>
      <c r="I270" s="15">
        <v>64.0</v>
      </c>
      <c r="J270" s="15">
        <v>93.0</v>
      </c>
      <c r="K270" s="15">
        <v>97.0</v>
      </c>
      <c r="L270" s="16">
        <v>100.0</v>
      </c>
      <c r="M270" s="14">
        <f t="shared" ref="M270:S270" si="383">IF(AND(ISBLANK(F270), NOT(ISBLANK(T270))), T270, IF(OR(ISBLANK(T270), ISBLANK(F270)), "", T270-F270))</f>
        <v>54</v>
      </c>
      <c r="N270" s="14">
        <f t="shared" si="383"/>
        <v>45</v>
      </c>
      <c r="O270" s="14">
        <f t="shared" si="383"/>
        <v>72</v>
      </c>
      <c r="P270" s="14">
        <f t="shared" si="383"/>
        <v>61</v>
      </c>
      <c r="Q270" s="14">
        <f t="shared" si="383"/>
        <v>18</v>
      </c>
      <c r="R270" s="14">
        <f t="shared" si="383"/>
        <v>17</v>
      </c>
      <c r="S270" s="14">
        <f t="shared" si="383"/>
        <v>16</v>
      </c>
      <c r="T270" s="16">
        <v>88.0</v>
      </c>
      <c r="U270" s="16">
        <v>88.0</v>
      </c>
      <c r="V270" s="16">
        <v>125.0</v>
      </c>
      <c r="W270" s="15">
        <v>125.0</v>
      </c>
      <c r="X270" s="15">
        <v>111.0</v>
      </c>
      <c r="Y270" s="17">
        <v>114.0</v>
      </c>
      <c r="Z270" s="15">
        <v>116.0</v>
      </c>
      <c r="AA270" s="15">
        <v>38.63636363636363</v>
      </c>
      <c r="AB270" s="15">
        <v>48.86363636363637</v>
      </c>
      <c r="AC270" s="15">
        <v>42.4</v>
      </c>
      <c r="AD270" s="16">
        <v>51.2</v>
      </c>
      <c r="AE270" s="16">
        <v>83.78378378378379</v>
      </c>
      <c r="AF270" s="16">
        <v>85.08771929824562</v>
      </c>
      <c r="AG270" s="16">
        <v>86.20689655172413</v>
      </c>
      <c r="AH270" s="16">
        <f t="shared" si="314"/>
        <v>47.48787879</v>
      </c>
      <c r="AI270" s="18">
        <f t="shared" si="289"/>
        <v>85.02613321</v>
      </c>
      <c r="AJ270" s="14">
        <f t="shared" si="290"/>
        <v>53.33333333</v>
      </c>
      <c r="AK270" s="14">
        <f t="shared" si="291"/>
        <v>96.66666667</v>
      </c>
      <c r="AL270" s="14">
        <f t="shared" si="292"/>
        <v>59.33333333</v>
      </c>
      <c r="AM270" s="14">
        <f t="shared" si="293"/>
        <v>17</v>
      </c>
    </row>
    <row r="271" ht="14.25" customHeight="1">
      <c r="A271" s="1" t="s">
        <v>59</v>
      </c>
      <c r="B271" s="1" t="s">
        <v>430</v>
      </c>
      <c r="C271" s="1" t="s">
        <v>431</v>
      </c>
      <c r="D271" s="1" t="s">
        <v>431</v>
      </c>
      <c r="E271" s="14">
        <v>70601.0</v>
      </c>
      <c r="F271" s="15">
        <v>30.0</v>
      </c>
      <c r="G271" s="15">
        <v>29.0</v>
      </c>
      <c r="H271" s="15">
        <v>35.0</v>
      </c>
      <c r="I271" s="15">
        <v>39.0</v>
      </c>
      <c r="J271" s="15">
        <v>62.0</v>
      </c>
      <c r="K271" s="15">
        <v>64.0</v>
      </c>
      <c r="L271" s="16">
        <v>69.0</v>
      </c>
      <c r="M271" s="14">
        <f t="shared" ref="M271:S271" si="384">IF(AND(ISBLANK(F271), NOT(ISBLANK(T271))), T271, IF(OR(ISBLANK(T271), ISBLANK(F271)), "", T271-F271))</f>
        <v>33</v>
      </c>
      <c r="N271" s="14">
        <f t="shared" si="384"/>
        <v>34</v>
      </c>
      <c r="O271" s="14">
        <f t="shared" si="384"/>
        <v>62</v>
      </c>
      <c r="P271" s="14">
        <f t="shared" si="384"/>
        <v>60</v>
      </c>
      <c r="Q271" s="14">
        <f t="shared" si="384"/>
        <v>51</v>
      </c>
      <c r="R271" s="14">
        <f t="shared" si="384"/>
        <v>54</v>
      </c>
      <c r="S271" s="14">
        <f t="shared" si="384"/>
        <v>52</v>
      </c>
      <c r="T271" s="16">
        <v>63.0</v>
      </c>
      <c r="U271" s="16">
        <v>63.0</v>
      </c>
      <c r="V271" s="16">
        <v>97.0</v>
      </c>
      <c r="W271" s="15">
        <v>99.0</v>
      </c>
      <c r="X271" s="15">
        <v>113.0</v>
      </c>
      <c r="Y271" s="17">
        <v>118.0</v>
      </c>
      <c r="Z271" s="15">
        <v>121.0</v>
      </c>
      <c r="AA271" s="15">
        <v>47.61904761904761</v>
      </c>
      <c r="AB271" s="15">
        <v>46.03174603174603</v>
      </c>
      <c r="AC271" s="15">
        <v>36.08247422680412</v>
      </c>
      <c r="AD271" s="16">
        <v>39.39393939393939</v>
      </c>
      <c r="AE271" s="16">
        <v>54.86725663716814</v>
      </c>
      <c r="AF271" s="16">
        <v>54.23728813559322</v>
      </c>
      <c r="AG271" s="16">
        <v>57.02479338842975</v>
      </c>
      <c r="AH271" s="16">
        <f t="shared" si="314"/>
        <v>40.50271988</v>
      </c>
      <c r="AI271" s="18">
        <f t="shared" si="289"/>
        <v>55.37644605</v>
      </c>
      <c r="AJ271" s="14">
        <f t="shared" si="290"/>
        <v>34.33333333</v>
      </c>
      <c r="AK271" s="14">
        <f t="shared" si="291"/>
        <v>65</v>
      </c>
      <c r="AL271" s="14">
        <f t="shared" si="292"/>
        <v>52</v>
      </c>
      <c r="AM271" s="14">
        <f t="shared" si="293"/>
        <v>52.33333333</v>
      </c>
    </row>
    <row r="272" ht="14.25" customHeight="1">
      <c r="A272" s="1" t="s">
        <v>59</v>
      </c>
      <c r="B272" s="1" t="s">
        <v>430</v>
      </c>
      <c r="C272" s="1" t="s">
        <v>432</v>
      </c>
      <c r="D272" s="1" t="s">
        <v>433</v>
      </c>
      <c r="E272" s="14">
        <v>70602.0</v>
      </c>
      <c r="F272" s="15">
        <v>13.0</v>
      </c>
      <c r="G272" s="15">
        <v>19.0</v>
      </c>
      <c r="H272" s="15">
        <v>23.0</v>
      </c>
      <c r="I272" s="15">
        <v>32.0</v>
      </c>
      <c r="J272" s="15">
        <v>72.0</v>
      </c>
      <c r="K272" s="15">
        <v>72.0</v>
      </c>
      <c r="L272" s="16">
        <v>69.0</v>
      </c>
      <c r="M272" s="14">
        <f t="shared" ref="M272:S272" si="385">IF(AND(ISBLANK(F272), NOT(ISBLANK(T272))), T272, IF(OR(ISBLANK(T272), ISBLANK(F272)), "", T272-F272))</f>
        <v>22</v>
      </c>
      <c r="N272" s="14">
        <f t="shared" si="385"/>
        <v>24</v>
      </c>
      <c r="O272" s="14">
        <f t="shared" si="385"/>
        <v>39</v>
      </c>
      <c r="P272" s="14">
        <f t="shared" si="385"/>
        <v>33</v>
      </c>
      <c r="Q272" s="14">
        <f t="shared" si="385"/>
        <v>36</v>
      </c>
      <c r="R272" s="14">
        <f t="shared" si="385"/>
        <v>39</v>
      </c>
      <c r="S272" s="14">
        <f t="shared" si="385"/>
        <v>43</v>
      </c>
      <c r="T272" s="16">
        <v>35.0</v>
      </c>
      <c r="U272" s="16">
        <v>43.0</v>
      </c>
      <c r="V272" s="16">
        <v>62.0</v>
      </c>
      <c r="W272" s="15">
        <v>65.0</v>
      </c>
      <c r="X272" s="15">
        <v>108.0</v>
      </c>
      <c r="Y272" s="17">
        <v>111.0</v>
      </c>
      <c r="Z272" s="15">
        <v>112.0</v>
      </c>
      <c r="AA272" s="15">
        <v>37.142857142857146</v>
      </c>
      <c r="AB272" s="15">
        <v>44.18604651162791</v>
      </c>
      <c r="AC272" s="15">
        <v>37.096774193548384</v>
      </c>
      <c r="AD272" s="16">
        <v>49.23076923076923</v>
      </c>
      <c r="AE272" s="16">
        <v>66.66666666666666</v>
      </c>
      <c r="AF272" s="16">
        <v>64.86486486486487</v>
      </c>
      <c r="AG272" s="16">
        <v>61.60714285714286</v>
      </c>
      <c r="AH272" s="16">
        <f t="shared" si="314"/>
        <v>43.50452998</v>
      </c>
      <c r="AI272" s="18">
        <f t="shared" si="289"/>
        <v>64.37955813</v>
      </c>
      <c r="AJ272" s="14">
        <f t="shared" si="290"/>
        <v>24.66666667</v>
      </c>
      <c r="AK272" s="14">
        <f t="shared" si="291"/>
        <v>71</v>
      </c>
      <c r="AL272" s="14">
        <f t="shared" si="292"/>
        <v>32</v>
      </c>
      <c r="AM272" s="14">
        <f t="shared" si="293"/>
        <v>39.33333333</v>
      </c>
    </row>
    <row r="273" ht="14.25" customHeight="1">
      <c r="A273" s="1" t="s">
        <v>59</v>
      </c>
      <c r="B273" s="1" t="s">
        <v>430</v>
      </c>
      <c r="C273" s="1" t="s">
        <v>434</v>
      </c>
      <c r="D273" s="1" t="s">
        <v>434</v>
      </c>
      <c r="E273" s="14">
        <v>70603.0</v>
      </c>
      <c r="F273" s="15">
        <v>10.0</v>
      </c>
      <c r="G273" s="15">
        <v>11.0</v>
      </c>
      <c r="H273" s="15">
        <v>11.0</v>
      </c>
      <c r="I273" s="15">
        <v>12.0</v>
      </c>
      <c r="J273" s="15">
        <v>19.0</v>
      </c>
      <c r="K273" s="15">
        <v>17.0</v>
      </c>
      <c r="L273" s="16">
        <v>23.0</v>
      </c>
      <c r="M273" s="14">
        <f t="shared" ref="M273:S273" si="386">IF(AND(ISBLANK(F273), NOT(ISBLANK(T273))), T273, IF(OR(ISBLANK(T273), ISBLANK(F273)), "", T273-F273))</f>
        <v>3</v>
      </c>
      <c r="N273" s="14">
        <f t="shared" si="386"/>
        <v>4</v>
      </c>
      <c r="O273" s="14">
        <f t="shared" si="386"/>
        <v>12</v>
      </c>
      <c r="P273" s="14">
        <f t="shared" si="386"/>
        <v>11</v>
      </c>
      <c r="Q273" s="14">
        <f t="shared" si="386"/>
        <v>12</v>
      </c>
      <c r="R273" s="14">
        <f t="shared" si="386"/>
        <v>15</v>
      </c>
      <c r="S273" s="14">
        <f t="shared" si="386"/>
        <v>13</v>
      </c>
      <c r="T273" s="16">
        <v>13.0</v>
      </c>
      <c r="U273" s="16">
        <v>15.0</v>
      </c>
      <c r="V273" s="16">
        <v>23.0</v>
      </c>
      <c r="W273" s="15">
        <v>23.0</v>
      </c>
      <c r="X273" s="15">
        <v>31.0</v>
      </c>
      <c r="Y273" s="17">
        <v>32.0</v>
      </c>
      <c r="Z273" s="15">
        <v>36.0</v>
      </c>
      <c r="AA273" s="15">
        <v>76.92307692307693</v>
      </c>
      <c r="AB273" s="15">
        <v>73.33333333333333</v>
      </c>
      <c r="AC273" s="15">
        <v>47.82608695652174</v>
      </c>
      <c r="AD273" s="16">
        <v>52.17391304347826</v>
      </c>
      <c r="AE273" s="16">
        <v>61.29032258064516</v>
      </c>
      <c r="AF273" s="16">
        <v>53.125</v>
      </c>
      <c r="AG273" s="16">
        <v>63.888888888888886</v>
      </c>
      <c r="AH273" s="16">
        <f t="shared" si="314"/>
        <v>57.77777778</v>
      </c>
      <c r="AI273" s="18">
        <f t="shared" si="289"/>
        <v>59.43473716</v>
      </c>
      <c r="AJ273" s="14">
        <f t="shared" si="290"/>
        <v>11.33333333</v>
      </c>
      <c r="AK273" s="14">
        <f t="shared" si="291"/>
        <v>19.66666667</v>
      </c>
      <c r="AL273" s="14">
        <f t="shared" si="292"/>
        <v>9</v>
      </c>
      <c r="AM273" s="14">
        <f t="shared" si="293"/>
        <v>13.33333333</v>
      </c>
    </row>
    <row r="274" ht="14.25" customHeight="1">
      <c r="A274" s="1" t="s">
        <v>59</v>
      </c>
      <c r="B274" s="1" t="s">
        <v>435</v>
      </c>
      <c r="C274" s="1" t="s">
        <v>436</v>
      </c>
      <c r="D274" s="1" t="s">
        <v>436</v>
      </c>
      <c r="E274" s="14">
        <v>70701.0</v>
      </c>
      <c r="F274" s="15">
        <v>11.0</v>
      </c>
      <c r="G274" s="15">
        <v>18.0</v>
      </c>
      <c r="H274" s="15">
        <v>20.0</v>
      </c>
      <c r="I274" s="15">
        <v>18.0</v>
      </c>
      <c r="J274" s="15">
        <v>52.0</v>
      </c>
      <c r="K274" s="15">
        <v>49.0</v>
      </c>
      <c r="L274" s="16">
        <v>50.0</v>
      </c>
      <c r="M274" s="14">
        <f t="shared" ref="M274:S274" si="387">IF(AND(ISBLANK(F274), NOT(ISBLANK(T274))), T274, IF(OR(ISBLANK(T274), ISBLANK(F274)), "", T274-F274))</f>
        <v>12</v>
      </c>
      <c r="N274" s="14">
        <f t="shared" si="387"/>
        <v>11</v>
      </c>
      <c r="O274" s="14">
        <f t="shared" si="387"/>
        <v>22</v>
      </c>
      <c r="P274" s="14">
        <f t="shared" si="387"/>
        <v>26</v>
      </c>
      <c r="Q274" s="14">
        <f t="shared" si="387"/>
        <v>16</v>
      </c>
      <c r="R274" s="14">
        <f t="shared" si="387"/>
        <v>17</v>
      </c>
      <c r="S274" s="14">
        <f t="shared" si="387"/>
        <v>17</v>
      </c>
      <c r="T274" s="16">
        <v>23.0</v>
      </c>
      <c r="U274" s="16">
        <v>29.0</v>
      </c>
      <c r="V274" s="16">
        <v>42.0</v>
      </c>
      <c r="W274" s="15">
        <v>44.0</v>
      </c>
      <c r="X274" s="15">
        <v>68.0</v>
      </c>
      <c r="Y274" s="17">
        <v>66.0</v>
      </c>
      <c r="Z274" s="15">
        <v>67.0</v>
      </c>
      <c r="AA274" s="15">
        <v>47.82608695652174</v>
      </c>
      <c r="AB274" s="15">
        <v>62.06896551724138</v>
      </c>
      <c r="AC274" s="15">
        <v>47.61904761904761</v>
      </c>
      <c r="AD274" s="16">
        <v>40.909090909090914</v>
      </c>
      <c r="AE274" s="16">
        <v>76.47058823529412</v>
      </c>
      <c r="AF274" s="16">
        <v>74.24242424242425</v>
      </c>
      <c r="AG274" s="16">
        <v>74.6268656716418</v>
      </c>
      <c r="AH274" s="16">
        <f t="shared" si="314"/>
        <v>50.19903468</v>
      </c>
      <c r="AI274" s="18">
        <f t="shared" si="289"/>
        <v>75.11329272</v>
      </c>
      <c r="AJ274" s="14">
        <f t="shared" si="290"/>
        <v>18.66666667</v>
      </c>
      <c r="AK274" s="14">
        <f t="shared" si="291"/>
        <v>50.33333333</v>
      </c>
      <c r="AL274" s="14">
        <f t="shared" si="292"/>
        <v>19.66666667</v>
      </c>
      <c r="AM274" s="14">
        <f t="shared" si="293"/>
        <v>16.66666667</v>
      </c>
    </row>
    <row r="275" ht="14.25" customHeight="1">
      <c r="A275" s="1" t="s">
        <v>59</v>
      </c>
      <c r="B275" s="1" t="s">
        <v>435</v>
      </c>
      <c r="C275" s="1" t="s">
        <v>437</v>
      </c>
      <c r="D275" s="1" t="s">
        <v>437</v>
      </c>
      <c r="E275" s="14">
        <v>70702.0</v>
      </c>
      <c r="F275" s="15">
        <v>31.0</v>
      </c>
      <c r="G275" s="15">
        <v>32.0</v>
      </c>
      <c r="H275" s="15">
        <v>43.0</v>
      </c>
      <c r="I275" s="15">
        <v>48.0</v>
      </c>
      <c r="J275" s="15">
        <v>138.0</v>
      </c>
      <c r="K275" s="15">
        <v>149.0</v>
      </c>
      <c r="L275" s="16">
        <v>152.0</v>
      </c>
      <c r="M275" s="14">
        <f t="shared" ref="M275:S275" si="388">IF(AND(ISBLANK(F275), NOT(ISBLANK(T275))), T275, IF(OR(ISBLANK(T275), ISBLANK(F275)), "", T275-F275))</f>
        <v>47</v>
      </c>
      <c r="N275" s="14">
        <f t="shared" si="388"/>
        <v>57</v>
      </c>
      <c r="O275" s="14">
        <f t="shared" si="388"/>
        <v>94</v>
      </c>
      <c r="P275" s="14">
        <f t="shared" si="388"/>
        <v>89</v>
      </c>
      <c r="Q275" s="14">
        <f t="shared" si="388"/>
        <v>37</v>
      </c>
      <c r="R275" s="14">
        <f t="shared" si="388"/>
        <v>36</v>
      </c>
      <c r="S275" s="14">
        <f t="shared" si="388"/>
        <v>41</v>
      </c>
      <c r="T275" s="16">
        <v>78.0</v>
      </c>
      <c r="U275" s="16">
        <v>89.0</v>
      </c>
      <c r="V275" s="16">
        <v>137.0</v>
      </c>
      <c r="W275" s="15">
        <v>137.0</v>
      </c>
      <c r="X275" s="15">
        <v>175.0</v>
      </c>
      <c r="Y275" s="17">
        <v>185.0</v>
      </c>
      <c r="Z275" s="15">
        <v>193.0</v>
      </c>
      <c r="AA275" s="15">
        <v>39.743589743589745</v>
      </c>
      <c r="AB275" s="15">
        <v>35.95505617977528</v>
      </c>
      <c r="AC275" s="15">
        <v>31.386861313868614</v>
      </c>
      <c r="AD275" s="16">
        <v>35.03649635036496</v>
      </c>
      <c r="AE275" s="16">
        <v>78.85714285714286</v>
      </c>
      <c r="AF275" s="16">
        <v>80.54054054054053</v>
      </c>
      <c r="AG275" s="16">
        <v>78.75647668393782</v>
      </c>
      <c r="AH275" s="16">
        <f t="shared" si="314"/>
        <v>34.12613795</v>
      </c>
      <c r="AI275" s="18">
        <f t="shared" si="289"/>
        <v>79.38472003</v>
      </c>
      <c r="AJ275" s="14">
        <f t="shared" si="290"/>
        <v>41</v>
      </c>
      <c r="AK275" s="14">
        <f t="shared" si="291"/>
        <v>146.3333333</v>
      </c>
      <c r="AL275" s="14">
        <f t="shared" si="292"/>
        <v>80</v>
      </c>
      <c r="AM275" s="14">
        <f t="shared" si="293"/>
        <v>38</v>
      </c>
    </row>
    <row r="276" ht="14.25" customHeight="1">
      <c r="A276" s="1" t="s">
        <v>59</v>
      </c>
      <c r="B276" s="1" t="s">
        <v>435</v>
      </c>
      <c r="C276" s="1" t="s">
        <v>438</v>
      </c>
      <c r="D276" s="1" t="s">
        <v>438</v>
      </c>
      <c r="E276" s="14">
        <v>70703.0</v>
      </c>
      <c r="F276" s="15">
        <v>20.0</v>
      </c>
      <c r="G276" s="15">
        <v>26.0</v>
      </c>
      <c r="H276" s="15">
        <v>38.0</v>
      </c>
      <c r="I276" s="15">
        <v>41.0</v>
      </c>
      <c r="J276" s="15">
        <v>86.0</v>
      </c>
      <c r="K276" s="15">
        <v>87.0</v>
      </c>
      <c r="L276" s="16">
        <v>92.0</v>
      </c>
      <c r="M276" s="14">
        <f t="shared" ref="M276:S276" si="389">IF(AND(ISBLANK(F276), NOT(ISBLANK(T276))), T276, IF(OR(ISBLANK(T276), ISBLANK(F276)), "", T276-F276))</f>
        <v>14</v>
      </c>
      <c r="N276" s="14">
        <f t="shared" si="389"/>
        <v>14</v>
      </c>
      <c r="O276" s="14">
        <f t="shared" si="389"/>
        <v>34</v>
      </c>
      <c r="P276" s="14">
        <f t="shared" si="389"/>
        <v>42</v>
      </c>
      <c r="Q276" s="14">
        <f t="shared" si="389"/>
        <v>33</v>
      </c>
      <c r="R276" s="14">
        <f t="shared" si="389"/>
        <v>37</v>
      </c>
      <c r="S276" s="14">
        <f t="shared" si="389"/>
        <v>38</v>
      </c>
      <c r="T276" s="16">
        <v>34.0</v>
      </c>
      <c r="U276" s="16">
        <v>40.0</v>
      </c>
      <c r="V276" s="16">
        <v>72.0</v>
      </c>
      <c r="W276" s="15">
        <v>83.0</v>
      </c>
      <c r="X276" s="15">
        <v>119.0</v>
      </c>
      <c r="Y276" s="17">
        <v>124.0</v>
      </c>
      <c r="Z276" s="15">
        <v>130.0</v>
      </c>
      <c r="AA276" s="15">
        <v>58.82352941176471</v>
      </c>
      <c r="AB276" s="15">
        <v>65.0</v>
      </c>
      <c r="AC276" s="15">
        <v>52.77777777777778</v>
      </c>
      <c r="AD276" s="16">
        <v>49.39759036144578</v>
      </c>
      <c r="AE276" s="16">
        <v>72.26890756302521</v>
      </c>
      <c r="AF276" s="16">
        <v>70.16129032258065</v>
      </c>
      <c r="AG276" s="16">
        <v>70.76923076923077</v>
      </c>
      <c r="AH276" s="16">
        <f t="shared" si="314"/>
        <v>55.72512271</v>
      </c>
      <c r="AI276" s="18">
        <f t="shared" si="289"/>
        <v>71.06647622</v>
      </c>
      <c r="AJ276" s="14">
        <f t="shared" si="290"/>
        <v>35</v>
      </c>
      <c r="AK276" s="14">
        <f t="shared" si="291"/>
        <v>88.33333333</v>
      </c>
      <c r="AL276" s="14">
        <f t="shared" si="292"/>
        <v>30</v>
      </c>
      <c r="AM276" s="14">
        <f t="shared" si="293"/>
        <v>36</v>
      </c>
    </row>
    <row r="277" ht="14.25" customHeight="1">
      <c r="A277" s="1" t="s">
        <v>59</v>
      </c>
      <c r="B277" s="1" t="s">
        <v>435</v>
      </c>
      <c r="C277" s="1" t="s">
        <v>439</v>
      </c>
      <c r="D277" s="1" t="s">
        <v>439</v>
      </c>
      <c r="E277" s="14">
        <v>70704.0</v>
      </c>
      <c r="F277" s="15">
        <v>8.0</v>
      </c>
      <c r="G277" s="15">
        <v>12.0</v>
      </c>
      <c r="H277" s="15">
        <v>15.0</v>
      </c>
      <c r="I277" s="15">
        <v>18.0</v>
      </c>
      <c r="J277" s="15">
        <v>26.0</v>
      </c>
      <c r="K277" s="15">
        <v>29.0</v>
      </c>
      <c r="L277" s="16">
        <v>29.0</v>
      </c>
      <c r="M277" s="14">
        <f t="shared" ref="M277:S277" si="390">IF(AND(ISBLANK(F277), NOT(ISBLANK(T277))), T277, IF(OR(ISBLANK(T277), ISBLANK(F277)), "", T277-F277))</f>
        <v>16</v>
      </c>
      <c r="N277" s="14">
        <f t="shared" si="390"/>
        <v>15</v>
      </c>
      <c r="O277" s="14">
        <f t="shared" si="390"/>
        <v>25</v>
      </c>
      <c r="P277" s="14">
        <f t="shared" si="390"/>
        <v>24</v>
      </c>
      <c r="Q277" s="14">
        <f t="shared" si="390"/>
        <v>21</v>
      </c>
      <c r="R277" s="14">
        <f t="shared" si="390"/>
        <v>18</v>
      </c>
      <c r="S277" s="14">
        <f t="shared" si="390"/>
        <v>19</v>
      </c>
      <c r="T277" s="16">
        <v>24.0</v>
      </c>
      <c r="U277" s="16">
        <v>27.0</v>
      </c>
      <c r="V277" s="16">
        <v>40.0</v>
      </c>
      <c r="W277" s="15">
        <v>42.0</v>
      </c>
      <c r="X277" s="15">
        <v>47.0</v>
      </c>
      <c r="Y277" s="17">
        <v>47.0</v>
      </c>
      <c r="Z277" s="15">
        <v>48.0</v>
      </c>
      <c r="AA277" s="15">
        <v>33.33333333333333</v>
      </c>
      <c r="AB277" s="15">
        <v>44.44444444444444</v>
      </c>
      <c r="AC277" s="15">
        <v>37.5</v>
      </c>
      <c r="AD277" s="16">
        <v>42.857142857142854</v>
      </c>
      <c r="AE277" s="16">
        <v>55.319148936170215</v>
      </c>
      <c r="AF277" s="16">
        <v>61.702127659574465</v>
      </c>
      <c r="AG277" s="16">
        <v>60.416666666666664</v>
      </c>
      <c r="AH277" s="16">
        <f t="shared" si="314"/>
        <v>41.6005291</v>
      </c>
      <c r="AI277" s="18">
        <f t="shared" si="289"/>
        <v>59.14598109</v>
      </c>
      <c r="AJ277" s="14">
        <f t="shared" si="290"/>
        <v>15</v>
      </c>
      <c r="AK277" s="14">
        <f t="shared" si="291"/>
        <v>28</v>
      </c>
      <c r="AL277" s="14">
        <f t="shared" si="292"/>
        <v>21.33333333</v>
      </c>
      <c r="AM277" s="14">
        <f t="shared" si="293"/>
        <v>19.33333333</v>
      </c>
    </row>
    <row r="278" ht="14.25" customHeight="1">
      <c r="A278" s="1" t="s">
        <v>59</v>
      </c>
      <c r="B278" s="1" t="s">
        <v>435</v>
      </c>
      <c r="C278" s="1" t="s">
        <v>440</v>
      </c>
      <c r="D278" s="1" t="s">
        <v>440</v>
      </c>
      <c r="E278" s="14">
        <v>70705.0</v>
      </c>
      <c r="F278" s="15">
        <v>14.0</v>
      </c>
      <c r="G278" s="15">
        <v>20.0</v>
      </c>
      <c r="H278" s="15">
        <v>27.0</v>
      </c>
      <c r="I278" s="15">
        <v>28.0</v>
      </c>
      <c r="J278" s="15">
        <v>74.0</v>
      </c>
      <c r="K278" s="15">
        <v>79.0</v>
      </c>
      <c r="L278" s="16">
        <v>79.0</v>
      </c>
      <c r="M278" s="14">
        <f t="shared" ref="M278:S278" si="391">IF(AND(ISBLANK(F278), NOT(ISBLANK(T278))), T278, IF(OR(ISBLANK(T278), ISBLANK(F278)), "", T278-F278))</f>
        <v>31</v>
      </c>
      <c r="N278" s="14">
        <f t="shared" si="391"/>
        <v>27</v>
      </c>
      <c r="O278" s="14">
        <f t="shared" si="391"/>
        <v>51</v>
      </c>
      <c r="P278" s="14">
        <f t="shared" si="391"/>
        <v>54</v>
      </c>
      <c r="Q278" s="14">
        <f t="shared" si="391"/>
        <v>29</v>
      </c>
      <c r="R278" s="14">
        <f t="shared" si="391"/>
        <v>28</v>
      </c>
      <c r="S278" s="14">
        <f t="shared" si="391"/>
        <v>29</v>
      </c>
      <c r="T278" s="16">
        <v>45.0</v>
      </c>
      <c r="U278" s="16">
        <v>47.0</v>
      </c>
      <c r="V278" s="16">
        <v>78.0</v>
      </c>
      <c r="W278" s="15">
        <v>82.0</v>
      </c>
      <c r="X278" s="15">
        <v>103.0</v>
      </c>
      <c r="Y278" s="17">
        <v>107.0</v>
      </c>
      <c r="Z278" s="15">
        <v>108.0</v>
      </c>
      <c r="AA278" s="15">
        <v>31.11111111111111</v>
      </c>
      <c r="AB278" s="15">
        <v>42.5531914893617</v>
      </c>
      <c r="AC278" s="15">
        <v>34.61538461538461</v>
      </c>
      <c r="AD278" s="16">
        <v>34.146341463414636</v>
      </c>
      <c r="AE278" s="16">
        <v>71.84466019417476</v>
      </c>
      <c r="AF278" s="16">
        <v>73.83177570093457</v>
      </c>
      <c r="AG278" s="16">
        <v>73.14814814814815</v>
      </c>
      <c r="AH278" s="16">
        <f t="shared" si="314"/>
        <v>37.10497252</v>
      </c>
      <c r="AI278" s="18">
        <f t="shared" si="289"/>
        <v>72.94152801</v>
      </c>
      <c r="AJ278" s="14">
        <f t="shared" si="290"/>
        <v>25</v>
      </c>
      <c r="AK278" s="14">
        <f t="shared" si="291"/>
        <v>77.33333333</v>
      </c>
      <c r="AL278" s="14">
        <f t="shared" si="292"/>
        <v>44</v>
      </c>
      <c r="AM278" s="14">
        <f t="shared" si="293"/>
        <v>28.66666667</v>
      </c>
    </row>
    <row r="279" ht="14.25" customHeight="1">
      <c r="A279" s="1" t="s">
        <v>59</v>
      </c>
      <c r="B279" s="1" t="s">
        <v>435</v>
      </c>
      <c r="C279" s="1" t="s">
        <v>441</v>
      </c>
      <c r="D279" s="1" t="s">
        <v>441</v>
      </c>
      <c r="E279" s="14">
        <v>70706.0</v>
      </c>
      <c r="F279" s="15">
        <v>90.0</v>
      </c>
      <c r="G279" s="15">
        <v>97.0</v>
      </c>
      <c r="H279" s="15">
        <v>103.0</v>
      </c>
      <c r="I279" s="15">
        <v>127.0</v>
      </c>
      <c r="J279" s="15">
        <v>164.0</v>
      </c>
      <c r="K279" s="15">
        <v>163.0</v>
      </c>
      <c r="L279" s="16">
        <v>163.0</v>
      </c>
      <c r="M279" s="14">
        <f t="shared" ref="M279:S279" si="392">IF(AND(ISBLANK(F279), NOT(ISBLANK(T279))), T279, IF(OR(ISBLANK(T279), ISBLANK(F279)), "", T279-F279))</f>
        <v>58</v>
      </c>
      <c r="N279" s="14">
        <f t="shared" si="392"/>
        <v>53</v>
      </c>
      <c r="O279" s="14">
        <f t="shared" si="392"/>
        <v>87</v>
      </c>
      <c r="P279" s="14">
        <f t="shared" si="392"/>
        <v>96</v>
      </c>
      <c r="Q279" s="14">
        <f t="shared" si="392"/>
        <v>65</v>
      </c>
      <c r="R279" s="14">
        <f t="shared" si="392"/>
        <v>68</v>
      </c>
      <c r="S279" s="14">
        <f t="shared" si="392"/>
        <v>69</v>
      </c>
      <c r="T279" s="16">
        <v>148.0</v>
      </c>
      <c r="U279" s="16">
        <v>150.0</v>
      </c>
      <c r="V279" s="16">
        <v>190.0</v>
      </c>
      <c r="W279" s="15">
        <v>223.0</v>
      </c>
      <c r="X279" s="15">
        <v>229.0</v>
      </c>
      <c r="Y279" s="17">
        <v>231.0</v>
      </c>
      <c r="Z279" s="15">
        <v>232.0</v>
      </c>
      <c r="AA279" s="15">
        <v>60.810810810810814</v>
      </c>
      <c r="AB279" s="15">
        <v>64.66666666666666</v>
      </c>
      <c r="AC279" s="15">
        <v>54.21052631578947</v>
      </c>
      <c r="AD279" s="16">
        <v>56.95067264573991</v>
      </c>
      <c r="AE279" s="16">
        <v>71.61572052401746</v>
      </c>
      <c r="AF279" s="16">
        <v>70.56277056277057</v>
      </c>
      <c r="AG279" s="16">
        <v>70.25862068965517</v>
      </c>
      <c r="AH279" s="16">
        <f t="shared" si="314"/>
        <v>58.60928854</v>
      </c>
      <c r="AI279" s="18">
        <f t="shared" si="289"/>
        <v>70.81237059</v>
      </c>
      <c r="AJ279" s="14">
        <f t="shared" si="290"/>
        <v>109</v>
      </c>
      <c r="AK279" s="14">
        <f t="shared" si="291"/>
        <v>163.3333333</v>
      </c>
      <c r="AL279" s="14">
        <f t="shared" si="292"/>
        <v>78.66666667</v>
      </c>
      <c r="AM279" s="14">
        <f t="shared" si="293"/>
        <v>67.33333333</v>
      </c>
    </row>
    <row r="280" ht="14.25" customHeight="1">
      <c r="A280" s="1" t="s">
        <v>59</v>
      </c>
      <c r="B280" s="1" t="s">
        <v>435</v>
      </c>
      <c r="C280" s="1" t="s">
        <v>442</v>
      </c>
      <c r="D280" s="1" t="s">
        <v>442</v>
      </c>
      <c r="E280" s="14">
        <v>70707.0</v>
      </c>
      <c r="F280" s="15">
        <v>14.0</v>
      </c>
      <c r="G280" s="15">
        <v>14.0</v>
      </c>
      <c r="H280" s="15">
        <v>14.0</v>
      </c>
      <c r="I280" s="15">
        <v>13.0</v>
      </c>
      <c r="J280" s="15">
        <v>20.0</v>
      </c>
      <c r="K280" s="15">
        <v>19.0</v>
      </c>
      <c r="L280" s="16">
        <v>20.0</v>
      </c>
      <c r="M280" s="14">
        <f t="shared" ref="M280:S280" si="393">IF(AND(ISBLANK(F280), NOT(ISBLANK(T280))), T280, IF(OR(ISBLANK(T280), ISBLANK(F280)), "", T280-F280))</f>
        <v>8</v>
      </c>
      <c r="N280" s="14">
        <f t="shared" si="393"/>
        <v>8</v>
      </c>
      <c r="O280" s="14">
        <f t="shared" si="393"/>
        <v>11</v>
      </c>
      <c r="P280" s="14">
        <f t="shared" si="393"/>
        <v>11</v>
      </c>
      <c r="Q280" s="14">
        <f t="shared" si="393"/>
        <v>5</v>
      </c>
      <c r="R280" s="14">
        <f t="shared" si="393"/>
        <v>5</v>
      </c>
      <c r="S280" s="14">
        <f t="shared" si="393"/>
        <v>6</v>
      </c>
      <c r="T280" s="16">
        <v>22.0</v>
      </c>
      <c r="U280" s="16">
        <v>22.0</v>
      </c>
      <c r="V280" s="16">
        <v>25.0</v>
      </c>
      <c r="W280" s="15">
        <v>24.0</v>
      </c>
      <c r="X280" s="15">
        <v>25.0</v>
      </c>
      <c r="Y280" s="17">
        <v>24.0</v>
      </c>
      <c r="Z280" s="15">
        <v>26.0</v>
      </c>
      <c r="AA280" s="15">
        <v>63.63636363636363</v>
      </c>
      <c r="AB280" s="15">
        <v>63.63636363636363</v>
      </c>
      <c r="AC280" s="15">
        <v>56.00000000000001</v>
      </c>
      <c r="AD280" s="16">
        <v>54.166666666666664</v>
      </c>
      <c r="AE280" s="16">
        <v>80.0</v>
      </c>
      <c r="AF280" s="16">
        <v>79.16666666666666</v>
      </c>
      <c r="AG280" s="16">
        <v>76.92307692307693</v>
      </c>
      <c r="AH280" s="16">
        <f t="shared" si="314"/>
        <v>57.93434343</v>
      </c>
      <c r="AI280" s="18">
        <f t="shared" si="289"/>
        <v>78.6965812</v>
      </c>
      <c r="AJ280" s="14">
        <f t="shared" si="290"/>
        <v>13.66666667</v>
      </c>
      <c r="AK280" s="14">
        <f t="shared" si="291"/>
        <v>19.66666667</v>
      </c>
      <c r="AL280" s="14">
        <f t="shared" si="292"/>
        <v>10</v>
      </c>
      <c r="AM280" s="14">
        <f t="shared" si="293"/>
        <v>5.333333333</v>
      </c>
    </row>
    <row r="281" ht="14.25" customHeight="1">
      <c r="A281" s="1" t="s">
        <v>59</v>
      </c>
      <c r="B281" s="1" t="s">
        <v>443</v>
      </c>
      <c r="C281" s="1" t="s">
        <v>443</v>
      </c>
      <c r="D281" s="1" t="s">
        <v>443</v>
      </c>
      <c r="E281" s="14">
        <v>70801.0</v>
      </c>
      <c r="F281" s="15">
        <v>47.0</v>
      </c>
      <c r="G281" s="15">
        <v>57.0</v>
      </c>
      <c r="H281" s="15">
        <v>66.0</v>
      </c>
      <c r="I281" s="15">
        <v>67.0</v>
      </c>
      <c r="J281" s="15">
        <v>102.0</v>
      </c>
      <c r="K281" s="15">
        <v>105.0</v>
      </c>
      <c r="L281" s="16">
        <v>107.0</v>
      </c>
      <c r="M281" s="14">
        <f t="shared" ref="M281:S281" si="394">IF(AND(ISBLANK(F281), NOT(ISBLANK(T281))), T281, IF(OR(ISBLANK(T281), ISBLANK(F281)), "", T281-F281))</f>
        <v>27</v>
      </c>
      <c r="N281" s="14">
        <f t="shared" si="394"/>
        <v>22</v>
      </c>
      <c r="O281" s="14">
        <f t="shared" si="394"/>
        <v>57</v>
      </c>
      <c r="P281" s="14">
        <f t="shared" si="394"/>
        <v>46</v>
      </c>
      <c r="Q281" s="14">
        <f t="shared" si="394"/>
        <v>30</v>
      </c>
      <c r="R281" s="14">
        <f t="shared" si="394"/>
        <v>31</v>
      </c>
      <c r="S281" s="14">
        <f t="shared" si="394"/>
        <v>28</v>
      </c>
      <c r="T281" s="16">
        <v>74.0</v>
      </c>
      <c r="U281" s="16">
        <v>79.0</v>
      </c>
      <c r="V281" s="16">
        <v>123.0</v>
      </c>
      <c r="W281" s="15">
        <v>113.0</v>
      </c>
      <c r="X281" s="15">
        <v>132.0</v>
      </c>
      <c r="Y281" s="17">
        <v>136.0</v>
      </c>
      <c r="Z281" s="15">
        <v>135.0</v>
      </c>
      <c r="AA281" s="15">
        <v>63.51351351351351</v>
      </c>
      <c r="AB281" s="15">
        <v>72.15189873417721</v>
      </c>
      <c r="AC281" s="15">
        <v>53.65853658536586</v>
      </c>
      <c r="AD281" s="16">
        <v>59.29203539823009</v>
      </c>
      <c r="AE281" s="16">
        <v>77.27272727272727</v>
      </c>
      <c r="AF281" s="16">
        <v>77.20588235294117</v>
      </c>
      <c r="AG281" s="16">
        <v>79.25925925925927</v>
      </c>
      <c r="AH281" s="16">
        <f t="shared" si="314"/>
        <v>61.70082357</v>
      </c>
      <c r="AI281" s="18">
        <f t="shared" si="289"/>
        <v>77.91262296</v>
      </c>
      <c r="AJ281" s="14">
        <f t="shared" si="290"/>
        <v>63.33333333</v>
      </c>
      <c r="AK281" s="14">
        <f t="shared" si="291"/>
        <v>104.6666667</v>
      </c>
      <c r="AL281" s="14">
        <f t="shared" si="292"/>
        <v>41.66666667</v>
      </c>
      <c r="AM281" s="14">
        <f t="shared" si="293"/>
        <v>29.66666667</v>
      </c>
    </row>
    <row r="282" ht="14.25" customHeight="1">
      <c r="A282" s="1" t="s">
        <v>59</v>
      </c>
      <c r="B282" s="1" t="s">
        <v>443</v>
      </c>
      <c r="C282" s="1" t="s">
        <v>444</v>
      </c>
      <c r="D282" s="1" t="s">
        <v>444</v>
      </c>
      <c r="E282" s="14">
        <v>70802.0</v>
      </c>
      <c r="F282" s="15">
        <v>1.0</v>
      </c>
      <c r="G282" s="15">
        <v>2.0</v>
      </c>
      <c r="H282" s="15">
        <v>3.0</v>
      </c>
      <c r="I282" s="15">
        <v>4.0</v>
      </c>
      <c r="J282" s="15">
        <v>8.0</v>
      </c>
      <c r="K282" s="15">
        <v>7.0</v>
      </c>
      <c r="L282" s="16">
        <v>7.0</v>
      </c>
      <c r="M282" s="14">
        <f t="shared" ref="M282:S282" si="395">IF(AND(ISBLANK(F282), NOT(ISBLANK(T282))), T282, IF(OR(ISBLANK(T282), ISBLANK(F282)), "", T282-F282))</f>
        <v>10</v>
      </c>
      <c r="N282" s="14">
        <f t="shared" si="395"/>
        <v>9</v>
      </c>
      <c r="O282" s="14">
        <f t="shared" si="395"/>
        <v>12</v>
      </c>
      <c r="P282" s="14">
        <f t="shared" si="395"/>
        <v>11</v>
      </c>
      <c r="Q282" s="14">
        <f t="shared" si="395"/>
        <v>7</v>
      </c>
      <c r="R282" s="14">
        <f t="shared" si="395"/>
        <v>6</v>
      </c>
      <c r="S282" s="14">
        <f t="shared" si="395"/>
        <v>6</v>
      </c>
      <c r="T282" s="16">
        <v>11.0</v>
      </c>
      <c r="U282" s="16">
        <v>11.0</v>
      </c>
      <c r="V282" s="16">
        <v>15.0</v>
      </c>
      <c r="W282" s="15">
        <v>15.0</v>
      </c>
      <c r="X282" s="15">
        <v>15.0</v>
      </c>
      <c r="Y282" s="17">
        <v>13.0</v>
      </c>
      <c r="Z282" s="15">
        <v>13.0</v>
      </c>
      <c r="AA282" s="15">
        <v>9.090909090909092</v>
      </c>
      <c r="AB282" s="15">
        <v>18.181818181818183</v>
      </c>
      <c r="AC282" s="15">
        <v>20.0</v>
      </c>
      <c r="AD282" s="16">
        <v>26.666666666666668</v>
      </c>
      <c r="AE282" s="16">
        <v>53.333333333333336</v>
      </c>
      <c r="AF282" s="16">
        <v>53.84615384615385</v>
      </c>
      <c r="AG282" s="16">
        <v>53.84615384615385</v>
      </c>
      <c r="AH282" s="16">
        <f t="shared" si="314"/>
        <v>21.61616162</v>
      </c>
      <c r="AI282" s="18">
        <f t="shared" si="289"/>
        <v>53.67521368</v>
      </c>
      <c r="AJ282" s="14">
        <f t="shared" si="290"/>
        <v>3</v>
      </c>
      <c r="AK282" s="14">
        <f t="shared" si="291"/>
        <v>7.333333333</v>
      </c>
      <c r="AL282" s="14">
        <f t="shared" si="292"/>
        <v>10.66666667</v>
      </c>
      <c r="AM282" s="14">
        <f t="shared" si="293"/>
        <v>6.333333333</v>
      </c>
    </row>
    <row r="283" ht="14.25" customHeight="1">
      <c r="A283" s="1" t="s">
        <v>59</v>
      </c>
      <c r="B283" s="1" t="s">
        <v>443</v>
      </c>
      <c r="C283" s="1" t="s">
        <v>445</v>
      </c>
      <c r="D283" s="1" t="s">
        <v>446</v>
      </c>
      <c r="E283" s="14">
        <v>70803.0</v>
      </c>
      <c r="F283" s="15">
        <v>4.0</v>
      </c>
      <c r="G283" s="15">
        <v>6.0</v>
      </c>
      <c r="H283" s="15">
        <v>6.0</v>
      </c>
      <c r="I283" s="15">
        <v>11.0</v>
      </c>
      <c r="J283" s="15">
        <v>19.0</v>
      </c>
      <c r="K283" s="15">
        <v>21.0</v>
      </c>
      <c r="L283" s="16">
        <v>22.0</v>
      </c>
      <c r="M283" s="14">
        <f t="shared" ref="M283:S283" si="396">IF(AND(ISBLANK(F283), NOT(ISBLANK(T283))), T283, IF(OR(ISBLANK(T283), ISBLANK(F283)), "", T283-F283))</f>
        <v>18</v>
      </c>
      <c r="N283" s="14">
        <f t="shared" si="396"/>
        <v>20</v>
      </c>
      <c r="O283" s="14">
        <f t="shared" si="396"/>
        <v>29</v>
      </c>
      <c r="P283" s="14">
        <f t="shared" si="396"/>
        <v>24</v>
      </c>
      <c r="Q283" s="14">
        <f t="shared" si="396"/>
        <v>13</v>
      </c>
      <c r="R283" s="14">
        <f t="shared" si="396"/>
        <v>12</v>
      </c>
      <c r="S283" s="14">
        <f t="shared" si="396"/>
        <v>11</v>
      </c>
      <c r="T283" s="16">
        <v>22.0</v>
      </c>
      <c r="U283" s="16">
        <v>26.0</v>
      </c>
      <c r="V283" s="16">
        <v>35.0</v>
      </c>
      <c r="W283" s="15">
        <v>35.0</v>
      </c>
      <c r="X283" s="15">
        <v>32.0</v>
      </c>
      <c r="Y283" s="17">
        <v>33.0</v>
      </c>
      <c r="Z283" s="15">
        <v>33.0</v>
      </c>
      <c r="AA283" s="15">
        <v>18.181818181818183</v>
      </c>
      <c r="AB283" s="15">
        <v>23.076923076923077</v>
      </c>
      <c r="AC283" s="15">
        <v>17.142857142857142</v>
      </c>
      <c r="AD283" s="16">
        <v>31.428571428571427</v>
      </c>
      <c r="AE283" s="16">
        <v>59.375</v>
      </c>
      <c r="AF283" s="16">
        <v>63.63636363636363</v>
      </c>
      <c r="AG283" s="16">
        <v>66.66666666666666</v>
      </c>
      <c r="AH283" s="16">
        <f t="shared" si="314"/>
        <v>23.88278388</v>
      </c>
      <c r="AI283" s="18">
        <f t="shared" si="289"/>
        <v>63.2260101</v>
      </c>
      <c r="AJ283" s="14">
        <f t="shared" si="290"/>
        <v>7.666666667</v>
      </c>
      <c r="AK283" s="14">
        <f t="shared" si="291"/>
        <v>20.66666667</v>
      </c>
      <c r="AL283" s="14">
        <f t="shared" si="292"/>
        <v>24.33333333</v>
      </c>
      <c r="AM283" s="14">
        <f t="shared" si="293"/>
        <v>12</v>
      </c>
    </row>
    <row r="284" ht="14.25" customHeight="1">
      <c r="A284" s="1" t="s">
        <v>59</v>
      </c>
      <c r="B284" s="1" t="s">
        <v>443</v>
      </c>
      <c r="C284" s="1" t="s">
        <v>447</v>
      </c>
      <c r="D284" s="1" t="s">
        <v>447</v>
      </c>
      <c r="E284" s="14">
        <v>70804.0</v>
      </c>
      <c r="F284" s="15">
        <v>3.0</v>
      </c>
      <c r="G284" s="15">
        <v>4.0</v>
      </c>
      <c r="H284" s="15">
        <v>4.0</v>
      </c>
      <c r="I284" s="15">
        <v>4.0</v>
      </c>
      <c r="J284" s="15">
        <v>8.0</v>
      </c>
      <c r="K284" s="15">
        <v>8.0</v>
      </c>
      <c r="L284" s="16">
        <v>8.0</v>
      </c>
      <c r="M284" s="14">
        <f t="shared" ref="M284:S284" si="397">IF(AND(ISBLANK(F284), NOT(ISBLANK(T284))), T284, IF(OR(ISBLANK(T284), ISBLANK(F284)), "", T284-F284))</f>
        <v>6</v>
      </c>
      <c r="N284" s="14">
        <f t="shared" si="397"/>
        <v>5</v>
      </c>
      <c r="O284" s="14">
        <f t="shared" si="397"/>
        <v>5</v>
      </c>
      <c r="P284" s="14">
        <f t="shared" si="397"/>
        <v>5</v>
      </c>
      <c r="Q284" s="14">
        <f t="shared" si="397"/>
        <v>0</v>
      </c>
      <c r="R284" s="14">
        <f t="shared" si="397"/>
        <v>0</v>
      </c>
      <c r="S284" s="14">
        <f t="shared" si="397"/>
        <v>0</v>
      </c>
      <c r="T284" s="16">
        <v>9.0</v>
      </c>
      <c r="U284" s="16">
        <v>9.0</v>
      </c>
      <c r="V284" s="16">
        <v>9.0</v>
      </c>
      <c r="W284" s="15">
        <v>9.0</v>
      </c>
      <c r="X284" s="15">
        <v>8.0</v>
      </c>
      <c r="Y284" s="17">
        <v>8.0</v>
      </c>
      <c r="Z284" s="15">
        <v>8.0</v>
      </c>
      <c r="AA284" s="15">
        <v>33.33333333333333</v>
      </c>
      <c r="AB284" s="15">
        <v>44.44444444444444</v>
      </c>
      <c r="AC284" s="15">
        <v>44.44444444444444</v>
      </c>
      <c r="AD284" s="16">
        <v>44.44444444444444</v>
      </c>
      <c r="AE284" s="16">
        <v>100.0</v>
      </c>
      <c r="AF284" s="16">
        <v>100.0</v>
      </c>
      <c r="AG284" s="16">
        <v>100.0</v>
      </c>
      <c r="AH284" s="16">
        <f t="shared" si="314"/>
        <v>44.44444444</v>
      </c>
      <c r="AI284" s="18">
        <f t="shared" si="289"/>
        <v>100</v>
      </c>
      <c r="AJ284" s="14">
        <f t="shared" si="290"/>
        <v>4</v>
      </c>
      <c r="AK284" s="14">
        <f t="shared" si="291"/>
        <v>8</v>
      </c>
      <c r="AL284" s="14">
        <f t="shared" si="292"/>
        <v>5</v>
      </c>
      <c r="AM284" s="14">
        <f t="shared" si="293"/>
        <v>0</v>
      </c>
    </row>
    <row r="285" ht="14.25" customHeight="1">
      <c r="A285" s="1" t="s">
        <v>59</v>
      </c>
      <c r="B285" s="1" t="s">
        <v>443</v>
      </c>
      <c r="C285" s="1" t="s">
        <v>448</v>
      </c>
      <c r="D285" s="1" t="s">
        <v>448</v>
      </c>
      <c r="E285" s="14">
        <v>70805.0</v>
      </c>
      <c r="F285" s="15">
        <v>3.0</v>
      </c>
      <c r="G285" s="15">
        <v>2.0</v>
      </c>
      <c r="H285" s="15">
        <v>3.0</v>
      </c>
      <c r="I285" s="15">
        <v>3.0</v>
      </c>
      <c r="J285" s="15">
        <v>5.0</v>
      </c>
      <c r="K285" s="15">
        <v>5.0</v>
      </c>
      <c r="L285" s="16">
        <v>5.0</v>
      </c>
      <c r="M285" s="14">
        <f t="shared" ref="M285:S285" si="398">IF(AND(ISBLANK(F285), NOT(ISBLANK(T285))), T285, IF(OR(ISBLANK(T285), ISBLANK(F285)), "", T285-F285))</f>
        <v>6</v>
      </c>
      <c r="N285" s="14">
        <f t="shared" si="398"/>
        <v>7</v>
      </c>
      <c r="O285" s="14">
        <f t="shared" si="398"/>
        <v>17</v>
      </c>
      <c r="P285" s="14">
        <f t="shared" si="398"/>
        <v>15</v>
      </c>
      <c r="Q285" s="14">
        <f t="shared" si="398"/>
        <v>9</v>
      </c>
      <c r="R285" s="14">
        <f t="shared" si="398"/>
        <v>7</v>
      </c>
      <c r="S285" s="14">
        <f t="shared" si="398"/>
        <v>7</v>
      </c>
      <c r="T285" s="16">
        <v>9.0</v>
      </c>
      <c r="U285" s="16">
        <v>9.0</v>
      </c>
      <c r="V285" s="16">
        <v>20.0</v>
      </c>
      <c r="W285" s="15">
        <v>18.0</v>
      </c>
      <c r="X285" s="15">
        <v>14.0</v>
      </c>
      <c r="Y285" s="17">
        <v>12.0</v>
      </c>
      <c r="Z285" s="15">
        <v>12.0</v>
      </c>
      <c r="AA285" s="15">
        <v>33.33333333333333</v>
      </c>
      <c r="AB285" s="15">
        <v>22.22222222222222</v>
      </c>
      <c r="AC285" s="15">
        <v>15.0</v>
      </c>
      <c r="AD285" s="16">
        <v>16.666666666666664</v>
      </c>
      <c r="AE285" s="16">
        <v>35.714285714285715</v>
      </c>
      <c r="AF285" s="16">
        <v>41.66666666666667</v>
      </c>
      <c r="AG285" s="16">
        <v>41.66666666666667</v>
      </c>
      <c r="AH285" s="16">
        <f t="shared" si="314"/>
        <v>17.96296296</v>
      </c>
      <c r="AI285" s="18">
        <f t="shared" si="289"/>
        <v>39.68253968</v>
      </c>
      <c r="AJ285" s="14">
        <f t="shared" si="290"/>
        <v>2.666666667</v>
      </c>
      <c r="AK285" s="14">
        <f t="shared" si="291"/>
        <v>5</v>
      </c>
      <c r="AL285" s="14">
        <f t="shared" si="292"/>
        <v>13</v>
      </c>
      <c r="AM285" s="14">
        <f t="shared" si="293"/>
        <v>7.666666667</v>
      </c>
    </row>
    <row r="286" ht="14.25" customHeight="1">
      <c r="A286" s="1" t="s">
        <v>59</v>
      </c>
      <c r="B286" s="1" t="s">
        <v>449</v>
      </c>
      <c r="C286" s="1" t="s">
        <v>450</v>
      </c>
      <c r="D286" s="1" t="s">
        <v>450</v>
      </c>
      <c r="E286" s="14">
        <v>70901.0</v>
      </c>
      <c r="F286" s="15">
        <v>40.0</v>
      </c>
      <c r="G286" s="15">
        <v>44.0</v>
      </c>
      <c r="H286" s="15">
        <v>48.0</v>
      </c>
      <c r="I286" s="15">
        <v>51.0</v>
      </c>
      <c r="J286" s="15">
        <v>73.0</v>
      </c>
      <c r="K286" s="15">
        <v>73.0</v>
      </c>
      <c r="L286" s="16">
        <v>70.0</v>
      </c>
      <c r="M286" s="14">
        <f t="shared" ref="M286:S286" si="399">IF(AND(ISBLANK(F286), NOT(ISBLANK(T286))), T286, IF(OR(ISBLANK(T286), ISBLANK(F286)), "", T286-F286))</f>
        <v>12</v>
      </c>
      <c r="N286" s="14">
        <f t="shared" si="399"/>
        <v>21</v>
      </c>
      <c r="O286" s="14">
        <f t="shared" si="399"/>
        <v>27</v>
      </c>
      <c r="P286" s="14">
        <f t="shared" si="399"/>
        <v>25</v>
      </c>
      <c r="Q286" s="14">
        <f t="shared" si="399"/>
        <v>14</v>
      </c>
      <c r="R286" s="14">
        <f t="shared" si="399"/>
        <v>14</v>
      </c>
      <c r="S286" s="14">
        <f t="shared" si="399"/>
        <v>19</v>
      </c>
      <c r="T286" s="16">
        <v>52.0</v>
      </c>
      <c r="U286" s="16">
        <v>65.0</v>
      </c>
      <c r="V286" s="16">
        <v>75.0</v>
      </c>
      <c r="W286" s="15">
        <v>76.0</v>
      </c>
      <c r="X286" s="15">
        <v>87.0</v>
      </c>
      <c r="Y286" s="17">
        <v>87.0</v>
      </c>
      <c r="Z286" s="15">
        <v>89.0</v>
      </c>
      <c r="AA286" s="15">
        <v>76.92307692307693</v>
      </c>
      <c r="AB286" s="15">
        <v>67.6923076923077</v>
      </c>
      <c r="AC286" s="15">
        <v>64.0</v>
      </c>
      <c r="AD286" s="16">
        <v>67.10526315789474</v>
      </c>
      <c r="AE286" s="16">
        <v>83.9080459770115</v>
      </c>
      <c r="AF286" s="16">
        <v>83.9080459770115</v>
      </c>
      <c r="AG286" s="16">
        <v>78.65168539325843</v>
      </c>
      <c r="AH286" s="16">
        <f t="shared" si="314"/>
        <v>66.26585695</v>
      </c>
      <c r="AI286" s="18">
        <f t="shared" si="289"/>
        <v>82.15592578</v>
      </c>
      <c r="AJ286" s="14">
        <f t="shared" si="290"/>
        <v>47.66666667</v>
      </c>
      <c r="AK286" s="14">
        <f t="shared" si="291"/>
        <v>72</v>
      </c>
      <c r="AL286" s="14">
        <f t="shared" si="292"/>
        <v>24.33333333</v>
      </c>
      <c r="AM286" s="14">
        <f t="shared" si="293"/>
        <v>15.66666667</v>
      </c>
    </row>
    <row r="287" ht="14.25" customHeight="1">
      <c r="A287" s="1" t="s">
        <v>59</v>
      </c>
      <c r="B287" s="1" t="s">
        <v>449</v>
      </c>
      <c r="C287" s="1" t="s">
        <v>451</v>
      </c>
      <c r="D287" s="1" t="s">
        <v>451</v>
      </c>
      <c r="E287" s="14">
        <v>70902.0</v>
      </c>
      <c r="F287" s="15">
        <v>17.0</v>
      </c>
      <c r="G287" s="15">
        <v>16.0</v>
      </c>
      <c r="H287" s="15">
        <v>28.0</v>
      </c>
      <c r="I287" s="15">
        <v>31.0</v>
      </c>
      <c r="J287" s="15">
        <v>56.0</v>
      </c>
      <c r="K287" s="15">
        <v>58.0</v>
      </c>
      <c r="L287" s="16">
        <v>58.0</v>
      </c>
      <c r="M287" s="14">
        <f t="shared" ref="M287:S287" si="400">IF(AND(ISBLANK(F287), NOT(ISBLANK(T287))), T287, IF(OR(ISBLANK(T287), ISBLANK(F287)), "", T287-F287))</f>
        <v>4</v>
      </c>
      <c r="N287" s="14">
        <f t="shared" si="400"/>
        <v>5</v>
      </c>
      <c r="O287" s="14">
        <f t="shared" si="400"/>
        <v>15</v>
      </c>
      <c r="P287" s="14">
        <f t="shared" si="400"/>
        <v>15</v>
      </c>
      <c r="Q287" s="14">
        <f t="shared" si="400"/>
        <v>5</v>
      </c>
      <c r="R287" s="14">
        <f t="shared" si="400"/>
        <v>6</v>
      </c>
      <c r="S287" s="14">
        <f t="shared" si="400"/>
        <v>8</v>
      </c>
      <c r="T287" s="16">
        <v>21.0</v>
      </c>
      <c r="U287" s="16">
        <v>21.0</v>
      </c>
      <c r="V287" s="16">
        <v>43.0</v>
      </c>
      <c r="W287" s="15">
        <v>46.0</v>
      </c>
      <c r="X287" s="15">
        <v>61.0</v>
      </c>
      <c r="Y287" s="17">
        <v>64.0</v>
      </c>
      <c r="Z287" s="15">
        <v>66.0</v>
      </c>
      <c r="AA287" s="15">
        <v>80.95238095238095</v>
      </c>
      <c r="AB287" s="15">
        <v>76.19047619047619</v>
      </c>
      <c r="AC287" s="15">
        <v>65.11627906976744</v>
      </c>
      <c r="AD287" s="16">
        <v>67.3913043478261</v>
      </c>
      <c r="AE287" s="16">
        <v>91.80327868852459</v>
      </c>
      <c r="AF287" s="16">
        <v>90.625</v>
      </c>
      <c r="AG287" s="16">
        <v>87.87878787878788</v>
      </c>
      <c r="AH287" s="16">
        <f t="shared" si="314"/>
        <v>69.56601987</v>
      </c>
      <c r="AI287" s="18">
        <f t="shared" si="289"/>
        <v>90.10235552</v>
      </c>
      <c r="AJ287" s="14">
        <f t="shared" si="290"/>
        <v>25</v>
      </c>
      <c r="AK287" s="14">
        <f t="shared" si="291"/>
        <v>57.33333333</v>
      </c>
      <c r="AL287" s="14">
        <f t="shared" si="292"/>
        <v>11.66666667</v>
      </c>
      <c r="AM287" s="14">
        <f t="shared" si="293"/>
        <v>6.333333333</v>
      </c>
    </row>
    <row r="288" ht="14.25" customHeight="1">
      <c r="A288" s="1" t="s">
        <v>59</v>
      </c>
      <c r="B288" s="1" t="s">
        <v>449</v>
      </c>
      <c r="C288" s="1" t="s">
        <v>452</v>
      </c>
      <c r="D288" s="1" t="s">
        <v>452</v>
      </c>
      <c r="E288" s="14">
        <v>70903.0</v>
      </c>
      <c r="F288" s="15">
        <v>16.0</v>
      </c>
      <c r="G288" s="15">
        <v>23.0</v>
      </c>
      <c r="H288" s="15">
        <v>30.0</v>
      </c>
      <c r="I288" s="15">
        <v>40.0</v>
      </c>
      <c r="J288" s="15">
        <v>67.0</v>
      </c>
      <c r="K288" s="15">
        <v>63.0</v>
      </c>
      <c r="L288" s="16">
        <v>65.0</v>
      </c>
      <c r="M288" s="14">
        <f t="shared" ref="M288:S288" si="401">IF(AND(ISBLANK(F288), NOT(ISBLANK(T288))), T288, IF(OR(ISBLANK(T288), ISBLANK(F288)), "", T288-F288))</f>
        <v>18</v>
      </c>
      <c r="N288" s="14">
        <f t="shared" si="401"/>
        <v>21</v>
      </c>
      <c r="O288" s="14">
        <f t="shared" si="401"/>
        <v>34</v>
      </c>
      <c r="P288" s="14">
        <f t="shared" si="401"/>
        <v>23</v>
      </c>
      <c r="Q288" s="14">
        <f t="shared" si="401"/>
        <v>3</v>
      </c>
      <c r="R288" s="14">
        <f t="shared" si="401"/>
        <v>6</v>
      </c>
      <c r="S288" s="14">
        <f t="shared" si="401"/>
        <v>7</v>
      </c>
      <c r="T288" s="16">
        <v>34.0</v>
      </c>
      <c r="U288" s="16">
        <v>44.0</v>
      </c>
      <c r="V288" s="16">
        <v>64.0</v>
      </c>
      <c r="W288" s="15">
        <v>63.0</v>
      </c>
      <c r="X288" s="15">
        <v>70.0</v>
      </c>
      <c r="Y288" s="17">
        <v>69.0</v>
      </c>
      <c r="Z288" s="15">
        <v>72.0</v>
      </c>
      <c r="AA288" s="15">
        <v>47.05882352941176</v>
      </c>
      <c r="AB288" s="15">
        <v>52.27272727272727</v>
      </c>
      <c r="AC288" s="15">
        <v>46.875</v>
      </c>
      <c r="AD288" s="16">
        <v>63.49206349206349</v>
      </c>
      <c r="AE288" s="16">
        <v>95.71428571428572</v>
      </c>
      <c r="AF288" s="16">
        <v>91.30434782608695</v>
      </c>
      <c r="AG288" s="16">
        <v>90.27777777777779</v>
      </c>
      <c r="AH288" s="16">
        <f t="shared" si="314"/>
        <v>54.21326359</v>
      </c>
      <c r="AI288" s="18">
        <f t="shared" si="289"/>
        <v>92.43213711</v>
      </c>
      <c r="AJ288" s="14">
        <f t="shared" si="290"/>
        <v>31</v>
      </c>
      <c r="AK288" s="14">
        <f t="shared" si="291"/>
        <v>65</v>
      </c>
      <c r="AL288" s="14">
        <f t="shared" si="292"/>
        <v>26</v>
      </c>
      <c r="AM288" s="14">
        <f t="shared" si="293"/>
        <v>5.333333333</v>
      </c>
    </row>
    <row r="289" ht="14.25" customHeight="1">
      <c r="A289" s="1" t="s">
        <v>59</v>
      </c>
      <c r="B289" s="1" t="s">
        <v>449</v>
      </c>
      <c r="C289" s="1" t="s">
        <v>453</v>
      </c>
      <c r="D289" s="1" t="s">
        <v>453</v>
      </c>
      <c r="E289" s="14">
        <v>70904.0</v>
      </c>
      <c r="F289" s="15">
        <v>3.0</v>
      </c>
      <c r="G289" s="15">
        <v>3.0</v>
      </c>
      <c r="H289" s="15">
        <v>4.0</v>
      </c>
      <c r="I289" s="15">
        <v>5.0</v>
      </c>
      <c r="J289" s="15">
        <v>8.0</v>
      </c>
      <c r="K289" s="15">
        <v>8.0</v>
      </c>
      <c r="L289" s="16">
        <v>8.0</v>
      </c>
      <c r="M289" s="14">
        <f t="shared" ref="M289:S289" si="402">IF(AND(ISBLANK(F289), NOT(ISBLANK(T289))), T289, IF(OR(ISBLANK(T289), ISBLANK(F289)), "", T289-F289))</f>
        <v>3</v>
      </c>
      <c r="N289" s="14">
        <f t="shared" si="402"/>
        <v>3</v>
      </c>
      <c r="O289" s="14">
        <f t="shared" si="402"/>
        <v>5</v>
      </c>
      <c r="P289" s="14">
        <f t="shared" si="402"/>
        <v>3</v>
      </c>
      <c r="Q289" s="14">
        <f t="shared" si="402"/>
        <v>1</v>
      </c>
      <c r="R289" s="14">
        <f t="shared" si="402"/>
        <v>1</v>
      </c>
      <c r="S289" s="14">
        <f t="shared" si="402"/>
        <v>2</v>
      </c>
      <c r="T289" s="16">
        <v>6.0</v>
      </c>
      <c r="U289" s="16">
        <v>6.0</v>
      </c>
      <c r="V289" s="16">
        <v>9.0</v>
      </c>
      <c r="W289" s="15">
        <v>8.0</v>
      </c>
      <c r="X289" s="15">
        <v>9.0</v>
      </c>
      <c r="Y289" s="17">
        <v>9.0</v>
      </c>
      <c r="Z289" s="15">
        <v>10.0</v>
      </c>
      <c r="AA289" s="15">
        <v>50.0</v>
      </c>
      <c r="AB289" s="15">
        <v>50.0</v>
      </c>
      <c r="AC289" s="15">
        <v>44.44444444444444</v>
      </c>
      <c r="AD289" s="16">
        <v>62.5</v>
      </c>
      <c r="AE289" s="16">
        <v>88.88888888888889</v>
      </c>
      <c r="AF289" s="16">
        <v>88.88888888888889</v>
      </c>
      <c r="AG289" s="16">
        <v>80.0</v>
      </c>
      <c r="AH289" s="16">
        <f t="shared" si="314"/>
        <v>52.31481481</v>
      </c>
      <c r="AI289" s="18">
        <f t="shared" si="289"/>
        <v>85.92592593</v>
      </c>
      <c r="AJ289" s="14">
        <f t="shared" si="290"/>
        <v>4</v>
      </c>
      <c r="AK289" s="14">
        <f t="shared" si="291"/>
        <v>8</v>
      </c>
      <c r="AL289" s="14">
        <f t="shared" si="292"/>
        <v>3.666666667</v>
      </c>
      <c r="AM289" s="14">
        <f t="shared" si="293"/>
        <v>1.333333333</v>
      </c>
    </row>
    <row r="290" ht="14.25" customHeight="1">
      <c r="A290" s="1" t="s">
        <v>59</v>
      </c>
      <c r="B290" s="1" t="s">
        <v>454</v>
      </c>
      <c r="C290" s="1" t="s">
        <v>455</v>
      </c>
      <c r="D290" s="1" t="s">
        <v>455</v>
      </c>
      <c r="E290" s="14">
        <v>71001.0</v>
      </c>
      <c r="F290" s="15">
        <v>183.0</v>
      </c>
      <c r="G290" s="15">
        <v>204.0</v>
      </c>
      <c r="H290" s="15">
        <v>231.0</v>
      </c>
      <c r="I290" s="15">
        <v>263.0</v>
      </c>
      <c r="J290" s="15">
        <v>410.0</v>
      </c>
      <c r="K290" s="15">
        <v>417.0</v>
      </c>
      <c r="L290" s="16">
        <v>412.0</v>
      </c>
      <c r="M290" s="14">
        <f t="shared" ref="M290:S290" si="403">IF(AND(ISBLANK(F290), NOT(ISBLANK(T290))), T290, IF(OR(ISBLANK(T290), ISBLANK(F290)), "", T290-F290))</f>
        <v>132</v>
      </c>
      <c r="N290" s="14">
        <f t="shared" si="403"/>
        <v>133</v>
      </c>
      <c r="O290" s="14">
        <f t="shared" si="403"/>
        <v>257</v>
      </c>
      <c r="P290" s="14">
        <f t="shared" si="403"/>
        <v>246</v>
      </c>
      <c r="Q290" s="14">
        <f t="shared" si="403"/>
        <v>187</v>
      </c>
      <c r="R290" s="14">
        <f t="shared" si="403"/>
        <v>192</v>
      </c>
      <c r="S290" s="14">
        <f t="shared" si="403"/>
        <v>193</v>
      </c>
      <c r="T290" s="16">
        <v>315.0</v>
      </c>
      <c r="U290" s="16">
        <v>337.0</v>
      </c>
      <c r="V290" s="16">
        <v>488.0</v>
      </c>
      <c r="W290" s="15">
        <v>509.0</v>
      </c>
      <c r="X290" s="15">
        <v>597.0</v>
      </c>
      <c r="Y290" s="17">
        <v>609.0</v>
      </c>
      <c r="Z290" s="15">
        <v>605.0</v>
      </c>
      <c r="AA290" s="15">
        <v>58.0952380952381</v>
      </c>
      <c r="AB290" s="15">
        <v>60.534124629080125</v>
      </c>
      <c r="AC290" s="15">
        <v>47.33606557377049</v>
      </c>
      <c r="AD290" s="16">
        <v>51.66994106090373</v>
      </c>
      <c r="AE290" s="16">
        <v>68.67671691792296</v>
      </c>
      <c r="AF290" s="16">
        <v>68.4729064039409</v>
      </c>
      <c r="AG290" s="16">
        <v>68.09917355371901</v>
      </c>
      <c r="AH290" s="16">
        <f t="shared" si="314"/>
        <v>53.18004375</v>
      </c>
      <c r="AI290" s="18">
        <f t="shared" si="289"/>
        <v>68.41626563</v>
      </c>
      <c r="AJ290" s="14">
        <f t="shared" si="290"/>
        <v>232.6666667</v>
      </c>
      <c r="AK290" s="14">
        <f t="shared" si="291"/>
        <v>413</v>
      </c>
      <c r="AL290" s="14">
        <f t="shared" si="292"/>
        <v>212</v>
      </c>
      <c r="AM290" s="14">
        <f t="shared" si="293"/>
        <v>190.6666667</v>
      </c>
    </row>
    <row r="291" ht="14.25" customHeight="1">
      <c r="A291" s="1" t="s">
        <v>59</v>
      </c>
      <c r="B291" s="1" t="s">
        <v>454</v>
      </c>
      <c r="C291" s="1" t="s">
        <v>456</v>
      </c>
      <c r="D291" s="1" t="s">
        <v>456</v>
      </c>
      <c r="E291" s="14">
        <v>71002.0</v>
      </c>
      <c r="F291" s="15">
        <v>18.0</v>
      </c>
      <c r="G291" s="15">
        <v>22.0</v>
      </c>
      <c r="H291" s="15">
        <v>25.0</v>
      </c>
      <c r="I291" s="15">
        <v>36.0</v>
      </c>
      <c r="J291" s="15">
        <v>75.0</v>
      </c>
      <c r="K291" s="15">
        <v>77.0</v>
      </c>
      <c r="L291" s="16">
        <v>75.0</v>
      </c>
      <c r="M291" s="14">
        <f t="shared" ref="M291:S291" si="404">IF(AND(ISBLANK(F291), NOT(ISBLANK(T291))), T291, IF(OR(ISBLANK(T291), ISBLANK(F291)), "", T291-F291))</f>
        <v>32</v>
      </c>
      <c r="N291" s="14">
        <f t="shared" si="404"/>
        <v>35</v>
      </c>
      <c r="O291" s="14">
        <f t="shared" si="404"/>
        <v>69</v>
      </c>
      <c r="P291" s="14">
        <f t="shared" si="404"/>
        <v>66</v>
      </c>
      <c r="Q291" s="14">
        <f t="shared" si="404"/>
        <v>32</v>
      </c>
      <c r="R291" s="14">
        <f t="shared" si="404"/>
        <v>33</v>
      </c>
      <c r="S291" s="14">
        <f t="shared" si="404"/>
        <v>34</v>
      </c>
      <c r="T291" s="16">
        <v>50.0</v>
      </c>
      <c r="U291" s="16">
        <v>57.0</v>
      </c>
      <c r="V291" s="16">
        <v>94.0</v>
      </c>
      <c r="W291" s="15">
        <v>102.0</v>
      </c>
      <c r="X291" s="15">
        <v>107.0</v>
      </c>
      <c r="Y291" s="17">
        <v>110.0</v>
      </c>
      <c r="Z291" s="15">
        <v>109.0</v>
      </c>
      <c r="AA291" s="15">
        <v>36.0</v>
      </c>
      <c r="AB291" s="15">
        <v>38.59649122807017</v>
      </c>
      <c r="AC291" s="15">
        <v>26.595744680851062</v>
      </c>
      <c r="AD291" s="16">
        <v>35.294117647058826</v>
      </c>
      <c r="AE291" s="16">
        <v>70.09345794392523</v>
      </c>
      <c r="AF291" s="16">
        <v>70.0</v>
      </c>
      <c r="AG291" s="16">
        <v>68.80733944954129</v>
      </c>
      <c r="AH291" s="16">
        <f t="shared" si="314"/>
        <v>33.49545119</v>
      </c>
      <c r="AI291" s="18">
        <f t="shared" si="289"/>
        <v>69.63359913</v>
      </c>
      <c r="AJ291" s="14">
        <f t="shared" si="290"/>
        <v>27.66666667</v>
      </c>
      <c r="AK291" s="14">
        <f t="shared" si="291"/>
        <v>75.66666667</v>
      </c>
      <c r="AL291" s="14">
        <f t="shared" si="292"/>
        <v>56.66666667</v>
      </c>
      <c r="AM291" s="14">
        <f t="shared" si="293"/>
        <v>33</v>
      </c>
    </row>
    <row r="292" ht="14.25" customHeight="1">
      <c r="A292" s="1" t="s">
        <v>59</v>
      </c>
      <c r="B292" s="1" t="s">
        <v>454</v>
      </c>
      <c r="C292" s="1" t="s">
        <v>457</v>
      </c>
      <c r="D292" s="1" t="s">
        <v>457</v>
      </c>
      <c r="E292" s="14">
        <v>71003.0</v>
      </c>
      <c r="F292" s="15">
        <v>25.0</v>
      </c>
      <c r="G292" s="15">
        <v>32.0</v>
      </c>
      <c r="H292" s="15">
        <v>38.0</v>
      </c>
      <c r="I292" s="15">
        <v>44.0</v>
      </c>
      <c r="J292" s="15">
        <v>80.0</v>
      </c>
      <c r="K292" s="15">
        <v>86.0</v>
      </c>
      <c r="L292" s="16">
        <v>88.0</v>
      </c>
      <c r="M292" s="14">
        <f t="shared" ref="M292:S292" si="405">IF(AND(ISBLANK(F292), NOT(ISBLANK(T292))), T292, IF(OR(ISBLANK(T292), ISBLANK(F292)), "", T292-F292))</f>
        <v>30</v>
      </c>
      <c r="N292" s="14">
        <f t="shared" si="405"/>
        <v>26</v>
      </c>
      <c r="O292" s="14">
        <f t="shared" si="405"/>
        <v>55</v>
      </c>
      <c r="P292" s="14">
        <f t="shared" si="405"/>
        <v>56</v>
      </c>
      <c r="Q292" s="14">
        <f t="shared" si="405"/>
        <v>48</v>
      </c>
      <c r="R292" s="14">
        <f t="shared" si="405"/>
        <v>45</v>
      </c>
      <c r="S292" s="14">
        <f t="shared" si="405"/>
        <v>40</v>
      </c>
      <c r="T292" s="16">
        <v>55.0</v>
      </c>
      <c r="U292" s="16">
        <v>58.0</v>
      </c>
      <c r="V292" s="16">
        <v>93.0</v>
      </c>
      <c r="W292" s="15">
        <v>100.0</v>
      </c>
      <c r="X292" s="15">
        <v>128.0</v>
      </c>
      <c r="Y292" s="17">
        <v>131.0</v>
      </c>
      <c r="Z292" s="15">
        <v>128.0</v>
      </c>
      <c r="AA292" s="15">
        <v>45.45454545454545</v>
      </c>
      <c r="AB292" s="15">
        <v>55.172413793103445</v>
      </c>
      <c r="AC292" s="15">
        <v>40.86021505376344</v>
      </c>
      <c r="AD292" s="16">
        <v>44.0</v>
      </c>
      <c r="AE292" s="16">
        <v>62.5</v>
      </c>
      <c r="AF292" s="16">
        <v>65.64885496183206</v>
      </c>
      <c r="AG292" s="16">
        <v>68.75</v>
      </c>
      <c r="AH292" s="16">
        <f t="shared" si="314"/>
        <v>46.67754295</v>
      </c>
      <c r="AI292" s="18">
        <f t="shared" si="289"/>
        <v>65.63295165</v>
      </c>
      <c r="AJ292" s="14">
        <f t="shared" si="290"/>
        <v>38</v>
      </c>
      <c r="AK292" s="14">
        <f t="shared" si="291"/>
        <v>84.66666667</v>
      </c>
      <c r="AL292" s="14">
        <f t="shared" si="292"/>
        <v>45.66666667</v>
      </c>
      <c r="AM292" s="14">
        <f t="shared" si="293"/>
        <v>44.33333333</v>
      </c>
    </row>
    <row r="293" ht="14.25" customHeight="1">
      <c r="A293" s="1" t="s">
        <v>59</v>
      </c>
      <c r="B293" s="1" t="s">
        <v>454</v>
      </c>
      <c r="C293" s="1" t="s">
        <v>458</v>
      </c>
      <c r="D293" s="1" t="s">
        <v>458</v>
      </c>
      <c r="E293" s="14">
        <v>71004.0</v>
      </c>
      <c r="F293" s="15">
        <v>22.0</v>
      </c>
      <c r="G293" s="15">
        <v>27.0</v>
      </c>
      <c r="H293" s="15">
        <v>29.0</v>
      </c>
      <c r="I293" s="15">
        <v>32.0</v>
      </c>
      <c r="J293" s="15">
        <v>42.0</v>
      </c>
      <c r="K293" s="15">
        <v>44.0</v>
      </c>
      <c r="L293" s="16">
        <v>44.0</v>
      </c>
      <c r="M293" s="14">
        <f t="shared" ref="M293:S293" si="406">IF(AND(ISBLANK(F293), NOT(ISBLANK(T293))), T293, IF(OR(ISBLANK(T293), ISBLANK(F293)), "", T293-F293))</f>
        <v>19</v>
      </c>
      <c r="N293" s="14">
        <f t="shared" si="406"/>
        <v>21</v>
      </c>
      <c r="O293" s="14">
        <f t="shared" si="406"/>
        <v>35</v>
      </c>
      <c r="P293" s="14">
        <f t="shared" si="406"/>
        <v>34</v>
      </c>
      <c r="Q293" s="14">
        <f t="shared" si="406"/>
        <v>32</v>
      </c>
      <c r="R293" s="14">
        <f t="shared" si="406"/>
        <v>32</v>
      </c>
      <c r="S293" s="14">
        <f t="shared" si="406"/>
        <v>33</v>
      </c>
      <c r="T293" s="16">
        <v>41.0</v>
      </c>
      <c r="U293" s="16">
        <v>48.0</v>
      </c>
      <c r="V293" s="16">
        <v>64.0</v>
      </c>
      <c r="W293" s="15">
        <v>66.0</v>
      </c>
      <c r="X293" s="15">
        <v>74.0</v>
      </c>
      <c r="Y293" s="17">
        <v>76.0</v>
      </c>
      <c r="Z293" s="15">
        <v>77.0</v>
      </c>
      <c r="AA293" s="15">
        <v>53.65853658536586</v>
      </c>
      <c r="AB293" s="15">
        <v>56.25</v>
      </c>
      <c r="AC293" s="15">
        <v>45.3125</v>
      </c>
      <c r="AD293" s="16">
        <v>48.484848484848484</v>
      </c>
      <c r="AE293" s="16">
        <v>56.75675675675676</v>
      </c>
      <c r="AF293" s="16">
        <v>57.89473684210527</v>
      </c>
      <c r="AG293" s="16">
        <v>57.14285714285714</v>
      </c>
      <c r="AH293" s="16">
        <f t="shared" si="314"/>
        <v>50.01578283</v>
      </c>
      <c r="AI293" s="18">
        <f t="shared" si="289"/>
        <v>57.26478358</v>
      </c>
      <c r="AJ293" s="14">
        <f t="shared" si="290"/>
        <v>29.33333333</v>
      </c>
      <c r="AK293" s="14">
        <f t="shared" si="291"/>
        <v>43.33333333</v>
      </c>
      <c r="AL293" s="14">
        <f t="shared" si="292"/>
        <v>30</v>
      </c>
      <c r="AM293" s="14">
        <f t="shared" si="293"/>
        <v>32.33333333</v>
      </c>
    </row>
    <row r="294" ht="14.25" customHeight="1">
      <c r="A294" s="1" t="s">
        <v>59</v>
      </c>
      <c r="B294" s="1" t="s">
        <v>454</v>
      </c>
      <c r="C294" s="1" t="s">
        <v>348</v>
      </c>
      <c r="D294" s="1" t="s">
        <v>348</v>
      </c>
      <c r="E294" s="14">
        <v>71005.0</v>
      </c>
      <c r="F294" s="15">
        <v>26.0</v>
      </c>
      <c r="G294" s="15">
        <v>37.0</v>
      </c>
      <c r="H294" s="15">
        <v>44.0</v>
      </c>
      <c r="I294" s="15">
        <v>43.0</v>
      </c>
      <c r="J294" s="15">
        <v>75.0</v>
      </c>
      <c r="K294" s="15">
        <v>70.0</v>
      </c>
      <c r="L294" s="16">
        <v>73.0</v>
      </c>
      <c r="M294" s="14">
        <f t="shared" ref="M294:S294" si="407">IF(AND(ISBLANK(F294), NOT(ISBLANK(T294))), T294, IF(OR(ISBLANK(T294), ISBLANK(F294)), "", T294-F294))</f>
        <v>39</v>
      </c>
      <c r="N294" s="14">
        <f t="shared" si="407"/>
        <v>29</v>
      </c>
      <c r="O294" s="14">
        <f t="shared" si="407"/>
        <v>46</v>
      </c>
      <c r="P294" s="14">
        <f t="shared" si="407"/>
        <v>50</v>
      </c>
      <c r="Q294" s="14">
        <f t="shared" si="407"/>
        <v>41</v>
      </c>
      <c r="R294" s="14">
        <f t="shared" si="407"/>
        <v>44</v>
      </c>
      <c r="S294" s="14">
        <f t="shared" si="407"/>
        <v>44</v>
      </c>
      <c r="T294" s="16">
        <v>65.0</v>
      </c>
      <c r="U294" s="16">
        <v>66.0</v>
      </c>
      <c r="V294" s="16">
        <v>90.0</v>
      </c>
      <c r="W294" s="15">
        <v>93.0</v>
      </c>
      <c r="X294" s="15">
        <v>116.0</v>
      </c>
      <c r="Y294" s="17">
        <v>114.0</v>
      </c>
      <c r="Z294" s="15">
        <v>117.0</v>
      </c>
      <c r="AA294" s="15">
        <v>40.0</v>
      </c>
      <c r="AB294" s="15">
        <v>56.060606060606055</v>
      </c>
      <c r="AC294" s="15">
        <v>48.888888888888886</v>
      </c>
      <c r="AD294" s="16">
        <v>46.236559139784944</v>
      </c>
      <c r="AE294" s="16">
        <v>64.65517241379311</v>
      </c>
      <c r="AF294" s="16">
        <v>61.40350877192983</v>
      </c>
      <c r="AG294" s="16">
        <v>62.39316239316239</v>
      </c>
      <c r="AH294" s="16">
        <f t="shared" si="314"/>
        <v>50.39535136</v>
      </c>
      <c r="AI294" s="18">
        <f t="shared" si="289"/>
        <v>62.81728119</v>
      </c>
      <c r="AJ294" s="14">
        <f t="shared" si="290"/>
        <v>41.33333333</v>
      </c>
      <c r="AK294" s="14">
        <f t="shared" si="291"/>
        <v>72.66666667</v>
      </c>
      <c r="AL294" s="14">
        <f t="shared" si="292"/>
        <v>41.66666667</v>
      </c>
      <c r="AM294" s="14">
        <f t="shared" si="293"/>
        <v>43</v>
      </c>
    </row>
    <row r="295" ht="14.25" customHeight="1">
      <c r="A295" s="1" t="s">
        <v>59</v>
      </c>
      <c r="B295" s="1" t="s">
        <v>459</v>
      </c>
      <c r="C295" s="1" t="s">
        <v>398</v>
      </c>
      <c r="D295" s="1" t="s">
        <v>398</v>
      </c>
      <c r="E295" s="14">
        <v>71101.0</v>
      </c>
      <c r="F295" s="15">
        <v>29.0</v>
      </c>
      <c r="G295" s="15">
        <v>32.0</v>
      </c>
      <c r="H295" s="15">
        <v>50.0</v>
      </c>
      <c r="I295" s="15">
        <v>55.0</v>
      </c>
      <c r="J295" s="15">
        <v>151.0</v>
      </c>
      <c r="K295" s="15">
        <v>148.0</v>
      </c>
      <c r="L295" s="16">
        <v>153.0</v>
      </c>
      <c r="M295" s="14">
        <f t="shared" ref="M295:S295" si="408">IF(AND(ISBLANK(F295), NOT(ISBLANK(T295))), T295, IF(OR(ISBLANK(T295), ISBLANK(F295)), "", T295-F295))</f>
        <v>15</v>
      </c>
      <c r="N295" s="14">
        <f t="shared" si="408"/>
        <v>14</v>
      </c>
      <c r="O295" s="14">
        <f t="shared" si="408"/>
        <v>50</v>
      </c>
      <c r="P295" s="14">
        <f t="shared" si="408"/>
        <v>47</v>
      </c>
      <c r="Q295" s="14">
        <f t="shared" si="408"/>
        <v>28</v>
      </c>
      <c r="R295" s="14">
        <f t="shared" si="408"/>
        <v>36</v>
      </c>
      <c r="S295" s="14">
        <f t="shared" si="408"/>
        <v>39</v>
      </c>
      <c r="T295" s="16">
        <v>44.0</v>
      </c>
      <c r="U295" s="16">
        <v>46.0</v>
      </c>
      <c r="V295" s="16">
        <v>100.0</v>
      </c>
      <c r="W295" s="15">
        <v>102.0</v>
      </c>
      <c r="X295" s="15">
        <v>179.0</v>
      </c>
      <c r="Y295" s="17">
        <v>184.0</v>
      </c>
      <c r="Z295" s="15">
        <v>192.0</v>
      </c>
      <c r="AA295" s="15">
        <v>65.9090909090909</v>
      </c>
      <c r="AB295" s="15">
        <v>69.56521739130434</v>
      </c>
      <c r="AC295" s="15">
        <v>50.0</v>
      </c>
      <c r="AD295" s="16">
        <v>53.92156862745098</v>
      </c>
      <c r="AE295" s="16">
        <v>84.35754189944134</v>
      </c>
      <c r="AF295" s="16">
        <v>80.43478260869566</v>
      </c>
      <c r="AG295" s="16">
        <v>79.6875</v>
      </c>
      <c r="AH295" s="16">
        <f t="shared" si="314"/>
        <v>57.82892867</v>
      </c>
      <c r="AI295" s="18">
        <f t="shared" si="289"/>
        <v>81.49327484</v>
      </c>
      <c r="AJ295" s="14">
        <f t="shared" si="290"/>
        <v>45.66666667</v>
      </c>
      <c r="AK295" s="14">
        <f t="shared" si="291"/>
        <v>150.6666667</v>
      </c>
      <c r="AL295" s="14">
        <f t="shared" si="292"/>
        <v>37</v>
      </c>
      <c r="AM295" s="14">
        <f t="shared" si="293"/>
        <v>34.33333333</v>
      </c>
    </row>
    <row r="296" ht="14.25" customHeight="1">
      <c r="A296" s="1" t="s">
        <v>59</v>
      </c>
      <c r="B296" s="1" t="s">
        <v>459</v>
      </c>
      <c r="C296" s="1" t="s">
        <v>460</v>
      </c>
      <c r="D296" s="1" t="s">
        <v>460</v>
      </c>
      <c r="E296" s="14">
        <v>71102.0</v>
      </c>
      <c r="F296" s="15">
        <v>28.0</v>
      </c>
      <c r="G296" s="15">
        <v>45.0</v>
      </c>
      <c r="H296" s="15">
        <v>56.0</v>
      </c>
      <c r="I296" s="15">
        <v>63.0</v>
      </c>
      <c r="J296" s="15">
        <v>79.0</v>
      </c>
      <c r="K296" s="15">
        <v>79.0</v>
      </c>
      <c r="L296" s="16">
        <v>80.0</v>
      </c>
      <c r="M296" s="14">
        <f t="shared" ref="M296:S296" si="409">IF(AND(ISBLANK(F296), NOT(ISBLANK(T296))), T296, IF(OR(ISBLANK(T296), ISBLANK(F296)), "", T296-F296))</f>
        <v>14</v>
      </c>
      <c r="N296" s="14">
        <f t="shared" si="409"/>
        <v>23</v>
      </c>
      <c r="O296" s="14">
        <f t="shared" si="409"/>
        <v>31</v>
      </c>
      <c r="P296" s="14">
        <f t="shared" si="409"/>
        <v>32</v>
      </c>
      <c r="Q296" s="14">
        <f t="shared" si="409"/>
        <v>18</v>
      </c>
      <c r="R296" s="14">
        <f t="shared" si="409"/>
        <v>20</v>
      </c>
      <c r="S296" s="14">
        <f t="shared" si="409"/>
        <v>20</v>
      </c>
      <c r="T296" s="16">
        <v>42.0</v>
      </c>
      <c r="U296" s="16">
        <v>68.0</v>
      </c>
      <c r="V296" s="16">
        <v>87.0</v>
      </c>
      <c r="W296" s="15">
        <v>95.0</v>
      </c>
      <c r="X296" s="15">
        <v>97.0</v>
      </c>
      <c r="Y296" s="17">
        <v>99.0</v>
      </c>
      <c r="Z296" s="15">
        <v>100.0</v>
      </c>
      <c r="AA296" s="15">
        <v>66.66666666666666</v>
      </c>
      <c r="AB296" s="15">
        <v>66.17647058823529</v>
      </c>
      <c r="AC296" s="15">
        <v>64.36781609195403</v>
      </c>
      <c r="AD296" s="16">
        <v>66.3157894736842</v>
      </c>
      <c r="AE296" s="16">
        <v>81.44329896907216</v>
      </c>
      <c r="AF296" s="16">
        <v>79.7979797979798</v>
      </c>
      <c r="AG296" s="16">
        <v>80.0</v>
      </c>
      <c r="AH296" s="16">
        <f t="shared" si="314"/>
        <v>65.62002538</v>
      </c>
      <c r="AI296" s="18">
        <f t="shared" si="289"/>
        <v>80.41375959</v>
      </c>
      <c r="AJ296" s="14">
        <f t="shared" si="290"/>
        <v>54.66666667</v>
      </c>
      <c r="AK296" s="14">
        <f t="shared" si="291"/>
        <v>79.33333333</v>
      </c>
      <c r="AL296" s="14">
        <f t="shared" si="292"/>
        <v>28.66666667</v>
      </c>
      <c r="AM296" s="14">
        <f t="shared" si="293"/>
        <v>19.33333333</v>
      </c>
    </row>
    <row r="297" ht="14.25" customHeight="1">
      <c r="A297" s="1" t="s">
        <v>59</v>
      </c>
      <c r="B297" s="1" t="s">
        <v>459</v>
      </c>
      <c r="C297" s="1" t="s">
        <v>461</v>
      </c>
      <c r="D297" s="1" t="s">
        <v>461</v>
      </c>
      <c r="E297" s="14">
        <v>71103.0</v>
      </c>
      <c r="F297" s="15">
        <v>18.0</v>
      </c>
      <c r="G297" s="15">
        <v>20.0</v>
      </c>
      <c r="H297" s="15">
        <v>25.0</v>
      </c>
      <c r="I297" s="15">
        <v>26.0</v>
      </c>
      <c r="J297" s="15">
        <v>38.0</v>
      </c>
      <c r="K297" s="15">
        <v>38.0</v>
      </c>
      <c r="L297" s="16">
        <v>39.0</v>
      </c>
      <c r="M297" s="14">
        <f t="shared" ref="M297:S297" si="410">IF(AND(ISBLANK(F297), NOT(ISBLANK(T297))), T297, IF(OR(ISBLANK(T297), ISBLANK(F297)), "", T297-F297))</f>
        <v>3</v>
      </c>
      <c r="N297" s="14">
        <f t="shared" si="410"/>
        <v>6</v>
      </c>
      <c r="O297" s="14">
        <f t="shared" si="410"/>
        <v>15</v>
      </c>
      <c r="P297" s="14">
        <f t="shared" si="410"/>
        <v>15</v>
      </c>
      <c r="Q297" s="14">
        <f t="shared" si="410"/>
        <v>4</v>
      </c>
      <c r="R297" s="14">
        <f t="shared" si="410"/>
        <v>6</v>
      </c>
      <c r="S297" s="14">
        <f t="shared" si="410"/>
        <v>6</v>
      </c>
      <c r="T297" s="16">
        <v>21.0</v>
      </c>
      <c r="U297" s="16">
        <v>26.0</v>
      </c>
      <c r="V297" s="16">
        <v>40.0</v>
      </c>
      <c r="W297" s="15">
        <v>41.0</v>
      </c>
      <c r="X297" s="15">
        <v>42.0</v>
      </c>
      <c r="Y297" s="17">
        <v>44.0</v>
      </c>
      <c r="Z297" s="15">
        <v>45.0</v>
      </c>
      <c r="AA297" s="15">
        <v>85.71428571428571</v>
      </c>
      <c r="AB297" s="15">
        <v>76.92307692307693</v>
      </c>
      <c r="AC297" s="15">
        <v>62.5</v>
      </c>
      <c r="AD297" s="16">
        <v>63.41463414634146</v>
      </c>
      <c r="AE297" s="16">
        <v>90.47619047619048</v>
      </c>
      <c r="AF297" s="16">
        <v>86.36363636363636</v>
      </c>
      <c r="AG297" s="16">
        <v>86.66666666666667</v>
      </c>
      <c r="AH297" s="16">
        <f t="shared" si="314"/>
        <v>67.61257036</v>
      </c>
      <c r="AI297" s="18">
        <f t="shared" si="289"/>
        <v>87.83549784</v>
      </c>
      <c r="AJ297" s="14">
        <f t="shared" si="290"/>
        <v>23.66666667</v>
      </c>
      <c r="AK297" s="14">
        <f t="shared" si="291"/>
        <v>38.33333333</v>
      </c>
      <c r="AL297" s="14">
        <f t="shared" si="292"/>
        <v>12</v>
      </c>
      <c r="AM297" s="14">
        <f t="shared" si="293"/>
        <v>5.333333333</v>
      </c>
    </row>
    <row r="298" ht="14.25" customHeight="1">
      <c r="A298" s="1" t="s">
        <v>59</v>
      </c>
      <c r="B298" s="1" t="s">
        <v>459</v>
      </c>
      <c r="C298" s="1" t="s">
        <v>462</v>
      </c>
      <c r="D298" s="1" t="s">
        <v>462</v>
      </c>
      <c r="E298" s="14">
        <v>71104.0</v>
      </c>
      <c r="F298" s="15">
        <v>84.0</v>
      </c>
      <c r="G298" s="15">
        <v>117.0</v>
      </c>
      <c r="H298" s="15">
        <v>143.0</v>
      </c>
      <c r="I298" s="15">
        <v>178.0</v>
      </c>
      <c r="J298" s="15">
        <v>284.0</v>
      </c>
      <c r="K298" s="15">
        <v>290.0</v>
      </c>
      <c r="L298" s="16">
        <v>296.0</v>
      </c>
      <c r="M298" s="14">
        <f t="shared" ref="M298:S298" si="411">IF(AND(ISBLANK(F298), NOT(ISBLANK(T298))), T298, IF(OR(ISBLANK(T298), ISBLANK(F298)), "", T298-F298))</f>
        <v>67</v>
      </c>
      <c r="N298" s="14">
        <f t="shared" si="411"/>
        <v>128</v>
      </c>
      <c r="O298" s="14">
        <f t="shared" si="411"/>
        <v>150</v>
      </c>
      <c r="P298" s="14">
        <f t="shared" si="411"/>
        <v>124</v>
      </c>
      <c r="Q298" s="14">
        <f t="shared" si="411"/>
        <v>87</v>
      </c>
      <c r="R298" s="14">
        <f t="shared" si="411"/>
        <v>86</v>
      </c>
      <c r="S298" s="14">
        <f t="shared" si="411"/>
        <v>91</v>
      </c>
      <c r="T298" s="16">
        <v>151.0</v>
      </c>
      <c r="U298" s="16">
        <v>245.0</v>
      </c>
      <c r="V298" s="16">
        <v>293.0</v>
      </c>
      <c r="W298" s="15">
        <v>302.0</v>
      </c>
      <c r="X298" s="15">
        <v>371.0</v>
      </c>
      <c r="Y298" s="17">
        <v>376.0</v>
      </c>
      <c r="Z298" s="15">
        <v>387.0</v>
      </c>
      <c r="AA298" s="15">
        <v>55.62913907284768</v>
      </c>
      <c r="AB298" s="15">
        <v>47.755102040816325</v>
      </c>
      <c r="AC298" s="15">
        <v>48.80546075085324</v>
      </c>
      <c r="AD298" s="16">
        <v>58.94039735099338</v>
      </c>
      <c r="AE298" s="16">
        <v>76.54986522911051</v>
      </c>
      <c r="AF298" s="16">
        <v>77.12765957446808</v>
      </c>
      <c r="AG298" s="16">
        <v>76.48578811369508</v>
      </c>
      <c r="AH298" s="16">
        <f t="shared" si="314"/>
        <v>51.83365338</v>
      </c>
      <c r="AI298" s="18">
        <f t="shared" si="289"/>
        <v>76.72110431</v>
      </c>
      <c r="AJ298" s="14">
        <f t="shared" si="290"/>
        <v>146</v>
      </c>
      <c r="AK298" s="14">
        <f t="shared" si="291"/>
        <v>290</v>
      </c>
      <c r="AL298" s="14">
        <f t="shared" si="292"/>
        <v>134</v>
      </c>
      <c r="AM298" s="14">
        <f t="shared" si="293"/>
        <v>88</v>
      </c>
    </row>
    <row r="299" ht="14.25" customHeight="1">
      <c r="A299" s="1" t="s">
        <v>59</v>
      </c>
      <c r="B299" s="1" t="s">
        <v>459</v>
      </c>
      <c r="C299" s="1" t="s">
        <v>463</v>
      </c>
      <c r="D299" s="1" t="s">
        <v>463</v>
      </c>
      <c r="E299" s="14">
        <v>71105.0</v>
      </c>
      <c r="F299" s="15">
        <v>7.0</v>
      </c>
      <c r="G299" s="15">
        <v>8.0</v>
      </c>
      <c r="H299" s="15">
        <v>9.0</v>
      </c>
      <c r="I299" s="15">
        <v>18.0</v>
      </c>
      <c r="J299" s="15">
        <v>42.0</v>
      </c>
      <c r="K299" s="15">
        <v>37.0</v>
      </c>
      <c r="L299" s="16">
        <v>37.0</v>
      </c>
      <c r="M299" s="14">
        <f t="shared" ref="M299:S299" si="412">IF(AND(ISBLANK(F299), NOT(ISBLANK(T299))), T299, IF(OR(ISBLANK(T299), ISBLANK(F299)), "", T299-F299))</f>
        <v>18</v>
      </c>
      <c r="N299" s="14">
        <f t="shared" si="412"/>
        <v>18</v>
      </c>
      <c r="O299" s="14">
        <f t="shared" si="412"/>
        <v>35</v>
      </c>
      <c r="P299" s="14">
        <f t="shared" si="412"/>
        <v>26</v>
      </c>
      <c r="Q299" s="14">
        <f t="shared" si="412"/>
        <v>14</v>
      </c>
      <c r="R299" s="14">
        <f t="shared" si="412"/>
        <v>24</v>
      </c>
      <c r="S299" s="14">
        <f t="shared" si="412"/>
        <v>22</v>
      </c>
      <c r="T299" s="16">
        <v>25.0</v>
      </c>
      <c r="U299" s="16">
        <v>26.0</v>
      </c>
      <c r="V299" s="16">
        <v>44.0</v>
      </c>
      <c r="W299" s="15">
        <v>44.0</v>
      </c>
      <c r="X299" s="15">
        <v>56.0</v>
      </c>
      <c r="Y299" s="17">
        <v>61.0</v>
      </c>
      <c r="Z299" s="15">
        <v>59.0</v>
      </c>
      <c r="AA299" s="15">
        <v>28.000000000000004</v>
      </c>
      <c r="AB299" s="15">
        <v>30.76923076923077</v>
      </c>
      <c r="AC299" s="15">
        <v>20.454545454545457</v>
      </c>
      <c r="AD299" s="16">
        <v>40.909090909090914</v>
      </c>
      <c r="AE299" s="16">
        <v>75.0</v>
      </c>
      <c r="AF299" s="16">
        <v>60.65573770491803</v>
      </c>
      <c r="AG299" s="16">
        <v>62.71186440677966</v>
      </c>
      <c r="AH299" s="16">
        <f t="shared" si="314"/>
        <v>30.71095571</v>
      </c>
      <c r="AI299" s="18">
        <f t="shared" si="289"/>
        <v>66.12253404</v>
      </c>
      <c r="AJ299" s="14">
        <f t="shared" si="290"/>
        <v>11.66666667</v>
      </c>
      <c r="AK299" s="14">
        <f t="shared" si="291"/>
        <v>38.66666667</v>
      </c>
      <c r="AL299" s="14">
        <f t="shared" si="292"/>
        <v>26.33333333</v>
      </c>
      <c r="AM299" s="14">
        <f t="shared" si="293"/>
        <v>20</v>
      </c>
    </row>
    <row r="300" ht="14.25" customHeight="1">
      <c r="A300" s="1" t="s">
        <v>59</v>
      </c>
      <c r="B300" s="1" t="s">
        <v>459</v>
      </c>
      <c r="C300" s="1" t="s">
        <v>464</v>
      </c>
      <c r="D300" s="1" t="s">
        <v>464</v>
      </c>
      <c r="E300" s="14">
        <v>71106.0</v>
      </c>
      <c r="F300" s="15">
        <v>29.0</v>
      </c>
      <c r="G300" s="15">
        <v>47.0</v>
      </c>
      <c r="H300" s="15">
        <v>56.0</v>
      </c>
      <c r="I300" s="15">
        <v>61.0</v>
      </c>
      <c r="J300" s="15">
        <v>113.0</v>
      </c>
      <c r="K300" s="15">
        <v>113.0</v>
      </c>
      <c r="L300" s="16">
        <v>114.0</v>
      </c>
      <c r="M300" s="14">
        <f t="shared" ref="M300:S300" si="413">IF(AND(ISBLANK(F300), NOT(ISBLANK(T300))), T300, IF(OR(ISBLANK(T300), ISBLANK(F300)), "", T300-F300))</f>
        <v>18</v>
      </c>
      <c r="N300" s="14">
        <f t="shared" si="413"/>
        <v>43</v>
      </c>
      <c r="O300" s="14">
        <f t="shared" si="413"/>
        <v>50</v>
      </c>
      <c r="P300" s="14">
        <f t="shared" si="413"/>
        <v>51</v>
      </c>
      <c r="Q300" s="14">
        <f t="shared" si="413"/>
        <v>39</v>
      </c>
      <c r="R300" s="14">
        <f t="shared" si="413"/>
        <v>48</v>
      </c>
      <c r="S300" s="14">
        <f t="shared" si="413"/>
        <v>56</v>
      </c>
      <c r="T300" s="16">
        <v>47.0</v>
      </c>
      <c r="U300" s="16">
        <v>90.0</v>
      </c>
      <c r="V300" s="16">
        <v>106.0</v>
      </c>
      <c r="W300" s="15">
        <v>112.0</v>
      </c>
      <c r="X300" s="15">
        <v>152.0</v>
      </c>
      <c r="Y300" s="17">
        <v>161.0</v>
      </c>
      <c r="Z300" s="15">
        <v>170.0</v>
      </c>
      <c r="AA300" s="15">
        <v>61.702127659574465</v>
      </c>
      <c r="AB300" s="15">
        <v>52.22222222222223</v>
      </c>
      <c r="AC300" s="15">
        <v>52.83018867924528</v>
      </c>
      <c r="AD300" s="16">
        <v>54.46428571428571</v>
      </c>
      <c r="AE300" s="16">
        <v>74.3421052631579</v>
      </c>
      <c r="AF300" s="16">
        <v>70.1863354037267</v>
      </c>
      <c r="AG300" s="16">
        <v>67.05882352941175</v>
      </c>
      <c r="AH300" s="16">
        <f t="shared" si="314"/>
        <v>53.17223221</v>
      </c>
      <c r="AI300" s="18">
        <f t="shared" si="289"/>
        <v>70.52908807</v>
      </c>
      <c r="AJ300" s="14">
        <f t="shared" si="290"/>
        <v>54.66666667</v>
      </c>
      <c r="AK300" s="14">
        <f t="shared" si="291"/>
        <v>113.3333333</v>
      </c>
      <c r="AL300" s="14">
        <f t="shared" si="292"/>
        <v>48</v>
      </c>
      <c r="AM300" s="14">
        <f t="shared" si="293"/>
        <v>47.66666667</v>
      </c>
    </row>
    <row r="301" ht="14.25" customHeight="1">
      <c r="A301" s="1" t="s">
        <v>59</v>
      </c>
      <c r="B301" s="1" t="s">
        <v>465</v>
      </c>
      <c r="C301" s="1" t="s">
        <v>466</v>
      </c>
      <c r="D301" s="1" t="s">
        <v>466</v>
      </c>
      <c r="E301" s="14">
        <v>71201.0</v>
      </c>
      <c r="F301" s="15">
        <v>22.0</v>
      </c>
      <c r="G301" s="15">
        <v>40.0</v>
      </c>
      <c r="H301" s="15">
        <v>48.0</v>
      </c>
      <c r="I301" s="15">
        <v>53.0</v>
      </c>
      <c r="J301" s="15">
        <v>126.0</v>
      </c>
      <c r="K301" s="15">
        <v>126.0</v>
      </c>
      <c r="L301" s="16">
        <v>123.0</v>
      </c>
      <c r="M301" s="14">
        <f t="shared" ref="M301:S301" si="414">IF(AND(ISBLANK(F301), NOT(ISBLANK(T301))), T301, IF(OR(ISBLANK(T301), ISBLANK(F301)), "", T301-F301))</f>
        <v>24</v>
      </c>
      <c r="N301" s="14">
        <f t="shared" si="414"/>
        <v>28</v>
      </c>
      <c r="O301" s="14">
        <f t="shared" si="414"/>
        <v>39</v>
      </c>
      <c r="P301" s="14">
        <f t="shared" si="414"/>
        <v>39</v>
      </c>
      <c r="Q301" s="14">
        <f t="shared" si="414"/>
        <v>24</v>
      </c>
      <c r="R301" s="14">
        <f t="shared" si="414"/>
        <v>23</v>
      </c>
      <c r="S301" s="14">
        <f t="shared" si="414"/>
        <v>23</v>
      </c>
      <c r="T301" s="16">
        <v>46.0</v>
      </c>
      <c r="U301" s="16">
        <v>68.0</v>
      </c>
      <c r="V301" s="16">
        <v>87.0</v>
      </c>
      <c r="W301" s="15">
        <v>92.0</v>
      </c>
      <c r="X301" s="15">
        <v>150.0</v>
      </c>
      <c r="Y301" s="17">
        <v>149.0</v>
      </c>
      <c r="Z301" s="15">
        <v>146.0</v>
      </c>
      <c r="AA301" s="15">
        <v>47.82608695652174</v>
      </c>
      <c r="AB301" s="15">
        <v>58.82352941176471</v>
      </c>
      <c r="AC301" s="15">
        <v>55.172413793103445</v>
      </c>
      <c r="AD301" s="16">
        <v>57.608695652173914</v>
      </c>
      <c r="AE301" s="16">
        <v>84.0</v>
      </c>
      <c r="AF301" s="16">
        <v>84.56375838926175</v>
      </c>
      <c r="AG301" s="16">
        <v>84.24657534246576</v>
      </c>
      <c r="AH301" s="16">
        <f t="shared" si="314"/>
        <v>57.20154629</v>
      </c>
      <c r="AI301" s="18">
        <f t="shared" si="289"/>
        <v>84.27011124</v>
      </c>
      <c r="AJ301" s="14">
        <f t="shared" si="290"/>
        <v>47</v>
      </c>
      <c r="AK301" s="14">
        <f t="shared" si="291"/>
        <v>125</v>
      </c>
      <c r="AL301" s="14">
        <f t="shared" si="292"/>
        <v>35.33333333</v>
      </c>
      <c r="AM301" s="14">
        <f t="shared" si="293"/>
        <v>23.33333333</v>
      </c>
    </row>
    <row r="302" ht="14.25" customHeight="1">
      <c r="A302" s="1" t="s">
        <v>59</v>
      </c>
      <c r="B302" s="1" t="s">
        <v>467</v>
      </c>
      <c r="C302" s="1" t="s">
        <v>468</v>
      </c>
      <c r="D302" s="1" t="s">
        <v>468</v>
      </c>
      <c r="E302" s="14">
        <v>71301.0</v>
      </c>
      <c r="F302" s="15">
        <v>45.0</v>
      </c>
      <c r="G302" s="15">
        <v>45.0</v>
      </c>
      <c r="H302" s="15">
        <v>56.0</v>
      </c>
      <c r="I302" s="15">
        <v>64.0</v>
      </c>
      <c r="J302" s="15">
        <v>111.0</v>
      </c>
      <c r="K302" s="15">
        <v>112.0</v>
      </c>
      <c r="L302" s="16">
        <v>114.0</v>
      </c>
      <c r="M302" s="14">
        <f t="shared" ref="M302:S302" si="415">IF(AND(ISBLANK(F302), NOT(ISBLANK(T302))), T302, IF(OR(ISBLANK(T302), ISBLANK(F302)), "", T302-F302))</f>
        <v>21</v>
      </c>
      <c r="N302" s="14">
        <f t="shared" si="415"/>
        <v>20</v>
      </c>
      <c r="O302" s="14">
        <f t="shared" si="415"/>
        <v>37</v>
      </c>
      <c r="P302" s="14">
        <f t="shared" si="415"/>
        <v>40</v>
      </c>
      <c r="Q302" s="14">
        <f t="shared" si="415"/>
        <v>33</v>
      </c>
      <c r="R302" s="14">
        <f t="shared" si="415"/>
        <v>35</v>
      </c>
      <c r="S302" s="14">
        <f t="shared" si="415"/>
        <v>35</v>
      </c>
      <c r="T302" s="16">
        <v>66.0</v>
      </c>
      <c r="U302" s="16">
        <v>65.0</v>
      </c>
      <c r="V302" s="16">
        <v>93.0</v>
      </c>
      <c r="W302" s="15">
        <v>104.0</v>
      </c>
      <c r="X302" s="15">
        <v>144.0</v>
      </c>
      <c r="Y302" s="17">
        <v>147.0</v>
      </c>
      <c r="Z302" s="15">
        <v>149.0</v>
      </c>
      <c r="AA302" s="15">
        <v>68.18181818181817</v>
      </c>
      <c r="AB302" s="15">
        <v>69.23076923076923</v>
      </c>
      <c r="AC302" s="15">
        <v>60.215053763440864</v>
      </c>
      <c r="AD302" s="16">
        <v>61.53846153846154</v>
      </c>
      <c r="AE302" s="16">
        <v>77.08333333333334</v>
      </c>
      <c r="AF302" s="16">
        <v>76.19047619047619</v>
      </c>
      <c r="AG302" s="16">
        <v>76.51006711409396</v>
      </c>
      <c r="AH302" s="16">
        <f t="shared" si="314"/>
        <v>63.66142818</v>
      </c>
      <c r="AI302" s="18">
        <f t="shared" si="289"/>
        <v>76.59462555</v>
      </c>
      <c r="AJ302" s="14">
        <f t="shared" si="290"/>
        <v>55</v>
      </c>
      <c r="AK302" s="14">
        <f t="shared" si="291"/>
        <v>112.3333333</v>
      </c>
      <c r="AL302" s="14">
        <f t="shared" si="292"/>
        <v>32.33333333</v>
      </c>
      <c r="AM302" s="14">
        <f t="shared" si="293"/>
        <v>34.33333333</v>
      </c>
    </row>
    <row r="303" ht="14.25" customHeight="1">
      <c r="A303" s="1" t="s">
        <v>59</v>
      </c>
      <c r="B303" s="1" t="s">
        <v>467</v>
      </c>
      <c r="C303" s="1" t="s">
        <v>469</v>
      </c>
      <c r="D303" s="1" t="s">
        <v>469</v>
      </c>
      <c r="E303" s="14">
        <v>71302.0</v>
      </c>
      <c r="F303" s="15">
        <v>11.0</v>
      </c>
      <c r="G303" s="15">
        <v>12.0</v>
      </c>
      <c r="H303" s="15">
        <v>14.0</v>
      </c>
      <c r="I303" s="15">
        <v>16.0</v>
      </c>
      <c r="J303" s="15">
        <v>36.0</v>
      </c>
      <c r="K303" s="15">
        <v>34.0</v>
      </c>
      <c r="L303" s="16">
        <v>36.0</v>
      </c>
      <c r="M303" s="14">
        <f t="shared" ref="M303:S303" si="416">IF(AND(ISBLANK(F303), NOT(ISBLANK(T303))), T303, IF(OR(ISBLANK(T303), ISBLANK(F303)), "", T303-F303))</f>
        <v>9</v>
      </c>
      <c r="N303" s="14">
        <f t="shared" si="416"/>
        <v>8</v>
      </c>
      <c r="O303" s="14">
        <f t="shared" si="416"/>
        <v>10</v>
      </c>
      <c r="P303" s="14">
        <f t="shared" si="416"/>
        <v>11</v>
      </c>
      <c r="Q303" s="14">
        <f t="shared" si="416"/>
        <v>9</v>
      </c>
      <c r="R303" s="14">
        <f t="shared" si="416"/>
        <v>11</v>
      </c>
      <c r="S303" s="14">
        <f t="shared" si="416"/>
        <v>10</v>
      </c>
      <c r="T303" s="16">
        <v>20.0</v>
      </c>
      <c r="U303" s="16">
        <v>20.0</v>
      </c>
      <c r="V303" s="16">
        <v>24.0</v>
      </c>
      <c r="W303" s="15">
        <v>27.0</v>
      </c>
      <c r="X303" s="15">
        <v>45.0</v>
      </c>
      <c r="Y303" s="17">
        <v>45.0</v>
      </c>
      <c r="Z303" s="15">
        <v>46.0</v>
      </c>
      <c r="AA303" s="15">
        <v>55.00000000000001</v>
      </c>
      <c r="AB303" s="15">
        <v>60.0</v>
      </c>
      <c r="AC303" s="15">
        <v>58.333333333333336</v>
      </c>
      <c r="AD303" s="16">
        <v>59.25925925925925</v>
      </c>
      <c r="AE303" s="16">
        <v>80.0</v>
      </c>
      <c r="AF303" s="16">
        <v>75.55555555555556</v>
      </c>
      <c r="AG303" s="16">
        <v>78.26086956521739</v>
      </c>
      <c r="AH303" s="16">
        <f t="shared" si="314"/>
        <v>59.19753086</v>
      </c>
      <c r="AI303" s="18">
        <f t="shared" si="289"/>
        <v>77.93880837</v>
      </c>
      <c r="AJ303" s="14">
        <f t="shared" si="290"/>
        <v>14</v>
      </c>
      <c r="AK303" s="14">
        <f t="shared" si="291"/>
        <v>35.33333333</v>
      </c>
      <c r="AL303" s="14">
        <f t="shared" si="292"/>
        <v>9.666666667</v>
      </c>
      <c r="AM303" s="14">
        <f t="shared" si="293"/>
        <v>10</v>
      </c>
    </row>
    <row r="304" ht="14.25" customHeight="1">
      <c r="A304" s="1" t="s">
        <v>59</v>
      </c>
      <c r="B304" s="1" t="s">
        <v>470</v>
      </c>
      <c r="C304" s="1" t="s">
        <v>471</v>
      </c>
      <c r="D304" s="1" t="s">
        <v>471</v>
      </c>
      <c r="E304" s="14">
        <v>71401.0</v>
      </c>
      <c r="F304" s="15">
        <v>21.0</v>
      </c>
      <c r="G304" s="15">
        <v>23.0</v>
      </c>
      <c r="H304" s="15">
        <v>30.0</v>
      </c>
      <c r="I304" s="15">
        <v>32.0</v>
      </c>
      <c r="J304" s="15">
        <v>62.0</v>
      </c>
      <c r="K304" s="15">
        <v>62.0</v>
      </c>
      <c r="L304" s="16">
        <v>60.0</v>
      </c>
      <c r="M304" s="14">
        <f t="shared" ref="M304:S304" si="417">IF(AND(ISBLANK(F304), NOT(ISBLANK(T304))), T304, IF(OR(ISBLANK(T304), ISBLANK(F304)), "", T304-F304))</f>
        <v>31</v>
      </c>
      <c r="N304" s="14">
        <f t="shared" si="417"/>
        <v>29</v>
      </c>
      <c r="O304" s="14">
        <f t="shared" si="417"/>
        <v>50</v>
      </c>
      <c r="P304" s="14">
        <f t="shared" si="417"/>
        <v>51</v>
      </c>
      <c r="Q304" s="14">
        <f t="shared" si="417"/>
        <v>23</v>
      </c>
      <c r="R304" s="14">
        <f t="shared" si="417"/>
        <v>23</v>
      </c>
      <c r="S304" s="14">
        <f t="shared" si="417"/>
        <v>24</v>
      </c>
      <c r="T304" s="16">
        <v>52.0</v>
      </c>
      <c r="U304" s="16">
        <v>52.0</v>
      </c>
      <c r="V304" s="16">
        <v>80.0</v>
      </c>
      <c r="W304" s="15">
        <v>83.0</v>
      </c>
      <c r="X304" s="15">
        <v>85.0</v>
      </c>
      <c r="Y304" s="17">
        <v>85.0</v>
      </c>
      <c r="Z304" s="15">
        <v>84.0</v>
      </c>
      <c r="AA304" s="15">
        <v>40.38461538461539</v>
      </c>
      <c r="AB304" s="15">
        <v>44.230769230769226</v>
      </c>
      <c r="AC304" s="15">
        <v>37.5</v>
      </c>
      <c r="AD304" s="16">
        <v>38.55421686746988</v>
      </c>
      <c r="AE304" s="16">
        <v>72.94117647058823</v>
      </c>
      <c r="AF304" s="16">
        <v>72.94117647058823</v>
      </c>
      <c r="AG304" s="16">
        <v>71.42857142857143</v>
      </c>
      <c r="AH304" s="16">
        <f t="shared" si="314"/>
        <v>40.09499537</v>
      </c>
      <c r="AI304" s="18">
        <f t="shared" si="289"/>
        <v>72.43697479</v>
      </c>
      <c r="AJ304" s="14">
        <f t="shared" si="290"/>
        <v>28.33333333</v>
      </c>
      <c r="AK304" s="14">
        <f t="shared" si="291"/>
        <v>61.33333333</v>
      </c>
      <c r="AL304" s="14">
        <f t="shared" si="292"/>
        <v>43.33333333</v>
      </c>
      <c r="AM304" s="14">
        <f t="shared" si="293"/>
        <v>23.33333333</v>
      </c>
    </row>
    <row r="305" ht="14.25" customHeight="1">
      <c r="A305" s="1" t="s">
        <v>59</v>
      </c>
      <c r="B305" s="1" t="s">
        <v>470</v>
      </c>
      <c r="C305" s="1" t="s">
        <v>472</v>
      </c>
      <c r="D305" s="1" t="s">
        <v>472</v>
      </c>
      <c r="E305" s="14">
        <v>71402.0</v>
      </c>
      <c r="F305" s="15">
        <v>13.0</v>
      </c>
      <c r="G305" s="15">
        <v>20.0</v>
      </c>
      <c r="H305" s="15">
        <v>32.0</v>
      </c>
      <c r="I305" s="15">
        <v>45.0</v>
      </c>
      <c r="J305" s="15">
        <v>72.0</v>
      </c>
      <c r="K305" s="15">
        <v>75.0</v>
      </c>
      <c r="L305" s="16">
        <v>79.0</v>
      </c>
      <c r="M305" s="14">
        <f t="shared" ref="M305:S305" si="418">IF(AND(ISBLANK(F305), NOT(ISBLANK(T305))), T305, IF(OR(ISBLANK(T305), ISBLANK(F305)), "", T305-F305))</f>
        <v>19</v>
      </c>
      <c r="N305" s="14">
        <f t="shared" si="418"/>
        <v>17</v>
      </c>
      <c r="O305" s="14">
        <f t="shared" si="418"/>
        <v>30</v>
      </c>
      <c r="P305" s="14">
        <f t="shared" si="418"/>
        <v>23</v>
      </c>
      <c r="Q305" s="14">
        <f t="shared" si="418"/>
        <v>19</v>
      </c>
      <c r="R305" s="14">
        <f t="shared" si="418"/>
        <v>19</v>
      </c>
      <c r="S305" s="14">
        <f t="shared" si="418"/>
        <v>18</v>
      </c>
      <c r="T305" s="16">
        <v>32.0</v>
      </c>
      <c r="U305" s="16">
        <v>37.0</v>
      </c>
      <c r="V305" s="16">
        <v>62.0</v>
      </c>
      <c r="W305" s="15">
        <v>68.0</v>
      </c>
      <c r="X305" s="15">
        <v>91.0</v>
      </c>
      <c r="Y305" s="17">
        <v>94.0</v>
      </c>
      <c r="Z305" s="15">
        <v>97.0</v>
      </c>
      <c r="AA305" s="15">
        <v>40.625</v>
      </c>
      <c r="AB305" s="15">
        <v>54.054054054054056</v>
      </c>
      <c r="AC305" s="15">
        <v>51.61290322580645</v>
      </c>
      <c r="AD305" s="16">
        <v>66.17647058823529</v>
      </c>
      <c r="AE305" s="16">
        <v>79.12087912087912</v>
      </c>
      <c r="AF305" s="16">
        <v>79.7872340425532</v>
      </c>
      <c r="AG305" s="16">
        <v>81.44329896907216</v>
      </c>
      <c r="AH305" s="16">
        <f t="shared" si="314"/>
        <v>57.28114262</v>
      </c>
      <c r="AI305" s="18">
        <f t="shared" si="289"/>
        <v>80.11713738</v>
      </c>
      <c r="AJ305" s="14">
        <f t="shared" si="290"/>
        <v>32.33333333</v>
      </c>
      <c r="AK305" s="14">
        <f t="shared" si="291"/>
        <v>75.33333333</v>
      </c>
      <c r="AL305" s="14">
        <f t="shared" si="292"/>
        <v>23.33333333</v>
      </c>
      <c r="AM305" s="14">
        <f t="shared" si="293"/>
        <v>18.66666667</v>
      </c>
    </row>
    <row r="306" ht="14.25" customHeight="1">
      <c r="A306" s="1" t="s">
        <v>59</v>
      </c>
      <c r="B306" s="1" t="s">
        <v>470</v>
      </c>
      <c r="C306" s="1" t="s">
        <v>473</v>
      </c>
      <c r="D306" s="1" t="s">
        <v>473</v>
      </c>
      <c r="E306" s="14">
        <v>71403.0</v>
      </c>
      <c r="F306" s="15">
        <v>6.0</v>
      </c>
      <c r="G306" s="15">
        <v>6.0</v>
      </c>
      <c r="H306" s="15">
        <v>9.0</v>
      </c>
      <c r="I306" s="15">
        <v>11.0</v>
      </c>
      <c r="J306" s="15">
        <v>39.0</v>
      </c>
      <c r="K306" s="15">
        <v>39.0</v>
      </c>
      <c r="L306" s="16">
        <v>36.0</v>
      </c>
      <c r="M306" s="14">
        <f t="shared" ref="M306:S306" si="419">IF(AND(ISBLANK(F306), NOT(ISBLANK(T306))), T306, IF(OR(ISBLANK(T306), ISBLANK(F306)), "", T306-F306))</f>
        <v>7</v>
      </c>
      <c r="N306" s="14">
        <f t="shared" si="419"/>
        <v>7</v>
      </c>
      <c r="O306" s="14">
        <f t="shared" si="419"/>
        <v>17</v>
      </c>
      <c r="P306" s="14">
        <f t="shared" si="419"/>
        <v>15</v>
      </c>
      <c r="Q306" s="14">
        <f t="shared" si="419"/>
        <v>2</v>
      </c>
      <c r="R306" s="14">
        <f t="shared" si="419"/>
        <v>3</v>
      </c>
      <c r="S306" s="14">
        <f t="shared" si="419"/>
        <v>6</v>
      </c>
      <c r="T306" s="16">
        <v>13.0</v>
      </c>
      <c r="U306" s="16">
        <v>13.0</v>
      </c>
      <c r="V306" s="16">
        <v>26.0</v>
      </c>
      <c r="W306" s="15">
        <v>26.0</v>
      </c>
      <c r="X306" s="15">
        <v>41.0</v>
      </c>
      <c r="Y306" s="17">
        <v>42.0</v>
      </c>
      <c r="Z306" s="15">
        <v>42.0</v>
      </c>
      <c r="AA306" s="15">
        <v>46.15384615384615</v>
      </c>
      <c r="AB306" s="15">
        <v>46.15384615384615</v>
      </c>
      <c r="AC306" s="15">
        <v>34.61538461538461</v>
      </c>
      <c r="AD306" s="16">
        <v>42.30769230769231</v>
      </c>
      <c r="AE306" s="16">
        <v>95.1219512195122</v>
      </c>
      <c r="AF306" s="16">
        <v>92.85714285714286</v>
      </c>
      <c r="AG306" s="16">
        <v>85.71428571428571</v>
      </c>
      <c r="AH306" s="16">
        <f t="shared" si="314"/>
        <v>41.02564103</v>
      </c>
      <c r="AI306" s="18">
        <f t="shared" si="289"/>
        <v>91.2311266</v>
      </c>
      <c r="AJ306" s="14">
        <f t="shared" si="290"/>
        <v>8.666666667</v>
      </c>
      <c r="AK306" s="14">
        <f t="shared" si="291"/>
        <v>38</v>
      </c>
      <c r="AL306" s="14">
        <f t="shared" si="292"/>
        <v>13</v>
      </c>
      <c r="AM306" s="14">
        <f t="shared" si="293"/>
        <v>3.666666667</v>
      </c>
    </row>
    <row r="307" ht="14.25" customHeight="1">
      <c r="A307" s="1" t="s">
        <v>59</v>
      </c>
      <c r="B307" s="1" t="s">
        <v>474</v>
      </c>
      <c r="C307" s="1" t="s">
        <v>475</v>
      </c>
      <c r="D307" s="1" t="s">
        <v>475</v>
      </c>
      <c r="E307" s="14">
        <v>71501.0</v>
      </c>
      <c r="F307" s="15">
        <v>35.0</v>
      </c>
      <c r="G307" s="15">
        <v>45.0</v>
      </c>
      <c r="H307" s="15">
        <v>53.0</v>
      </c>
      <c r="I307" s="15">
        <v>55.0</v>
      </c>
      <c r="J307" s="15">
        <v>142.0</v>
      </c>
      <c r="K307" s="15">
        <v>145.0</v>
      </c>
      <c r="L307" s="16">
        <v>151.0</v>
      </c>
      <c r="M307" s="14">
        <f t="shared" ref="M307:S307" si="420">IF(AND(ISBLANK(F307), NOT(ISBLANK(T307))), T307, IF(OR(ISBLANK(T307), ISBLANK(F307)), "", T307-F307))</f>
        <v>6</v>
      </c>
      <c r="N307" s="14">
        <f t="shared" si="420"/>
        <v>13</v>
      </c>
      <c r="O307" s="14">
        <f t="shared" si="420"/>
        <v>40</v>
      </c>
      <c r="P307" s="14">
        <f t="shared" si="420"/>
        <v>50</v>
      </c>
      <c r="Q307" s="14">
        <f t="shared" si="420"/>
        <v>36</v>
      </c>
      <c r="R307" s="14">
        <f t="shared" si="420"/>
        <v>39</v>
      </c>
      <c r="S307" s="14">
        <f t="shared" si="420"/>
        <v>36</v>
      </c>
      <c r="T307" s="16">
        <v>41.0</v>
      </c>
      <c r="U307" s="16">
        <v>58.0</v>
      </c>
      <c r="V307" s="16">
        <v>93.0</v>
      </c>
      <c r="W307" s="15">
        <v>105.0</v>
      </c>
      <c r="X307" s="15">
        <v>178.0</v>
      </c>
      <c r="Y307" s="17">
        <v>184.0</v>
      </c>
      <c r="Z307" s="15">
        <v>187.0</v>
      </c>
      <c r="AA307" s="15">
        <v>85.36585365853658</v>
      </c>
      <c r="AB307" s="15">
        <v>77.58620689655173</v>
      </c>
      <c r="AC307" s="15">
        <v>56.98924731182796</v>
      </c>
      <c r="AD307" s="16">
        <v>52.38095238095239</v>
      </c>
      <c r="AE307" s="16">
        <v>79.7752808988764</v>
      </c>
      <c r="AF307" s="16">
        <v>78.80434782608695</v>
      </c>
      <c r="AG307" s="16">
        <v>80.74866310160428</v>
      </c>
      <c r="AH307" s="16">
        <f t="shared" si="314"/>
        <v>62.3188022</v>
      </c>
      <c r="AI307" s="18">
        <f t="shared" si="289"/>
        <v>79.77609728</v>
      </c>
      <c r="AJ307" s="14">
        <f t="shared" si="290"/>
        <v>51</v>
      </c>
      <c r="AK307" s="14">
        <f t="shared" si="291"/>
        <v>146</v>
      </c>
      <c r="AL307" s="14">
        <f t="shared" si="292"/>
        <v>34.33333333</v>
      </c>
      <c r="AM307" s="14">
        <f t="shared" si="293"/>
        <v>37</v>
      </c>
    </row>
    <row r="308" ht="14.25" customHeight="1">
      <c r="A308" s="1" t="s">
        <v>59</v>
      </c>
      <c r="B308" s="1" t="s">
        <v>474</v>
      </c>
      <c r="C308" s="1" t="s">
        <v>476</v>
      </c>
      <c r="D308" s="1" t="s">
        <v>477</v>
      </c>
      <c r="E308" s="14">
        <v>71502.0</v>
      </c>
      <c r="F308" s="15">
        <v>13.0</v>
      </c>
      <c r="G308" s="15">
        <v>15.0</v>
      </c>
      <c r="H308" s="15">
        <v>15.0</v>
      </c>
      <c r="I308" s="15">
        <v>16.0</v>
      </c>
      <c r="J308" s="15">
        <v>29.0</v>
      </c>
      <c r="K308" s="15">
        <v>32.0</v>
      </c>
      <c r="L308" s="16">
        <v>38.0</v>
      </c>
      <c r="M308" s="14">
        <f t="shared" ref="M308:S308" si="421">IF(AND(ISBLANK(F308), NOT(ISBLANK(T308))), T308, IF(OR(ISBLANK(T308), ISBLANK(F308)), "", T308-F308))</f>
        <v>7</v>
      </c>
      <c r="N308" s="14">
        <f t="shared" si="421"/>
        <v>8</v>
      </c>
      <c r="O308" s="14">
        <f t="shared" si="421"/>
        <v>11</v>
      </c>
      <c r="P308" s="14">
        <f t="shared" si="421"/>
        <v>10</v>
      </c>
      <c r="Q308" s="14">
        <f t="shared" si="421"/>
        <v>5</v>
      </c>
      <c r="R308" s="14">
        <f t="shared" si="421"/>
        <v>9</v>
      </c>
      <c r="S308" s="14">
        <f t="shared" si="421"/>
        <v>5</v>
      </c>
      <c r="T308" s="16">
        <v>20.0</v>
      </c>
      <c r="U308" s="16">
        <v>23.0</v>
      </c>
      <c r="V308" s="16">
        <v>26.0</v>
      </c>
      <c r="W308" s="15">
        <v>26.0</v>
      </c>
      <c r="X308" s="15">
        <v>34.0</v>
      </c>
      <c r="Y308" s="17">
        <v>41.0</v>
      </c>
      <c r="Z308" s="15">
        <v>43.0</v>
      </c>
      <c r="AA308" s="15">
        <v>65.0</v>
      </c>
      <c r="AB308" s="15">
        <v>65.21739130434783</v>
      </c>
      <c r="AC308" s="15">
        <v>57.692307692307686</v>
      </c>
      <c r="AD308" s="16">
        <v>61.53846153846154</v>
      </c>
      <c r="AE308" s="16">
        <v>85.29411764705883</v>
      </c>
      <c r="AF308" s="16">
        <v>78.04878048780488</v>
      </c>
      <c r="AG308" s="16">
        <v>88.37209302325581</v>
      </c>
      <c r="AH308" s="16">
        <f t="shared" si="314"/>
        <v>61.48272018</v>
      </c>
      <c r="AI308" s="18">
        <f t="shared" si="289"/>
        <v>83.90499705</v>
      </c>
      <c r="AJ308" s="14">
        <f t="shared" si="290"/>
        <v>15.33333333</v>
      </c>
      <c r="AK308" s="14">
        <f t="shared" si="291"/>
        <v>33</v>
      </c>
      <c r="AL308" s="14">
        <f t="shared" si="292"/>
        <v>9.666666667</v>
      </c>
      <c r="AM308" s="14">
        <f t="shared" si="293"/>
        <v>6.333333333</v>
      </c>
    </row>
    <row r="309" ht="14.25" customHeight="1">
      <c r="A309" s="1" t="s">
        <v>59</v>
      </c>
      <c r="B309" s="1" t="s">
        <v>474</v>
      </c>
      <c r="C309" s="1" t="s">
        <v>403</v>
      </c>
      <c r="D309" s="1" t="s">
        <v>403</v>
      </c>
      <c r="E309" s="14">
        <v>71503.0</v>
      </c>
      <c r="F309" s="15">
        <v>20.0</v>
      </c>
      <c r="G309" s="15">
        <v>29.0</v>
      </c>
      <c r="H309" s="15">
        <v>35.0</v>
      </c>
      <c r="I309" s="15">
        <v>41.0</v>
      </c>
      <c r="J309" s="15">
        <v>66.0</v>
      </c>
      <c r="K309" s="15">
        <v>68.0</v>
      </c>
      <c r="L309" s="16">
        <v>72.0</v>
      </c>
      <c r="M309" s="14">
        <f t="shared" ref="M309:S309" si="422">IF(AND(ISBLANK(F309), NOT(ISBLANK(T309))), T309, IF(OR(ISBLANK(T309), ISBLANK(F309)), "", T309-F309))</f>
        <v>9</v>
      </c>
      <c r="N309" s="14">
        <f t="shared" si="422"/>
        <v>12</v>
      </c>
      <c r="O309" s="14">
        <f t="shared" si="422"/>
        <v>25</v>
      </c>
      <c r="P309" s="14">
        <f t="shared" si="422"/>
        <v>19</v>
      </c>
      <c r="Q309" s="14">
        <f t="shared" si="422"/>
        <v>10</v>
      </c>
      <c r="R309" s="14">
        <f t="shared" si="422"/>
        <v>12</v>
      </c>
      <c r="S309" s="14">
        <f t="shared" si="422"/>
        <v>10</v>
      </c>
      <c r="T309" s="16">
        <v>29.0</v>
      </c>
      <c r="U309" s="16">
        <v>41.0</v>
      </c>
      <c r="V309" s="16">
        <v>60.0</v>
      </c>
      <c r="W309" s="15">
        <v>60.0</v>
      </c>
      <c r="X309" s="15">
        <v>76.0</v>
      </c>
      <c r="Y309" s="17">
        <v>80.0</v>
      </c>
      <c r="Z309" s="15">
        <v>82.0</v>
      </c>
      <c r="AA309" s="15">
        <v>68.96551724137932</v>
      </c>
      <c r="AB309" s="15">
        <v>70.73170731707317</v>
      </c>
      <c r="AC309" s="15">
        <v>58.333333333333336</v>
      </c>
      <c r="AD309" s="16">
        <v>68.33333333333333</v>
      </c>
      <c r="AE309" s="16">
        <v>86.8421052631579</v>
      </c>
      <c r="AF309" s="16">
        <v>85.0</v>
      </c>
      <c r="AG309" s="16">
        <v>87.8048780487805</v>
      </c>
      <c r="AH309" s="16">
        <f t="shared" si="314"/>
        <v>65.79945799</v>
      </c>
      <c r="AI309" s="18">
        <f t="shared" si="289"/>
        <v>86.54899444</v>
      </c>
      <c r="AJ309" s="14">
        <f t="shared" si="290"/>
        <v>35</v>
      </c>
      <c r="AK309" s="14">
        <f t="shared" si="291"/>
        <v>68.66666667</v>
      </c>
      <c r="AL309" s="14">
        <f t="shared" si="292"/>
        <v>18.66666667</v>
      </c>
      <c r="AM309" s="14">
        <f t="shared" si="293"/>
        <v>10.66666667</v>
      </c>
    </row>
    <row r="310" ht="14.25" customHeight="1">
      <c r="A310" s="1" t="s">
        <v>62</v>
      </c>
      <c r="B310" s="1" t="s">
        <v>213</v>
      </c>
      <c r="C310" s="1" t="s">
        <v>478</v>
      </c>
      <c r="D310" s="1" t="s">
        <v>478</v>
      </c>
      <c r="E310" s="14">
        <v>80101.0</v>
      </c>
      <c r="F310" s="15">
        <v>171.0</v>
      </c>
      <c r="G310" s="15">
        <v>184.0</v>
      </c>
      <c r="H310" s="15">
        <v>198.0</v>
      </c>
      <c r="I310" s="15">
        <v>210.0</v>
      </c>
      <c r="J310" s="15">
        <v>337.0</v>
      </c>
      <c r="K310" s="15">
        <v>342.0</v>
      </c>
      <c r="L310" s="16">
        <v>355.0</v>
      </c>
      <c r="M310" s="14">
        <f t="shared" ref="M310:S310" si="423">IF(AND(ISBLANK(F310), NOT(ISBLANK(T310))), T310, IF(OR(ISBLANK(T310), ISBLANK(F310)), "", T310-F310))</f>
        <v>193</v>
      </c>
      <c r="N310" s="14">
        <f t="shared" si="423"/>
        <v>187</v>
      </c>
      <c r="O310" s="14">
        <f t="shared" si="423"/>
        <v>247</v>
      </c>
      <c r="P310" s="14">
        <f t="shared" si="423"/>
        <v>280</v>
      </c>
      <c r="Q310" s="14">
        <f t="shared" si="423"/>
        <v>246</v>
      </c>
      <c r="R310" s="14">
        <f t="shared" si="423"/>
        <v>254</v>
      </c>
      <c r="S310" s="14">
        <f t="shared" si="423"/>
        <v>255</v>
      </c>
      <c r="T310" s="16">
        <v>364.0</v>
      </c>
      <c r="U310" s="16">
        <v>371.0</v>
      </c>
      <c r="V310" s="16">
        <v>445.0</v>
      </c>
      <c r="W310" s="15">
        <v>490.0</v>
      </c>
      <c r="X310" s="15">
        <v>583.0</v>
      </c>
      <c r="Y310" s="17">
        <v>596.0</v>
      </c>
      <c r="Z310" s="15">
        <v>610.0</v>
      </c>
      <c r="AA310" s="15">
        <v>46.97802197802198</v>
      </c>
      <c r="AB310" s="15">
        <v>49.59568733153639</v>
      </c>
      <c r="AC310" s="15">
        <v>44.49438202247191</v>
      </c>
      <c r="AD310" s="16">
        <v>42.857142857142854</v>
      </c>
      <c r="AE310" s="16">
        <v>57.80445969125214</v>
      </c>
      <c r="AF310" s="16">
        <v>57.38255033557047</v>
      </c>
      <c r="AG310" s="16">
        <v>58.19672131147541</v>
      </c>
      <c r="AH310" s="16">
        <f t="shared" si="314"/>
        <v>45.64907074</v>
      </c>
      <c r="AI310" s="18">
        <f t="shared" si="289"/>
        <v>57.79457711</v>
      </c>
      <c r="AJ310" s="14">
        <f t="shared" si="290"/>
        <v>197.3333333</v>
      </c>
      <c r="AK310" s="14">
        <f t="shared" si="291"/>
        <v>344.6666667</v>
      </c>
      <c r="AL310" s="14">
        <f t="shared" si="292"/>
        <v>238</v>
      </c>
      <c r="AM310" s="14">
        <f t="shared" si="293"/>
        <v>251.6666667</v>
      </c>
    </row>
    <row r="311" ht="14.25" customHeight="1">
      <c r="A311" s="1" t="s">
        <v>62</v>
      </c>
      <c r="B311" s="1" t="s">
        <v>213</v>
      </c>
      <c r="C311" s="1" t="s">
        <v>460</v>
      </c>
      <c r="D311" s="1" t="s">
        <v>460</v>
      </c>
      <c r="E311" s="14">
        <v>80102.0</v>
      </c>
      <c r="F311" s="15">
        <v>3.0</v>
      </c>
      <c r="G311" s="15">
        <v>4.0</v>
      </c>
      <c r="H311" s="15">
        <v>3.0</v>
      </c>
      <c r="I311" s="15">
        <v>3.0</v>
      </c>
      <c r="J311" s="15">
        <v>17.0</v>
      </c>
      <c r="K311" s="15">
        <v>17.0</v>
      </c>
      <c r="L311" s="16">
        <v>23.0</v>
      </c>
      <c r="M311" s="14">
        <f t="shared" ref="M311:S311" si="424">IF(AND(ISBLANK(F311), NOT(ISBLANK(T311))), T311, IF(OR(ISBLANK(T311), ISBLANK(F311)), "", T311-F311))</f>
        <v>9</v>
      </c>
      <c r="N311" s="14">
        <f t="shared" si="424"/>
        <v>8</v>
      </c>
      <c r="O311" s="14">
        <f t="shared" si="424"/>
        <v>9</v>
      </c>
      <c r="P311" s="14">
        <f t="shared" si="424"/>
        <v>9</v>
      </c>
      <c r="Q311" s="14">
        <f t="shared" si="424"/>
        <v>18</v>
      </c>
      <c r="R311" s="14">
        <f t="shared" si="424"/>
        <v>22</v>
      </c>
      <c r="S311" s="14">
        <f t="shared" si="424"/>
        <v>24</v>
      </c>
      <c r="T311" s="16">
        <v>12.0</v>
      </c>
      <c r="U311" s="16">
        <v>12.0</v>
      </c>
      <c r="V311" s="16">
        <v>12.0</v>
      </c>
      <c r="W311" s="15">
        <v>12.0</v>
      </c>
      <c r="X311" s="15">
        <v>35.0</v>
      </c>
      <c r="Y311" s="17">
        <v>39.0</v>
      </c>
      <c r="Z311" s="15">
        <v>47.0</v>
      </c>
      <c r="AA311" s="15">
        <v>25.0</v>
      </c>
      <c r="AB311" s="15">
        <v>33.33333333333333</v>
      </c>
      <c r="AC311" s="15">
        <v>25.0</v>
      </c>
      <c r="AD311" s="16">
        <v>25.0</v>
      </c>
      <c r="AE311" s="16">
        <v>48.57142857142857</v>
      </c>
      <c r="AF311" s="16">
        <v>43.58974358974359</v>
      </c>
      <c r="AG311" s="16">
        <v>48.93617021276596</v>
      </c>
      <c r="AH311" s="16">
        <f t="shared" si="314"/>
        <v>27.77777778</v>
      </c>
      <c r="AI311" s="18">
        <f t="shared" si="289"/>
        <v>47.03244746</v>
      </c>
      <c r="AJ311" s="14">
        <f t="shared" si="290"/>
        <v>3.333333333</v>
      </c>
      <c r="AK311" s="14">
        <f t="shared" si="291"/>
        <v>19</v>
      </c>
      <c r="AL311" s="14">
        <f t="shared" si="292"/>
        <v>8.666666667</v>
      </c>
      <c r="AM311" s="14">
        <f t="shared" si="293"/>
        <v>21.33333333</v>
      </c>
    </row>
    <row r="312" ht="14.25" customHeight="1">
      <c r="A312" s="1" t="s">
        <v>62</v>
      </c>
      <c r="B312" s="1" t="s">
        <v>479</v>
      </c>
      <c r="C312" s="1" t="s">
        <v>480</v>
      </c>
      <c r="D312" s="1" t="s">
        <v>480</v>
      </c>
      <c r="E312" s="14">
        <v>80201.0</v>
      </c>
      <c r="F312" s="15">
        <v>37.0</v>
      </c>
      <c r="G312" s="15">
        <v>50.0</v>
      </c>
      <c r="H312" s="15">
        <v>57.0</v>
      </c>
      <c r="I312" s="15">
        <v>55.0</v>
      </c>
      <c r="J312" s="15">
        <v>155.0</v>
      </c>
      <c r="K312" s="15">
        <v>178.0</v>
      </c>
      <c r="L312" s="16">
        <v>196.0</v>
      </c>
      <c r="M312" s="14">
        <f t="shared" ref="M312:S312" si="425">IF(AND(ISBLANK(F312), NOT(ISBLANK(T312))), T312, IF(OR(ISBLANK(T312), ISBLANK(F312)), "", T312-F312))</f>
        <v>229</v>
      </c>
      <c r="N312" s="14">
        <f t="shared" si="425"/>
        <v>219</v>
      </c>
      <c r="O312" s="14">
        <f t="shared" si="425"/>
        <v>226</v>
      </c>
      <c r="P312" s="14">
        <f t="shared" si="425"/>
        <v>238</v>
      </c>
      <c r="Q312" s="14">
        <f t="shared" si="425"/>
        <v>232</v>
      </c>
      <c r="R312" s="14">
        <f t="shared" si="425"/>
        <v>240</v>
      </c>
      <c r="S312" s="14">
        <f t="shared" si="425"/>
        <v>241</v>
      </c>
      <c r="T312" s="16">
        <v>266.0</v>
      </c>
      <c r="U312" s="16">
        <v>269.0</v>
      </c>
      <c r="V312" s="16">
        <v>283.0</v>
      </c>
      <c r="W312" s="15">
        <v>293.0</v>
      </c>
      <c r="X312" s="15">
        <v>387.0</v>
      </c>
      <c r="Y312" s="17">
        <v>418.0</v>
      </c>
      <c r="Z312" s="15">
        <v>437.0</v>
      </c>
      <c r="AA312" s="15">
        <v>13.909774436090224</v>
      </c>
      <c r="AB312" s="15">
        <v>18.587360594795538</v>
      </c>
      <c r="AC312" s="15">
        <v>20.141342756183743</v>
      </c>
      <c r="AD312" s="16">
        <v>18.771331058020476</v>
      </c>
      <c r="AE312" s="16">
        <v>40.05167958656331</v>
      </c>
      <c r="AF312" s="16">
        <v>42.58373205741627</v>
      </c>
      <c r="AG312" s="16">
        <v>44.8512585812357</v>
      </c>
      <c r="AH312" s="16">
        <f t="shared" si="314"/>
        <v>19.16667814</v>
      </c>
      <c r="AI312" s="18">
        <f t="shared" si="289"/>
        <v>42.49555674</v>
      </c>
      <c r="AJ312" s="14">
        <f t="shared" si="290"/>
        <v>54</v>
      </c>
      <c r="AK312" s="14">
        <f t="shared" si="291"/>
        <v>176.3333333</v>
      </c>
      <c r="AL312" s="14">
        <f t="shared" si="292"/>
        <v>227.6666667</v>
      </c>
      <c r="AM312" s="14">
        <f t="shared" si="293"/>
        <v>237.6666667</v>
      </c>
    </row>
    <row r="313" ht="14.25" customHeight="1">
      <c r="A313" s="1" t="s">
        <v>62</v>
      </c>
      <c r="B313" s="1" t="s">
        <v>479</v>
      </c>
      <c r="C313" s="1" t="s">
        <v>481</v>
      </c>
      <c r="D313" s="1" t="s">
        <v>481</v>
      </c>
      <c r="E313" s="14">
        <v>80202.0</v>
      </c>
      <c r="F313" s="15">
        <v>45.0</v>
      </c>
      <c r="G313" s="15">
        <v>52.0</v>
      </c>
      <c r="H313" s="15">
        <v>60.0</v>
      </c>
      <c r="I313" s="15">
        <v>87.0</v>
      </c>
      <c r="J313" s="15">
        <v>282.0</v>
      </c>
      <c r="K313" s="15">
        <v>270.0</v>
      </c>
      <c r="L313" s="16">
        <v>278.0</v>
      </c>
      <c r="M313" s="14">
        <f t="shared" ref="M313:S313" si="426">IF(AND(ISBLANK(F313), NOT(ISBLANK(T313))), T313, IF(OR(ISBLANK(T313), ISBLANK(F313)), "", T313-F313))</f>
        <v>154</v>
      </c>
      <c r="N313" s="14">
        <f t="shared" si="426"/>
        <v>142</v>
      </c>
      <c r="O313" s="14">
        <f t="shared" si="426"/>
        <v>146</v>
      </c>
      <c r="P313" s="14">
        <f t="shared" si="426"/>
        <v>150</v>
      </c>
      <c r="Q313" s="14">
        <f t="shared" si="426"/>
        <v>81</v>
      </c>
      <c r="R313" s="14">
        <f t="shared" si="426"/>
        <v>91</v>
      </c>
      <c r="S313" s="14">
        <f t="shared" si="426"/>
        <v>83</v>
      </c>
      <c r="T313" s="16">
        <v>199.0</v>
      </c>
      <c r="U313" s="16">
        <v>194.0</v>
      </c>
      <c r="V313" s="16">
        <v>206.0</v>
      </c>
      <c r="W313" s="15">
        <v>237.0</v>
      </c>
      <c r="X313" s="15">
        <v>363.0</v>
      </c>
      <c r="Y313" s="17">
        <v>361.0</v>
      </c>
      <c r="Z313" s="15">
        <v>361.0</v>
      </c>
      <c r="AA313" s="15">
        <v>22.613065326633166</v>
      </c>
      <c r="AB313" s="15">
        <v>26.804123711340207</v>
      </c>
      <c r="AC313" s="15">
        <v>29.126213592233007</v>
      </c>
      <c r="AD313" s="16">
        <v>36.708860759493675</v>
      </c>
      <c r="AE313" s="16">
        <v>77.68595041322314</v>
      </c>
      <c r="AF313" s="16">
        <v>74.79224376731301</v>
      </c>
      <c r="AG313" s="16">
        <v>77.00831024930747</v>
      </c>
      <c r="AH313" s="16">
        <f t="shared" si="314"/>
        <v>30.87973269</v>
      </c>
      <c r="AI313" s="18">
        <f t="shared" si="289"/>
        <v>76.49550148</v>
      </c>
      <c r="AJ313" s="14">
        <f t="shared" si="290"/>
        <v>66.33333333</v>
      </c>
      <c r="AK313" s="14">
        <f t="shared" si="291"/>
        <v>276.6666667</v>
      </c>
      <c r="AL313" s="14">
        <f t="shared" si="292"/>
        <v>146</v>
      </c>
      <c r="AM313" s="14">
        <f t="shared" si="293"/>
        <v>85</v>
      </c>
    </row>
    <row r="314" ht="14.25" customHeight="1">
      <c r="A314" s="1" t="s">
        <v>62</v>
      </c>
      <c r="B314" s="1" t="s">
        <v>482</v>
      </c>
      <c r="C314" s="1" t="s">
        <v>483</v>
      </c>
      <c r="D314" s="1" t="s">
        <v>483</v>
      </c>
      <c r="E314" s="14">
        <v>80301.0</v>
      </c>
      <c r="F314" s="15">
        <v>8.0</v>
      </c>
      <c r="G314" s="15">
        <v>7.0</v>
      </c>
      <c r="H314" s="15">
        <v>7.0</v>
      </c>
      <c r="I314" s="15">
        <v>9.0</v>
      </c>
      <c r="J314" s="15">
        <v>69.0</v>
      </c>
      <c r="K314" s="15">
        <v>70.0</v>
      </c>
      <c r="L314" s="16">
        <v>78.0</v>
      </c>
      <c r="M314" s="14">
        <f t="shared" ref="M314:S314" si="427">IF(AND(ISBLANK(F314), NOT(ISBLANK(T314))), T314, IF(OR(ISBLANK(T314), ISBLANK(F314)), "", T314-F314))</f>
        <v>38</v>
      </c>
      <c r="N314" s="14">
        <f t="shared" si="427"/>
        <v>18</v>
      </c>
      <c r="O314" s="14">
        <f t="shared" si="427"/>
        <v>22</v>
      </c>
      <c r="P314" s="14">
        <f t="shared" si="427"/>
        <v>20</v>
      </c>
      <c r="Q314" s="14">
        <f t="shared" si="427"/>
        <v>15</v>
      </c>
      <c r="R314" s="14">
        <f t="shared" si="427"/>
        <v>15</v>
      </c>
      <c r="S314" s="14">
        <f t="shared" si="427"/>
        <v>11</v>
      </c>
      <c r="T314" s="16">
        <v>46.0</v>
      </c>
      <c r="U314" s="16">
        <v>25.0</v>
      </c>
      <c r="V314" s="16">
        <v>29.0</v>
      </c>
      <c r="W314" s="15">
        <v>29.0</v>
      </c>
      <c r="X314" s="15">
        <v>84.0</v>
      </c>
      <c r="Y314" s="17">
        <v>85.0</v>
      </c>
      <c r="Z314" s="15">
        <v>89.0</v>
      </c>
      <c r="AA314" s="15">
        <v>17.391304347826086</v>
      </c>
      <c r="AB314" s="15">
        <v>28.000000000000004</v>
      </c>
      <c r="AC314" s="15">
        <v>24.137931034482758</v>
      </c>
      <c r="AD314" s="16">
        <v>31.03448275862069</v>
      </c>
      <c r="AE314" s="16">
        <v>82.14285714285714</v>
      </c>
      <c r="AF314" s="16">
        <v>82.35294117647058</v>
      </c>
      <c r="AG314" s="16">
        <v>87.64044943820225</v>
      </c>
      <c r="AH314" s="16">
        <f t="shared" si="314"/>
        <v>27.72413793</v>
      </c>
      <c r="AI314" s="18">
        <f t="shared" si="289"/>
        <v>84.04541592</v>
      </c>
      <c r="AJ314" s="14">
        <f t="shared" si="290"/>
        <v>7.666666667</v>
      </c>
      <c r="AK314" s="14">
        <f t="shared" si="291"/>
        <v>72.33333333</v>
      </c>
      <c r="AL314" s="14">
        <f t="shared" si="292"/>
        <v>20</v>
      </c>
      <c r="AM314" s="14">
        <f t="shared" si="293"/>
        <v>13.66666667</v>
      </c>
    </row>
    <row r="315" ht="14.25" customHeight="1">
      <c r="A315" s="1" t="s">
        <v>62</v>
      </c>
      <c r="B315" s="1" t="s">
        <v>482</v>
      </c>
      <c r="C315" s="1" t="s">
        <v>484</v>
      </c>
      <c r="D315" s="1" t="s">
        <v>484</v>
      </c>
      <c r="E315" s="14">
        <v>80302.0</v>
      </c>
      <c r="F315" s="15">
        <v>27.0</v>
      </c>
      <c r="G315" s="15">
        <v>38.0</v>
      </c>
      <c r="H315" s="15">
        <v>65.0</v>
      </c>
      <c r="I315" s="15">
        <v>86.0</v>
      </c>
      <c r="J315" s="15">
        <v>183.0</v>
      </c>
      <c r="K315" s="15">
        <v>187.0</v>
      </c>
      <c r="L315" s="16">
        <v>200.0</v>
      </c>
      <c r="M315" s="14">
        <f t="shared" ref="M315:S315" si="428">IF(AND(ISBLANK(F315), NOT(ISBLANK(T315))), T315, IF(OR(ISBLANK(T315), ISBLANK(F315)), "", T315-F315))</f>
        <v>74</v>
      </c>
      <c r="N315" s="14">
        <f t="shared" si="428"/>
        <v>65</v>
      </c>
      <c r="O315" s="14">
        <f t="shared" si="428"/>
        <v>101</v>
      </c>
      <c r="P315" s="14">
        <f t="shared" si="428"/>
        <v>90</v>
      </c>
      <c r="Q315" s="14">
        <f t="shared" si="428"/>
        <v>60</v>
      </c>
      <c r="R315" s="14">
        <f t="shared" si="428"/>
        <v>61</v>
      </c>
      <c r="S315" s="14">
        <f t="shared" si="428"/>
        <v>55</v>
      </c>
      <c r="T315" s="16">
        <v>101.0</v>
      </c>
      <c r="U315" s="16">
        <v>103.0</v>
      </c>
      <c r="V315" s="16">
        <v>166.0</v>
      </c>
      <c r="W315" s="15">
        <v>176.0</v>
      </c>
      <c r="X315" s="15">
        <v>243.0</v>
      </c>
      <c r="Y315" s="17">
        <v>248.0</v>
      </c>
      <c r="Z315" s="15">
        <v>255.0</v>
      </c>
      <c r="AA315" s="15">
        <v>26.732673267326735</v>
      </c>
      <c r="AB315" s="15">
        <v>36.89320388349515</v>
      </c>
      <c r="AC315" s="15">
        <v>39.1566265060241</v>
      </c>
      <c r="AD315" s="16">
        <v>48.86363636363637</v>
      </c>
      <c r="AE315" s="16">
        <v>75.30864197530865</v>
      </c>
      <c r="AF315" s="16">
        <v>75.40322580645162</v>
      </c>
      <c r="AG315" s="16">
        <v>78.43137254901961</v>
      </c>
      <c r="AH315" s="16">
        <f t="shared" si="314"/>
        <v>41.63782225</v>
      </c>
      <c r="AI315" s="18">
        <f t="shared" si="289"/>
        <v>76.38108011</v>
      </c>
      <c r="AJ315" s="14">
        <f t="shared" si="290"/>
        <v>63</v>
      </c>
      <c r="AK315" s="14">
        <f t="shared" si="291"/>
        <v>190</v>
      </c>
      <c r="AL315" s="14">
        <f t="shared" si="292"/>
        <v>85.33333333</v>
      </c>
      <c r="AM315" s="14">
        <f t="shared" si="293"/>
        <v>58.66666667</v>
      </c>
    </row>
    <row r="316" ht="14.25" customHeight="1">
      <c r="A316" s="1" t="s">
        <v>62</v>
      </c>
      <c r="B316" s="1" t="s">
        <v>482</v>
      </c>
      <c r="C316" s="1" t="s">
        <v>433</v>
      </c>
      <c r="D316" s="1" t="s">
        <v>433</v>
      </c>
      <c r="E316" s="14">
        <v>80303.0</v>
      </c>
      <c r="F316" s="15">
        <v>2.0</v>
      </c>
      <c r="G316" s="15">
        <v>6.0</v>
      </c>
      <c r="H316" s="15">
        <v>14.0</v>
      </c>
      <c r="I316" s="15">
        <v>16.0</v>
      </c>
      <c r="J316" s="15">
        <v>52.0</v>
      </c>
      <c r="K316" s="15">
        <v>53.0</v>
      </c>
      <c r="L316" s="16">
        <v>61.0</v>
      </c>
      <c r="M316" s="14">
        <f t="shared" ref="M316:S316" si="429">IF(AND(ISBLANK(F316), NOT(ISBLANK(T316))), T316, IF(OR(ISBLANK(T316), ISBLANK(F316)), "", T316-F316))</f>
        <v>17</v>
      </c>
      <c r="N316" s="14">
        <f t="shared" si="429"/>
        <v>14</v>
      </c>
      <c r="O316" s="14">
        <f t="shared" si="429"/>
        <v>29</v>
      </c>
      <c r="P316" s="14">
        <f t="shared" si="429"/>
        <v>28</v>
      </c>
      <c r="Q316" s="14">
        <f t="shared" si="429"/>
        <v>10</v>
      </c>
      <c r="R316" s="14">
        <f t="shared" si="429"/>
        <v>16</v>
      </c>
      <c r="S316" s="14">
        <f t="shared" si="429"/>
        <v>9</v>
      </c>
      <c r="T316" s="16">
        <v>19.0</v>
      </c>
      <c r="U316" s="16">
        <v>20.0</v>
      </c>
      <c r="V316" s="16">
        <v>43.0</v>
      </c>
      <c r="W316" s="15">
        <v>44.0</v>
      </c>
      <c r="X316" s="15">
        <v>62.0</v>
      </c>
      <c r="Y316" s="17">
        <v>69.0</v>
      </c>
      <c r="Z316" s="15">
        <v>70.0</v>
      </c>
      <c r="AA316" s="15">
        <v>10.526315789473683</v>
      </c>
      <c r="AB316" s="15">
        <v>30.0</v>
      </c>
      <c r="AC316" s="15">
        <v>32.55813953488372</v>
      </c>
      <c r="AD316" s="16">
        <v>36.36363636363637</v>
      </c>
      <c r="AE316" s="16">
        <v>83.87096774193549</v>
      </c>
      <c r="AF316" s="16">
        <v>76.81159420289855</v>
      </c>
      <c r="AG316" s="16">
        <v>87.14285714285714</v>
      </c>
      <c r="AH316" s="16">
        <f t="shared" si="314"/>
        <v>32.9739253</v>
      </c>
      <c r="AI316" s="18">
        <f t="shared" si="289"/>
        <v>82.60847303</v>
      </c>
      <c r="AJ316" s="14">
        <f t="shared" si="290"/>
        <v>12</v>
      </c>
      <c r="AK316" s="14">
        <f t="shared" si="291"/>
        <v>55.33333333</v>
      </c>
      <c r="AL316" s="14">
        <f t="shared" si="292"/>
        <v>23.66666667</v>
      </c>
      <c r="AM316" s="14">
        <f t="shared" si="293"/>
        <v>11.66666667</v>
      </c>
    </row>
    <row r="317" ht="14.25" customHeight="1">
      <c r="A317" s="1" t="s">
        <v>62</v>
      </c>
      <c r="B317" s="1" t="s">
        <v>482</v>
      </c>
      <c r="C317" s="1" t="s">
        <v>485</v>
      </c>
      <c r="D317" s="1" t="s">
        <v>486</v>
      </c>
      <c r="E317" s="14">
        <v>80304.0</v>
      </c>
      <c r="F317" s="15">
        <v>15.0</v>
      </c>
      <c r="G317" s="15">
        <v>16.0</v>
      </c>
      <c r="H317" s="15">
        <v>20.0</v>
      </c>
      <c r="I317" s="15">
        <v>37.0</v>
      </c>
      <c r="J317" s="15">
        <v>95.0</v>
      </c>
      <c r="K317" s="15">
        <v>106.0</v>
      </c>
      <c r="L317" s="16">
        <v>108.0</v>
      </c>
      <c r="M317" s="14">
        <f t="shared" ref="M317:S317" si="430">IF(AND(ISBLANK(F317), NOT(ISBLANK(T317))), T317, IF(OR(ISBLANK(T317), ISBLANK(F317)), "", T317-F317))</f>
        <v>41</v>
      </c>
      <c r="N317" s="14">
        <f t="shared" si="430"/>
        <v>42</v>
      </c>
      <c r="O317" s="14">
        <f t="shared" si="430"/>
        <v>70</v>
      </c>
      <c r="P317" s="14">
        <f t="shared" si="430"/>
        <v>53</v>
      </c>
      <c r="Q317" s="14">
        <f t="shared" si="430"/>
        <v>19</v>
      </c>
      <c r="R317" s="14">
        <f t="shared" si="430"/>
        <v>19</v>
      </c>
      <c r="S317" s="14">
        <f t="shared" si="430"/>
        <v>19</v>
      </c>
      <c r="T317" s="16">
        <v>56.0</v>
      </c>
      <c r="U317" s="16">
        <v>58.0</v>
      </c>
      <c r="V317" s="16">
        <v>90.0</v>
      </c>
      <c r="W317" s="15">
        <v>90.0</v>
      </c>
      <c r="X317" s="15">
        <v>114.0</v>
      </c>
      <c r="Y317" s="17">
        <v>125.0</v>
      </c>
      <c r="Z317" s="15">
        <v>127.0</v>
      </c>
      <c r="AA317" s="15">
        <v>26.785714285714285</v>
      </c>
      <c r="AB317" s="15">
        <v>27.586206896551722</v>
      </c>
      <c r="AC317" s="15">
        <v>22.22222222222222</v>
      </c>
      <c r="AD317" s="16">
        <v>41.11111111111111</v>
      </c>
      <c r="AE317" s="16">
        <v>83.33333333333334</v>
      </c>
      <c r="AF317" s="16">
        <v>84.8</v>
      </c>
      <c r="AG317" s="16">
        <v>85.03937007874016</v>
      </c>
      <c r="AH317" s="16">
        <f t="shared" si="314"/>
        <v>30.30651341</v>
      </c>
      <c r="AI317" s="18">
        <f t="shared" si="289"/>
        <v>84.39090114</v>
      </c>
      <c r="AJ317" s="14">
        <f t="shared" si="290"/>
        <v>24.33333333</v>
      </c>
      <c r="AK317" s="14">
        <f t="shared" si="291"/>
        <v>103</v>
      </c>
      <c r="AL317" s="14">
        <f t="shared" si="292"/>
        <v>55</v>
      </c>
      <c r="AM317" s="14">
        <f t="shared" si="293"/>
        <v>19</v>
      </c>
    </row>
    <row r="318" ht="14.25" customHeight="1">
      <c r="A318" s="1" t="s">
        <v>62</v>
      </c>
      <c r="B318" s="1" t="s">
        <v>487</v>
      </c>
      <c r="C318" s="1" t="s">
        <v>488</v>
      </c>
      <c r="D318" s="1" t="s">
        <v>489</v>
      </c>
      <c r="E318" s="14">
        <v>80401.0</v>
      </c>
      <c r="F318" s="15">
        <v>18.0</v>
      </c>
      <c r="G318" s="15">
        <v>34.0</v>
      </c>
      <c r="H318" s="15">
        <v>32.0</v>
      </c>
      <c r="I318" s="15">
        <v>31.0</v>
      </c>
      <c r="J318" s="15">
        <v>76.0</v>
      </c>
      <c r="K318" s="15">
        <v>81.0</v>
      </c>
      <c r="L318" s="16">
        <v>85.0</v>
      </c>
      <c r="M318" s="14">
        <f t="shared" ref="M318:S318" si="431">IF(AND(ISBLANK(F318), NOT(ISBLANK(T318))), T318, IF(OR(ISBLANK(T318), ISBLANK(F318)), "", T318-F318))</f>
        <v>48</v>
      </c>
      <c r="N318" s="14">
        <f t="shared" si="431"/>
        <v>34</v>
      </c>
      <c r="O318" s="14">
        <f t="shared" si="431"/>
        <v>43</v>
      </c>
      <c r="P318" s="14">
        <f t="shared" si="431"/>
        <v>44</v>
      </c>
      <c r="Q318" s="14">
        <f t="shared" si="431"/>
        <v>22</v>
      </c>
      <c r="R318" s="14">
        <f t="shared" si="431"/>
        <v>21</v>
      </c>
      <c r="S318" s="14">
        <f t="shared" si="431"/>
        <v>19</v>
      </c>
      <c r="T318" s="16">
        <v>66.0</v>
      </c>
      <c r="U318" s="16">
        <v>68.0</v>
      </c>
      <c r="V318" s="16">
        <v>75.0</v>
      </c>
      <c r="W318" s="15">
        <v>75.0</v>
      </c>
      <c r="X318" s="15">
        <v>98.0</v>
      </c>
      <c r="Y318" s="17">
        <v>102.0</v>
      </c>
      <c r="Z318" s="15">
        <v>104.0</v>
      </c>
      <c r="AA318" s="15">
        <v>27.27272727272727</v>
      </c>
      <c r="AB318" s="15">
        <v>50.0</v>
      </c>
      <c r="AC318" s="15">
        <v>42.66666666666667</v>
      </c>
      <c r="AD318" s="16">
        <v>41.333333333333336</v>
      </c>
      <c r="AE318" s="16">
        <v>77.55102040816327</v>
      </c>
      <c r="AF318" s="16">
        <v>79.41176470588235</v>
      </c>
      <c r="AG318" s="16">
        <v>81.73076923076923</v>
      </c>
      <c r="AH318" s="16">
        <f t="shared" si="314"/>
        <v>44.66666667</v>
      </c>
      <c r="AI318" s="18">
        <f t="shared" si="289"/>
        <v>79.56451811</v>
      </c>
      <c r="AJ318" s="14">
        <f t="shared" si="290"/>
        <v>32.33333333</v>
      </c>
      <c r="AK318" s="14">
        <f t="shared" si="291"/>
        <v>80.66666667</v>
      </c>
      <c r="AL318" s="14">
        <f t="shared" si="292"/>
        <v>40.33333333</v>
      </c>
      <c r="AM318" s="14">
        <f t="shared" si="293"/>
        <v>20.66666667</v>
      </c>
    </row>
    <row r="319" ht="14.25" customHeight="1">
      <c r="A319" s="1" t="s">
        <v>62</v>
      </c>
      <c r="B319" s="1" t="s">
        <v>487</v>
      </c>
      <c r="C319" s="1" t="s">
        <v>490</v>
      </c>
      <c r="D319" s="1" t="s">
        <v>490</v>
      </c>
      <c r="E319" s="14">
        <v>80402.0</v>
      </c>
      <c r="F319" s="15">
        <v>3.0</v>
      </c>
      <c r="G319" s="15">
        <v>4.0</v>
      </c>
      <c r="H319" s="15">
        <v>4.0</v>
      </c>
      <c r="I319" s="15">
        <v>3.0</v>
      </c>
      <c r="J319" s="15">
        <v>22.0</v>
      </c>
      <c r="K319" s="15">
        <v>21.0</v>
      </c>
      <c r="L319" s="16">
        <v>25.0</v>
      </c>
      <c r="M319" s="14">
        <f t="shared" ref="M319:S319" si="432">IF(AND(ISBLANK(F319), NOT(ISBLANK(T319))), T319, IF(OR(ISBLANK(T319), ISBLANK(F319)), "", T319-F319))</f>
        <v>30</v>
      </c>
      <c r="N319" s="14">
        <f t="shared" si="432"/>
        <v>7</v>
      </c>
      <c r="O319" s="14">
        <f t="shared" si="432"/>
        <v>20</v>
      </c>
      <c r="P319" s="14">
        <f t="shared" si="432"/>
        <v>21</v>
      </c>
      <c r="Q319" s="14">
        <f t="shared" si="432"/>
        <v>5</v>
      </c>
      <c r="R319" s="14">
        <f t="shared" si="432"/>
        <v>6</v>
      </c>
      <c r="S319" s="14">
        <f t="shared" si="432"/>
        <v>3</v>
      </c>
      <c r="T319" s="16">
        <v>33.0</v>
      </c>
      <c r="U319" s="16">
        <v>11.0</v>
      </c>
      <c r="V319" s="16">
        <v>24.0</v>
      </c>
      <c r="W319" s="15">
        <v>24.0</v>
      </c>
      <c r="X319" s="15">
        <v>27.0</v>
      </c>
      <c r="Y319" s="17">
        <v>27.0</v>
      </c>
      <c r="Z319" s="15">
        <v>28.0</v>
      </c>
      <c r="AA319" s="15">
        <v>9.090909090909092</v>
      </c>
      <c r="AB319" s="15">
        <v>36.36363636363637</v>
      </c>
      <c r="AC319" s="15">
        <v>16.666666666666664</v>
      </c>
      <c r="AD319" s="16">
        <v>12.5</v>
      </c>
      <c r="AE319" s="16">
        <v>81.48148148148148</v>
      </c>
      <c r="AF319" s="16">
        <v>77.77777777777779</v>
      </c>
      <c r="AG319" s="16">
        <v>89.28571428571429</v>
      </c>
      <c r="AH319" s="16">
        <f t="shared" si="314"/>
        <v>21.84343434</v>
      </c>
      <c r="AI319" s="18">
        <f t="shared" si="289"/>
        <v>82.84832451</v>
      </c>
      <c r="AJ319" s="14">
        <f t="shared" si="290"/>
        <v>3.666666667</v>
      </c>
      <c r="AK319" s="14">
        <f t="shared" si="291"/>
        <v>22.66666667</v>
      </c>
      <c r="AL319" s="14">
        <f t="shared" si="292"/>
        <v>16</v>
      </c>
      <c r="AM319" s="14">
        <f t="shared" si="293"/>
        <v>4.666666667</v>
      </c>
    </row>
    <row r="320" ht="14.25" customHeight="1">
      <c r="A320" s="1" t="s">
        <v>62</v>
      </c>
      <c r="B320" s="1" t="s">
        <v>491</v>
      </c>
      <c r="C320" s="1" t="s">
        <v>416</v>
      </c>
      <c r="D320" s="1" t="s">
        <v>416</v>
      </c>
      <c r="E320" s="14">
        <v>80501.0</v>
      </c>
      <c r="F320" s="15">
        <v>14.0</v>
      </c>
      <c r="G320" s="15">
        <v>33.0</v>
      </c>
      <c r="H320" s="15">
        <v>44.0</v>
      </c>
      <c r="I320" s="15">
        <v>46.0</v>
      </c>
      <c r="J320" s="15">
        <v>135.0</v>
      </c>
      <c r="K320" s="15">
        <v>144.0</v>
      </c>
      <c r="L320" s="16">
        <v>148.0</v>
      </c>
      <c r="M320" s="14">
        <f t="shared" ref="M320:S320" si="433">IF(AND(ISBLANK(F320), NOT(ISBLANK(T320))), T320, IF(OR(ISBLANK(T320), ISBLANK(F320)), "", T320-F320))</f>
        <v>57</v>
      </c>
      <c r="N320" s="14">
        <f t="shared" si="433"/>
        <v>40</v>
      </c>
      <c r="O320" s="14">
        <f t="shared" si="433"/>
        <v>76</v>
      </c>
      <c r="P320" s="14">
        <f t="shared" si="433"/>
        <v>78</v>
      </c>
      <c r="Q320" s="14">
        <f t="shared" si="433"/>
        <v>30</v>
      </c>
      <c r="R320" s="14">
        <f t="shared" si="433"/>
        <v>35</v>
      </c>
      <c r="S320" s="14">
        <f t="shared" si="433"/>
        <v>37</v>
      </c>
      <c r="T320" s="16">
        <v>71.0</v>
      </c>
      <c r="U320" s="16">
        <v>73.0</v>
      </c>
      <c r="V320" s="16">
        <v>120.0</v>
      </c>
      <c r="W320" s="15">
        <v>124.0</v>
      </c>
      <c r="X320" s="15">
        <v>165.0</v>
      </c>
      <c r="Y320" s="17">
        <v>179.0</v>
      </c>
      <c r="Z320" s="15">
        <v>185.0</v>
      </c>
      <c r="AA320" s="15">
        <v>19.718309859154928</v>
      </c>
      <c r="AB320" s="15">
        <v>45.20547945205479</v>
      </c>
      <c r="AC320" s="15">
        <v>36.666666666666664</v>
      </c>
      <c r="AD320" s="16">
        <v>37.096774193548384</v>
      </c>
      <c r="AE320" s="16">
        <v>81.81818181818183</v>
      </c>
      <c r="AF320" s="16">
        <v>80.44692737430168</v>
      </c>
      <c r="AG320" s="16">
        <v>80.0</v>
      </c>
      <c r="AH320" s="16">
        <f t="shared" si="314"/>
        <v>39.65630677</v>
      </c>
      <c r="AI320" s="18">
        <f t="shared" si="289"/>
        <v>80.7550364</v>
      </c>
      <c r="AJ320" s="14">
        <f t="shared" si="290"/>
        <v>41</v>
      </c>
      <c r="AK320" s="14">
        <f t="shared" si="291"/>
        <v>142.3333333</v>
      </c>
      <c r="AL320" s="14">
        <f t="shared" si="292"/>
        <v>64.66666667</v>
      </c>
      <c r="AM320" s="14">
        <f t="shared" si="293"/>
        <v>34</v>
      </c>
    </row>
    <row r="321" ht="14.25" customHeight="1">
      <c r="A321" s="1" t="s">
        <v>62</v>
      </c>
      <c r="B321" s="1" t="s">
        <v>492</v>
      </c>
      <c r="C321" s="1" t="s">
        <v>493</v>
      </c>
      <c r="D321" s="1" t="s">
        <v>493</v>
      </c>
      <c r="E321" s="14">
        <v>80601.0</v>
      </c>
      <c r="F321" s="15">
        <v>0.0</v>
      </c>
      <c r="G321" s="15">
        <v>1.0</v>
      </c>
      <c r="H321" s="15">
        <v>2.0</v>
      </c>
      <c r="I321" s="15">
        <v>2.0</v>
      </c>
      <c r="J321" s="15">
        <v>23.0</v>
      </c>
      <c r="K321" s="15">
        <v>21.0</v>
      </c>
      <c r="L321" s="16">
        <v>19.0</v>
      </c>
      <c r="M321" s="14">
        <f t="shared" ref="M321:S321" si="434">IF(AND(ISBLANK(F321), NOT(ISBLANK(T321))), T321, IF(OR(ISBLANK(T321), ISBLANK(F321)), "", T321-F321))</f>
        <v>6</v>
      </c>
      <c r="N321" s="14">
        <f t="shared" si="434"/>
        <v>6</v>
      </c>
      <c r="O321" s="14">
        <f t="shared" si="434"/>
        <v>21</v>
      </c>
      <c r="P321" s="14">
        <f t="shared" si="434"/>
        <v>20</v>
      </c>
      <c r="Q321" s="14">
        <f t="shared" si="434"/>
        <v>7</v>
      </c>
      <c r="R321" s="14">
        <f t="shared" si="434"/>
        <v>8</v>
      </c>
      <c r="S321" s="14">
        <f t="shared" si="434"/>
        <v>6</v>
      </c>
      <c r="T321" s="16">
        <v>6.0</v>
      </c>
      <c r="U321" s="16">
        <v>7.0</v>
      </c>
      <c r="V321" s="16">
        <v>23.0</v>
      </c>
      <c r="W321" s="15">
        <v>22.0</v>
      </c>
      <c r="X321" s="15">
        <v>30.0</v>
      </c>
      <c r="Y321" s="17">
        <v>29.0</v>
      </c>
      <c r="Z321" s="15">
        <v>25.0</v>
      </c>
      <c r="AA321" s="15">
        <v>0.0</v>
      </c>
      <c r="AB321" s="15">
        <v>14.285714285714285</v>
      </c>
      <c r="AC321" s="15">
        <v>8.695652173913043</v>
      </c>
      <c r="AD321" s="16">
        <v>9.090909090909092</v>
      </c>
      <c r="AE321" s="16">
        <v>76.66666666666667</v>
      </c>
      <c r="AF321" s="16">
        <v>72.41379310344827</v>
      </c>
      <c r="AG321" s="16">
        <v>76.0</v>
      </c>
      <c r="AH321" s="16">
        <f t="shared" si="314"/>
        <v>10.69075852</v>
      </c>
      <c r="AI321" s="18">
        <f t="shared" si="289"/>
        <v>75.02681992</v>
      </c>
      <c r="AJ321" s="14">
        <f t="shared" si="290"/>
        <v>1.666666667</v>
      </c>
      <c r="AK321" s="14">
        <f t="shared" si="291"/>
        <v>21</v>
      </c>
      <c r="AL321" s="14">
        <f t="shared" si="292"/>
        <v>15.66666667</v>
      </c>
      <c r="AM321" s="14">
        <f t="shared" si="293"/>
        <v>7</v>
      </c>
    </row>
    <row r="322" ht="14.25" customHeight="1">
      <c r="A322" s="1" t="s">
        <v>62</v>
      </c>
      <c r="B322" s="1" t="s">
        <v>492</v>
      </c>
      <c r="C322" s="1" t="s">
        <v>494</v>
      </c>
      <c r="D322" s="1" t="s">
        <v>494</v>
      </c>
      <c r="E322" s="14">
        <v>80602.0</v>
      </c>
      <c r="F322" s="15">
        <v>2.0</v>
      </c>
      <c r="G322" s="15">
        <v>9.0</v>
      </c>
      <c r="H322" s="15">
        <v>12.0</v>
      </c>
      <c r="I322" s="15">
        <v>14.0</v>
      </c>
      <c r="J322" s="15">
        <v>78.0</v>
      </c>
      <c r="K322" s="15">
        <v>87.0</v>
      </c>
      <c r="L322" s="16">
        <v>89.0</v>
      </c>
      <c r="M322" s="14">
        <f t="shared" ref="M322:S322" si="435">IF(AND(ISBLANK(F322), NOT(ISBLANK(T322))), T322, IF(OR(ISBLANK(T322), ISBLANK(F322)), "", T322-F322))</f>
        <v>14</v>
      </c>
      <c r="N322" s="14">
        <f t="shared" si="435"/>
        <v>11</v>
      </c>
      <c r="O322" s="14">
        <f t="shared" si="435"/>
        <v>45</v>
      </c>
      <c r="P322" s="14">
        <f t="shared" si="435"/>
        <v>48</v>
      </c>
      <c r="Q322" s="14">
        <f t="shared" si="435"/>
        <v>47</v>
      </c>
      <c r="R322" s="14">
        <f t="shared" si="435"/>
        <v>51</v>
      </c>
      <c r="S322" s="14">
        <f t="shared" si="435"/>
        <v>55</v>
      </c>
      <c r="T322" s="16">
        <v>16.0</v>
      </c>
      <c r="U322" s="16">
        <v>20.0</v>
      </c>
      <c r="V322" s="16">
        <v>57.0</v>
      </c>
      <c r="W322" s="15">
        <v>62.0</v>
      </c>
      <c r="X322" s="15">
        <v>125.0</v>
      </c>
      <c r="Y322" s="17">
        <v>138.0</v>
      </c>
      <c r="Z322" s="15">
        <v>144.0</v>
      </c>
      <c r="AA322" s="15">
        <v>12.5</v>
      </c>
      <c r="AB322" s="15">
        <v>45.0</v>
      </c>
      <c r="AC322" s="15">
        <v>21.052631578947366</v>
      </c>
      <c r="AD322" s="16">
        <v>22.58064516129032</v>
      </c>
      <c r="AE322" s="16">
        <v>62.4</v>
      </c>
      <c r="AF322" s="16">
        <v>63.04347826086957</v>
      </c>
      <c r="AG322" s="16">
        <v>61.80555555555556</v>
      </c>
      <c r="AH322" s="16">
        <f t="shared" si="314"/>
        <v>29.54442558</v>
      </c>
      <c r="AI322" s="18">
        <f t="shared" si="289"/>
        <v>62.41634461</v>
      </c>
      <c r="AJ322" s="14">
        <f t="shared" si="290"/>
        <v>11.66666667</v>
      </c>
      <c r="AK322" s="14">
        <f t="shared" si="291"/>
        <v>84.66666667</v>
      </c>
      <c r="AL322" s="14">
        <f t="shared" si="292"/>
        <v>34.66666667</v>
      </c>
      <c r="AM322" s="14">
        <f t="shared" si="293"/>
        <v>51</v>
      </c>
    </row>
    <row r="323" ht="14.25" customHeight="1">
      <c r="A323" s="1" t="s">
        <v>62</v>
      </c>
      <c r="B323" s="1" t="s">
        <v>495</v>
      </c>
      <c r="C323" s="1" t="s">
        <v>496</v>
      </c>
      <c r="D323" s="1" t="s">
        <v>496</v>
      </c>
      <c r="E323" s="14">
        <v>80701.0</v>
      </c>
      <c r="F323" s="15">
        <v>3.0</v>
      </c>
      <c r="G323" s="15">
        <v>5.0</v>
      </c>
      <c r="H323" s="15">
        <v>7.0</v>
      </c>
      <c r="I323" s="15">
        <v>8.0</v>
      </c>
      <c r="J323" s="15">
        <v>23.0</v>
      </c>
      <c r="K323" s="15">
        <v>23.0</v>
      </c>
      <c r="L323" s="16">
        <v>24.0</v>
      </c>
      <c r="M323" s="14">
        <f t="shared" ref="M323:S323" si="436">IF(AND(ISBLANK(F323), NOT(ISBLANK(T323))), T323, IF(OR(ISBLANK(T323), ISBLANK(F323)), "", T323-F323))</f>
        <v>19</v>
      </c>
      <c r="N323" s="14">
        <f t="shared" si="436"/>
        <v>16</v>
      </c>
      <c r="O323" s="14">
        <f t="shared" si="436"/>
        <v>21</v>
      </c>
      <c r="P323" s="14">
        <f t="shared" si="436"/>
        <v>19</v>
      </c>
      <c r="Q323" s="14">
        <f t="shared" si="436"/>
        <v>11</v>
      </c>
      <c r="R323" s="14">
        <f t="shared" si="436"/>
        <v>10</v>
      </c>
      <c r="S323" s="14">
        <f t="shared" si="436"/>
        <v>9</v>
      </c>
      <c r="T323" s="16">
        <v>22.0</v>
      </c>
      <c r="U323" s="16">
        <v>21.0</v>
      </c>
      <c r="V323" s="16">
        <v>28.0</v>
      </c>
      <c r="W323" s="15">
        <v>27.0</v>
      </c>
      <c r="X323" s="15">
        <v>34.0</v>
      </c>
      <c r="Y323" s="17">
        <v>33.0</v>
      </c>
      <c r="Z323" s="15">
        <v>33.0</v>
      </c>
      <c r="AA323" s="15">
        <v>13.636363636363635</v>
      </c>
      <c r="AB323" s="15">
        <v>23.809523809523807</v>
      </c>
      <c r="AC323" s="15">
        <v>25.0</v>
      </c>
      <c r="AD323" s="16">
        <v>29.629629629629626</v>
      </c>
      <c r="AE323" s="16">
        <v>67.64705882352942</v>
      </c>
      <c r="AF323" s="16">
        <v>69.6969696969697</v>
      </c>
      <c r="AG323" s="16">
        <v>72.72727272727273</v>
      </c>
      <c r="AH323" s="16">
        <f t="shared" si="314"/>
        <v>26.14638448</v>
      </c>
      <c r="AI323" s="18">
        <f t="shared" si="289"/>
        <v>70.02376708</v>
      </c>
      <c r="AJ323" s="14">
        <f t="shared" si="290"/>
        <v>6.666666667</v>
      </c>
      <c r="AK323" s="14">
        <f t="shared" si="291"/>
        <v>23.33333333</v>
      </c>
      <c r="AL323" s="14">
        <f t="shared" si="292"/>
        <v>18.66666667</v>
      </c>
      <c r="AM323" s="14">
        <f t="shared" si="293"/>
        <v>10</v>
      </c>
    </row>
    <row r="324" ht="14.25" customHeight="1">
      <c r="A324" s="1" t="s">
        <v>62</v>
      </c>
      <c r="B324" s="1" t="s">
        <v>495</v>
      </c>
      <c r="C324" s="1" t="s">
        <v>461</v>
      </c>
      <c r="D324" s="1" t="s">
        <v>461</v>
      </c>
      <c r="E324" s="14">
        <v>80702.0</v>
      </c>
      <c r="F324" s="15">
        <v>3.0</v>
      </c>
      <c r="G324" s="15">
        <v>4.0</v>
      </c>
      <c r="H324" s="15">
        <v>5.0</v>
      </c>
      <c r="I324" s="15">
        <v>8.0</v>
      </c>
      <c r="J324" s="15">
        <v>25.0</v>
      </c>
      <c r="K324" s="15">
        <v>24.0</v>
      </c>
      <c r="L324" s="16">
        <v>32.0</v>
      </c>
      <c r="M324" s="14">
        <f t="shared" ref="M324:S324" si="437">IF(AND(ISBLANK(F324), NOT(ISBLANK(T324))), T324, IF(OR(ISBLANK(T324), ISBLANK(F324)), "", T324-F324))</f>
        <v>12</v>
      </c>
      <c r="N324" s="14">
        <f t="shared" si="437"/>
        <v>11</v>
      </c>
      <c r="O324" s="14">
        <f t="shared" si="437"/>
        <v>11</v>
      </c>
      <c r="P324" s="14">
        <f t="shared" si="437"/>
        <v>9</v>
      </c>
      <c r="Q324" s="14">
        <f t="shared" si="437"/>
        <v>3</v>
      </c>
      <c r="R324" s="14">
        <f t="shared" si="437"/>
        <v>4</v>
      </c>
      <c r="S324" s="14">
        <f t="shared" si="437"/>
        <v>5</v>
      </c>
      <c r="T324" s="16">
        <v>15.0</v>
      </c>
      <c r="U324" s="16">
        <v>15.0</v>
      </c>
      <c r="V324" s="16">
        <v>16.0</v>
      </c>
      <c r="W324" s="15">
        <v>17.0</v>
      </c>
      <c r="X324" s="15">
        <v>28.0</v>
      </c>
      <c r="Y324" s="17">
        <v>28.0</v>
      </c>
      <c r="Z324" s="15">
        <v>37.0</v>
      </c>
      <c r="AA324" s="15">
        <v>20.0</v>
      </c>
      <c r="AB324" s="15">
        <v>26.666666666666668</v>
      </c>
      <c r="AC324" s="15">
        <v>31.25</v>
      </c>
      <c r="AD324" s="16">
        <v>47.05882352941176</v>
      </c>
      <c r="AE324" s="16">
        <v>89.28571428571429</v>
      </c>
      <c r="AF324" s="16">
        <v>85.71428571428571</v>
      </c>
      <c r="AG324" s="16">
        <v>86.48648648648648</v>
      </c>
      <c r="AH324" s="16">
        <f t="shared" si="314"/>
        <v>34.99183007</v>
      </c>
      <c r="AI324" s="18">
        <f t="shared" si="289"/>
        <v>87.16216216</v>
      </c>
      <c r="AJ324" s="14">
        <f t="shared" si="290"/>
        <v>5.666666667</v>
      </c>
      <c r="AK324" s="14">
        <f t="shared" si="291"/>
        <v>27</v>
      </c>
      <c r="AL324" s="14">
        <f t="shared" si="292"/>
        <v>10.33333333</v>
      </c>
      <c r="AM324" s="14">
        <f t="shared" si="293"/>
        <v>4</v>
      </c>
    </row>
    <row r="325" ht="14.25" customHeight="1">
      <c r="A325" s="1" t="s">
        <v>62</v>
      </c>
      <c r="B325" s="1" t="s">
        <v>495</v>
      </c>
      <c r="C325" s="1" t="s">
        <v>497</v>
      </c>
      <c r="D325" s="1" t="s">
        <v>497</v>
      </c>
      <c r="E325" s="14">
        <v>80703.0</v>
      </c>
      <c r="F325" s="15">
        <v>0.0</v>
      </c>
      <c r="G325" s="15">
        <v>0.0</v>
      </c>
      <c r="H325" s="15">
        <v>0.0</v>
      </c>
      <c r="I325" s="15">
        <v>1.0</v>
      </c>
      <c r="J325" s="15">
        <v>2.0</v>
      </c>
      <c r="K325" s="15">
        <v>4.0</v>
      </c>
      <c r="L325" s="16">
        <v>5.0</v>
      </c>
      <c r="M325" s="14">
        <f t="shared" ref="M325:S325" si="438">IF(AND(ISBLANK(F325), NOT(ISBLANK(T325))), T325, IF(OR(ISBLANK(T325), ISBLANK(F325)), "", T325-F325))</f>
        <v>3</v>
      </c>
      <c r="N325" s="14">
        <f t="shared" si="438"/>
        <v>4</v>
      </c>
      <c r="O325" s="14">
        <f t="shared" si="438"/>
        <v>4</v>
      </c>
      <c r="P325" s="14">
        <f t="shared" si="438"/>
        <v>2</v>
      </c>
      <c r="Q325" s="14">
        <f t="shared" si="438"/>
        <v>5</v>
      </c>
      <c r="R325" s="14">
        <f t="shared" si="438"/>
        <v>5</v>
      </c>
      <c r="S325" s="14">
        <f t="shared" si="438"/>
        <v>4</v>
      </c>
      <c r="T325" s="16">
        <v>3.0</v>
      </c>
      <c r="U325" s="16">
        <v>4.0</v>
      </c>
      <c r="V325" s="16">
        <v>4.0</v>
      </c>
      <c r="W325" s="15">
        <v>3.0</v>
      </c>
      <c r="X325" s="15">
        <v>7.0</v>
      </c>
      <c r="Y325" s="17">
        <v>9.0</v>
      </c>
      <c r="Z325" s="15">
        <v>9.0</v>
      </c>
      <c r="AA325" s="15">
        <v>0.0</v>
      </c>
      <c r="AB325" s="15">
        <v>0.0</v>
      </c>
      <c r="AC325" s="15">
        <v>0.0</v>
      </c>
      <c r="AD325" s="16">
        <v>33.33333333333333</v>
      </c>
      <c r="AE325" s="16">
        <v>28.57142857142857</v>
      </c>
      <c r="AF325" s="16">
        <v>44.44444444444444</v>
      </c>
      <c r="AG325" s="16">
        <v>55.55555555555556</v>
      </c>
      <c r="AH325" s="16">
        <f t="shared" si="314"/>
        <v>11.11111111</v>
      </c>
      <c r="AI325" s="18">
        <f t="shared" si="289"/>
        <v>42.85714286</v>
      </c>
      <c r="AJ325" s="14">
        <f t="shared" si="290"/>
        <v>0.3333333333</v>
      </c>
      <c r="AK325" s="14">
        <f t="shared" si="291"/>
        <v>3.666666667</v>
      </c>
      <c r="AL325" s="14">
        <f t="shared" si="292"/>
        <v>3.333333333</v>
      </c>
      <c r="AM325" s="14">
        <f t="shared" si="293"/>
        <v>4.666666667</v>
      </c>
    </row>
    <row r="326" ht="14.25" customHeight="1">
      <c r="A326" s="1" t="s">
        <v>62</v>
      </c>
      <c r="B326" s="1" t="s">
        <v>498</v>
      </c>
      <c r="C326" s="1" t="s">
        <v>499</v>
      </c>
      <c r="D326" s="1" t="s">
        <v>499</v>
      </c>
      <c r="E326" s="14">
        <v>80801.0</v>
      </c>
      <c r="F326" s="15">
        <v>5.0</v>
      </c>
      <c r="G326" s="15">
        <v>19.0</v>
      </c>
      <c r="H326" s="15">
        <v>23.0</v>
      </c>
      <c r="I326" s="15">
        <v>27.0</v>
      </c>
      <c r="J326" s="15">
        <v>80.0</v>
      </c>
      <c r="K326" s="15">
        <v>83.0</v>
      </c>
      <c r="L326" s="16">
        <v>89.0</v>
      </c>
      <c r="M326" s="14">
        <f t="shared" ref="M326:S326" si="439">IF(AND(ISBLANK(F326), NOT(ISBLANK(T326))), T326, IF(OR(ISBLANK(T326), ISBLANK(F326)), "", T326-F326))</f>
        <v>57</v>
      </c>
      <c r="N326" s="14">
        <f t="shared" si="439"/>
        <v>45</v>
      </c>
      <c r="O326" s="14">
        <f t="shared" si="439"/>
        <v>53</v>
      </c>
      <c r="P326" s="14">
        <f t="shared" si="439"/>
        <v>50</v>
      </c>
      <c r="Q326" s="14">
        <f t="shared" si="439"/>
        <v>25</v>
      </c>
      <c r="R326" s="14">
        <f t="shared" si="439"/>
        <v>26</v>
      </c>
      <c r="S326" s="14">
        <f t="shared" si="439"/>
        <v>24</v>
      </c>
      <c r="T326" s="16">
        <v>62.0</v>
      </c>
      <c r="U326" s="16">
        <v>64.0</v>
      </c>
      <c r="V326" s="16">
        <v>76.0</v>
      </c>
      <c r="W326" s="15">
        <v>77.0</v>
      </c>
      <c r="X326" s="15">
        <v>105.0</v>
      </c>
      <c r="Y326" s="17">
        <v>109.0</v>
      </c>
      <c r="Z326" s="15">
        <v>113.0</v>
      </c>
      <c r="AA326" s="15">
        <v>8.064516129032258</v>
      </c>
      <c r="AB326" s="15">
        <v>29.6875</v>
      </c>
      <c r="AC326" s="15">
        <v>30.263157894736842</v>
      </c>
      <c r="AD326" s="16">
        <v>35.064935064935064</v>
      </c>
      <c r="AE326" s="16">
        <v>76.19047619047619</v>
      </c>
      <c r="AF326" s="16">
        <v>76.14678899082568</v>
      </c>
      <c r="AG326" s="16">
        <v>78.76106194690266</v>
      </c>
      <c r="AH326" s="16">
        <f t="shared" si="314"/>
        <v>31.67186432</v>
      </c>
      <c r="AI326" s="18">
        <f t="shared" si="289"/>
        <v>77.03277571</v>
      </c>
      <c r="AJ326" s="14">
        <f t="shared" si="290"/>
        <v>23</v>
      </c>
      <c r="AK326" s="14">
        <f t="shared" si="291"/>
        <v>84</v>
      </c>
      <c r="AL326" s="14">
        <f t="shared" si="292"/>
        <v>49.33333333</v>
      </c>
      <c r="AM326" s="14">
        <f t="shared" si="293"/>
        <v>25</v>
      </c>
    </row>
    <row r="327" ht="14.25" customHeight="1">
      <c r="A327" s="1" t="s">
        <v>62</v>
      </c>
      <c r="B327" s="1" t="s">
        <v>498</v>
      </c>
      <c r="C327" s="1" t="s">
        <v>500</v>
      </c>
      <c r="D327" s="1" t="s">
        <v>500</v>
      </c>
      <c r="E327" s="14">
        <v>80802.0</v>
      </c>
      <c r="F327" s="15">
        <v>4.0</v>
      </c>
      <c r="G327" s="15">
        <v>6.0</v>
      </c>
      <c r="H327" s="15">
        <v>7.0</v>
      </c>
      <c r="I327" s="15">
        <v>9.0</v>
      </c>
      <c r="J327" s="15">
        <v>44.0</v>
      </c>
      <c r="K327" s="15">
        <v>47.0</v>
      </c>
      <c r="L327" s="16">
        <v>49.0</v>
      </c>
      <c r="M327" s="14">
        <f t="shared" ref="M327:S327" si="440">IF(AND(ISBLANK(F327), NOT(ISBLANK(T327))), T327, IF(OR(ISBLANK(T327), ISBLANK(F327)), "", T327-F327))</f>
        <v>17</v>
      </c>
      <c r="N327" s="14">
        <f t="shared" si="440"/>
        <v>14</v>
      </c>
      <c r="O327" s="14">
        <f t="shared" si="440"/>
        <v>21</v>
      </c>
      <c r="P327" s="14">
        <f t="shared" si="440"/>
        <v>19</v>
      </c>
      <c r="Q327" s="14">
        <f t="shared" si="440"/>
        <v>6</v>
      </c>
      <c r="R327" s="14">
        <f t="shared" si="440"/>
        <v>7</v>
      </c>
      <c r="S327" s="14">
        <f t="shared" si="440"/>
        <v>6</v>
      </c>
      <c r="T327" s="16">
        <v>21.0</v>
      </c>
      <c r="U327" s="16">
        <v>20.0</v>
      </c>
      <c r="V327" s="16">
        <v>28.0</v>
      </c>
      <c r="W327" s="15">
        <v>28.0</v>
      </c>
      <c r="X327" s="15">
        <v>50.0</v>
      </c>
      <c r="Y327" s="17">
        <v>54.0</v>
      </c>
      <c r="Z327" s="15">
        <v>55.0</v>
      </c>
      <c r="AA327" s="15">
        <v>19.047619047619047</v>
      </c>
      <c r="AB327" s="15">
        <v>30.0</v>
      </c>
      <c r="AC327" s="15">
        <v>25.0</v>
      </c>
      <c r="AD327" s="16">
        <v>32.142857142857146</v>
      </c>
      <c r="AE327" s="16">
        <v>88.0</v>
      </c>
      <c r="AF327" s="16">
        <v>87.03703703703704</v>
      </c>
      <c r="AG327" s="16">
        <v>89.0909090909091</v>
      </c>
      <c r="AH327" s="16">
        <f t="shared" si="314"/>
        <v>29.04761905</v>
      </c>
      <c r="AI327" s="18">
        <f t="shared" si="289"/>
        <v>88.04264871</v>
      </c>
      <c r="AJ327" s="14">
        <f t="shared" si="290"/>
        <v>7.333333333</v>
      </c>
      <c r="AK327" s="14">
        <f t="shared" si="291"/>
        <v>46.66666667</v>
      </c>
      <c r="AL327" s="14">
        <f t="shared" si="292"/>
        <v>18</v>
      </c>
      <c r="AM327" s="14">
        <f t="shared" si="293"/>
        <v>6.333333333</v>
      </c>
    </row>
    <row r="328" ht="14.25" customHeight="1">
      <c r="A328" s="1" t="s">
        <v>62</v>
      </c>
      <c r="B328" s="1" t="s">
        <v>498</v>
      </c>
      <c r="C328" s="1" t="s">
        <v>501</v>
      </c>
      <c r="D328" s="1" t="s">
        <v>501</v>
      </c>
      <c r="E328" s="14">
        <v>80803.0</v>
      </c>
      <c r="F328" s="15">
        <v>1.0</v>
      </c>
      <c r="G328" s="15">
        <v>3.0</v>
      </c>
      <c r="H328" s="15">
        <v>3.0</v>
      </c>
      <c r="I328" s="15">
        <v>6.0</v>
      </c>
      <c r="J328" s="15">
        <v>21.0</v>
      </c>
      <c r="K328" s="15">
        <v>21.0</v>
      </c>
      <c r="L328" s="16">
        <v>22.0</v>
      </c>
      <c r="M328" s="14">
        <f t="shared" ref="M328:S328" si="441">IF(AND(ISBLANK(F328), NOT(ISBLANK(T328))), T328, IF(OR(ISBLANK(T328), ISBLANK(F328)), "", T328-F328))</f>
        <v>24</v>
      </c>
      <c r="N328" s="14">
        <f t="shared" si="441"/>
        <v>21</v>
      </c>
      <c r="O328" s="14">
        <f t="shared" si="441"/>
        <v>19</v>
      </c>
      <c r="P328" s="14">
        <f t="shared" si="441"/>
        <v>18</v>
      </c>
      <c r="Q328" s="14">
        <f t="shared" si="441"/>
        <v>2</v>
      </c>
      <c r="R328" s="14">
        <f t="shared" si="441"/>
        <v>3</v>
      </c>
      <c r="S328" s="14">
        <f t="shared" si="441"/>
        <v>1</v>
      </c>
      <c r="T328" s="16">
        <v>25.0</v>
      </c>
      <c r="U328" s="16">
        <v>24.0</v>
      </c>
      <c r="V328" s="16">
        <v>22.0</v>
      </c>
      <c r="W328" s="15">
        <v>24.0</v>
      </c>
      <c r="X328" s="15">
        <v>23.0</v>
      </c>
      <c r="Y328" s="17">
        <v>24.0</v>
      </c>
      <c r="Z328" s="15">
        <v>23.0</v>
      </c>
      <c r="AA328" s="15">
        <v>4.0</v>
      </c>
      <c r="AB328" s="15">
        <v>12.5</v>
      </c>
      <c r="AC328" s="15">
        <v>13.636363636363635</v>
      </c>
      <c r="AD328" s="16">
        <v>25.0</v>
      </c>
      <c r="AE328" s="16">
        <v>91.30434782608695</v>
      </c>
      <c r="AF328" s="16">
        <v>87.5</v>
      </c>
      <c r="AG328" s="16">
        <v>95.65217391304348</v>
      </c>
      <c r="AH328" s="16">
        <f t="shared" si="314"/>
        <v>17.04545455</v>
      </c>
      <c r="AI328" s="18">
        <f t="shared" si="289"/>
        <v>91.48550725</v>
      </c>
      <c r="AJ328" s="14">
        <f t="shared" si="290"/>
        <v>4</v>
      </c>
      <c r="AK328" s="14">
        <f t="shared" si="291"/>
        <v>21.33333333</v>
      </c>
      <c r="AL328" s="14">
        <f t="shared" si="292"/>
        <v>19.33333333</v>
      </c>
      <c r="AM328" s="14">
        <f t="shared" si="293"/>
        <v>2</v>
      </c>
    </row>
    <row r="329" ht="14.25" customHeight="1">
      <c r="A329" s="1" t="s">
        <v>62</v>
      </c>
      <c r="B329" s="1" t="s">
        <v>491</v>
      </c>
      <c r="C329" s="1" t="s">
        <v>502</v>
      </c>
      <c r="D329" s="1" t="s">
        <v>502</v>
      </c>
      <c r="E329" s="14">
        <v>80901.0</v>
      </c>
      <c r="F329" s="15">
        <v>16.0</v>
      </c>
      <c r="G329" s="15">
        <v>33.5</v>
      </c>
      <c r="H329" s="15">
        <v>38.0</v>
      </c>
      <c r="I329" s="15">
        <v>38.5</v>
      </c>
      <c r="J329" s="15">
        <v>105.5</v>
      </c>
      <c r="K329" s="15">
        <v>112.5</v>
      </c>
      <c r="L329" s="16">
        <v>116.5</v>
      </c>
      <c r="M329" s="14">
        <f t="shared" ref="M329:S329" si="442">IF(AND(ISBLANK(F329), NOT(ISBLANK(T329))), T329, IF(OR(ISBLANK(T329), ISBLANK(F329)), "", T329-F329))</f>
        <v>52.5</v>
      </c>
      <c r="N329" s="14">
        <f t="shared" si="442"/>
        <v>37</v>
      </c>
      <c r="O329" s="14">
        <f t="shared" si="442"/>
        <v>59.5</v>
      </c>
      <c r="P329" s="14">
        <f t="shared" si="442"/>
        <v>61</v>
      </c>
      <c r="Q329" s="14">
        <f t="shared" si="442"/>
        <v>26</v>
      </c>
      <c r="R329" s="14">
        <f t="shared" si="442"/>
        <v>28</v>
      </c>
      <c r="S329" s="14">
        <f t="shared" si="442"/>
        <v>28</v>
      </c>
      <c r="T329" s="16">
        <v>68.5</v>
      </c>
      <c r="U329" s="16">
        <v>70.5</v>
      </c>
      <c r="V329" s="16">
        <v>97.5</v>
      </c>
      <c r="W329" s="15">
        <v>99.5</v>
      </c>
      <c r="X329" s="15">
        <v>131.5</v>
      </c>
      <c r="Y329" s="17">
        <v>140.5</v>
      </c>
      <c r="Z329" s="15">
        <v>144.5</v>
      </c>
      <c r="AA329" s="15">
        <f t="shared" ref="AA329:AG329" si="443">(F329/T329)*100</f>
        <v>23.35766423</v>
      </c>
      <c r="AB329" s="15">
        <f t="shared" si="443"/>
        <v>47.5177305</v>
      </c>
      <c r="AC329" s="15">
        <f t="shared" si="443"/>
        <v>38.97435897</v>
      </c>
      <c r="AD329" s="15">
        <f t="shared" si="443"/>
        <v>38.69346734</v>
      </c>
      <c r="AE329" s="15">
        <f t="shared" si="443"/>
        <v>80.22813688</v>
      </c>
      <c r="AF329" s="15">
        <f t="shared" si="443"/>
        <v>80.07117438</v>
      </c>
      <c r="AG329" s="15">
        <f t="shared" si="443"/>
        <v>80.62283737</v>
      </c>
      <c r="AH329" s="16">
        <f t="shared" si="314"/>
        <v>41.72851894</v>
      </c>
      <c r="AI329" s="18">
        <f t="shared" si="289"/>
        <v>80.30738288</v>
      </c>
      <c r="AJ329" s="14">
        <f t="shared" si="290"/>
        <v>36.66666667</v>
      </c>
      <c r="AK329" s="14">
        <f t="shared" si="291"/>
        <v>111.5</v>
      </c>
      <c r="AL329" s="14">
        <f t="shared" si="292"/>
        <v>52.5</v>
      </c>
      <c r="AM329" s="14">
        <f t="shared" si="293"/>
        <v>27.33333333</v>
      </c>
    </row>
    <row r="330" ht="14.25" customHeight="1">
      <c r="A330" s="1" t="s">
        <v>64</v>
      </c>
      <c r="B330" s="1" t="s">
        <v>503</v>
      </c>
      <c r="C330" s="1" t="s">
        <v>504</v>
      </c>
      <c r="D330" s="1" t="s">
        <v>504</v>
      </c>
      <c r="E330" s="14">
        <v>90101.0</v>
      </c>
      <c r="F330" s="15">
        <v>48.0</v>
      </c>
      <c r="G330" s="15">
        <v>62.0</v>
      </c>
      <c r="H330" s="15">
        <v>80.0</v>
      </c>
      <c r="I330" s="15">
        <v>97.0</v>
      </c>
      <c r="J330" s="15">
        <v>221.0</v>
      </c>
      <c r="K330" s="15">
        <v>232.0</v>
      </c>
      <c r="L330" s="16">
        <v>241.0</v>
      </c>
      <c r="M330" s="14">
        <f t="shared" ref="M330:S330" si="444">IF(AND(ISBLANK(F330), NOT(ISBLANK(T330))), T330, IF(OR(ISBLANK(T330), ISBLANK(F330)), "", T330-F330))</f>
        <v>51</v>
      </c>
      <c r="N330" s="14">
        <f t="shared" si="444"/>
        <v>48</v>
      </c>
      <c r="O330" s="14">
        <f t="shared" si="444"/>
        <v>59</v>
      </c>
      <c r="P330" s="14">
        <f t="shared" si="444"/>
        <v>59</v>
      </c>
      <c r="Q330" s="14">
        <f t="shared" si="444"/>
        <v>71</v>
      </c>
      <c r="R330" s="14">
        <f t="shared" si="444"/>
        <v>69</v>
      </c>
      <c r="S330" s="14">
        <f t="shared" si="444"/>
        <v>69</v>
      </c>
      <c r="T330" s="16">
        <v>99.0</v>
      </c>
      <c r="U330" s="16">
        <v>110.0</v>
      </c>
      <c r="V330" s="16">
        <v>139.0</v>
      </c>
      <c r="W330" s="15">
        <v>156.0</v>
      </c>
      <c r="X330" s="15">
        <v>292.0</v>
      </c>
      <c r="Y330" s="17">
        <v>301.0</v>
      </c>
      <c r="Z330" s="15">
        <v>310.0</v>
      </c>
      <c r="AA330" s="15">
        <v>48.484848484848484</v>
      </c>
      <c r="AB330" s="15">
        <v>56.36363636363636</v>
      </c>
      <c r="AC330" s="15">
        <v>57.55395683453237</v>
      </c>
      <c r="AD330" s="16">
        <v>62.17948717948718</v>
      </c>
      <c r="AE330" s="16">
        <v>75.68493150684932</v>
      </c>
      <c r="AF330" s="16">
        <v>77.0764119601329</v>
      </c>
      <c r="AG330" s="16">
        <v>77.74193548387098</v>
      </c>
      <c r="AH330" s="16">
        <f t="shared" si="314"/>
        <v>58.69902679</v>
      </c>
      <c r="AI330" s="18">
        <f t="shared" si="289"/>
        <v>76.83442632</v>
      </c>
      <c r="AJ330" s="14">
        <f t="shared" si="290"/>
        <v>79.66666667</v>
      </c>
      <c r="AK330" s="14">
        <f t="shared" si="291"/>
        <v>231.3333333</v>
      </c>
      <c r="AL330" s="14">
        <f t="shared" si="292"/>
        <v>55.33333333</v>
      </c>
      <c r="AM330" s="14">
        <f t="shared" si="293"/>
        <v>69.66666667</v>
      </c>
    </row>
    <row r="331" ht="14.25" customHeight="1">
      <c r="A331" s="1" t="s">
        <v>64</v>
      </c>
      <c r="B331" s="1" t="s">
        <v>503</v>
      </c>
      <c r="C331" s="1" t="s">
        <v>505</v>
      </c>
      <c r="D331" s="1" t="s">
        <v>505</v>
      </c>
      <c r="E331" s="14">
        <v>90102.0</v>
      </c>
      <c r="F331" s="15">
        <v>8.0</v>
      </c>
      <c r="G331" s="15">
        <v>13.0</v>
      </c>
      <c r="H331" s="15">
        <v>24.0</v>
      </c>
      <c r="I331" s="15">
        <v>19.0</v>
      </c>
      <c r="J331" s="15">
        <v>24.0</v>
      </c>
      <c r="K331" s="15">
        <v>28.0</v>
      </c>
      <c r="L331" s="16">
        <v>32.0</v>
      </c>
      <c r="M331" s="14">
        <f t="shared" ref="M331:S331" si="445">IF(AND(ISBLANK(F331), NOT(ISBLANK(T331))), T331, IF(OR(ISBLANK(T331), ISBLANK(F331)), "", T331-F331))</f>
        <v>8</v>
      </c>
      <c r="N331" s="14">
        <f t="shared" si="445"/>
        <v>3</v>
      </c>
      <c r="O331" s="14">
        <f t="shared" si="445"/>
        <v>6</v>
      </c>
      <c r="P331" s="14">
        <f t="shared" si="445"/>
        <v>4</v>
      </c>
      <c r="Q331" s="14">
        <f t="shared" si="445"/>
        <v>8</v>
      </c>
      <c r="R331" s="14">
        <f t="shared" si="445"/>
        <v>8</v>
      </c>
      <c r="S331" s="14">
        <f t="shared" si="445"/>
        <v>10</v>
      </c>
      <c r="T331" s="16">
        <v>16.0</v>
      </c>
      <c r="U331" s="16">
        <v>16.0</v>
      </c>
      <c r="V331" s="16">
        <v>30.0</v>
      </c>
      <c r="W331" s="15">
        <v>23.0</v>
      </c>
      <c r="X331" s="15">
        <v>32.0</v>
      </c>
      <c r="Y331" s="17">
        <v>36.0</v>
      </c>
      <c r="Z331" s="15">
        <v>42.0</v>
      </c>
      <c r="AA331" s="15">
        <v>50.0</v>
      </c>
      <c r="AB331" s="15">
        <v>81.25</v>
      </c>
      <c r="AC331" s="15">
        <v>80.0</v>
      </c>
      <c r="AD331" s="16">
        <v>82.6086956521739</v>
      </c>
      <c r="AE331" s="16">
        <v>75.0</v>
      </c>
      <c r="AF331" s="16">
        <v>77.77777777777779</v>
      </c>
      <c r="AG331" s="16">
        <v>76.19047619047619</v>
      </c>
      <c r="AH331" s="16">
        <f t="shared" si="314"/>
        <v>81.28623188</v>
      </c>
      <c r="AI331" s="18">
        <f t="shared" si="289"/>
        <v>76.32275132</v>
      </c>
      <c r="AJ331" s="14">
        <f t="shared" si="290"/>
        <v>18.66666667</v>
      </c>
      <c r="AK331" s="14">
        <f t="shared" si="291"/>
        <v>28</v>
      </c>
      <c r="AL331" s="14">
        <f t="shared" si="292"/>
        <v>4.333333333</v>
      </c>
      <c r="AM331" s="14">
        <f t="shared" si="293"/>
        <v>8.666666667</v>
      </c>
    </row>
    <row r="332" ht="14.25" customHeight="1">
      <c r="A332" s="1" t="s">
        <v>64</v>
      </c>
      <c r="B332" s="1" t="s">
        <v>503</v>
      </c>
      <c r="C332" s="1" t="s">
        <v>506</v>
      </c>
      <c r="D332" s="1" t="s">
        <v>506</v>
      </c>
      <c r="E332" s="14">
        <v>90103.0</v>
      </c>
      <c r="F332" s="15">
        <v>2.0</v>
      </c>
      <c r="G332" s="15">
        <v>4.0</v>
      </c>
      <c r="H332" s="15">
        <v>5.0</v>
      </c>
      <c r="I332" s="15">
        <v>8.0</v>
      </c>
      <c r="J332" s="15">
        <v>26.0</v>
      </c>
      <c r="K332" s="15">
        <v>25.0</v>
      </c>
      <c r="L332" s="16">
        <v>28.0</v>
      </c>
      <c r="M332" s="14">
        <f t="shared" ref="M332:S332" si="446">IF(AND(ISBLANK(F332), NOT(ISBLANK(T332))), T332, IF(OR(ISBLANK(T332), ISBLANK(F332)), "", T332-F332))</f>
        <v>6</v>
      </c>
      <c r="N332" s="14">
        <f t="shared" si="446"/>
        <v>4</v>
      </c>
      <c r="O332" s="14">
        <f t="shared" si="446"/>
        <v>5</v>
      </c>
      <c r="P332" s="14">
        <f t="shared" si="446"/>
        <v>4</v>
      </c>
      <c r="Q332" s="14">
        <f t="shared" si="446"/>
        <v>3</v>
      </c>
      <c r="R332" s="14">
        <f t="shared" si="446"/>
        <v>5</v>
      </c>
      <c r="S332" s="14">
        <f t="shared" si="446"/>
        <v>4</v>
      </c>
      <c r="T332" s="16">
        <v>8.0</v>
      </c>
      <c r="U332" s="16">
        <v>8.0</v>
      </c>
      <c r="V332" s="16">
        <v>10.0</v>
      </c>
      <c r="W332" s="15">
        <v>12.0</v>
      </c>
      <c r="X332" s="15">
        <v>29.0</v>
      </c>
      <c r="Y332" s="17">
        <v>30.0</v>
      </c>
      <c r="Z332" s="15">
        <v>32.0</v>
      </c>
      <c r="AA332" s="15">
        <v>25.0</v>
      </c>
      <c r="AB332" s="15">
        <v>50.0</v>
      </c>
      <c r="AC332" s="15">
        <v>50.0</v>
      </c>
      <c r="AD332" s="16">
        <v>66.66666666666666</v>
      </c>
      <c r="AE332" s="16">
        <v>89.65517241379311</v>
      </c>
      <c r="AF332" s="16">
        <v>83.33333333333334</v>
      </c>
      <c r="AG332" s="16">
        <v>87.5</v>
      </c>
      <c r="AH332" s="16">
        <f t="shared" si="314"/>
        <v>55.55555556</v>
      </c>
      <c r="AI332" s="18">
        <f t="shared" si="289"/>
        <v>86.82950192</v>
      </c>
      <c r="AJ332" s="14">
        <f t="shared" si="290"/>
        <v>5.666666667</v>
      </c>
      <c r="AK332" s="14">
        <f t="shared" si="291"/>
        <v>26.33333333</v>
      </c>
      <c r="AL332" s="14">
        <f t="shared" si="292"/>
        <v>4.333333333</v>
      </c>
      <c r="AM332" s="14">
        <f t="shared" si="293"/>
        <v>4</v>
      </c>
    </row>
    <row r="333" ht="14.25" customHeight="1">
      <c r="A333" s="1" t="s">
        <v>64</v>
      </c>
      <c r="B333" s="1" t="s">
        <v>503</v>
      </c>
      <c r="C333" s="1" t="s">
        <v>507</v>
      </c>
      <c r="D333" s="1" t="s">
        <v>507</v>
      </c>
      <c r="E333" s="14">
        <v>90104.0</v>
      </c>
      <c r="F333" s="15">
        <v>1.0</v>
      </c>
      <c r="G333" s="15">
        <v>2.0</v>
      </c>
      <c r="H333" s="15">
        <v>7.0</v>
      </c>
      <c r="I333" s="15">
        <v>10.0</v>
      </c>
      <c r="J333" s="15">
        <v>42.0</v>
      </c>
      <c r="K333" s="15">
        <v>46.0</v>
      </c>
      <c r="L333" s="16">
        <v>49.0</v>
      </c>
      <c r="M333" s="14">
        <f t="shared" ref="M333:S333" si="447">IF(AND(ISBLANK(F333), NOT(ISBLANK(T333))), T333, IF(OR(ISBLANK(T333), ISBLANK(F333)), "", T333-F333))</f>
        <v>3</v>
      </c>
      <c r="N333" s="14">
        <f t="shared" si="447"/>
        <v>4</v>
      </c>
      <c r="O333" s="14">
        <f t="shared" si="447"/>
        <v>4</v>
      </c>
      <c r="P333" s="14">
        <f t="shared" si="447"/>
        <v>6</v>
      </c>
      <c r="Q333" s="14">
        <f t="shared" si="447"/>
        <v>11</v>
      </c>
      <c r="R333" s="14">
        <f t="shared" si="447"/>
        <v>9</v>
      </c>
      <c r="S333" s="14">
        <f t="shared" si="447"/>
        <v>5</v>
      </c>
      <c r="T333" s="16">
        <v>4.0</v>
      </c>
      <c r="U333" s="16">
        <v>6.0</v>
      </c>
      <c r="V333" s="16">
        <v>11.0</v>
      </c>
      <c r="W333" s="15">
        <v>16.0</v>
      </c>
      <c r="X333" s="15">
        <v>53.0</v>
      </c>
      <c r="Y333" s="17">
        <v>55.0</v>
      </c>
      <c r="Z333" s="15">
        <v>54.0</v>
      </c>
      <c r="AA333" s="15">
        <v>25.0</v>
      </c>
      <c r="AB333" s="15">
        <v>33.33333333333333</v>
      </c>
      <c r="AC333" s="15">
        <v>63.63636363636363</v>
      </c>
      <c r="AD333" s="16">
        <v>62.5</v>
      </c>
      <c r="AE333" s="16">
        <v>79.24528301886792</v>
      </c>
      <c r="AF333" s="16">
        <v>83.63636363636363</v>
      </c>
      <c r="AG333" s="16">
        <v>90.74074074074075</v>
      </c>
      <c r="AH333" s="16">
        <f t="shared" si="314"/>
        <v>53.15656566</v>
      </c>
      <c r="AI333" s="18">
        <f t="shared" si="289"/>
        <v>84.5407958</v>
      </c>
      <c r="AJ333" s="14">
        <f t="shared" si="290"/>
        <v>6.333333333</v>
      </c>
      <c r="AK333" s="14">
        <f t="shared" si="291"/>
        <v>45.66666667</v>
      </c>
      <c r="AL333" s="14">
        <f t="shared" si="292"/>
        <v>4.666666667</v>
      </c>
      <c r="AM333" s="14">
        <f t="shared" si="293"/>
        <v>8.333333333</v>
      </c>
    </row>
    <row r="334" ht="14.25" customHeight="1">
      <c r="A334" s="1" t="s">
        <v>64</v>
      </c>
      <c r="B334" s="1" t="s">
        <v>508</v>
      </c>
      <c r="C334" s="1" t="s">
        <v>509</v>
      </c>
      <c r="D334" s="1" t="s">
        <v>509</v>
      </c>
      <c r="E334" s="14">
        <v>90201.0</v>
      </c>
      <c r="F334" s="15">
        <v>5.0</v>
      </c>
      <c r="G334" s="15">
        <v>5.0</v>
      </c>
      <c r="H334" s="15">
        <v>6.0</v>
      </c>
      <c r="I334" s="15">
        <v>6.0</v>
      </c>
      <c r="J334" s="15">
        <v>76.0</v>
      </c>
      <c r="K334" s="15">
        <v>77.0</v>
      </c>
      <c r="L334" s="16">
        <v>77.0</v>
      </c>
      <c r="M334" s="14">
        <f t="shared" ref="M334:S334" si="448">IF(AND(ISBLANK(F334), NOT(ISBLANK(T334))), T334, IF(OR(ISBLANK(T334), ISBLANK(F334)), "", T334-F334))</f>
        <v>15</v>
      </c>
      <c r="N334" s="14">
        <f t="shared" si="448"/>
        <v>16</v>
      </c>
      <c r="O334" s="14">
        <f t="shared" si="448"/>
        <v>18</v>
      </c>
      <c r="P334" s="14">
        <f t="shared" si="448"/>
        <v>21</v>
      </c>
      <c r="Q334" s="14">
        <f t="shared" si="448"/>
        <v>13</v>
      </c>
      <c r="R334" s="14">
        <f t="shared" si="448"/>
        <v>12</v>
      </c>
      <c r="S334" s="14">
        <f t="shared" si="448"/>
        <v>13</v>
      </c>
      <c r="T334" s="16">
        <v>20.0</v>
      </c>
      <c r="U334" s="16">
        <v>21.0</v>
      </c>
      <c r="V334" s="16">
        <v>24.0</v>
      </c>
      <c r="W334" s="15">
        <v>27.0</v>
      </c>
      <c r="X334" s="15">
        <v>89.0</v>
      </c>
      <c r="Y334" s="17">
        <v>89.0</v>
      </c>
      <c r="Z334" s="15">
        <v>90.0</v>
      </c>
      <c r="AA334" s="15">
        <v>25.0</v>
      </c>
      <c r="AB334" s="15">
        <v>23.809523809523807</v>
      </c>
      <c r="AC334" s="15">
        <v>25.0</v>
      </c>
      <c r="AD334" s="16">
        <v>22.22222222222222</v>
      </c>
      <c r="AE334" s="16">
        <v>85.39325842696628</v>
      </c>
      <c r="AF334" s="16">
        <v>86.51685393258427</v>
      </c>
      <c r="AG334" s="16">
        <v>85.55555555555556</v>
      </c>
      <c r="AH334" s="16">
        <f t="shared" si="314"/>
        <v>23.67724868</v>
      </c>
      <c r="AI334" s="18">
        <f t="shared" si="289"/>
        <v>85.82188931</v>
      </c>
      <c r="AJ334" s="14">
        <f t="shared" si="290"/>
        <v>5.666666667</v>
      </c>
      <c r="AK334" s="14">
        <f t="shared" si="291"/>
        <v>76.66666667</v>
      </c>
      <c r="AL334" s="14">
        <f t="shared" si="292"/>
        <v>18.33333333</v>
      </c>
      <c r="AM334" s="14">
        <f t="shared" si="293"/>
        <v>12.66666667</v>
      </c>
    </row>
    <row r="335" ht="14.25" customHeight="1">
      <c r="A335" s="1" t="s">
        <v>64</v>
      </c>
      <c r="B335" s="1" t="s">
        <v>508</v>
      </c>
      <c r="C335" s="1" t="s">
        <v>348</v>
      </c>
      <c r="D335" s="1" t="s">
        <v>348</v>
      </c>
      <c r="E335" s="14">
        <v>90202.0</v>
      </c>
      <c r="F335" s="15">
        <v>0.0</v>
      </c>
      <c r="G335" s="15">
        <v>2.0</v>
      </c>
      <c r="H335" s="15">
        <v>2.0</v>
      </c>
      <c r="I335" s="15">
        <v>2.0</v>
      </c>
      <c r="J335" s="15">
        <v>12.0</v>
      </c>
      <c r="K335" s="15">
        <v>12.0</v>
      </c>
      <c r="L335" s="16">
        <v>12.0</v>
      </c>
      <c r="M335" s="14">
        <f t="shared" ref="M335:S335" si="449">IF(AND(ISBLANK(F335), NOT(ISBLANK(T335))), T335, IF(OR(ISBLANK(T335), ISBLANK(F335)), "", T335-F335))</f>
        <v>1</v>
      </c>
      <c r="N335" s="14">
        <f t="shared" si="449"/>
        <v>1</v>
      </c>
      <c r="O335" s="14">
        <f t="shared" si="449"/>
        <v>1</v>
      </c>
      <c r="P335" s="14">
        <f t="shared" si="449"/>
        <v>1</v>
      </c>
      <c r="Q335" s="14">
        <f t="shared" si="449"/>
        <v>1</v>
      </c>
      <c r="R335" s="14">
        <f t="shared" si="449"/>
        <v>1</v>
      </c>
      <c r="S335" s="14">
        <f t="shared" si="449"/>
        <v>1</v>
      </c>
      <c r="T335" s="16">
        <v>1.0</v>
      </c>
      <c r="U335" s="16">
        <v>3.0</v>
      </c>
      <c r="V335" s="16">
        <v>3.0</v>
      </c>
      <c r="W335" s="15">
        <v>3.0</v>
      </c>
      <c r="X335" s="15">
        <v>13.0</v>
      </c>
      <c r="Y335" s="17">
        <v>13.0</v>
      </c>
      <c r="Z335" s="15">
        <v>13.0</v>
      </c>
      <c r="AA335" s="15">
        <v>0.0</v>
      </c>
      <c r="AB335" s="15">
        <v>66.66666666666666</v>
      </c>
      <c r="AC335" s="15">
        <v>66.66666666666666</v>
      </c>
      <c r="AD335" s="16">
        <v>66.66666666666666</v>
      </c>
      <c r="AE335" s="16">
        <v>92.3076923076923</v>
      </c>
      <c r="AF335" s="16">
        <v>92.3076923076923</v>
      </c>
      <c r="AG335" s="16">
        <v>92.3076923076923</v>
      </c>
      <c r="AH335" s="16">
        <f t="shared" si="314"/>
        <v>66.66666667</v>
      </c>
      <c r="AI335" s="18">
        <f t="shared" si="289"/>
        <v>92.30769231</v>
      </c>
      <c r="AJ335" s="14">
        <f t="shared" si="290"/>
        <v>2</v>
      </c>
      <c r="AK335" s="14">
        <f t="shared" si="291"/>
        <v>12</v>
      </c>
      <c r="AL335" s="14">
        <f t="shared" si="292"/>
        <v>1</v>
      </c>
      <c r="AM335" s="14">
        <f t="shared" si="293"/>
        <v>1</v>
      </c>
    </row>
    <row r="336" ht="14.25" customHeight="1">
      <c r="A336" s="1" t="s">
        <v>64</v>
      </c>
      <c r="B336" s="1" t="s">
        <v>508</v>
      </c>
      <c r="C336" s="1" t="s">
        <v>510</v>
      </c>
      <c r="D336" s="1" t="s">
        <v>510</v>
      </c>
      <c r="E336" s="14">
        <v>90203.0</v>
      </c>
      <c r="F336" s="15">
        <v>8.0</v>
      </c>
      <c r="G336" s="15">
        <v>11.0</v>
      </c>
      <c r="H336" s="15">
        <v>17.0</v>
      </c>
      <c r="I336" s="15">
        <v>23.0</v>
      </c>
      <c r="J336" s="15">
        <v>65.0</v>
      </c>
      <c r="K336" s="15">
        <v>65.0</v>
      </c>
      <c r="L336" s="16">
        <v>71.0</v>
      </c>
      <c r="M336" s="14">
        <f t="shared" ref="M336:S336" si="450">IF(AND(ISBLANK(F336), NOT(ISBLANK(T336))), T336, IF(OR(ISBLANK(T336), ISBLANK(F336)), "", T336-F336))</f>
        <v>7</v>
      </c>
      <c r="N336" s="14">
        <f t="shared" si="450"/>
        <v>7</v>
      </c>
      <c r="O336" s="14">
        <f t="shared" si="450"/>
        <v>11</v>
      </c>
      <c r="P336" s="14">
        <f t="shared" si="450"/>
        <v>13</v>
      </c>
      <c r="Q336" s="14">
        <f t="shared" si="450"/>
        <v>15</v>
      </c>
      <c r="R336" s="14">
        <f t="shared" si="450"/>
        <v>16</v>
      </c>
      <c r="S336" s="14">
        <f t="shared" si="450"/>
        <v>15</v>
      </c>
      <c r="T336" s="16">
        <v>15.0</v>
      </c>
      <c r="U336" s="16">
        <v>18.0</v>
      </c>
      <c r="V336" s="16">
        <v>28.0</v>
      </c>
      <c r="W336" s="15">
        <v>36.0</v>
      </c>
      <c r="X336" s="15">
        <v>80.0</v>
      </c>
      <c r="Y336" s="17">
        <v>81.0</v>
      </c>
      <c r="Z336" s="15">
        <v>86.0</v>
      </c>
      <c r="AA336" s="15">
        <v>53.333333333333336</v>
      </c>
      <c r="AB336" s="15">
        <v>61.111111111111114</v>
      </c>
      <c r="AC336" s="15">
        <v>60.71428571428571</v>
      </c>
      <c r="AD336" s="16">
        <v>63.888888888888886</v>
      </c>
      <c r="AE336" s="16">
        <v>81.25</v>
      </c>
      <c r="AF336" s="16">
        <v>80.24691358024691</v>
      </c>
      <c r="AG336" s="16">
        <v>82.55813953488372</v>
      </c>
      <c r="AH336" s="16">
        <f t="shared" si="314"/>
        <v>61.9047619</v>
      </c>
      <c r="AI336" s="18">
        <f t="shared" si="289"/>
        <v>81.35168437</v>
      </c>
      <c r="AJ336" s="14">
        <f t="shared" si="290"/>
        <v>17</v>
      </c>
      <c r="AK336" s="14">
        <f t="shared" si="291"/>
        <v>67</v>
      </c>
      <c r="AL336" s="14">
        <f t="shared" si="292"/>
        <v>10.33333333</v>
      </c>
      <c r="AM336" s="14">
        <f t="shared" si="293"/>
        <v>15.33333333</v>
      </c>
    </row>
    <row r="337" ht="14.25" customHeight="1">
      <c r="A337" s="1" t="s">
        <v>64</v>
      </c>
      <c r="B337" s="1" t="s">
        <v>511</v>
      </c>
      <c r="C337" s="1" t="s">
        <v>512</v>
      </c>
      <c r="D337" s="1" t="s">
        <v>512</v>
      </c>
      <c r="E337" s="14">
        <v>90301.0</v>
      </c>
      <c r="F337" s="15">
        <v>1.0</v>
      </c>
      <c r="G337" s="15">
        <v>1.0</v>
      </c>
      <c r="H337" s="15">
        <v>4.0</v>
      </c>
      <c r="I337" s="15">
        <v>4.0</v>
      </c>
      <c r="J337" s="15">
        <v>40.0</v>
      </c>
      <c r="K337" s="15">
        <v>42.0</v>
      </c>
      <c r="L337" s="16">
        <v>47.0</v>
      </c>
      <c r="M337" s="14">
        <f t="shared" ref="M337:S337" si="451">IF(AND(ISBLANK(F337), NOT(ISBLANK(T337))), T337, IF(OR(ISBLANK(T337), ISBLANK(F337)), "", T337-F337))</f>
        <v>39</v>
      </c>
      <c r="N337" s="14">
        <f t="shared" si="451"/>
        <v>38</v>
      </c>
      <c r="O337" s="14">
        <f t="shared" si="451"/>
        <v>46</v>
      </c>
      <c r="P337" s="14">
        <f t="shared" si="451"/>
        <v>51</v>
      </c>
      <c r="Q337" s="14">
        <f t="shared" si="451"/>
        <v>24</v>
      </c>
      <c r="R337" s="14">
        <f t="shared" si="451"/>
        <v>22</v>
      </c>
      <c r="S337" s="14">
        <f t="shared" si="451"/>
        <v>18</v>
      </c>
      <c r="T337" s="16">
        <v>40.0</v>
      </c>
      <c r="U337" s="16">
        <v>39.0</v>
      </c>
      <c r="V337" s="16">
        <v>50.0</v>
      </c>
      <c r="W337" s="15">
        <v>55.0</v>
      </c>
      <c r="X337" s="15">
        <v>64.0</v>
      </c>
      <c r="Y337" s="17">
        <v>64.0</v>
      </c>
      <c r="Z337" s="15">
        <v>65.0</v>
      </c>
      <c r="AA337" s="15">
        <v>2.5</v>
      </c>
      <c r="AB337" s="15">
        <v>2.564102564102564</v>
      </c>
      <c r="AC337" s="15">
        <v>8.0</v>
      </c>
      <c r="AD337" s="16">
        <v>7.2727272727272725</v>
      </c>
      <c r="AE337" s="16">
        <v>62.5</v>
      </c>
      <c r="AF337" s="16">
        <v>65.625</v>
      </c>
      <c r="AG337" s="16">
        <v>72.3076923076923</v>
      </c>
      <c r="AH337" s="16">
        <f t="shared" si="314"/>
        <v>5.945609946</v>
      </c>
      <c r="AI337" s="18">
        <f t="shared" si="289"/>
        <v>66.81089744</v>
      </c>
      <c r="AJ337" s="14">
        <f t="shared" si="290"/>
        <v>3</v>
      </c>
      <c r="AK337" s="14">
        <f t="shared" si="291"/>
        <v>43</v>
      </c>
      <c r="AL337" s="14">
        <f t="shared" si="292"/>
        <v>45</v>
      </c>
      <c r="AM337" s="14">
        <f t="shared" si="293"/>
        <v>21.33333333</v>
      </c>
    </row>
    <row r="338" ht="14.25" customHeight="1">
      <c r="A338" s="1" t="s">
        <v>64</v>
      </c>
      <c r="B338" s="1" t="s">
        <v>511</v>
      </c>
      <c r="C338" s="1" t="s">
        <v>401</v>
      </c>
      <c r="D338" s="1" t="s">
        <v>401</v>
      </c>
      <c r="E338" s="14">
        <v>90302.0</v>
      </c>
      <c r="F338" s="15">
        <v>5.0</v>
      </c>
      <c r="G338" s="15">
        <v>6.0</v>
      </c>
      <c r="H338" s="15">
        <v>4.0</v>
      </c>
      <c r="I338" s="15">
        <v>4.0</v>
      </c>
      <c r="J338" s="15">
        <v>49.0</v>
      </c>
      <c r="K338" s="15">
        <v>52.0</v>
      </c>
      <c r="L338" s="16">
        <v>51.0</v>
      </c>
      <c r="M338" s="14">
        <f t="shared" ref="M338:S338" si="452">IF(AND(ISBLANK(F338), NOT(ISBLANK(T338))), T338, IF(OR(ISBLANK(T338), ISBLANK(F338)), "", T338-F338))</f>
        <v>8</v>
      </c>
      <c r="N338" s="14">
        <f t="shared" si="452"/>
        <v>10</v>
      </c>
      <c r="O338" s="14">
        <f t="shared" si="452"/>
        <v>18</v>
      </c>
      <c r="P338" s="14">
        <f t="shared" si="452"/>
        <v>21</v>
      </c>
      <c r="Q338" s="14">
        <f t="shared" si="452"/>
        <v>14</v>
      </c>
      <c r="R338" s="14">
        <f t="shared" si="452"/>
        <v>15</v>
      </c>
      <c r="S338" s="14">
        <f t="shared" si="452"/>
        <v>18</v>
      </c>
      <c r="T338" s="16">
        <v>13.0</v>
      </c>
      <c r="U338" s="16">
        <v>16.0</v>
      </c>
      <c r="V338" s="16">
        <v>22.0</v>
      </c>
      <c r="W338" s="15">
        <v>25.0</v>
      </c>
      <c r="X338" s="15">
        <v>63.0</v>
      </c>
      <c r="Y338" s="17">
        <v>67.0</v>
      </c>
      <c r="Z338" s="15">
        <v>69.0</v>
      </c>
      <c r="AA338" s="15">
        <v>38.46153846153847</v>
      </c>
      <c r="AB338" s="15">
        <v>37.5</v>
      </c>
      <c r="AC338" s="15">
        <v>18.181818181818183</v>
      </c>
      <c r="AD338" s="16">
        <v>16.0</v>
      </c>
      <c r="AE338" s="16">
        <v>77.77777777777779</v>
      </c>
      <c r="AF338" s="16">
        <v>77.61194029850746</v>
      </c>
      <c r="AG338" s="16">
        <v>73.91304347826086</v>
      </c>
      <c r="AH338" s="16">
        <f t="shared" si="314"/>
        <v>23.89393939</v>
      </c>
      <c r="AI338" s="18">
        <f t="shared" si="289"/>
        <v>76.43425385</v>
      </c>
      <c r="AJ338" s="14">
        <f t="shared" si="290"/>
        <v>4.666666667</v>
      </c>
      <c r="AK338" s="14">
        <f t="shared" si="291"/>
        <v>50.66666667</v>
      </c>
      <c r="AL338" s="14">
        <f t="shared" si="292"/>
        <v>16.33333333</v>
      </c>
      <c r="AM338" s="14">
        <f t="shared" si="293"/>
        <v>15.66666667</v>
      </c>
    </row>
    <row r="339" ht="14.25" customHeight="1">
      <c r="A339" s="1" t="s">
        <v>64</v>
      </c>
      <c r="B339" s="1" t="s">
        <v>511</v>
      </c>
      <c r="C339" s="1" t="s">
        <v>513</v>
      </c>
      <c r="D339" s="1" t="s">
        <v>513</v>
      </c>
      <c r="E339" s="14">
        <v>90303.0</v>
      </c>
      <c r="F339" s="15">
        <v>1.0</v>
      </c>
      <c r="G339" s="15">
        <v>1.0</v>
      </c>
      <c r="H339" s="15">
        <v>3.0</v>
      </c>
      <c r="I339" s="15">
        <v>5.0</v>
      </c>
      <c r="J339" s="15">
        <v>46.0</v>
      </c>
      <c r="K339" s="15">
        <v>58.0</v>
      </c>
      <c r="L339" s="16">
        <v>66.0</v>
      </c>
      <c r="M339" s="14">
        <f t="shared" ref="M339:S339" si="453">IF(AND(ISBLANK(F339), NOT(ISBLANK(T339))), T339, IF(OR(ISBLANK(T339), ISBLANK(F339)), "", T339-F339))</f>
        <v>6</v>
      </c>
      <c r="N339" s="14">
        <f t="shared" si="453"/>
        <v>6</v>
      </c>
      <c r="O339" s="14">
        <f t="shared" si="453"/>
        <v>6</v>
      </c>
      <c r="P339" s="14">
        <f t="shared" si="453"/>
        <v>5</v>
      </c>
      <c r="Q339" s="14">
        <f t="shared" si="453"/>
        <v>4</v>
      </c>
      <c r="R339" s="14">
        <f t="shared" si="453"/>
        <v>3</v>
      </c>
      <c r="S339" s="14">
        <f t="shared" si="453"/>
        <v>5</v>
      </c>
      <c r="T339" s="16">
        <v>7.0</v>
      </c>
      <c r="U339" s="16">
        <v>7.0</v>
      </c>
      <c r="V339" s="16">
        <v>9.0</v>
      </c>
      <c r="W339" s="15">
        <v>10.0</v>
      </c>
      <c r="X339" s="15">
        <v>50.0</v>
      </c>
      <c r="Y339" s="17">
        <v>61.0</v>
      </c>
      <c r="Z339" s="15">
        <v>71.0</v>
      </c>
      <c r="AA339" s="15">
        <v>14.285714285714285</v>
      </c>
      <c r="AB339" s="15">
        <v>14.285714285714285</v>
      </c>
      <c r="AC339" s="15">
        <v>33.33333333333333</v>
      </c>
      <c r="AD339" s="16">
        <v>50.0</v>
      </c>
      <c r="AE339" s="16">
        <v>92.0</v>
      </c>
      <c r="AF339" s="16">
        <v>95.08196721311475</v>
      </c>
      <c r="AG339" s="16">
        <v>92.95774647887323</v>
      </c>
      <c r="AH339" s="16">
        <f t="shared" si="314"/>
        <v>32.53968254</v>
      </c>
      <c r="AI339" s="18">
        <f t="shared" si="289"/>
        <v>93.34657123</v>
      </c>
      <c r="AJ339" s="14">
        <f t="shared" si="290"/>
        <v>3</v>
      </c>
      <c r="AK339" s="14">
        <f t="shared" si="291"/>
        <v>56.66666667</v>
      </c>
      <c r="AL339" s="14">
        <f t="shared" si="292"/>
        <v>5.666666667</v>
      </c>
      <c r="AM339" s="14">
        <f t="shared" si="293"/>
        <v>4</v>
      </c>
    </row>
    <row r="340" ht="14.25" customHeight="1">
      <c r="A340" s="1" t="s">
        <v>64</v>
      </c>
      <c r="B340" s="1" t="s">
        <v>514</v>
      </c>
      <c r="C340" s="1" t="s">
        <v>433</v>
      </c>
      <c r="D340" s="1" t="s">
        <v>433</v>
      </c>
      <c r="E340" s="14">
        <v>90401.0</v>
      </c>
      <c r="F340" s="15">
        <v>0.0</v>
      </c>
      <c r="G340" s="15">
        <v>0.0</v>
      </c>
      <c r="H340" s="15">
        <v>5.0</v>
      </c>
      <c r="I340" s="15">
        <v>6.0</v>
      </c>
      <c r="J340" s="15">
        <v>28.0</v>
      </c>
      <c r="K340" s="15">
        <v>30.0</v>
      </c>
      <c r="L340" s="16">
        <v>31.0</v>
      </c>
      <c r="M340" s="14">
        <f t="shared" ref="M340:S340" si="454">IF(AND(ISBLANK(F340), NOT(ISBLANK(T340))), T340, IF(OR(ISBLANK(T340), ISBLANK(F340)), "", T340-F340))</f>
        <v>3</v>
      </c>
      <c r="N340" s="14">
        <f t="shared" si="454"/>
        <v>3</v>
      </c>
      <c r="O340" s="14">
        <f t="shared" si="454"/>
        <v>4</v>
      </c>
      <c r="P340" s="14">
        <f t="shared" si="454"/>
        <v>8</v>
      </c>
      <c r="Q340" s="14">
        <f t="shared" si="454"/>
        <v>6</v>
      </c>
      <c r="R340" s="14">
        <f t="shared" si="454"/>
        <v>6</v>
      </c>
      <c r="S340" s="14">
        <f t="shared" si="454"/>
        <v>6</v>
      </c>
      <c r="T340" s="16">
        <v>3.0</v>
      </c>
      <c r="U340" s="16">
        <v>3.0</v>
      </c>
      <c r="V340" s="16">
        <v>9.0</v>
      </c>
      <c r="W340" s="15">
        <v>14.0</v>
      </c>
      <c r="X340" s="15">
        <v>34.0</v>
      </c>
      <c r="Y340" s="17">
        <v>36.0</v>
      </c>
      <c r="Z340" s="15">
        <v>37.0</v>
      </c>
      <c r="AA340" s="15">
        <v>0.0</v>
      </c>
      <c r="AB340" s="15">
        <v>0.0</v>
      </c>
      <c r="AC340" s="15">
        <v>55.55555555555556</v>
      </c>
      <c r="AD340" s="16">
        <v>42.857142857142854</v>
      </c>
      <c r="AE340" s="16">
        <v>82.35294117647058</v>
      </c>
      <c r="AF340" s="16">
        <v>83.33333333333334</v>
      </c>
      <c r="AG340" s="16">
        <v>83.78378378378379</v>
      </c>
      <c r="AH340" s="16">
        <f t="shared" si="314"/>
        <v>32.8042328</v>
      </c>
      <c r="AI340" s="18">
        <f t="shared" si="289"/>
        <v>83.1566861</v>
      </c>
      <c r="AJ340" s="14">
        <f t="shared" si="290"/>
        <v>3.666666667</v>
      </c>
      <c r="AK340" s="14">
        <f t="shared" si="291"/>
        <v>29.66666667</v>
      </c>
      <c r="AL340" s="14">
        <f t="shared" si="292"/>
        <v>5</v>
      </c>
      <c r="AM340" s="14">
        <f t="shared" si="293"/>
        <v>6</v>
      </c>
    </row>
    <row r="341" ht="14.25" customHeight="1">
      <c r="A341" s="1" t="s">
        <v>64</v>
      </c>
      <c r="B341" s="1" t="s">
        <v>514</v>
      </c>
      <c r="C341" s="1" t="s">
        <v>144</v>
      </c>
      <c r="D341" s="1" t="s">
        <v>144</v>
      </c>
      <c r="E341" s="14">
        <v>90402.0</v>
      </c>
      <c r="F341" s="15">
        <v>1.0</v>
      </c>
      <c r="G341" s="15">
        <v>0.0</v>
      </c>
      <c r="H341" s="15">
        <v>1.0</v>
      </c>
      <c r="I341" s="15">
        <v>1.0</v>
      </c>
      <c r="J341" s="15">
        <v>14.0</v>
      </c>
      <c r="K341" s="15">
        <v>12.0</v>
      </c>
      <c r="L341" s="16">
        <v>14.0</v>
      </c>
      <c r="M341" s="14">
        <f t="shared" ref="M341:S341" si="455">IF(AND(ISBLANK(F341), NOT(ISBLANK(T341))), T341, IF(OR(ISBLANK(T341), ISBLANK(F341)), "", T341-F341))</f>
        <v>0</v>
      </c>
      <c r="N341" s="14">
        <f t="shared" si="455"/>
        <v>0</v>
      </c>
      <c r="O341" s="14">
        <f t="shared" si="455"/>
        <v>3</v>
      </c>
      <c r="P341" s="14">
        <f t="shared" si="455"/>
        <v>4</v>
      </c>
      <c r="Q341" s="14">
        <f t="shared" si="455"/>
        <v>1</v>
      </c>
      <c r="R341" s="14">
        <f t="shared" si="455"/>
        <v>2</v>
      </c>
      <c r="S341" s="14">
        <f t="shared" si="455"/>
        <v>1</v>
      </c>
      <c r="T341" s="16">
        <v>1.0</v>
      </c>
      <c r="U341" s="16">
        <v>0.0</v>
      </c>
      <c r="V341" s="16">
        <v>4.0</v>
      </c>
      <c r="W341" s="15">
        <v>5.0</v>
      </c>
      <c r="X341" s="15">
        <v>15.0</v>
      </c>
      <c r="Y341" s="17">
        <v>14.0</v>
      </c>
      <c r="Z341" s="15">
        <v>15.0</v>
      </c>
      <c r="AA341" s="15">
        <v>100.0</v>
      </c>
      <c r="AB341" s="15"/>
      <c r="AC341" s="15">
        <v>25.0</v>
      </c>
      <c r="AD341" s="16">
        <v>20.0</v>
      </c>
      <c r="AE341" s="16">
        <v>93.33333333333333</v>
      </c>
      <c r="AF341" s="16">
        <v>85.71428571428571</v>
      </c>
      <c r="AG341" s="16">
        <v>93.33333333333333</v>
      </c>
      <c r="AH341" s="16">
        <f t="shared" si="314"/>
        <v>22.5</v>
      </c>
      <c r="AI341" s="18">
        <f t="shared" si="289"/>
        <v>90.79365079</v>
      </c>
      <c r="AJ341" s="14">
        <f t="shared" si="290"/>
        <v>0.6666666667</v>
      </c>
      <c r="AK341" s="14">
        <f t="shared" si="291"/>
        <v>13.33333333</v>
      </c>
      <c r="AL341" s="14">
        <f t="shared" si="292"/>
        <v>2.333333333</v>
      </c>
      <c r="AM341" s="14">
        <f t="shared" si="293"/>
        <v>1.333333333</v>
      </c>
    </row>
    <row r="342" ht="14.25" customHeight="1">
      <c r="A342" s="1" t="s">
        <v>64</v>
      </c>
      <c r="B342" s="1" t="s">
        <v>515</v>
      </c>
      <c r="C342" s="1" t="s">
        <v>516</v>
      </c>
      <c r="D342" s="1" t="s">
        <v>516</v>
      </c>
      <c r="E342" s="14">
        <v>90501.0</v>
      </c>
      <c r="F342" s="15">
        <v>0.0</v>
      </c>
      <c r="G342" s="15">
        <v>1.0</v>
      </c>
      <c r="H342" s="15">
        <v>1.0</v>
      </c>
      <c r="I342" s="15">
        <v>1.0</v>
      </c>
      <c r="J342" s="15">
        <v>37.0</v>
      </c>
      <c r="K342" s="15">
        <v>43.0</v>
      </c>
      <c r="L342" s="16">
        <v>43.0</v>
      </c>
      <c r="M342" s="14">
        <f t="shared" ref="M342:S342" si="456">IF(AND(ISBLANK(F342), NOT(ISBLANK(T342))), T342, IF(OR(ISBLANK(T342), ISBLANK(F342)), "", T342-F342))</f>
        <v>4</v>
      </c>
      <c r="N342" s="14">
        <f t="shared" si="456"/>
        <v>4</v>
      </c>
      <c r="O342" s="14">
        <f t="shared" si="456"/>
        <v>5</v>
      </c>
      <c r="P342" s="14">
        <f t="shared" si="456"/>
        <v>5</v>
      </c>
      <c r="Q342" s="14">
        <f t="shared" si="456"/>
        <v>2</v>
      </c>
      <c r="R342" s="14">
        <f t="shared" si="456"/>
        <v>1</v>
      </c>
      <c r="S342" s="14">
        <f t="shared" si="456"/>
        <v>1</v>
      </c>
      <c r="T342" s="16">
        <v>4.0</v>
      </c>
      <c r="U342" s="16">
        <v>5.0</v>
      </c>
      <c r="V342" s="16">
        <v>6.0</v>
      </c>
      <c r="W342" s="15">
        <v>6.0</v>
      </c>
      <c r="X342" s="15">
        <v>39.0</v>
      </c>
      <c r="Y342" s="17">
        <v>44.0</v>
      </c>
      <c r="Z342" s="15">
        <v>44.0</v>
      </c>
      <c r="AA342" s="15">
        <v>0.0</v>
      </c>
      <c r="AB342" s="15">
        <v>20.0</v>
      </c>
      <c r="AC342" s="15">
        <v>16.666666666666664</v>
      </c>
      <c r="AD342" s="16">
        <v>16.666666666666664</v>
      </c>
      <c r="AE342" s="16">
        <v>94.87179487179486</v>
      </c>
      <c r="AF342" s="16">
        <v>97.72727272727273</v>
      </c>
      <c r="AG342" s="16">
        <v>97.72727272727273</v>
      </c>
      <c r="AH342" s="16">
        <f t="shared" si="314"/>
        <v>17.77777778</v>
      </c>
      <c r="AI342" s="18">
        <f t="shared" si="289"/>
        <v>96.77544678</v>
      </c>
      <c r="AJ342" s="14">
        <f t="shared" si="290"/>
        <v>1</v>
      </c>
      <c r="AK342" s="14">
        <f t="shared" si="291"/>
        <v>41</v>
      </c>
      <c r="AL342" s="14">
        <f t="shared" si="292"/>
        <v>4.666666667</v>
      </c>
      <c r="AM342" s="14">
        <f t="shared" si="293"/>
        <v>1.333333333</v>
      </c>
    </row>
    <row r="343" ht="14.25" customHeight="1">
      <c r="A343" s="1" t="s">
        <v>64</v>
      </c>
      <c r="B343" s="1" t="s">
        <v>515</v>
      </c>
      <c r="C343" s="1" t="s">
        <v>517</v>
      </c>
      <c r="D343" s="1" t="s">
        <v>518</v>
      </c>
      <c r="E343" s="14">
        <v>90502.0</v>
      </c>
      <c r="F343" s="15">
        <v>1.0</v>
      </c>
      <c r="G343" s="15">
        <v>0.0</v>
      </c>
      <c r="H343" s="15">
        <v>2.0</v>
      </c>
      <c r="I343" s="15">
        <v>3.0</v>
      </c>
      <c r="J343" s="15">
        <v>13.0</v>
      </c>
      <c r="K343" s="15">
        <v>15.0</v>
      </c>
      <c r="L343" s="16">
        <v>16.0</v>
      </c>
      <c r="M343" s="14">
        <f t="shared" ref="M343:S343" si="457">IF(AND(ISBLANK(F343), NOT(ISBLANK(T343))), T343, IF(OR(ISBLANK(T343), ISBLANK(F343)), "", T343-F343))</f>
        <v>6</v>
      </c>
      <c r="N343" s="14">
        <f t="shared" si="457"/>
        <v>8</v>
      </c>
      <c r="O343" s="14">
        <f t="shared" si="457"/>
        <v>9</v>
      </c>
      <c r="P343" s="14">
        <f t="shared" si="457"/>
        <v>8</v>
      </c>
      <c r="Q343" s="14">
        <f t="shared" si="457"/>
        <v>1</v>
      </c>
      <c r="R343" s="14">
        <f t="shared" si="457"/>
        <v>1</v>
      </c>
      <c r="S343" s="14">
        <f t="shared" si="457"/>
        <v>1</v>
      </c>
      <c r="T343" s="16">
        <v>7.0</v>
      </c>
      <c r="U343" s="16">
        <v>8.0</v>
      </c>
      <c r="V343" s="16">
        <v>11.0</v>
      </c>
      <c r="W343" s="15">
        <v>11.0</v>
      </c>
      <c r="X343" s="15">
        <v>14.0</v>
      </c>
      <c r="Y343" s="17">
        <v>16.0</v>
      </c>
      <c r="Z343" s="15">
        <v>17.0</v>
      </c>
      <c r="AA343" s="15">
        <v>14.285714285714285</v>
      </c>
      <c r="AB343" s="15">
        <v>0.0</v>
      </c>
      <c r="AC343" s="15">
        <v>18.181818181818183</v>
      </c>
      <c r="AD343" s="16">
        <v>27.27272727272727</v>
      </c>
      <c r="AE343" s="16">
        <v>92.85714285714286</v>
      </c>
      <c r="AF343" s="16">
        <v>93.75</v>
      </c>
      <c r="AG343" s="16">
        <v>94.11764705882352</v>
      </c>
      <c r="AH343" s="16">
        <f t="shared" si="314"/>
        <v>15.15151515</v>
      </c>
      <c r="AI343" s="18">
        <f t="shared" si="289"/>
        <v>93.57492997</v>
      </c>
      <c r="AJ343" s="14">
        <f t="shared" si="290"/>
        <v>1.666666667</v>
      </c>
      <c r="AK343" s="14">
        <f t="shared" si="291"/>
        <v>14.66666667</v>
      </c>
      <c r="AL343" s="14">
        <f t="shared" si="292"/>
        <v>8.333333333</v>
      </c>
      <c r="AM343" s="14">
        <f t="shared" si="293"/>
        <v>1</v>
      </c>
    </row>
    <row r="344" ht="14.25" customHeight="1">
      <c r="A344" s="1" t="s">
        <v>64</v>
      </c>
      <c r="B344" s="1" t="s">
        <v>515</v>
      </c>
      <c r="C344" s="1" t="s">
        <v>519</v>
      </c>
      <c r="D344" s="1" t="s">
        <v>519</v>
      </c>
      <c r="E344" s="14">
        <v>90503.0</v>
      </c>
      <c r="F344" s="15">
        <v>0.0</v>
      </c>
      <c r="G344" s="15">
        <v>0.0</v>
      </c>
      <c r="H344" s="15">
        <v>1.0</v>
      </c>
      <c r="I344" s="15">
        <v>1.0</v>
      </c>
      <c r="J344" s="15">
        <v>18.0</v>
      </c>
      <c r="K344" s="15">
        <v>16.0</v>
      </c>
      <c r="L344" s="16">
        <v>16.0</v>
      </c>
      <c r="M344" s="14">
        <f t="shared" ref="M344:S344" si="458">IF(AND(ISBLANK(F344), NOT(ISBLANK(T344))), T344, IF(OR(ISBLANK(T344), ISBLANK(F344)), "", T344-F344))</f>
        <v>2</v>
      </c>
      <c r="N344" s="14">
        <f t="shared" si="458"/>
        <v>4</v>
      </c>
      <c r="O344" s="14">
        <f t="shared" si="458"/>
        <v>4</v>
      </c>
      <c r="P344" s="14">
        <f t="shared" si="458"/>
        <v>4</v>
      </c>
      <c r="Q344" s="14">
        <f t="shared" si="458"/>
        <v>2</v>
      </c>
      <c r="R344" s="14">
        <f t="shared" si="458"/>
        <v>3</v>
      </c>
      <c r="S344" s="14">
        <f t="shared" si="458"/>
        <v>2</v>
      </c>
      <c r="T344" s="16">
        <v>2.0</v>
      </c>
      <c r="U344" s="16">
        <v>4.0</v>
      </c>
      <c r="V344" s="16">
        <v>5.0</v>
      </c>
      <c r="W344" s="15">
        <v>5.0</v>
      </c>
      <c r="X344" s="15">
        <v>20.0</v>
      </c>
      <c r="Y344" s="17">
        <v>19.0</v>
      </c>
      <c r="Z344" s="15">
        <v>18.0</v>
      </c>
      <c r="AA344" s="15">
        <v>0.0</v>
      </c>
      <c r="AB344" s="15">
        <v>0.0</v>
      </c>
      <c r="AC344" s="15">
        <v>20.0</v>
      </c>
      <c r="AD344" s="16">
        <v>20.0</v>
      </c>
      <c r="AE344" s="16">
        <v>90.0</v>
      </c>
      <c r="AF344" s="16">
        <v>84.21052631578947</v>
      </c>
      <c r="AG344" s="16">
        <v>88.88888888888889</v>
      </c>
      <c r="AH344" s="16">
        <f t="shared" si="314"/>
        <v>13.33333333</v>
      </c>
      <c r="AI344" s="18">
        <f t="shared" si="289"/>
        <v>87.69980507</v>
      </c>
      <c r="AJ344" s="14">
        <f t="shared" si="290"/>
        <v>0.6666666667</v>
      </c>
      <c r="AK344" s="14">
        <f t="shared" si="291"/>
        <v>16.66666667</v>
      </c>
      <c r="AL344" s="14">
        <f t="shared" si="292"/>
        <v>4</v>
      </c>
      <c r="AM344" s="14">
        <f t="shared" si="293"/>
        <v>2.333333333</v>
      </c>
    </row>
    <row r="345" ht="14.25" customHeight="1"/>
    <row r="346" ht="14.25" customHeight="1"/>
    <row r="347" ht="14.25" customHeight="1">
      <c r="V347" s="23"/>
    </row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520</v>
      </c>
      <c r="B1" s="1" t="s">
        <v>2</v>
      </c>
      <c r="C1" s="24" t="s">
        <v>521</v>
      </c>
      <c r="D1" s="24" t="s">
        <v>522</v>
      </c>
    </row>
    <row r="2" ht="14.25" customHeight="1">
      <c r="A2" s="14">
        <v>10101.0</v>
      </c>
      <c r="B2" s="1" t="s">
        <v>43</v>
      </c>
      <c r="C2" s="25">
        <v>84.3662817332215</v>
      </c>
      <c r="D2" s="25">
        <v>81.89156896397601</v>
      </c>
    </row>
    <row r="3" ht="14.25" customHeight="1">
      <c r="A3" s="14">
        <v>10102.0</v>
      </c>
      <c r="B3" s="1" t="s">
        <v>44</v>
      </c>
      <c r="C3" s="25">
        <v>86.25747012843787</v>
      </c>
      <c r="D3" s="25">
        <v>80.9208290859667</v>
      </c>
    </row>
    <row r="4" ht="14.25" customHeight="1">
      <c r="A4" s="14">
        <v>10103.0</v>
      </c>
      <c r="B4" s="1" t="s">
        <v>46</v>
      </c>
      <c r="C4" s="25">
        <v>79.20087575259988</v>
      </c>
      <c r="D4" s="25">
        <v>78.83967883967885</v>
      </c>
    </row>
    <row r="5" ht="14.25" customHeight="1">
      <c r="A5" s="14">
        <v>10201.0</v>
      </c>
      <c r="B5" s="1" t="s">
        <v>49</v>
      </c>
      <c r="C5" s="25">
        <v>71.95518221807403</v>
      </c>
      <c r="D5" s="25">
        <v>89.6875</v>
      </c>
    </row>
    <row r="6" ht="14.25" customHeight="1">
      <c r="A6" s="14">
        <v>10202.0</v>
      </c>
      <c r="B6" s="1" t="s">
        <v>51</v>
      </c>
      <c r="C6" s="25">
        <v>74.26704014939308</v>
      </c>
      <c r="D6" s="25">
        <v>85.25641025641026</v>
      </c>
    </row>
    <row r="7" ht="14.25" customHeight="1">
      <c r="A7" s="14">
        <v>10301.0</v>
      </c>
      <c r="B7" s="1" t="s">
        <v>55</v>
      </c>
      <c r="C7" s="25">
        <v>77.19281781781781</v>
      </c>
      <c r="D7" s="25">
        <v>86.60502607871028</v>
      </c>
    </row>
    <row r="8" ht="14.25" customHeight="1">
      <c r="A8" s="14">
        <v>10302.0</v>
      </c>
      <c r="B8" s="1" t="s">
        <v>58</v>
      </c>
      <c r="C8" s="25">
        <v>87.51515151515152</v>
      </c>
      <c r="D8" s="25">
        <v>82.22222222222221</v>
      </c>
    </row>
    <row r="9" ht="14.25" customHeight="1">
      <c r="A9" s="14">
        <v>10303.0</v>
      </c>
      <c r="B9" s="1" t="s">
        <v>60</v>
      </c>
      <c r="C9" s="25">
        <v>83.47122632836918</v>
      </c>
      <c r="D9" s="25">
        <v>76.5432098765432</v>
      </c>
    </row>
    <row r="10" ht="14.25" customHeight="1">
      <c r="A10" s="14">
        <v>10304.0</v>
      </c>
      <c r="B10" s="1" t="s">
        <v>63</v>
      </c>
      <c r="C10" s="25">
        <v>78.94472254310529</v>
      </c>
      <c r="D10" s="25">
        <v>91.01373195688517</v>
      </c>
    </row>
    <row r="11" ht="14.25" customHeight="1">
      <c r="A11" s="14">
        <v>10401.0</v>
      </c>
      <c r="B11" s="1" t="s">
        <v>66</v>
      </c>
      <c r="C11" s="25">
        <v>72.05874639391556</v>
      </c>
      <c r="D11" s="25">
        <v>78.14673543394821</v>
      </c>
    </row>
    <row r="12" ht="14.25" customHeight="1">
      <c r="A12" s="14">
        <v>10402.0</v>
      </c>
      <c r="B12" s="1" t="s">
        <v>65</v>
      </c>
      <c r="C12" s="25">
        <v>79.23280423280424</v>
      </c>
      <c r="D12" s="25">
        <v>73.15646258503402</v>
      </c>
    </row>
    <row r="13" ht="14.25" customHeight="1">
      <c r="A13" s="14">
        <v>10403.0</v>
      </c>
      <c r="B13" s="1" t="s">
        <v>70</v>
      </c>
      <c r="C13" s="25">
        <v>79.14630172694689</v>
      </c>
      <c r="D13" s="25">
        <v>75.05446623093681</v>
      </c>
    </row>
    <row r="14" ht="14.25" customHeight="1">
      <c r="A14" s="14">
        <v>10404.0</v>
      </c>
      <c r="B14" s="1" t="s">
        <v>72</v>
      </c>
      <c r="C14" s="25">
        <v>63.84541062801932</v>
      </c>
      <c r="D14" s="25">
        <v>72.94745484400657</v>
      </c>
    </row>
    <row r="15" ht="14.25" customHeight="1">
      <c r="A15" s="14">
        <v>10405.0</v>
      </c>
      <c r="B15" s="1" t="s">
        <v>74</v>
      </c>
      <c r="C15" s="25">
        <v>72.5990675990676</v>
      </c>
      <c r="D15" s="25">
        <v>80.61868686868686</v>
      </c>
    </row>
    <row r="16" ht="14.25" customHeight="1">
      <c r="A16" s="14">
        <v>10501.0</v>
      </c>
      <c r="B16" s="1" t="s">
        <v>76</v>
      </c>
      <c r="C16" s="25">
        <v>73.13601017525251</v>
      </c>
      <c r="D16" s="25">
        <v>74.01046952620054</v>
      </c>
    </row>
    <row r="17" ht="14.25" customHeight="1">
      <c r="A17" s="14">
        <v>10502.0</v>
      </c>
      <c r="B17" s="1" t="s">
        <v>77</v>
      </c>
      <c r="C17" s="25">
        <v>71.03645147123409</v>
      </c>
      <c r="D17" s="25">
        <v>75.44410401804767</v>
      </c>
    </row>
    <row r="18" ht="14.25" customHeight="1">
      <c r="A18" s="14">
        <v>10601.0</v>
      </c>
      <c r="B18" s="1" t="s">
        <v>79</v>
      </c>
      <c r="C18" s="25">
        <v>78.52554089667491</v>
      </c>
      <c r="D18" s="25">
        <v>82.54166351511485</v>
      </c>
    </row>
    <row r="19" ht="14.25" customHeight="1">
      <c r="A19" s="14">
        <v>10602.0</v>
      </c>
      <c r="B19" s="1" t="s">
        <v>78</v>
      </c>
      <c r="C19" s="25">
        <v>89.42196015366748</v>
      </c>
      <c r="D19" s="25">
        <v>81.12449799196786</v>
      </c>
    </row>
    <row r="20" ht="14.25" customHeight="1">
      <c r="A20" s="14">
        <v>10701.0</v>
      </c>
      <c r="B20" s="1" t="s">
        <v>81</v>
      </c>
      <c r="C20" s="25">
        <v>75.4418403762973</v>
      </c>
      <c r="D20" s="25">
        <v>73.12541071454484</v>
      </c>
    </row>
    <row r="21" ht="14.25" customHeight="1">
      <c r="A21" s="14">
        <v>10702.0</v>
      </c>
      <c r="B21" s="1" t="s">
        <v>82</v>
      </c>
      <c r="C21" s="25">
        <v>58.869299401336015</v>
      </c>
      <c r="D21" s="25">
        <v>71.10926122893913</v>
      </c>
    </row>
    <row r="22" ht="14.25" customHeight="1">
      <c r="A22" s="14">
        <v>10703.0</v>
      </c>
      <c r="B22" s="1" t="s">
        <v>83</v>
      </c>
      <c r="C22" s="25">
        <v>72.66604010025063</v>
      </c>
      <c r="D22" s="25">
        <v>84.48982164240248</v>
      </c>
    </row>
    <row r="23" ht="14.25" customHeight="1">
      <c r="A23" s="14">
        <v>10704.0</v>
      </c>
      <c r="B23" s="1" t="s">
        <v>84</v>
      </c>
      <c r="C23" s="25">
        <v>60.0</v>
      </c>
      <c r="D23" s="25">
        <v>78.93637391514893</v>
      </c>
    </row>
    <row r="24" ht="14.25" customHeight="1">
      <c r="A24" s="14">
        <v>10801.0</v>
      </c>
      <c r="B24" s="1" t="s">
        <v>86</v>
      </c>
      <c r="C24" s="25">
        <v>67.53291753291754</v>
      </c>
      <c r="D24" s="25">
        <v>70.62844400859251</v>
      </c>
    </row>
    <row r="25" ht="14.25" customHeight="1">
      <c r="A25" s="14">
        <v>10901.0</v>
      </c>
      <c r="B25" s="1" t="s">
        <v>88</v>
      </c>
      <c r="C25" s="25">
        <v>61.67341430499325</v>
      </c>
      <c r="D25" s="25">
        <v>87.11156977410847</v>
      </c>
    </row>
    <row r="26" ht="14.25" customHeight="1">
      <c r="A26" s="14">
        <v>10902.0</v>
      </c>
      <c r="B26" s="1" t="s">
        <v>89</v>
      </c>
      <c r="C26" s="25">
        <v>67.86247227263561</v>
      </c>
      <c r="D26" s="25">
        <v>85.93260188087775</v>
      </c>
    </row>
    <row r="27" ht="14.25" customHeight="1">
      <c r="A27" s="14">
        <v>10903.0</v>
      </c>
      <c r="B27" s="1" t="s">
        <v>90</v>
      </c>
      <c r="C27" s="25">
        <v>75.18518518518518</v>
      </c>
      <c r="D27" s="25">
        <v>80.0</v>
      </c>
    </row>
    <row r="28" ht="14.25" customHeight="1">
      <c r="A28" s="14">
        <v>11001.0</v>
      </c>
      <c r="B28" s="1" t="s">
        <v>92</v>
      </c>
      <c r="C28" s="25">
        <v>71.34986871717929</v>
      </c>
      <c r="D28" s="25">
        <v>82.17065794040359</v>
      </c>
    </row>
    <row r="29" ht="14.25" customHeight="1">
      <c r="A29" s="14">
        <v>11002.0</v>
      </c>
      <c r="B29" s="1" t="s">
        <v>93</v>
      </c>
      <c r="C29" s="25">
        <v>80.58608058608058</v>
      </c>
      <c r="D29" s="25">
        <v>83.33333333333333</v>
      </c>
    </row>
    <row r="30" ht="14.25" customHeight="1">
      <c r="A30" s="14">
        <v>11003.0</v>
      </c>
      <c r="B30" s="1" t="s">
        <v>95</v>
      </c>
      <c r="C30" s="25">
        <v>66.39016897081412</v>
      </c>
      <c r="D30" s="25">
        <v>82.85970992170452</v>
      </c>
    </row>
    <row r="31" ht="14.25" customHeight="1">
      <c r="A31" s="14">
        <v>20101.0</v>
      </c>
      <c r="B31" s="1" t="s">
        <v>98</v>
      </c>
      <c r="C31" s="25">
        <v>90.33807587323066</v>
      </c>
      <c r="D31" s="25">
        <v>86.55080105373162</v>
      </c>
    </row>
    <row r="32" ht="14.25" customHeight="1">
      <c r="A32" s="14">
        <v>20102.0</v>
      </c>
      <c r="B32" s="1" t="s">
        <v>99</v>
      </c>
      <c r="C32" s="25">
        <v>61.52781191712092</v>
      </c>
      <c r="D32" s="25">
        <v>77.38075946632097</v>
      </c>
    </row>
    <row r="33" ht="14.25" customHeight="1">
      <c r="A33" s="14">
        <v>20103.0</v>
      </c>
      <c r="B33" s="1" t="s">
        <v>100</v>
      </c>
      <c r="C33" s="25">
        <v>69.27234683873989</v>
      </c>
      <c r="D33" s="25">
        <v>76.16238235707263</v>
      </c>
    </row>
    <row r="34" ht="14.25" customHeight="1">
      <c r="A34" s="14">
        <v>20104.0</v>
      </c>
      <c r="B34" s="1" t="s">
        <v>101</v>
      </c>
      <c r="C34" s="25">
        <v>70.4525111744624</v>
      </c>
      <c r="D34" s="25">
        <v>70.23513050919983</v>
      </c>
    </row>
    <row r="35" ht="14.25" customHeight="1">
      <c r="A35" s="14">
        <v>20105.0</v>
      </c>
      <c r="B35" s="1" t="s">
        <v>102</v>
      </c>
      <c r="C35" s="25">
        <v>78.56360971335853</v>
      </c>
      <c r="D35" s="25">
        <v>78.30149586484075</v>
      </c>
    </row>
    <row r="36" ht="14.25" customHeight="1">
      <c r="A36" s="14">
        <v>20201.0</v>
      </c>
      <c r="B36" s="1" t="s">
        <v>104</v>
      </c>
      <c r="C36" s="25">
        <v>74.83441912776725</v>
      </c>
      <c r="D36" s="25">
        <v>86.479014037955</v>
      </c>
    </row>
    <row r="37" ht="14.25" customHeight="1">
      <c r="A37" s="14">
        <v>20202.0</v>
      </c>
      <c r="B37" s="1" t="s">
        <v>105</v>
      </c>
      <c r="C37" s="25">
        <v>64.20837504170838</v>
      </c>
      <c r="D37" s="25">
        <v>75.37617156334113</v>
      </c>
    </row>
    <row r="38" ht="14.25" customHeight="1">
      <c r="A38" s="14">
        <v>20203.0</v>
      </c>
      <c r="B38" s="1" t="s">
        <v>107</v>
      </c>
      <c r="C38" s="25">
        <v>73.52941176470588</v>
      </c>
      <c r="D38" s="25">
        <v>85.79903596588804</v>
      </c>
    </row>
    <row r="39" ht="14.25" customHeight="1">
      <c r="A39" s="14">
        <v>20204.0</v>
      </c>
      <c r="B39" s="1" t="s">
        <v>108</v>
      </c>
      <c r="C39" s="25">
        <v>76.36363636363637</v>
      </c>
      <c r="D39" s="25">
        <v>83.05084745762713</v>
      </c>
    </row>
    <row r="40" ht="14.25" customHeight="1">
      <c r="A40" s="14">
        <v>20205.0</v>
      </c>
      <c r="B40" s="1" t="s">
        <v>109</v>
      </c>
      <c r="C40" s="25">
        <v>81.21693121693121</v>
      </c>
      <c r="D40" s="25">
        <v>82.58417063282214</v>
      </c>
    </row>
    <row r="41" ht="14.25" customHeight="1">
      <c r="A41" s="14">
        <v>20206.0</v>
      </c>
      <c r="B41" s="1" t="s">
        <v>110</v>
      </c>
      <c r="C41" s="25">
        <v>94.11764705882352</v>
      </c>
      <c r="D41" s="25">
        <v>85.71428571428571</v>
      </c>
    </row>
    <row r="42" ht="14.25" customHeight="1">
      <c r="A42" s="14">
        <v>20301.0</v>
      </c>
      <c r="B42" s="1" t="s">
        <v>112</v>
      </c>
      <c r="C42" s="25">
        <v>64.30512016718914</v>
      </c>
      <c r="D42" s="25">
        <v>66.22172729814777</v>
      </c>
    </row>
    <row r="43" ht="14.25" customHeight="1">
      <c r="A43" s="14">
        <v>20302.0</v>
      </c>
      <c r="B43" s="1" t="s">
        <v>114</v>
      </c>
      <c r="C43" s="25">
        <v>63.92141556075982</v>
      </c>
      <c r="D43" s="25">
        <v>74.2063492063492</v>
      </c>
    </row>
    <row r="44" ht="14.25" customHeight="1">
      <c r="A44" s="14">
        <v>20303.0</v>
      </c>
      <c r="B44" s="1" t="s">
        <v>115</v>
      </c>
      <c r="C44" s="25">
        <v>46.47916376952673</v>
      </c>
      <c r="D44" s="25">
        <v>70.81796414935611</v>
      </c>
    </row>
    <row r="45" ht="14.25" customHeight="1">
      <c r="A45" s="14">
        <v>20304.0</v>
      </c>
      <c r="B45" s="1" t="s">
        <v>116</v>
      </c>
      <c r="C45" s="25">
        <v>62.25868725868725</v>
      </c>
      <c r="D45" s="25">
        <v>73.2142455903831</v>
      </c>
    </row>
    <row r="46" ht="14.25" customHeight="1">
      <c r="A46" s="14">
        <v>20305.0</v>
      </c>
      <c r="B46" s="1" t="s">
        <v>117</v>
      </c>
      <c r="C46" s="25">
        <v>80.49019607843137</v>
      </c>
      <c r="D46" s="25">
        <v>83.52326685660019</v>
      </c>
    </row>
    <row r="47" ht="14.25" customHeight="1">
      <c r="A47" s="14">
        <v>20306.0</v>
      </c>
      <c r="B47" s="1" t="s">
        <v>118</v>
      </c>
      <c r="C47" s="25">
        <v>76.38888888888889</v>
      </c>
      <c r="D47" s="25">
        <v>75.05446623093682</v>
      </c>
    </row>
    <row r="48" ht="14.25" customHeight="1">
      <c r="A48" s="14">
        <v>20307.0</v>
      </c>
      <c r="B48" s="1" t="s">
        <v>119</v>
      </c>
      <c r="C48" s="25">
        <v>66.66666666666667</v>
      </c>
      <c r="D48" s="25">
        <v>44.444444444444436</v>
      </c>
    </row>
    <row r="49" ht="14.25" customHeight="1">
      <c r="A49" s="14">
        <v>20308.0</v>
      </c>
      <c r="B49" s="1" t="s">
        <v>120</v>
      </c>
      <c r="C49" s="25">
        <v>51.04277687864314</v>
      </c>
      <c r="D49" s="25">
        <v>71.26436781609196</v>
      </c>
    </row>
    <row r="50" ht="14.25" customHeight="1">
      <c r="A50" s="14">
        <v>20401.0</v>
      </c>
      <c r="B50" s="1" t="s">
        <v>122</v>
      </c>
      <c r="C50" s="25">
        <v>63.84587464077236</v>
      </c>
      <c r="D50" s="25">
        <v>78.78637770897832</v>
      </c>
    </row>
    <row r="51" ht="14.25" customHeight="1">
      <c r="A51" s="14">
        <v>20402.0</v>
      </c>
      <c r="B51" s="1" t="s">
        <v>123</v>
      </c>
      <c r="C51" s="25">
        <v>55.85435341532903</v>
      </c>
      <c r="D51" s="25">
        <v>78.7112126490769</v>
      </c>
    </row>
    <row r="52" ht="14.25" customHeight="1">
      <c r="A52" s="14">
        <v>20403.0</v>
      </c>
      <c r="B52" s="1" t="s">
        <v>124</v>
      </c>
      <c r="C52" s="25">
        <v>49.98236331569665</v>
      </c>
      <c r="D52" s="25">
        <v>72.64692378328742</v>
      </c>
    </row>
    <row r="53" ht="14.25" customHeight="1">
      <c r="A53" s="14">
        <v>20404.0</v>
      </c>
      <c r="B53" s="1" t="s">
        <v>126</v>
      </c>
      <c r="C53" s="25">
        <v>60.60606060606061</v>
      </c>
      <c r="D53" s="25">
        <v>86.2876830318691</v>
      </c>
    </row>
    <row r="54" ht="14.25" customHeight="1">
      <c r="A54" s="14">
        <v>20405.0</v>
      </c>
      <c r="B54" s="1" t="s">
        <v>127</v>
      </c>
      <c r="C54" s="25">
        <v>68.51851851851852</v>
      </c>
      <c r="D54" s="25">
        <v>74.12558420021107</v>
      </c>
    </row>
    <row r="55" ht="14.25" customHeight="1">
      <c r="A55" s="14">
        <v>20501.0</v>
      </c>
      <c r="B55" s="1" t="s">
        <v>129</v>
      </c>
      <c r="C55" s="25">
        <v>69.06084656084657</v>
      </c>
      <c r="D55" s="25">
        <v>80.30303030303031</v>
      </c>
    </row>
    <row r="56" ht="14.25" customHeight="1">
      <c r="A56" s="14">
        <v>20502.0</v>
      </c>
      <c r="B56" s="1" t="s">
        <v>130</v>
      </c>
      <c r="C56" s="25">
        <v>73.16689158794422</v>
      </c>
      <c r="D56" s="25">
        <v>80.95588621904412</v>
      </c>
    </row>
    <row r="57" ht="14.25" customHeight="1">
      <c r="A57" s="14">
        <v>20503.0</v>
      </c>
      <c r="B57" s="1" t="s">
        <v>131</v>
      </c>
      <c r="C57" s="25">
        <v>35.115864527629235</v>
      </c>
      <c r="D57" s="25">
        <v>84.24895626153487</v>
      </c>
    </row>
    <row r="58" ht="14.25" customHeight="1">
      <c r="A58" s="14">
        <v>20601.0</v>
      </c>
      <c r="B58" s="1" t="s">
        <v>133</v>
      </c>
      <c r="C58" s="25">
        <v>57.96508465434332</v>
      </c>
      <c r="D58" s="25">
        <v>73.46391165682964</v>
      </c>
    </row>
    <row r="59" ht="14.25" customHeight="1">
      <c r="A59" s="14">
        <v>20602.0</v>
      </c>
      <c r="B59" s="1" t="s">
        <v>134</v>
      </c>
      <c r="C59" s="25">
        <v>61.32741132741132</v>
      </c>
      <c r="D59" s="25">
        <v>80.98264707231299</v>
      </c>
    </row>
    <row r="60" ht="14.25" customHeight="1">
      <c r="A60" s="14">
        <v>20603.0</v>
      </c>
      <c r="B60" s="1" t="s">
        <v>135</v>
      </c>
      <c r="C60" s="25">
        <v>52.68336314847943</v>
      </c>
      <c r="D60" s="25">
        <v>69.39393939393939</v>
      </c>
    </row>
    <row r="61" ht="14.25" customHeight="1">
      <c r="A61" s="14">
        <v>20604.0</v>
      </c>
      <c r="B61" s="1" t="s">
        <v>136</v>
      </c>
      <c r="C61" s="25">
        <v>63.888888888888886</v>
      </c>
      <c r="D61" s="25">
        <v>81.11111111111111</v>
      </c>
    </row>
    <row r="62" ht="14.25" customHeight="1">
      <c r="A62" s="14">
        <v>20605.0</v>
      </c>
      <c r="B62" s="1" t="s">
        <v>137</v>
      </c>
      <c r="C62" s="25">
        <v>59.854096520763186</v>
      </c>
      <c r="D62" s="25">
        <v>79.77011494252874</v>
      </c>
    </row>
    <row r="63" ht="14.25" customHeight="1">
      <c r="A63" s="14">
        <v>20606.0</v>
      </c>
      <c r="B63" s="1" t="s">
        <v>138</v>
      </c>
      <c r="C63" s="25">
        <v>83.29939066781172</v>
      </c>
      <c r="D63" s="25">
        <v>91.22040072859744</v>
      </c>
    </row>
    <row r="64" ht="14.25" customHeight="1">
      <c r="A64" s="14">
        <v>20607.0</v>
      </c>
      <c r="B64" s="1" t="s">
        <v>139</v>
      </c>
      <c r="C64" s="25">
        <v>72.33432085465482</v>
      </c>
      <c r="D64" s="25">
        <v>86.1580397795351</v>
      </c>
    </row>
    <row r="65" ht="14.25" customHeight="1">
      <c r="A65" s="14">
        <v>20608.0</v>
      </c>
      <c r="B65" s="1" t="s">
        <v>140</v>
      </c>
      <c r="C65" s="25">
        <v>49.38952745849298</v>
      </c>
      <c r="D65" s="25">
        <v>80.42181014012</v>
      </c>
    </row>
    <row r="66" ht="14.25" customHeight="1">
      <c r="A66" s="14">
        <v>20701.0</v>
      </c>
      <c r="B66" s="1" t="s">
        <v>142</v>
      </c>
      <c r="C66" s="25">
        <v>50.520454504333344</v>
      </c>
      <c r="D66" s="25">
        <v>81.88536953242836</v>
      </c>
    </row>
    <row r="67" ht="14.25" customHeight="1">
      <c r="A67" s="14">
        <v>20702.0</v>
      </c>
      <c r="B67" s="1" t="s">
        <v>143</v>
      </c>
      <c r="C67" s="25">
        <v>52.746806039488966</v>
      </c>
      <c r="D67" s="25">
        <v>76.16918866918867</v>
      </c>
    </row>
    <row r="68" ht="14.25" customHeight="1">
      <c r="A68" s="14">
        <v>20801.0</v>
      </c>
      <c r="B68" s="1" t="s">
        <v>145</v>
      </c>
      <c r="C68" s="25">
        <v>73.14623759647128</v>
      </c>
      <c r="D68" s="25">
        <v>76.45262727033105</v>
      </c>
    </row>
    <row r="69" ht="14.25" customHeight="1">
      <c r="A69" s="14">
        <v>20802.0</v>
      </c>
      <c r="B69" s="1" t="s">
        <v>146</v>
      </c>
      <c r="C69" s="25">
        <v>78.00258221310854</v>
      </c>
      <c r="D69" s="25">
        <v>73.44913151364766</v>
      </c>
    </row>
    <row r="70" ht="14.25" customHeight="1">
      <c r="A70" s="14">
        <v>20803.0</v>
      </c>
      <c r="B70" s="1" t="s">
        <v>148</v>
      </c>
      <c r="C70" s="25">
        <v>66.8778401496926</v>
      </c>
      <c r="D70" s="25">
        <v>70.61731978713111</v>
      </c>
    </row>
    <row r="71" ht="14.25" customHeight="1">
      <c r="A71" s="14">
        <v>20804.0</v>
      </c>
      <c r="B71" s="1" t="s">
        <v>149</v>
      </c>
      <c r="C71" s="25">
        <v>66.14890400604686</v>
      </c>
      <c r="D71" s="25">
        <v>78.23261858349578</v>
      </c>
    </row>
    <row r="72" ht="14.25" customHeight="1">
      <c r="A72" s="14">
        <v>20805.0</v>
      </c>
      <c r="B72" s="1" t="s">
        <v>150</v>
      </c>
      <c r="C72" s="25">
        <v>44.45976002341235</v>
      </c>
      <c r="D72" s="25">
        <v>75.79908675799088</v>
      </c>
    </row>
    <row r="73" ht="14.25" customHeight="1">
      <c r="A73" s="14">
        <v>20806.0</v>
      </c>
      <c r="B73" s="1" t="s">
        <v>152</v>
      </c>
      <c r="C73" s="25">
        <v>70.1005291005291</v>
      </c>
      <c r="D73" s="25">
        <v>79.03760544289595</v>
      </c>
    </row>
    <row r="74" ht="14.25" customHeight="1">
      <c r="A74" s="14">
        <v>20807.0</v>
      </c>
      <c r="B74" s="1" t="s">
        <v>154</v>
      </c>
      <c r="C74" s="25">
        <v>62.667323193638985</v>
      </c>
      <c r="D74" s="25">
        <v>72.22222222222221</v>
      </c>
    </row>
    <row r="75" ht="14.25" customHeight="1">
      <c r="A75" s="14">
        <v>20901.0</v>
      </c>
      <c r="B75" s="1" t="s">
        <v>156</v>
      </c>
      <c r="C75" s="25">
        <v>77.5599128540305</v>
      </c>
      <c r="D75" s="25">
        <v>74.39146620847652</v>
      </c>
    </row>
    <row r="76" ht="14.25" customHeight="1">
      <c r="A76" s="14">
        <v>20902.0</v>
      </c>
      <c r="B76" s="1" t="s">
        <v>157</v>
      </c>
      <c r="C76" s="25">
        <v>60.82592386774104</v>
      </c>
      <c r="D76" s="25">
        <v>80.9930690924843</v>
      </c>
    </row>
    <row r="77" ht="14.25" customHeight="1">
      <c r="A77" s="14">
        <v>20903.0</v>
      </c>
      <c r="B77" s="1" t="s">
        <v>158</v>
      </c>
      <c r="C77" s="25">
        <v>47.03267973856209</v>
      </c>
      <c r="D77" s="25">
        <v>72.28098008108584</v>
      </c>
    </row>
    <row r="78" ht="14.25" customHeight="1">
      <c r="A78" s="14">
        <v>20904.0</v>
      </c>
      <c r="B78" s="1" t="s">
        <v>159</v>
      </c>
      <c r="C78" s="25">
        <v>64.44444444444444</v>
      </c>
      <c r="D78" s="25">
        <v>83.33333333333333</v>
      </c>
    </row>
    <row r="79" ht="14.25" customHeight="1">
      <c r="A79" s="14">
        <v>20905.0</v>
      </c>
      <c r="B79" s="1" t="s">
        <v>160</v>
      </c>
      <c r="C79" s="25">
        <v>54.20441347270616</v>
      </c>
      <c r="D79" s="25">
        <v>77.6753134957344</v>
      </c>
    </row>
    <row r="80" ht="14.25" customHeight="1">
      <c r="A80" s="14">
        <v>21001.0</v>
      </c>
      <c r="B80" s="1" t="s">
        <v>161</v>
      </c>
      <c r="C80" s="25">
        <v>58.46924439557754</v>
      </c>
      <c r="D80" s="25">
        <v>74.31833082648772</v>
      </c>
    </row>
    <row r="81" ht="14.25" customHeight="1">
      <c r="A81" s="14">
        <v>21002.0</v>
      </c>
      <c r="B81" s="1" t="s">
        <v>162</v>
      </c>
      <c r="C81" s="25">
        <v>55.97336466901684</v>
      </c>
      <c r="D81" s="25">
        <v>86.8560244610665</v>
      </c>
    </row>
    <row r="82" ht="14.25" customHeight="1">
      <c r="A82" s="14">
        <v>21003.0</v>
      </c>
      <c r="B82" s="1" t="s">
        <v>163</v>
      </c>
      <c r="C82" s="25">
        <v>62.586704936431715</v>
      </c>
      <c r="D82" s="25">
        <v>79.29925689959295</v>
      </c>
    </row>
    <row r="83" ht="14.25" customHeight="1">
      <c r="A83" s="14">
        <v>21004.0</v>
      </c>
      <c r="B83" s="1" t="s">
        <v>164</v>
      </c>
      <c r="C83" s="25">
        <v>44.97653646360387</v>
      </c>
      <c r="D83" s="25">
        <v>64.21642208847008</v>
      </c>
    </row>
    <row r="84" ht="14.25" customHeight="1">
      <c r="A84" s="14">
        <v>21005.0</v>
      </c>
      <c r="B84" s="1" t="s">
        <v>165</v>
      </c>
      <c r="C84" s="25">
        <v>66.86585721716845</v>
      </c>
      <c r="D84" s="25">
        <v>76.13481394895773</v>
      </c>
    </row>
    <row r="85" ht="14.25" customHeight="1">
      <c r="A85" s="14">
        <v>21006.0</v>
      </c>
      <c r="B85" s="1" t="s">
        <v>166</v>
      </c>
      <c r="C85" s="25">
        <v>77.05627705627705</v>
      </c>
      <c r="D85" s="25">
        <v>71.47435897435898</v>
      </c>
    </row>
    <row r="86" ht="14.25" customHeight="1">
      <c r="A86" s="14">
        <v>21101.0</v>
      </c>
      <c r="B86" s="1" t="s">
        <v>168</v>
      </c>
      <c r="C86" s="25">
        <v>76.7214158390629</v>
      </c>
      <c r="D86" s="25">
        <v>81.10275519699597</v>
      </c>
    </row>
    <row r="87" ht="14.25" customHeight="1">
      <c r="A87" s="14">
        <v>21102.0</v>
      </c>
      <c r="B87" s="1" t="s">
        <v>170</v>
      </c>
      <c r="C87" s="25">
        <v>55.03328111589271</v>
      </c>
      <c r="D87" s="25">
        <v>73.70686656178803</v>
      </c>
    </row>
    <row r="88" ht="14.25" customHeight="1">
      <c r="A88" s="14">
        <v>21103.0</v>
      </c>
      <c r="B88" s="1" t="s">
        <v>172</v>
      </c>
      <c r="C88" s="25">
        <v>71.19675456389453</v>
      </c>
      <c r="D88" s="25">
        <v>83.55073093067014</v>
      </c>
    </row>
    <row r="89" ht="14.25" customHeight="1">
      <c r="A89" s="14">
        <v>21104.0</v>
      </c>
      <c r="B89" s="1" t="s">
        <v>173</v>
      </c>
      <c r="C89" s="25">
        <v>51.13105826554216</v>
      </c>
      <c r="D89" s="25">
        <v>75.01486742178231</v>
      </c>
    </row>
    <row r="90" ht="14.25" customHeight="1">
      <c r="A90" s="14">
        <v>21105.0</v>
      </c>
      <c r="B90" s="1" t="s">
        <v>174</v>
      </c>
      <c r="C90" s="25">
        <v>59.33399933399934</v>
      </c>
      <c r="D90" s="25">
        <v>80.74775347817864</v>
      </c>
    </row>
    <row r="91" ht="14.25" customHeight="1">
      <c r="A91" s="14">
        <v>21201.0</v>
      </c>
      <c r="B91" s="1" t="s">
        <v>176</v>
      </c>
      <c r="C91" s="25">
        <v>70.7687894175959</v>
      </c>
      <c r="D91" s="25">
        <v>72.40438738530342</v>
      </c>
    </row>
    <row r="92" ht="14.25" customHeight="1">
      <c r="A92" s="14">
        <v>21202.0</v>
      </c>
      <c r="B92" s="1" t="s">
        <v>177</v>
      </c>
      <c r="C92" s="25">
        <v>72.26076375253915</v>
      </c>
      <c r="D92" s="25">
        <v>75.45244878578211</v>
      </c>
    </row>
    <row r="93" ht="14.25" customHeight="1">
      <c r="A93" s="14">
        <v>21203.0</v>
      </c>
      <c r="B93" s="1" t="s">
        <v>178</v>
      </c>
      <c r="C93" s="25">
        <v>79.37677097568697</v>
      </c>
      <c r="D93" s="25">
        <v>77.04757603131587</v>
      </c>
    </row>
    <row r="94" ht="14.25" customHeight="1">
      <c r="A94" s="14">
        <v>21204.0</v>
      </c>
      <c r="B94" s="1" t="s">
        <v>179</v>
      </c>
      <c r="C94" s="25">
        <v>62.64550264550264</v>
      </c>
      <c r="D94" s="25">
        <v>74.96519804822044</v>
      </c>
    </row>
    <row r="95" ht="14.25" customHeight="1">
      <c r="A95" s="14">
        <v>21301.0</v>
      </c>
      <c r="B95" s="1" t="s">
        <v>181</v>
      </c>
      <c r="C95" s="25">
        <v>58.64006065618969</v>
      </c>
      <c r="D95" s="25">
        <v>74.31826016277863</v>
      </c>
    </row>
    <row r="96" ht="14.25" customHeight="1">
      <c r="A96" s="14">
        <v>21302.0</v>
      </c>
      <c r="B96" s="1" t="s">
        <v>183</v>
      </c>
      <c r="C96" s="25">
        <v>57.11692084241105</v>
      </c>
      <c r="D96" s="25">
        <v>68.56037049600482</v>
      </c>
    </row>
    <row r="97" ht="14.25" customHeight="1">
      <c r="A97" s="14">
        <v>21303.0</v>
      </c>
      <c r="B97" s="1" t="s">
        <v>184</v>
      </c>
      <c r="C97" s="25">
        <v>69.82861743731308</v>
      </c>
      <c r="D97" s="25">
        <v>82.0538772085006</v>
      </c>
    </row>
    <row r="98" ht="14.25" customHeight="1">
      <c r="A98" s="14">
        <v>21304.0</v>
      </c>
      <c r="B98" s="1" t="s">
        <v>185</v>
      </c>
      <c r="C98" s="25">
        <v>66.85178369388895</v>
      </c>
      <c r="D98" s="25">
        <v>75.15505634974662</v>
      </c>
    </row>
    <row r="99" ht="14.25" customHeight="1">
      <c r="A99" s="14">
        <v>21305.0</v>
      </c>
      <c r="B99" s="1" t="s">
        <v>186</v>
      </c>
      <c r="C99" s="25">
        <v>75.00667047836858</v>
      </c>
      <c r="D99" s="25">
        <v>71.31349562062874</v>
      </c>
    </row>
    <row r="100" ht="14.25" customHeight="1">
      <c r="A100" s="14">
        <v>21306.0</v>
      </c>
      <c r="B100" s="1" t="s">
        <v>187</v>
      </c>
      <c r="C100" s="25">
        <v>80.66870252916765</v>
      </c>
      <c r="D100" s="25">
        <v>80.94042654375183</v>
      </c>
    </row>
    <row r="101" ht="14.25" customHeight="1">
      <c r="A101" s="14">
        <v>21307.0</v>
      </c>
      <c r="B101" s="1" t="s">
        <v>188</v>
      </c>
      <c r="C101" s="25">
        <v>81.14478114478116</v>
      </c>
      <c r="D101" s="25">
        <v>60.6060606060606</v>
      </c>
    </row>
    <row r="102" ht="14.25" customHeight="1">
      <c r="A102" s="14">
        <v>21401.0</v>
      </c>
      <c r="B102" s="1" t="s">
        <v>190</v>
      </c>
      <c r="C102" s="25">
        <v>55.08022093126626</v>
      </c>
      <c r="D102" s="25">
        <v>74.49783332136273</v>
      </c>
    </row>
    <row r="103" ht="14.25" customHeight="1">
      <c r="A103" s="14">
        <v>21402.0</v>
      </c>
      <c r="B103" s="1" t="s">
        <v>191</v>
      </c>
      <c r="C103" s="25">
        <v>71.01237658183841</v>
      </c>
      <c r="D103" s="25">
        <v>83.51130143004453</v>
      </c>
    </row>
    <row r="104" ht="14.25" customHeight="1">
      <c r="A104" s="14">
        <v>21501.0</v>
      </c>
      <c r="B104" s="1" t="s">
        <v>193</v>
      </c>
      <c r="C104" s="25">
        <v>65.04761904761905</v>
      </c>
      <c r="D104" s="25">
        <v>83.38720103425986</v>
      </c>
    </row>
    <row r="105" ht="14.25" customHeight="1">
      <c r="A105" s="14">
        <v>21502.0</v>
      </c>
      <c r="B105" s="1" t="s">
        <v>194</v>
      </c>
      <c r="C105" s="25">
        <v>43.673687423687426</v>
      </c>
      <c r="D105" s="25">
        <v>80.08363201911588</v>
      </c>
    </row>
    <row r="106" ht="14.25" customHeight="1">
      <c r="A106" s="14">
        <v>21601.0</v>
      </c>
      <c r="B106" s="1" t="s">
        <v>196</v>
      </c>
      <c r="C106" s="25">
        <v>44.24314170728105</v>
      </c>
      <c r="D106" s="25">
        <v>80.63907010292847</v>
      </c>
    </row>
    <row r="107" ht="14.25" customHeight="1">
      <c r="A107" s="14">
        <v>21602.0</v>
      </c>
      <c r="B107" s="1" t="s">
        <v>198</v>
      </c>
      <c r="C107" s="25">
        <v>37.40740740740741</v>
      </c>
      <c r="D107" s="25">
        <v>78.65079365079366</v>
      </c>
    </row>
    <row r="108" ht="14.25" customHeight="1">
      <c r="A108" s="14">
        <v>21701.0</v>
      </c>
      <c r="B108" s="1" t="s">
        <v>200</v>
      </c>
      <c r="C108" s="25">
        <v>64.96539546249572</v>
      </c>
      <c r="D108" s="25">
        <v>76.14310357184975</v>
      </c>
    </row>
    <row r="109" ht="14.25" customHeight="1">
      <c r="A109" s="14">
        <v>21702.0</v>
      </c>
      <c r="B109" s="1" t="s">
        <v>201</v>
      </c>
      <c r="C109" s="25">
        <v>81.85185185185185</v>
      </c>
      <c r="D109" s="25">
        <v>77.73921192297642</v>
      </c>
    </row>
    <row r="110" ht="14.25" customHeight="1">
      <c r="A110" s="14">
        <v>21703.0</v>
      </c>
      <c r="B110" s="1" t="s">
        <v>202</v>
      </c>
      <c r="C110" s="25">
        <v>68.43434343434343</v>
      </c>
      <c r="D110" s="25">
        <v>100.0</v>
      </c>
    </row>
    <row r="111" ht="14.25" customHeight="1">
      <c r="A111" s="14">
        <v>21801.0</v>
      </c>
      <c r="B111" s="1" t="s">
        <v>204</v>
      </c>
      <c r="C111" s="25">
        <v>61.91396725879485</v>
      </c>
      <c r="D111" s="25">
        <v>74.76555839727196</v>
      </c>
    </row>
    <row r="112" ht="14.25" customHeight="1">
      <c r="A112" s="14">
        <v>21802.0</v>
      </c>
      <c r="B112" s="1" t="s">
        <v>206</v>
      </c>
      <c r="C112" s="25">
        <v>46.245059288537554</v>
      </c>
      <c r="D112" s="25">
        <v>58.23232323232323</v>
      </c>
    </row>
    <row r="113" ht="14.25" customHeight="1">
      <c r="A113" s="14">
        <v>21803.0</v>
      </c>
      <c r="B113" s="1" t="s">
        <v>207</v>
      </c>
      <c r="C113" s="25">
        <v>75.0</v>
      </c>
      <c r="D113" s="25">
        <v>78.75</v>
      </c>
    </row>
    <row r="114" ht="14.25" customHeight="1">
      <c r="A114" s="14">
        <v>21901.0</v>
      </c>
      <c r="B114" s="1" t="s">
        <v>209</v>
      </c>
      <c r="C114" s="25">
        <v>43.77777777777778</v>
      </c>
      <c r="D114" s="25">
        <v>66.91831204026327</v>
      </c>
    </row>
    <row r="115" ht="14.25" customHeight="1">
      <c r="A115" s="14">
        <v>21902.0</v>
      </c>
      <c r="B115" s="1" t="s">
        <v>210</v>
      </c>
      <c r="C115" s="25">
        <v>68.88888888888887</v>
      </c>
      <c r="D115" s="25">
        <v>69.36274509803921</v>
      </c>
    </row>
    <row r="116" ht="14.25" customHeight="1">
      <c r="A116" s="14">
        <v>22001.0</v>
      </c>
      <c r="B116" s="1" t="s">
        <v>211</v>
      </c>
      <c r="C116" s="25">
        <v>60.763899466869766</v>
      </c>
      <c r="D116" s="25">
        <v>76.75559620242139</v>
      </c>
    </row>
    <row r="117" ht="14.25" customHeight="1">
      <c r="A117" s="14">
        <v>22002.0</v>
      </c>
      <c r="B117" s="1" t="s">
        <v>212</v>
      </c>
      <c r="C117" s="25">
        <v>54.166666666666664</v>
      </c>
      <c r="D117" s="25">
        <v>73.28159645232817</v>
      </c>
    </row>
    <row r="118" ht="14.25" customHeight="1">
      <c r="A118" s="14">
        <v>30101.0</v>
      </c>
      <c r="B118" s="1" t="s">
        <v>47</v>
      </c>
      <c r="C118" s="25">
        <v>79.61271735185046</v>
      </c>
      <c r="D118" s="25">
        <v>83.01524125773498</v>
      </c>
    </row>
    <row r="119" ht="14.25" customHeight="1">
      <c r="A119" s="14">
        <v>30201.0</v>
      </c>
      <c r="B119" s="1" t="s">
        <v>215</v>
      </c>
      <c r="C119" s="25">
        <v>70.72498460840544</v>
      </c>
      <c r="D119" s="25">
        <v>79.93365261177088</v>
      </c>
    </row>
    <row r="120" ht="14.25" customHeight="1">
      <c r="A120" s="14">
        <v>30202.0</v>
      </c>
      <c r="B120" s="1" t="s">
        <v>216</v>
      </c>
      <c r="C120" s="25">
        <v>48.71794871794872</v>
      </c>
      <c r="D120" s="25">
        <v>68.9792008757526</v>
      </c>
    </row>
    <row r="121" ht="14.25" customHeight="1">
      <c r="A121" s="14">
        <v>30203.0</v>
      </c>
      <c r="B121" s="1" t="s">
        <v>217</v>
      </c>
      <c r="C121" s="25">
        <v>70.37037037037037</v>
      </c>
      <c r="D121" s="25">
        <v>83.68344639736868</v>
      </c>
    </row>
    <row r="122" ht="14.25" customHeight="1">
      <c r="A122" s="14">
        <v>30301.0</v>
      </c>
      <c r="B122" s="1" t="s">
        <v>219</v>
      </c>
      <c r="C122" s="25">
        <v>68.1023999097164</v>
      </c>
      <c r="D122" s="25">
        <v>82.1110137284658</v>
      </c>
    </row>
    <row r="123" ht="14.25" customHeight="1">
      <c r="A123" s="14">
        <v>30302.0</v>
      </c>
      <c r="B123" s="1" t="s">
        <v>221</v>
      </c>
      <c r="C123" s="25">
        <v>60.036950299245376</v>
      </c>
      <c r="D123" s="25">
        <v>79.07166484866221</v>
      </c>
    </row>
    <row r="124" ht="14.25" customHeight="1">
      <c r="A124" s="14">
        <v>30303.0</v>
      </c>
      <c r="B124" s="1" t="s">
        <v>222</v>
      </c>
      <c r="C124" s="25">
        <v>49.09090909090909</v>
      </c>
      <c r="D124" s="25">
        <v>79.33224183224182</v>
      </c>
    </row>
    <row r="125" ht="14.25" customHeight="1">
      <c r="A125" s="14">
        <v>30401.0</v>
      </c>
      <c r="B125" s="1" t="s">
        <v>224</v>
      </c>
      <c r="C125" s="25">
        <v>72.13048271517442</v>
      </c>
      <c r="D125" s="25">
        <v>78.30176222030154</v>
      </c>
    </row>
    <row r="126" ht="14.25" customHeight="1">
      <c r="A126" s="14">
        <v>30402.0</v>
      </c>
      <c r="B126" s="1" t="s">
        <v>225</v>
      </c>
      <c r="C126" s="25">
        <v>58.2807239057239</v>
      </c>
      <c r="D126" s="25">
        <v>78.54013822434875</v>
      </c>
    </row>
    <row r="127" ht="14.25" customHeight="1">
      <c r="A127" s="14">
        <v>30403.0</v>
      </c>
      <c r="B127" s="1" t="s">
        <v>227</v>
      </c>
      <c r="C127" s="25">
        <v>71.56359979889392</v>
      </c>
      <c r="D127" s="25">
        <v>75.34892406819695</v>
      </c>
    </row>
    <row r="128" ht="14.25" customHeight="1">
      <c r="A128" s="14">
        <v>30404.0</v>
      </c>
      <c r="B128" s="1" t="s">
        <v>228</v>
      </c>
      <c r="C128" s="25">
        <v>48.29059829059829</v>
      </c>
      <c r="D128" s="25">
        <v>75.2002002002002</v>
      </c>
    </row>
    <row r="129" ht="14.25" customHeight="1">
      <c r="A129" s="14">
        <v>30501.0</v>
      </c>
      <c r="B129" s="1" t="s">
        <v>229</v>
      </c>
      <c r="C129" s="25">
        <v>80.51282051282051</v>
      </c>
      <c r="D129" s="25">
        <v>83.21000821166056</v>
      </c>
    </row>
    <row r="130" ht="14.25" customHeight="1">
      <c r="A130" s="14">
        <v>30502.0</v>
      </c>
      <c r="B130" s="1" t="s">
        <v>230</v>
      </c>
      <c r="C130" s="25">
        <v>71.73065030207887</v>
      </c>
      <c r="D130" s="25">
        <v>73.56674856674857</v>
      </c>
    </row>
    <row r="131" ht="14.25" customHeight="1">
      <c r="A131" s="14">
        <v>30601.0</v>
      </c>
      <c r="B131" s="1" t="s">
        <v>231</v>
      </c>
      <c r="C131" s="25">
        <v>47.05882352941177</v>
      </c>
      <c r="D131" s="25">
        <v>70.4040404040404</v>
      </c>
    </row>
    <row r="132" ht="14.25" customHeight="1">
      <c r="A132" s="14">
        <v>30602.0</v>
      </c>
      <c r="B132" s="1" t="s">
        <v>233</v>
      </c>
      <c r="C132" s="25">
        <v>65.17030772844727</v>
      </c>
      <c r="D132" s="25">
        <v>71.8341307814992</v>
      </c>
    </row>
    <row r="133" ht="14.25" customHeight="1">
      <c r="A133" s="14">
        <v>30701.0</v>
      </c>
      <c r="B133" s="1" t="s">
        <v>234</v>
      </c>
      <c r="C133" s="25">
        <v>67.76752293707081</v>
      </c>
      <c r="D133" s="25">
        <v>78.26921155423571</v>
      </c>
    </row>
    <row r="134" ht="14.25" customHeight="1">
      <c r="A134" s="14">
        <v>30702.0</v>
      </c>
      <c r="B134" s="1" t="s">
        <v>235</v>
      </c>
      <c r="C134" s="25">
        <v>68.71612466124661</v>
      </c>
      <c r="D134" s="25">
        <v>76.76233778535568</v>
      </c>
    </row>
    <row r="135" ht="14.25" customHeight="1">
      <c r="A135" s="14">
        <v>30703.0</v>
      </c>
      <c r="B135" s="1" t="s">
        <v>237</v>
      </c>
      <c r="C135" s="25">
        <v>68.9245395127748</v>
      </c>
      <c r="D135" s="25">
        <v>78.62318840579711</v>
      </c>
    </row>
    <row r="136" ht="14.25" customHeight="1">
      <c r="A136" s="14">
        <v>30801.0</v>
      </c>
      <c r="B136" s="1" t="s">
        <v>239</v>
      </c>
      <c r="C136" s="25">
        <v>80.4443414131248</v>
      </c>
      <c r="D136" s="25">
        <v>84.24447041509761</v>
      </c>
    </row>
    <row r="137" ht="14.25" customHeight="1">
      <c r="A137" s="14">
        <v>30802.0</v>
      </c>
      <c r="B137" s="1" t="s">
        <v>240</v>
      </c>
      <c r="C137" s="25">
        <v>75.35612535612536</v>
      </c>
      <c r="D137" s="25">
        <v>84.94623655913979</v>
      </c>
    </row>
    <row r="138" ht="14.25" customHeight="1">
      <c r="A138" s="14">
        <v>30803.0</v>
      </c>
      <c r="B138" s="1" t="s">
        <v>241</v>
      </c>
      <c r="C138" s="25">
        <v>85.86848880966527</v>
      </c>
      <c r="D138" s="25">
        <v>86.23623623623625</v>
      </c>
    </row>
    <row r="139" ht="14.25" customHeight="1">
      <c r="A139" s="14">
        <v>30901.0</v>
      </c>
      <c r="B139" s="1" t="s">
        <v>242</v>
      </c>
      <c r="C139" s="25">
        <v>76.60630369259943</v>
      </c>
      <c r="D139" s="25">
        <v>80.06526737209593</v>
      </c>
    </row>
    <row r="140" ht="14.25" customHeight="1">
      <c r="A140" s="14">
        <v>30902.0</v>
      </c>
      <c r="B140" s="1" t="s">
        <v>243</v>
      </c>
      <c r="C140" s="25">
        <v>69.78698133686544</v>
      </c>
      <c r="D140" s="25">
        <v>76.51940401940402</v>
      </c>
    </row>
    <row r="141" ht="14.25" customHeight="1">
      <c r="A141" s="14">
        <v>30903.0</v>
      </c>
      <c r="B141" s="1" t="s">
        <v>244</v>
      </c>
      <c r="C141" s="25">
        <v>81.458302419743</v>
      </c>
      <c r="D141" s="25">
        <v>81.17491603230256</v>
      </c>
    </row>
    <row r="142" ht="14.25" customHeight="1">
      <c r="A142" s="14">
        <v>30904.0</v>
      </c>
      <c r="B142" s="1" t="s">
        <v>245</v>
      </c>
      <c r="C142" s="25">
        <v>64.8606475946957</v>
      </c>
      <c r="D142" s="25">
        <v>70.43878826487521</v>
      </c>
    </row>
    <row r="143" ht="14.25" customHeight="1">
      <c r="A143" s="14">
        <v>30905.0</v>
      </c>
      <c r="B143" s="1" t="s">
        <v>246</v>
      </c>
      <c r="C143" s="25">
        <v>76.91323405490762</v>
      </c>
      <c r="D143" s="25">
        <v>82.2195737361415</v>
      </c>
    </row>
    <row r="144" ht="14.25" customHeight="1">
      <c r="A144" s="14">
        <v>31001.0</v>
      </c>
      <c r="B144" s="1" t="s">
        <v>248</v>
      </c>
      <c r="C144" s="25">
        <v>79.64598186386418</v>
      </c>
      <c r="D144" s="25">
        <v>81.86770683932913</v>
      </c>
    </row>
    <row r="145" ht="14.25" customHeight="1">
      <c r="A145" s="14">
        <v>31002.0</v>
      </c>
      <c r="B145" s="1" t="s">
        <v>249</v>
      </c>
      <c r="C145" s="25">
        <v>73.4693413930702</v>
      </c>
      <c r="D145" s="25">
        <v>80.27272068765696</v>
      </c>
    </row>
    <row r="146" ht="14.25" customHeight="1">
      <c r="A146" s="14">
        <v>31003.0</v>
      </c>
      <c r="B146" s="1" t="s">
        <v>250</v>
      </c>
      <c r="C146" s="25">
        <v>70.90661865077469</v>
      </c>
      <c r="D146" s="25">
        <v>79.50905579685814</v>
      </c>
    </row>
    <row r="147" ht="14.25" customHeight="1">
      <c r="A147" s="14">
        <v>31101.0</v>
      </c>
      <c r="B147" s="1" t="s">
        <v>251</v>
      </c>
      <c r="C147" s="25">
        <v>56.35313531353135</v>
      </c>
      <c r="D147" s="25">
        <v>73.21084539833318</v>
      </c>
    </row>
    <row r="148" ht="14.25" customHeight="1">
      <c r="A148" s="14">
        <v>31201.0</v>
      </c>
      <c r="B148" s="1" t="s">
        <v>253</v>
      </c>
      <c r="C148" s="25">
        <v>60.208235935795535</v>
      </c>
      <c r="D148" s="25">
        <v>78.26808445502654</v>
      </c>
    </row>
    <row r="149" ht="14.25" customHeight="1">
      <c r="A149" s="14">
        <v>31202.0</v>
      </c>
      <c r="B149" s="1" t="s">
        <v>254</v>
      </c>
      <c r="C149" s="25">
        <v>58.80077369439072</v>
      </c>
      <c r="D149" s="25">
        <v>74.44728616084114</v>
      </c>
    </row>
    <row r="150" ht="14.25" customHeight="1">
      <c r="A150" s="14">
        <v>31203.0</v>
      </c>
      <c r="B150" s="1" t="s">
        <v>255</v>
      </c>
      <c r="C150" s="25">
        <v>64.86402486402487</v>
      </c>
      <c r="D150" s="25">
        <v>78.40329218106996</v>
      </c>
    </row>
    <row r="151" ht="14.25" customHeight="1">
      <c r="A151" s="14">
        <v>31204.0</v>
      </c>
      <c r="B151" s="1" t="s">
        <v>256</v>
      </c>
      <c r="C151" s="25">
        <v>76.81151854326764</v>
      </c>
      <c r="D151" s="25">
        <v>76.35575531718996</v>
      </c>
    </row>
    <row r="152" ht="14.25" customHeight="1">
      <c r="A152" s="14">
        <v>31205.0</v>
      </c>
      <c r="B152" s="1" t="s">
        <v>257</v>
      </c>
      <c r="C152" s="25">
        <v>69.13239640319436</v>
      </c>
      <c r="D152" s="25">
        <v>80.06275997305659</v>
      </c>
    </row>
    <row r="153" ht="14.25" customHeight="1">
      <c r="A153" s="14">
        <v>31206.0</v>
      </c>
      <c r="B153" s="1" t="s">
        <v>258</v>
      </c>
      <c r="C153" s="25">
        <v>71.57413350449293</v>
      </c>
      <c r="D153" s="25">
        <v>76.3057647171125</v>
      </c>
    </row>
    <row r="154" ht="14.25" customHeight="1">
      <c r="A154" s="14">
        <v>31301.0</v>
      </c>
      <c r="B154" s="1" t="s">
        <v>259</v>
      </c>
      <c r="C154" s="25">
        <v>73.34233280088894</v>
      </c>
      <c r="D154" s="25">
        <v>79.1933546604962</v>
      </c>
    </row>
    <row r="155" ht="14.25" customHeight="1">
      <c r="A155" s="14">
        <v>31302.0</v>
      </c>
      <c r="B155" s="1" t="s">
        <v>260</v>
      </c>
      <c r="C155" s="25">
        <v>76.66666666666667</v>
      </c>
      <c r="D155" s="25">
        <v>78.30687830687832</v>
      </c>
    </row>
    <row r="156" ht="14.25" customHeight="1">
      <c r="A156" s="14">
        <v>31303.0</v>
      </c>
      <c r="B156" s="1" t="s">
        <v>261</v>
      </c>
      <c r="C156" s="25">
        <v>63.703703703703695</v>
      </c>
      <c r="D156" s="25">
        <v>68.35016835016835</v>
      </c>
    </row>
    <row r="157" ht="14.25" customHeight="1">
      <c r="A157" s="14">
        <v>31304.0</v>
      </c>
      <c r="B157" s="1" t="s">
        <v>262</v>
      </c>
      <c r="C157" s="25">
        <v>71.57413350449293</v>
      </c>
      <c r="D157" s="25">
        <v>76.3057647171125</v>
      </c>
    </row>
    <row r="158" ht="14.25" customHeight="1">
      <c r="A158" s="14">
        <v>31401.0</v>
      </c>
      <c r="B158" s="1" t="s">
        <v>264</v>
      </c>
      <c r="C158" s="25">
        <v>80.34130388745878</v>
      </c>
      <c r="D158" s="25">
        <v>82.39685873306395</v>
      </c>
    </row>
    <row r="159" ht="14.25" customHeight="1">
      <c r="A159" s="14">
        <v>31402.0</v>
      </c>
      <c r="B159" s="1" t="s">
        <v>266</v>
      </c>
      <c r="C159" s="25">
        <v>69.75200331583311</v>
      </c>
      <c r="D159" s="25">
        <v>72.0257712312797</v>
      </c>
    </row>
    <row r="160" ht="14.25" customHeight="1">
      <c r="A160" s="14">
        <v>31403.0</v>
      </c>
      <c r="B160" s="1" t="s">
        <v>267</v>
      </c>
      <c r="C160" s="25">
        <v>78.41217780521686</v>
      </c>
      <c r="D160" s="25">
        <v>73.49951635665921</v>
      </c>
    </row>
    <row r="161" ht="14.25" customHeight="1">
      <c r="A161" s="14">
        <v>31404.0</v>
      </c>
      <c r="B161" s="1" t="s">
        <v>269</v>
      </c>
      <c r="C161" s="25"/>
      <c r="D161" s="25"/>
    </row>
    <row r="162" ht="14.25" customHeight="1">
      <c r="A162" s="14">
        <v>31405.0</v>
      </c>
      <c r="B162" s="1" t="s">
        <v>270</v>
      </c>
      <c r="C162" s="25"/>
      <c r="D162" s="25"/>
    </row>
    <row r="163" ht="14.25" customHeight="1">
      <c r="A163" s="14">
        <v>31501.0</v>
      </c>
      <c r="B163" s="1" t="s">
        <v>272</v>
      </c>
      <c r="C163" s="25">
        <v>54.93827160493827</v>
      </c>
      <c r="D163" s="25">
        <v>68.98395721925134</v>
      </c>
    </row>
    <row r="164" ht="14.25" customHeight="1">
      <c r="A164" s="14">
        <v>31601.0</v>
      </c>
      <c r="B164" s="1" t="s">
        <v>273</v>
      </c>
      <c r="C164" s="25">
        <v>70.19063338967884</v>
      </c>
      <c r="D164" s="25">
        <v>81.42603504922346</v>
      </c>
    </row>
    <row r="165" ht="14.25" customHeight="1">
      <c r="A165" s="14">
        <v>31602.0</v>
      </c>
      <c r="B165" s="1" t="s">
        <v>274</v>
      </c>
      <c r="C165" s="25">
        <v>65.13761467889908</v>
      </c>
      <c r="D165" s="25">
        <v>73.61122598075703</v>
      </c>
    </row>
    <row r="166" ht="14.25" customHeight="1">
      <c r="A166" s="14">
        <v>40101.0</v>
      </c>
      <c r="B166" s="1" t="s">
        <v>50</v>
      </c>
      <c r="C166" s="25">
        <v>86.93767280398754</v>
      </c>
      <c r="D166" s="25">
        <v>82.8478297275222</v>
      </c>
    </row>
    <row r="167" ht="14.25" customHeight="1">
      <c r="A167" s="14">
        <v>40102.0</v>
      </c>
      <c r="B167" s="1" t="s">
        <v>275</v>
      </c>
      <c r="C167" s="25">
        <v>60.15066477088478</v>
      </c>
      <c r="D167" s="25">
        <v>63.89702071456038</v>
      </c>
    </row>
    <row r="168" ht="14.25" customHeight="1">
      <c r="A168" s="14">
        <v>40103.0</v>
      </c>
      <c r="B168" s="1" t="s">
        <v>276</v>
      </c>
      <c r="C168" s="25">
        <v>49.554367201426025</v>
      </c>
      <c r="D168" s="25">
        <v>58.77731564006073</v>
      </c>
    </row>
    <row r="169" ht="14.25" customHeight="1">
      <c r="A169" s="14">
        <v>40104.0</v>
      </c>
      <c r="B169" s="1" t="s">
        <v>277</v>
      </c>
      <c r="C169" s="25">
        <v>63.525290498974705</v>
      </c>
      <c r="D169" s="25">
        <v>69.98256373256373</v>
      </c>
    </row>
    <row r="170" ht="14.25" customHeight="1">
      <c r="A170" s="14">
        <v>40201.0</v>
      </c>
      <c r="B170" s="1" t="s">
        <v>280</v>
      </c>
      <c r="C170" s="25">
        <v>55.55263885051119</v>
      </c>
      <c r="D170" s="25">
        <v>73.66321765620482</v>
      </c>
    </row>
    <row r="171" ht="14.25" customHeight="1">
      <c r="A171" s="14">
        <v>40202.0</v>
      </c>
      <c r="B171" s="1" t="s">
        <v>281</v>
      </c>
      <c r="C171" s="25">
        <v>49.21052631578947</v>
      </c>
      <c r="D171" s="25">
        <v>59.743589743589745</v>
      </c>
    </row>
    <row r="172" ht="14.25" customHeight="1">
      <c r="A172" s="14">
        <v>40301.0</v>
      </c>
      <c r="B172" s="1" t="s">
        <v>283</v>
      </c>
      <c r="C172" s="25">
        <v>46.8856048166393</v>
      </c>
      <c r="D172" s="25">
        <v>65.63347763347763</v>
      </c>
    </row>
    <row r="173" ht="14.25" customHeight="1">
      <c r="A173" s="14">
        <v>40302.0</v>
      </c>
      <c r="B173" s="1" t="s">
        <v>284</v>
      </c>
      <c r="C173" s="25">
        <v>36.94444444444444</v>
      </c>
      <c r="D173" s="25">
        <v>75.15151515151516</v>
      </c>
    </row>
    <row r="174" ht="14.25" customHeight="1">
      <c r="A174" s="14">
        <v>40401.0</v>
      </c>
      <c r="B174" s="1" t="s">
        <v>286</v>
      </c>
      <c r="C174" s="25">
        <v>38.45182595182595</v>
      </c>
      <c r="D174" s="25">
        <v>73.14102564102565</v>
      </c>
    </row>
    <row r="175" ht="14.25" customHeight="1">
      <c r="A175" s="14">
        <v>40402.0</v>
      </c>
      <c r="B175" s="1" t="s">
        <v>287</v>
      </c>
      <c r="C175" s="25">
        <v>35.93073593073593</v>
      </c>
      <c r="D175" s="25">
        <v>63.06306306306306</v>
      </c>
    </row>
    <row r="176" ht="14.25" customHeight="1">
      <c r="A176" s="14">
        <v>40501.0</v>
      </c>
      <c r="B176" s="1" t="s">
        <v>289</v>
      </c>
      <c r="C176" s="25">
        <v>73.80952380952381</v>
      </c>
      <c r="D176" s="25">
        <v>89.74358974358974</v>
      </c>
    </row>
    <row r="177" ht="14.25" customHeight="1">
      <c r="A177" s="14">
        <v>40502.0</v>
      </c>
      <c r="B177" s="1" t="s">
        <v>290</v>
      </c>
      <c r="C177" s="25">
        <v>22.222222222222218</v>
      </c>
      <c r="D177" s="25">
        <v>58.92857142857142</v>
      </c>
    </row>
    <row r="178" ht="14.25" customHeight="1">
      <c r="A178" s="14">
        <v>40503.0</v>
      </c>
      <c r="B178" s="1" t="s">
        <v>291</v>
      </c>
      <c r="C178" s="25"/>
      <c r="D178" s="25"/>
    </row>
    <row r="179" ht="14.25" customHeight="1">
      <c r="A179" s="14">
        <v>40504.0</v>
      </c>
      <c r="B179" s="1" t="s">
        <v>292</v>
      </c>
      <c r="C179" s="25"/>
      <c r="D179" s="25"/>
    </row>
    <row r="180" ht="14.25" customHeight="1">
      <c r="A180" s="14">
        <v>40505.0</v>
      </c>
      <c r="B180" s="1" t="s">
        <v>293</v>
      </c>
      <c r="C180" s="25"/>
      <c r="D180" s="25"/>
    </row>
    <row r="181" ht="14.25" customHeight="1">
      <c r="A181" s="14">
        <v>40601.0</v>
      </c>
      <c r="B181" s="1" t="s">
        <v>294</v>
      </c>
      <c r="C181" s="25">
        <v>60.254515599343186</v>
      </c>
      <c r="D181" s="25">
        <v>75.35053850843325</v>
      </c>
    </row>
    <row r="182" ht="14.25" customHeight="1">
      <c r="A182" s="14">
        <v>40602.0</v>
      </c>
      <c r="B182" s="1" t="s">
        <v>296</v>
      </c>
      <c r="C182" s="25">
        <v>55.653435357882984</v>
      </c>
      <c r="D182" s="25">
        <v>78.81299332119005</v>
      </c>
    </row>
    <row r="183" ht="14.25" customHeight="1">
      <c r="A183" s="14">
        <v>40603.0</v>
      </c>
      <c r="B183" s="1" t="s">
        <v>297</v>
      </c>
      <c r="C183" s="25"/>
      <c r="D183" s="25">
        <v>46.96969696969697</v>
      </c>
    </row>
    <row r="184" ht="14.25" customHeight="1">
      <c r="A184" s="14">
        <v>40701.0</v>
      </c>
      <c r="B184" s="1" t="s">
        <v>299</v>
      </c>
      <c r="C184" s="25">
        <v>62.90554585515923</v>
      </c>
      <c r="D184" s="25">
        <v>79.55097763305919</v>
      </c>
    </row>
    <row r="185" ht="14.25" customHeight="1">
      <c r="A185" s="14">
        <v>40702.0</v>
      </c>
      <c r="B185" s="1" t="s">
        <v>301</v>
      </c>
      <c r="C185" s="25">
        <v>65.59640522875817</v>
      </c>
      <c r="D185" s="25">
        <v>70.05649717514125</v>
      </c>
    </row>
    <row r="186" ht="14.25" customHeight="1">
      <c r="A186" s="14">
        <v>40801.0</v>
      </c>
      <c r="B186" s="1" t="s">
        <v>303</v>
      </c>
      <c r="C186" s="25">
        <v>30.0</v>
      </c>
      <c r="D186" s="25">
        <v>60.32439934079278</v>
      </c>
    </row>
    <row r="187" ht="14.25" customHeight="1">
      <c r="A187" s="14">
        <v>40802.0</v>
      </c>
      <c r="B187" s="1" t="s">
        <v>304</v>
      </c>
      <c r="C187" s="25">
        <v>38.96103896103896</v>
      </c>
      <c r="D187" s="25">
        <v>69.64646464646465</v>
      </c>
    </row>
    <row r="188" ht="14.25" customHeight="1">
      <c r="A188" s="14">
        <v>40901.0</v>
      </c>
      <c r="B188" s="1" t="s">
        <v>305</v>
      </c>
      <c r="C188" s="25">
        <v>46.34920634920635</v>
      </c>
      <c r="D188" s="25">
        <v>80.84677419354838</v>
      </c>
    </row>
    <row r="189" ht="14.25" customHeight="1">
      <c r="A189" s="14">
        <v>40902.0</v>
      </c>
      <c r="B189" s="1" t="s">
        <v>306</v>
      </c>
      <c r="C189" s="25">
        <v>44.444444444444436</v>
      </c>
      <c r="D189" s="25">
        <v>66.66666666666667</v>
      </c>
    </row>
    <row r="190" ht="14.25" customHeight="1">
      <c r="A190" s="14">
        <v>40903.0</v>
      </c>
      <c r="B190" s="1" t="s">
        <v>307</v>
      </c>
      <c r="C190" s="25">
        <v>34.798534798534796</v>
      </c>
      <c r="D190" s="25">
        <v>88.1578947368421</v>
      </c>
    </row>
    <row r="191" ht="14.25" customHeight="1">
      <c r="A191" s="14">
        <v>41001.0</v>
      </c>
      <c r="B191" s="1" t="s">
        <v>309</v>
      </c>
      <c r="C191" s="25">
        <v>48.30105955425648</v>
      </c>
      <c r="D191" s="25">
        <v>65.45311268715524</v>
      </c>
    </row>
    <row r="192" ht="14.25" customHeight="1">
      <c r="A192" s="14">
        <v>41101.0</v>
      </c>
      <c r="B192" s="1" t="s">
        <v>311</v>
      </c>
      <c r="C192" s="25">
        <v>56.36363636363635</v>
      </c>
      <c r="D192" s="25">
        <v>65.76628352490421</v>
      </c>
    </row>
    <row r="193" ht="14.25" customHeight="1">
      <c r="A193" s="14">
        <v>41201.0</v>
      </c>
      <c r="B193" s="1" t="s">
        <v>313</v>
      </c>
      <c r="C193" s="25">
        <v>42.84511784511784</v>
      </c>
      <c r="D193" s="25">
        <v>53.15315315315315</v>
      </c>
    </row>
    <row r="194" ht="14.25" customHeight="1">
      <c r="A194" s="14">
        <v>41202.0</v>
      </c>
      <c r="B194" s="1" t="s">
        <v>315</v>
      </c>
      <c r="C194" s="25">
        <v>35.69444444444444</v>
      </c>
      <c r="D194" s="25">
        <v>59.25925925925926</v>
      </c>
    </row>
    <row r="195" ht="14.25" customHeight="1">
      <c r="A195" s="14">
        <v>41301.0</v>
      </c>
      <c r="B195" s="1" t="s">
        <v>253</v>
      </c>
      <c r="C195" s="25">
        <v>37.19416386083053</v>
      </c>
      <c r="D195" s="25">
        <v>66.66666666666667</v>
      </c>
    </row>
    <row r="196" ht="14.25" customHeight="1">
      <c r="A196" s="14">
        <v>41401.0</v>
      </c>
      <c r="B196" s="1" t="s">
        <v>318</v>
      </c>
      <c r="C196" s="25">
        <v>59.78523895946763</v>
      </c>
      <c r="D196" s="25">
        <v>71.81429681429681</v>
      </c>
    </row>
    <row r="197" ht="14.25" customHeight="1">
      <c r="A197" s="14">
        <v>41501.0</v>
      </c>
      <c r="B197" s="1" t="s">
        <v>320</v>
      </c>
      <c r="C197" s="25">
        <v>22.61904761904762</v>
      </c>
      <c r="D197" s="25">
        <v>89.62962962962963</v>
      </c>
    </row>
    <row r="198" ht="14.25" customHeight="1">
      <c r="A198" s="14">
        <v>41502.0</v>
      </c>
      <c r="B198" s="1" t="s">
        <v>321</v>
      </c>
      <c r="C198" s="25">
        <v>27.777777777777775</v>
      </c>
      <c r="D198" s="25">
        <v>70.0</v>
      </c>
    </row>
    <row r="199" ht="14.25" customHeight="1">
      <c r="A199" s="14">
        <v>41503.0</v>
      </c>
      <c r="B199" s="1" t="s">
        <v>282</v>
      </c>
      <c r="C199" s="25"/>
      <c r="D199" s="25">
        <v>100.0</v>
      </c>
    </row>
    <row r="200" ht="14.25" customHeight="1">
      <c r="A200" s="14">
        <v>41601.0</v>
      </c>
      <c r="B200" s="1" t="s">
        <v>323</v>
      </c>
      <c r="C200" s="25">
        <v>31.818181818181817</v>
      </c>
      <c r="D200" s="25">
        <v>63.704146730462526</v>
      </c>
    </row>
    <row r="201" ht="14.25" customHeight="1">
      <c r="A201" s="14">
        <v>50101.0</v>
      </c>
      <c r="B201" s="1" t="s">
        <v>325</v>
      </c>
      <c r="C201" s="25">
        <v>80.21850754136425</v>
      </c>
      <c r="D201" s="25">
        <v>76.70507287832429</v>
      </c>
    </row>
    <row r="202" ht="14.25" customHeight="1">
      <c r="A202" s="14">
        <v>50102.0</v>
      </c>
      <c r="B202" s="1" t="s">
        <v>327</v>
      </c>
      <c r="C202" s="25">
        <v>51.85443183121202</v>
      </c>
      <c r="D202" s="25">
        <v>56.53783977652818</v>
      </c>
    </row>
    <row r="203" ht="14.25" customHeight="1">
      <c r="A203" s="14">
        <v>50103.0</v>
      </c>
      <c r="B203" s="1" t="s">
        <v>328</v>
      </c>
      <c r="C203" s="25">
        <v>64.55093212483263</v>
      </c>
      <c r="D203" s="25">
        <v>71.36752136752136</v>
      </c>
    </row>
    <row r="204" ht="14.25" customHeight="1">
      <c r="A204" s="14">
        <v>50104.0</v>
      </c>
      <c r="B204" s="1" t="s">
        <v>330</v>
      </c>
      <c r="C204" s="25">
        <v>59.51602646901019</v>
      </c>
      <c r="D204" s="25">
        <v>61.07338107338108</v>
      </c>
    </row>
    <row r="205" ht="14.25" customHeight="1">
      <c r="A205" s="14">
        <v>50201.0</v>
      </c>
      <c r="B205" s="1" t="s">
        <v>333</v>
      </c>
      <c r="C205" s="25">
        <v>56.27252956773021</v>
      </c>
      <c r="D205" s="25">
        <v>79.42062026136487</v>
      </c>
    </row>
    <row r="206" ht="14.25" customHeight="1">
      <c r="A206" s="14">
        <v>50202.0</v>
      </c>
      <c r="B206" s="1" t="s">
        <v>334</v>
      </c>
      <c r="C206" s="25">
        <v>44.33497536945813</v>
      </c>
      <c r="D206" s="25">
        <v>73.89185569457159</v>
      </c>
    </row>
    <row r="207" ht="14.25" customHeight="1">
      <c r="A207" s="14">
        <v>50203.0</v>
      </c>
      <c r="B207" s="1" t="s">
        <v>335</v>
      </c>
      <c r="C207" s="25">
        <v>79.65717930590677</v>
      </c>
      <c r="D207" s="25">
        <v>82.90357046773512</v>
      </c>
    </row>
    <row r="208" ht="14.25" customHeight="1">
      <c r="A208" s="14">
        <v>50204.0</v>
      </c>
      <c r="B208" s="1" t="s">
        <v>336</v>
      </c>
      <c r="C208" s="25">
        <v>10.606060606060606</v>
      </c>
      <c r="D208" s="25">
        <v>65.99018199233716</v>
      </c>
    </row>
    <row r="209" ht="14.25" customHeight="1">
      <c r="A209" s="14">
        <v>50301.0</v>
      </c>
      <c r="B209" s="1" t="s">
        <v>338</v>
      </c>
      <c r="C209" s="25">
        <v>54.739973476014086</v>
      </c>
      <c r="D209" s="25">
        <v>69.32628701197994</v>
      </c>
    </row>
    <row r="210" ht="14.25" customHeight="1">
      <c r="A210" s="14">
        <v>50302.0</v>
      </c>
      <c r="B210" s="1" t="s">
        <v>340</v>
      </c>
      <c r="C210" s="25">
        <v>65.17703164044629</v>
      </c>
      <c r="D210" s="25">
        <v>68.01383801383801</v>
      </c>
    </row>
    <row r="211" ht="14.25" customHeight="1">
      <c r="A211" s="14">
        <v>50303.0</v>
      </c>
      <c r="B211" s="1" t="s">
        <v>341</v>
      </c>
      <c r="C211" s="25">
        <v>57.711598746081506</v>
      </c>
      <c r="D211" s="25">
        <v>65.58853373921868</v>
      </c>
    </row>
    <row r="212" ht="14.25" customHeight="1">
      <c r="A212" s="14">
        <v>50401.0</v>
      </c>
      <c r="B212" s="1" t="s">
        <v>342</v>
      </c>
      <c r="C212" s="25">
        <v>62.915434238963655</v>
      </c>
      <c r="D212" s="25">
        <v>77.6094276094276</v>
      </c>
    </row>
    <row r="213" ht="14.25" customHeight="1">
      <c r="A213" s="14">
        <v>50402.0</v>
      </c>
      <c r="B213" s="1" t="s">
        <v>343</v>
      </c>
      <c r="C213" s="25">
        <v>59.173297966401414</v>
      </c>
      <c r="D213" s="25">
        <v>68.67129172365962</v>
      </c>
    </row>
    <row r="214" ht="14.25" customHeight="1">
      <c r="A214" s="14">
        <v>50403.0</v>
      </c>
      <c r="B214" s="1" t="s">
        <v>344</v>
      </c>
      <c r="C214" s="25">
        <v>57.78898085768996</v>
      </c>
      <c r="D214" s="25">
        <v>80.58999569498258</v>
      </c>
    </row>
    <row r="215" ht="14.25" customHeight="1">
      <c r="A215" s="14">
        <v>50404.0</v>
      </c>
      <c r="B215" s="1" t="s">
        <v>345</v>
      </c>
      <c r="C215" s="25">
        <v>53.79256965944273</v>
      </c>
      <c r="D215" s="25">
        <v>68.70538455904308</v>
      </c>
    </row>
    <row r="216" ht="14.25" customHeight="1">
      <c r="A216" s="14">
        <v>50405.0</v>
      </c>
      <c r="B216" s="1" t="s">
        <v>346</v>
      </c>
      <c r="C216" s="25">
        <v>62.915434238963655</v>
      </c>
      <c r="D216" s="25">
        <v>77.6094276094276</v>
      </c>
    </row>
    <row r="217" ht="14.25" customHeight="1">
      <c r="A217" s="14">
        <v>50501.0</v>
      </c>
      <c r="B217" s="1" t="s">
        <v>348</v>
      </c>
      <c r="C217" s="25">
        <v>60.9684423356216</v>
      </c>
      <c r="D217" s="25">
        <v>88.3485568779841</v>
      </c>
    </row>
    <row r="218" ht="14.25" customHeight="1">
      <c r="A218" s="14">
        <v>50502.0</v>
      </c>
      <c r="B218" s="1" t="s">
        <v>349</v>
      </c>
      <c r="C218" s="25">
        <v>66.6851368970013</v>
      </c>
      <c r="D218" s="25">
        <v>80.06626847133177</v>
      </c>
    </row>
    <row r="219" ht="14.25" customHeight="1">
      <c r="A219" s="14">
        <v>50601.0</v>
      </c>
      <c r="B219" s="1" t="s">
        <v>351</v>
      </c>
      <c r="C219" s="25">
        <v>33.31021272989236</v>
      </c>
      <c r="D219" s="25">
        <v>53.74539353138575</v>
      </c>
    </row>
    <row r="220" ht="14.25" customHeight="1">
      <c r="A220" s="14">
        <v>50602.0</v>
      </c>
      <c r="B220" s="1" t="s">
        <v>352</v>
      </c>
      <c r="C220" s="25">
        <v>52.63725890192878</v>
      </c>
      <c r="D220" s="25">
        <v>59.11360799001249</v>
      </c>
    </row>
    <row r="221" ht="14.25" customHeight="1">
      <c r="A221" s="14">
        <v>50701.0</v>
      </c>
      <c r="B221" s="1" t="s">
        <v>354</v>
      </c>
      <c r="C221" s="25">
        <v>52.21922731356693</v>
      </c>
      <c r="D221" s="25">
        <v>84.11791049655126</v>
      </c>
    </row>
    <row r="222" ht="14.25" customHeight="1">
      <c r="A222" s="14">
        <v>50702.0</v>
      </c>
      <c r="B222" s="1" t="s">
        <v>356</v>
      </c>
      <c r="C222" s="25">
        <v>62.82956685499058</v>
      </c>
      <c r="D222" s="25">
        <v>80.89453860640303</v>
      </c>
    </row>
    <row r="223" ht="14.25" customHeight="1">
      <c r="A223" s="14">
        <v>50801.0</v>
      </c>
      <c r="B223" s="1" t="s">
        <v>358</v>
      </c>
      <c r="C223" s="25">
        <v>64.38940652756214</v>
      </c>
      <c r="D223" s="25">
        <v>70.4878030558355</v>
      </c>
    </row>
    <row r="224" ht="14.25" customHeight="1">
      <c r="A224" s="14">
        <v>50802.0</v>
      </c>
      <c r="B224" s="1" t="s">
        <v>359</v>
      </c>
      <c r="C224" s="25">
        <v>67.04005988110147</v>
      </c>
      <c r="D224" s="25">
        <v>77.30051195736026</v>
      </c>
    </row>
    <row r="225" ht="14.25" customHeight="1">
      <c r="A225" s="14">
        <v>50901.0</v>
      </c>
      <c r="B225" s="1" t="s">
        <v>361</v>
      </c>
      <c r="C225" s="25">
        <v>42.6225244517344</v>
      </c>
      <c r="D225" s="25">
        <v>58.922161519499866</v>
      </c>
    </row>
    <row r="226" ht="14.25" customHeight="1">
      <c r="A226" s="14">
        <v>50902.0</v>
      </c>
      <c r="B226" s="1" t="s">
        <v>363</v>
      </c>
      <c r="C226" s="25">
        <v>71.30952380952381</v>
      </c>
      <c r="D226" s="25">
        <v>66.66666666666666</v>
      </c>
    </row>
    <row r="227" ht="14.25" customHeight="1">
      <c r="A227" s="14">
        <v>51001.0</v>
      </c>
      <c r="B227" s="1" t="s">
        <v>366</v>
      </c>
      <c r="C227" s="25">
        <v>33.73809523809524</v>
      </c>
      <c r="D227" s="25">
        <v>62.878787878787875</v>
      </c>
    </row>
    <row r="228" ht="14.25" customHeight="1">
      <c r="A228" s="14">
        <v>51002.0</v>
      </c>
      <c r="B228" s="1" t="s">
        <v>368</v>
      </c>
      <c r="C228" s="25">
        <v>37.14285714285714</v>
      </c>
      <c r="D228" s="25">
        <v>55.55555555555555</v>
      </c>
    </row>
    <row r="229" ht="14.25" customHeight="1">
      <c r="A229" s="14">
        <v>51003.0</v>
      </c>
      <c r="B229" s="1" t="s">
        <v>369</v>
      </c>
      <c r="C229" s="25">
        <v>35.55555555555556</v>
      </c>
      <c r="D229" s="25">
        <v>69.03205726735139</v>
      </c>
    </row>
    <row r="230" ht="14.25" customHeight="1">
      <c r="A230" s="14">
        <v>51101.0</v>
      </c>
      <c r="B230" s="1" t="s">
        <v>371</v>
      </c>
      <c r="C230" s="25">
        <v>48.657687405862596</v>
      </c>
      <c r="D230" s="25">
        <v>66.53510545457868</v>
      </c>
    </row>
    <row r="231" ht="14.25" customHeight="1">
      <c r="A231" s="14">
        <v>51102.0</v>
      </c>
      <c r="B231" s="1" t="s">
        <v>373</v>
      </c>
      <c r="C231" s="25">
        <v>55.907830907830906</v>
      </c>
      <c r="D231" s="25">
        <v>59.3704405901583</v>
      </c>
    </row>
    <row r="232" ht="14.25" customHeight="1">
      <c r="A232" s="14">
        <v>51103.0</v>
      </c>
      <c r="B232" s="1" t="s">
        <v>374</v>
      </c>
      <c r="C232" s="25">
        <v>46.42857142857143</v>
      </c>
      <c r="D232" s="25">
        <v>67.7672038529221</v>
      </c>
    </row>
    <row r="233" ht="14.25" customHeight="1">
      <c r="A233" s="14">
        <v>51201.0</v>
      </c>
      <c r="B233" s="1" t="s">
        <v>376</v>
      </c>
      <c r="C233" s="25">
        <v>68.78794169116749</v>
      </c>
      <c r="D233" s="25">
        <v>73.20308185586886</v>
      </c>
    </row>
    <row r="234" ht="14.25" customHeight="1">
      <c r="A234" s="14">
        <v>51202.0</v>
      </c>
      <c r="B234" s="1" t="s">
        <v>377</v>
      </c>
      <c r="C234" s="25">
        <v>42.26825344570747</v>
      </c>
      <c r="D234" s="25">
        <v>60.16339869281046</v>
      </c>
    </row>
    <row r="235" ht="14.25" customHeight="1">
      <c r="A235" s="14">
        <v>51203.0</v>
      </c>
      <c r="B235" s="1" t="s">
        <v>378</v>
      </c>
      <c r="C235" s="25">
        <v>59.664209664209665</v>
      </c>
      <c r="D235" s="25">
        <v>58.07359307359307</v>
      </c>
    </row>
    <row r="236" ht="14.25" customHeight="1">
      <c r="A236" s="14">
        <v>51204.0</v>
      </c>
      <c r="B236" s="1" t="s">
        <v>379</v>
      </c>
      <c r="C236" s="25">
        <v>42.26825344570747</v>
      </c>
      <c r="D236" s="25">
        <v>60.16339869281046</v>
      </c>
    </row>
    <row r="237" ht="14.25" customHeight="1">
      <c r="A237" s="14">
        <v>51301.0</v>
      </c>
      <c r="B237" s="1" t="s">
        <v>381</v>
      </c>
      <c r="C237" s="25">
        <v>47.16450216450216</v>
      </c>
      <c r="D237" s="25">
        <v>81.08108108108108</v>
      </c>
    </row>
    <row r="238" ht="14.25" customHeight="1">
      <c r="A238" s="14">
        <v>51302.0</v>
      </c>
      <c r="B238" s="1" t="s">
        <v>382</v>
      </c>
      <c r="C238" s="25">
        <v>55.243521910188576</v>
      </c>
      <c r="D238" s="25">
        <v>83.07568438003221</v>
      </c>
    </row>
    <row r="239" ht="14.25" customHeight="1">
      <c r="A239" s="14">
        <v>51401.0</v>
      </c>
      <c r="B239" s="1" t="s">
        <v>384</v>
      </c>
      <c r="C239" s="25">
        <v>34.865196078431374</v>
      </c>
      <c r="D239" s="25">
        <v>47.295265190002034</v>
      </c>
    </row>
    <row r="240" ht="14.25" customHeight="1">
      <c r="A240" s="14">
        <v>51402.0</v>
      </c>
      <c r="B240" s="1" t="s">
        <v>385</v>
      </c>
      <c r="C240" s="25">
        <v>47.121212121212125</v>
      </c>
      <c r="D240" s="25">
        <v>44.44444444444445</v>
      </c>
    </row>
    <row r="241" ht="14.25" customHeight="1">
      <c r="A241" s="14">
        <v>51501.0</v>
      </c>
      <c r="B241" s="1" t="s">
        <v>387</v>
      </c>
      <c r="C241" s="25">
        <v>63.21735405803906</v>
      </c>
      <c r="D241" s="25">
        <v>76.12208545651072</v>
      </c>
    </row>
    <row r="242" ht="14.25" customHeight="1">
      <c r="A242" s="14">
        <v>51601.0</v>
      </c>
      <c r="B242" s="1" t="s">
        <v>389</v>
      </c>
      <c r="C242" s="25">
        <v>6.193588546529722</v>
      </c>
      <c r="D242" s="25">
        <v>48.48484848484848</v>
      </c>
    </row>
    <row r="243" ht="14.25" customHeight="1">
      <c r="A243" s="14">
        <v>60101.0</v>
      </c>
      <c r="B243" s="1" t="s">
        <v>57</v>
      </c>
      <c r="C243" s="25">
        <v>73.86175510276094</v>
      </c>
      <c r="D243" s="25">
        <v>76.97571183557143</v>
      </c>
    </row>
    <row r="244" ht="14.25" customHeight="1">
      <c r="A244" s="14">
        <v>60201.0</v>
      </c>
      <c r="B244" s="1" t="s">
        <v>391</v>
      </c>
      <c r="C244" s="25">
        <v>42.822576042915024</v>
      </c>
      <c r="D244" s="25">
        <v>67.82795698924731</v>
      </c>
    </row>
    <row r="245" ht="14.25" customHeight="1">
      <c r="A245" s="14">
        <v>60202.0</v>
      </c>
      <c r="B245" s="1" t="s">
        <v>392</v>
      </c>
      <c r="C245" s="25">
        <v>65.94093368470044</v>
      </c>
      <c r="D245" s="25">
        <v>74.79501379585712</v>
      </c>
    </row>
    <row r="246" ht="14.25" customHeight="1">
      <c r="A246" s="14">
        <v>60301.0</v>
      </c>
      <c r="B246" s="1" t="s">
        <v>393</v>
      </c>
      <c r="C246" s="25">
        <v>73.1674670803877</v>
      </c>
      <c r="D246" s="25">
        <v>81.63536141335709</v>
      </c>
    </row>
    <row r="247" ht="14.25" customHeight="1">
      <c r="A247" s="14">
        <v>60302.0</v>
      </c>
      <c r="B247" s="1" t="s">
        <v>394</v>
      </c>
      <c r="C247" s="25">
        <v>35.005472170106316</v>
      </c>
      <c r="D247" s="25">
        <v>71.52573127686206</v>
      </c>
    </row>
    <row r="248" ht="14.25" customHeight="1">
      <c r="A248" s="14">
        <v>60303.0</v>
      </c>
      <c r="B248" s="1" t="s">
        <v>395</v>
      </c>
      <c r="C248" s="25">
        <v>64.93933119031915</v>
      </c>
      <c r="D248" s="25">
        <v>77.9079003657166</v>
      </c>
    </row>
    <row r="249" ht="14.25" customHeight="1">
      <c r="A249" s="14">
        <v>60401.0</v>
      </c>
      <c r="B249" s="1" t="s">
        <v>397</v>
      </c>
      <c r="C249" s="25">
        <v>48.14757641247299</v>
      </c>
      <c r="D249" s="25">
        <v>69.7475787386563</v>
      </c>
    </row>
    <row r="250" ht="14.25" customHeight="1">
      <c r="A250" s="14">
        <v>60402.0</v>
      </c>
      <c r="B250" s="1" t="s">
        <v>399</v>
      </c>
      <c r="C250" s="25">
        <v>41.04938271604939</v>
      </c>
      <c r="D250" s="25">
        <v>68.84783843715066</v>
      </c>
    </row>
    <row r="251" ht="14.25" customHeight="1">
      <c r="A251" s="14">
        <v>60501.0</v>
      </c>
      <c r="B251" s="1" t="s">
        <v>401</v>
      </c>
      <c r="C251" s="25">
        <v>48.443112534266</v>
      </c>
      <c r="D251" s="25">
        <v>69.36457835199165</v>
      </c>
    </row>
    <row r="252" ht="14.25" customHeight="1">
      <c r="A252" s="14">
        <v>60502.0</v>
      </c>
      <c r="B252" s="1" t="s">
        <v>403</v>
      </c>
      <c r="C252" s="25">
        <v>28.45719095719096</v>
      </c>
      <c r="D252" s="25">
        <v>65.95514571948998</v>
      </c>
    </row>
    <row r="253" ht="14.25" customHeight="1">
      <c r="A253" s="14">
        <v>60601.0</v>
      </c>
      <c r="B253" s="1" t="s">
        <v>258</v>
      </c>
      <c r="C253" s="25">
        <v>49.74257161618649</v>
      </c>
      <c r="D253" s="25">
        <v>76.63107004134555</v>
      </c>
    </row>
    <row r="254" ht="14.25" customHeight="1">
      <c r="A254" s="14">
        <v>70101.0</v>
      </c>
      <c r="B254" s="1" t="s">
        <v>406</v>
      </c>
      <c r="C254" s="25">
        <v>75.26555936559815</v>
      </c>
      <c r="D254" s="25">
        <v>79.55343053383301</v>
      </c>
    </row>
    <row r="255" ht="14.25" customHeight="1">
      <c r="A255" s="14">
        <v>70102.0</v>
      </c>
      <c r="B255" s="1" t="s">
        <v>407</v>
      </c>
      <c r="C255" s="25">
        <v>81.47045916481892</v>
      </c>
      <c r="D255" s="25">
        <v>89.07558057491121</v>
      </c>
    </row>
    <row r="256" ht="14.25" customHeight="1">
      <c r="A256" s="14">
        <v>70103.0</v>
      </c>
      <c r="B256" s="1" t="s">
        <v>408</v>
      </c>
      <c r="C256" s="25">
        <v>63.524011299435024</v>
      </c>
      <c r="D256" s="25">
        <v>71.26315160210426</v>
      </c>
    </row>
    <row r="257" ht="14.25" customHeight="1">
      <c r="A257" s="14">
        <v>70104.0</v>
      </c>
      <c r="B257" s="1" t="s">
        <v>410</v>
      </c>
      <c r="C257" s="25">
        <v>74.45769771323164</v>
      </c>
      <c r="D257" s="25">
        <v>77.81017941971888</v>
      </c>
    </row>
    <row r="258" ht="14.25" customHeight="1">
      <c r="A258" s="14">
        <v>70105.0</v>
      </c>
      <c r="B258" s="1" t="s">
        <v>411</v>
      </c>
      <c r="C258" s="25">
        <v>57.805410426100075</v>
      </c>
      <c r="D258" s="25">
        <v>63.074033398101996</v>
      </c>
    </row>
    <row r="259" ht="14.25" customHeight="1">
      <c r="A259" s="14">
        <v>70201.0</v>
      </c>
      <c r="B259" s="1" t="s">
        <v>412</v>
      </c>
      <c r="C259" s="25">
        <v>65.59999249065638</v>
      </c>
      <c r="D259" s="25">
        <v>73.92794294774366</v>
      </c>
    </row>
    <row r="260" ht="14.25" customHeight="1">
      <c r="A260" s="14">
        <v>70202.0</v>
      </c>
      <c r="B260" s="1" t="s">
        <v>413</v>
      </c>
      <c r="C260" s="25">
        <v>56.67651068227679</v>
      </c>
      <c r="D260" s="25">
        <v>61.98783248443689</v>
      </c>
    </row>
    <row r="261" ht="14.25" customHeight="1">
      <c r="A261" s="14">
        <v>70301.0</v>
      </c>
      <c r="B261" s="1" t="s">
        <v>415</v>
      </c>
      <c r="C261" s="25">
        <v>53.93028498036958</v>
      </c>
      <c r="D261" s="25">
        <v>82.22224638153843</v>
      </c>
    </row>
    <row r="262" ht="14.25" customHeight="1">
      <c r="A262" s="14">
        <v>70302.0</v>
      </c>
      <c r="B262" s="1" t="s">
        <v>417</v>
      </c>
      <c r="C262" s="25">
        <v>39.268737798149566</v>
      </c>
      <c r="D262" s="25">
        <v>72.73559773559772</v>
      </c>
    </row>
    <row r="263" ht="14.25" customHeight="1">
      <c r="A263" s="14">
        <v>70303.0</v>
      </c>
      <c r="B263" s="1" t="s">
        <v>419</v>
      </c>
      <c r="C263" s="25">
        <v>31.815114709851553</v>
      </c>
      <c r="D263" s="25">
        <v>78.51626016260163</v>
      </c>
    </row>
    <row r="264" ht="14.25" customHeight="1">
      <c r="A264" s="14">
        <v>70401.0</v>
      </c>
      <c r="B264" s="1" t="s">
        <v>421</v>
      </c>
      <c r="C264" s="25">
        <v>24.124914207275225</v>
      </c>
      <c r="D264" s="25">
        <v>53.139235492176674</v>
      </c>
    </row>
    <row r="265" ht="14.25" customHeight="1">
      <c r="A265" s="14">
        <v>70402.0</v>
      </c>
      <c r="B265" s="1" t="s">
        <v>422</v>
      </c>
      <c r="C265" s="25">
        <v>44.142765066065095</v>
      </c>
      <c r="D265" s="25">
        <v>67.00378705515692</v>
      </c>
    </row>
    <row r="266" ht="14.25" customHeight="1">
      <c r="A266" s="14">
        <v>70403.0</v>
      </c>
      <c r="B266" s="1" t="s">
        <v>423</v>
      </c>
      <c r="C266" s="25">
        <v>57.65685159651329</v>
      </c>
      <c r="D266" s="25">
        <v>72.69218391555636</v>
      </c>
    </row>
    <row r="267" ht="14.25" customHeight="1">
      <c r="A267" s="14">
        <v>70404.0</v>
      </c>
      <c r="B267" s="1" t="s">
        <v>424</v>
      </c>
      <c r="C267" s="25">
        <v>55.67099567099567</v>
      </c>
      <c r="D267" s="25">
        <v>71.06398034660471</v>
      </c>
    </row>
    <row r="268" ht="14.25" customHeight="1">
      <c r="A268" s="14">
        <v>70501.0</v>
      </c>
      <c r="B268" s="1" t="s">
        <v>426</v>
      </c>
      <c r="C268" s="25">
        <v>46.827368138843546</v>
      </c>
      <c r="D268" s="25">
        <v>77.63864042933811</v>
      </c>
    </row>
    <row r="269" ht="14.25" customHeight="1">
      <c r="A269" s="14">
        <v>70502.0</v>
      </c>
      <c r="B269" s="1" t="s">
        <v>428</v>
      </c>
      <c r="C269" s="25">
        <v>61.04048531289911</v>
      </c>
      <c r="D269" s="25">
        <v>72.98174048174049</v>
      </c>
    </row>
    <row r="270" ht="14.25" customHeight="1">
      <c r="A270" s="14">
        <v>70503.0</v>
      </c>
      <c r="B270" s="1" t="s">
        <v>429</v>
      </c>
      <c r="C270" s="25">
        <v>47.48787878787879</v>
      </c>
      <c r="D270" s="25">
        <v>85.02613321125118</v>
      </c>
    </row>
    <row r="271" ht="14.25" customHeight="1">
      <c r="A271" s="14">
        <v>70601.0</v>
      </c>
      <c r="B271" s="1" t="s">
        <v>431</v>
      </c>
      <c r="C271" s="25">
        <v>40.50271988416318</v>
      </c>
      <c r="D271" s="25">
        <v>55.37644605373037</v>
      </c>
    </row>
    <row r="272" ht="14.25" customHeight="1">
      <c r="A272" s="14">
        <v>70602.0</v>
      </c>
      <c r="B272" s="1" t="s">
        <v>432</v>
      </c>
      <c r="C272" s="25">
        <v>43.50452997864851</v>
      </c>
      <c r="D272" s="25">
        <v>64.37955812955813</v>
      </c>
    </row>
    <row r="273" ht="14.25" customHeight="1">
      <c r="A273" s="14">
        <v>70603.0</v>
      </c>
      <c r="B273" s="1" t="s">
        <v>434</v>
      </c>
      <c r="C273" s="25">
        <v>57.77777777777777</v>
      </c>
      <c r="D273" s="25">
        <v>59.434737156511346</v>
      </c>
    </row>
    <row r="274" ht="14.25" customHeight="1">
      <c r="A274" s="14">
        <v>70701.0</v>
      </c>
      <c r="B274" s="1" t="s">
        <v>436</v>
      </c>
      <c r="C274" s="25">
        <v>50.1990346817933</v>
      </c>
      <c r="D274" s="25">
        <v>75.11329271645339</v>
      </c>
    </row>
    <row r="275" ht="14.25" customHeight="1">
      <c r="A275" s="14">
        <v>70702.0</v>
      </c>
      <c r="B275" s="1" t="s">
        <v>437</v>
      </c>
      <c r="C275" s="25">
        <v>34.126137948002956</v>
      </c>
      <c r="D275" s="25">
        <v>79.38472002720708</v>
      </c>
    </row>
    <row r="276" ht="14.25" customHeight="1">
      <c r="A276" s="14">
        <v>70703.0</v>
      </c>
      <c r="B276" s="1" t="s">
        <v>438</v>
      </c>
      <c r="C276" s="25">
        <v>55.72512271307452</v>
      </c>
      <c r="D276" s="25">
        <v>71.06647621827888</v>
      </c>
    </row>
    <row r="277" ht="14.25" customHeight="1">
      <c r="A277" s="14">
        <v>70704.0</v>
      </c>
      <c r="B277" s="1" t="s">
        <v>439</v>
      </c>
      <c r="C277" s="25">
        <v>41.600529100529094</v>
      </c>
      <c r="D277" s="25">
        <v>59.14598108747045</v>
      </c>
    </row>
    <row r="278" ht="14.25" customHeight="1">
      <c r="A278" s="14">
        <v>70705.0</v>
      </c>
      <c r="B278" s="1" t="s">
        <v>440</v>
      </c>
      <c r="C278" s="25">
        <v>37.10497252272032</v>
      </c>
      <c r="D278" s="25">
        <v>72.94152801441916</v>
      </c>
    </row>
    <row r="279" ht="14.25" customHeight="1">
      <c r="A279" s="14">
        <v>70706.0</v>
      </c>
      <c r="B279" s="1" t="s">
        <v>441</v>
      </c>
      <c r="C279" s="25">
        <v>58.60928854273201</v>
      </c>
      <c r="D279" s="25">
        <v>70.81237059214773</v>
      </c>
    </row>
    <row r="280" ht="14.25" customHeight="1">
      <c r="A280" s="14">
        <v>70707.0</v>
      </c>
      <c r="B280" s="1" t="s">
        <v>442</v>
      </c>
      <c r="C280" s="25">
        <v>57.93434343434344</v>
      </c>
      <c r="D280" s="25">
        <v>78.69658119658119</v>
      </c>
    </row>
    <row r="281" ht="14.25" customHeight="1">
      <c r="A281" s="14">
        <v>70801.0</v>
      </c>
      <c r="B281" s="1" t="s">
        <v>443</v>
      </c>
      <c r="C281" s="25">
        <v>61.700823572591055</v>
      </c>
      <c r="D281" s="25">
        <v>77.91262296164257</v>
      </c>
    </row>
    <row r="282" ht="14.25" customHeight="1">
      <c r="A282" s="14">
        <v>70802.0</v>
      </c>
      <c r="B282" s="1" t="s">
        <v>444</v>
      </c>
      <c r="C282" s="25">
        <v>21.61616161616162</v>
      </c>
      <c r="D282" s="25">
        <v>53.675213675213676</v>
      </c>
    </row>
    <row r="283" ht="14.25" customHeight="1">
      <c r="A283" s="14">
        <v>70803.0</v>
      </c>
      <c r="B283" s="1" t="s">
        <v>445</v>
      </c>
      <c r="C283" s="25">
        <v>23.882783882783883</v>
      </c>
      <c r="D283" s="25">
        <v>63.2260101010101</v>
      </c>
    </row>
    <row r="284" ht="14.25" customHeight="1">
      <c r="A284" s="14">
        <v>70804.0</v>
      </c>
      <c r="B284" s="1" t="s">
        <v>447</v>
      </c>
      <c r="C284" s="25">
        <v>44.444444444444436</v>
      </c>
      <c r="D284" s="25">
        <v>100.0</v>
      </c>
    </row>
    <row r="285" ht="14.25" customHeight="1">
      <c r="A285" s="14">
        <v>70805.0</v>
      </c>
      <c r="B285" s="1" t="s">
        <v>448</v>
      </c>
      <c r="C285" s="25">
        <v>17.962962962962962</v>
      </c>
      <c r="D285" s="25">
        <v>39.682539682539684</v>
      </c>
    </row>
    <row r="286" ht="14.25" customHeight="1">
      <c r="A286" s="14">
        <v>70901.0</v>
      </c>
      <c r="B286" s="1" t="s">
        <v>450</v>
      </c>
      <c r="C286" s="25">
        <v>66.26585695006747</v>
      </c>
      <c r="D286" s="25">
        <v>82.15592578242713</v>
      </c>
    </row>
    <row r="287" ht="14.25" customHeight="1">
      <c r="A287" s="14">
        <v>70902.0</v>
      </c>
      <c r="B287" s="1" t="s">
        <v>451</v>
      </c>
      <c r="C287" s="25">
        <v>69.56601986935657</v>
      </c>
      <c r="D287" s="25">
        <v>90.10235552243749</v>
      </c>
    </row>
    <row r="288" ht="14.25" customHeight="1">
      <c r="A288" s="14">
        <v>70903.0</v>
      </c>
      <c r="B288" s="1" t="s">
        <v>452</v>
      </c>
      <c r="C288" s="25">
        <v>54.213263588263594</v>
      </c>
      <c r="D288" s="25">
        <v>92.43213710605015</v>
      </c>
    </row>
    <row r="289" ht="14.25" customHeight="1">
      <c r="A289" s="14">
        <v>70904.0</v>
      </c>
      <c r="B289" s="1" t="s">
        <v>453</v>
      </c>
      <c r="C289" s="25">
        <v>52.31481481481482</v>
      </c>
      <c r="D289" s="25">
        <v>85.92592592592592</v>
      </c>
    </row>
    <row r="290" ht="14.25" customHeight="1">
      <c r="A290" s="14">
        <v>71001.0</v>
      </c>
      <c r="B290" s="1" t="s">
        <v>455</v>
      </c>
      <c r="C290" s="25">
        <v>53.18004375458478</v>
      </c>
      <c r="D290" s="25">
        <v>68.41626562519428</v>
      </c>
    </row>
    <row r="291" ht="14.25" customHeight="1">
      <c r="A291" s="14">
        <v>71002.0</v>
      </c>
      <c r="B291" s="1" t="s">
        <v>456</v>
      </c>
      <c r="C291" s="25">
        <v>33.49545118532669</v>
      </c>
      <c r="D291" s="25">
        <v>69.6335991311555</v>
      </c>
    </row>
    <row r="292" ht="14.25" customHeight="1">
      <c r="A292" s="14">
        <v>71003.0</v>
      </c>
      <c r="B292" s="1" t="s">
        <v>457</v>
      </c>
      <c r="C292" s="25">
        <v>46.677542948955626</v>
      </c>
      <c r="D292" s="25">
        <v>65.63295165394402</v>
      </c>
    </row>
    <row r="293" ht="14.25" customHeight="1">
      <c r="A293" s="14">
        <v>71004.0</v>
      </c>
      <c r="B293" s="1" t="s">
        <v>458</v>
      </c>
      <c r="C293" s="25">
        <v>50.01578282828283</v>
      </c>
      <c r="D293" s="25">
        <v>57.26478358057306</v>
      </c>
    </row>
    <row r="294" ht="14.25" customHeight="1">
      <c r="A294" s="14">
        <v>71005.0</v>
      </c>
      <c r="B294" s="1" t="s">
        <v>348</v>
      </c>
      <c r="C294" s="25">
        <v>50.39535136309329</v>
      </c>
      <c r="D294" s="25">
        <v>62.81728119296178</v>
      </c>
    </row>
    <row r="295" ht="14.25" customHeight="1">
      <c r="A295" s="14">
        <v>71101.0</v>
      </c>
      <c r="B295" s="1" t="s">
        <v>398</v>
      </c>
      <c r="C295" s="25">
        <v>57.82892867291844</v>
      </c>
      <c r="D295" s="25">
        <v>81.49327483604567</v>
      </c>
    </row>
    <row r="296" ht="14.25" customHeight="1">
      <c r="A296" s="14">
        <v>71102.0</v>
      </c>
      <c r="B296" s="1" t="s">
        <v>460</v>
      </c>
      <c r="C296" s="25">
        <v>65.62002538462451</v>
      </c>
      <c r="D296" s="25">
        <v>80.41375958901732</v>
      </c>
    </row>
    <row r="297" ht="14.25" customHeight="1">
      <c r="A297" s="14">
        <v>71103.0</v>
      </c>
      <c r="B297" s="1" t="s">
        <v>461</v>
      </c>
      <c r="C297" s="25">
        <v>67.6125703564728</v>
      </c>
      <c r="D297" s="25">
        <v>87.83549783549785</v>
      </c>
    </row>
    <row r="298" ht="14.25" customHeight="1">
      <c r="A298" s="14">
        <v>71104.0</v>
      </c>
      <c r="B298" s="1" t="s">
        <v>462</v>
      </c>
      <c r="C298" s="25">
        <v>51.833653380887654</v>
      </c>
      <c r="D298" s="25">
        <v>76.72110430575789</v>
      </c>
    </row>
    <row r="299" ht="14.25" customHeight="1">
      <c r="A299" s="14">
        <v>71105.0</v>
      </c>
      <c r="B299" s="1" t="s">
        <v>463</v>
      </c>
      <c r="C299" s="25">
        <v>30.710955710955716</v>
      </c>
      <c r="D299" s="25">
        <v>66.12253403723257</v>
      </c>
    </row>
    <row r="300" ht="14.25" customHeight="1">
      <c r="A300" s="14">
        <v>71106.0</v>
      </c>
      <c r="B300" s="1" t="s">
        <v>464</v>
      </c>
      <c r="C300" s="25">
        <v>53.17223220525108</v>
      </c>
      <c r="D300" s="25">
        <v>70.52908806543212</v>
      </c>
    </row>
    <row r="301" ht="14.25" customHeight="1">
      <c r="A301" s="14">
        <v>71201.0</v>
      </c>
      <c r="B301" s="1" t="s">
        <v>466</v>
      </c>
      <c r="C301" s="25">
        <v>57.201546285680685</v>
      </c>
      <c r="D301" s="25">
        <v>84.27011124390917</v>
      </c>
    </row>
    <row r="302" ht="14.25" customHeight="1">
      <c r="A302" s="14">
        <v>71301.0</v>
      </c>
      <c r="B302" s="1" t="s">
        <v>468</v>
      </c>
      <c r="C302" s="25">
        <v>63.66142817755721</v>
      </c>
      <c r="D302" s="25">
        <v>76.59462554596782</v>
      </c>
    </row>
    <row r="303" ht="14.25" customHeight="1">
      <c r="A303" s="14">
        <v>71302.0</v>
      </c>
      <c r="B303" s="1" t="s">
        <v>469</v>
      </c>
      <c r="C303" s="25">
        <v>59.19753086419754</v>
      </c>
      <c r="D303" s="25">
        <v>77.93880837359097</v>
      </c>
    </row>
    <row r="304" ht="14.25" customHeight="1">
      <c r="A304" s="14">
        <v>71401.0</v>
      </c>
      <c r="B304" s="1" t="s">
        <v>471</v>
      </c>
      <c r="C304" s="25">
        <v>40.0949953660797</v>
      </c>
      <c r="D304" s="25">
        <v>72.43697478991596</v>
      </c>
    </row>
    <row r="305" ht="14.25" customHeight="1">
      <c r="A305" s="14">
        <v>71402.0</v>
      </c>
      <c r="B305" s="1" t="s">
        <v>472</v>
      </c>
      <c r="C305" s="25">
        <v>57.28114262269859</v>
      </c>
      <c r="D305" s="25">
        <v>80.11713737750149</v>
      </c>
    </row>
    <row r="306" ht="14.25" customHeight="1">
      <c r="A306" s="14">
        <v>71403.0</v>
      </c>
      <c r="B306" s="1" t="s">
        <v>473</v>
      </c>
      <c r="C306" s="25">
        <v>41.02564102564103</v>
      </c>
      <c r="D306" s="25">
        <v>91.23112659698025</v>
      </c>
    </row>
    <row r="307" ht="14.25" customHeight="1">
      <c r="A307" s="14">
        <v>71501.0</v>
      </c>
      <c r="B307" s="1" t="s">
        <v>475</v>
      </c>
      <c r="C307" s="25">
        <v>62.31880219644402</v>
      </c>
      <c r="D307" s="25">
        <v>79.77609727552255</v>
      </c>
    </row>
    <row r="308" ht="14.25" customHeight="1">
      <c r="A308" s="14">
        <v>71502.0</v>
      </c>
      <c r="B308" s="1" t="s">
        <v>476</v>
      </c>
      <c r="C308" s="25">
        <v>61.482720178372354</v>
      </c>
      <c r="D308" s="25">
        <v>83.9049970527065</v>
      </c>
    </row>
    <row r="309" ht="14.25" customHeight="1">
      <c r="A309" s="14">
        <v>71503.0</v>
      </c>
      <c r="B309" s="1" t="s">
        <v>403</v>
      </c>
      <c r="C309" s="25">
        <v>65.79945799457994</v>
      </c>
      <c r="D309" s="25">
        <v>86.5489944373128</v>
      </c>
    </row>
    <row r="310" ht="14.25" customHeight="1">
      <c r="A310" s="14">
        <v>80101.0</v>
      </c>
      <c r="B310" s="1" t="s">
        <v>478</v>
      </c>
      <c r="C310" s="25">
        <v>45.64907073705039</v>
      </c>
      <c r="D310" s="25">
        <v>57.79457711276601</v>
      </c>
    </row>
    <row r="311" ht="14.25" customHeight="1">
      <c r="A311" s="14">
        <v>80102.0</v>
      </c>
      <c r="B311" s="1" t="s">
        <v>460</v>
      </c>
      <c r="C311" s="25">
        <v>27.777777777777775</v>
      </c>
      <c r="D311" s="25">
        <v>47.03244745797937</v>
      </c>
    </row>
    <row r="312" ht="14.25" customHeight="1">
      <c r="A312" s="14">
        <v>80201.0</v>
      </c>
      <c r="B312" s="1" t="s">
        <v>480</v>
      </c>
      <c r="C312" s="25">
        <v>19.16667813633325</v>
      </c>
      <c r="D312" s="25">
        <v>42.495556741738426</v>
      </c>
    </row>
    <row r="313" ht="14.25" customHeight="1">
      <c r="A313" s="14">
        <v>80202.0</v>
      </c>
      <c r="B313" s="1" t="s">
        <v>481</v>
      </c>
      <c r="C313" s="25">
        <v>30.87973268768896</v>
      </c>
      <c r="D313" s="25">
        <v>76.49550147661454</v>
      </c>
    </row>
    <row r="314" ht="14.25" customHeight="1">
      <c r="A314" s="14">
        <v>80301.0</v>
      </c>
      <c r="B314" s="1" t="s">
        <v>483</v>
      </c>
      <c r="C314" s="25">
        <v>27.724137931034488</v>
      </c>
      <c r="D314" s="25">
        <v>84.04541591917666</v>
      </c>
    </row>
    <row r="315" ht="14.25" customHeight="1">
      <c r="A315" s="14">
        <v>80302.0</v>
      </c>
      <c r="B315" s="1" t="s">
        <v>484</v>
      </c>
      <c r="C315" s="25">
        <v>41.637822251051865</v>
      </c>
      <c r="D315" s="25">
        <v>76.38108011025996</v>
      </c>
    </row>
    <row r="316" ht="14.25" customHeight="1">
      <c r="A316" s="14">
        <v>80303.0</v>
      </c>
      <c r="B316" s="1" t="s">
        <v>433</v>
      </c>
      <c r="C316" s="25">
        <v>32.973925299506696</v>
      </c>
      <c r="D316" s="25">
        <v>82.6084730292304</v>
      </c>
    </row>
    <row r="317" ht="14.25" customHeight="1">
      <c r="A317" s="14">
        <v>80304.0</v>
      </c>
      <c r="B317" s="1" t="s">
        <v>485</v>
      </c>
      <c r="C317" s="25">
        <v>30.306513409961685</v>
      </c>
      <c r="D317" s="25">
        <v>84.39090113735783</v>
      </c>
    </row>
    <row r="318" ht="14.25" customHeight="1">
      <c r="A318" s="14">
        <v>80401.0</v>
      </c>
      <c r="B318" s="1" t="s">
        <v>488</v>
      </c>
      <c r="C318" s="25">
        <v>44.666666666666664</v>
      </c>
      <c r="D318" s="25">
        <v>79.56451811493828</v>
      </c>
    </row>
    <row r="319" ht="14.25" customHeight="1">
      <c r="A319" s="14">
        <v>80402.0</v>
      </c>
      <c r="B319" s="1" t="s">
        <v>490</v>
      </c>
      <c r="C319" s="25">
        <v>21.843434343434343</v>
      </c>
      <c r="D319" s="25">
        <v>82.84832451499119</v>
      </c>
    </row>
    <row r="320" ht="14.25" customHeight="1">
      <c r="A320" s="14">
        <v>80501.0</v>
      </c>
      <c r="B320" s="1" t="s">
        <v>416</v>
      </c>
      <c r="C320" s="25">
        <v>39.65630677075661</v>
      </c>
      <c r="D320" s="25">
        <v>80.75503639749451</v>
      </c>
    </row>
    <row r="321" ht="14.25" customHeight="1">
      <c r="A321" s="14">
        <v>80601.0</v>
      </c>
      <c r="B321" s="1" t="s">
        <v>493</v>
      </c>
      <c r="C321" s="25">
        <v>10.690758516845472</v>
      </c>
      <c r="D321" s="25">
        <v>75.02681992337165</v>
      </c>
    </row>
    <row r="322" ht="14.25" customHeight="1">
      <c r="A322" s="14">
        <v>80602.0</v>
      </c>
      <c r="B322" s="1" t="s">
        <v>494</v>
      </c>
      <c r="C322" s="25">
        <v>29.54442558007923</v>
      </c>
      <c r="D322" s="25">
        <v>62.41634460547505</v>
      </c>
    </row>
    <row r="323" ht="14.25" customHeight="1">
      <c r="A323" s="14">
        <v>80701.0</v>
      </c>
      <c r="B323" s="1" t="s">
        <v>496</v>
      </c>
      <c r="C323" s="25">
        <v>26.146384479717813</v>
      </c>
      <c r="D323" s="25">
        <v>70.02376708259062</v>
      </c>
    </row>
    <row r="324" ht="14.25" customHeight="1">
      <c r="A324" s="14">
        <v>80702.0</v>
      </c>
      <c r="B324" s="1" t="s">
        <v>461</v>
      </c>
      <c r="C324" s="25">
        <v>34.99183006535947</v>
      </c>
      <c r="D324" s="25">
        <v>87.16216216216215</v>
      </c>
    </row>
    <row r="325" ht="14.25" customHeight="1">
      <c r="A325" s="14">
        <v>80703.0</v>
      </c>
      <c r="B325" s="1" t="s">
        <v>497</v>
      </c>
      <c r="C325" s="25">
        <v>11.111111111111109</v>
      </c>
      <c r="D325" s="25">
        <v>42.857142857142854</v>
      </c>
    </row>
    <row r="326" ht="14.25" customHeight="1">
      <c r="A326" s="14">
        <v>80801.0</v>
      </c>
      <c r="B326" s="1" t="s">
        <v>499</v>
      </c>
      <c r="C326" s="25">
        <v>31.671864319890634</v>
      </c>
      <c r="D326" s="25">
        <v>77.0327757094015</v>
      </c>
    </row>
    <row r="327" ht="14.25" customHeight="1">
      <c r="A327" s="14">
        <v>80802.0</v>
      </c>
      <c r="B327" s="1" t="s">
        <v>500</v>
      </c>
      <c r="C327" s="25">
        <v>29.047619047619047</v>
      </c>
      <c r="D327" s="25">
        <v>88.04264870931537</v>
      </c>
    </row>
    <row r="328" ht="14.25" customHeight="1">
      <c r="A328" s="14">
        <v>80803.0</v>
      </c>
      <c r="B328" s="1" t="s">
        <v>501</v>
      </c>
      <c r="C328" s="25">
        <v>17.045454545454543</v>
      </c>
      <c r="D328" s="25">
        <v>91.48550724637681</v>
      </c>
    </row>
    <row r="329" ht="14.25" customHeight="1">
      <c r="A329" s="14">
        <v>80901.0</v>
      </c>
      <c r="B329" s="1" t="s">
        <v>502</v>
      </c>
      <c r="C329" s="25">
        <v>41.728518935832106</v>
      </c>
      <c r="D329" s="25">
        <v>80.3073828765319</v>
      </c>
    </row>
    <row r="330" ht="14.25" customHeight="1">
      <c r="A330" s="14">
        <v>90101.0</v>
      </c>
      <c r="B330" s="1" t="s">
        <v>504</v>
      </c>
      <c r="C330" s="25">
        <v>58.69902679255197</v>
      </c>
      <c r="D330" s="25">
        <v>76.83442631695107</v>
      </c>
    </row>
    <row r="331" ht="14.25" customHeight="1">
      <c r="A331" s="14">
        <v>90102.0</v>
      </c>
      <c r="B331" s="1" t="s">
        <v>505</v>
      </c>
      <c r="C331" s="25">
        <v>81.28623188405797</v>
      </c>
      <c r="D331" s="25">
        <v>76.32275132275133</v>
      </c>
    </row>
    <row r="332" ht="14.25" customHeight="1">
      <c r="A332" s="14">
        <v>90103.0</v>
      </c>
      <c r="B332" s="1" t="s">
        <v>506</v>
      </c>
      <c r="C332" s="25">
        <v>55.55555555555555</v>
      </c>
      <c r="D332" s="25">
        <v>86.82950191570882</v>
      </c>
    </row>
    <row r="333" ht="14.25" customHeight="1">
      <c r="A333" s="14">
        <v>90104.0</v>
      </c>
      <c r="B333" s="1" t="s">
        <v>507</v>
      </c>
      <c r="C333" s="25">
        <v>53.156565656565654</v>
      </c>
      <c r="D333" s="25">
        <v>84.54079579865743</v>
      </c>
    </row>
    <row r="334" ht="14.25" customHeight="1">
      <c r="A334" s="14">
        <v>90201.0</v>
      </c>
      <c r="B334" s="1" t="s">
        <v>509</v>
      </c>
      <c r="C334" s="25">
        <v>23.677248677248674</v>
      </c>
      <c r="D334" s="25">
        <v>85.82188930503537</v>
      </c>
    </row>
    <row r="335" ht="14.25" customHeight="1">
      <c r="A335" s="14">
        <v>90202.0</v>
      </c>
      <c r="B335" s="1" t="s">
        <v>348</v>
      </c>
      <c r="C335" s="25">
        <v>66.66666666666666</v>
      </c>
      <c r="D335" s="25">
        <v>92.3076923076923</v>
      </c>
    </row>
    <row r="336" ht="14.25" customHeight="1">
      <c r="A336" s="14">
        <v>90203.0</v>
      </c>
      <c r="B336" s="1" t="s">
        <v>510</v>
      </c>
      <c r="C336" s="25">
        <v>61.904761904761905</v>
      </c>
      <c r="D336" s="25">
        <v>81.35168437171022</v>
      </c>
    </row>
    <row r="337" ht="14.25" customHeight="1">
      <c r="A337" s="14">
        <v>90301.0</v>
      </c>
      <c r="B337" s="1" t="s">
        <v>512</v>
      </c>
      <c r="C337" s="25">
        <v>5.945609945609945</v>
      </c>
      <c r="D337" s="25">
        <v>66.81089743589745</v>
      </c>
    </row>
    <row r="338" ht="14.25" customHeight="1">
      <c r="A338" s="14">
        <v>90302.0</v>
      </c>
      <c r="B338" s="1" t="s">
        <v>401</v>
      </c>
      <c r="C338" s="25">
        <v>23.893939393939394</v>
      </c>
      <c r="D338" s="25">
        <v>76.43425385151538</v>
      </c>
    </row>
    <row r="339" ht="14.25" customHeight="1">
      <c r="A339" s="14">
        <v>90303.0</v>
      </c>
      <c r="B339" s="1" t="s">
        <v>513</v>
      </c>
      <c r="C339" s="25">
        <v>32.53968253968254</v>
      </c>
      <c r="D339" s="25">
        <v>93.34657123066266</v>
      </c>
    </row>
    <row r="340" ht="14.25" customHeight="1">
      <c r="A340" s="14">
        <v>90401.0</v>
      </c>
      <c r="B340" s="1" t="s">
        <v>433</v>
      </c>
      <c r="C340" s="25">
        <v>32.804232804232804</v>
      </c>
      <c r="D340" s="25">
        <v>83.15668609786258</v>
      </c>
    </row>
    <row r="341" ht="14.25" customHeight="1">
      <c r="A341" s="14">
        <v>90402.0</v>
      </c>
      <c r="B341" s="1" t="s">
        <v>144</v>
      </c>
      <c r="C341" s="25">
        <v>22.5</v>
      </c>
      <c r="D341" s="25">
        <v>90.79365079365078</v>
      </c>
    </row>
    <row r="342" ht="14.25" customHeight="1">
      <c r="A342" s="14">
        <v>90501.0</v>
      </c>
      <c r="B342" s="1" t="s">
        <v>516</v>
      </c>
      <c r="C342" s="25">
        <v>17.777777777777775</v>
      </c>
      <c r="D342" s="25">
        <v>96.77544677544678</v>
      </c>
    </row>
    <row r="343" ht="14.25" customHeight="1">
      <c r="A343" s="14">
        <v>90502.0</v>
      </c>
      <c r="B343" s="1" t="s">
        <v>517</v>
      </c>
      <c r="C343" s="25">
        <v>15.15151515151515</v>
      </c>
      <c r="D343" s="25">
        <v>93.5749299719888</v>
      </c>
    </row>
    <row r="344" ht="14.25" customHeight="1">
      <c r="A344" s="14">
        <v>90503.0</v>
      </c>
      <c r="B344" s="1" t="s">
        <v>519</v>
      </c>
      <c r="C344" s="25">
        <v>13.333333333333334</v>
      </c>
      <c r="D344" s="25">
        <v>87.69980506822613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520</v>
      </c>
      <c r="B1" s="1" t="s">
        <v>2</v>
      </c>
      <c r="C1" s="1" t="s">
        <v>523</v>
      </c>
      <c r="D1" s="1" t="s">
        <v>524</v>
      </c>
    </row>
    <row r="2" ht="14.25" customHeight="1">
      <c r="A2" s="14">
        <v>10101.0</v>
      </c>
      <c r="B2" s="1" t="s">
        <v>43</v>
      </c>
      <c r="C2" s="14">
        <v>208.33333333333334</v>
      </c>
      <c r="D2" s="14">
        <v>328.0</v>
      </c>
    </row>
    <row r="3" ht="14.25" customHeight="1">
      <c r="A3" s="14">
        <v>10102.0</v>
      </c>
      <c r="B3" s="1" t="s">
        <v>44</v>
      </c>
      <c r="C3" s="14">
        <v>12.0</v>
      </c>
      <c r="D3" s="14">
        <v>20.666666666666668</v>
      </c>
    </row>
    <row r="4" ht="14.25" customHeight="1">
      <c r="A4" s="14">
        <v>10103.0</v>
      </c>
      <c r="B4" s="1" t="s">
        <v>46</v>
      </c>
      <c r="C4" s="14">
        <v>21.666666666666668</v>
      </c>
      <c r="D4" s="14">
        <v>20.333333333333332</v>
      </c>
    </row>
    <row r="5" ht="14.25" customHeight="1">
      <c r="A5" s="14">
        <v>10201.0</v>
      </c>
      <c r="B5" s="1" t="s">
        <v>49</v>
      </c>
      <c r="C5" s="14">
        <v>12.0</v>
      </c>
      <c r="D5" s="14">
        <v>6.666666666666667</v>
      </c>
    </row>
    <row r="6" ht="14.25" customHeight="1">
      <c r="A6" s="14">
        <v>10202.0</v>
      </c>
      <c r="B6" s="1" t="s">
        <v>51</v>
      </c>
      <c r="C6" s="14">
        <v>16.666666666666668</v>
      </c>
      <c r="D6" s="14">
        <v>15.333333333333334</v>
      </c>
    </row>
    <row r="7" ht="14.25" customHeight="1">
      <c r="A7" s="14">
        <v>10301.0</v>
      </c>
      <c r="B7" s="1" t="s">
        <v>55</v>
      </c>
      <c r="C7" s="14">
        <v>8.0</v>
      </c>
      <c r="D7" s="14">
        <v>5.0</v>
      </c>
    </row>
    <row r="8" ht="14.25" customHeight="1">
      <c r="A8" s="14">
        <v>10302.0</v>
      </c>
      <c r="B8" s="1" t="s">
        <v>58</v>
      </c>
      <c r="C8" s="14">
        <v>3.6666666666666665</v>
      </c>
      <c r="D8" s="14">
        <v>8.0</v>
      </c>
    </row>
    <row r="9" ht="14.25" customHeight="1">
      <c r="A9" s="14">
        <v>10303.0</v>
      </c>
      <c r="B9" s="1" t="s">
        <v>60</v>
      </c>
      <c r="C9" s="14">
        <v>7.666666666666667</v>
      </c>
      <c r="D9" s="14">
        <v>12.666666666666666</v>
      </c>
    </row>
    <row r="10" ht="14.25" customHeight="1">
      <c r="A10" s="14">
        <v>10304.0</v>
      </c>
      <c r="B10" s="1" t="s">
        <v>63</v>
      </c>
      <c r="C10" s="14">
        <v>10.333333333333334</v>
      </c>
      <c r="D10" s="14">
        <v>5.333333333333333</v>
      </c>
    </row>
    <row r="11" ht="14.25" customHeight="1">
      <c r="A11" s="14">
        <v>10401.0</v>
      </c>
      <c r="B11" s="1" t="s">
        <v>66</v>
      </c>
      <c r="C11" s="14">
        <v>11.666666666666666</v>
      </c>
      <c r="D11" s="14">
        <v>12.666666666666666</v>
      </c>
    </row>
    <row r="12" ht="14.25" customHeight="1">
      <c r="A12" s="14">
        <v>10402.0</v>
      </c>
      <c r="B12" s="1" t="s">
        <v>65</v>
      </c>
      <c r="C12" s="14">
        <v>6.666666666666667</v>
      </c>
      <c r="D12" s="14">
        <v>13.333333333333334</v>
      </c>
    </row>
    <row r="13" ht="14.25" customHeight="1">
      <c r="A13" s="14">
        <v>10403.0</v>
      </c>
      <c r="B13" s="1" t="s">
        <v>70</v>
      </c>
      <c r="C13" s="14">
        <v>6.666666666666667</v>
      </c>
      <c r="D13" s="14">
        <v>8.666666666666666</v>
      </c>
    </row>
    <row r="14" ht="14.25" customHeight="1">
      <c r="A14" s="14">
        <v>10404.0</v>
      </c>
      <c r="B14" s="1" t="s">
        <v>72</v>
      </c>
      <c r="C14" s="14">
        <v>7.666666666666667</v>
      </c>
      <c r="D14" s="14">
        <v>7.666666666666667</v>
      </c>
    </row>
    <row r="15" ht="14.25" customHeight="1">
      <c r="A15" s="14">
        <v>10405.0</v>
      </c>
      <c r="B15" s="1" t="s">
        <v>74</v>
      </c>
      <c r="C15" s="14">
        <v>5.333333333333333</v>
      </c>
      <c r="D15" s="14">
        <v>6.333333333333333</v>
      </c>
    </row>
    <row r="16" ht="14.25" customHeight="1">
      <c r="A16" s="14">
        <v>10501.0</v>
      </c>
      <c r="B16" s="1" t="s">
        <v>76</v>
      </c>
      <c r="C16" s="14">
        <v>42.333333333333336</v>
      </c>
      <c r="D16" s="14">
        <v>50.333333333333336</v>
      </c>
    </row>
    <row r="17" ht="14.25" customHeight="1">
      <c r="A17" s="14">
        <v>10502.0</v>
      </c>
      <c r="B17" s="1" t="s">
        <v>77</v>
      </c>
      <c r="C17" s="14">
        <v>11.0</v>
      </c>
      <c r="D17" s="14">
        <v>18.666666666666668</v>
      </c>
    </row>
    <row r="18" ht="14.25" customHeight="1">
      <c r="A18" s="14">
        <v>10601.0</v>
      </c>
      <c r="B18" s="1" t="s">
        <v>79</v>
      </c>
      <c r="C18" s="14">
        <v>18.333333333333332</v>
      </c>
      <c r="D18" s="14">
        <v>20.0</v>
      </c>
    </row>
    <row r="19" ht="14.25" customHeight="1">
      <c r="A19" s="14">
        <v>10602.0</v>
      </c>
      <c r="B19" s="1" t="s">
        <v>78</v>
      </c>
      <c r="C19" s="14">
        <v>4.666666666666667</v>
      </c>
      <c r="D19" s="14">
        <v>15.666666666666666</v>
      </c>
    </row>
    <row r="20" ht="14.25" customHeight="1">
      <c r="A20" s="14">
        <v>10701.0</v>
      </c>
      <c r="B20" s="1" t="s">
        <v>81</v>
      </c>
      <c r="C20" s="14">
        <v>20.666666666666668</v>
      </c>
      <c r="D20" s="14">
        <v>25.0</v>
      </c>
    </row>
    <row r="21" ht="14.25" customHeight="1">
      <c r="A21" s="14">
        <v>10702.0</v>
      </c>
      <c r="B21" s="1" t="s">
        <v>82</v>
      </c>
      <c r="C21" s="14">
        <v>53.333333333333336</v>
      </c>
      <c r="D21" s="14">
        <v>73.0</v>
      </c>
    </row>
    <row r="22" ht="14.25" customHeight="1">
      <c r="A22" s="14">
        <v>10703.0</v>
      </c>
      <c r="B22" s="1" t="s">
        <v>83</v>
      </c>
      <c r="C22" s="14">
        <v>15.666666666666666</v>
      </c>
      <c r="D22" s="14">
        <v>13.0</v>
      </c>
    </row>
    <row r="23" ht="14.25" customHeight="1">
      <c r="A23" s="14">
        <v>10704.0</v>
      </c>
      <c r="B23" s="1" t="s">
        <v>84</v>
      </c>
      <c r="C23" s="14">
        <v>5.333333333333333</v>
      </c>
      <c r="D23" s="14">
        <v>19.333333333333332</v>
      </c>
    </row>
    <row r="24" ht="14.25" customHeight="1">
      <c r="A24" s="14">
        <v>10801.0</v>
      </c>
      <c r="B24" s="1" t="s">
        <v>86</v>
      </c>
      <c r="C24" s="14">
        <v>22.333333333333332</v>
      </c>
      <c r="D24" s="14">
        <v>24.333333333333332</v>
      </c>
    </row>
    <row r="25" ht="14.25" customHeight="1">
      <c r="A25" s="14">
        <v>10901.0</v>
      </c>
      <c r="B25" s="1" t="s">
        <v>88</v>
      </c>
      <c r="C25" s="14">
        <v>6.666666666666667</v>
      </c>
      <c r="D25" s="14">
        <v>2.3333333333333335</v>
      </c>
    </row>
    <row r="26" ht="14.25" customHeight="1">
      <c r="A26" s="14">
        <v>10902.0</v>
      </c>
      <c r="B26" s="1" t="s">
        <v>89</v>
      </c>
      <c r="C26" s="14">
        <v>16.333333333333332</v>
      </c>
      <c r="D26" s="14">
        <v>12.333333333333334</v>
      </c>
    </row>
    <row r="27" ht="14.25" customHeight="1">
      <c r="A27" s="14">
        <v>10903.0</v>
      </c>
      <c r="B27" s="1" t="s">
        <v>90</v>
      </c>
      <c r="C27" s="14">
        <v>2.3333333333333335</v>
      </c>
      <c r="D27" s="14">
        <v>3.0</v>
      </c>
    </row>
    <row r="28" ht="14.25" customHeight="1">
      <c r="A28" s="14">
        <v>11001.0</v>
      </c>
      <c r="B28" s="1" t="s">
        <v>92</v>
      </c>
      <c r="C28" s="14">
        <v>16.666666666666668</v>
      </c>
      <c r="D28" s="14">
        <v>14.666666666666666</v>
      </c>
    </row>
    <row r="29" ht="14.25" customHeight="1">
      <c r="A29" s="14">
        <v>11002.0</v>
      </c>
      <c r="B29" s="1" t="s">
        <v>93</v>
      </c>
      <c r="C29" s="14">
        <v>2.6666666666666665</v>
      </c>
      <c r="D29" s="14">
        <v>3.0</v>
      </c>
    </row>
    <row r="30" ht="14.25" customHeight="1">
      <c r="A30" s="14">
        <v>11003.0</v>
      </c>
      <c r="B30" s="1" t="s">
        <v>95</v>
      </c>
      <c r="C30" s="14">
        <v>11.333333333333334</v>
      </c>
      <c r="D30" s="14">
        <v>9.333333333333334</v>
      </c>
    </row>
    <row r="31" ht="14.25" customHeight="1">
      <c r="A31" s="14">
        <v>20101.0</v>
      </c>
      <c r="B31" s="1" t="s">
        <v>98</v>
      </c>
      <c r="C31" s="14">
        <v>273.6666666666667</v>
      </c>
      <c r="D31" s="14">
        <v>444.3333333333333</v>
      </c>
    </row>
    <row r="32" ht="14.25" customHeight="1">
      <c r="A32" s="14">
        <v>20102.0</v>
      </c>
      <c r="B32" s="1" t="s">
        <v>99</v>
      </c>
      <c r="C32" s="14">
        <v>33.0</v>
      </c>
      <c r="D32" s="14">
        <v>29.333333333333332</v>
      </c>
    </row>
    <row r="33" ht="14.25" customHeight="1">
      <c r="A33" s="14">
        <v>20103.0</v>
      </c>
      <c r="B33" s="1" t="s">
        <v>100</v>
      </c>
      <c r="C33" s="14">
        <v>31.0</v>
      </c>
      <c r="D33" s="14">
        <v>28.333333333333332</v>
      </c>
    </row>
    <row r="34" ht="14.25" customHeight="1">
      <c r="A34" s="14">
        <v>20104.0</v>
      </c>
      <c r="B34" s="1" t="s">
        <v>101</v>
      </c>
      <c r="C34" s="14">
        <v>34.0</v>
      </c>
      <c r="D34" s="14">
        <v>59.0</v>
      </c>
    </row>
    <row r="35" ht="14.25" customHeight="1">
      <c r="A35" s="14">
        <v>20105.0</v>
      </c>
      <c r="B35" s="1" t="s">
        <v>102</v>
      </c>
      <c r="C35" s="14">
        <v>998.3333333333334</v>
      </c>
      <c r="D35" s="14">
        <v>1367.6666666666667</v>
      </c>
    </row>
    <row r="36" ht="14.25" customHeight="1">
      <c r="A36" s="14">
        <v>20201.0</v>
      </c>
      <c r="B36" s="1" t="s">
        <v>104</v>
      </c>
      <c r="C36" s="14">
        <v>108.66666666666667</v>
      </c>
      <c r="D36" s="14">
        <v>57.0</v>
      </c>
    </row>
    <row r="37" ht="14.25" customHeight="1">
      <c r="A37" s="14">
        <v>20202.0</v>
      </c>
      <c r="B37" s="1" t="s">
        <v>105</v>
      </c>
      <c r="C37" s="14">
        <v>36.0</v>
      </c>
      <c r="D37" s="14">
        <v>28.333333333333332</v>
      </c>
    </row>
    <row r="38" ht="14.25" customHeight="1">
      <c r="A38" s="14">
        <v>20203.0</v>
      </c>
      <c r="B38" s="1" t="s">
        <v>107</v>
      </c>
      <c r="C38" s="14">
        <v>3.0</v>
      </c>
      <c r="D38" s="14">
        <v>4.333333333333333</v>
      </c>
    </row>
    <row r="39" ht="14.25" customHeight="1">
      <c r="A39" s="14">
        <v>20204.0</v>
      </c>
      <c r="B39" s="1" t="s">
        <v>108</v>
      </c>
      <c r="C39" s="14">
        <v>4.333333333333333</v>
      </c>
      <c r="D39" s="14">
        <v>10.0</v>
      </c>
    </row>
    <row r="40" ht="14.25" customHeight="1">
      <c r="A40" s="14">
        <v>20205.0</v>
      </c>
      <c r="B40" s="1" t="s">
        <v>109</v>
      </c>
      <c r="C40" s="14">
        <v>6.0</v>
      </c>
      <c r="D40" s="14">
        <v>10.666666666666666</v>
      </c>
    </row>
    <row r="41" ht="14.25" customHeight="1">
      <c r="A41" s="14">
        <v>20206.0</v>
      </c>
      <c r="B41" s="1" t="s">
        <v>110</v>
      </c>
      <c r="C41" s="14">
        <v>0.3333333333333333</v>
      </c>
      <c r="D41" s="14">
        <v>2.0</v>
      </c>
    </row>
    <row r="42" ht="14.25" customHeight="1">
      <c r="A42" s="14">
        <v>20301.0</v>
      </c>
      <c r="B42" s="1" t="s">
        <v>112</v>
      </c>
      <c r="C42" s="14">
        <v>30.0</v>
      </c>
      <c r="D42" s="14">
        <v>37.333333333333336</v>
      </c>
    </row>
    <row r="43" ht="14.25" customHeight="1">
      <c r="A43" s="14">
        <v>20302.0</v>
      </c>
      <c r="B43" s="1" t="s">
        <v>114</v>
      </c>
      <c r="C43" s="14">
        <v>27.666666666666668</v>
      </c>
      <c r="D43" s="14">
        <v>21.666666666666668</v>
      </c>
    </row>
    <row r="44" ht="14.25" customHeight="1">
      <c r="A44" s="14">
        <v>20303.0</v>
      </c>
      <c r="B44" s="1" t="s">
        <v>115</v>
      </c>
      <c r="C44" s="14">
        <v>45.333333333333336</v>
      </c>
      <c r="D44" s="14">
        <v>29.666666666666668</v>
      </c>
    </row>
    <row r="45" ht="14.25" customHeight="1">
      <c r="A45" s="14">
        <v>20304.0</v>
      </c>
      <c r="B45" s="1" t="s">
        <v>116</v>
      </c>
      <c r="C45" s="14">
        <v>13.0</v>
      </c>
      <c r="D45" s="14">
        <v>12.0</v>
      </c>
    </row>
    <row r="46" ht="14.25" customHeight="1">
      <c r="A46" s="14">
        <v>20305.0</v>
      </c>
      <c r="B46" s="1" t="s">
        <v>117</v>
      </c>
      <c r="C46" s="14">
        <v>3.0</v>
      </c>
      <c r="D46" s="14">
        <v>4.333333333333333</v>
      </c>
    </row>
    <row r="47" ht="14.25" customHeight="1">
      <c r="A47" s="14">
        <v>20306.0</v>
      </c>
      <c r="B47" s="1" t="s">
        <v>118</v>
      </c>
      <c r="C47" s="14">
        <v>3.6666666666666665</v>
      </c>
      <c r="D47" s="14">
        <v>4.333333333333333</v>
      </c>
    </row>
    <row r="48" ht="14.25" customHeight="1">
      <c r="A48" s="14">
        <v>20307.0</v>
      </c>
      <c r="B48" s="1" t="s">
        <v>119</v>
      </c>
      <c r="C48" s="14">
        <v>1.6666666666666667</v>
      </c>
      <c r="D48" s="14">
        <v>5.0</v>
      </c>
    </row>
    <row r="49" ht="14.25" customHeight="1">
      <c r="A49" s="14">
        <v>20308.0</v>
      </c>
      <c r="B49" s="1" t="s">
        <v>120</v>
      </c>
      <c r="C49" s="14">
        <v>21.666666666666668</v>
      </c>
      <c r="D49" s="14">
        <v>16.666666666666668</v>
      </c>
    </row>
    <row r="50" ht="14.25" customHeight="1">
      <c r="A50" s="14">
        <v>20401.0</v>
      </c>
      <c r="B50" s="1" t="s">
        <v>122</v>
      </c>
      <c r="C50" s="14">
        <v>45.666666666666664</v>
      </c>
      <c r="D50" s="14">
        <v>21.0</v>
      </c>
    </row>
    <row r="51" ht="14.25" customHeight="1">
      <c r="A51" s="14">
        <v>20402.0</v>
      </c>
      <c r="B51" s="1" t="s">
        <v>123</v>
      </c>
      <c r="C51" s="14">
        <v>47.666666666666664</v>
      </c>
      <c r="D51" s="14">
        <v>27.666666666666668</v>
      </c>
    </row>
    <row r="52" ht="14.25" customHeight="1">
      <c r="A52" s="14">
        <v>20403.0</v>
      </c>
      <c r="B52" s="1" t="s">
        <v>124</v>
      </c>
      <c r="C52" s="14">
        <v>48.666666666666664</v>
      </c>
      <c r="D52" s="14">
        <v>33.0</v>
      </c>
    </row>
    <row r="53" ht="14.25" customHeight="1">
      <c r="A53" s="14">
        <v>20404.0</v>
      </c>
      <c r="B53" s="1" t="s">
        <v>126</v>
      </c>
      <c r="C53" s="14">
        <v>4.333333333333333</v>
      </c>
      <c r="D53" s="14">
        <v>6.0</v>
      </c>
    </row>
    <row r="54" ht="14.25" customHeight="1">
      <c r="A54" s="14">
        <v>20405.0</v>
      </c>
      <c r="B54" s="1" t="s">
        <v>127</v>
      </c>
      <c r="C54" s="14">
        <v>5.666666666666667</v>
      </c>
      <c r="D54" s="14">
        <v>17.333333333333332</v>
      </c>
    </row>
    <row r="55" ht="14.25" customHeight="1">
      <c r="A55" s="14">
        <v>20501.0</v>
      </c>
      <c r="B55" s="1" t="s">
        <v>129</v>
      </c>
      <c r="C55" s="14">
        <v>20.333333333333332</v>
      </c>
      <c r="D55" s="14">
        <v>17.333333333333332</v>
      </c>
    </row>
    <row r="56" ht="14.25" customHeight="1">
      <c r="A56" s="14">
        <v>20502.0</v>
      </c>
      <c r="B56" s="1" t="s">
        <v>130</v>
      </c>
      <c r="C56" s="14">
        <v>12.666666666666666</v>
      </c>
      <c r="D56" s="14">
        <v>14.666666666666666</v>
      </c>
    </row>
    <row r="57" ht="14.25" customHeight="1">
      <c r="A57" s="14">
        <v>20503.0</v>
      </c>
      <c r="B57" s="1" t="s">
        <v>131</v>
      </c>
      <c r="C57" s="14">
        <v>19.333333333333332</v>
      </c>
      <c r="D57" s="14">
        <v>8.333333333333334</v>
      </c>
    </row>
    <row r="58" ht="14.25" customHeight="1">
      <c r="A58" s="14">
        <v>20601.0</v>
      </c>
      <c r="B58" s="1" t="s">
        <v>133</v>
      </c>
      <c r="C58" s="14">
        <v>36.333333333333336</v>
      </c>
      <c r="D58" s="14">
        <v>36.0</v>
      </c>
    </row>
    <row r="59" ht="14.25" customHeight="1">
      <c r="A59" s="14">
        <v>20602.0</v>
      </c>
      <c r="B59" s="1" t="s">
        <v>134</v>
      </c>
      <c r="C59" s="14">
        <v>26.0</v>
      </c>
      <c r="D59" s="14">
        <v>21.0</v>
      </c>
    </row>
    <row r="60" ht="14.25" customHeight="1">
      <c r="A60" s="14">
        <v>20603.0</v>
      </c>
      <c r="B60" s="1" t="s">
        <v>135</v>
      </c>
      <c r="C60" s="14">
        <v>17.666666666666668</v>
      </c>
      <c r="D60" s="14">
        <v>16.333333333333332</v>
      </c>
    </row>
    <row r="61" ht="14.25" customHeight="1">
      <c r="A61" s="14">
        <v>20604.0</v>
      </c>
      <c r="B61" s="1" t="s">
        <v>136</v>
      </c>
      <c r="C61" s="14">
        <v>6.0</v>
      </c>
      <c r="D61" s="14">
        <v>4.666666666666667</v>
      </c>
    </row>
    <row r="62" ht="14.25" customHeight="1">
      <c r="A62" s="14">
        <v>20605.0</v>
      </c>
      <c r="B62" s="1" t="s">
        <v>137</v>
      </c>
      <c r="C62" s="14">
        <v>10.666666666666666</v>
      </c>
      <c r="D62" s="14">
        <v>6.0</v>
      </c>
    </row>
    <row r="63" ht="14.25" customHeight="1">
      <c r="A63" s="14">
        <v>20606.0</v>
      </c>
      <c r="B63" s="1" t="s">
        <v>138</v>
      </c>
      <c r="C63" s="14">
        <v>8.333333333333334</v>
      </c>
      <c r="D63" s="14">
        <v>5.333333333333333</v>
      </c>
    </row>
    <row r="64" ht="14.25" customHeight="1">
      <c r="A64" s="14">
        <v>20607.0</v>
      </c>
      <c r="B64" s="1" t="s">
        <v>139</v>
      </c>
      <c r="C64" s="14">
        <v>19.333333333333332</v>
      </c>
      <c r="D64" s="14">
        <v>14.666666666666666</v>
      </c>
    </row>
    <row r="65" ht="14.25" customHeight="1">
      <c r="A65" s="14">
        <v>20608.0</v>
      </c>
      <c r="B65" s="1" t="s">
        <v>140</v>
      </c>
      <c r="C65" s="14">
        <v>21.0</v>
      </c>
      <c r="D65" s="14">
        <v>14.0</v>
      </c>
    </row>
    <row r="66" ht="14.25" customHeight="1">
      <c r="A66" s="14">
        <v>20701.0</v>
      </c>
      <c r="B66" s="1" t="s">
        <v>142</v>
      </c>
      <c r="C66" s="14">
        <v>38.333333333333336</v>
      </c>
      <c r="D66" s="14">
        <v>28.0</v>
      </c>
    </row>
    <row r="67" ht="14.25" customHeight="1">
      <c r="A67" s="14">
        <v>20702.0</v>
      </c>
      <c r="B67" s="1" t="s">
        <v>143</v>
      </c>
      <c r="C67" s="14">
        <v>16.333333333333332</v>
      </c>
      <c r="D67" s="14">
        <v>17.666666666666668</v>
      </c>
    </row>
    <row r="68" ht="14.25" customHeight="1">
      <c r="A68" s="14">
        <v>20801.0</v>
      </c>
      <c r="B68" s="1" t="s">
        <v>145</v>
      </c>
      <c r="C68" s="14">
        <v>88.0</v>
      </c>
      <c r="D68" s="14">
        <v>126.0</v>
      </c>
    </row>
    <row r="69" ht="14.25" customHeight="1">
      <c r="A69" s="14">
        <v>20802.0</v>
      </c>
      <c r="B69" s="1" t="s">
        <v>146</v>
      </c>
      <c r="C69" s="14">
        <v>11.666666666666666</v>
      </c>
      <c r="D69" s="14">
        <v>17.0</v>
      </c>
    </row>
    <row r="70" ht="14.25" customHeight="1">
      <c r="A70" s="14">
        <v>20803.0</v>
      </c>
      <c r="B70" s="1" t="s">
        <v>148</v>
      </c>
      <c r="C70" s="14">
        <v>26.0</v>
      </c>
      <c r="D70" s="14">
        <v>30.333333333333332</v>
      </c>
    </row>
    <row r="71" ht="14.25" customHeight="1">
      <c r="A71" s="14">
        <v>20804.0</v>
      </c>
      <c r="B71" s="1" t="s">
        <v>149</v>
      </c>
      <c r="C71" s="14">
        <v>14.333333333333334</v>
      </c>
      <c r="D71" s="14">
        <v>12.0</v>
      </c>
    </row>
    <row r="72" ht="14.25" customHeight="1">
      <c r="A72" s="14">
        <v>20805.0</v>
      </c>
      <c r="B72" s="1" t="s">
        <v>150</v>
      </c>
      <c r="C72" s="14">
        <v>34.333333333333336</v>
      </c>
      <c r="D72" s="14">
        <v>17.666666666666668</v>
      </c>
    </row>
    <row r="73" ht="14.25" customHeight="1">
      <c r="A73" s="14">
        <v>20806.0</v>
      </c>
      <c r="B73" s="1" t="s">
        <v>152</v>
      </c>
      <c r="C73" s="14">
        <v>35.333333333333336</v>
      </c>
      <c r="D73" s="14">
        <v>30.333333333333332</v>
      </c>
    </row>
    <row r="74" ht="14.25" customHeight="1">
      <c r="A74" s="14">
        <v>20807.0</v>
      </c>
      <c r="B74" s="1" t="s">
        <v>154</v>
      </c>
      <c r="C74" s="14">
        <v>12.666666666666666</v>
      </c>
      <c r="D74" s="14">
        <v>13.333333333333334</v>
      </c>
    </row>
    <row r="75" ht="14.25" customHeight="1">
      <c r="A75" s="14">
        <v>20901.0</v>
      </c>
      <c r="B75" s="1" t="s">
        <v>156</v>
      </c>
      <c r="C75" s="14">
        <v>15.333333333333334</v>
      </c>
      <c r="D75" s="14">
        <v>24.666666666666668</v>
      </c>
    </row>
    <row r="76" ht="14.25" customHeight="1">
      <c r="A76" s="14">
        <v>20902.0</v>
      </c>
      <c r="B76" s="1" t="s">
        <v>157</v>
      </c>
      <c r="C76" s="14">
        <v>21.0</v>
      </c>
      <c r="D76" s="14">
        <v>14.666666666666666</v>
      </c>
    </row>
    <row r="77" ht="14.25" customHeight="1">
      <c r="A77" s="14">
        <v>20903.0</v>
      </c>
      <c r="B77" s="1" t="s">
        <v>158</v>
      </c>
      <c r="C77" s="14">
        <v>24.0</v>
      </c>
      <c r="D77" s="14">
        <v>17.0</v>
      </c>
    </row>
    <row r="78" ht="14.25" customHeight="1">
      <c r="A78" s="14">
        <v>20904.0</v>
      </c>
      <c r="B78" s="1" t="s">
        <v>159</v>
      </c>
      <c r="C78" s="14">
        <v>5.0</v>
      </c>
      <c r="D78" s="14">
        <v>2.6666666666666665</v>
      </c>
    </row>
    <row r="79" ht="14.25" customHeight="1">
      <c r="A79" s="14">
        <v>20905.0</v>
      </c>
      <c r="B79" s="1" t="s">
        <v>160</v>
      </c>
      <c r="C79" s="14">
        <v>33.333333333333336</v>
      </c>
      <c r="D79" s="14">
        <v>21.0</v>
      </c>
    </row>
    <row r="80" ht="14.25" customHeight="1">
      <c r="A80" s="14">
        <v>21001.0</v>
      </c>
      <c r="B80" s="1" t="s">
        <v>161</v>
      </c>
      <c r="C80" s="14">
        <v>38.0</v>
      </c>
      <c r="D80" s="14">
        <v>34.0</v>
      </c>
    </row>
    <row r="81" ht="14.25" customHeight="1">
      <c r="A81" s="14">
        <v>21002.0</v>
      </c>
      <c r="B81" s="1" t="s">
        <v>162</v>
      </c>
      <c r="C81" s="14">
        <v>14.666666666666666</v>
      </c>
      <c r="D81" s="14">
        <v>6.666666666666667</v>
      </c>
    </row>
    <row r="82" ht="14.25" customHeight="1">
      <c r="A82" s="14">
        <v>21003.0</v>
      </c>
      <c r="B82" s="1" t="s">
        <v>163</v>
      </c>
      <c r="C82" s="14">
        <v>19.0</v>
      </c>
      <c r="D82" s="14">
        <v>19.666666666666668</v>
      </c>
    </row>
    <row r="83" ht="14.25" customHeight="1">
      <c r="A83" s="14">
        <v>21004.0</v>
      </c>
      <c r="B83" s="1" t="s">
        <v>164</v>
      </c>
      <c r="C83" s="14">
        <v>62.0</v>
      </c>
      <c r="D83" s="14">
        <v>55.333333333333336</v>
      </c>
    </row>
    <row r="84" ht="14.25" customHeight="1">
      <c r="A84" s="14">
        <v>21005.0</v>
      </c>
      <c r="B84" s="1" t="s">
        <v>165</v>
      </c>
      <c r="C84" s="14">
        <v>14.0</v>
      </c>
      <c r="D84" s="14">
        <v>14.0</v>
      </c>
    </row>
    <row r="85" ht="14.25" customHeight="1">
      <c r="A85" s="14">
        <v>21006.0</v>
      </c>
      <c r="B85" s="1" t="s">
        <v>166</v>
      </c>
      <c r="C85" s="14">
        <v>2.3333333333333335</v>
      </c>
      <c r="D85" s="14">
        <v>4.333333333333333</v>
      </c>
    </row>
    <row r="86" ht="14.25" customHeight="1">
      <c r="A86" s="14">
        <v>21101.0</v>
      </c>
      <c r="B86" s="1" t="s">
        <v>168</v>
      </c>
      <c r="C86" s="14">
        <v>18.333333333333332</v>
      </c>
      <c r="D86" s="14">
        <v>23.666666666666668</v>
      </c>
    </row>
    <row r="87" ht="14.25" customHeight="1">
      <c r="A87" s="14">
        <v>21102.0</v>
      </c>
      <c r="B87" s="1" t="s">
        <v>170</v>
      </c>
      <c r="C87" s="14">
        <v>30.666666666666668</v>
      </c>
      <c r="D87" s="14">
        <v>29.666666666666668</v>
      </c>
    </row>
    <row r="88" ht="14.25" customHeight="1">
      <c r="A88" s="14">
        <v>21103.0</v>
      </c>
      <c r="B88" s="1" t="s">
        <v>172</v>
      </c>
      <c r="C88" s="14">
        <v>9.333333333333334</v>
      </c>
      <c r="D88" s="14">
        <v>8.0</v>
      </c>
    </row>
    <row r="89" ht="14.25" customHeight="1">
      <c r="A89" s="14">
        <v>21104.0</v>
      </c>
      <c r="B89" s="1" t="s">
        <v>173</v>
      </c>
      <c r="C89" s="14">
        <v>61.666666666666664</v>
      </c>
      <c r="D89" s="14">
        <v>57.666666666666664</v>
      </c>
    </row>
    <row r="90" ht="14.25" customHeight="1">
      <c r="A90" s="14">
        <v>21105.0</v>
      </c>
      <c r="B90" s="1" t="s">
        <v>174</v>
      </c>
      <c r="C90" s="14">
        <v>61.333333333333336</v>
      </c>
      <c r="D90" s="14">
        <v>59.666666666666664</v>
      </c>
    </row>
    <row r="91" ht="14.25" customHeight="1">
      <c r="A91" s="14">
        <v>21201.0</v>
      </c>
      <c r="B91" s="1" t="s">
        <v>176</v>
      </c>
      <c r="C91" s="14">
        <v>61.666666666666664</v>
      </c>
      <c r="D91" s="14">
        <v>72.66666666666667</v>
      </c>
    </row>
    <row r="92" ht="14.25" customHeight="1">
      <c r="A92" s="14">
        <v>21202.0</v>
      </c>
      <c r="B92" s="1" t="s">
        <v>177</v>
      </c>
      <c r="C92" s="14">
        <v>32.666666666666664</v>
      </c>
      <c r="D92" s="14">
        <v>46.333333333333336</v>
      </c>
    </row>
    <row r="93" ht="14.25" customHeight="1">
      <c r="A93" s="14">
        <v>21203.0</v>
      </c>
      <c r="B93" s="1" t="s">
        <v>178</v>
      </c>
      <c r="C93" s="14">
        <v>31.0</v>
      </c>
      <c r="D93" s="14">
        <v>37.333333333333336</v>
      </c>
    </row>
    <row r="94" ht="14.25" customHeight="1">
      <c r="A94" s="14">
        <v>21204.0</v>
      </c>
      <c r="B94" s="1" t="s">
        <v>179</v>
      </c>
      <c r="C94" s="14">
        <v>18.333333333333332</v>
      </c>
      <c r="D94" s="14">
        <v>16.333333333333332</v>
      </c>
    </row>
    <row r="95" ht="14.25" customHeight="1">
      <c r="A95" s="14">
        <v>21301.0</v>
      </c>
      <c r="B95" s="1" t="s">
        <v>181</v>
      </c>
      <c r="C95" s="14">
        <v>59.666666666666664</v>
      </c>
      <c r="D95" s="14">
        <v>45.333333333333336</v>
      </c>
    </row>
    <row r="96" ht="14.25" customHeight="1">
      <c r="A96" s="14">
        <v>21302.0</v>
      </c>
      <c r="B96" s="1" t="s">
        <v>183</v>
      </c>
      <c r="C96" s="14">
        <v>20.666666666666668</v>
      </c>
      <c r="D96" s="14">
        <v>20.666666666666668</v>
      </c>
    </row>
    <row r="97" ht="14.25" customHeight="1">
      <c r="A97" s="14">
        <v>21303.0</v>
      </c>
      <c r="B97" s="1" t="s">
        <v>184</v>
      </c>
      <c r="C97" s="14">
        <v>17.0</v>
      </c>
      <c r="D97" s="14">
        <v>12.666666666666666</v>
      </c>
    </row>
    <row r="98" ht="14.25" customHeight="1">
      <c r="A98" s="14">
        <v>21304.0</v>
      </c>
      <c r="B98" s="1" t="s">
        <v>185</v>
      </c>
      <c r="C98" s="14">
        <v>29.333333333333332</v>
      </c>
      <c r="D98" s="14">
        <v>28.333333333333332</v>
      </c>
    </row>
    <row r="99" ht="14.25" customHeight="1">
      <c r="A99" s="14">
        <v>21305.0</v>
      </c>
      <c r="B99" s="1" t="s">
        <v>186</v>
      </c>
      <c r="C99" s="14">
        <v>37.666666666666664</v>
      </c>
      <c r="D99" s="14">
        <v>62.333333333333336</v>
      </c>
    </row>
    <row r="100" ht="14.25" customHeight="1">
      <c r="A100" s="14">
        <v>21306.0</v>
      </c>
      <c r="B100" s="1" t="s">
        <v>187</v>
      </c>
      <c r="C100" s="14">
        <v>10.0</v>
      </c>
      <c r="D100" s="14">
        <v>12.666666666666666</v>
      </c>
    </row>
    <row r="101" ht="14.25" customHeight="1">
      <c r="A101" s="14">
        <v>21307.0</v>
      </c>
      <c r="B101" s="1" t="s">
        <v>188</v>
      </c>
      <c r="C101" s="14">
        <v>2.0</v>
      </c>
      <c r="D101" s="14">
        <v>4.333333333333333</v>
      </c>
    </row>
    <row r="102" ht="14.25" customHeight="1">
      <c r="A102" s="14">
        <v>21401.0</v>
      </c>
      <c r="B102" s="1" t="s">
        <v>190</v>
      </c>
      <c r="C102" s="14">
        <v>35.0</v>
      </c>
      <c r="D102" s="14">
        <v>30.0</v>
      </c>
    </row>
    <row r="103" ht="14.25" customHeight="1">
      <c r="A103" s="14">
        <v>21402.0</v>
      </c>
      <c r="B103" s="1" t="s">
        <v>191</v>
      </c>
      <c r="C103" s="14">
        <v>18.333333333333332</v>
      </c>
      <c r="D103" s="14">
        <v>15.333333333333334</v>
      </c>
    </row>
    <row r="104" ht="14.25" customHeight="1">
      <c r="A104" s="14">
        <v>21501.0</v>
      </c>
      <c r="B104" s="1" t="s">
        <v>193</v>
      </c>
      <c r="C104" s="14">
        <v>14.333333333333334</v>
      </c>
      <c r="D104" s="14">
        <v>19.666666666666668</v>
      </c>
    </row>
    <row r="105" ht="14.25" customHeight="1">
      <c r="A105" s="14">
        <v>21502.0</v>
      </c>
      <c r="B105" s="1" t="s">
        <v>194</v>
      </c>
      <c r="C105" s="14">
        <v>25.0</v>
      </c>
      <c r="D105" s="14">
        <v>18.333333333333332</v>
      </c>
    </row>
    <row r="106" ht="14.25" customHeight="1">
      <c r="A106" s="14">
        <v>21601.0</v>
      </c>
      <c r="B106" s="1" t="s">
        <v>196</v>
      </c>
      <c r="C106" s="14">
        <v>30.666666666666668</v>
      </c>
      <c r="D106" s="14">
        <v>18.0</v>
      </c>
    </row>
    <row r="107" ht="14.25" customHeight="1">
      <c r="A107" s="14">
        <v>21602.0</v>
      </c>
      <c r="B107" s="1" t="s">
        <v>198</v>
      </c>
      <c r="C107" s="14">
        <v>5.0</v>
      </c>
      <c r="D107" s="14">
        <v>4.333333333333333</v>
      </c>
    </row>
    <row r="108" ht="14.25" customHeight="1">
      <c r="A108" s="14">
        <v>21701.0</v>
      </c>
      <c r="B108" s="1" t="s">
        <v>200</v>
      </c>
      <c r="C108" s="14">
        <v>33.333333333333336</v>
      </c>
      <c r="D108" s="14">
        <v>31.666666666666668</v>
      </c>
    </row>
    <row r="109" ht="14.25" customHeight="1">
      <c r="A109" s="14">
        <v>21702.0</v>
      </c>
      <c r="B109" s="1" t="s">
        <v>201</v>
      </c>
      <c r="C109" s="14">
        <v>7.666666666666667</v>
      </c>
      <c r="D109" s="14">
        <v>12.666666666666666</v>
      </c>
    </row>
    <row r="110" ht="14.25" customHeight="1">
      <c r="A110" s="14">
        <v>21703.0</v>
      </c>
      <c r="B110" s="1" t="s">
        <v>202</v>
      </c>
      <c r="C110" s="14">
        <v>3.3333333333333335</v>
      </c>
      <c r="D110" s="14">
        <v>0.0</v>
      </c>
    </row>
    <row r="111" ht="14.25" customHeight="1">
      <c r="A111" s="14">
        <v>21801.0</v>
      </c>
      <c r="B111" s="1" t="s">
        <v>204</v>
      </c>
      <c r="C111" s="14">
        <v>21.0</v>
      </c>
      <c r="D111" s="14">
        <v>17.333333333333332</v>
      </c>
    </row>
    <row r="112" ht="14.25" customHeight="1">
      <c r="A112" s="14">
        <v>21802.0</v>
      </c>
      <c r="B112" s="1" t="s">
        <v>206</v>
      </c>
      <c r="C112" s="14">
        <v>21.666666666666668</v>
      </c>
      <c r="D112" s="14">
        <v>18.666666666666668</v>
      </c>
    </row>
    <row r="113" ht="14.25" customHeight="1">
      <c r="A113" s="14">
        <v>21803.0</v>
      </c>
      <c r="B113" s="1" t="s">
        <v>207</v>
      </c>
      <c r="C113" s="14">
        <v>2.0</v>
      </c>
      <c r="D113" s="14">
        <v>3.3333333333333335</v>
      </c>
    </row>
    <row r="114" ht="14.25" customHeight="1">
      <c r="A114" s="14">
        <v>21901.0</v>
      </c>
      <c r="B114" s="1" t="s">
        <v>209</v>
      </c>
      <c r="C114" s="14">
        <v>18.333333333333332</v>
      </c>
      <c r="D114" s="14">
        <v>13.666666666666666</v>
      </c>
    </row>
    <row r="115" ht="14.25" customHeight="1">
      <c r="A115" s="14">
        <v>21902.0</v>
      </c>
      <c r="B115" s="1" t="s">
        <v>210</v>
      </c>
      <c r="C115" s="14">
        <v>4.0</v>
      </c>
      <c r="D115" s="14">
        <v>5.0</v>
      </c>
    </row>
    <row r="116" ht="14.25" customHeight="1">
      <c r="A116" s="14">
        <v>22001.0</v>
      </c>
      <c r="B116" s="1" t="s">
        <v>211</v>
      </c>
      <c r="C116" s="14">
        <v>103.0</v>
      </c>
      <c r="D116" s="14">
        <v>81.33333333333333</v>
      </c>
    </row>
    <row r="117" ht="14.25" customHeight="1">
      <c r="A117" s="14">
        <v>22002.0</v>
      </c>
      <c r="B117" s="1" t="s">
        <v>212</v>
      </c>
      <c r="C117" s="14">
        <v>7.666666666666667</v>
      </c>
      <c r="D117" s="14">
        <v>23.0</v>
      </c>
    </row>
    <row r="118" ht="14.25" customHeight="1">
      <c r="A118" s="14">
        <v>30101.0</v>
      </c>
      <c r="B118" s="1" t="s">
        <v>47</v>
      </c>
      <c r="C118" s="14">
        <v>543.3333333333334</v>
      </c>
      <c r="D118" s="14">
        <v>562.3333333333334</v>
      </c>
    </row>
    <row r="119" ht="14.25" customHeight="1">
      <c r="A119" s="14">
        <v>30201.0</v>
      </c>
      <c r="B119" s="1" t="s">
        <v>215</v>
      </c>
      <c r="C119" s="14">
        <v>36.0</v>
      </c>
      <c r="D119" s="14">
        <v>42.333333333333336</v>
      </c>
    </row>
    <row r="120" ht="14.25" customHeight="1">
      <c r="A120" s="14">
        <v>30202.0</v>
      </c>
      <c r="B120" s="1" t="s">
        <v>216</v>
      </c>
      <c r="C120" s="14">
        <v>11.333333333333334</v>
      </c>
      <c r="D120" s="14">
        <v>8.666666666666666</v>
      </c>
    </row>
    <row r="121" ht="14.25" customHeight="1">
      <c r="A121" s="14">
        <v>30203.0</v>
      </c>
      <c r="B121" s="1" t="s">
        <v>217</v>
      </c>
      <c r="C121" s="14">
        <v>4.666666666666667</v>
      </c>
      <c r="D121" s="14">
        <v>7.666666666666667</v>
      </c>
    </row>
    <row r="122" ht="14.25" customHeight="1">
      <c r="A122" s="14">
        <v>30301.0</v>
      </c>
      <c r="B122" s="1" t="s">
        <v>219</v>
      </c>
      <c r="C122" s="14">
        <v>37.333333333333336</v>
      </c>
      <c r="D122" s="14">
        <v>34.333333333333336</v>
      </c>
    </row>
    <row r="123" ht="14.25" customHeight="1">
      <c r="A123" s="14">
        <v>30302.0</v>
      </c>
      <c r="B123" s="1" t="s">
        <v>221</v>
      </c>
      <c r="C123" s="14">
        <v>30.666666666666668</v>
      </c>
      <c r="D123" s="14">
        <v>14.0</v>
      </c>
    </row>
    <row r="124" ht="14.25" customHeight="1">
      <c r="A124" s="14">
        <v>30303.0</v>
      </c>
      <c r="B124" s="1" t="s">
        <v>222</v>
      </c>
      <c r="C124" s="14">
        <v>9.333333333333334</v>
      </c>
      <c r="D124" s="14">
        <v>19.666666666666668</v>
      </c>
    </row>
    <row r="125" ht="14.25" customHeight="1">
      <c r="A125" s="14">
        <v>30401.0</v>
      </c>
      <c r="B125" s="1" t="s">
        <v>224</v>
      </c>
      <c r="C125" s="14">
        <v>21.666666666666668</v>
      </c>
      <c r="D125" s="14">
        <v>20.0</v>
      </c>
    </row>
    <row r="126" ht="14.25" customHeight="1">
      <c r="A126" s="14">
        <v>30402.0</v>
      </c>
      <c r="B126" s="1" t="s">
        <v>225</v>
      </c>
      <c r="C126" s="14">
        <v>11.666666666666666</v>
      </c>
      <c r="D126" s="14">
        <v>11.666666666666666</v>
      </c>
    </row>
    <row r="127" ht="14.25" customHeight="1">
      <c r="A127" s="14">
        <v>30403.0</v>
      </c>
      <c r="B127" s="1" t="s">
        <v>227</v>
      </c>
      <c r="C127" s="14">
        <v>14.0</v>
      </c>
      <c r="D127" s="14">
        <v>24.333333333333332</v>
      </c>
    </row>
    <row r="128" ht="14.25" customHeight="1">
      <c r="A128" s="14">
        <v>30404.0</v>
      </c>
      <c r="B128" s="1" t="s">
        <v>228</v>
      </c>
      <c r="C128" s="14">
        <v>20.0</v>
      </c>
      <c r="D128" s="14">
        <v>9.0</v>
      </c>
    </row>
    <row r="129" ht="14.25" customHeight="1">
      <c r="A129" s="14">
        <v>30501.0</v>
      </c>
      <c r="B129" s="1" t="s">
        <v>229</v>
      </c>
      <c r="C129" s="14">
        <v>13.333333333333334</v>
      </c>
      <c r="D129" s="14">
        <v>14.666666666666666</v>
      </c>
    </row>
    <row r="130" ht="14.25" customHeight="1">
      <c r="A130" s="14">
        <v>30502.0</v>
      </c>
      <c r="B130" s="1" t="s">
        <v>230</v>
      </c>
      <c r="C130" s="14">
        <v>13.666666666666666</v>
      </c>
      <c r="D130" s="14">
        <v>20.0</v>
      </c>
    </row>
    <row r="131" ht="14.25" customHeight="1">
      <c r="A131" s="14">
        <v>30601.0</v>
      </c>
      <c r="B131" s="1" t="s">
        <v>231</v>
      </c>
      <c r="C131" s="14">
        <v>23.666666666666668</v>
      </c>
      <c r="D131" s="14">
        <v>19.333333333333332</v>
      </c>
    </row>
    <row r="132" ht="14.25" customHeight="1">
      <c r="A132" s="14">
        <v>30602.0</v>
      </c>
      <c r="B132" s="1" t="s">
        <v>233</v>
      </c>
      <c r="C132" s="14">
        <v>14.333333333333334</v>
      </c>
      <c r="D132" s="14">
        <v>15.666666666666666</v>
      </c>
    </row>
    <row r="133" ht="14.25" customHeight="1">
      <c r="A133" s="14">
        <v>30701.0</v>
      </c>
      <c r="B133" s="1" t="s">
        <v>234</v>
      </c>
      <c r="C133" s="14">
        <v>38.0</v>
      </c>
      <c r="D133" s="14">
        <v>35.333333333333336</v>
      </c>
    </row>
    <row r="134" ht="14.25" customHeight="1">
      <c r="A134" s="14">
        <v>30702.0</v>
      </c>
      <c r="B134" s="1" t="s">
        <v>235</v>
      </c>
      <c r="C134" s="14">
        <v>12.0</v>
      </c>
      <c r="D134" s="14">
        <v>11.0</v>
      </c>
    </row>
    <row r="135" ht="14.25" customHeight="1">
      <c r="A135" s="14">
        <v>30703.0</v>
      </c>
      <c r="B135" s="1" t="s">
        <v>237</v>
      </c>
      <c r="C135" s="14">
        <v>4.333333333333333</v>
      </c>
      <c r="D135" s="14">
        <v>5.0</v>
      </c>
    </row>
    <row r="136" ht="14.25" customHeight="1">
      <c r="A136" s="14">
        <v>30801.0</v>
      </c>
      <c r="B136" s="1" t="s">
        <v>239</v>
      </c>
      <c r="C136" s="14">
        <v>26.0</v>
      </c>
      <c r="D136" s="14">
        <v>24.0</v>
      </c>
    </row>
    <row r="137" ht="14.25" customHeight="1">
      <c r="A137" s="14">
        <v>30802.0</v>
      </c>
      <c r="B137" s="1" t="s">
        <v>240</v>
      </c>
      <c r="C137" s="14">
        <v>5.666666666666667</v>
      </c>
      <c r="D137" s="14">
        <v>4.666666666666667</v>
      </c>
    </row>
    <row r="138" ht="14.25" customHeight="1">
      <c r="A138" s="14">
        <v>30803.0</v>
      </c>
      <c r="B138" s="1" t="s">
        <v>241</v>
      </c>
      <c r="C138" s="14">
        <v>3.0</v>
      </c>
      <c r="D138" s="14">
        <v>5.0</v>
      </c>
    </row>
    <row r="139" ht="14.25" customHeight="1">
      <c r="A139" s="14">
        <v>30901.0</v>
      </c>
      <c r="B139" s="1" t="s">
        <v>242</v>
      </c>
      <c r="C139" s="14">
        <v>153.0</v>
      </c>
      <c r="D139" s="14">
        <v>167.33333333333334</v>
      </c>
    </row>
    <row r="140" ht="14.25" customHeight="1">
      <c r="A140" s="14">
        <v>30902.0</v>
      </c>
      <c r="B140" s="1" t="s">
        <v>243</v>
      </c>
      <c r="C140" s="14">
        <v>63.666666666666664</v>
      </c>
      <c r="D140" s="14">
        <v>84.66666666666667</v>
      </c>
    </row>
    <row r="141" ht="14.25" customHeight="1">
      <c r="A141" s="14">
        <v>30903.0</v>
      </c>
      <c r="B141" s="1" t="s">
        <v>244</v>
      </c>
      <c r="C141" s="14">
        <v>40.333333333333336</v>
      </c>
      <c r="D141" s="14">
        <v>67.66666666666667</v>
      </c>
    </row>
    <row r="142" ht="14.25" customHeight="1">
      <c r="A142" s="14">
        <v>30904.0</v>
      </c>
      <c r="B142" s="1" t="s">
        <v>245</v>
      </c>
      <c r="C142" s="14">
        <v>81.0</v>
      </c>
      <c r="D142" s="14">
        <v>93.0</v>
      </c>
    </row>
    <row r="143" ht="14.25" customHeight="1">
      <c r="A143" s="14">
        <v>30905.0</v>
      </c>
      <c r="B143" s="1" t="s">
        <v>246</v>
      </c>
      <c r="C143" s="14">
        <v>45.333333333333336</v>
      </c>
      <c r="D143" s="14">
        <v>49.666666666666664</v>
      </c>
    </row>
    <row r="144" ht="14.25" customHeight="1">
      <c r="A144" s="14">
        <v>31001.0</v>
      </c>
      <c r="B144" s="1" t="s">
        <v>248</v>
      </c>
      <c r="C144" s="14">
        <v>97.66666666666667</v>
      </c>
      <c r="D144" s="14">
        <v>156.0</v>
      </c>
    </row>
    <row r="145" ht="14.25" customHeight="1">
      <c r="A145" s="14">
        <v>31002.0</v>
      </c>
      <c r="B145" s="1" t="s">
        <v>249</v>
      </c>
      <c r="C145" s="14">
        <v>30.666666666666668</v>
      </c>
      <c r="D145" s="14">
        <v>31.666666666666668</v>
      </c>
    </row>
    <row r="146" ht="14.25" customHeight="1">
      <c r="A146" s="14">
        <v>31003.0</v>
      </c>
      <c r="B146" s="1" t="s">
        <v>250</v>
      </c>
      <c r="C146" s="14">
        <v>93.66666666666667</v>
      </c>
      <c r="D146" s="14">
        <v>134.66666666666666</v>
      </c>
    </row>
    <row r="147" ht="14.25" customHeight="1">
      <c r="A147" s="14">
        <v>31101.0</v>
      </c>
      <c r="B147" s="1" t="s">
        <v>251</v>
      </c>
      <c r="C147" s="14">
        <v>40.333333333333336</v>
      </c>
      <c r="D147" s="14">
        <v>42.333333333333336</v>
      </c>
    </row>
    <row r="148" ht="14.25" customHeight="1">
      <c r="A148" s="14">
        <v>31201.0</v>
      </c>
      <c r="B148" s="1" t="s">
        <v>253</v>
      </c>
      <c r="C148" s="14">
        <v>17.333333333333332</v>
      </c>
      <c r="D148" s="14">
        <v>19.666666666666668</v>
      </c>
    </row>
    <row r="149" ht="14.25" customHeight="1">
      <c r="A149" s="14">
        <v>31202.0</v>
      </c>
      <c r="B149" s="1" t="s">
        <v>254</v>
      </c>
      <c r="C149" s="14">
        <v>17.666666666666668</v>
      </c>
      <c r="D149" s="14">
        <v>23.666666666666668</v>
      </c>
    </row>
    <row r="150" ht="14.25" customHeight="1">
      <c r="A150" s="14">
        <v>31203.0</v>
      </c>
      <c r="B150" s="1" t="s">
        <v>255</v>
      </c>
      <c r="C150" s="14">
        <v>17.333333333333332</v>
      </c>
      <c r="D150" s="14">
        <v>17.0</v>
      </c>
    </row>
    <row r="151" ht="14.25" customHeight="1">
      <c r="A151" s="14">
        <v>31204.0</v>
      </c>
      <c r="B151" s="1" t="s">
        <v>256</v>
      </c>
      <c r="C151" s="14">
        <v>23.666666666666668</v>
      </c>
      <c r="D151" s="14">
        <v>51.333333333333336</v>
      </c>
    </row>
    <row r="152" ht="14.25" customHeight="1">
      <c r="A152" s="14">
        <v>31205.0</v>
      </c>
      <c r="B152" s="1" t="s">
        <v>257</v>
      </c>
      <c r="C152" s="14">
        <v>82.66666666666667</v>
      </c>
      <c r="D152" s="14">
        <v>91.33333333333333</v>
      </c>
    </row>
    <row r="153" ht="14.25" customHeight="1">
      <c r="A153" s="14">
        <v>31206.0</v>
      </c>
      <c r="B153" s="1" t="s">
        <v>258</v>
      </c>
      <c r="C153" s="14">
        <v>41.0</v>
      </c>
      <c r="D153" s="14">
        <v>72.66666666666667</v>
      </c>
    </row>
    <row r="154" ht="14.25" customHeight="1">
      <c r="A154" s="14">
        <v>31301.0</v>
      </c>
      <c r="B154" s="1" t="s">
        <v>259</v>
      </c>
      <c r="C154" s="14">
        <v>28.666666666666668</v>
      </c>
      <c r="D154" s="14">
        <v>41.666666666666664</v>
      </c>
    </row>
    <row r="155" ht="14.25" customHeight="1">
      <c r="A155" s="14">
        <v>31302.0</v>
      </c>
      <c r="B155" s="1" t="s">
        <v>260</v>
      </c>
      <c r="C155" s="14">
        <v>3.0</v>
      </c>
      <c r="D155" s="14">
        <v>6.0</v>
      </c>
    </row>
    <row r="156" ht="14.25" customHeight="1">
      <c r="A156" s="14">
        <v>31303.0</v>
      </c>
      <c r="B156" s="1" t="s">
        <v>261</v>
      </c>
      <c r="C156" s="14">
        <v>3.0</v>
      </c>
      <c r="D156" s="14">
        <v>3.3333333333333335</v>
      </c>
    </row>
    <row r="157" ht="14.25" customHeight="1">
      <c r="A157" s="14">
        <v>31304.0</v>
      </c>
      <c r="B157" s="1" t="s">
        <v>262</v>
      </c>
      <c r="C157" s="14">
        <v>41.0</v>
      </c>
      <c r="D157" s="14">
        <v>72.66666666666667</v>
      </c>
    </row>
    <row r="158" ht="14.25" customHeight="1">
      <c r="A158" s="14">
        <v>31401.0</v>
      </c>
      <c r="B158" s="1" t="s">
        <v>264</v>
      </c>
      <c r="C158" s="14">
        <v>35.666666666666664</v>
      </c>
      <c r="D158" s="14">
        <v>40.333333333333336</v>
      </c>
    </row>
    <row r="159" ht="14.25" customHeight="1">
      <c r="A159" s="14">
        <v>31402.0</v>
      </c>
      <c r="B159" s="1" t="s">
        <v>266</v>
      </c>
      <c r="C159" s="14">
        <v>16.0</v>
      </c>
      <c r="D159" s="14">
        <v>17.333333333333332</v>
      </c>
    </row>
    <row r="160" ht="14.25" customHeight="1">
      <c r="A160" s="14">
        <v>31403.0</v>
      </c>
      <c r="B160" s="1" t="s">
        <v>267</v>
      </c>
      <c r="C160" s="14">
        <v>18.0</v>
      </c>
      <c r="D160" s="14">
        <v>26.666666666666668</v>
      </c>
    </row>
    <row r="161" ht="14.25" customHeight="1">
      <c r="A161" s="14">
        <v>31404.0</v>
      </c>
      <c r="B161" s="1" t="s">
        <v>269</v>
      </c>
      <c r="C161" s="14"/>
      <c r="D161" s="14"/>
    </row>
    <row r="162" ht="14.25" customHeight="1">
      <c r="A162" s="14">
        <v>31405.0</v>
      </c>
      <c r="B162" s="1" t="s">
        <v>270</v>
      </c>
      <c r="C162" s="14">
        <v>1.3333333333333333</v>
      </c>
      <c r="D162" s="14">
        <v>0.3333333333333333</v>
      </c>
    </row>
    <row r="163" ht="14.25" customHeight="1">
      <c r="A163" s="14">
        <v>31501.0</v>
      </c>
      <c r="B163" s="1" t="s">
        <v>272</v>
      </c>
      <c r="C163" s="14">
        <v>10.666666666666666</v>
      </c>
      <c r="D163" s="14">
        <v>10.333333333333334</v>
      </c>
    </row>
    <row r="164" ht="14.25" customHeight="1">
      <c r="A164" s="14">
        <v>31601.0</v>
      </c>
      <c r="B164" s="1" t="s">
        <v>273</v>
      </c>
      <c r="C164" s="14">
        <v>53.0</v>
      </c>
      <c r="D164" s="14">
        <v>29.666666666666668</v>
      </c>
    </row>
    <row r="165" ht="14.25" customHeight="1">
      <c r="A165" s="14">
        <v>31602.0</v>
      </c>
      <c r="B165" s="1" t="s">
        <v>274</v>
      </c>
      <c r="C165" s="14">
        <v>12.666666666666666</v>
      </c>
      <c r="D165" s="14">
        <v>58.666666666666664</v>
      </c>
    </row>
    <row r="166" ht="14.25" customHeight="1">
      <c r="A166" s="14">
        <v>40101.0</v>
      </c>
      <c r="B166" s="1" t="s">
        <v>50</v>
      </c>
      <c r="C166" s="14">
        <v>191.0</v>
      </c>
      <c r="D166" s="14">
        <v>347.3333333333333</v>
      </c>
    </row>
    <row r="167" ht="14.25" customHeight="1">
      <c r="A167" s="14">
        <v>40102.0</v>
      </c>
      <c r="B167" s="1" t="s">
        <v>275</v>
      </c>
      <c r="C167" s="14">
        <v>58.0</v>
      </c>
      <c r="D167" s="14">
        <v>76.66666666666667</v>
      </c>
    </row>
    <row r="168" ht="14.25" customHeight="1">
      <c r="A168" s="14">
        <v>40103.0</v>
      </c>
      <c r="B168" s="1" t="s">
        <v>276</v>
      </c>
      <c r="C168" s="14">
        <v>7.666666666666667</v>
      </c>
      <c r="D168" s="14">
        <v>13.0</v>
      </c>
    </row>
    <row r="169" ht="14.25" customHeight="1">
      <c r="A169" s="14">
        <v>40104.0</v>
      </c>
      <c r="B169" s="1" t="s">
        <v>277</v>
      </c>
      <c r="C169" s="14">
        <v>24.333333333333332</v>
      </c>
      <c r="D169" s="14">
        <v>33.0</v>
      </c>
    </row>
    <row r="170" ht="14.25" customHeight="1">
      <c r="A170" s="14">
        <v>40201.0</v>
      </c>
      <c r="B170" s="1" t="s">
        <v>280</v>
      </c>
      <c r="C170" s="14">
        <v>75.0</v>
      </c>
      <c r="D170" s="14">
        <v>68.66666666666667</v>
      </c>
    </row>
    <row r="171" ht="14.25" customHeight="1">
      <c r="A171" s="14">
        <v>40202.0</v>
      </c>
      <c r="B171" s="1" t="s">
        <v>281</v>
      </c>
      <c r="C171" s="14">
        <v>9.0</v>
      </c>
      <c r="D171" s="14">
        <v>10.333333333333334</v>
      </c>
    </row>
    <row r="172" ht="14.25" customHeight="1">
      <c r="A172" s="14">
        <v>40301.0</v>
      </c>
      <c r="B172" s="1" t="s">
        <v>283</v>
      </c>
      <c r="C172" s="14">
        <v>27.0</v>
      </c>
      <c r="D172" s="14">
        <v>26.333333333333332</v>
      </c>
    </row>
    <row r="173" ht="14.25" customHeight="1">
      <c r="A173" s="14">
        <v>40302.0</v>
      </c>
      <c r="B173" s="1" t="s">
        <v>284</v>
      </c>
      <c r="C173" s="14">
        <v>5.666666666666667</v>
      </c>
      <c r="D173" s="14">
        <v>2.6666666666666665</v>
      </c>
    </row>
    <row r="174" ht="14.25" customHeight="1">
      <c r="A174" s="14">
        <v>40401.0</v>
      </c>
      <c r="B174" s="1" t="s">
        <v>286</v>
      </c>
      <c r="C174" s="14">
        <v>18.666666666666668</v>
      </c>
      <c r="D174" s="14">
        <v>10.666666666666666</v>
      </c>
    </row>
    <row r="175" ht="14.25" customHeight="1">
      <c r="A175" s="14">
        <v>40402.0</v>
      </c>
      <c r="B175" s="1" t="s">
        <v>287</v>
      </c>
      <c r="C175" s="14">
        <v>18.666666666666668</v>
      </c>
      <c r="D175" s="14">
        <v>13.666666666666666</v>
      </c>
    </row>
    <row r="176" ht="14.25" customHeight="1">
      <c r="A176" s="14">
        <v>40501.0</v>
      </c>
      <c r="B176" s="1" t="s">
        <v>289</v>
      </c>
      <c r="C176" s="14">
        <v>4.0</v>
      </c>
      <c r="D176" s="14">
        <v>1.3333333333333333</v>
      </c>
    </row>
    <row r="177" ht="14.25" customHeight="1">
      <c r="A177" s="14">
        <v>40502.0</v>
      </c>
      <c r="B177" s="1" t="s">
        <v>290</v>
      </c>
      <c r="C177" s="14">
        <v>3.6666666666666665</v>
      </c>
      <c r="D177" s="14">
        <v>3.0</v>
      </c>
    </row>
    <row r="178" ht="14.25" customHeight="1">
      <c r="A178" s="14">
        <v>40503.0</v>
      </c>
      <c r="B178" s="1" t="s">
        <v>291</v>
      </c>
      <c r="C178" s="14"/>
      <c r="D178" s="14"/>
    </row>
    <row r="179" ht="14.25" customHeight="1">
      <c r="A179" s="14">
        <v>40504.0</v>
      </c>
      <c r="B179" s="1" t="s">
        <v>292</v>
      </c>
      <c r="C179" s="14"/>
      <c r="D179" s="14"/>
    </row>
    <row r="180" ht="14.25" customHeight="1">
      <c r="A180" s="14">
        <v>40505.0</v>
      </c>
      <c r="B180" s="1" t="s">
        <v>293</v>
      </c>
      <c r="C180" s="14"/>
      <c r="D180" s="14"/>
    </row>
    <row r="181" ht="14.25" customHeight="1">
      <c r="A181" s="14">
        <v>40601.0</v>
      </c>
      <c r="B181" s="1" t="s">
        <v>294</v>
      </c>
      <c r="C181" s="14">
        <v>10.333333333333334</v>
      </c>
      <c r="D181" s="14">
        <v>9.0</v>
      </c>
    </row>
    <row r="182" ht="14.25" customHeight="1">
      <c r="A182" s="14">
        <v>40602.0</v>
      </c>
      <c r="B182" s="1" t="s">
        <v>296</v>
      </c>
      <c r="C182" s="14">
        <v>21.0</v>
      </c>
      <c r="D182" s="14">
        <v>13.0</v>
      </c>
    </row>
    <row r="183" ht="14.25" customHeight="1">
      <c r="A183" s="14">
        <v>40603.0</v>
      </c>
      <c r="B183" s="1" t="s">
        <v>297</v>
      </c>
      <c r="C183" s="14">
        <v>8.0</v>
      </c>
      <c r="D183" s="14">
        <v>6.0</v>
      </c>
    </row>
    <row r="184" ht="14.25" customHeight="1">
      <c r="A184" s="14">
        <v>40701.0</v>
      </c>
      <c r="B184" s="1" t="s">
        <v>299</v>
      </c>
      <c r="C184" s="14">
        <v>71.66666666666667</v>
      </c>
      <c r="D184" s="14">
        <v>46.333333333333336</v>
      </c>
    </row>
    <row r="185" ht="14.25" customHeight="1">
      <c r="A185" s="14">
        <v>40702.0</v>
      </c>
      <c r="B185" s="1" t="s">
        <v>301</v>
      </c>
      <c r="C185" s="14">
        <v>16.0</v>
      </c>
      <c r="D185" s="14">
        <v>17.666666666666668</v>
      </c>
    </row>
    <row r="186" ht="14.25" customHeight="1">
      <c r="A186" s="14">
        <v>40801.0</v>
      </c>
      <c r="B186" s="1" t="s">
        <v>303</v>
      </c>
      <c r="C186" s="14">
        <v>30.0</v>
      </c>
      <c r="D186" s="14">
        <v>24.333333333333332</v>
      </c>
    </row>
    <row r="187" ht="14.25" customHeight="1">
      <c r="A187" s="14">
        <v>40802.0</v>
      </c>
      <c r="B187" s="1" t="s">
        <v>304</v>
      </c>
      <c r="C187" s="14">
        <v>8.0</v>
      </c>
      <c r="D187" s="14">
        <v>6.0</v>
      </c>
    </row>
    <row r="188" ht="14.25" customHeight="1">
      <c r="A188" s="14">
        <v>40901.0</v>
      </c>
      <c r="B188" s="1" t="s">
        <v>305</v>
      </c>
      <c r="C188" s="14">
        <v>10.0</v>
      </c>
      <c r="D188" s="14">
        <v>6.0</v>
      </c>
    </row>
    <row r="189" ht="14.25" customHeight="1">
      <c r="A189" s="14">
        <v>40902.0</v>
      </c>
      <c r="B189" s="1" t="s">
        <v>306</v>
      </c>
      <c r="C189" s="14">
        <v>3.0</v>
      </c>
      <c r="D189" s="14">
        <v>2.3333333333333335</v>
      </c>
    </row>
    <row r="190" ht="14.25" customHeight="1">
      <c r="A190" s="14">
        <v>40903.0</v>
      </c>
      <c r="B190" s="1" t="s">
        <v>307</v>
      </c>
      <c r="C190" s="14">
        <v>7.333333333333333</v>
      </c>
      <c r="D190" s="14">
        <v>2.3333333333333335</v>
      </c>
    </row>
    <row r="191" ht="14.25" customHeight="1">
      <c r="A191" s="14">
        <v>41001.0</v>
      </c>
      <c r="B191" s="1" t="s">
        <v>309</v>
      </c>
      <c r="C191" s="14">
        <v>16.333333333333332</v>
      </c>
      <c r="D191" s="14">
        <v>16.0</v>
      </c>
    </row>
    <row r="192" ht="14.25" customHeight="1">
      <c r="A192" s="14">
        <v>41101.0</v>
      </c>
      <c r="B192" s="1" t="s">
        <v>311</v>
      </c>
      <c r="C192" s="14">
        <v>23.333333333333332</v>
      </c>
      <c r="D192" s="14">
        <v>20.333333333333332</v>
      </c>
    </row>
    <row r="193" ht="14.25" customHeight="1">
      <c r="A193" s="14">
        <v>41201.0</v>
      </c>
      <c r="B193" s="1" t="s">
        <v>313</v>
      </c>
      <c r="C193" s="14">
        <v>18.333333333333332</v>
      </c>
      <c r="D193" s="14">
        <v>17.333333333333332</v>
      </c>
    </row>
    <row r="194" ht="14.25" customHeight="1">
      <c r="A194" s="14">
        <v>41202.0</v>
      </c>
      <c r="B194" s="1" t="s">
        <v>315</v>
      </c>
      <c r="C194" s="14">
        <v>8.666666666666666</v>
      </c>
      <c r="D194" s="14">
        <v>7.333333333333333</v>
      </c>
    </row>
    <row r="195" ht="14.25" customHeight="1">
      <c r="A195" s="14">
        <v>41301.0</v>
      </c>
      <c r="B195" s="1" t="s">
        <v>253</v>
      </c>
      <c r="C195" s="14">
        <v>31.333333333333332</v>
      </c>
      <c r="D195" s="14">
        <v>21.666666666666668</v>
      </c>
    </row>
    <row r="196" ht="14.25" customHeight="1">
      <c r="A196" s="14">
        <v>41401.0</v>
      </c>
      <c r="B196" s="1" t="s">
        <v>318</v>
      </c>
      <c r="C196" s="14">
        <v>21.333333333333332</v>
      </c>
      <c r="D196" s="14">
        <v>18.666666666666668</v>
      </c>
    </row>
    <row r="197" ht="14.25" customHeight="1">
      <c r="A197" s="14">
        <v>41501.0</v>
      </c>
      <c r="B197" s="1" t="s">
        <v>320</v>
      </c>
      <c r="C197" s="14">
        <v>5.666666666666667</v>
      </c>
      <c r="D197" s="14">
        <v>1.0</v>
      </c>
    </row>
    <row r="198" ht="14.25" customHeight="1">
      <c r="A198" s="14">
        <v>41502.0</v>
      </c>
      <c r="B198" s="1" t="s">
        <v>321</v>
      </c>
      <c r="C198" s="14">
        <v>5.333333333333333</v>
      </c>
      <c r="D198" s="14">
        <v>3.0</v>
      </c>
    </row>
    <row r="199" ht="14.25" customHeight="1">
      <c r="A199" s="14">
        <v>41503.0</v>
      </c>
      <c r="B199" s="1" t="s">
        <v>282</v>
      </c>
      <c r="C199" s="14">
        <v>0.0</v>
      </c>
      <c r="D199" s="14">
        <v>0.0</v>
      </c>
    </row>
    <row r="200" ht="14.25" customHeight="1">
      <c r="A200" s="14">
        <v>41601.0</v>
      </c>
      <c r="B200" s="1" t="s">
        <v>323</v>
      </c>
      <c r="C200" s="14">
        <v>27.0</v>
      </c>
      <c r="D200" s="14">
        <v>20.333333333333332</v>
      </c>
    </row>
    <row r="201" ht="14.25" customHeight="1">
      <c r="A201" s="14">
        <v>50101.0</v>
      </c>
      <c r="B201" s="1" t="s">
        <v>325</v>
      </c>
      <c r="C201" s="14">
        <v>211.66666666666666</v>
      </c>
      <c r="D201" s="14">
        <v>317.0</v>
      </c>
    </row>
    <row r="202" ht="14.25" customHeight="1">
      <c r="A202" s="14">
        <v>50102.0</v>
      </c>
      <c r="B202" s="1" t="s">
        <v>327</v>
      </c>
      <c r="C202" s="14">
        <v>34.333333333333336</v>
      </c>
      <c r="D202" s="14">
        <v>44.666666666666664</v>
      </c>
    </row>
    <row r="203" ht="14.25" customHeight="1">
      <c r="A203" s="14">
        <v>50103.0</v>
      </c>
      <c r="B203" s="1" t="s">
        <v>328</v>
      </c>
      <c r="C203" s="14">
        <v>24.0</v>
      </c>
      <c r="D203" s="14">
        <v>22.333333333333332</v>
      </c>
    </row>
    <row r="204" ht="14.25" customHeight="1">
      <c r="A204" s="14">
        <v>50104.0</v>
      </c>
      <c r="B204" s="1" t="s">
        <v>330</v>
      </c>
      <c r="C204" s="14">
        <v>24.0</v>
      </c>
      <c r="D204" s="14">
        <v>15.666666666666666</v>
      </c>
    </row>
    <row r="205" ht="14.25" customHeight="1">
      <c r="A205" s="14">
        <v>50201.0</v>
      </c>
      <c r="B205" s="1" t="s">
        <v>333</v>
      </c>
      <c r="C205" s="14">
        <v>63.666666666666664</v>
      </c>
      <c r="D205" s="14">
        <v>31.666666666666668</v>
      </c>
    </row>
    <row r="206" ht="14.25" customHeight="1">
      <c r="A206" s="14">
        <v>50202.0</v>
      </c>
      <c r="B206" s="1" t="s">
        <v>334</v>
      </c>
      <c r="C206" s="14">
        <v>42.666666666666664</v>
      </c>
      <c r="D206" s="14">
        <v>30.333333333333332</v>
      </c>
    </row>
    <row r="207" ht="14.25" customHeight="1">
      <c r="A207" s="14">
        <v>50203.0</v>
      </c>
      <c r="B207" s="1" t="s">
        <v>335</v>
      </c>
      <c r="C207" s="14">
        <v>45.333333333333336</v>
      </c>
      <c r="D207" s="14">
        <v>50.666666666666664</v>
      </c>
    </row>
    <row r="208" ht="14.25" customHeight="1">
      <c r="A208" s="14">
        <v>50204.0</v>
      </c>
      <c r="B208" s="1" t="s">
        <v>336</v>
      </c>
      <c r="C208" s="14">
        <v>15.333333333333334</v>
      </c>
      <c r="D208" s="14">
        <v>20.0</v>
      </c>
    </row>
    <row r="209" ht="14.25" customHeight="1">
      <c r="A209" s="14">
        <v>50301.0</v>
      </c>
      <c r="B209" s="1" t="s">
        <v>338</v>
      </c>
      <c r="C209" s="14">
        <v>77.66666666666667</v>
      </c>
      <c r="D209" s="14">
        <v>73.0</v>
      </c>
    </row>
    <row r="210" ht="14.25" customHeight="1">
      <c r="A210" s="14">
        <v>50302.0</v>
      </c>
      <c r="B210" s="1" t="s">
        <v>340</v>
      </c>
      <c r="C210" s="14">
        <v>24.0</v>
      </c>
      <c r="D210" s="14">
        <v>29.0</v>
      </c>
    </row>
    <row r="211" ht="14.25" customHeight="1">
      <c r="A211" s="14">
        <v>50303.0</v>
      </c>
      <c r="B211" s="1" t="s">
        <v>341</v>
      </c>
      <c r="C211" s="14">
        <v>22.0</v>
      </c>
      <c r="D211" s="14">
        <v>25.0</v>
      </c>
    </row>
    <row r="212" ht="14.25" customHeight="1">
      <c r="A212" s="14">
        <v>50401.0</v>
      </c>
      <c r="B212" s="1" t="s">
        <v>342</v>
      </c>
      <c r="C212" s="14">
        <v>30.666666666666668</v>
      </c>
      <c r="D212" s="14">
        <v>29.666666666666668</v>
      </c>
    </row>
    <row r="213" ht="14.25" customHeight="1">
      <c r="A213" s="14">
        <v>50402.0</v>
      </c>
      <c r="B213" s="1" t="s">
        <v>343</v>
      </c>
      <c r="C213" s="14">
        <v>21.333333333333332</v>
      </c>
      <c r="D213" s="14">
        <v>33.0</v>
      </c>
    </row>
    <row r="214" ht="14.25" customHeight="1">
      <c r="A214" s="14">
        <v>50403.0</v>
      </c>
      <c r="B214" s="1" t="s">
        <v>344</v>
      </c>
      <c r="C214" s="14">
        <v>34.0</v>
      </c>
      <c r="D214" s="14">
        <v>26.0</v>
      </c>
    </row>
    <row r="215" ht="14.25" customHeight="1">
      <c r="A215" s="14">
        <v>50404.0</v>
      </c>
      <c r="B215" s="1" t="s">
        <v>345</v>
      </c>
      <c r="C215" s="14">
        <v>26.0</v>
      </c>
      <c r="D215" s="14">
        <v>24.333333333333332</v>
      </c>
    </row>
    <row r="216" ht="14.25" customHeight="1">
      <c r="A216" s="14">
        <v>50405.0</v>
      </c>
      <c r="B216" s="1" t="s">
        <v>346</v>
      </c>
      <c r="C216" s="14">
        <v>30.666666666666668</v>
      </c>
      <c r="D216" s="14">
        <v>29.666666666666668</v>
      </c>
    </row>
    <row r="217" ht="14.25" customHeight="1">
      <c r="A217" s="14">
        <v>50501.0</v>
      </c>
      <c r="B217" s="1" t="s">
        <v>348</v>
      </c>
      <c r="C217" s="14">
        <v>34.333333333333336</v>
      </c>
      <c r="D217" s="14">
        <v>16.0</v>
      </c>
    </row>
    <row r="218" ht="14.25" customHeight="1">
      <c r="A218" s="14">
        <v>50502.0</v>
      </c>
      <c r="B218" s="1" t="s">
        <v>349</v>
      </c>
      <c r="C218" s="14">
        <v>17.333333333333332</v>
      </c>
      <c r="D218" s="14">
        <v>15.333333333333334</v>
      </c>
    </row>
    <row r="219" ht="14.25" customHeight="1">
      <c r="A219" s="14">
        <v>50601.0</v>
      </c>
      <c r="B219" s="1" t="s">
        <v>351</v>
      </c>
      <c r="C219" s="14">
        <v>121.66666666666667</v>
      </c>
      <c r="D219" s="14">
        <v>117.33333333333333</v>
      </c>
    </row>
    <row r="220" ht="14.25" customHeight="1">
      <c r="A220" s="14">
        <v>50602.0</v>
      </c>
      <c r="B220" s="1" t="s">
        <v>352</v>
      </c>
      <c r="C220" s="14">
        <v>36.666666666666664</v>
      </c>
      <c r="D220" s="14">
        <v>36.666666666666664</v>
      </c>
    </row>
    <row r="221" ht="14.25" customHeight="1">
      <c r="A221" s="14">
        <v>50701.0</v>
      </c>
      <c r="B221" s="1" t="s">
        <v>354</v>
      </c>
      <c r="C221" s="14">
        <v>31.666666666666668</v>
      </c>
      <c r="D221" s="14">
        <v>16.0</v>
      </c>
    </row>
    <row r="222" ht="14.25" customHeight="1">
      <c r="A222" s="14">
        <v>50702.0</v>
      </c>
      <c r="B222" s="1" t="s">
        <v>356</v>
      </c>
      <c r="C222" s="14">
        <v>20.333333333333332</v>
      </c>
      <c r="D222" s="14">
        <v>11.333333333333334</v>
      </c>
    </row>
    <row r="223" ht="14.25" customHeight="1">
      <c r="A223" s="14">
        <v>50801.0</v>
      </c>
      <c r="B223" s="1" t="s">
        <v>358</v>
      </c>
      <c r="C223" s="14">
        <v>110.66666666666667</v>
      </c>
      <c r="D223" s="14">
        <v>130.66666666666666</v>
      </c>
    </row>
    <row r="224" ht="14.25" customHeight="1">
      <c r="A224" s="14">
        <v>50802.0</v>
      </c>
      <c r="B224" s="1" t="s">
        <v>359</v>
      </c>
      <c r="C224" s="14">
        <v>29.333333333333332</v>
      </c>
      <c r="D224" s="14">
        <v>22.333333333333332</v>
      </c>
    </row>
    <row r="225" ht="14.25" customHeight="1">
      <c r="A225" s="14">
        <v>50901.0</v>
      </c>
      <c r="B225" s="1" t="s">
        <v>361</v>
      </c>
      <c r="C225" s="14">
        <v>48.0</v>
      </c>
      <c r="D225" s="14">
        <v>49.0</v>
      </c>
    </row>
    <row r="226" ht="14.25" customHeight="1">
      <c r="A226" s="14">
        <v>50902.0</v>
      </c>
      <c r="B226" s="1" t="s">
        <v>363</v>
      </c>
      <c r="C226" s="14">
        <v>2.0</v>
      </c>
      <c r="D226" s="14">
        <v>3.0</v>
      </c>
    </row>
    <row r="227" ht="14.25" customHeight="1">
      <c r="A227" s="14">
        <v>51001.0</v>
      </c>
      <c r="B227" s="1" t="s">
        <v>366</v>
      </c>
      <c r="C227" s="14">
        <v>14.0</v>
      </c>
      <c r="D227" s="14">
        <v>12.0</v>
      </c>
    </row>
    <row r="228" ht="14.25" customHeight="1">
      <c r="A228" s="14">
        <v>51002.0</v>
      </c>
      <c r="B228" s="1" t="s">
        <v>368</v>
      </c>
      <c r="C228" s="14">
        <v>4.0</v>
      </c>
      <c r="D228" s="14">
        <v>4.0</v>
      </c>
    </row>
    <row r="229" ht="14.25" customHeight="1">
      <c r="A229" s="14">
        <v>51003.0</v>
      </c>
      <c r="B229" s="1" t="s">
        <v>369</v>
      </c>
      <c r="C229" s="14">
        <v>6.333333333333333</v>
      </c>
      <c r="D229" s="14">
        <v>5.0</v>
      </c>
    </row>
    <row r="230" ht="14.25" customHeight="1">
      <c r="A230" s="14">
        <v>51101.0</v>
      </c>
      <c r="B230" s="1" t="s">
        <v>371</v>
      </c>
      <c r="C230" s="14">
        <v>93.0</v>
      </c>
      <c r="D230" s="14">
        <v>64.0</v>
      </c>
    </row>
    <row r="231" ht="14.25" customHeight="1">
      <c r="A231" s="14">
        <v>51102.0</v>
      </c>
      <c r="B231" s="1" t="s">
        <v>373</v>
      </c>
      <c r="C231" s="14">
        <v>29.666666666666668</v>
      </c>
      <c r="D231" s="14">
        <v>38.666666666666664</v>
      </c>
    </row>
    <row r="232" ht="14.25" customHeight="1">
      <c r="A232" s="14">
        <v>51103.0</v>
      </c>
      <c r="B232" s="1" t="s">
        <v>374</v>
      </c>
      <c r="C232" s="14">
        <v>15.0</v>
      </c>
      <c r="D232" s="14">
        <v>38.666666666666664</v>
      </c>
    </row>
    <row r="233" ht="14.25" customHeight="1">
      <c r="A233" s="14">
        <v>51201.0</v>
      </c>
      <c r="B233" s="1" t="s">
        <v>376</v>
      </c>
      <c r="C233" s="14">
        <v>63.333333333333336</v>
      </c>
      <c r="D233" s="14">
        <v>77.0</v>
      </c>
    </row>
    <row r="234" ht="14.25" customHeight="1">
      <c r="A234" s="14">
        <v>51202.0</v>
      </c>
      <c r="B234" s="1" t="s">
        <v>377</v>
      </c>
      <c r="C234" s="14">
        <v>57.0</v>
      </c>
      <c r="D234" s="14">
        <v>47.666666666666664</v>
      </c>
    </row>
    <row r="235" ht="14.25" customHeight="1">
      <c r="A235" s="14">
        <v>51203.0</v>
      </c>
      <c r="B235" s="1" t="s">
        <v>378</v>
      </c>
      <c r="C235" s="14">
        <v>13.333333333333334</v>
      </c>
      <c r="D235" s="14">
        <v>23.333333333333332</v>
      </c>
    </row>
    <row r="236" ht="14.25" customHeight="1">
      <c r="A236" s="14">
        <v>51204.0</v>
      </c>
      <c r="B236" s="1" t="s">
        <v>379</v>
      </c>
      <c r="C236" s="14">
        <v>57.0</v>
      </c>
      <c r="D236" s="14">
        <v>47.666666666666664</v>
      </c>
    </row>
    <row r="237" ht="14.25" customHeight="1">
      <c r="A237" s="14">
        <v>51301.0</v>
      </c>
      <c r="B237" s="1" t="s">
        <v>381</v>
      </c>
      <c r="C237" s="14">
        <v>9.666666666666666</v>
      </c>
      <c r="D237" s="14">
        <v>7.0</v>
      </c>
    </row>
    <row r="238" ht="14.25" customHeight="1">
      <c r="A238" s="14">
        <v>51302.0</v>
      </c>
      <c r="B238" s="1" t="s">
        <v>382</v>
      </c>
      <c r="C238" s="14">
        <v>10.666666666666666</v>
      </c>
      <c r="D238" s="14">
        <v>7.666666666666667</v>
      </c>
    </row>
    <row r="239" ht="14.25" customHeight="1">
      <c r="A239" s="14">
        <v>51401.0</v>
      </c>
      <c r="B239" s="1" t="s">
        <v>384</v>
      </c>
      <c r="C239" s="14">
        <v>18.666666666666668</v>
      </c>
      <c r="D239" s="14">
        <v>19.333333333333332</v>
      </c>
    </row>
    <row r="240" ht="14.25" customHeight="1">
      <c r="A240" s="14">
        <v>51402.0</v>
      </c>
      <c r="B240" s="1" t="s">
        <v>385</v>
      </c>
      <c r="C240" s="14">
        <v>5.666666666666667</v>
      </c>
      <c r="D240" s="14">
        <v>6.666666666666667</v>
      </c>
    </row>
    <row r="241" ht="14.25" customHeight="1">
      <c r="A241" s="14">
        <v>51501.0</v>
      </c>
      <c r="B241" s="1" t="s">
        <v>387</v>
      </c>
      <c r="C241" s="14">
        <v>112.0</v>
      </c>
      <c r="D241" s="14">
        <v>87.0</v>
      </c>
    </row>
    <row r="242" ht="14.25" customHeight="1">
      <c r="A242" s="14">
        <v>51601.0</v>
      </c>
      <c r="B242" s="1" t="s">
        <v>389</v>
      </c>
      <c r="C242" s="14">
        <v>15.333333333333334</v>
      </c>
      <c r="D242" s="14">
        <v>11.333333333333334</v>
      </c>
    </row>
    <row r="243" ht="14.25" customHeight="1">
      <c r="A243" s="14">
        <v>60101.0</v>
      </c>
      <c r="B243" s="1" t="s">
        <v>57</v>
      </c>
      <c r="C243" s="14">
        <v>247.66666666666666</v>
      </c>
      <c r="D243" s="14">
        <v>259.3333333333333</v>
      </c>
    </row>
    <row r="244" ht="14.25" customHeight="1">
      <c r="A244" s="14">
        <v>60201.0</v>
      </c>
      <c r="B244" s="1" t="s">
        <v>391</v>
      </c>
      <c r="C244" s="14">
        <v>47.666666666666664</v>
      </c>
      <c r="D244" s="14">
        <v>40.0</v>
      </c>
    </row>
    <row r="245" ht="14.25" customHeight="1">
      <c r="A245" s="14">
        <v>60202.0</v>
      </c>
      <c r="B245" s="1" t="s">
        <v>392</v>
      </c>
      <c r="C245" s="14">
        <v>67.33333333333333</v>
      </c>
      <c r="D245" s="14">
        <v>59.333333333333336</v>
      </c>
    </row>
    <row r="246" ht="14.25" customHeight="1">
      <c r="A246" s="14">
        <v>60301.0</v>
      </c>
      <c r="B246" s="1" t="s">
        <v>393</v>
      </c>
      <c r="C246" s="14">
        <v>116.33333333333333</v>
      </c>
      <c r="D246" s="14">
        <v>104.0</v>
      </c>
    </row>
    <row r="247" ht="14.25" customHeight="1">
      <c r="A247" s="14">
        <v>60302.0</v>
      </c>
      <c r="B247" s="1" t="s">
        <v>394</v>
      </c>
      <c r="C247" s="14">
        <v>46.666666666666664</v>
      </c>
      <c r="D247" s="14">
        <v>34.666666666666664</v>
      </c>
    </row>
    <row r="248" ht="14.25" customHeight="1">
      <c r="A248" s="14">
        <v>60303.0</v>
      </c>
      <c r="B248" s="1" t="s">
        <v>395</v>
      </c>
      <c r="C248" s="14">
        <v>75.33333333333333</v>
      </c>
      <c r="D248" s="14">
        <v>66.0</v>
      </c>
    </row>
    <row r="249" ht="14.25" customHeight="1">
      <c r="A249" s="14">
        <v>60401.0</v>
      </c>
      <c r="B249" s="1" t="s">
        <v>397</v>
      </c>
      <c r="C249" s="14">
        <v>38.0</v>
      </c>
      <c r="D249" s="14">
        <v>28.333333333333332</v>
      </c>
    </row>
    <row r="250" ht="14.25" customHeight="1">
      <c r="A250" s="14">
        <v>60402.0</v>
      </c>
      <c r="B250" s="1" t="s">
        <v>399</v>
      </c>
      <c r="C250" s="14">
        <v>13.0</v>
      </c>
      <c r="D250" s="14">
        <v>14.0</v>
      </c>
    </row>
    <row r="251" ht="14.25" customHeight="1">
      <c r="A251" s="14">
        <v>60501.0</v>
      </c>
      <c r="B251" s="1" t="s">
        <v>401</v>
      </c>
      <c r="C251" s="14">
        <v>72.33333333333333</v>
      </c>
      <c r="D251" s="14">
        <v>48.333333333333336</v>
      </c>
    </row>
    <row r="252" ht="14.25" customHeight="1">
      <c r="A252" s="14">
        <v>60502.0</v>
      </c>
      <c r="B252" s="1" t="s">
        <v>403</v>
      </c>
      <c r="C252" s="14">
        <v>32.333333333333336</v>
      </c>
      <c r="D252" s="14">
        <v>21.666666666666668</v>
      </c>
    </row>
    <row r="253" ht="14.25" customHeight="1">
      <c r="A253" s="14">
        <v>60601.0</v>
      </c>
      <c r="B253" s="1" t="s">
        <v>258</v>
      </c>
      <c r="C253" s="14">
        <v>75.33333333333333</v>
      </c>
      <c r="D253" s="14">
        <v>36.333333333333336</v>
      </c>
    </row>
    <row r="254" ht="14.25" customHeight="1">
      <c r="A254" s="14">
        <v>70101.0</v>
      </c>
      <c r="B254" s="1" t="s">
        <v>406</v>
      </c>
      <c r="C254" s="14">
        <v>1040.0</v>
      </c>
      <c r="D254" s="14">
        <v>1101.6666666666667</v>
      </c>
    </row>
    <row r="255" ht="14.25" customHeight="1">
      <c r="A255" s="14">
        <v>70102.0</v>
      </c>
      <c r="B255" s="1" t="s">
        <v>407</v>
      </c>
      <c r="C255" s="14">
        <v>36.333333333333336</v>
      </c>
      <c r="D255" s="14">
        <v>36.666666666666664</v>
      </c>
    </row>
    <row r="256" ht="14.25" customHeight="1">
      <c r="A256" s="14">
        <v>70103.0</v>
      </c>
      <c r="B256" s="1" t="s">
        <v>408</v>
      </c>
      <c r="C256" s="14">
        <v>20.0</v>
      </c>
      <c r="D256" s="14">
        <v>23.666666666666668</v>
      </c>
    </row>
    <row r="257" ht="14.25" customHeight="1">
      <c r="A257" s="14">
        <v>70104.0</v>
      </c>
      <c r="B257" s="1" t="s">
        <v>410</v>
      </c>
      <c r="C257" s="14">
        <v>62.0</v>
      </c>
      <c r="D257" s="14">
        <v>108.33333333333333</v>
      </c>
    </row>
    <row r="258" ht="14.25" customHeight="1">
      <c r="A258" s="14">
        <v>70105.0</v>
      </c>
      <c r="B258" s="1" t="s">
        <v>411</v>
      </c>
      <c r="C258" s="14">
        <v>115.0</v>
      </c>
      <c r="D258" s="14">
        <v>131.33333333333334</v>
      </c>
    </row>
    <row r="259" ht="14.25" customHeight="1">
      <c r="A259" s="14">
        <v>70201.0</v>
      </c>
      <c r="B259" s="1" t="s">
        <v>412</v>
      </c>
      <c r="C259" s="14">
        <v>112.33333333333333</v>
      </c>
      <c r="D259" s="14">
        <v>173.66666666666666</v>
      </c>
    </row>
    <row r="260" ht="14.25" customHeight="1">
      <c r="A260" s="14">
        <v>70202.0</v>
      </c>
      <c r="B260" s="1" t="s">
        <v>413</v>
      </c>
      <c r="C260" s="14">
        <v>23.333333333333332</v>
      </c>
      <c r="D260" s="14">
        <v>36.0</v>
      </c>
    </row>
    <row r="261" ht="14.25" customHeight="1">
      <c r="A261" s="14">
        <v>70301.0</v>
      </c>
      <c r="B261" s="1" t="s">
        <v>415</v>
      </c>
      <c r="C261" s="14">
        <v>84.33333333333333</v>
      </c>
      <c r="D261" s="14">
        <v>59.333333333333336</v>
      </c>
    </row>
    <row r="262" ht="14.25" customHeight="1">
      <c r="A262" s="14">
        <v>70302.0</v>
      </c>
      <c r="B262" s="1" t="s">
        <v>417</v>
      </c>
      <c r="C262" s="14">
        <v>36.333333333333336</v>
      </c>
      <c r="D262" s="14">
        <v>21.333333333333332</v>
      </c>
    </row>
    <row r="263" ht="14.25" customHeight="1">
      <c r="A263" s="14">
        <v>70303.0</v>
      </c>
      <c r="B263" s="1" t="s">
        <v>419</v>
      </c>
      <c r="C263" s="14">
        <v>8.666666666666666</v>
      </c>
      <c r="D263" s="14">
        <v>8.666666666666666</v>
      </c>
    </row>
    <row r="264" ht="14.25" customHeight="1">
      <c r="A264" s="14">
        <v>70401.0</v>
      </c>
      <c r="B264" s="1" t="s">
        <v>421</v>
      </c>
      <c r="C264" s="14">
        <v>63.0</v>
      </c>
      <c r="D264" s="14">
        <v>47.333333333333336</v>
      </c>
    </row>
    <row r="265" ht="14.25" customHeight="1">
      <c r="A265" s="14">
        <v>70402.0</v>
      </c>
      <c r="B265" s="1" t="s">
        <v>422</v>
      </c>
      <c r="C265" s="14">
        <v>54.666666666666664</v>
      </c>
      <c r="D265" s="14">
        <v>47.333333333333336</v>
      </c>
    </row>
    <row r="266" ht="14.25" customHeight="1">
      <c r="A266" s="14">
        <v>70403.0</v>
      </c>
      <c r="B266" s="1" t="s">
        <v>423</v>
      </c>
      <c r="C266" s="14">
        <v>89.66666666666667</v>
      </c>
      <c r="D266" s="14">
        <v>95.33333333333333</v>
      </c>
    </row>
    <row r="267" ht="14.25" customHeight="1">
      <c r="A267" s="14">
        <v>70404.0</v>
      </c>
      <c r="B267" s="1" t="s">
        <v>424</v>
      </c>
      <c r="C267" s="14">
        <v>19.666666666666668</v>
      </c>
      <c r="D267" s="14">
        <v>21.333333333333332</v>
      </c>
    </row>
    <row r="268" ht="14.25" customHeight="1">
      <c r="A268" s="14">
        <v>70501.0</v>
      </c>
      <c r="B268" s="1" t="s">
        <v>426</v>
      </c>
      <c r="C268" s="14">
        <v>47.666666666666664</v>
      </c>
      <c r="D268" s="14">
        <v>29.0</v>
      </c>
    </row>
    <row r="269" ht="14.25" customHeight="1">
      <c r="A269" s="14">
        <v>70502.0</v>
      </c>
      <c r="B269" s="1" t="s">
        <v>428</v>
      </c>
      <c r="C269" s="14">
        <v>42.666666666666664</v>
      </c>
      <c r="D269" s="14">
        <v>42.333333333333336</v>
      </c>
    </row>
    <row r="270" ht="14.25" customHeight="1">
      <c r="A270" s="14">
        <v>70503.0</v>
      </c>
      <c r="B270" s="1" t="s">
        <v>429</v>
      </c>
      <c r="C270" s="14">
        <v>59.333333333333336</v>
      </c>
      <c r="D270" s="14">
        <v>17.0</v>
      </c>
    </row>
    <row r="271" ht="14.25" customHeight="1">
      <c r="A271" s="14">
        <v>70601.0</v>
      </c>
      <c r="B271" s="1" t="s">
        <v>431</v>
      </c>
      <c r="C271" s="14">
        <v>52.0</v>
      </c>
      <c r="D271" s="14">
        <v>52.333333333333336</v>
      </c>
    </row>
    <row r="272" ht="14.25" customHeight="1">
      <c r="A272" s="14">
        <v>70602.0</v>
      </c>
      <c r="B272" s="1" t="s">
        <v>432</v>
      </c>
      <c r="C272" s="14">
        <v>32.0</v>
      </c>
      <c r="D272" s="14">
        <v>39.333333333333336</v>
      </c>
    </row>
    <row r="273" ht="14.25" customHeight="1">
      <c r="A273" s="14">
        <v>70603.0</v>
      </c>
      <c r="B273" s="1" t="s">
        <v>434</v>
      </c>
      <c r="C273" s="14">
        <v>9.0</v>
      </c>
      <c r="D273" s="14">
        <v>13.333333333333334</v>
      </c>
    </row>
    <row r="274" ht="14.25" customHeight="1">
      <c r="A274" s="14">
        <v>70701.0</v>
      </c>
      <c r="B274" s="1" t="s">
        <v>436</v>
      </c>
      <c r="C274" s="14">
        <v>19.666666666666668</v>
      </c>
      <c r="D274" s="14">
        <v>16.666666666666668</v>
      </c>
    </row>
    <row r="275" ht="14.25" customHeight="1">
      <c r="A275" s="14">
        <v>70702.0</v>
      </c>
      <c r="B275" s="1" t="s">
        <v>437</v>
      </c>
      <c r="C275" s="14">
        <v>80.0</v>
      </c>
      <c r="D275" s="14">
        <v>38.0</v>
      </c>
    </row>
    <row r="276" ht="14.25" customHeight="1">
      <c r="A276" s="14">
        <v>70703.0</v>
      </c>
      <c r="B276" s="1" t="s">
        <v>438</v>
      </c>
      <c r="C276" s="14">
        <v>30.0</v>
      </c>
      <c r="D276" s="14">
        <v>36.0</v>
      </c>
    </row>
    <row r="277" ht="14.25" customHeight="1">
      <c r="A277" s="14">
        <v>70704.0</v>
      </c>
      <c r="B277" s="1" t="s">
        <v>439</v>
      </c>
      <c r="C277" s="14">
        <v>21.333333333333332</v>
      </c>
      <c r="D277" s="14">
        <v>19.333333333333332</v>
      </c>
    </row>
    <row r="278" ht="14.25" customHeight="1">
      <c r="A278" s="14">
        <v>70705.0</v>
      </c>
      <c r="B278" s="1" t="s">
        <v>440</v>
      </c>
      <c r="C278" s="14">
        <v>44.0</v>
      </c>
      <c r="D278" s="14">
        <v>28.666666666666668</v>
      </c>
    </row>
    <row r="279" ht="14.25" customHeight="1">
      <c r="A279" s="14">
        <v>70706.0</v>
      </c>
      <c r="B279" s="1" t="s">
        <v>441</v>
      </c>
      <c r="C279" s="14">
        <v>78.66666666666667</v>
      </c>
      <c r="D279" s="14">
        <v>67.33333333333333</v>
      </c>
    </row>
    <row r="280" ht="14.25" customHeight="1">
      <c r="A280" s="14">
        <v>70707.0</v>
      </c>
      <c r="B280" s="1" t="s">
        <v>442</v>
      </c>
      <c r="C280" s="14">
        <v>10.0</v>
      </c>
      <c r="D280" s="14">
        <v>5.333333333333333</v>
      </c>
    </row>
    <row r="281" ht="14.25" customHeight="1">
      <c r="A281" s="14">
        <v>70801.0</v>
      </c>
      <c r="B281" s="1" t="s">
        <v>443</v>
      </c>
      <c r="C281" s="14">
        <v>41.666666666666664</v>
      </c>
      <c r="D281" s="14">
        <v>29.666666666666668</v>
      </c>
    </row>
    <row r="282" ht="14.25" customHeight="1">
      <c r="A282" s="14">
        <v>70802.0</v>
      </c>
      <c r="B282" s="1" t="s">
        <v>444</v>
      </c>
      <c r="C282" s="14">
        <v>10.666666666666666</v>
      </c>
      <c r="D282" s="14">
        <v>6.333333333333333</v>
      </c>
    </row>
    <row r="283" ht="14.25" customHeight="1">
      <c r="A283" s="14">
        <v>70803.0</v>
      </c>
      <c r="B283" s="1" t="s">
        <v>445</v>
      </c>
      <c r="C283" s="14">
        <v>24.333333333333332</v>
      </c>
      <c r="D283" s="14">
        <v>12.0</v>
      </c>
    </row>
    <row r="284" ht="14.25" customHeight="1">
      <c r="A284" s="14">
        <v>70804.0</v>
      </c>
      <c r="B284" s="1" t="s">
        <v>447</v>
      </c>
      <c r="C284" s="14">
        <v>5.0</v>
      </c>
      <c r="D284" s="14">
        <v>0.0</v>
      </c>
    </row>
    <row r="285" ht="14.25" customHeight="1">
      <c r="A285" s="14">
        <v>70805.0</v>
      </c>
      <c r="B285" s="1" t="s">
        <v>448</v>
      </c>
      <c r="C285" s="14">
        <v>13.0</v>
      </c>
      <c r="D285" s="14">
        <v>7.666666666666667</v>
      </c>
    </row>
    <row r="286" ht="14.25" customHeight="1">
      <c r="A286" s="14">
        <v>70901.0</v>
      </c>
      <c r="B286" s="1" t="s">
        <v>450</v>
      </c>
      <c r="C286" s="14">
        <v>24.333333333333332</v>
      </c>
      <c r="D286" s="14">
        <v>15.666666666666666</v>
      </c>
    </row>
    <row r="287" ht="14.25" customHeight="1">
      <c r="A287" s="14">
        <v>70902.0</v>
      </c>
      <c r="B287" s="1" t="s">
        <v>451</v>
      </c>
      <c r="C287" s="14">
        <v>11.666666666666666</v>
      </c>
      <c r="D287" s="14">
        <v>6.333333333333333</v>
      </c>
    </row>
    <row r="288" ht="14.25" customHeight="1">
      <c r="A288" s="14">
        <v>70903.0</v>
      </c>
      <c r="B288" s="1" t="s">
        <v>452</v>
      </c>
      <c r="C288" s="14">
        <v>26.0</v>
      </c>
      <c r="D288" s="14">
        <v>5.333333333333333</v>
      </c>
    </row>
    <row r="289" ht="14.25" customHeight="1">
      <c r="A289" s="14">
        <v>70904.0</v>
      </c>
      <c r="B289" s="1" t="s">
        <v>453</v>
      </c>
      <c r="C289" s="14">
        <v>3.6666666666666665</v>
      </c>
      <c r="D289" s="14">
        <v>1.3333333333333333</v>
      </c>
    </row>
    <row r="290" ht="14.25" customHeight="1">
      <c r="A290" s="14">
        <v>71001.0</v>
      </c>
      <c r="B290" s="1" t="s">
        <v>455</v>
      </c>
      <c r="C290" s="14">
        <v>212.0</v>
      </c>
      <c r="D290" s="14">
        <v>190.66666666666666</v>
      </c>
    </row>
    <row r="291" ht="14.25" customHeight="1">
      <c r="A291" s="14">
        <v>71002.0</v>
      </c>
      <c r="B291" s="1" t="s">
        <v>456</v>
      </c>
      <c r="C291" s="14">
        <v>56.666666666666664</v>
      </c>
      <c r="D291" s="14">
        <v>33.0</v>
      </c>
    </row>
    <row r="292" ht="14.25" customHeight="1">
      <c r="A292" s="14">
        <v>71003.0</v>
      </c>
      <c r="B292" s="1" t="s">
        <v>457</v>
      </c>
      <c r="C292" s="14">
        <v>45.666666666666664</v>
      </c>
      <c r="D292" s="14">
        <v>44.333333333333336</v>
      </c>
    </row>
    <row r="293" ht="14.25" customHeight="1">
      <c r="A293" s="14">
        <v>71004.0</v>
      </c>
      <c r="B293" s="1" t="s">
        <v>458</v>
      </c>
      <c r="C293" s="14">
        <v>30.0</v>
      </c>
      <c r="D293" s="14">
        <v>32.333333333333336</v>
      </c>
    </row>
    <row r="294" ht="14.25" customHeight="1">
      <c r="A294" s="14">
        <v>71005.0</v>
      </c>
      <c r="B294" s="1" t="s">
        <v>348</v>
      </c>
      <c r="C294" s="14">
        <v>41.666666666666664</v>
      </c>
      <c r="D294" s="14">
        <v>43.0</v>
      </c>
    </row>
    <row r="295" ht="14.25" customHeight="1">
      <c r="A295" s="14">
        <v>71101.0</v>
      </c>
      <c r="B295" s="1" t="s">
        <v>398</v>
      </c>
      <c r="C295" s="14">
        <v>37.0</v>
      </c>
      <c r="D295" s="14">
        <v>34.333333333333336</v>
      </c>
    </row>
    <row r="296" ht="14.25" customHeight="1">
      <c r="A296" s="14">
        <v>71102.0</v>
      </c>
      <c r="B296" s="1" t="s">
        <v>460</v>
      </c>
      <c r="C296" s="14">
        <v>28.666666666666668</v>
      </c>
      <c r="D296" s="14">
        <v>19.333333333333332</v>
      </c>
    </row>
    <row r="297" ht="14.25" customHeight="1">
      <c r="A297" s="14">
        <v>71103.0</v>
      </c>
      <c r="B297" s="1" t="s">
        <v>461</v>
      </c>
      <c r="C297" s="14">
        <v>12.0</v>
      </c>
      <c r="D297" s="14">
        <v>5.333333333333333</v>
      </c>
    </row>
    <row r="298" ht="14.25" customHeight="1">
      <c r="A298" s="14">
        <v>71104.0</v>
      </c>
      <c r="B298" s="1" t="s">
        <v>462</v>
      </c>
      <c r="C298" s="14">
        <v>134.0</v>
      </c>
      <c r="D298" s="14">
        <v>88.0</v>
      </c>
    </row>
    <row r="299" ht="14.25" customHeight="1">
      <c r="A299" s="14">
        <v>71105.0</v>
      </c>
      <c r="B299" s="1" t="s">
        <v>463</v>
      </c>
      <c r="C299" s="14">
        <v>26.333333333333332</v>
      </c>
      <c r="D299" s="14">
        <v>20.0</v>
      </c>
    </row>
    <row r="300" ht="14.25" customHeight="1">
      <c r="A300" s="14">
        <v>71106.0</v>
      </c>
      <c r="B300" s="1" t="s">
        <v>464</v>
      </c>
      <c r="C300" s="14">
        <v>48.0</v>
      </c>
      <c r="D300" s="14">
        <v>47.666666666666664</v>
      </c>
    </row>
    <row r="301" ht="14.25" customHeight="1">
      <c r="A301" s="14">
        <v>71201.0</v>
      </c>
      <c r="B301" s="1" t="s">
        <v>466</v>
      </c>
      <c r="C301" s="14">
        <v>35.333333333333336</v>
      </c>
      <c r="D301" s="14">
        <v>23.333333333333332</v>
      </c>
    </row>
    <row r="302" ht="14.25" customHeight="1">
      <c r="A302" s="14">
        <v>71301.0</v>
      </c>
      <c r="B302" s="1" t="s">
        <v>468</v>
      </c>
      <c r="C302" s="14">
        <v>32.333333333333336</v>
      </c>
      <c r="D302" s="14">
        <v>34.333333333333336</v>
      </c>
    </row>
    <row r="303" ht="14.25" customHeight="1">
      <c r="A303" s="14">
        <v>71302.0</v>
      </c>
      <c r="B303" s="1" t="s">
        <v>469</v>
      </c>
      <c r="C303" s="14">
        <v>9.666666666666666</v>
      </c>
      <c r="D303" s="14">
        <v>10.0</v>
      </c>
    </row>
    <row r="304" ht="14.25" customHeight="1">
      <c r="A304" s="14">
        <v>71401.0</v>
      </c>
      <c r="B304" s="1" t="s">
        <v>471</v>
      </c>
      <c r="C304" s="14">
        <v>43.333333333333336</v>
      </c>
      <c r="D304" s="14">
        <v>23.333333333333332</v>
      </c>
    </row>
    <row r="305" ht="14.25" customHeight="1">
      <c r="A305" s="14">
        <v>71402.0</v>
      </c>
      <c r="B305" s="1" t="s">
        <v>472</v>
      </c>
      <c r="C305" s="14">
        <v>23.333333333333332</v>
      </c>
      <c r="D305" s="14">
        <v>18.666666666666668</v>
      </c>
    </row>
    <row r="306" ht="14.25" customHeight="1">
      <c r="A306" s="14">
        <v>71403.0</v>
      </c>
      <c r="B306" s="1" t="s">
        <v>473</v>
      </c>
      <c r="C306" s="14">
        <v>13.0</v>
      </c>
      <c r="D306" s="14">
        <v>3.6666666666666665</v>
      </c>
    </row>
    <row r="307" ht="14.25" customHeight="1">
      <c r="A307" s="14">
        <v>71501.0</v>
      </c>
      <c r="B307" s="1" t="s">
        <v>475</v>
      </c>
      <c r="C307" s="14">
        <v>34.333333333333336</v>
      </c>
      <c r="D307" s="14">
        <v>37.0</v>
      </c>
    </row>
    <row r="308" ht="14.25" customHeight="1">
      <c r="A308" s="14">
        <v>71502.0</v>
      </c>
      <c r="B308" s="1" t="s">
        <v>476</v>
      </c>
      <c r="C308" s="14">
        <v>9.666666666666666</v>
      </c>
      <c r="D308" s="14">
        <v>6.333333333333333</v>
      </c>
    </row>
    <row r="309" ht="14.25" customHeight="1">
      <c r="A309" s="14">
        <v>71503.0</v>
      </c>
      <c r="B309" s="1" t="s">
        <v>403</v>
      </c>
      <c r="C309" s="14">
        <v>18.666666666666668</v>
      </c>
      <c r="D309" s="14">
        <v>10.666666666666666</v>
      </c>
    </row>
    <row r="310" ht="14.25" customHeight="1">
      <c r="A310" s="14">
        <v>80101.0</v>
      </c>
      <c r="B310" s="1" t="s">
        <v>478</v>
      </c>
      <c r="C310" s="14">
        <v>238.0</v>
      </c>
      <c r="D310" s="14">
        <v>251.66666666666666</v>
      </c>
    </row>
    <row r="311" ht="14.25" customHeight="1">
      <c r="A311" s="14">
        <v>80102.0</v>
      </c>
      <c r="B311" s="1" t="s">
        <v>460</v>
      </c>
      <c r="C311" s="14">
        <v>8.666666666666666</v>
      </c>
      <c r="D311" s="14">
        <v>21.333333333333332</v>
      </c>
    </row>
    <row r="312" ht="14.25" customHeight="1">
      <c r="A312" s="14">
        <v>80201.0</v>
      </c>
      <c r="B312" s="1" t="s">
        <v>480</v>
      </c>
      <c r="C312" s="14">
        <v>227.66666666666666</v>
      </c>
      <c r="D312" s="14">
        <v>237.66666666666666</v>
      </c>
    </row>
    <row r="313" ht="14.25" customHeight="1">
      <c r="A313" s="14">
        <v>80202.0</v>
      </c>
      <c r="B313" s="1" t="s">
        <v>481</v>
      </c>
      <c r="C313" s="14">
        <v>146.0</v>
      </c>
      <c r="D313" s="14">
        <v>85.0</v>
      </c>
    </row>
    <row r="314" ht="14.25" customHeight="1">
      <c r="A314" s="14">
        <v>80301.0</v>
      </c>
      <c r="B314" s="1" t="s">
        <v>483</v>
      </c>
      <c r="C314" s="14">
        <v>20.0</v>
      </c>
      <c r="D314" s="14">
        <v>13.666666666666666</v>
      </c>
    </row>
    <row r="315" ht="14.25" customHeight="1">
      <c r="A315" s="14">
        <v>80302.0</v>
      </c>
      <c r="B315" s="1" t="s">
        <v>484</v>
      </c>
      <c r="C315" s="14">
        <v>85.33333333333333</v>
      </c>
      <c r="D315" s="14">
        <v>58.666666666666664</v>
      </c>
    </row>
    <row r="316" ht="14.25" customHeight="1">
      <c r="A316" s="14">
        <v>80303.0</v>
      </c>
      <c r="B316" s="1" t="s">
        <v>433</v>
      </c>
      <c r="C316" s="14">
        <v>23.666666666666668</v>
      </c>
      <c r="D316" s="14">
        <v>11.666666666666666</v>
      </c>
    </row>
    <row r="317" ht="14.25" customHeight="1">
      <c r="A317" s="14">
        <v>80304.0</v>
      </c>
      <c r="B317" s="1" t="s">
        <v>485</v>
      </c>
      <c r="C317" s="14">
        <v>55.0</v>
      </c>
      <c r="D317" s="14">
        <v>19.0</v>
      </c>
    </row>
    <row r="318" ht="14.25" customHeight="1">
      <c r="A318" s="14">
        <v>80401.0</v>
      </c>
      <c r="B318" s="1" t="s">
        <v>488</v>
      </c>
      <c r="C318" s="14">
        <v>40.333333333333336</v>
      </c>
      <c r="D318" s="14">
        <v>20.666666666666668</v>
      </c>
    </row>
    <row r="319" ht="14.25" customHeight="1">
      <c r="A319" s="14">
        <v>80402.0</v>
      </c>
      <c r="B319" s="1" t="s">
        <v>490</v>
      </c>
      <c r="C319" s="14">
        <v>16.0</v>
      </c>
      <c r="D319" s="14">
        <v>4.666666666666667</v>
      </c>
    </row>
    <row r="320" ht="14.25" customHeight="1">
      <c r="A320" s="14">
        <v>80501.0</v>
      </c>
      <c r="B320" s="1" t="s">
        <v>416</v>
      </c>
      <c r="C320" s="14">
        <v>64.66666666666667</v>
      </c>
      <c r="D320" s="14">
        <v>34.0</v>
      </c>
    </row>
    <row r="321" ht="14.25" customHeight="1">
      <c r="A321" s="14">
        <v>80601.0</v>
      </c>
      <c r="B321" s="1" t="s">
        <v>493</v>
      </c>
      <c r="C321" s="14">
        <v>15.666666666666666</v>
      </c>
      <c r="D321" s="14">
        <v>7.0</v>
      </c>
    </row>
    <row r="322" ht="14.25" customHeight="1">
      <c r="A322" s="14">
        <v>80602.0</v>
      </c>
      <c r="B322" s="1" t="s">
        <v>494</v>
      </c>
      <c r="C322" s="14">
        <v>34.666666666666664</v>
      </c>
      <c r="D322" s="14">
        <v>51.0</v>
      </c>
    </row>
    <row r="323" ht="14.25" customHeight="1">
      <c r="A323" s="14">
        <v>80701.0</v>
      </c>
      <c r="B323" s="1" t="s">
        <v>496</v>
      </c>
      <c r="C323" s="14">
        <v>18.666666666666668</v>
      </c>
      <c r="D323" s="14">
        <v>10.0</v>
      </c>
    </row>
    <row r="324" ht="14.25" customHeight="1">
      <c r="A324" s="14">
        <v>80702.0</v>
      </c>
      <c r="B324" s="1" t="s">
        <v>461</v>
      </c>
      <c r="C324" s="14">
        <v>10.333333333333334</v>
      </c>
      <c r="D324" s="14">
        <v>4.0</v>
      </c>
    </row>
    <row r="325" ht="14.25" customHeight="1">
      <c r="A325" s="14">
        <v>80703.0</v>
      </c>
      <c r="B325" s="1" t="s">
        <v>497</v>
      </c>
      <c r="C325" s="14">
        <v>3.3333333333333335</v>
      </c>
      <c r="D325" s="14">
        <v>4.666666666666667</v>
      </c>
    </row>
    <row r="326" ht="14.25" customHeight="1">
      <c r="A326" s="14">
        <v>80801.0</v>
      </c>
      <c r="B326" s="1" t="s">
        <v>499</v>
      </c>
      <c r="C326" s="14">
        <v>49.333333333333336</v>
      </c>
      <c r="D326" s="14">
        <v>25.0</v>
      </c>
    </row>
    <row r="327" ht="14.25" customHeight="1">
      <c r="A327" s="14">
        <v>80802.0</v>
      </c>
      <c r="B327" s="1" t="s">
        <v>500</v>
      </c>
      <c r="C327" s="14">
        <v>18.0</v>
      </c>
      <c r="D327" s="14">
        <v>6.333333333333333</v>
      </c>
    </row>
    <row r="328" ht="14.25" customHeight="1">
      <c r="A328" s="14">
        <v>80803.0</v>
      </c>
      <c r="B328" s="1" t="s">
        <v>501</v>
      </c>
      <c r="C328" s="14">
        <v>19.333333333333332</v>
      </c>
      <c r="D328" s="14">
        <v>2.0</v>
      </c>
    </row>
    <row r="329" ht="14.25" customHeight="1">
      <c r="A329" s="14">
        <v>80901.0</v>
      </c>
      <c r="B329" s="1" t="s">
        <v>502</v>
      </c>
      <c r="C329" s="14">
        <v>52.5</v>
      </c>
      <c r="D329" s="14">
        <v>27.333333333333332</v>
      </c>
    </row>
    <row r="330" ht="14.25" customHeight="1">
      <c r="A330" s="14">
        <v>90101.0</v>
      </c>
      <c r="B330" s="1" t="s">
        <v>504</v>
      </c>
      <c r="C330" s="14">
        <v>55.333333333333336</v>
      </c>
      <c r="D330" s="14">
        <v>69.66666666666667</v>
      </c>
    </row>
    <row r="331" ht="14.25" customHeight="1">
      <c r="A331" s="14">
        <v>90102.0</v>
      </c>
      <c r="B331" s="1" t="s">
        <v>505</v>
      </c>
      <c r="C331" s="14">
        <v>4.333333333333333</v>
      </c>
      <c r="D331" s="14">
        <v>8.666666666666666</v>
      </c>
    </row>
    <row r="332" ht="14.25" customHeight="1">
      <c r="A332" s="14">
        <v>90103.0</v>
      </c>
      <c r="B332" s="1" t="s">
        <v>506</v>
      </c>
      <c r="C332" s="14">
        <v>4.333333333333333</v>
      </c>
      <c r="D332" s="14">
        <v>4.0</v>
      </c>
    </row>
    <row r="333" ht="14.25" customHeight="1">
      <c r="A333" s="14">
        <v>90104.0</v>
      </c>
      <c r="B333" s="1" t="s">
        <v>507</v>
      </c>
      <c r="C333" s="14">
        <v>4.666666666666667</v>
      </c>
      <c r="D333" s="14">
        <v>8.333333333333334</v>
      </c>
    </row>
    <row r="334" ht="14.25" customHeight="1">
      <c r="A334" s="14">
        <v>90201.0</v>
      </c>
      <c r="B334" s="1" t="s">
        <v>509</v>
      </c>
      <c r="C334" s="14">
        <v>18.333333333333332</v>
      </c>
      <c r="D334" s="14">
        <v>12.666666666666666</v>
      </c>
    </row>
    <row r="335" ht="14.25" customHeight="1">
      <c r="A335" s="14">
        <v>90202.0</v>
      </c>
      <c r="B335" s="1" t="s">
        <v>348</v>
      </c>
      <c r="C335" s="14">
        <v>1.0</v>
      </c>
      <c r="D335" s="14">
        <v>1.0</v>
      </c>
    </row>
    <row r="336" ht="14.25" customHeight="1">
      <c r="A336" s="14">
        <v>90203.0</v>
      </c>
      <c r="B336" s="1" t="s">
        <v>510</v>
      </c>
      <c r="C336" s="14">
        <v>10.333333333333334</v>
      </c>
      <c r="D336" s="14">
        <v>15.333333333333334</v>
      </c>
    </row>
    <row r="337" ht="14.25" customHeight="1">
      <c r="A337" s="14">
        <v>90301.0</v>
      </c>
      <c r="B337" s="1" t="s">
        <v>512</v>
      </c>
      <c r="C337" s="14">
        <v>45.0</v>
      </c>
      <c r="D337" s="14">
        <v>21.333333333333332</v>
      </c>
    </row>
    <row r="338" ht="14.25" customHeight="1">
      <c r="A338" s="14">
        <v>90302.0</v>
      </c>
      <c r="B338" s="1" t="s">
        <v>401</v>
      </c>
      <c r="C338" s="14">
        <v>16.333333333333332</v>
      </c>
      <c r="D338" s="14">
        <v>15.666666666666666</v>
      </c>
    </row>
    <row r="339" ht="14.25" customHeight="1">
      <c r="A339" s="14">
        <v>90303.0</v>
      </c>
      <c r="B339" s="1" t="s">
        <v>513</v>
      </c>
      <c r="C339" s="14">
        <v>5.666666666666667</v>
      </c>
      <c r="D339" s="14">
        <v>4.0</v>
      </c>
    </row>
    <row r="340" ht="14.25" customHeight="1">
      <c r="A340" s="14">
        <v>90401.0</v>
      </c>
      <c r="B340" s="1" t="s">
        <v>433</v>
      </c>
      <c r="C340" s="14">
        <v>5.0</v>
      </c>
      <c r="D340" s="14">
        <v>6.0</v>
      </c>
    </row>
    <row r="341" ht="14.25" customHeight="1">
      <c r="A341" s="14">
        <v>90402.0</v>
      </c>
      <c r="B341" s="1" t="s">
        <v>144</v>
      </c>
      <c r="C341" s="14">
        <v>2.3333333333333335</v>
      </c>
      <c r="D341" s="14">
        <v>1.3333333333333333</v>
      </c>
    </row>
    <row r="342" ht="14.25" customHeight="1">
      <c r="A342" s="14">
        <v>90501.0</v>
      </c>
      <c r="B342" s="1" t="s">
        <v>516</v>
      </c>
      <c r="C342" s="14">
        <v>4.666666666666667</v>
      </c>
      <c r="D342" s="14">
        <v>1.3333333333333333</v>
      </c>
    </row>
    <row r="343" ht="14.25" customHeight="1">
      <c r="A343" s="14">
        <v>90502.0</v>
      </c>
      <c r="B343" s="1" t="s">
        <v>517</v>
      </c>
      <c r="C343" s="14">
        <v>8.333333333333334</v>
      </c>
      <c r="D343" s="14">
        <v>1.0</v>
      </c>
    </row>
    <row r="344" ht="14.25" customHeight="1">
      <c r="A344" s="14">
        <v>90503.0</v>
      </c>
      <c r="B344" s="1" t="s">
        <v>519</v>
      </c>
      <c r="C344" s="14">
        <v>4.0</v>
      </c>
      <c r="D344" s="14">
        <v>2.3333333333333335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525</v>
      </c>
      <c r="B1" s="1" t="s">
        <v>39</v>
      </c>
      <c r="C1" s="24" t="s">
        <v>521</v>
      </c>
      <c r="D1" s="24" t="s">
        <v>522</v>
      </c>
    </row>
    <row r="2" ht="14.25" customHeight="1">
      <c r="A2" s="1">
        <v>1.0</v>
      </c>
      <c r="B2" s="1" t="s">
        <v>41</v>
      </c>
      <c r="C2" s="16">
        <v>78.98264640044052</v>
      </c>
      <c r="D2" s="20">
        <v>80.28481620348742</v>
      </c>
    </row>
    <row r="3" ht="14.25" customHeight="1">
      <c r="A3" s="1">
        <v>2.0</v>
      </c>
      <c r="B3" s="1" t="s">
        <v>45</v>
      </c>
      <c r="C3" s="16">
        <v>74.76028674120592</v>
      </c>
      <c r="D3" s="20">
        <v>79.08906394361188</v>
      </c>
    </row>
    <row r="4" ht="14.25" customHeight="1">
      <c r="A4" s="1">
        <v>3.0</v>
      </c>
      <c r="B4" s="1" t="s">
        <v>47</v>
      </c>
      <c r="C4" s="16">
        <v>74.74094332603379</v>
      </c>
      <c r="D4" s="20">
        <v>80.0307324972763</v>
      </c>
    </row>
    <row r="5" ht="14.25" customHeight="1">
      <c r="A5" s="1">
        <v>4.0</v>
      </c>
      <c r="B5" s="1" t="s">
        <v>50</v>
      </c>
      <c r="C5" s="16">
        <v>70.92539422883523</v>
      </c>
      <c r="D5" s="20">
        <v>76.82257365029096</v>
      </c>
    </row>
    <row r="6" ht="14.25" customHeight="1">
      <c r="A6" s="1">
        <v>5.0</v>
      </c>
      <c r="B6" s="1" t="s">
        <v>325</v>
      </c>
      <c r="C6" s="16">
        <v>62.351014966883156</v>
      </c>
      <c r="D6" s="20">
        <v>71.86932687481809</v>
      </c>
    </row>
    <row r="7" ht="14.25" customHeight="1">
      <c r="A7" s="1">
        <v>6.0</v>
      </c>
      <c r="B7" s="1" t="s">
        <v>57</v>
      </c>
      <c r="C7" s="16">
        <v>64.94173005291215</v>
      </c>
      <c r="D7" s="20">
        <v>76.06731689128694</v>
      </c>
    </row>
    <row r="8" ht="14.25" customHeight="1">
      <c r="A8" s="1">
        <v>7.0</v>
      </c>
      <c r="B8" s="1" t="s">
        <v>59</v>
      </c>
      <c r="C8" s="16">
        <v>64.03385595125154</v>
      </c>
      <c r="D8" s="20">
        <v>76.39505623734351</v>
      </c>
    </row>
    <row r="9" ht="14.25" customHeight="1">
      <c r="A9" s="1">
        <v>8.0</v>
      </c>
      <c r="B9" s="1" t="s">
        <v>62</v>
      </c>
      <c r="C9" s="16">
        <v>34.439457599694755</v>
      </c>
      <c r="D9" s="20">
        <v>67.47071773709341</v>
      </c>
    </row>
    <row r="10" ht="14.25" customHeight="1">
      <c r="A10" s="1">
        <v>9.0</v>
      </c>
      <c r="B10" s="1" t="s">
        <v>64</v>
      </c>
      <c r="C10" s="16">
        <v>44.27138004659192</v>
      </c>
      <c r="D10" s="20">
        <v>80.73766500032872</v>
      </c>
    </row>
    <row r="11" ht="14.25" customHeight="1">
      <c r="A11" s="1">
        <v>10.0</v>
      </c>
      <c r="B11" s="1" t="s">
        <v>69</v>
      </c>
      <c r="C11" s="16">
        <v>66.72254408981287</v>
      </c>
      <c r="D11" s="16">
        <v>79.32326359570942</v>
      </c>
    </row>
    <row r="12" ht="14.25" customHeight="1">
      <c r="A12" s="1">
        <v>11.0</v>
      </c>
      <c r="B12" s="1" t="s">
        <v>67</v>
      </c>
      <c r="C12" s="16">
        <v>68.97623389728766</v>
      </c>
      <c r="D12" s="16">
        <v>77.31183043726477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525</v>
      </c>
      <c r="B1" s="1" t="s">
        <v>39</v>
      </c>
      <c r="C1" s="24" t="s">
        <v>523</v>
      </c>
      <c r="D1" s="24" t="s">
        <v>524</v>
      </c>
    </row>
    <row r="2" ht="14.25" customHeight="1">
      <c r="A2" s="1">
        <v>1.0</v>
      </c>
      <c r="B2" s="1" t="s">
        <v>41</v>
      </c>
      <c r="C2" s="14">
        <v>588.0</v>
      </c>
      <c r="D2" s="14">
        <v>774.6666666666666</v>
      </c>
    </row>
    <row r="3" ht="14.25" customHeight="1">
      <c r="A3" s="1">
        <v>2.0</v>
      </c>
      <c r="B3" s="1" t="s">
        <v>45</v>
      </c>
      <c r="C3" s="14">
        <v>3401.3333333333335</v>
      </c>
      <c r="D3" s="14">
        <v>3791.6666666666665</v>
      </c>
    </row>
    <row r="4" ht="14.25" customHeight="1">
      <c r="A4" s="1">
        <v>3.0</v>
      </c>
      <c r="B4" s="1" t="s">
        <v>47</v>
      </c>
      <c r="C4" s="14">
        <v>1962.3333333333333</v>
      </c>
      <c r="D4" s="14">
        <v>2318.3333333333335</v>
      </c>
    </row>
    <row r="5" ht="14.25" customHeight="1">
      <c r="A5" s="1">
        <v>4.0</v>
      </c>
      <c r="B5" s="1" t="s">
        <v>50</v>
      </c>
      <c r="C5" s="14">
        <v>785.3333333333334</v>
      </c>
      <c r="D5" s="14">
        <v>865.3333333333334</v>
      </c>
    </row>
    <row r="6" ht="14.25" customHeight="1">
      <c r="A6" s="1">
        <v>5.0</v>
      </c>
      <c r="B6" s="1" t="s">
        <v>325</v>
      </c>
      <c r="C6" s="14">
        <v>1704.0</v>
      </c>
      <c r="D6" s="14">
        <v>1716.6666666666667</v>
      </c>
    </row>
    <row r="7" ht="14.25" customHeight="1">
      <c r="A7" s="1">
        <v>6.0</v>
      </c>
      <c r="B7" s="1" t="s">
        <v>57</v>
      </c>
      <c r="C7" s="14">
        <v>832.0</v>
      </c>
      <c r="D7" s="14">
        <v>712.0</v>
      </c>
    </row>
    <row r="8" ht="14.25" customHeight="1">
      <c r="A8" s="1">
        <v>7.0</v>
      </c>
      <c r="B8" s="1" t="s">
        <v>59</v>
      </c>
      <c r="C8" s="14">
        <v>3343.6666666666665</v>
      </c>
      <c r="D8" s="14">
        <v>3126.3333333333335</v>
      </c>
    </row>
    <row r="9" ht="14.25" customHeight="1">
      <c r="A9" s="1">
        <v>8.0</v>
      </c>
      <c r="B9" s="1" t="s">
        <v>62</v>
      </c>
      <c r="C9" s="14">
        <v>1147.1666666666667</v>
      </c>
      <c r="D9" s="14">
        <v>895.3333333333334</v>
      </c>
    </row>
    <row r="10" ht="14.25" customHeight="1">
      <c r="A10" s="1">
        <v>9.0</v>
      </c>
      <c r="B10" s="1" t="s">
        <v>64</v>
      </c>
      <c r="C10" s="14">
        <v>189.66666666666666</v>
      </c>
      <c r="D10" s="14">
        <v>172.66666666666666</v>
      </c>
    </row>
    <row r="11" ht="14.25" customHeight="1">
      <c r="A11" s="1">
        <v>10.0</v>
      </c>
      <c r="B11" s="1" t="s">
        <v>69</v>
      </c>
      <c r="C11" s="14">
        <v>238.33333333333334</v>
      </c>
      <c r="D11" s="14">
        <v>204.66666666666666</v>
      </c>
    </row>
    <row r="12" ht="14.25" customHeight="1">
      <c r="A12" s="1">
        <v>11.0</v>
      </c>
      <c r="B12" s="1" t="s">
        <v>67</v>
      </c>
      <c r="C12" s="14">
        <v>13953.5</v>
      </c>
      <c r="D12" s="14">
        <v>14373.0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3.0"/>
    <col customWidth="1" min="12" max="26" width="10.71"/>
  </cols>
  <sheetData>
    <row r="1" ht="14.25" customHeight="1">
      <c r="A1" s="26" t="s">
        <v>526</v>
      </c>
      <c r="B1" s="26" t="s">
        <v>527</v>
      </c>
      <c r="C1" s="27" t="s">
        <v>528</v>
      </c>
      <c r="D1" s="27" t="s">
        <v>529</v>
      </c>
      <c r="E1" s="28" t="s">
        <v>530</v>
      </c>
      <c r="F1" s="28" t="s">
        <v>531</v>
      </c>
      <c r="G1" s="29" t="s">
        <v>532</v>
      </c>
      <c r="H1" s="29" t="s">
        <v>533</v>
      </c>
      <c r="I1" s="30" t="s">
        <v>534</v>
      </c>
      <c r="J1" s="30" t="s">
        <v>535</v>
      </c>
      <c r="K1" s="31" t="s">
        <v>536</v>
      </c>
    </row>
    <row r="2" ht="14.25" customHeight="1">
      <c r="A2" s="1">
        <v>4.0</v>
      </c>
      <c r="B2" s="1" t="s">
        <v>537</v>
      </c>
      <c r="C2" s="1">
        <v>100.0</v>
      </c>
      <c r="D2" s="1">
        <v>96.9</v>
      </c>
      <c r="E2" s="1">
        <v>96.9</v>
      </c>
      <c r="F2" s="1">
        <v>69.6</v>
      </c>
      <c r="G2" s="1">
        <v>69.6</v>
      </c>
      <c r="H2" s="1">
        <v>42.3</v>
      </c>
      <c r="I2" s="1">
        <v>42.3</v>
      </c>
      <c r="J2" s="1">
        <v>0.0</v>
      </c>
      <c r="K2" s="32" t="s">
        <v>538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